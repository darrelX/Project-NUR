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daily break down" sheetId="1" state="visible" r:id="rId1"/>
    <sheet xmlns:r="http://schemas.openxmlformats.org/officeDocument/2006/relationships" name="RAPPORT" sheetId="2" state="visible" r:id="rId2"/>
    <sheet xmlns:r="http://schemas.openxmlformats.org/officeDocument/2006/relationships" name="INCIDENT-05-25-2026" sheetId="3" state="visible" r:id="rId3"/>
    <sheet xmlns:r="http://schemas.openxmlformats.org/officeDocument/2006/relationships" name="ANALYSE" sheetId="4" state="visible" r:id="rId4"/>
    <sheet xmlns:r="http://schemas.openxmlformats.org/officeDocument/2006/relationships" name="Correspondance" sheetId="5" state="visible" r:id="rId5"/>
  </sheets>
  <definedNames>
    <definedName name="_xlnm._FilterDatabase" localSheetId="2" hidden="1">'INCIDENT-05-25-2026'!$A$1:$F$468</definedName>
  </definedNames>
  <calcPr calcId="191029" fullCalcOnLoad="1"/>
  <pivotCaches>
    <pivotCache xmlns:r="http://schemas.openxmlformats.org/officeDocument/2006/relationships" cacheId="13" r:id="rId6"/>
  </pivotCaches>
</workbook>
</file>

<file path=xl/styles.xml><?xml version="1.0" encoding="utf-8"?>
<styleSheet xmlns="http://schemas.openxmlformats.org/spreadsheetml/2006/main">
  <numFmts count="0"/>
  <fonts count="21">
    <font>
      <name val="Aptos Narrow"/>
      <family val="2"/>
      <color theme="1"/>
      <sz val="11"/>
      <scheme val="minor"/>
    </font>
    <font>
      <name val="Aptos Narrow"/>
      <family val="2"/>
      <b val="1"/>
      <color theme="1"/>
      <sz val="11"/>
      <scheme val="minor"/>
    </font>
    <font>
      <name val="Arial"/>
      <family val="2"/>
      <sz val="9"/>
    </font>
    <font>
      <name val="Arial"/>
      <family val="2"/>
      <b val="1"/>
      <color theme="1"/>
      <sz val="9"/>
    </font>
    <font>
      <name val="Arial"/>
      <family val="2"/>
      <color theme="0"/>
      <sz val="9"/>
    </font>
    <font>
      <name val="Arial"/>
      <family val="2"/>
      <color theme="1"/>
      <sz val="8"/>
    </font>
    <font>
      <name val="Arial"/>
      <family val="2"/>
      <color theme="1"/>
      <sz val="9"/>
    </font>
    <font>
      <name val="Arial"/>
      <family val="2"/>
      <sz val="10"/>
    </font>
    <font>
      <name val="Aptos Narrow"/>
      <family val="2"/>
      <color theme="1"/>
      <sz val="8"/>
      <scheme val="minor"/>
    </font>
    <font>
      <name val="Aptos Narrow"/>
      <family val="2"/>
      <b val="1"/>
      <color theme="0"/>
      <sz val="11"/>
      <scheme val="minor"/>
    </font>
    <font>
      <name val="Arial"/>
      <family val="2"/>
      <b val="1"/>
      <sz val="9"/>
    </font>
    <font>
      <name val="Arial"/>
      <family val="2"/>
      <b val="1"/>
      <sz val="11"/>
    </font>
    <font>
      <name val="Arial"/>
      <family val="2"/>
      <b val="1"/>
      <color theme="1"/>
      <sz val="11"/>
    </font>
    <font>
      <name val="Aptos Narrow"/>
      <family val="2"/>
      <color theme="1"/>
      <sz val="12"/>
      <scheme val="minor"/>
    </font>
    <font>
      <name val="Aptos Narrow"/>
      <family val="2"/>
      <color theme="0"/>
      <sz val="12"/>
      <scheme val="minor"/>
    </font>
    <font>
      <name val="Arial"/>
      <family val="2"/>
      <b val="1"/>
      <sz val="12"/>
    </font>
    <font>
      <name val="Arial"/>
      <family val="2"/>
      <b val="1"/>
      <color theme="1"/>
      <sz val="12"/>
    </font>
    <font>
      <name val="Aptos Narrow"/>
      <family val="2"/>
      <b val="1"/>
      <color theme="1"/>
      <sz val="12"/>
      <scheme val="minor"/>
    </font>
    <font>
      <name val="Aptos Narrow"/>
      <family val="2"/>
      <b val="1"/>
      <color theme="1"/>
      <sz val="14"/>
      <scheme val="minor"/>
    </font>
    <font>
      <name val="Aptos Narrow"/>
      <b val="1"/>
      <sz val="11"/>
    </font>
    <font>
      <b val="1"/>
    </font>
  </fonts>
  <fills count="12">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5" tint="0.5999938962981048"/>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theme="3" tint="0.499984740745262"/>
        <bgColor indexed="64"/>
      </patternFill>
    </fill>
    <fill>
      <patternFill patternType="solid">
        <fgColor rgb="FF002060"/>
        <bgColor indexed="64"/>
      </patternFill>
    </fill>
    <fill>
      <patternFill patternType="solid">
        <fgColor theme="5" tint="0.3999755851924192"/>
        <bgColor indexed="64"/>
      </patternFill>
    </fill>
    <fill>
      <patternFill patternType="solid">
        <fgColor theme="4"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7" fillId="0" borderId="0"/>
  </cellStyleXfs>
  <cellXfs count="56">
    <xf numFmtId="0" fontId="0" fillId="0" borderId="0" pivotButton="0" quotePrefix="0" xfId="0"/>
    <xf numFmtId="0" fontId="6" fillId="0" borderId="1" applyAlignment="1" pivotButton="0" quotePrefix="0" xfId="0">
      <alignment horizontal="center" vertical="center"/>
    </xf>
    <xf numFmtId="0" fontId="2" fillId="4" borderId="1"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6" borderId="0" applyAlignment="1" pivotButton="0" quotePrefix="0" xfId="0">
      <alignment horizontal="center" vertical="center"/>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8" fillId="0" borderId="1" applyAlignment="1" pivotButton="0" quotePrefix="0" xfId="0">
      <alignment horizontal="center" vertical="center"/>
    </xf>
    <xf numFmtId="0" fontId="0" fillId="3" borderId="0" pivotButton="0" quotePrefix="0" xfId="0"/>
    <xf numFmtId="0" fontId="8" fillId="4"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10" fillId="2" borderId="1" applyAlignment="1" pivotButton="0" quotePrefix="0" xfId="0">
      <alignment horizontal="center" vertical="center"/>
    </xf>
    <xf numFmtId="14" fontId="3" fillId="2" borderId="1" applyAlignment="1" pivotButton="0" quotePrefix="0" xfId="0">
      <alignment horizontal="center" vertical="center"/>
    </xf>
    <xf numFmtId="0" fontId="2" fillId="0" borderId="1" applyAlignment="1" pivotButton="0" quotePrefix="0" xfId="0">
      <alignment horizontal="center" vertical="center"/>
    </xf>
    <xf numFmtId="0" fontId="5" fillId="0" borderId="1" applyAlignment="1" pivotButton="0" quotePrefix="0" xfId="0">
      <alignment horizontal="center" vertical="center"/>
    </xf>
    <xf numFmtId="1" fontId="0" fillId="0" borderId="0" pivotButton="0" quotePrefix="0" xfId="0"/>
    <xf numFmtId="0" fontId="11" fillId="0" borderId="0" applyAlignment="1" pivotButton="0" quotePrefix="0" xfId="0">
      <alignment horizontal="center"/>
    </xf>
    <xf numFmtId="1" fontId="11" fillId="7" borderId="1" applyAlignment="1" pivotButton="0" quotePrefix="0" xfId="0">
      <alignment horizontal="center"/>
    </xf>
    <xf numFmtId="1" fontId="12" fillId="0" borderId="1" applyAlignment="1" pivotButton="0" quotePrefix="0" xfId="0">
      <alignment horizontal="center"/>
    </xf>
    <xf numFmtId="0" fontId="12" fillId="0" borderId="0" applyAlignment="1" pivotButton="0" quotePrefix="0" xfId="0">
      <alignment horizontal="center"/>
    </xf>
    <xf numFmtId="1" fontId="12" fillId="7" borderId="1" applyAlignment="1" pivotButton="0" quotePrefix="0" xfId="0">
      <alignment horizontal="center" vertical="center"/>
    </xf>
    <xf numFmtId="0" fontId="0" fillId="11" borderId="0" pivotButton="0" quotePrefix="0" xfId="0"/>
    <xf numFmtId="1" fontId="0" fillId="11" borderId="0" pivotButton="0" quotePrefix="0" xfId="0"/>
    <xf numFmtId="0" fontId="9" fillId="11" borderId="0" applyAlignment="1" pivotButton="0" quotePrefix="0" xfId="0">
      <alignment horizontal="left" vertical="top"/>
    </xf>
    <xf numFmtId="1" fontId="13" fillId="0" borderId="0" applyAlignment="1" pivotButton="0" quotePrefix="0" xfId="0">
      <alignment horizontal="center" vertical="center"/>
    </xf>
    <xf numFmtId="0" fontId="9" fillId="11" borderId="0" applyAlignment="1" pivotButton="0" quotePrefix="0" xfId="0">
      <alignment horizontal="right" vertical="center"/>
    </xf>
    <xf numFmtId="1" fontId="0" fillId="0" borderId="0" applyAlignment="1" pivotButton="0" quotePrefix="0" xfId="0">
      <alignment horizontal="center" vertical="center"/>
    </xf>
    <xf numFmtId="2" fontId="6" fillId="0" borderId="1" applyAlignment="1" pivotButton="0" quotePrefix="0" xfId="0">
      <alignment horizontal="center" vertical="center"/>
    </xf>
    <xf numFmtId="0" fontId="14" fillId="11" borderId="0" pivotButton="0" quotePrefix="0" xfId="0"/>
    <xf numFmtId="1" fontId="12" fillId="7" borderId="3" applyAlignment="1" pivotButton="0" quotePrefix="0" xfId="0">
      <alignment horizontal="center" vertical="top"/>
    </xf>
    <xf numFmtId="0" fontId="0" fillId="0" borderId="0" applyAlignment="1" pivotButton="0" quotePrefix="0" xfId="0">
      <alignment horizontal="center" vertical="top"/>
    </xf>
    <xf numFmtId="0" fontId="2" fillId="0" borderId="0" applyAlignment="1" pivotButton="0" quotePrefix="0" xfId="0">
      <alignment horizontal="center" vertical="center"/>
    </xf>
    <xf numFmtId="1" fontId="13" fillId="0" borderId="0" applyAlignment="1" pivotButton="1" quotePrefix="0" xfId="0">
      <alignment horizontal="center" vertical="center"/>
    </xf>
    <xf numFmtId="1" fontId="15" fillId="7" borderId="1" applyAlignment="1" pivotButton="0" quotePrefix="0" xfId="0">
      <alignment horizontal="center" vertical="top"/>
    </xf>
    <xf numFmtId="1" fontId="16" fillId="0" borderId="1" applyAlignment="1" pivotButton="0" quotePrefix="0" xfId="0">
      <alignment horizontal="center" vertical="top"/>
    </xf>
    <xf numFmtId="1" fontId="16" fillId="0" borderId="4" applyAlignment="1" pivotButton="0" quotePrefix="0" xfId="0">
      <alignment horizontal="center" vertical="top"/>
    </xf>
    <xf numFmtId="1" fontId="16" fillId="0" borderId="2" applyAlignment="1" pivotButton="0" quotePrefix="0" xfId="0">
      <alignment horizontal="center" vertical="top"/>
    </xf>
    <xf numFmtId="1" fontId="16" fillId="7" borderId="1" applyAlignment="1" pivotButton="0" quotePrefix="0" xfId="0">
      <alignment horizontal="center" vertical="top"/>
    </xf>
    <xf numFmtId="1" fontId="11" fillId="7" borderId="1" applyAlignment="1" pivotButton="0" quotePrefix="0" xfId="0">
      <alignment horizontal="center" vertical="top"/>
    </xf>
    <xf numFmtId="1" fontId="12" fillId="7" borderId="1" applyAlignment="1" pivotButton="0" quotePrefix="0" xfId="0">
      <alignment horizontal="center" vertical="top"/>
    </xf>
    <xf numFmtId="1" fontId="12" fillId="0" borderId="1" applyAlignment="1" pivotButton="0" quotePrefix="0" xfId="0">
      <alignment horizontal="center" vertical="top"/>
    </xf>
    <xf numFmtId="1" fontId="12" fillId="0" borderId="2" applyAlignment="1" pivotButton="0" quotePrefix="0" xfId="0">
      <alignment horizontal="center" vertical="top"/>
    </xf>
    <xf numFmtId="1" fontId="16" fillId="7" borderId="3" applyAlignment="1" pivotButton="0" quotePrefix="0" xfId="0">
      <alignment horizontal="center" vertical="top"/>
    </xf>
    <xf numFmtId="0" fontId="0" fillId="10" borderId="0" pivotButton="0" quotePrefix="0" xfId="0"/>
    <xf numFmtId="0" fontId="0" fillId="10" borderId="2" pivotButton="0" quotePrefix="0" xfId="0"/>
    <xf numFmtId="1" fontId="16" fillId="0" borderId="1" applyAlignment="1" pivotButton="0" quotePrefix="0" xfId="0">
      <alignment horizontal="center"/>
    </xf>
    <xf numFmtId="1" fontId="1" fillId="0" borderId="0" applyAlignment="1" pivotButton="0" quotePrefix="0" xfId="0">
      <alignment horizontal="center" vertical="top"/>
    </xf>
    <xf numFmtId="1" fontId="18" fillId="0" borderId="0" applyAlignment="1" pivotButton="0" quotePrefix="0" xfId="0">
      <alignment horizontal="center" vertical="top"/>
    </xf>
    <xf numFmtId="0" fontId="17" fillId="0" borderId="0" applyAlignment="1" pivotButton="0" quotePrefix="0" xfId="0">
      <alignment horizontal="center" vertical="top"/>
    </xf>
    <xf numFmtId="1" fontId="17" fillId="0" borderId="1" applyAlignment="1" pivotButton="0" quotePrefix="0" xfId="0">
      <alignment horizontal="center" vertical="center"/>
    </xf>
    <xf numFmtId="1" fontId="1" fillId="0" borderId="1" applyAlignment="1" pivotButton="0" quotePrefix="0" xfId="0">
      <alignment horizontal="center" vertical="center"/>
    </xf>
    <xf numFmtId="0" fontId="0" fillId="0" borderId="0" pivotButton="0" quotePrefix="0" xfId="0"/>
    <xf numFmtId="0" fontId="19" fillId="0" borderId="5" applyAlignment="1" pivotButton="0" quotePrefix="0" xfId="0">
      <alignment horizontal="center" vertical="top"/>
    </xf>
    <xf numFmtId="0" fontId="20" fillId="0" borderId="6" applyAlignment="1" pivotButton="0" quotePrefix="0" xfId="0">
      <alignment horizontal="center" vertical="top"/>
    </xf>
  </cellXfs>
  <cellStyles count="2">
    <cellStyle name="Normal" xfId="0" builtinId="0"/>
    <cellStyle name="%_CODIFICATION_OCA_actuelle100909_wk" xfId="1"/>
  </cellStyles>
  <dxfs count="75">
    <dxf>
      <font>
        <color rgb="FF9C0006"/>
      </font>
    </dxf>
    <dxf>
      <font>
        <color rgb="FF9C5700"/>
      </font>
      <fill>
        <patternFill>
          <bgColor rgb="FFFFEB9C"/>
        </patternFill>
      </fill>
    </dxf>
    <dxf>
      <font>
        <color rgb="FF9C5700"/>
      </font>
      <fill>
        <patternFill>
          <bgColor rgb="FFFFEB9C"/>
        </patternFill>
      </fill>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pivotCacheDefinition" Target="/xl/pivotCache/pivotCacheDefinition1.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a:sp3d xmlns:a="http://schemas.openxmlformats.org/drawingml/2006/main"/>
            </spPr>
          </dPt>
          <dPt>
            <idx val="1"/>
            <bubble3D val="0"/>
            <explosion val="1"/>
            <spPr>
              <a:solidFill xmlns:a="http://schemas.openxmlformats.org/drawingml/2006/main">
                <a:schemeClr val="accent2"/>
              </a:solidFill>
              <a:ln xmlns:a="http://schemas.openxmlformats.org/drawingml/2006/main">
                <a:noFill/>
                <a:prstDash val="solid"/>
              </a:ln>
              <a:sp3d xmlns:a="http://schemas.openxmlformats.org/drawingml/2006/main"/>
            </spPr>
          </dPt>
          <dPt>
            <idx val="2"/>
            <bubble3D val="0"/>
            <spPr>
              <a:solidFill xmlns:a="http://schemas.openxmlformats.org/drawingml/2006/main">
                <a:schemeClr val="accent3"/>
              </a:solidFill>
              <a:ln xmlns:a="http://schemas.openxmlformats.org/drawingml/2006/main">
                <a:noFill/>
                <a:prstDash val="solid"/>
              </a:ln>
              <a:sp3d xmlns:a="http://schemas.openxmlformats.org/drawingml/2006/main"/>
            </spPr>
          </dPt>
          <dPt>
            <idx val="3"/>
            <bubble3D val="0"/>
            <spPr>
              <a:solidFill xmlns:a="http://schemas.openxmlformats.org/drawingml/2006/main">
                <a:schemeClr val="accent4"/>
              </a:solidFill>
              <a:ln xmlns:a="http://schemas.openxmlformats.org/drawingml/2006/main">
                <a:noFill/>
                <a:prstDash val="solid"/>
              </a:ln>
              <a:sp3d xmlns:a="http://schemas.openxmlformats.org/drawingml/2006/main"/>
            </spPr>
          </dPt>
          <dPt>
            <idx val="4"/>
            <bubble3D val="0"/>
            <spPr>
              <a:solidFill xmlns:a="http://schemas.openxmlformats.org/drawingml/2006/main">
                <a:schemeClr val="accent5"/>
              </a:solidFill>
              <a:ln xmlns:a="http://schemas.openxmlformats.org/drawingml/2006/main">
                <a:noFill/>
                <a:prstDash val="solid"/>
              </a:ln>
              <a:sp3d xmlns:a="http://schemas.openxmlformats.org/drawingml/2006/main"/>
            </spPr>
          </dPt>
          <dPt>
            <idx val="5"/>
            <bubble3D val="0"/>
            <spPr>
              <a:solidFill xmlns:a="http://schemas.openxmlformats.org/drawingml/2006/main">
                <a:schemeClr val="accent6"/>
              </a:solidFill>
              <a:ln xmlns:a="http://schemas.openxmlformats.org/drawingml/2006/main">
                <a:noFill/>
                <a:prstDash val="solid"/>
              </a:ln>
              <a:sp3d xmlns:a="http://schemas.openxmlformats.org/drawingml/2006/main"/>
            </spPr>
          </dPt>
          <dPt>
            <idx val="6"/>
            <bubble3D val="0"/>
            <spPr>
              <a:solidFill xmlns:a="http://schemas.openxmlformats.org/drawingml/2006/main">
                <a:schemeClr val="accent1">
                  <a:lumMod val="60000"/>
                </a:schemeClr>
              </a:solidFill>
              <a:ln xmlns:a="http://schemas.openxmlformats.org/drawingml/2006/main">
                <a:noFill/>
                <a:prstDash val="solid"/>
              </a:ln>
              <a:sp3d xmlns:a="http://schemas.openxmlformats.org/drawingml/2006/main"/>
            </spPr>
          </dPt>
          <dPt>
            <idx val="7"/>
            <bubble3D val="0"/>
            <spPr>
              <a:solidFill xmlns:a="http://schemas.openxmlformats.org/drawingml/2006/main">
                <a:schemeClr val="accent2">
                  <a:lumMod val="60000"/>
                </a:schemeClr>
              </a:solidFill>
              <a:ln xmlns:a="http://schemas.openxmlformats.org/drawingml/2006/main">
                <a:noFill/>
                <a:prstDash val="solid"/>
              </a:ln>
              <a:sp3d xmlns:a="http://schemas.openxmlformats.org/drawingml/2006/main"/>
            </spPr>
          </dPt>
          <dPt>
            <idx val="8"/>
            <bubble3D val="0"/>
            <spPr>
              <a:solidFill xmlns:a="http://schemas.openxmlformats.org/drawingml/2006/main">
                <a:schemeClr val="accent3">
                  <a:lumMod val="60000"/>
                </a:schemeClr>
              </a:solidFill>
              <a:ln xmlns:a="http://schemas.openxmlformats.org/drawingml/2006/main">
                <a:noFill/>
                <a:prstDash val="solid"/>
              </a:ln>
              <a:sp3d xmlns:a="http://schemas.openxmlformats.org/drawingml/2006/main"/>
            </spPr>
          </dPt>
          <dPt>
            <idx val="9"/>
            <bubble3D val="0"/>
            <spPr>
              <a:solidFill xmlns:a="http://schemas.openxmlformats.org/drawingml/2006/main">
                <a:schemeClr val="accent4">
                  <a:lumMod val="60000"/>
                </a:schemeClr>
              </a:solidFill>
              <a:ln xmlns:a="http://schemas.openxmlformats.org/drawingml/2006/main">
                <a:noFill/>
                <a:prstDash val="solid"/>
              </a:ln>
              <a:sp3d xmlns:a="http://schemas.openxmlformats.org/drawingml/2006/main"/>
            </spPr>
          </dPt>
          <dPt>
            <idx val="10"/>
            <bubble3D val="0"/>
            <spPr>
              <a:solidFill xmlns:a="http://schemas.openxmlformats.org/drawingml/2006/main">
                <a:schemeClr val="accent5">
                  <a:lumMod val="60000"/>
                </a:schemeClr>
              </a:solidFill>
              <a:ln xmlns:a="http://schemas.openxmlformats.org/drawingml/2006/main">
                <a:noFill/>
                <a:prstDash val="solid"/>
              </a:ln>
              <a:sp3d xmlns:a="http://schemas.openxmlformats.org/drawingml/2006/main"/>
            </spPr>
          </dPt>
          <dPt>
            <idx val="11"/>
            <bubble3D val="0"/>
            <spPr>
              <a:solidFill xmlns:a="http://schemas.openxmlformats.org/drawingml/2006/main">
                <a:schemeClr val="accent6">
                  <a:lumMod val="60000"/>
                </a:schemeClr>
              </a:solidFill>
              <a:ln xmlns:a="http://schemas.openxmlformats.org/drawingml/2006/main">
                <a:noFill/>
                <a:prstDash val="solid"/>
              </a:ln>
              <a:sp3d xmlns:a="http://schemas.openxmlformats.org/drawingml/2006/mai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8"/>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9"/>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1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dLbl>
              <idx val="1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0"/>
              <showCatName val="0"/>
              <showSerName val="0"/>
              <showPercent val="1"/>
              <showBubbleSize val="0"/>
            </dLbl>
            <spPr>
              <a:noFill xmlns:a="http://schemas.openxmlformats.org/drawingml/2006/main"/>
              <a:ln xmlns:a="http://schemas.openxmlformats.org/drawingml/2006/main">
                <a:noFill/>
                <a:prstDash val="solid"/>
              </a:ln>
            </spPr>
            <dLblPos val="bestFit"/>
            <showLegendKey val="0"/>
            <showVal val="0"/>
            <showCatName val="0"/>
            <showSerName val="0"/>
            <showPercent val="1"/>
            <showBubbleSize val="0"/>
            <showLeaderLines val="1"/>
          </dLbls>
          <val>
            <numRef>
              <f>RAPPORT!$I$27:$I$38</f>
              <numCache>
                <formatCode>0</formatCode>
                <ptCount val="12"/>
                <pt idx="0">
                  <v>0</v>
                </pt>
                <pt idx="1">
                  <v>311.2669251138479</v>
                </pt>
                <pt idx="2">
                  <v>310.9280161971048</v>
                </pt>
                <pt idx="3">
                  <v>68.15318823087473</v>
                </pt>
                <pt idx="4">
                  <v>62.27328048442926</v>
                </pt>
                <pt idx="5">
                  <v>1244.974692977219</v>
                </pt>
                <pt idx="6">
                  <v>230.9399549985304</v>
                </pt>
                <pt idx="7">
                  <v>519.7176940910568</v>
                </pt>
                <pt idx="8">
                  <v>67.48281768554902</v>
                </pt>
                <pt idx="9">
                  <v>572.8062496968032</v>
                </pt>
                <pt idx="10">
                  <v>193.7222037594631</v>
                </pt>
                <pt idx="11">
                  <v>69.45609953255708</v>
                </pt>
              </numCache>
            </numRef>
          </val>
        </ser>
        <ser>
          <idx val="1"/>
          <order val="1"/>
          <tx>
            <strRef>
              <f>RAPPORT!$H$26</f>
              <strCache>
                <ptCount val="1"/>
                <pt idx="0">
                  <v>RCA</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a:sp3d xmlns:a="http://schemas.openxmlformats.org/drawingml/2006/main"/>
            </spPr>
          </dPt>
          <dPt>
            <idx val="1"/>
            <bubble3D val="0"/>
            <spPr>
              <a:solidFill xmlns:a="http://schemas.openxmlformats.org/drawingml/2006/main">
                <a:schemeClr val="accent2"/>
              </a:solidFill>
              <a:ln xmlns:a="http://schemas.openxmlformats.org/drawingml/2006/main">
                <a:noFill/>
                <a:prstDash val="solid"/>
              </a:ln>
              <a:sp3d xmlns:a="http://schemas.openxmlformats.org/drawingml/2006/main"/>
            </spPr>
          </dPt>
          <dPt>
            <idx val="2"/>
            <bubble3D val="0"/>
            <spPr>
              <a:solidFill xmlns:a="http://schemas.openxmlformats.org/drawingml/2006/main">
                <a:schemeClr val="accent3"/>
              </a:solidFill>
              <a:ln xmlns:a="http://schemas.openxmlformats.org/drawingml/2006/main">
                <a:noFill/>
                <a:prstDash val="solid"/>
              </a:ln>
              <a:sp3d xmlns:a="http://schemas.openxmlformats.org/drawingml/2006/main"/>
            </spPr>
          </dPt>
          <dPt>
            <idx val="3"/>
            <bubble3D val="0"/>
            <spPr>
              <a:solidFill xmlns:a="http://schemas.openxmlformats.org/drawingml/2006/main">
                <a:schemeClr val="accent4"/>
              </a:solidFill>
              <a:ln xmlns:a="http://schemas.openxmlformats.org/drawingml/2006/main">
                <a:noFill/>
                <a:prstDash val="solid"/>
              </a:ln>
              <a:sp3d xmlns:a="http://schemas.openxmlformats.org/drawingml/2006/main"/>
            </spPr>
          </dPt>
          <dPt>
            <idx val="4"/>
            <bubble3D val="0"/>
            <spPr>
              <a:solidFill xmlns:a="http://schemas.openxmlformats.org/drawingml/2006/main">
                <a:schemeClr val="accent5"/>
              </a:solidFill>
              <a:ln xmlns:a="http://schemas.openxmlformats.org/drawingml/2006/main">
                <a:noFill/>
                <a:prstDash val="solid"/>
              </a:ln>
              <a:sp3d xmlns:a="http://schemas.openxmlformats.org/drawingml/2006/main"/>
            </spPr>
          </dPt>
          <dPt>
            <idx val="5"/>
            <bubble3D val="0"/>
            <spPr>
              <a:solidFill xmlns:a="http://schemas.openxmlformats.org/drawingml/2006/main">
                <a:schemeClr val="accent6"/>
              </a:solidFill>
              <a:ln xmlns:a="http://schemas.openxmlformats.org/drawingml/2006/main">
                <a:noFill/>
                <a:prstDash val="solid"/>
              </a:ln>
              <a:sp3d xmlns:a="http://schemas.openxmlformats.org/drawingml/2006/main"/>
            </spPr>
          </dPt>
          <dPt>
            <idx val="6"/>
            <bubble3D val="0"/>
            <spPr>
              <a:solidFill xmlns:a="http://schemas.openxmlformats.org/drawingml/2006/main">
                <a:schemeClr val="accent1">
                  <a:lumMod val="60000"/>
                </a:schemeClr>
              </a:solidFill>
              <a:ln xmlns:a="http://schemas.openxmlformats.org/drawingml/2006/main">
                <a:noFill/>
                <a:prstDash val="solid"/>
              </a:ln>
              <a:sp3d xmlns:a="http://schemas.openxmlformats.org/drawingml/2006/main"/>
            </spPr>
          </dPt>
          <dPt>
            <idx val="7"/>
            <bubble3D val="0"/>
            <spPr>
              <a:solidFill xmlns:a="http://schemas.openxmlformats.org/drawingml/2006/main">
                <a:schemeClr val="accent2">
                  <a:lumMod val="60000"/>
                </a:schemeClr>
              </a:solidFill>
              <a:ln xmlns:a="http://schemas.openxmlformats.org/drawingml/2006/main">
                <a:noFill/>
                <a:prstDash val="solid"/>
              </a:ln>
              <a:sp3d xmlns:a="http://schemas.openxmlformats.org/drawingml/2006/main"/>
            </spPr>
          </dPt>
          <dPt>
            <idx val="8"/>
            <bubble3D val="0"/>
            <spPr>
              <a:solidFill xmlns:a="http://schemas.openxmlformats.org/drawingml/2006/main">
                <a:schemeClr val="accent3">
                  <a:lumMod val="60000"/>
                </a:schemeClr>
              </a:solidFill>
              <a:ln xmlns:a="http://schemas.openxmlformats.org/drawingml/2006/main">
                <a:noFill/>
                <a:prstDash val="solid"/>
              </a:ln>
              <a:sp3d xmlns:a="http://schemas.openxmlformats.org/drawingml/2006/main"/>
            </spPr>
          </dPt>
          <dPt>
            <idx val="9"/>
            <bubble3D val="0"/>
            <spPr>
              <a:solidFill xmlns:a="http://schemas.openxmlformats.org/drawingml/2006/main">
                <a:schemeClr val="accent4">
                  <a:lumMod val="60000"/>
                </a:schemeClr>
              </a:solidFill>
              <a:ln xmlns:a="http://schemas.openxmlformats.org/drawingml/2006/main">
                <a:noFill/>
                <a:prstDash val="solid"/>
              </a:ln>
              <a:sp3d xmlns:a="http://schemas.openxmlformats.org/drawingml/2006/main"/>
            </spPr>
          </dPt>
          <dPt>
            <idx val="10"/>
            <bubble3D val="0"/>
            <spPr>
              <a:solidFill xmlns:a="http://schemas.openxmlformats.org/drawingml/2006/main">
                <a:schemeClr val="accent5">
                  <a:lumMod val="60000"/>
                </a:schemeClr>
              </a:solidFill>
              <a:ln xmlns:a="http://schemas.openxmlformats.org/drawingml/2006/main">
                <a:noFill/>
                <a:prstDash val="solid"/>
              </a:ln>
              <a:sp3d xmlns:a="http://schemas.openxmlformats.org/drawingml/2006/main"/>
            </spPr>
          </dPt>
          <dPt>
            <idx val="11"/>
            <bubble3D val="0"/>
            <spPr>
              <a:solidFill xmlns:a="http://schemas.openxmlformats.org/drawingml/2006/main">
                <a:schemeClr val="accent6">
                  <a:lumMod val="60000"/>
                </a:schemeClr>
              </a:solidFill>
              <a:ln xmlns:a="http://schemas.openxmlformats.org/drawingml/2006/main">
                <a:noFill/>
                <a:prstDash val="solid"/>
              </a:ln>
              <a:sp3d xmlns:a="http://schemas.openxmlformats.org/drawingml/2006/mai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8"/>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9"/>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1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dLbl>
              <idx val="1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t>None</a:t>
                  </a:r>
                  <a:endParaRPr lang="en-US"/>
                </a:p>
              </txPr>
              <dLblPos val="bestFit"/>
              <showLegendKey val="0"/>
              <showVal val="1"/>
              <showCatName val="0"/>
              <showSerName val="0"/>
              <showPercent val="0"/>
              <showBubbleSize val="0"/>
            </dLbl>
            <spPr>
              <a:noFill xmlns:a="http://schemas.openxmlformats.org/drawingml/2006/main"/>
              <a:ln xmlns:a="http://schemas.openxmlformats.org/drawingml/2006/main">
                <a:noFill/>
                <a:prstDash val="solid"/>
              </a:ln>
            </spPr>
            <dLblPos val="bestFit"/>
            <showLegendKey val="0"/>
            <showVal val="1"/>
            <showCatName val="0"/>
            <showSerName val="0"/>
            <showPercent val="0"/>
            <showBubbleSize val="0"/>
            <showLeaderLines val="1"/>
          </dLbls>
          <val>
            <numRef>
              <f>RAPPORT!$H$27:$H$38</f>
              <numCache>
                <formatCode>0</formatCode>
                <ptCount val="12"/>
                <pt idx="0">
                  <v>0</v>
                </pt>
                <pt idx="1">
                  <v>0</v>
                </pt>
                <pt idx="2">
                  <v>0</v>
                </pt>
                <pt idx="3">
                  <v>0</v>
                </pt>
                <pt idx="4">
                  <v>0</v>
                </pt>
                <pt idx="5">
                  <v>0</v>
                </pt>
                <pt idx="6">
                  <v>0</v>
                </pt>
                <pt idx="7">
                  <v>0</v>
                </pt>
                <pt idx="8">
                  <v>0</v>
                </pt>
                <pt idx="9">
                  <v>0</v>
                </pt>
                <pt idx="10">
                  <v>0</v>
                </pt>
                <pt idx="11">
                  <v>0</v>
                </pt>
              </numCache>
            </numRef>
          </val>
        </ser>
        <dLbls>
          <dLblPos val="bestFit"/>
          <showLegendKey val="0"/>
          <showVal val="1"/>
          <showCatName val="0"/>
          <showSerName val="0"/>
          <showPercent val="0"/>
          <showBubbleSize val="0"/>
          <showLeaderLines val="1"/>
        </dLbls>
      </pie3D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10</col>
      <colOff>19526</colOff>
      <row>21</row>
      <rowOff>133385</rowOff>
    </from>
    <to>
      <col>15</col>
      <colOff>793072</colOff>
      <row>40</row>
      <rowOff>75080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inkoh Som Lyne Brischnelle" refreshedDate="46168.75280856482" createdVersion="8" refreshedVersion="8" minRefreshableVersion="3" recordCount="2456" r:id="rId1">
  <cacheSource type="worksheet">
    <worksheetSource ref="A1:X2457" sheet="daily break down"/>
  </cacheSource>
  <cacheFields count="57">
    <cacheField name="Nom du Physique" uniqueList="1" numFmtId="0" sqlType="0" hierarchy="0" level="0" databaseField="1">
      <sharedItems count="0"/>
    </cacheField>
    <cacheField name="Codesite" uniqueList="1" numFmtId="0" sqlType="0" hierarchy="0" level="0" databaseField="1">
      <sharedItems count="0"/>
    </cacheField>
    <cacheField name="CLUSTER" uniqueList="1" numFmtId="0" sqlType="0" hierarchy="0" level="0" databaseField="1">
      <sharedItems count="0" containsBlank="1"/>
    </cacheField>
    <cacheField name="Owner" uniqueList="1" numFmtId="0" sqlType="0" hierarchy="0" level="0" databaseField="1">
      <sharedItems count="0" containsBlank="1"/>
    </cacheField>
    <cacheField name="Topology" uniqueList="1" numFmtId="0" sqlType="0" hierarchy="0" level="0" databaseField="1">
      <sharedItems count="0" containsBlank="1"/>
    </cacheField>
    <cacheField name="Region" uniqueList="1" numFmtId="0" sqlType="0" hierarchy="0" level="0" databaseField="1">
      <sharedItems count="0"/>
    </cacheField>
    <cacheField name="Ville" uniqueList="1" numFmtId="0" sqlType="0" hierarchy="0" level="0" databaseField="1">
      <sharedItems count="0" containsBlank="1"/>
    </cacheField>
    <cacheField name="Equipementiers" uniqueList="1" numFmtId="0" sqlType="0" hierarchy="0" level="0" databaseField="1">
      <sharedItems count="0"/>
    </cacheField>
    <cacheField name="NUR 11/04/2026" uniqueList="1" numFmtId="2" sqlType="0" hierarchy="0" level="0" databaseField="1">
      <sharedItems count="0" containsNumber="1" containsSemiMixedTypes="0" containsString="0" minValue="0" maxValue="67.12814931812932"/>
    </cacheField>
    <cacheField name="NUR 12/04/2026" uniqueList="1" numFmtId="2" sqlType="0" hierarchy="0" level="0" databaseField="1">
      <sharedItems count="0" containsNumber="1" containsSemiMixedTypes="0" containsString="0" minValue="0" maxValue="60.09707989829727"/>
    </cacheField>
    <cacheField name="NUR 13/04/2026" uniqueList="1" numFmtId="2" sqlType="0" hierarchy="0" level="0" databaseField="1">
      <sharedItems count="0" containsNumber="1" containsSemiMixedTypes="0" containsString="0" minValue="0" maxValue="60.09707989829727"/>
    </cacheField>
    <cacheField name="NUR 14/04/2026" uniqueList="1" numFmtId="2" sqlType="0" hierarchy="0" level="0" databaseField="1">
      <sharedItems count="0" containsNumber="1" containsSemiMixedTypes="0" containsString="0" minValue="0" maxValue="52.20955218258553"/>
    </cacheField>
    <cacheField name="NUR 15/04/2026" uniqueList="1" numFmtId="2" sqlType="0" hierarchy="0" level="0" databaseField="1">
      <sharedItems count="0" containsNumber="1" containsSemiMixedTypes="0" containsString="0" minValue="0" maxValue="51.1269450936413"/>
    </cacheField>
    <cacheField name="NUR  16/04/2026" uniqueList="1" numFmtId="2" sqlType="0" hierarchy="0" level="0" databaseField="1">
      <sharedItems count="0" containsNumber="1" containsSemiMixedTypes="0" containsString="0" minValue="0" maxValue="50.85137529855922"/>
    </cacheField>
    <cacheField name="NUR 18/04/2026" uniqueList="1" numFmtId="2" sqlType="0" hierarchy="0" level="0" databaseField="1">
      <sharedItems count="0" containsNumber="1" containsSemiMixedTypes="0" containsString="0" minValue="0" maxValue="62.76914916688783"/>
    </cacheField>
    <cacheField name="NUR 19/04/2026" uniqueList="1" numFmtId="2" sqlType="0" hierarchy="0" level="0" databaseField="1">
      <sharedItems count="0" containsNumber="1" containsSemiMixedTypes="0" containsString="0" minValue="0" maxValue="61.36729417606216"/>
    </cacheField>
    <cacheField name="NUR 20/04/2026" uniqueList="1" numFmtId="2" sqlType="0" hierarchy="0" level="0" databaseField="1">
      <sharedItems count="0" containsNumber="1" containsSemiMixedTypes="0" containsString="0" minValue="0" maxValue="63.49102396178444"/>
    </cacheField>
    <cacheField name="NUR 21/04/2026" uniqueList="1" numFmtId="2" sqlType="0" hierarchy="0" level="0" databaseField="1">
      <sharedItems count="0" containsNumber="1" containsSemiMixedTypes="0" containsString="0" minValue="0" maxValue="46.76803411779143"/>
    </cacheField>
    <cacheField name="NUR 22/04/2026" uniqueList="1" numFmtId="2" sqlType="0" hierarchy="0" level="0" databaseField="1">
      <sharedItems count="0" containsNumber="1" containsSemiMixedTypes="0" containsString="0" minValue="0" maxValue="60.07202161326133"/>
    </cacheField>
    <cacheField name="NUR 23/04/2026" uniqueList="1" numFmtId="2" sqlType="0" hierarchy="0" level="0" databaseField="1">
      <sharedItems count="0" containsNumber="1" containsSemiMixedTypes="0" containsString="0" minValue="0" maxValue="63.55505189294388"/>
    </cacheField>
    <cacheField name="NUR  DU 25/04/2026" uniqueList="1" numFmtId="2" sqlType="0" hierarchy="0" level="0" databaseField="1">
      <sharedItems count="0" containsNumber="1" containsSemiMixedTypes="0" containsString="0" minValue="0" maxValue="49.76448779081878"/>
    </cacheField>
    <cacheField name="NUR  DU 26/04/2026" uniqueList="1" numFmtId="2" sqlType="0" hierarchy="0" level="0" databaseField="1">
      <sharedItems count="0" containsMixedTypes="1" containsNumber="1" minValue="0" maxValue="58.18168166240051"/>
    </cacheField>
    <cacheField name="NUR  DU 27/04/2026" uniqueList="1" numFmtId="2" sqlType="0" hierarchy="0" level="0" databaseField="1">
      <sharedItems count="0" containsNumber="1" containsSemiMixedTypes="0" containsString="0" minValue="0" maxValue="63.55505189294388"/>
    </cacheField>
    <cacheField name="NUR  DU 28/04/2026" uniqueList="1" numFmtId="2" sqlType="0" hierarchy="0" level="0" databaseField="1">
      <sharedItems count="0" containsNumber="1" containsSemiMixedTypes="0" containsString="0" minValue="0" maxValue="50.17658511042053"/>
    </cacheField>
    <cacheField name="NUR  DU 29/04/2026" uniqueList="1" numFmtId="2" sqlType="0" hierarchy="0" level="0" databaseField="1">
      <sharedItems count="0" containsNumber="1" containsSemiMixedTypes="0" containsString="0" minValue="0" maxValue="56.08147634497892"/>
    </cacheField>
    <cacheField name="NUR  DU 05/02/2026" uniqueList="1" numFmtId="2" sqlType="0" hierarchy="0" level="0" databaseField="1">
      <sharedItems count="0" containsNumber="1" containsSemiMixedTypes="0" containsString="0" minValue="0" maxValue="61.32308101691333"/>
    </cacheField>
    <cacheField name="NUR  DU 05/03/2026" uniqueList="1" numFmtId="2" sqlType="0" hierarchy="0" level="0" databaseField="1">
      <sharedItems count="0" containsNumber="1" containsSemiMixedTypes="0" containsString="0" minValue="0" maxValue="50.53569441234134"/>
    </cacheField>
    <cacheField name="NUR  DU 05/04/2026" uniqueList="1" numFmtId="2" sqlType="0" hierarchy="0" level="0" databaseField="1">
      <sharedItems count="0" containsNumber="1" containsSemiMixedTypes="0" containsString="0" minValue="0" maxValue="68.56679807552371"/>
    </cacheField>
    <cacheField name="NUR  DU 05/05/2026" uniqueList="1" numFmtId="2" sqlType="0" hierarchy="0" level="0" databaseField="1">
      <sharedItems count="0" containsBlank="1" containsNumber="1" containsString="0" minValue="0" maxValue="44.11613632277782"/>
    </cacheField>
    <cacheField name="NUR  DU 05/06/2026" uniqueList="1" numFmtId="2" sqlType="0" hierarchy="0" level="0" databaseField="1">
      <sharedItems count="0" containsNumber="1" containsSemiMixedTypes="0" containsString="0" minValue="0" maxValue="44.11613632277782"/>
    </cacheField>
    <cacheField name="NUR  DU 05/07/2026" uniqueList="1" numFmtId="2" sqlType="0" hierarchy="0" level="0" databaseField="1">
      <sharedItems count="0" containsNumber="1" containsSemiMixedTypes="0" containsString="0" minValue="0" maxValue="63.17898143154328"/>
    </cacheField>
    <cacheField name="NUR  DU 05/08/2026" uniqueList="1" numFmtId="2" sqlType="0" hierarchy="0" level="0" databaseField="1">
      <sharedItems count="0" containsMixedTypes="1" containsNumber="1" minValue="0" maxValue="53.65076919125767"/>
    </cacheField>
    <cacheField name="NUR  DU 05/9/2026" uniqueList="1" numFmtId="2" sqlType="0" hierarchy="0" level="0" databaseField="1">
      <sharedItems count="0" containsBlank="1" containsNonDate="0" containsString="0"/>
    </cacheField>
    <cacheField name="NUR  DU 05/10/2026" uniqueList="1" numFmtId="2" sqlType="0" hierarchy="0" level="0" databaseField="1">
      <sharedItems count="0" containsNumber="1" containsSemiMixedTypes="0" containsString="0" minValue="0" maxValue="68.48338341423324"/>
    </cacheField>
    <cacheField name="NUR  DU 05/11/2026" uniqueList="1" numFmtId="2" sqlType="0" hierarchy="0" level="0" databaseField="1">
      <sharedItems count="0" containsBlank="1" containsNonDate="0" containsString="0"/>
    </cacheField>
    <cacheField name="NUR  DU JOUR 05/12/2026" uniqueList="1" numFmtId="2" sqlType="0" hierarchy="0" level="0" databaseField="1">
      <sharedItems count="0" containsNumber="1" containsSemiMixedTypes="0" containsString="0" minValue="0" maxValue="51.90963750560018"/>
    </cacheField>
    <cacheField name="NUR 05/13/2026" uniqueList="1" numFmtId="2" sqlType="0" hierarchy="0" level="0" databaseField="1">
      <sharedItems count="0" containsBlank="1" containsNonDate="0" containsString="0"/>
    </cacheField>
    <cacheField name="NUR  DU 05/14/2026" uniqueList="1" numFmtId="2" sqlType="0" hierarchy="0" level="0" databaseField="1">
      <sharedItems count="0" containsNumber="1" containsSemiMixedTypes="0" containsString="0" minValue="0" maxValue="52.46282812977088"/>
    </cacheField>
    <cacheField name="NUR  DU 05/14/20262" uniqueList="1" numFmtId="2" sqlType="0" hierarchy="0" level="0" databaseField="1">
      <sharedItems count="0" containsBlank="1" containsNonDate="0" containsString="0"/>
    </cacheField>
    <cacheField name="NUR  DU 05/14/20263" uniqueList="1" numFmtId="2" sqlType="0" hierarchy="0" level="0" databaseField="1">
      <sharedItems count="0" containsBlank="1" containsNonDate="0" containsString="0"/>
    </cacheField>
    <cacheField name="NUR  DU JOUR 05/14/2026" uniqueList="1" numFmtId="2" sqlType="0" hierarchy="0" level="0" databaseField="1">
      <sharedItems count="0" containsNumber="1" containsSemiMixedTypes="0" containsString="0" minValue="0" maxValue="49.91514069736582"/>
    </cacheField>
    <cacheField name="NUR  DU JOUR 05/18/2026" uniqueList="1" numFmtId="2" sqlType="0" hierarchy="0" level="0" databaseField="1">
      <sharedItems count="0" containsNumber="1" containsSemiMixedTypes="0" containsString="0" minValue="0" maxValue="68.46219534119217"/>
    </cacheField>
    <cacheField name="NUR  DU JOUR 05/20/2026" uniqueList="1" numFmtId="2" sqlType="0" hierarchy="0" level="0" databaseField="1">
      <sharedItems count="0" containsNumber="1" containsSemiMixedTypes="0" containsString="0" minValue="0" maxValue="59.80297945684341"/>
    </cacheField>
    <cacheField name="NUR  DU JOUR 05/21/2026" uniqueList="1" numFmtId="2" sqlType="0" hierarchy="0" level="0" databaseField="1">
      <sharedItems count="0" containsNumber="1" containsSemiMixedTypes="0" containsString="0" minValue="0" maxValue="64.7222329232692"/>
    </cacheField>
    <cacheField name="NUR  DU JOUR 05/22/2026" uniqueList="1" numFmtId="2" sqlType="0" hierarchy="0" level="0" databaseField="1">
      <sharedItems count="0" containsBlank="1" containsNonDate="0" containsString="0"/>
    </cacheField>
    <cacheField name="NUR  DU JOUR 05/24/2026" uniqueList="1" numFmtId="2" sqlType="0" hierarchy="0" level="0" databaseField="1">
      <sharedItems count="0" containsNumber="1" containsSemiMixedTypes="0" containsString="0" minValue="0" maxValue="55.47422759842826"/>
    </cacheField>
    <cacheField name="NUR 2G" uniqueList="1" numFmtId="2" sqlType="0" hierarchy="0" level="0" databaseField="1">
      <sharedItems count="0" containsNumber="1" containsSemiMixedTypes="0" containsString="0" minValue="0" maxValue="64.74587245063127"/>
    </cacheField>
    <cacheField name="NUR 3G" uniqueList="1" numFmtId="2" sqlType="0" hierarchy="0" level="0" databaseField="1">
      <sharedItems count="0" containsNumber="1" containsSemiMixedTypes="0" containsString="0" minValue="0" maxValue="55.08124483613329"/>
    </cacheField>
    <cacheField name="NUR 4G" uniqueList="1" numFmtId="2" sqlType="0" hierarchy="0" level="0" databaseField="1">
      <sharedItems count="0" containsNumber="1" containsSemiMixedTypes="0" containsString="0" minValue="0" maxValue="88.63965059853308"/>
    </cacheField>
    <cacheField name="NUR  DU JOUR 05/25/2026" uniqueList="1" numFmtId="2" sqlType="0" hierarchy="0" level="0" databaseField="1">
      <sharedItems count="0" containsNumber="1" containsSemiMixedTypes="0" containsString="0" minValue="0" maxValue="59.798574192499"/>
    </cacheField>
    <cacheField name="oprationnel" uniqueList="1" numFmtId="2" sqlType="0" hierarchy="0" level="0" databaseField="1">
      <sharedItems count="3">
        <s v="Operationnel"/>
        <s v="Insecurity"/>
        <s v="EXCLU"/>
      </sharedItems>
    </cacheField>
    <cacheField name="Raison d'exclusion" uniqueList="1" numFmtId="2" sqlType="0" hierarchy="0" level="0" databaseField="1">
      <sharedItems count="0" containsBlank="1"/>
    </cacheField>
    <cacheField name="OCM NOMENCLATURE" uniqueList="1" numFmtId="0" sqlType="0" hierarchy="0" level="0" databaseField="1">
      <sharedItems count="19">
        <s v="AKTIVCO"/>
        <s v="IHS GRID ONLY"/>
        <s v="No root cause"/>
        <s v="AKTIVCO GRID ONLY"/>
        <s v="IHS"/>
        <s v="PDH"/>
        <s v="Partners"/>
        <s v="ENVTECH"/>
        <s v="SPARE-ISSUE"/>
        <s v="Exclu"/>
        <s v="TRAVAUX-HUAWEI"/>
        <s v="BSS"/>
        <s v="Fiber AOF"/>
        <s v="ACCESS-ISSUE"/>
        <s v="SAT"/>
        <s v="TRAVAUX OCM"/>
        <s v="SST &amp; DC" u="1"/>
        <s v="" u="1"/>
        <s v="TRAVAUX-NOKIA" u="1"/>
      </sharedItems>
    </cacheField>
    <cacheField name="CAUSE" uniqueList="1" numFmtId="0" sqlType="0" hierarchy="0" level="0" databaseField="1">
      <sharedItems count="12">
        <s v="POWER ISSUE"/>
        <s v="No root cause"/>
        <s v="TX ISSUE"/>
        <s v="ENVTECH"/>
        <s v="SPARE-ISSUE"/>
        <s v="Exclu"/>
        <s v="TRAVAUX-HUAWEI"/>
        <s v="RAN ISSUE"/>
        <s v="ACCESS-ISSUE"/>
        <s v="TRAVAUX OCM"/>
        <s v="" u="1"/>
        <s v="TRAVAUX -NOKIA" u="1"/>
      </sharedItems>
    </cacheField>
    <cacheField name="SUB RCA" uniqueList="1" numFmtId="0" sqlType="0" hierarchy="0" level="0" databaseField="1">
      <sharedItems count="0"/>
    </cacheField>
    <cacheField name="CATEGORIE" uniqueList="1" numFmtId="0" sqlType="0" hierarchy="0" level="0" databaseField="1">
      <sharedItems count="8">
        <s v="PASSIVE"/>
        <s v="No root cause"/>
        <s v="ACTIVE"/>
        <s v="SPARE-ISSUE"/>
        <s v="Exclu"/>
        <s v="PLANNED WORKS"/>
        <s v="ACCESS-ISSUE"/>
        <s v="" u="1"/>
      </sharedItems>
    </cacheField>
    <cacheField name="Verifications   05/24/2026" uniqueList="1" numFmtId="0" sqlType="0" hierarchy="0" level="0" databaseField="1">
      <sharedItems count="0" longText="1"/>
    </cacheField>
  </cacheFields>
</pivotCacheDefinition>
</file>

<file path=xl/pivotCache/pivotCacheRecords1.xml><?xml version="1.0" encoding="utf-8"?>
<pivotCacheRecords xmlns="http://schemas.openxmlformats.org/spreadsheetml/2006/main" count="2456">
  <r>
    <s v="Oyomabang-II"/>
    <s v="CTR_865"/>
    <s v="Yaounde"/>
    <s v="CAMUSAT"/>
    <s v="Good Grid + GE"/>
    <s v="CENTRE"/>
    <s v="Yaounde"/>
    <s v="ZTE"/>
    <n v="0"/>
    <n v="0"/>
    <n v="0"/>
    <n v="8.603124563040581"/>
    <n v="34.66440089831723"/>
    <n v="0"/>
    <n v="0"/>
    <n v="16.03004354612722"/>
    <n v="0"/>
    <n v="0"/>
    <n v="3.614332126255235"/>
    <n v="2.801462761783279"/>
    <n v="0"/>
    <n v="0"/>
    <n v="1.066573353536912"/>
    <n v="6.749400027965407"/>
    <n v="0"/>
    <n v="16.09403580713004"/>
    <n v="0"/>
    <n v="1.11130372995694"/>
    <n v="0.6753430755665132"/>
    <n v="0"/>
    <n v="8.875591054495439"/>
    <n v="3.124349019641417"/>
    <m/>
    <n v="0"/>
    <m/>
    <n v="0.8344319741576849"/>
    <m/>
    <n v="0"/>
    <m/>
    <m/>
    <n v="38.53026113408269"/>
    <n v="59.92227829570848"/>
    <n v="59.80297945684341"/>
    <n v="13.647045226905"/>
    <m/>
    <n v="13.64850770332703"/>
    <n v="30.76902709334995"/>
    <n v="27.34548988307136"/>
    <n v="88.63965059853308"/>
    <n v="59.798574192499"/>
    <x v="0"/>
    <m/>
    <x v="0"/>
    <x v="0"/>
    <s v="AKTIVCO Defaut GE &amp; Power Cabinet"/>
    <x v="0"/>
    <s v="{05-25-2026 ticket}: INC-20260525-00024929...2026-05-25 21:53:35...Transmission issue U=53V Load=51A evidences...Grid Outage...user:OCM_NOC.CAMUSAT"/>
  </r>
  <r>
    <s v="Mini-Ferme"/>
    <s v="CTR_050"/>
    <s v="Yaounde"/>
    <s v="IHS"/>
    <s v="GridOnly"/>
    <s v="CENTRE"/>
    <s v="Yaounde"/>
    <s v="ZTE"/>
    <n v="0"/>
    <n v="0"/>
    <n v="0"/>
    <n v="0"/>
    <n v="0"/>
    <n v="0"/>
    <n v="0"/>
    <n v="0"/>
    <n v="0.1449278464071597"/>
    <n v="0"/>
    <n v="0"/>
    <n v="0.03923717229827112"/>
    <n v="0.02809024834989817"/>
    <n v="0.5987235791149815"/>
    <n v="2.682520624484567"/>
    <n v="12.29550299201274"/>
    <n v="0"/>
    <n v="0"/>
    <n v="0"/>
    <n v="0"/>
    <n v="0.09716550667317349"/>
    <n v="0"/>
    <n v="0.61427576740775"/>
    <n v="0"/>
    <m/>
    <n v="0"/>
    <m/>
    <n v="1.090650709265395"/>
    <m/>
    <n v="0"/>
    <m/>
    <m/>
    <n v="3.510585475682941"/>
    <n v="5.525717469530551"/>
    <n v="8.273853347144819"/>
    <n v="35.03506733098766"/>
    <m/>
    <n v="36.76203796446112"/>
    <n v="30.25033571933863"/>
    <n v="27.24640951885512"/>
    <n v="82.11388653590647"/>
    <n v="56.28813139744257"/>
    <x v="0"/>
    <m/>
    <x v="1"/>
    <x v="0"/>
    <s v="Coupure ENEO &amp; Baisse de tension"/>
    <x v="0"/>
    <s v="{hourly IHS}: 25-05-2026 16:21:22 6:38:38 Grid outage, no space to deploy MDG, awaiting grid return      ;      (05/25/2026 cell zte): 23/05/2026 : Attente validation join visiste par IHS _x000a_22/05/2026 : Power issue || Mail sent to IHS || Feedback : No power issue at Mini ferme       ;      (05/25/2026 cell zte): 23/05/2026 : Attente validation join visiste par IHS _x000a_22/05/2026 : Power issue || Mail sent to IHS || Feedback : No power issue at Mini ferme       ;      (05/25/2026 cell zte): 23/05/2026 : Attente validation join visiste par IHS _x000a_22/05/2026 : Power issue || Mail sent to IHS || Feedback : No power issue at Mini ferme       ;      {05-25-2026 ocm ran 22H}: 25.05.26: IHS: Grid outage, no space to deploy MDG, awaiting grid return      ;      {05-25-2026 ocm ran 17H}: Power status check Ongoing      ;      {05-25-2026 ticket}: INC-20260525-00016222...2026-05-26 00:21:18...user:OCM_NOC.IHS"/>
  </r>
  <r>
    <s v="Missoke-Chefferie"/>
    <s v="LIT_732"/>
    <s v="Douala"/>
    <s v="CAMUSAT"/>
    <s v="Good Grid no GE - 8h"/>
    <s v="LITTORAL"/>
    <s v="Douala"/>
    <s v="ZTE"/>
    <n v="0"/>
    <n v="0"/>
    <n v="0"/>
    <n v="0.002051034006500622"/>
    <n v="0"/>
    <n v="0.2082245393555973"/>
    <n v="0.0661681405575389"/>
    <n v="0"/>
    <n v="0"/>
    <n v="0"/>
    <n v="0"/>
    <n v="0.908358373783291"/>
    <n v="0"/>
    <n v="0"/>
    <n v="0"/>
    <n v="0"/>
    <n v="0"/>
    <n v="0"/>
    <n v="0"/>
    <n v="0"/>
    <n v="0"/>
    <n v="38.22676160635557"/>
    <n v="4.522422973863761"/>
    <n v="3.916030311072304"/>
    <m/>
    <n v="0"/>
    <m/>
    <n v="22.68891271655352"/>
    <m/>
    <n v="47.99467729922694"/>
    <m/>
    <m/>
    <n v="0"/>
    <n v="0"/>
    <n v="0"/>
    <n v="0"/>
    <m/>
    <n v="21.01776587821351"/>
    <n v="24.0819924543082"/>
    <n v="20.51914498267661"/>
    <n v="70.9177944565924"/>
    <n v="47.31023833371857"/>
    <x v="0"/>
    <m/>
    <x v="2"/>
    <x v="1"/>
    <s v="no root cause"/>
    <x v="1"/>
    <s v=""/>
  </r>
  <r>
    <s v="Brazzaville-II"/>
    <s v="LIT_694"/>
    <s v="Douala"/>
    <s v="CAMUSAT"/>
    <s v="Good Grid no GE - 8h"/>
    <s v="LITTORAL"/>
    <s v="Douala"/>
    <s v="ZTE"/>
    <n v="0"/>
    <n v="0"/>
    <n v="0"/>
    <n v="0"/>
    <n v="0"/>
    <n v="0"/>
    <n v="0"/>
    <n v="4.824638375952037"/>
    <n v="0"/>
    <n v="0"/>
    <n v="0"/>
    <n v="0"/>
    <n v="0"/>
    <n v="0"/>
    <n v="0"/>
    <n v="0"/>
    <n v="0"/>
    <n v="0"/>
    <n v="0"/>
    <n v="0"/>
    <n v="0"/>
    <n v="11.36542149283885"/>
    <n v="0"/>
    <n v="0.4983655934229934"/>
    <m/>
    <n v="0"/>
    <m/>
    <n v="0"/>
    <m/>
    <n v="2.103540477066943"/>
    <m/>
    <m/>
    <n v="0"/>
    <n v="0"/>
    <n v="0"/>
    <n v="0"/>
    <m/>
    <n v="29.21000590697794"/>
    <n v="16.32797481305628"/>
    <n v="17.40541836245499"/>
    <n v="74.24206607174519"/>
    <n v="46.89122100372968"/>
    <x v="0"/>
    <m/>
    <x v="3"/>
    <x v="0"/>
    <s v="AKTIVCO Coupure ENEO &amp; Baisse de tension"/>
    <x v="0"/>
    <s v="(05/25/2026 cell zte): 25/05/2026 : Need BO RAN analysis      ;      (05/25/2026 cell zte): 25/05/2026 : Need BO RAN analysis      ;      {05-25-2026 ticket}: INC-20260525-00021207...Grid Outage"/>
  </r>
  <r>
    <s v="BATA-Mokolo"/>
    <s v="CTR_409"/>
    <s v="Yaounde"/>
    <s v="IHS"/>
    <s v="GridOnly"/>
    <s v="CENTRE"/>
    <s v="Yaounde"/>
    <s v="ZTE"/>
    <n v="0"/>
    <n v="0"/>
    <n v="0"/>
    <n v="0"/>
    <n v="0"/>
    <n v="0"/>
    <n v="0"/>
    <n v="0"/>
    <n v="0"/>
    <n v="0"/>
    <n v="0"/>
    <n v="0"/>
    <n v="16.3841411910408"/>
    <n v="37.42254225486755"/>
    <n v="12.75008346816652"/>
    <n v="49.14701954439222"/>
    <n v="17.51977196782266"/>
    <n v="30.37716910222494"/>
    <n v="28.93119012764208"/>
    <n v="30.96800957672365"/>
    <n v="0"/>
    <n v="0"/>
    <n v="0"/>
    <n v="0"/>
    <m/>
    <n v="0"/>
    <m/>
    <n v="0"/>
    <m/>
    <n v="0"/>
    <m/>
    <m/>
    <n v="0"/>
    <n v="0"/>
    <n v="1.150505232098575"/>
    <n v="0.0815598131454514"/>
    <m/>
    <n v="13.86855689960706"/>
    <n v="22.78270365974046"/>
    <n v="19.41996389118394"/>
    <n v="69.1747064791285"/>
    <n v="45.84669180699307"/>
    <x v="0"/>
    <m/>
    <x v="1"/>
    <x v="0"/>
    <s v="Coupure ENEO &amp; Baisse de tension"/>
    <x v="0"/>
    <s v="{hourly IHS}: 25-05-2026 19:39:19 3:20:41 Grid outage, no space to deploy MDG, awaiting grid return      ;      (05/25/2026 cell zte): 24/05/2026 : Feedback IHS : Grid outage , no space //  grid return_x000a_23/05/2026 : Power issue || Mail sent to IHS       ;      {05-25-2026 ocm ran 22H}: Power status check Ongoing      ;      {05-25-2026 ticket}: INC-20260525-00021319...2026-05-26 00:40:29...user:OCM_NOC.IHS"/>
  </r>
  <r>
    <s v="CNDH"/>
    <s v="CTR_046"/>
    <s v="Yaounde"/>
    <s v="CAMUSAT"/>
    <s v="Grid-Gen"/>
    <s v="CENTRE"/>
    <s v="Yaounde"/>
    <s v="ZTE"/>
    <n v="4.356093033475728"/>
    <n v="0"/>
    <n v="1.337238502081711"/>
    <n v="1.849961333550209"/>
    <n v="36.83610704471324"/>
    <n v="20.37734388599247"/>
    <n v="1.276492225332661"/>
    <n v="3.817759029543451"/>
    <n v="1.919714324849544"/>
    <n v="0"/>
    <n v="2.558566830178662"/>
    <n v="0"/>
    <n v="49.76448779081878"/>
    <n v="32.89915618677465"/>
    <n v="1.38209372404996"/>
    <n v="4.439008312573301"/>
    <n v="0"/>
    <n v="0"/>
    <n v="0"/>
    <n v="0.004833306224014304"/>
    <n v="6.156579859773481"/>
    <n v="1.187620030077078"/>
    <n v="0"/>
    <n v="23.53272594190616"/>
    <m/>
    <n v="0.5151484021196606"/>
    <m/>
    <n v="40.63317738340852"/>
    <m/>
    <n v="0"/>
    <m/>
    <m/>
    <n v="0.7105316850867356"/>
    <n v="0"/>
    <n v="3.905471944708405"/>
    <n v="4.642328205391618"/>
    <m/>
    <n v="8.497433888931692"/>
    <n v="21.81214005091743"/>
    <n v="18.61042684564671"/>
    <n v="64.85051995438499"/>
    <n v="43.18131069277153"/>
    <x v="0"/>
    <m/>
    <x v="0"/>
    <x v="0"/>
    <s v="AKTIVCO Defaut GE &amp; Power Cabinet"/>
    <x v="0"/>
    <s v="{05-25-2026 ocm ran 17H}: Power status check Ongoing      ;      {05-25-2026 ticket}: INC-20260525-00016363...Grid Outage"/>
  </r>
  <r>
    <s v="Emana-Bilick-IHS"/>
    <s v="CTR_160"/>
    <s v="Yaounde"/>
    <s v="IHS"/>
    <s v="Grid-Gen"/>
    <s v="CENTRE"/>
    <s v="Yaounde"/>
    <s v="ZTE"/>
    <n v="4.363851292543796"/>
    <n v="13.93490339094777"/>
    <n v="0"/>
    <n v="0"/>
    <n v="0"/>
    <n v="0"/>
    <n v="0"/>
    <n v="0"/>
    <n v="0"/>
    <n v="0"/>
    <n v="5.22430464596656"/>
    <n v="0"/>
    <n v="9.725307690771132"/>
    <n v="3.441510217359665"/>
    <n v="35.55886574609126"/>
    <n v="13.86855689960706"/>
    <n v="28.43162958397183"/>
    <n v="0"/>
    <n v="0"/>
    <n v="0"/>
    <n v="0"/>
    <n v="0"/>
    <n v="0"/>
    <n v="0.1317477235306041"/>
    <m/>
    <n v="9.1611841635919"/>
    <m/>
    <n v="0"/>
    <m/>
    <n v="7.947417908701518"/>
    <m/>
    <m/>
    <n v="0"/>
    <n v="3.602132932686133"/>
    <n v="0"/>
    <n v="0"/>
    <m/>
    <n v="27.93733038840521"/>
    <n v="26.65521623922401"/>
    <n v="22.67644061255784"/>
    <n v="58.44278121422646"/>
    <n v="41.89634680523809"/>
    <x v="0"/>
    <m/>
    <x v="4"/>
    <x v="0"/>
    <s v="Defaut GE &amp; Power Cabinet"/>
    <x v="0"/>
    <s v="{05-25-2026 ocm ran 17H}: 25.05.26: Besoin d'un FME sur site pour vérifier le statut du MPR; CM-20260525-00005600; FME Totat activé pour investigations, update ASAP_x000a_24/05/2026 IHS: Grid outage, site down because site behaves as Grid only site (Gen Noise)"/>
  </r>
  <r>
    <s v="Koweit-City"/>
    <s v="CTR_258"/>
    <s v="Yaounde"/>
    <s v="CAMUSAT"/>
    <s v="Good Grid + GE"/>
    <s v="CENTRE"/>
    <s v="Yaounde"/>
    <s v="ZTE"/>
    <n v="3.509087329104279"/>
    <n v="1.380970114115964"/>
    <n v="6.266336931738732"/>
    <n v="5.641413622575499"/>
    <n v="22.08460675792519"/>
    <n v="17.86423867044485"/>
    <n v="12.38248466896668"/>
    <n v="12.04666797932843"/>
    <n v="33.36616771251565"/>
    <n v="33.62490119366613"/>
    <n v="22.24801174546917"/>
    <n v="0"/>
    <n v="0"/>
    <n v="0"/>
    <n v="0"/>
    <n v="21.69733586734126"/>
    <n v="27.60169204955013"/>
    <n v="4.200036098198514"/>
    <n v="25.94502729480386"/>
    <n v="34.71847685577557"/>
    <n v="13.86855689960706"/>
    <n v="44.11613632277782"/>
    <n v="35.03273093572808"/>
    <n v="30.58007878824197"/>
    <m/>
    <n v="13.30607419963303"/>
    <m/>
    <n v="27.82819754418105"/>
    <m/>
    <n v="33.43183647088031"/>
    <m/>
    <m/>
    <n v="23.60092728139188"/>
    <n v="30.20402616191968"/>
    <n v="19.28822699346237"/>
    <n v="38.20566270870609"/>
    <m/>
    <n v="27.26369948035717"/>
    <n v="14.58605605713623"/>
    <n v="16.02620906732492"/>
    <n v="53.34036628821955"/>
    <n v="35.27946140917094"/>
    <x v="0"/>
    <m/>
    <x v="5"/>
    <x v="2"/>
    <s v="IP &amp; VLAN"/>
    <x v="2"/>
    <s v="{05-25-2026 goupe whatsapp incident}:    impacted by    CTR_007_Z_Messamendongo(CTR-007)  ,Cause: Boucle etherneet  ,Action: Desactivation de la bouclee      ;      (05/25/2026 cell zte): 19/05/2026 : En attente du feedback de Camusat _x000a_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05/25/2026 cell zte): 19/05/2026 : En attente du feedback de Camusat _x000a_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05/25/2026 cell zte): 19/05/2026 : En attente du feedback de Camusat _x000a_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05-25-2026 ticket}: INC-20260525-00024909...Others"/>
  </r>
  <r>
    <s v="Ebom-Maetur"/>
    <s v="CTR_596"/>
    <s v="Yaounde"/>
    <s v="CAMUSAT"/>
    <s v="Good Grid no GE - 8h"/>
    <s v="CENTRE"/>
    <s v="Yaounde"/>
    <s v="ZTE"/>
    <n v="0"/>
    <n v="0"/>
    <n v="0.1406474276109836"/>
    <n v="0"/>
    <n v="0.6198759819994126"/>
    <n v="0.04533676908282076"/>
    <n v="36.46228380318064"/>
    <n v="1.447352275613311"/>
    <n v="1.287621314202714"/>
    <n v="0"/>
    <n v="1.287157602166463"/>
    <n v="0"/>
    <n v="1.890643147192188"/>
    <n v="0"/>
    <n v="0"/>
    <n v="2.540071853963525"/>
    <n v="0.1778692360593895"/>
    <n v="0.3375823623916699"/>
    <n v="0.6750220441568016"/>
    <n v="0"/>
    <n v="0.02885715671754672"/>
    <n v="0.3714690111947219"/>
    <n v="0"/>
    <n v="0"/>
    <m/>
    <n v="0.16622292991813"/>
    <m/>
    <n v="0.3445737130920887"/>
    <m/>
    <n v="0.1221881215524791"/>
    <m/>
    <m/>
    <n v="0.4043747306903178"/>
    <n v="0"/>
    <n v="0"/>
    <n v="10.85861990737174"/>
    <m/>
    <n v="34.1509289935594"/>
    <n v="22.95818195988154"/>
    <n v="26.5164555218948"/>
    <n v="43.34733905053331"/>
    <n v="34.78544757485739"/>
    <x v="0"/>
    <m/>
    <x v="3"/>
    <x v="0"/>
    <s v="AKTIVCO Coupure ENEO &amp; Baisse de tension"/>
    <x v="0"/>
    <s v="{05-25-2026 BOTX}: Power issue on site"/>
  </r>
  <r>
    <s v="Kumba-Bonakama2"/>
    <s v="SUO_231"/>
    <s v="SUD-OUEST"/>
    <s v="IHS"/>
    <s v="Hybrid-Gen"/>
    <s v="SUD-OUEST"/>
    <s v="Kumba"/>
    <s v="Huawei"/>
    <n v="0"/>
    <n v="0.000802578524282816"/>
    <n v="0"/>
    <n v="8.460336926031509"/>
    <n v="0.0005350523495218772"/>
    <n v="0.01013032448428088"/>
    <n v="0.001872683223326571"/>
    <n v="0.04695976120970342"/>
    <n v="4.36902346525584"/>
    <n v="0.004815471145696895"/>
    <n v="0.0002675261747609386"/>
    <n v="0.1809725396866163"/>
    <n v="3.421713280427357"/>
    <n v="0.009880633387837333"/>
    <n v="0.0008025785242828158"/>
    <n v="0.0002675261747609386"/>
    <n v="0.05325554385574417"/>
    <n v="0.004619285284205539"/>
    <n v="0.000802578524282816"/>
    <n v="0.001605157048565632"/>
    <n v="0.02678828763272866"/>
    <n v="0.002140209398087509"/>
    <n v="0.009809293074567748"/>
    <n v="2.807241327158116"/>
    <m/>
    <n v="0.06866505152197425"/>
    <m/>
    <n v="0.004280418796175018"/>
    <m/>
    <n v="0.0005350523495218772"/>
    <m/>
    <m/>
    <n v="2.011350957244324"/>
    <n v="0.1535600243127788"/>
    <n v="1.154892661364654"/>
    <n v="0.7211435566855858"/>
    <m/>
    <n v="10.53473488512783"/>
    <n v="22.36442833790951"/>
    <n v="38.09398279901126"/>
    <n v="35.63485790175258"/>
    <n v="34.56539837857736"/>
    <x v="0"/>
    <m/>
    <x v="4"/>
    <x v="0"/>
    <s v="Defaut GE &amp; Power Cabinet"/>
    <x v="0"/>
    <s v="{hourly IHS}: 25/05/2026 18:00 4:25:01 Fme is managing with level 0      ;      (05/25/2026 cell huawei): 25/05/2026 : Besoin d'analyse BO RAN"/>
  </r>
  <r>
    <s v="EST_200_Z_Batouri-Qtier-Admin-MTN-IHS"/>
    <s v="EST_200"/>
    <s v="CENTRE"/>
    <s v="IHS"/>
    <s v=""/>
    <s v="EST"/>
    <s v="Batouri"/>
    <s v="ZTE"/>
    <n v="0"/>
    <n v="0"/>
    <n v="0"/>
    <n v="0"/>
    <n v="0"/>
    <n v="0"/>
    <n v="0"/>
    <n v="0"/>
    <n v="0"/>
    <n v="1.831644708118243"/>
    <n v="0"/>
    <n v="0"/>
    <n v="0"/>
    <n v="0"/>
    <n v="0"/>
    <n v="0"/>
    <n v="0"/>
    <n v="0"/>
    <n v="0"/>
    <n v="0.4215320760316518"/>
    <n v="0"/>
    <n v="0.9083048685483387"/>
    <n v="0"/>
    <n v="0"/>
    <m/>
    <n v="0"/>
    <m/>
    <n v="0"/>
    <m/>
    <n v="0"/>
    <m/>
    <m/>
    <n v="0"/>
    <n v="4.712758929667012"/>
    <n v="0"/>
    <n v="21.50634001364027"/>
    <m/>
    <n v="24.70367017375647"/>
    <n v="19.9539435032313"/>
    <n v="33.95911747605495"/>
    <n v="38.78316884344897"/>
    <n v="34.47486752103826"/>
    <x v="0"/>
    <m/>
    <x v="4"/>
    <x v="0"/>
    <s v="Defaut GE &amp; Power Cabinet"/>
    <x v="0"/>
    <s v="{hourly IHS}: 25-05-2026 09:17:09 13:42:51 FME isinformed and managing ETA ASAP      ;      {05-25-2026 ocm ran 22H}: 25.05.26: IHS: 44 : Fme is informed and managing      ;      {05-25-2026 ocm ran 17H}: 25.05.26: IHS: 44 : Fme is informed and managing"/>
  </r>
  <r>
    <s v="Logpom-Akanji-Immeuble"/>
    <s v="LIT_618"/>
    <s v="Douala"/>
    <s v="CAMUSAT"/>
    <s v="Good Grid no GE - 8h"/>
    <s v="LITTORAL"/>
    <s v="Douala"/>
    <s v="ZTE"/>
    <n v="33.80546352655143"/>
    <n v="13.86855689960706"/>
    <n v="26.73027012296217"/>
    <n v="22.34967169187833"/>
    <n v="13.86855689960706"/>
    <n v="13.86855689960706"/>
    <n v="59.03373469393578"/>
    <n v="28.94790159602549"/>
    <n v="9.975997551600447"/>
    <n v="13.86855689960706"/>
    <n v="13.86855689960706"/>
    <n v="0.0008917539158697954"/>
    <n v="0"/>
    <n v="0"/>
    <n v="0"/>
    <n v="1.382842797339294"/>
    <n v="0"/>
    <n v="13.53047515502249"/>
    <n v="23.86199715780193"/>
    <n v="0"/>
    <n v="2.916160150442453"/>
    <n v="38.27869735441585"/>
    <n v="0"/>
    <n v="0"/>
    <m/>
    <n v="31.80574104037005"/>
    <m/>
    <n v="49.05548992246735"/>
    <m/>
    <n v="28.82175408708656"/>
    <m/>
    <m/>
    <n v="8.389192798623419"/>
    <n v="5.77647867067314"/>
    <n v="10.89232820539162"/>
    <n v="9.698644248686625"/>
    <m/>
    <n v="22.85040935071754"/>
    <n v="9.002349036205732"/>
    <n v="11.30727429439905"/>
    <n v="55.03964364902696"/>
    <n v="33.78406143257056"/>
    <x v="0"/>
    <m/>
    <x v="3"/>
    <x v="0"/>
    <s v="AKTIVCO Coupure ENEO &amp; Baisse de tension"/>
    <x v="0"/>
    <s v="(05/25/2026 cell zte): 25/05/2026 : Need BO RAN analysis      ;      (05/25/2026 cell zte): 25/05/2026 : Need BO RAN analysis      ;      {05-25-2026 ticket}: INC-20260525-00021012...Grid Outage"/>
  </r>
  <r>
    <s v="Foumbot-Centre-Ville"/>
    <s v="OST_125"/>
    <s v="OUEST"/>
    <s v="IHS"/>
    <s v="Grid-Gen"/>
    <s v="OUEST"/>
    <s v="Foumbot"/>
    <s v="Huawei"/>
    <n v="2.721454600451441"/>
    <n v="1.971132855638596"/>
    <n v="0.002586086356022406"/>
    <n v="12.90335813122623"/>
    <n v="0"/>
    <n v="4.082984479201444"/>
    <n v="0"/>
    <n v="0"/>
    <n v="0"/>
    <n v="0"/>
    <n v="1.968814295457334"/>
    <n v="0"/>
    <n v="0"/>
    <n v="0"/>
    <n v="0"/>
    <n v="0.5293451244603106"/>
    <n v="0"/>
    <n v="4.190333815593852"/>
    <n v="0"/>
    <n v="0"/>
    <n v="0"/>
    <n v="0"/>
    <n v="0.7030587872717468"/>
    <n v="0"/>
    <m/>
    <n v="0"/>
    <m/>
    <n v="0"/>
    <m/>
    <n v="0.2016433954564781"/>
    <m/>
    <m/>
    <n v="0"/>
    <n v="0.6557958297306474"/>
    <n v="1.61024004588609"/>
    <n v="20.98172118493407"/>
    <m/>
    <n v="27.68895908775715"/>
    <n v="19.2607729937772"/>
    <n v="16.18085943742329"/>
    <n v="45.93394385017958"/>
    <n v="32.13656390807942"/>
    <x v="0"/>
    <m/>
    <x v="4"/>
    <x v="0"/>
    <s v="Defaut GE &amp; Power Cabinet"/>
    <x v="0"/>
    <s v="{05-25-2026 groupe whatsapp incident}:    impacted by OST_005_H_Foumbot ,Cause: Probleme energie    Action: RCA attendu de IHS      ;      (05/25/2026 cell huawei): 25/05/2026 : Besoin d'analyse BO RAN || AOF coupe entre foumbot et foumbot centre ville || CDS active || Resolution planifiee pour ce jour  || Up apres restauration de la fibre et reroutage de trafique sur cette derniere"/>
  </r>
  <r>
    <s v="MOLYKO-CHIEF-STREET-MTN"/>
    <s v="SUO_228"/>
    <s v="SUD-OUEST"/>
    <s v="MTN sharing"/>
    <m/>
    <s v="SUD-OUEST"/>
    <s v="Buea"/>
    <s v="Huawei"/>
    <n v="0.3428793806519363"/>
    <n v="0.7505000955960198"/>
    <n v="0"/>
    <n v="0"/>
    <n v="0"/>
    <n v="0"/>
    <n v="0"/>
    <n v="0"/>
    <n v="0.007223206718545342"/>
    <n v="4.467972479760753"/>
    <n v="0"/>
    <n v="0"/>
    <n v="0.007562073206575864"/>
    <n v="0.2717174181655266"/>
    <n v="0"/>
    <n v="0.1993605054318515"/>
    <n v="1.812900040806659"/>
    <n v="0"/>
    <n v="0"/>
    <n v="0"/>
    <n v="0"/>
    <n v="0"/>
    <n v="0"/>
    <n v="0"/>
    <m/>
    <n v="0"/>
    <m/>
    <n v="0"/>
    <m/>
    <n v="16.41326587393311"/>
    <m/>
    <m/>
    <n v="32.35996609908314"/>
    <n v="32.34239854694051"/>
    <n v="27.3376615501394"/>
    <n v="31.66366680649368"/>
    <m/>
    <n v="32.39836502270048"/>
    <n v="32.37293622531563"/>
    <n v="19.40615107901439"/>
    <n v="40.05695995771197"/>
    <n v="32.02696735181903"/>
    <x v="0"/>
    <m/>
    <x v="6"/>
    <x v="0"/>
    <s v="Sharing"/>
    <x v="0"/>
    <s v="(05/25/2026 cell huawei): 23/05/2026 : RI recu et envoye a MTN_x000a_22/05/2026 : Le Fme etait sur site hier et a constate que le generateur est overload ne pouvant pas suporter le power sur site || RI attentu_x000a_19/05/2026 : Lockdown le fme se rendra sur site samedi_x000a_18/05/2026 : RI en cours de redaction_x000a_17/05/2026: Probable disjonction  des breakers || Fme active || Feedback Fme : Grid outage || Gen overload      ;      (05/25/2026 cell huawei): 25/05/2026 : Relance faite a MTN_x000a_23/05/2026 : RI recu et envoye a MTN_x000a_22/05/2026 : Le Fme etait sur site hier et a constate que le generateur est overload ne pouvant pas suporter le power sur site || RI attentu_x000a_19/05/2026 : Lockdown le fme se rendra sur site samedi_x000a_18/05/2026 : RI en cours de redaction_x000a_17/05/2026: Probable disjonction  des breakers || Fme active || Feedback Fme : Grid outage || Gen overload      ;      (05/25/2026 cell huawei): 25/05/2026 : Relance faite a MTN_x000a_23/05/2026 : RI recu et envoye a MTN_x000a_22/05/2026 : Le Fme etait sur site hier et a constate que le generateur est overload ne pouvant pas suporter le power sur site || RI attentu_x000a_19/05/2026 : Lockdown le fme se rendra sur site samedi_x000a_18/05/2026 : RI en cours de redaction_x000a_17/05/2026: Probable disjonction  des breakers || Fme active || Feedback Fme : Grid outage || Gen overload"/>
  </r>
  <r>
    <s v="Sky-Way-Hotel-IHS"/>
    <s v="LIT_141"/>
    <s v="Douala"/>
    <s v="IHS"/>
    <s v="Grid-Gen-Lithium"/>
    <s v="LITTORAL"/>
    <s v="Douala"/>
    <s v="ZTE"/>
    <n v="0"/>
    <n v="0"/>
    <n v="0"/>
    <n v="0"/>
    <n v="0"/>
    <n v="0"/>
    <n v="0"/>
    <n v="0"/>
    <n v="0"/>
    <n v="0"/>
    <n v="0"/>
    <n v="0"/>
    <n v="0"/>
    <n v="0"/>
    <n v="13.21429488661171"/>
    <n v="0"/>
    <n v="0"/>
    <n v="0.6326458980746681"/>
    <n v="1.624811304871401"/>
    <n v="1.144637491332152"/>
    <n v="0"/>
    <n v="3.275982855495915"/>
    <n v="2.211603216592045"/>
    <n v="4.459197621228594"/>
    <m/>
    <n v="0.117247804858561"/>
    <m/>
    <n v="0.2288418898905063"/>
    <m/>
    <n v="0.9879028230788768"/>
    <m/>
    <m/>
    <n v="24.79363030878941"/>
    <n v="35.66623291756198"/>
    <n v="0"/>
    <n v="0"/>
    <m/>
    <n v="0"/>
    <n v="14.83834514346007"/>
    <n v="12.62639785659156"/>
    <n v="49.0488752744234"/>
    <n v="31.93616896810517"/>
    <x v="0"/>
    <m/>
    <x v="5"/>
    <x v="2"/>
    <s v="ODU HS"/>
    <x v="2"/>
    <s v="{05-25-2026 ocm ran 22H}: 25.05.26: Besoin d'un FME sur site pour vérifier la chaine antennaire de l'ODU 4.1; PLM-20260525-00000662: FME Njoya activated to check, update ASAP      ;      {05-25-2026 ocm ran 17H}: 25.05.26: BO TRANS analysis ongoing      ;      {05-25-2026 ticket}: INC-20260525-00012310...2026-05-25 21:15:33...25.05.26: Besoin d'un FME sur site pour vérifier la chaine antennaire de l'ODU 4.1; PLM-20260525-00000662: FME Njoya activated to check, update ASAP...problème d énergie ...user:ndzie mbene lionnel"/>
  </r>
  <r>
    <s v="CTR_934_Z_Nkolbisson-II-MTN"/>
    <s v="CTR_934"/>
    <s v="Yaounde"/>
    <s v="ESCO"/>
    <s v="Hybrid Solar - S1"/>
    <s v="CTR"/>
    <s v="Yaoundé"/>
    <s v="ZTE"/>
    <n v="0"/>
    <n v="0"/>
    <n v="0"/>
    <n v="0"/>
    <n v="0"/>
    <n v="0"/>
    <n v="0"/>
    <n v="0"/>
    <n v="6.185454851569347"/>
    <n v="0"/>
    <n v="0"/>
    <n v="9.245704599738039"/>
    <n v="0"/>
    <n v="0"/>
    <n v="0"/>
    <n v="0"/>
    <n v="0"/>
    <n v="0"/>
    <n v="0"/>
    <n v="0"/>
    <n v="5.237948480879368"/>
    <n v="0"/>
    <n v="0.4329643612331025"/>
    <n v="0"/>
    <m/>
    <n v="0"/>
    <m/>
    <n v="0"/>
    <m/>
    <n v="0"/>
    <m/>
    <m/>
    <n v="0"/>
    <n v="0"/>
    <n v="37.50873918837552"/>
    <n v="37.08822371180796"/>
    <m/>
    <n v="18.45775440669114"/>
    <n v="18.11573024951141"/>
    <n v="15.55280149331375"/>
    <n v="45.82662322951755"/>
    <n v="31.7062391384373"/>
    <x v="0"/>
    <m/>
    <x v="0"/>
    <x v="0"/>
    <s v="AKTIVCO Defaut GE &amp; Power Cabinet"/>
    <x v="0"/>
    <s v="{05-25-2026 ocm ran 22H}: 25.05.26: Power alarms; Camusat feedack awaiting      ;      {05-25-2026 ocm ran 17H}: Power status check Ongoing"/>
  </r>
  <r>
    <s v="Ngodi-Akwa"/>
    <s v="LIT_460"/>
    <s v="Douala"/>
    <s v="IHS"/>
    <s v="GridOnly"/>
    <s v="LITTORAL"/>
    <s v="Douala"/>
    <s v="ZTE"/>
    <n v="0"/>
    <n v="0"/>
    <n v="0"/>
    <n v="0"/>
    <n v="0"/>
    <n v="0.1242034854023456"/>
    <n v="0.1906391521346444"/>
    <n v="0"/>
    <n v="0.1233474016431104"/>
    <n v="0.5083354022024185"/>
    <n v="0"/>
    <n v="0.0002853612530782729"/>
    <n v="0"/>
    <n v="0"/>
    <n v="0.2449648006894332"/>
    <n v="0.0623335987192986"/>
    <n v="0"/>
    <n v="0"/>
    <n v="0"/>
    <n v="0"/>
    <n v="0.6960852716496447"/>
    <n v="0.06112081339371586"/>
    <n v="0"/>
    <n v="0.2112208325129198"/>
    <m/>
    <n v="0"/>
    <m/>
    <n v="0"/>
    <m/>
    <n v="0"/>
    <m/>
    <m/>
    <n v="0"/>
    <n v="0"/>
    <n v="0"/>
    <n v="0"/>
    <m/>
    <n v="6.443492764665427"/>
    <n v="27.42232493635321"/>
    <n v="23.43672967009054"/>
    <n v="37.85976006146208"/>
    <n v="31.52731763275718"/>
    <x v="0"/>
    <m/>
    <x v="1"/>
    <x v="0"/>
    <s v="Coupure ENEO &amp; Baisse de tension"/>
    <x v="0"/>
    <s v="{hourly IHS}: 25-05-2026 19:37:56 3:22:04 Grid outage, no space to deploy MDG, awaiting grid return      ;      {05-25-2026 ocm ran 17H}: 25.05.26: IHS: 2 V : Grid outage, no space to deploy MDG, awaiting grid return      ;      {05-25-2026 ticket}: INC-20260525-00021268...Grid Outage"/>
  </r>
  <r>
    <s v="PK13-Sitabac-New"/>
    <s v="LIT_667"/>
    <s v="Douala"/>
    <s v="CAMUSAT"/>
    <s v="Medium Grid + GE"/>
    <s v="LITTORAL"/>
    <s v="Douala"/>
    <s v="ZTE"/>
    <n v="0"/>
    <n v="0"/>
    <n v="0"/>
    <n v="0"/>
    <n v="0"/>
    <n v="0"/>
    <n v="0"/>
    <n v="0"/>
    <n v="0"/>
    <n v="0"/>
    <n v="0"/>
    <n v="0"/>
    <n v="18.70776653454441"/>
    <n v="0"/>
    <n v="0"/>
    <n v="0"/>
    <n v="2.969629715238006"/>
    <n v="0"/>
    <n v="0"/>
    <n v="20.06924290805945"/>
    <n v="0.1313910219642556"/>
    <n v="25.79795923899861"/>
    <n v="12.71548341623078"/>
    <n v="16.5021380691887"/>
    <m/>
    <n v="20.53882268507817"/>
    <m/>
    <n v="0"/>
    <m/>
    <n v="0"/>
    <m/>
    <m/>
    <n v="0"/>
    <n v="5.71703435464126"/>
    <n v="0"/>
    <n v="15.17231895968701"/>
    <m/>
    <n v="0"/>
    <n v="13.31324512707377"/>
    <n v="11.43143022532309"/>
    <n v="44.32362153537028"/>
    <n v="28.85305464953359"/>
    <x v="0"/>
    <m/>
    <x v="0"/>
    <x v="0"/>
    <s v="AKTIVCO Defaut GE &amp; Power Cabinet"/>
    <x v="0"/>
    <s v="{05-25-2026 ocm ran 17H}: 25.05.26: Camusat: investigations ongoing / FME is trying to get level0      ;      {05-25-2026 ticket}: INC-20260525-00009816...2026-05-25 10:29:56...investigations ongoing / FME is trying to get level0...Grid Outage...user:OCM_NOC.CAMUSAT"/>
  </r>
  <r>
    <s v="Makepe-Nodal"/>
    <s v="LIT_103"/>
    <s v="Douala"/>
    <s v="OCM/Strategique"/>
    <m/>
    <s v="LITTORAL"/>
    <s v="Douala"/>
    <s v="ZTE"/>
    <n v="0"/>
    <n v="0"/>
    <n v="0"/>
    <n v="0.7941782023953224"/>
    <n v="0"/>
    <n v="0"/>
    <n v="0"/>
    <n v="0"/>
    <n v="0"/>
    <n v="0"/>
    <n v="0"/>
    <n v="0"/>
    <n v="0.969051145297389"/>
    <n v="0"/>
    <n v="22.30140996995145"/>
    <n v="37.18348086510118"/>
    <n v="0"/>
    <n v="0"/>
    <n v="0"/>
    <n v="0"/>
    <n v="1.432317304591748"/>
    <n v="0"/>
    <n v="0"/>
    <n v="0"/>
    <m/>
    <n v="0"/>
    <m/>
    <n v="0"/>
    <m/>
    <n v="4.057801348617282"/>
    <m/>
    <m/>
    <n v="0"/>
    <n v="0"/>
    <n v="0"/>
    <n v="0"/>
    <m/>
    <n v="55.47422759842826"/>
    <n v="0"/>
    <n v="0"/>
    <n v="54.85287567278879"/>
    <n v="28.60514706092177"/>
    <x v="0"/>
    <m/>
    <x v="7"/>
    <x v="3"/>
    <s v="Sites strategiques, MLL, Pylone, etc."/>
    <x v="0"/>
    <s v="{05-25-2026 BO-RAN}:Pooling 4G"/>
  </r>
  <r>
    <s v="Mbalgong-Carrefour"/>
    <s v="CTR_831"/>
    <s v="Yaounde"/>
    <s v="CAMUSAT"/>
    <s v="Good Grid no GE - 8h"/>
    <s v="CENTRE"/>
    <s v="Yaounde"/>
    <s v="ZTE"/>
    <n v="0"/>
    <n v="0"/>
    <n v="14.99569817910984"/>
    <n v="0"/>
    <n v="0"/>
    <n v="0"/>
    <n v="0"/>
    <n v="2.43584365627666"/>
    <n v="12.95955646300434"/>
    <n v="0"/>
    <n v="0"/>
    <n v="20.49469870132094"/>
    <n v="24.39926105703515"/>
    <n v="0"/>
    <n v="0"/>
    <n v="15.75691715677462"/>
    <n v="0"/>
    <n v="0"/>
    <n v="0"/>
    <n v="0"/>
    <n v="9.245704599738039"/>
    <n v="0"/>
    <n v="0"/>
    <n v="0"/>
    <m/>
    <n v="0"/>
    <m/>
    <n v="0"/>
    <m/>
    <n v="6.162964817811104"/>
    <m/>
    <m/>
    <n v="0.6191804139450341"/>
    <n v="1.846661844061489"/>
    <n v="3.194530052820368"/>
    <n v="0.04927832139096475"/>
    <m/>
    <n v="0.001872683223326521"/>
    <n v="15.32306491772878"/>
    <n v="13.01900047941083"/>
    <n v="42.02836930660347"/>
    <n v="28.47607459913878"/>
    <x v="0"/>
    <m/>
    <x v="4"/>
    <x v="0"/>
    <s v="Defaut GE &amp; Power Cabinet"/>
    <x v="0"/>
    <s v="{05-25-2026 ticket}: INC-20260525-00017947...2026-05-25 16:56:15...Transmission issue impacted by Mefou-Assi-IHS(CTR-642)/Main site up awaited...Grid Outage...user:OCM_NOC.CAMUSAT   ; {05-25-2026   groupe whatsapp   incident}:  CTR_642_Z_Mefou-Assi-IHS(CTR-642) -{ Power alarm on site, IHS activated } "/>
  </r>
  <r>
    <s v="Ngo-Njo"/>
    <s v="LIT_441"/>
    <s v="Douala"/>
    <s v="IHS"/>
    <s v="Grid-Gen"/>
    <s v="LITTORAL"/>
    <s v="Douala"/>
    <s v="ZTE"/>
    <n v="0"/>
    <n v="57.76714093706931"/>
    <n v="13.86855689960706"/>
    <n v="13.86855689960706"/>
    <n v="43.31148892941017"/>
    <n v="0"/>
    <n v="0"/>
    <n v="0"/>
    <n v="0"/>
    <n v="0"/>
    <n v="0"/>
    <n v="0"/>
    <n v="0"/>
    <n v="0"/>
    <n v="0"/>
    <n v="0"/>
    <n v="0"/>
    <n v="0"/>
    <n v="0"/>
    <n v="0"/>
    <n v="0"/>
    <n v="0"/>
    <n v="0"/>
    <n v="0"/>
    <m/>
    <n v="0"/>
    <m/>
    <n v="0"/>
    <m/>
    <n v="0"/>
    <m/>
    <m/>
    <n v="4.986027999646152"/>
    <n v="15.06373900289071"/>
    <n v="0"/>
    <n v="0"/>
    <m/>
    <n v="33.82515345301383"/>
    <n v="13.03010683068954"/>
    <n v="11.09423822978399"/>
    <n v="43.24354106337292"/>
    <n v="28.13617367656585"/>
    <x v="0"/>
    <m/>
    <x v="2"/>
    <x v="1"/>
    <s v="no root cause"/>
    <x v="1"/>
    <s v=""/>
  </r>
  <r>
    <s v="Kye-Ossi"/>
    <s v="SUD_015"/>
    <s v="CENTRE"/>
    <s v="IHS"/>
    <s v="Solar-Grid-Gen-Lithium"/>
    <s v="SUD"/>
    <s v="Kye-Ossi"/>
    <s v="ZTE"/>
    <n v="0.5597004277565183"/>
    <n v="0"/>
    <n v="0"/>
    <n v="5.789686046592889e-17"/>
    <n v="0"/>
    <n v="0"/>
    <n v="0"/>
    <n v="0"/>
    <n v="0"/>
    <n v="0"/>
    <n v="0"/>
    <n v="4.298129028944192"/>
    <n v="0"/>
    <n v="0"/>
    <n v="0.008560837592350174"/>
    <n v="0"/>
    <n v="0"/>
    <n v="0"/>
    <n v="0"/>
    <n v="0"/>
    <n v="0"/>
    <n v="0"/>
    <n v="0"/>
    <n v="0"/>
    <m/>
    <n v="0"/>
    <m/>
    <n v="0"/>
    <m/>
    <n v="0.000374536644665314"/>
    <m/>
    <m/>
    <n v="0.4336599292874816"/>
    <n v="0"/>
    <n v="0.6535486098626561"/>
    <n v="0.9584571087768565"/>
    <m/>
    <n v="3.496691949673689"/>
    <n v="25.4773259555012"/>
    <n v="21.74078196667245"/>
    <n v="32.77273528182162"/>
    <n v="28.02739753390805"/>
    <x v="0"/>
    <m/>
    <x v="5"/>
    <x v="2"/>
    <s v="MPR ISSUE"/>
    <x v="2"/>
    <s v="{05-25-2026 ocm ran 17H}: 25.05.26: Besoin d'un FME sur site pour vérifier le statut de la BBU et son interco avec le MPR_KYE-OSSI_2 S1P6; CM-20260525-00005862; FME Fabrice activé pour investigations, update ASAP"/>
  </r>
  <r>
    <s v="Soa-University-Stadium"/>
    <s v="CTR_674"/>
    <s v="Yaounde"/>
    <s v="IHS"/>
    <s v="Grid-Gen"/>
    <s v="CENTRE"/>
    <s v="Yaounde"/>
    <s v="ZTE"/>
    <n v="0"/>
    <n v="0"/>
    <n v="0"/>
    <n v="0"/>
    <n v="1.795938881326816"/>
    <n v="0.2067085576986183"/>
    <n v="0"/>
    <n v="0"/>
    <n v="0.2840592923611649"/>
    <n v="0.7918239720574261"/>
    <n v="0"/>
    <n v="0"/>
    <n v="0.1864657438083736"/>
    <n v="0"/>
    <n v="0"/>
    <n v="0"/>
    <n v="0"/>
    <n v="0"/>
    <n v="0"/>
    <n v="0.001070104699043755"/>
    <n v="0"/>
    <n v="0.05935514064029403"/>
    <n v="0"/>
    <n v="0"/>
    <m/>
    <n v="0"/>
    <m/>
    <n v="0.7593462944414486"/>
    <m/>
    <n v="0"/>
    <m/>
    <m/>
    <n v="0"/>
    <n v="2.03061284182711"/>
    <n v="0"/>
    <n v="0"/>
    <m/>
    <n v="27.90207043857171"/>
    <n v="32.37293622531563"/>
    <n v="27.54062241806665"/>
    <n v="26.59417292122215"/>
    <n v="27.73711379921411"/>
    <x v="0"/>
    <m/>
    <x v="2"/>
    <x v="1"/>
    <s v="no root cause"/>
    <x v="1"/>
    <s v="(05/25/2026 cell zte): 25/05/2026 : Need BO RAN analysis"/>
  </r>
  <r>
    <s v="MUTENGENE-Q12-IHS"/>
    <s v="SUO_211"/>
    <s v="SUD-OUEST"/>
    <s v="IHS"/>
    <s v="Grid +Gen"/>
    <s v="SUD-OUEST"/>
    <s v="Mutengene"/>
    <s v="Huawei"/>
    <n v="27.73711379921411"/>
    <n v="27.73657874686459"/>
    <n v="27.73711379921411"/>
    <n v="27.73711379921411"/>
    <n v="37.30204846575522"/>
    <n v="22.91852151481168"/>
    <n v="0"/>
    <n v="0.007365887345084509"/>
    <n v="0"/>
    <n v="0"/>
    <n v="0"/>
    <n v="4.216604885955376"/>
    <n v="0"/>
    <n v="0"/>
    <n v="20.96936147566011"/>
    <n v="22.72583132867053"/>
    <n v="1.359889051544803"/>
    <n v="27.73711379921411"/>
    <n v="27.73657874686459"/>
    <n v="27.73711379921411"/>
    <n v="13.84107304391995"/>
    <n v="27.73657874686459"/>
    <n v="27.73711379921411"/>
    <n v="27.73711379921411"/>
    <m/>
    <n v="27.73711379921411"/>
    <m/>
    <n v="27.73657874686459"/>
    <m/>
    <n v="27.73711379921411"/>
    <m/>
    <m/>
    <n v="27.73711379921411"/>
    <n v="27.73711379921411"/>
    <n v="27.73711379921411"/>
    <n v="27.73711379921411"/>
    <m/>
    <n v="27.73657874686459"/>
    <n v="64.74587245063127"/>
    <n v="55.08124483613329"/>
    <n v="0"/>
    <n v="27.73711379921411"/>
    <x v="1"/>
    <m/>
    <x v="8"/>
    <x v="4"/>
    <s v="SPARE-ISSUE"/>
    <x v="3"/>
    <s v="{05-25-2026 ocm ran 22H}: 24/05/2026 nouvel  ODU  UBT-S 3DB29118AA  recu faulty  nouvelle commande en cours _x000a_23/05/2026 FME sur site travaux travaux en cours _x000a_22.05.26: Spare reçue, FME en route pour le site, ETA=11H UTC - FME sur site et travaux en cours avec le BO TX_x000a_21/05/2026 ODU UBT-S 3DB29118AA Recu ETA=22/05/2026 8H UTC _x000a_20.05.26: ODU UBT-S 3DB29118AA expedition en cours de bertoua vers Doula ETD=18/05/2026 , EXPEDITION VERS MUTENGE ETD=21/05/2026 _x000a_15/05/2026 ODU UBT-S 3DB29118AA expedition en cours de bertoua vers Doula ETD=18/05/2026 , EXPEDITION VERS MUTENGE ETD=19/05/2026 _x000a_15/05/2026 ODU UBT-S 3DB29118AA recu fautly Nouvelle en cours en attente de retour SPM UPDATE DANS 1HEURE_x000a_14/05/2026 ODU  recu fme sur site intervention en cours _x000a_13/05/2026 ODU toujours en pas recu en attente _x000a_11/05/2026   UBT-S 3DB29118AA ETD=12/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05-25-2026 ocm ran 17H}: 24/05/2026 nouvel  ODU  UBT-S 3DB29118AA  recu faulty  nouvelle commande en cours _x000a_23/05/2026 FME sur site travaux travaux en cours _x000a_22.05.26: Spare reçue, FME en route pour le site, ETA=11H UTC - FME sur site et travaux en cours avec le BO TX_x000a_21/05/2026 ODU UBT-S 3DB29118AA Recu ETA=22/05/2026 8H UTC _x000a_20.05.26: ODU UBT-S 3DB29118AA expedition en cours de bertoua vers Doula ETD=18/05/2026 , EXPEDITION VERS MUTENGE ETD=21/05/2026 _x000a_15/05/2026 ODU UBT-S 3DB29118AA expedition en cours de bertoua vers Doula ETD=18/05/2026 , EXPEDITION VERS MUTENGE ETD=19/05/2026 _x000a_15/05/2026 ODU UBT-S 3DB29118AA recu fautly Nouvelle en cours en attente de retour SPM UPDATE DANS 1HEURE_x000a_14/05/2026 ODU  recu fme sur site intervention en cours _x000a_13/05/2026 ODU toujours en pas recu en attente _x000a_11/05/2026   UBT-S 3DB29118AA ETD=12/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r>
  <r>
    <s v="LIT_827_Z_Bwang-Bakoko"/>
    <s v="LIT_827"/>
    <s v="Douala"/>
    <s v="ESCO"/>
    <s v="Good Grid + Solar + GE"/>
    <s v="LITTORAL"/>
    <s v="Douala"/>
    <s v="ZTE"/>
    <n v="2.919887681810788"/>
    <n v="7.572257036295099"/>
    <n v="12.2284074273827"/>
    <n v="0.002033198928182984"/>
    <n v="0.4342841570285899"/>
    <n v="4.442414812531925"/>
    <n v="0"/>
    <n v="1.644572571647076"/>
    <n v="1.574338033233172"/>
    <n v="15.75552602066586"/>
    <n v="25.81839823875035"/>
    <n v="0"/>
    <n v="0.1581614745186667"/>
    <n v="0.6287756860797923"/>
    <n v="0"/>
    <n v="0.1896403877488701"/>
    <n v="0.2775673238536333"/>
    <n v="3.871603130983669"/>
    <n v="7.379923551720299"/>
    <n v="3.353422765550048"/>
    <n v="0"/>
    <n v="0.09502529727508494"/>
    <n v="1.79124825572934"/>
    <n v="1.064986031566662"/>
    <m/>
    <n v="2.86426007253883"/>
    <m/>
    <n v="0.4120616494451153"/>
    <m/>
    <n v="0.09390168734108943"/>
    <m/>
    <m/>
    <n v="2.351162704425667"/>
    <n v="12.95631047875058"/>
    <n v="0.9491828680518104"/>
    <n v="0.4198912488264521"/>
    <m/>
    <n v="7.555349382050206"/>
    <n v="23.18786494490606"/>
    <n v="20.2090473494701"/>
    <n v="32.57885363792964"/>
    <n v="27.08513467624339"/>
    <x v="0"/>
    <m/>
    <x v="0"/>
    <x v="0"/>
    <s v="AKTIVCO Defaut GE &amp; Power Cabinet"/>
    <x v="0"/>
    <s v="{05-25-2026 ocm ran 22H}: 25.05.26: Besoin d'un FME sur LIT_563_Yassa-Pesage pour reset physique de l'ODU 4.2; CM-20260525-00007346; FME Marius activé pour investigations, update ASAP      ;      {05-25-2026 ocm ran 17H}: Power status check Ongoing      ;      {05-25-2026 ticket}: INC-20260525-00017016...2026-05-25 20:01:01...25.05.26: Besoin d'un FME sur LIT_563_Yassa-Pesage pour reset physique de l'ODU 4.2; CM-20260525-00007346; FME Marius activé pour investigations, update ASAP...grid outage power fluctuation on site ...user:ndzie mbene lionnel"/>
  </r>
  <r>
    <s v="Vallee-Omnisport"/>
    <s v="CTR_758"/>
    <s v="Yaounde"/>
    <s v="CAMUSAT"/>
    <s v="Good Grid no GE - 8h"/>
    <s v="CENTRE"/>
    <s v="Yaounde"/>
    <s v="ZTE"/>
    <n v="35.5199496052027"/>
    <n v="5.135806987355643"/>
    <n v="0"/>
    <n v="0"/>
    <n v="0"/>
    <n v="0"/>
    <n v="9.245704599738039"/>
    <n v="16.02351590746305"/>
    <n v="7.356934135769176"/>
    <n v="10.84656339442918"/>
    <n v="9.245704599738039"/>
    <n v="4.622852299869019"/>
    <n v="24.28577645370155"/>
    <n v="9.245704599738039"/>
    <n v="9.245704599738039"/>
    <n v="7.899352372636138"/>
    <n v="4.362977373706244"/>
    <n v="0"/>
    <n v="0"/>
    <n v="0"/>
    <n v="4.622852299869019"/>
    <n v="16.82208153912444"/>
    <n v="29.73533813881683"/>
    <n v="5.331725322672235"/>
    <m/>
    <n v="0.0690752583232742"/>
    <m/>
    <n v="33.85468834270744"/>
    <m/>
    <n v="0"/>
    <m/>
    <m/>
    <n v="0"/>
    <n v="0"/>
    <n v="0"/>
    <n v="0.0004280418796175018"/>
    <m/>
    <n v="13.86855689960706"/>
    <n v="17.04974641199957"/>
    <n v="14.59780491039098"/>
    <n v="37.68366258670465"/>
    <n v="26.98695257010612"/>
    <x v="0"/>
    <m/>
    <x v="2"/>
    <x v="1"/>
    <s v="no root cause"/>
    <x v="1"/>
    <s v=""/>
  </r>
  <r>
    <s v="LIT_825_Z_Camp-Bertaud"/>
    <s v="LIT_825"/>
    <s v="Douala"/>
    <s v="ESCO"/>
    <s v="Good Grid no GE - 8h"/>
    <s v="LIT"/>
    <s v="Douala"/>
    <s v="ZTE"/>
    <n v="2.051408543145194"/>
    <n v="4.34942271418502"/>
    <n v="3.355277613695058"/>
    <n v="5.399569960591611"/>
    <n v="1.436633393544558"/>
    <n v="1.983135863346203"/>
    <n v="10.60525478479481"/>
    <n v="13.87176721370419"/>
    <n v="4.336563622718178"/>
    <n v="2.567537874572312"/>
    <n v="4.613025171716133"/>
    <n v="0"/>
    <n v="3.142790490621603"/>
    <n v="0"/>
    <n v="20.8729807124329"/>
    <n v="23.56795022158302"/>
    <n v="2.2602573102419"/>
    <n v="5.650277656499245"/>
    <n v="4.314020083724992"/>
    <n v="18.98754540810939"/>
    <n v="0"/>
    <n v="24.6521267974192"/>
    <n v="1.677264270202863"/>
    <n v="17.72676588677436"/>
    <m/>
    <n v="0.03156808862179072"/>
    <m/>
    <n v="0"/>
    <m/>
    <n v="0"/>
    <m/>
    <m/>
    <n v="0"/>
    <n v="0"/>
    <n v="0.5944609953971235"/>
    <n v="1.617677273544443"/>
    <m/>
    <n v="1.796545273989607"/>
    <n v="12.76370454300205"/>
    <n v="10.9225343492763"/>
    <n v="40.87865697237928"/>
    <n v="26.80722848590173"/>
    <x v="0"/>
    <m/>
    <x v="2"/>
    <x v="1"/>
    <s v="no root cause"/>
    <x v="1"/>
    <s v="{05-25-2026 ocm ran 22H}: Power status check Ongoing"/>
  </r>
  <r>
    <s v="Garoua-Hodango"/>
    <s v="NRD_160"/>
    <s v="Garoua"/>
    <s v="CAMUSAT"/>
    <s v="Hybrid Solar - S3"/>
    <s v="NORD"/>
    <s v="Garoua"/>
    <s v="Huawei"/>
    <n v="0"/>
    <n v="0"/>
    <n v="0.1505280609988215"/>
    <n v="0"/>
    <n v="0.14820950081756"/>
    <n v="0"/>
    <n v="0"/>
    <n v="0"/>
    <n v="0"/>
    <n v="0"/>
    <n v="0"/>
    <n v="0"/>
    <n v="0"/>
    <n v="0"/>
    <n v="0"/>
    <n v="0"/>
    <n v="0"/>
    <n v="3.47224005730054"/>
    <n v="0.4351045706311905"/>
    <n v="4.577016148593313"/>
    <n v="0"/>
    <n v="0.07481815354147585"/>
    <n v="0"/>
    <n v="1.674945710021601"/>
    <m/>
    <n v="0"/>
    <m/>
    <n v="0"/>
    <m/>
    <n v="0"/>
    <m/>
    <m/>
    <n v="0"/>
    <n v="0"/>
    <n v="0"/>
    <n v="6.994204312949979"/>
    <m/>
    <n v="17.14307727868094"/>
    <n v="26.0919371405505"/>
    <n v="44.5368627830989"/>
    <n v="12.69550273930925"/>
    <n v="25.29802415868369"/>
    <x v="0"/>
    <m/>
    <x v="0"/>
    <x v="0"/>
    <s v="AKTIVCO Defaut GE &amp; Power Cabinet"/>
    <x v="0"/>
    <s v="{05-25-2026 top offenders}: IHS: Our FME is informed and managing with L0"/>
  </r>
  <r>
    <s v="Ngd-burkina-rural"/>
    <s v="ADM_147"/>
    <s v="Ngaoundere"/>
    <s v="CAMUSAT"/>
    <s v="Hybrid Solar - S3"/>
    <s v="ADAMAOUA"/>
    <s v="Ngaoundere"/>
    <s v="Huawei"/>
    <n v="0"/>
    <n v="0"/>
    <n v="0"/>
    <n v="0"/>
    <n v="0"/>
    <n v="0"/>
    <n v="0"/>
    <n v="0"/>
    <n v="0"/>
    <n v="0"/>
    <n v="0"/>
    <n v="0.001159280090630734"/>
    <n v="0"/>
    <n v="0"/>
    <n v="0"/>
    <n v="0"/>
    <n v="0"/>
    <n v="0"/>
    <n v="0"/>
    <n v="0"/>
    <m/>
    <n v="2.929251097927421"/>
    <n v="18.97580992657656"/>
    <n v="0"/>
    <m/>
    <n v="0"/>
    <m/>
    <n v="0"/>
    <m/>
    <n v="0"/>
    <m/>
    <m/>
    <n v="0"/>
    <n v="0"/>
    <n v="0"/>
    <n v="0"/>
    <m/>
    <n v="18.8117272060565"/>
    <n v="13.24267912025547"/>
    <n v="29.12288005208918"/>
    <n v="23.98126807145186"/>
    <n v="24.17389700741654"/>
    <x v="2"/>
    <s v=" Site vendalise"/>
    <x v="9"/>
    <x v="5"/>
    <s v="EXCLU"/>
    <x v="4"/>
    <s v="{05-25-2026 dashboard cell}: 25/05/2026 : Site vendalise || Rapport photo attendu_x000a_24/04/2026 : Check Connectivite entre BBU &amp; RRU/Check FO ou SFP || Fme active"/>
  </r>
  <r>
    <s v="Kribi-Hotel-Paradis-IHS"/>
    <s v="SUD_080"/>
    <s v="LITTORAL"/>
    <s v="IHS"/>
    <s v="Grid-Gen"/>
    <s v="SUD"/>
    <s v="Kribi"/>
    <s v="ZTE"/>
    <n v="0"/>
    <n v="0.08038269797650331"/>
    <n v="0"/>
    <n v="0"/>
    <n v="0"/>
    <n v="0"/>
    <n v="0"/>
    <n v="0"/>
    <n v="0"/>
    <n v="0"/>
    <n v="0"/>
    <n v="0"/>
    <n v="0.142805472087389"/>
    <n v="0"/>
    <n v="0.01109341871342039"/>
    <n v="0.1511879588965655"/>
    <n v="0"/>
    <n v="0"/>
    <n v="0"/>
    <n v="0"/>
    <n v="0"/>
    <n v="0"/>
    <n v="0"/>
    <n v="0"/>
    <m/>
    <n v="0"/>
    <m/>
    <n v="0"/>
    <m/>
    <n v="0"/>
    <m/>
    <m/>
    <n v="23.11426149934509"/>
    <n v="23.11426149934509"/>
    <n v="23.11426149934509"/>
    <n v="23.11426149934509"/>
    <m/>
    <n v="23.11426149934509"/>
    <n v="32.37293622531563"/>
    <n v="55.08124483613329"/>
    <n v="0"/>
    <n v="23.11426149934509"/>
    <x v="0"/>
    <m/>
    <x v="8"/>
    <x v="4"/>
    <s v="SPARE-ISSUE"/>
    <x v="3"/>
    <s v="{05-25-2026 ocm ran 22H}: 23/05/2026 ODU 7-8GHz (3DB20859AB) et chassis MSS8  3DB18485EA pas disponibles chez Huawei, demande envoyée à OCM_x000a_22/05/2026 ODU 7-8GHz (3DB20859AB) et chassis MSS8  3DB18485EA pas disponibles chez Huawei, demande envoyée à OCM_x000a_21/05/2026 18.05.2026: Site foudroyé. CoreEvo-1G Disponible, MPT-ACC disponible mais tests cours, ODU(3DB20862AA) disponible mais en test en cours MSS8(3DB18485EA. Et ODU 7-8GHz (3DB20859AB) et chassis MSS8  3DB18485EA pas disponibles chez Huawei, demande envoyée à OCM_x000a_18.05.2026: Site foudroyé. CoreEvo-1G Disponible, MPT-ACC disponible mais tests cours, ODU(3DB20862AA) disponible mais en test en cours MSS8(3DB18485EA. Et ODU 7-8GHz (3DB20859AB) et chassis MSS8  3DB18485EA pas disponibles chez Huawei, demande envoyée à OCM_x000a_16.05.26: Site foudroyé, chassis MSS8, carte core, carte flash, carte MPT, ODU MPT 18Ghz 3DB20862AA faulty, commande passée et vérifications du SPM en cours_x000a_15.05.26: Site foudroyé, plusieurs cartes TX faulty, suite des investigations en hauteur ce 16.05.26_x000a_15.05.26: Besoin d'un FME sur site pour vérifier la chaine antennaire de l'ODU 3.2; CM-20260515-00006203; FME Lucien activé pour investigations, update ASAP      ;      {05-25-2026 ocm ran 17H}: 23/05/2026 ODU 7-8GHz (3DB20859AB) et chassis MSS8  3DB18485EA pas disponibles chez Huawei, demande envoyée à OCM_x000a_22/05/2026 ODU 7-8GHz (3DB20859AB) et chassis MSS8  3DB18485EA pas disponibles chez Huawei, demande envoyée à OCM_x000a_21/05/2026 18.05.2026: Site foudroyé. CoreEvo-1G Disponible, MPT-ACC disponible mais tests cours, ODU(3DB20862AA) disponible mais en test en cours MSS8(3DB18485EA. Et ODU 7-8GHz (3DB20859AB) et chassis MSS8  3DB18485EA pas disponibles chez Huawei, demande envoyée à OCM_x000a_18.05.2026: Site foudroyé. CoreEvo-1G Disponible, MPT-ACC disponible mais tests cours, ODU(3DB20862AA) disponible mais en test en cours MSS8(3DB18485EA. Et ODU 7-8GHz (3DB20859AB) et chassis MSS8  3DB18485EA pas disponibles chez Huawei, demande envoyée à OCM_x000a_16.05.26: Site foudroyé, chassis MSS8, carte core, carte flash, carte MPT, ODU MPT 18Ghz 3DB20862AA faulty, commande passée et vérifications du SPM en cours_x000a_15.05.26: Site foudroyé, plusieurs cartes TX faulty, suite des investigations en hauteur ce 16.05.26_x000a_15.05.26: Besoin d'un FME sur site pour vérifier la chaine antennaire de l'ODU 3.2; CM-20260515-00006203; FME Lucien activé pour investigations, update ASAP"/>
  </r>
  <r>
    <s v="Wonya-Mavio-IHS"/>
    <s v="SUO_195"/>
    <s v="SUD-OUEST"/>
    <s v="IHS"/>
    <s v="Grid-Gen"/>
    <s v="SUD-OUEST"/>
    <s v="Buea"/>
    <s v="Huawei"/>
    <n v="0.7748449774992653"/>
    <n v="0.06072844167073307"/>
    <n v="3.562788749917959"/>
    <n v="0.1448208359372547"/>
    <n v="1.324753947259533"/>
    <n v="0"/>
    <n v="1.047275798797488"/>
    <n v="12.33463315384111"/>
    <n v="23.11426149934509"/>
    <n v="23.11399397317033"/>
    <n v="23.11426149934509"/>
    <n v="0.5412767918546494"/>
    <n v="23.11426149934509"/>
    <n v="23.11399397317033"/>
    <n v="23.11426149934509"/>
    <n v="23.11426149934509"/>
    <n v="23.11399397317033"/>
    <n v="23.11399397317033"/>
    <n v="23.11426149934509"/>
    <n v="23.11426149934509"/>
    <n v="12.58179166916358"/>
    <n v="23.11426149934509"/>
    <n v="23.11399397317033"/>
    <n v="23.11426149934509"/>
    <m/>
    <n v="23.11426149934509"/>
    <m/>
    <n v="23.11426149934509"/>
    <m/>
    <n v="23.11399397317033"/>
    <m/>
    <m/>
    <n v="23.11399397317033"/>
    <n v="23.11426149934509"/>
    <n v="23.11399397317033"/>
    <n v="23.11426149934509"/>
    <m/>
    <n v="23.11426149934509"/>
    <n v="32.37293622531563"/>
    <n v="55.08124483613329"/>
    <n v="0"/>
    <n v="23.11426149934509"/>
    <x v="0"/>
    <m/>
    <x v="8"/>
    <x v="4"/>
    <s v="SPARE-ISSUE"/>
    <x v="3"/>
    <s v="{05-25-2026 ocm ran 22H}: 23/05/2026 Carte EAC faulty. Celle mise à disposition à été utilisée sur Makepe-Orchidée, commande au niveau de OCM_x000a_22/05/2026 Carte EAC faulty. Celle mise à disposition à été utilisée sur Makepe-Orchidée, commande au niveau de OCM_x000a_21/05/2026 Carte EAC faulty. Celle mise à disposition à été utilisée sur Makepe-Orchidée, commande au niveau de OCM_x000a_18.05.26: Carte EAC faulty. Celle mise à disposition à été utilisée sur Makepe-Orchidée, commande au niveau de OCM_x000a_16.05.26: Carte EAC mise à disposition par OCM, ETD=17.05.26 (à confirmer)_x000a_15/05/2026 Spare mise a disposition ce jour _x000a_15/05/202612/05/2026 Rapport d’analyse partagé, validé par CEX, validation ING pour mise à disposition pending_x000a_06/05/2026 Carte EAC 3DB19417AA faulty, commande passée vers OCM_x000a_14/05/202612/05/2026 Rapport d’analyse partagé, validé par CEX, validation ING pour mise à disposition pending_x000a_06/05/2026 Carte EAC 3DB19417AA faulty, commande passée vers OCM_x000a_12/05/2026 Rapport d’analyse partagé, validé par CEX, validation ING pour mise à disposition pending_x000a_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05-25-2026 ocm ran 17H}: 23/05/2026 Carte EAC faulty. Celle mise à disposition à été utilisée sur Makepe-Orchidée, commande au niveau de OCM_x000a_22/05/2026 Carte EAC faulty. Celle mise à disposition à été utilisée sur Makepe-Orchidée, commande au niveau de OCM_x000a_21/05/2026 Carte EAC faulty. Celle mise à disposition à été utilisée sur Makepe-Orchidée, commande au niveau de OCM_x000a_18.05.26: Carte EAC faulty. Celle mise à disposition à été utilisée sur Makepe-Orchidée, commande au niveau de OCM_x000a_16.05.26: Carte EAC mise à disposition par OCM, ETD=17.05.26 (à confirmer)_x000a_15/05/2026 Spare mise a disposition ce jour _x000a_15/05/202612/05/2026 Rapport d’analyse partagé, validé par CEX, validation ING pour mise à disposition pending_x000a_06/05/2026 Carte EAC 3DB19417AA faulty, commande passée vers OCM_x000a_14/05/202612/05/2026 Rapport d’analyse partagé, validé par CEX, validation ING pour mise à disposition pending_x000a_06/05/2026 Carte EAC 3DB19417AA faulty, commande passée vers OCM_x000a_12/05/2026 Rapport d’analyse partagé, validé par CEX, validation ING pour mise à disposition pending_x000a_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r>
  <r>
    <s v="Buea-Hospital"/>
    <s v="SUO_163"/>
    <s v="SUD-OUEST"/>
    <s v="IHS"/>
    <s v="Grid-Gen"/>
    <s v="SUD-OUEST"/>
    <s v="Buea"/>
    <s v="Huawei"/>
    <n v="0"/>
    <n v="0.0002675261747609386"/>
    <n v="0"/>
    <n v="0"/>
    <n v="0"/>
    <n v="0"/>
    <n v="0"/>
    <n v="0.0005350523495218772"/>
    <n v="0.0005350523495218772"/>
    <n v="0.003210314097131264"/>
    <n v="1.419797079612936"/>
    <n v="0"/>
    <n v="0"/>
    <n v="0"/>
    <n v="0"/>
    <n v="0"/>
    <n v="1.677656641925846"/>
    <n v="0"/>
    <n v="0"/>
    <n v="0"/>
    <n v="0"/>
    <n v="0"/>
    <n v="0"/>
    <n v="0"/>
    <m/>
    <n v="0"/>
    <m/>
    <n v="0"/>
    <m/>
    <n v="0"/>
    <m/>
    <m/>
    <n v="0"/>
    <n v="0"/>
    <n v="0"/>
    <n v="0"/>
    <m/>
    <n v="10.20558851478029"/>
    <n v="32.37293622531563"/>
    <n v="55.08124483613329"/>
    <n v="0"/>
    <n v="23.11426149934509"/>
    <x v="0"/>
    <m/>
    <x v="5"/>
    <x v="2"/>
    <s v="MPR ISSUE"/>
    <x v="2"/>
    <s v="{05-25-2026 ocm ran 22H}: 25.05.26: Besoin d'un FME sur site pour vérifier le statut de la BBU et son interco avec le MPR S1P5; CM-20260525-00005675; FME Fabien activé pour investigations, update ASAP_x000a_24/05/2026 IHS: FME is managing with level 0      ;      {05-25-2026 ocm ran 17H}: 25.05.26: Besoin d'un FME sur site pour vérifier le statut de la BBU et son interco avec le MPR S1P5; CM-20260525-00005675; FME Fabien activé pour investigations, update ASAP_x000a_24/05/2026 IHS: FME is managing with level 0"/>
  </r>
  <r>
    <s v="Bamenda-ATTIAH-IHS"/>
    <s v="NRO_127"/>
    <s v="NORD-OUEST"/>
    <s v="IHS"/>
    <s v="Grid-Gen"/>
    <s v="NORD-OUEST"/>
    <s v="Bamenda"/>
    <s v="Huawei"/>
    <n v="8.702180588015397"/>
    <n v="4.709441605099976"/>
    <n v="0.4002191574423642"/>
    <n v="1.006219448510842"/>
    <n v="7.3774623109125"/>
    <n v="0.5824044824545633"/>
    <n v="0"/>
    <n v="1.704284413853718"/>
    <n v="14.99634024192927"/>
    <n v="0.8618266544532049"/>
    <n v="1.052162610256454"/>
    <n v="12.64551640399163"/>
    <n v="0.291871056664184"/>
    <n v="0.03674026133383557"/>
    <n v="0"/>
    <n v="0.806056364554708"/>
    <n v="0.5073188027383266"/>
    <n v="2.613516706474561"/>
    <n v="0"/>
    <n v="0"/>
    <n v="15.4161066452075"/>
    <n v="0"/>
    <n v="0.1637795241886466"/>
    <n v="0.7728117785710822"/>
    <m/>
    <n v="0.3762309771054667"/>
    <m/>
    <n v="0.1370269067125528"/>
    <m/>
    <n v="0.466208947216729"/>
    <m/>
    <m/>
    <n v="4.02241655323557"/>
    <n v="0.1955616337502461"/>
    <n v="1.339503557028019"/>
    <n v="1.871078066278005"/>
    <m/>
    <n v="10.01617998304954"/>
    <n v="32.37293622531563"/>
    <n v="55.08124483613329"/>
    <n v="0"/>
    <n v="23.11426149934509"/>
    <x v="0"/>
    <m/>
    <x v="4"/>
    <x v="0"/>
    <s v="Defaut GE &amp; Power Cabinet"/>
    <x v="0"/>
    <s v="{05-25-2026 ocm ran 22H}: 25.05.26: IHS: 44v : FME Pascal is managing with level 0_x000a_24/05/2026 IHS: FME Pascal is managing with level 0      ;      {05-25-2026 ocm ran 17H}: 25.05.26: IHS: 44v : FME Pascal is managing with level 0_x000a_24/05/2026 IHS: FME Pascal is managing with level 0"/>
  </r>
  <r>
    <s v="Bamenda-Meta-Quater-IHS"/>
    <s v="NRO_070"/>
    <s v="NORD-OUEST"/>
    <s v="IHS"/>
    <s v="Grid-Gen"/>
    <s v="NORD-OUEST"/>
    <s v="Bamenda"/>
    <s v="Huawei"/>
    <n v="3.083506690294579"/>
    <n v="1.980121735110563"/>
    <n v="0.0270201436508548"/>
    <n v="0"/>
    <n v="0"/>
    <n v="0"/>
    <n v="0"/>
    <n v="0"/>
    <n v="0"/>
    <n v="0"/>
    <n v="0"/>
    <n v="0"/>
    <n v="0"/>
    <n v="0"/>
    <n v="0"/>
    <n v="0"/>
    <n v="0"/>
    <n v="0.4049276181181566"/>
    <n v="0"/>
    <n v="0"/>
    <n v="0"/>
    <n v="0"/>
    <n v="0"/>
    <n v="0"/>
    <m/>
    <n v="0"/>
    <m/>
    <n v="0"/>
    <m/>
    <n v="0"/>
    <m/>
    <m/>
    <n v="0"/>
    <n v="0"/>
    <n v="0"/>
    <n v="0"/>
    <m/>
    <n v="5.591921280244726"/>
    <n v="32.37293622531563"/>
    <n v="55.08124483613329"/>
    <n v="0"/>
    <n v="23.11426149934509"/>
    <x v="0"/>
    <m/>
    <x v="4"/>
    <x v="0"/>
    <s v="Defaut GE &amp; Power Cabinet"/>
    <x v="0"/>
    <s v="{05-25-2026 ocm ran 22H}: 25.05.26: IHS: 36v : IENG Ibrahim is informed.      ;      {05-25-2026 ocm ran 17H}: 25.05.26: IHS: 36v : IENG Ibrahim is informed."/>
  </r>
  <r>
    <s v="OST_406_H_Chefferie-Bangangte"/>
    <s v="OST_406"/>
    <s v="OUEST"/>
    <s v="ESCO"/>
    <s v="Hybrid Solar - S1"/>
    <s v="OST"/>
    <s v="Bangante"/>
    <s v="Huawei"/>
    <n v="23.11399397317033"/>
    <n v="23.11426149934509"/>
    <n v="23.11426149934509"/>
    <n v="23.11399397317033"/>
    <n v="23.11426149934509"/>
    <n v="23.11426149934509"/>
    <n v="23.11426149934509"/>
    <n v="23.11426149934509"/>
    <n v="23.11399397317033"/>
    <n v="23.11426149934509"/>
    <n v="23.11426149934509"/>
    <n v="13.36216150425491"/>
    <n v="23.11426149934509"/>
    <n v="23.11399397317033"/>
    <n v="23.11426149934509"/>
    <n v="23.11426149934509"/>
    <n v="23.11426149934509"/>
    <n v="23.11426149934509"/>
    <n v="23.11399397317033"/>
    <n v="23.11426149934509"/>
    <n v="9.70419696603985"/>
    <n v="23.11399397317033"/>
    <n v="23.11426149934509"/>
    <n v="23.11399397317033"/>
    <m/>
    <n v="23.11426149934509"/>
    <m/>
    <n v="23.11399397317033"/>
    <m/>
    <n v="23.11426149934509"/>
    <m/>
    <m/>
    <n v="23.11426149934509"/>
    <n v="23.11399397317033"/>
    <n v="23.11426149934509"/>
    <n v="23.11399397317033"/>
    <m/>
    <n v="17.72093381616457"/>
    <n v="32.3710627915063"/>
    <n v="55.08124483613329"/>
    <n v="0"/>
    <n v="23.11399397317033"/>
    <x v="2"/>
    <m/>
    <x v="9"/>
    <x v="5"/>
    <s v="EXCLU"/>
    <x v="4"/>
    <s v=""/>
  </r>
  <r>
    <s v="Bda-Mankon-Palace-IHS"/>
    <s v="NRO_059"/>
    <s v="NORD-OUEST"/>
    <s v="IHS"/>
    <s v="Grid-Gen"/>
    <s v="NORD-OUEST"/>
    <s v="Bamenda"/>
    <s v="Huawei"/>
    <n v="0"/>
    <n v="0"/>
    <n v="0.9024192927035981"/>
    <n v="1.409862940990147"/>
    <n v="0"/>
    <n v="0.007758259068067219"/>
    <n v="0"/>
    <n v="0"/>
    <n v="0"/>
    <n v="0"/>
    <n v="11.65338666735153"/>
    <n v="0"/>
    <n v="23.11426149934509"/>
    <n v="23.11399397317033"/>
    <n v="23.11426149934509"/>
    <n v="23.11426149934509"/>
    <n v="23.11399397317033"/>
    <n v="19.14998730142424"/>
    <n v="4.622852299869019"/>
    <n v="3.478107798066963"/>
    <n v="0"/>
    <n v="0"/>
    <n v="9.335736075084252"/>
    <n v="8.351400267668856"/>
    <m/>
    <n v="3.316254462336595"/>
    <m/>
    <n v="0"/>
    <m/>
    <n v="0"/>
    <m/>
    <m/>
    <n v="0"/>
    <n v="0"/>
    <n v="1.811330553914729"/>
    <n v="0"/>
    <m/>
    <n v="17.21627244009554"/>
    <n v="32.3710627915063"/>
    <n v="55.08124483613329"/>
    <n v="0"/>
    <n v="23.11399397317033"/>
    <x v="0"/>
    <m/>
    <x v="4"/>
    <x v="0"/>
    <s v="Defaut GE &amp; Power Cabinet"/>
    <x v="0"/>
    <s v="{05-25-2026 ocm ran 22H}: 25.05.26: IHS: 41v : FME Moses managing with level 0_x000a_24/05/2026 IHS: Fme is managing with level 0      ;      {05-25-2026 ocm ran 17H}: 25.05.26: IHS: 41v : FME Moses managing with level 0_x000a_24/05/2026 IHS: Fme is managing with level 0"/>
  </r>
  <r>
    <s v="Zileng-HIS"/>
    <s v="EXN_174"/>
    <s v="EXTREME-NORD"/>
    <s v="IHS"/>
    <s v="Grid-Gen"/>
    <s v="EXTREME-NORD"/>
    <s v="Zileng"/>
    <s v="NOKIA"/>
    <n v="15.90366708288515"/>
    <n v="3.07374021742714"/>
    <n v="0.1746968127457326"/>
    <n v="0"/>
    <n v="0"/>
    <n v="0"/>
    <n v="13.96848060386671"/>
    <n v="13.49893199931083"/>
    <n v="9.665911035502337"/>
    <n v="7.820922210324722"/>
    <n v="0"/>
    <n v="0"/>
    <n v="13.78867245760586"/>
    <n v="13.16416467728264"/>
    <n v="23.11340541558586"/>
    <n v="23.11356593129072"/>
    <n v="23.11345892082081"/>
    <n v="23.11308438417615"/>
    <n v="18.91987435951615"/>
    <n v="23.11319139464605"/>
    <n v="0"/>
    <n v="13.99454389284114"/>
    <n v="23.05378025088959"/>
    <n v="23.08090878297375"/>
    <m/>
    <n v="23.11340541558586"/>
    <m/>
    <n v="2.938864205140498"/>
    <m/>
    <n v="11.09548045115742"/>
    <m/>
    <m/>
    <n v="23.02950920718083"/>
    <n v="23.11351242605576"/>
    <n v="23.11383345746547"/>
    <n v="23.10507543273684"/>
    <m/>
    <n v="20.06715618841359"/>
    <n v="32.3676906106495"/>
    <n v="55.08124483613329"/>
    <n v="0"/>
    <n v="23.11351242605576"/>
    <x v="1"/>
    <m/>
    <x v="4"/>
    <x v="0"/>
    <s v="Defaut GE &amp; Power Cabinet"/>
    <x v="0"/>
    <s v="{05-25-2026  incident}:    impacted by   EXN_047_H_Hina  ,Cause: Probleme energie    Action: RCA attendu de IHS      ;      (05/25/2026 cell nokia): 21/05/2026 : Feedback IHS : rectifier added, joint.visit needed_x000a_18052026 : En attente du feedback de IHS _x000a_15/05/2026 : Redresseur faulty || IHS interpele_x000a_13/05/2026 : Vérification de l’énergie ce jour sur le site || ETA 12h_x000a_12/05/2026 :Joint viste OK || We still found instability of radio module on site. Did FME check actif power(power connectivity between Powerco Baie and radio module)? If not, he should go on site and do it._x000a_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cell nokia): 21/05/2026 : Feedback IHS : rectifier added, joint.visit needed_x000a_18052026 : En attente du feedback de IHS _x000a_15/05/2026 : Redresseur faulty || IHS interpele_x000a_13/05/2026 : Vérification de l’énergie ce jour sur le site || ETA 12h_x000a_12/05/2026 :Joint viste OK || We still found instability of radio module on site. Did FME check actif power(power connectivity between Powerco Baie and radio module)? If not, he should go on site and do it._x000a_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cell nokia): 21/05/2026 : Feedback IHS : rectifier added, joint.visit needed_x000a_18052026 : En attente du feedback de IHS _x000a_15/05/2026 : Redresseur faulty || IHS interpele_x000a_13/05/2026 : Vérification de l’énergie ce jour sur le site || ETA 12h_x000a_12/05/2026 :Joint viste OK || We still found instability of radio module on site. Did FME check actif power(power connectivity between Powerco Baie and radio module)? If not, he should go on site and do it._x000a_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ticket}: INC-20260525-00020912...Others Transmission equipement fault"/>
  </r>
  <r>
    <s v="Galim-Tignere"/>
    <s v="ADM_024"/>
    <s v="ADAMAOUA"/>
    <s v="IHS"/>
    <s v="Hybrid-Gen"/>
    <s v="ADAMAOUA"/>
    <s v="Galim-Tignere"/>
    <s v="NOKIA"/>
    <n v="15.92725979420928"/>
    <n v="13.16420688192124"/>
    <n v="19.06367696761907"/>
    <n v="11.60861347128073"/>
    <n v="4.678361936147329"/>
    <n v="0.4977625833213536"/>
    <n v="5.1030203632368"/>
    <n v="7.076515223814286"/>
    <n v="6.723436820474545"/>
    <n v="14.91809622925019"/>
    <n v="10.72991908064603"/>
    <n v="0.4779800989062103"/>
    <n v="1.88782985623886"/>
    <n v="4.215955381272224"/>
    <n v="13.36216150425491"/>
    <n v="8.917171364016388"/>
    <n v="6.477886011450997"/>
    <n v="15.59121736541086"/>
    <n v="22.55988680062951"/>
    <n v="14.04210018306987"/>
    <n v="4.635212009142975"/>
    <n v="9.70419696603985"/>
    <n v="21.09634946924568"/>
    <n v="15.83740951926897"/>
    <m/>
    <n v="21.25362982594126"/>
    <m/>
    <n v="23.09337476449217"/>
    <m/>
    <n v="16.48886810822114"/>
    <m/>
    <m/>
    <n v="4.412398375723748"/>
    <n v="23.11303087894119"/>
    <n v="15.52002341808526"/>
    <n v="23.11287036323634"/>
    <m/>
    <n v="23.11281685800138"/>
    <n v="32.36356905626896"/>
    <n v="55.08124483613329"/>
    <n v="0"/>
    <n v="23.11292386847129"/>
    <x v="0"/>
    <m/>
    <x v="8"/>
    <x v="4"/>
    <s v="SPARE-ISSUE"/>
    <x v="3"/>
    <s v="{05-25-2026 ocm ran 22H}: 23.05.26: ODU 7-8G 3DB20858AC et 3DB20859AC faulty, commande passée à OCM_x000a_22.05.26: ODU 7-8G 3DB20858AC et 3DB20859AC faulty, commande passée à OCM_x000a_21.05.26: ODU 7-8G 3DB20858AC et 3DB20859AC faulty, commande passée à OCM_x000a_20.05.26: ODU 7-8G 3DB20858AC et 3DB20859AC faulty, commande passée à OCM      ;      {05-25-2026 ocm ran 17H}: 23.05.26: ODU 7-8G 3DB20858AC et 3DB20859AC faulty, commande passée à OCM_x000a_22.05.26: ODU 7-8G 3DB20858AC et 3DB20859AC faulty, commande passée à OCM_x000a_21.05.26: ODU 7-8G 3DB20858AC et 3DB20859AC faulty, commande passée à OCM_x000a_20.05.26: ODU 7-8G 3DB20858AC et 3DB20859AC faulty, commande passée à OCM"/>
  </r>
  <r>
    <s v="Maroua-Boulore"/>
    <s v="EXN_237"/>
    <s v="Maroua"/>
    <s v="CAMUSAT"/>
    <s v="Medium Grid + GE"/>
    <s v="EXTREME-NORD"/>
    <s v="Maroua"/>
    <s v="Huawei"/>
    <n v="0.0002496910964435427"/>
    <n v="0.1153037813219645"/>
    <n v="1.024375558237951"/>
    <n v="9.94865637653988"/>
    <n v="5.074293802238945"/>
    <n v="0.51571912462582"/>
    <n v="20.00013197957955"/>
    <n v="2.846407159143117"/>
    <n v="3.116073543302144"/>
    <n v="2.606311334834333"/>
    <n v="3.397671594855508"/>
    <n v="0.6171255090308069"/>
    <n v="1.183981674100327"/>
    <n v="13.37136842135301"/>
    <n v="1.966406559884486"/>
    <n v="2.001737850031247"/>
    <n v="0"/>
    <n v="0.3676344693564818"/>
    <n v="0"/>
    <n v="15.99077070367231"/>
    <n v="0.1474782626065468"/>
    <n v="0"/>
    <n v="0.04082449426851922"/>
    <n v="14.7242661221974"/>
    <m/>
    <n v="10.29142874672191"/>
    <m/>
    <n v="6.639642956000149"/>
    <m/>
    <n v="11.6840094968225"/>
    <m/>
    <m/>
    <n v="1.21731543547554"/>
    <n v="0"/>
    <n v="7.007937323254374"/>
    <n v="4.725404000194047"/>
    <m/>
    <n v="11.48124249143203"/>
    <n v="18.37214089021578"/>
    <n v="23.36920626906169"/>
    <n v="23.97579601941046"/>
    <n v="22.9719554094506"/>
    <x v="0"/>
    <m/>
    <x v="10"/>
    <x v="6"/>
    <s v="Projet OCM (HUAWEI)"/>
    <x v="5"/>
    <s v="{05-25-2026 BOTX}: No supervision"/>
  </r>
  <r>
    <s v="BTS-Mobile-OKPLASTCAM"/>
    <s v="LIT_780"/>
    <s v="Douala"/>
    <s v="WAS ORANGE"/>
    <m/>
    <s v="LITTORAL"/>
    <s v="Douala"/>
    <s v="ZTE"/>
    <n v="9.245704599738039"/>
    <n v="9.245704599738039"/>
    <n v="9.245704599738039"/>
    <n v="9.245704599738039"/>
    <n v="9.245704599738039"/>
    <n v="9.245704599738039"/>
    <n v="9.245704599738039"/>
    <n v="9.245704599738039"/>
    <n v="9.245704599738039"/>
    <n v="9.245704599738039"/>
    <n v="9.245704599738039"/>
    <n v="0.5144528340652849"/>
    <n v="9.245704599738039"/>
    <n v="9.245704599738039"/>
    <n v="20.49469870132094"/>
    <n v="0.7195740697936552"/>
    <n v="8.234705350238132"/>
    <n v="9.245704599738039"/>
    <n v="9.245704599738039"/>
    <n v="9.245704599738039"/>
    <n v="0"/>
    <n v="9.245704599738039"/>
    <n v="9.245704599738039"/>
    <n v="9.245704599738039"/>
    <m/>
    <n v="9.245704599738039"/>
    <m/>
    <n v="9.245704599738039"/>
    <m/>
    <n v="9.245704599738039"/>
    <m/>
    <m/>
    <n v="9.245704599738039"/>
    <n v="9.245704599738039"/>
    <n v="9.245704599738039"/>
    <n v="9.245704599738039"/>
    <m/>
    <n v="9.245704599738039"/>
    <n v="0"/>
    <n v="18.75057376296705"/>
    <n v="30.10777753700748"/>
    <n v="21.99564538727802"/>
    <x v="0"/>
    <m/>
    <x v="2"/>
    <x v="1"/>
    <s v="no root cause"/>
    <x v="1"/>
    <s v="{05-25-2026 BOTX}: Incident"/>
  </r>
  <r>
    <s v="Maroua-Zokok-Laddeo-IHS"/>
    <s v="EXN_170"/>
    <s v="Maroua"/>
    <s v="IHS"/>
    <s v="Grid-Gen"/>
    <s v="EXTREME-NORD"/>
    <s v="Maroua"/>
    <s v="Huawei"/>
    <n v="0"/>
    <n v="0"/>
    <n v="0"/>
    <n v="0"/>
    <n v="0"/>
    <n v="0"/>
    <n v="0"/>
    <n v="0"/>
    <n v="0"/>
    <n v="0.5646585795287543"/>
    <n v="0"/>
    <n v="0.000802578524282816"/>
    <n v="0"/>
    <n v="0"/>
    <n v="0"/>
    <n v="1.031224228311831"/>
    <n v="0"/>
    <n v="0"/>
    <n v="0"/>
    <n v="0"/>
    <n v="0"/>
    <n v="0"/>
    <n v="0"/>
    <n v="0"/>
    <m/>
    <n v="0"/>
    <m/>
    <n v="0.2518134707633128"/>
    <m/>
    <n v="0"/>
    <m/>
    <m/>
    <n v="0.5983668775486326"/>
    <n v="0"/>
    <n v="0"/>
    <n v="0"/>
    <m/>
    <n v="3.21177657355329"/>
    <n v="24.78428034163439"/>
    <n v="29.35706034456379"/>
    <n v="15.39254038921612"/>
    <n v="21.42173040210254"/>
    <x v="0"/>
    <m/>
    <x v="4"/>
    <x v="0"/>
    <s v="Defaut GE &amp; Power Cabinet"/>
    <x v="0"/>
    <s v="{hourly IHS}: 25/05/2026 04:25 1:58:47 47V FME Albane managing with level 0 ETA : 05H30      ;      {05-25-2026 ocm ran 17H}: 25.05.26: Besoin d'un FME sur site pour vérifier le statut du MPR; CM-20260525-00006088; FME Sadjo activé pour investigations, update ASAP"/>
  </r>
  <r>
    <s v="La-Gare"/>
    <s v="CTR_019"/>
    <s v="Yaounde"/>
    <s v="CAMUSAT"/>
    <s v="Good Grid + GE"/>
    <s v="CENTRE"/>
    <s v="Yaounde"/>
    <s v="ZTE"/>
    <n v="1.714593089121174"/>
    <n v="0.3818846969320811"/>
    <n v="1.639667925109794"/>
    <n v="0"/>
    <n v="0.7512670039636685"/>
    <n v="0"/>
    <n v="1.199765718411223"/>
    <n v="2.97473054763678"/>
    <n v="1.779084732316877"/>
    <n v="0.3229397630930872"/>
    <n v="2.787373049912536"/>
    <n v="0.4120616494451152"/>
    <n v="13.86855689960706"/>
    <n v="13.86855689960706"/>
    <n v="13.86855689960706"/>
    <n v="24.2340368915028"/>
    <n v="1.074492128309834"/>
    <n v="0.1120934672248333"/>
    <n v="0.01178898676779877"/>
    <n v="0.02040332959510069"/>
    <n v="1.20663222356342"/>
    <n v="2.047413485602097"/>
    <n v="7.303054364172325"/>
    <n v="5.265592852271333"/>
    <m/>
    <n v="0"/>
    <m/>
    <n v="1.68646717061464"/>
    <m/>
    <n v="0.0967552998718728"/>
    <m/>
    <m/>
    <n v="0.3292712158957622"/>
    <n v="0.1411824799605056"/>
    <n v="3.613743568670758"/>
    <n v="2.4465447032671"/>
    <m/>
    <n v="6.916086669919785"/>
    <n v="18.16581338001431"/>
    <n v="15.53951994315072"/>
    <n v="25.06353736426575"/>
    <n v="20.88122051861554"/>
    <x v="0"/>
    <m/>
    <x v="2"/>
    <x v="1"/>
    <s v="no root cause"/>
    <x v="1"/>
    <s v=""/>
  </r>
  <r>
    <s v="Ayene"/>
    <s v="CTR_651"/>
    <s v="Yaounde"/>
    <s v="CAMUSAT"/>
    <s v="Good Grid + GE"/>
    <s v="CENTRE"/>
    <s v="Yaounde"/>
    <s v="ZTE"/>
    <n v="15.18050526063471"/>
    <n v="0"/>
    <n v="5.679937391741077"/>
    <n v="9.277308358516462"/>
    <n v="0"/>
    <n v="0"/>
    <n v="0"/>
    <n v="11.45317007816045"/>
    <n v="23.30274260700333"/>
    <n v="0.1722155162327752"/>
    <n v="0"/>
    <n v="3.168169807067257"/>
    <n v="3.024740107238758"/>
    <n v="0"/>
    <n v="0"/>
    <n v="0"/>
    <n v="0.2847548604155432"/>
    <n v="0"/>
    <n v="0"/>
    <n v="1.7707022455077"/>
    <n v="0.9567627763367034"/>
    <n v="11.2489941015829"/>
    <n v="0"/>
    <n v="0.8856008138502937"/>
    <m/>
    <n v="0"/>
    <m/>
    <n v="0"/>
    <m/>
    <n v="0.1260761686256713"/>
    <m/>
    <m/>
    <n v="0"/>
    <n v="68.46219534119217"/>
    <n v="13.86855689960706"/>
    <n v="48.41831391450006"/>
    <m/>
    <n v="0.1282877183370287"/>
    <n v="9.315462273539321"/>
    <n v="8.188872568520049"/>
    <n v="32.13462561314343"/>
    <n v="20.83718571024989"/>
    <x v="2"/>
    <s v="Site vendalisé"/>
    <x v="9"/>
    <x v="5"/>
    <s v="EXCLU"/>
    <x v="4"/>
    <s v="{05-25-2026 ocm ran 22H}: 25.05.26: BO TX analysis ongoing      ;      {05-25-2026 ticket}: INC-20260525-00018842...2026-05-26 01:12:42...Site resté down après la remontée de CTR_351_Z_Mimboman-Nodal(CTR-351) // INC-20260525-00019122. BO Tx Analysis ongoing...power ...user:OCM_NOC.CAMUSAT"/>
  </r>
  <r>
    <s v="Bertoua-Camtel"/>
    <s v="EST_143"/>
    <s v="CENTRE"/>
    <s v="CAMUSAT"/>
    <s v="Good Grid + GE"/>
    <s v="EST"/>
    <s v="Bertoua"/>
    <s v="ZTE"/>
    <n v="0"/>
    <n v="0"/>
    <n v="1.105489494425468"/>
    <n v="1.362403797587556"/>
    <n v="0"/>
    <n v="0"/>
    <n v="0"/>
    <n v="0"/>
    <n v="0"/>
    <n v="3.676273353251549"/>
    <n v="6.389024435484102"/>
    <n v="0"/>
    <n v="1.107487023197016"/>
    <n v="0.6877562900754218"/>
    <n v="3.327597572146457"/>
    <n v="0.3422551529108276"/>
    <n v="1.884151178684655"/>
    <n v="1.191989624264838"/>
    <n v="1.072013052423716"/>
    <n v="6.086149135498084"/>
    <n v="0"/>
    <n v="4.722675233211485"/>
    <n v="5.752115953691576"/>
    <n v="3.138367391198888"/>
    <m/>
    <n v="0.6852950492676206"/>
    <m/>
    <n v="2.573976337844894"/>
    <m/>
    <n v="4.482490233511114"/>
    <m/>
    <m/>
    <n v="3.293140200837249"/>
    <n v="6.832511492924469"/>
    <n v="0"/>
    <n v="1.273709953115146"/>
    <m/>
    <n v="3.137422132048067"/>
    <n v="13.60225351606057"/>
    <n v="23.83969190203698"/>
    <n v="20.46920247030317"/>
    <n v="20.62011497204886"/>
    <x v="0"/>
    <m/>
    <x v="4"/>
    <x v="0"/>
    <s v="Defaut GE &amp; Power Cabinet"/>
    <x v="0"/>
    <s v="{05-25-2026  incident}: impacted by   EST_051_Z_Bertoua-Ngaikada(EST-051), Soucis  d'energie ,  Action: En Attente RCA IHS"/>
  </r>
  <r>
    <s v="Bertoua-Hopital-IHS"/>
    <s v="EST_152"/>
    <s v="CENTRE"/>
    <s v="IHS"/>
    <s v="Grid + Gen"/>
    <s v="EST"/>
    <s v="Bertoua"/>
    <s v="ZTE"/>
    <n v="33.56074841695845"/>
    <n v="0.468188640909959"/>
    <n v="0"/>
    <n v="1.490869866707759"/>
    <n v="0.1206186346605488"/>
    <n v="0.5226212999346518"/>
    <n v="1.295914625620303"/>
    <n v="0"/>
    <n v="9.696664554993392"/>
    <n v="10.81174932155362"/>
    <n v="14.17895860264302"/>
    <n v="0"/>
    <n v="0.7505536008309733"/>
    <n v="11.70887159599695"/>
    <n v="0"/>
    <n v="0.01508847625651673"/>
    <n v="9.408289173679419"/>
    <n v="0"/>
    <n v="2.252695237035325"/>
    <n v="22.91720171901619"/>
    <n v="0"/>
    <n v="9.410340207685921"/>
    <n v="0.6840465937854029"/>
    <n v="4.006293642436643"/>
    <m/>
    <n v="0"/>
    <m/>
    <n v="0"/>
    <m/>
    <n v="0"/>
    <m/>
    <m/>
    <n v="20.07432590537992"/>
    <n v="8.82804273570126"/>
    <n v="6.603865788895452"/>
    <n v="6.47800364120959"/>
    <m/>
    <n v="1.589265993784833"/>
    <n v="12.19767774140818"/>
    <n v="20.81766110414095"/>
    <n v="19.95240135531785"/>
    <n v="19.13550521783051"/>
    <x v="0"/>
    <m/>
    <x v="4"/>
    <x v="0"/>
    <s v="Defaut GE &amp; Power Cabinet"/>
    <x v="0"/>
    <s v="{05-25-2026  incident}:    impacted by  EST_051_Z_Bertoua-Ngaikada   ,Cause:   Souci Energie   Action:   En Attente RCA IHS      ;      {05-25-2026 ticket}: INC-20260525-00001404...problème de power sur site ...Grid Outage"/>
  </r>
  <r>
    <s v="EST_201_Z_Bertoua-Qtier-Toungou"/>
    <s v="EST_201"/>
    <s v="CENTRE"/>
    <s v="ESCO"/>
    <s v="Hybrid Solar - S1"/>
    <s v="EST"/>
    <s v="Bertoua"/>
    <s v="ZTE"/>
    <n v="0"/>
    <n v="0"/>
    <n v="0"/>
    <n v="0.6888799000094165"/>
    <n v="0"/>
    <n v="0"/>
    <n v="0"/>
    <n v="0"/>
    <n v="0"/>
    <n v="0"/>
    <n v="0"/>
    <n v="0"/>
    <n v="0"/>
    <n v="0"/>
    <n v="0"/>
    <n v="0"/>
    <n v="0"/>
    <n v="0"/>
    <n v="0"/>
    <n v="0"/>
    <n v="0"/>
    <n v="0"/>
    <n v="0.4439329343983017"/>
    <n v="0.01951157567923185"/>
    <m/>
    <n v="0"/>
    <m/>
    <n v="0"/>
    <m/>
    <n v="0"/>
    <m/>
    <m/>
    <n v="0"/>
    <n v="0.5071226168768351"/>
    <n v="0"/>
    <n v="0"/>
    <m/>
    <n v="1.884882416895668"/>
    <n v="12.19567941201156"/>
    <n v="20.76256923406469"/>
    <n v="19.87945206154089"/>
    <n v="19.07868265831129"/>
    <x v="0"/>
    <m/>
    <x v="2"/>
    <x v="1"/>
    <s v="no root cause"/>
    <x v="1"/>
    <s v=""/>
  </r>
  <r>
    <s v="NRO_147_H_Bambili-Campus-two-IHS"/>
    <s v="NRO_147"/>
    <s v="NORD-OUEST"/>
    <s v="IHS"/>
    <s v="Hybrid Gen"/>
    <s v="NRO"/>
    <s v="Tubah"/>
    <s v="Huawei"/>
    <n v="0"/>
    <n v="0"/>
    <n v="0"/>
    <n v="0"/>
    <n v="0"/>
    <n v="8.917539158697954e-05"/>
    <n v="0"/>
    <n v="0"/>
    <n v="0"/>
    <n v="0"/>
    <n v="0"/>
    <n v="0"/>
    <n v="0"/>
    <s v=""/>
    <n v="0"/>
    <n v="0"/>
    <n v="0"/>
    <n v="16.44041086313218"/>
    <n v="0"/>
    <n v="1.779298753256686"/>
    <n v="0"/>
    <n v="0"/>
    <n v="0.1862873930252002"/>
    <n v="0"/>
    <m/>
    <n v="0"/>
    <m/>
    <n v="0"/>
    <m/>
    <n v="10.09338803708555"/>
    <m/>
    <m/>
    <n v="0"/>
    <n v="0"/>
    <n v="3.186272411559413"/>
    <n v="0"/>
    <m/>
    <n v="1.90692657369597"/>
    <n v="26.55592424732924"/>
    <n v="45.18064608260146"/>
    <n v="0.1244891839419349"/>
    <n v="19.0247672165578"/>
    <x v="1"/>
    <m/>
    <x v="2"/>
    <x v="1"/>
    <s v="no root cause"/>
    <x v="1"/>
    <s v=""/>
  </r>
  <r>
    <s v="Ahala-IHS"/>
    <s v="CTR_164"/>
    <s v="Yaounde"/>
    <s v="IHS"/>
    <s v="Grid-Gen"/>
    <s v="CENTRE"/>
    <s v="Yaounde"/>
    <s v="ZTE"/>
    <n v="0"/>
    <n v="0"/>
    <n v="0"/>
    <n v="0"/>
    <n v="0.9452413157436667"/>
    <n v="0"/>
    <n v="0"/>
    <n v="0"/>
    <n v="0"/>
    <n v="0"/>
    <n v="0.02183013586049237"/>
    <n v="0"/>
    <n v="0"/>
    <n v="0"/>
    <n v="0"/>
    <n v="0"/>
    <n v="0"/>
    <n v="0"/>
    <n v="0"/>
    <n v="0"/>
    <n v="0"/>
    <n v="0"/>
    <n v="0"/>
    <n v="0"/>
    <m/>
    <n v="0"/>
    <m/>
    <n v="0"/>
    <m/>
    <n v="0"/>
    <m/>
    <m/>
    <n v="6.243472361335835"/>
    <n v="0.9669822762125724"/>
    <n v="10.50350566299407"/>
    <n v="2.028954179543591"/>
    <m/>
    <n v="9.857055414301733"/>
    <n v="8.675622179857639"/>
    <n v="9.240611962830359"/>
    <n v="27.63454681559404"/>
    <n v="18.75215804447641"/>
    <x v="0"/>
    <m/>
    <x v="4"/>
    <x v="0"/>
    <s v="Defaut GE &amp; Power Cabinet"/>
    <x v="0"/>
    <s v="{hourly IHS}: 25/05/2026 11:14 1:46:00 25 site went down due to insufisency of rectifiers      ;      (05/25/2026 cell zte): 25/05/2026 : Power issue || Mail sent to IHS       ;      (05/25/2026 cell zte): 25/05/2026 : Power issue || Mail sent to IHS       ;      (05/25/2026 cell zte): 25/05/2026 : Power issue || Mail sent to IHS       ;      {05-25-2026 ticket}: INC-20260525-00017058...Grid Outage"/>
  </r>
  <r>
    <s v="Foumbot"/>
    <s v="OST_005"/>
    <s v="OUEST"/>
    <s v="IHS"/>
    <s v="Grid-Gen"/>
    <s v="OUEST"/>
    <s v="Foumbot"/>
    <s v="Huawei"/>
    <n v="2.147200748787928"/>
    <n v="1.148579043640297"/>
    <n v="0"/>
    <n v="0"/>
    <n v="0"/>
    <n v="3.524746527866953"/>
    <n v="0"/>
    <n v="0"/>
    <n v="0"/>
    <n v="0"/>
    <n v="1.705211837926223"/>
    <n v="0"/>
    <n v="0"/>
    <n v="0"/>
    <n v="0"/>
    <n v="0"/>
    <n v="0"/>
    <n v="3.4716871698727"/>
    <n v="0"/>
    <n v="0"/>
    <n v="0"/>
    <n v="0"/>
    <n v="0"/>
    <n v="0"/>
    <m/>
    <n v="0"/>
    <m/>
    <n v="0.9823382786438489"/>
    <m/>
    <n v="0"/>
    <m/>
    <m/>
    <n v="0"/>
    <n v="0"/>
    <n v="16.76711382775024"/>
    <n v="18.49140919947608"/>
    <m/>
    <n v="14.15748516834887"/>
    <n v="32.37293622531563"/>
    <n v="41.31093362709997"/>
    <n v="0"/>
    <n v="18.49140919947608"/>
    <x v="0"/>
    <m/>
    <x v="4"/>
    <x v="0"/>
    <s v="Defaut GE &amp; Power Cabinet"/>
    <x v="0"/>
    <s v="{05-25-2026 groupe whatsapp incident}:    impacted by OST_005_H_Foumbot ,Cause: Probleme energie    Action: RCA attendu de IHS"/>
  </r>
  <r>
    <s v="Garoua-Nigeriare-II"/>
    <s v="NRD_140"/>
    <s v="Garoua"/>
    <s v="CAMUSAT"/>
    <s v="Medium Grid + GE"/>
    <s v="NORD"/>
    <s v="Garoua"/>
    <s v="Huawei"/>
    <n v="0"/>
    <n v="0"/>
    <n v="0"/>
    <n v="0"/>
    <n v="0"/>
    <n v="0"/>
    <n v="0"/>
    <n v="0"/>
    <n v="5.825382455419438"/>
    <n v="0"/>
    <n v="0"/>
    <n v="0.3886441916143742"/>
    <n v="0"/>
    <n v="2.422895389418234"/>
    <n v="0.4726117403326742"/>
    <n v="11.68796888420896"/>
    <n v="0"/>
    <n v="2.196942782215145"/>
    <n v="1.367665145691187"/>
    <n v="0"/>
    <n v="0.004476604657666361"/>
    <n v="0"/>
    <n v="5.771698869684077"/>
    <n v="0"/>
    <m/>
    <n v="0.3410958728201967"/>
    <m/>
    <n v="0"/>
    <m/>
    <n v="0"/>
    <m/>
    <m/>
    <n v="0"/>
    <n v="0"/>
    <n v="0"/>
    <n v="0"/>
    <m/>
    <n v="13.67620557995394"/>
    <n v="32.37293622531563"/>
    <n v="41.31093362709997"/>
    <n v="0"/>
    <n v="18.49140919947608"/>
    <x v="0"/>
    <m/>
    <x v="5"/>
    <x v="2"/>
    <s v="MPR ISSUE"/>
    <x v="2"/>
    <s v="{05-25-2026 ocm ran 22H}: Impacted by NRD_065_H_Garoua-Roumde-Adja (TX issue)      ;      {05-25-2026 ocm ran 17H}: Impacted by NRD_065_H_Garoua-Roumde-Adja    ;  ;{05-25-2026   groupe whatsapp   incident}:  NRD_065_H_Garoua-Roumde-Adja -{ 25.05.26: Besoin d'un FME sur site pour vérifier le statut du MPR; CM-20260525-00005503; FME Armel activé pour investigations, update ASAP } "/>
  </r>
  <r>
    <s v="Garoua-Foulbere-II"/>
    <s v="NRD_139"/>
    <s v="Garoua"/>
    <s v="CAMUSAT"/>
    <s v="Good Grid + GE"/>
    <s v="NORD"/>
    <s v="Garoua"/>
    <s v="Huawei"/>
    <n v="0"/>
    <n v="0"/>
    <n v="0"/>
    <n v="2.214474664201145"/>
    <n v="2.70290611900135"/>
    <n v="0"/>
    <n v="0"/>
    <n v="0.5812095322072979"/>
    <n v="1.162722260745991"/>
    <n v="0"/>
    <n v="1.541057777092911"/>
    <n v="0.3518147548889516"/>
    <n v="0"/>
    <n v="4.75688291342425"/>
    <n v="0"/>
    <n v="0"/>
    <n v="0"/>
    <n v="8.117707236476015"/>
    <n v="0"/>
    <n v="2.346382903436605"/>
    <n v="0.04271501257016337"/>
    <n v="1.453202181301418"/>
    <n v="5.801768811727205"/>
    <n v="0"/>
    <m/>
    <n v="0"/>
    <m/>
    <n v="0"/>
    <m/>
    <n v="0"/>
    <m/>
    <m/>
    <n v="1.479758612916021"/>
    <n v="0"/>
    <n v="0.1247563728301844"/>
    <n v="5.539932026949517"/>
    <m/>
    <n v="13.67593805377918"/>
    <n v="32.37293622531563"/>
    <n v="41.31093362709997"/>
    <n v="0"/>
    <n v="18.49140919947608"/>
    <x v="0"/>
    <m/>
    <x v="4"/>
    <x v="0"/>
    <s v="Defaut GE &amp; Power Cabinet"/>
    <x v="0"/>
    <s v="{05-25-2026 ocm ran 22H}: 25.05.26: Besoin d'un FME sur NRD_082_H_Garoua-Yelwa-Orange-IHS pour vérifier le statut de la carte MPT sur le slot 5 et la remplacer au besoin; CM-20260525-00005422; FME Armel activé pour investigations, update ASAP_x000a_Impacted by NRD_082_H_Garoua-Yelwa-Orange-IHS (Power issue)      ;      {05-25-2026 ocm ran 17H}: 25.05.26: Besoin d'un FME sur NRD_082_H_Garoua-Yelwa-Orange-IHS pour vérifier le statut de la carte MPT sur le slot 5 et la remplacer au besoin; CM-20260525-00005422; FME Armel activé pour investigations, update ASAP_x000a_Impacted by NRD_082_H_Garoua-Yelwa-Orange-IHS (Power issue)"/>
  </r>
  <r>
    <s v="Garoua-Lycee-Technique-MTN"/>
    <s v="NRD_063"/>
    <s v="Garoua"/>
    <s v="IHS"/>
    <s v="Grid-Gen"/>
    <s v="NORD"/>
    <s v="Garoua"/>
    <s v="Huawei"/>
    <n v="0"/>
    <n v="0"/>
    <n v="0"/>
    <n v="0"/>
    <n v="0"/>
    <n v="0"/>
    <n v="0"/>
    <n v="0"/>
    <n v="3.784246917385063"/>
    <n v="0"/>
    <n v="0"/>
    <n v="0.8394079610082383"/>
    <n v="0"/>
    <n v="2.625680229887026"/>
    <n v="0.3176427448328211"/>
    <n v="12.92759600265957"/>
    <n v="0"/>
    <n v="2.353606110155151"/>
    <n v="1.59598981831049"/>
    <n v="0"/>
    <n v="0"/>
    <n v="0"/>
    <n v="0"/>
    <n v="0"/>
    <m/>
    <n v="0.3751608724064228"/>
    <m/>
    <n v="0"/>
    <m/>
    <n v="0"/>
    <m/>
    <m/>
    <n v="0"/>
    <n v="0"/>
    <n v="0"/>
    <n v="0"/>
    <m/>
    <n v="13.67593805377918"/>
    <n v="32.37293622531563"/>
    <n v="41.31093362709997"/>
    <n v="0"/>
    <n v="18.49140919947608"/>
    <x v="0"/>
    <m/>
    <x v="5"/>
    <x v="2"/>
    <s v="MPR ISSUE"/>
    <x v="2"/>
    <s v="{05-25-2026 ocm ran 22H}: Impacted by NRD_065_H_Garoua-Roumde-Adja (TX issue)      ;      {05-25-2026 ocm ran 17H}: Impacted by NRD_065_H_Garoua-Roumde-Adja  ;{05-25-2026   groupe whatsapp   incident}:  NRD_065_H_Garoua-Roumde-Adja -{ 25.05.26: Besoin d'un FME sur site pour vérifier le statut du MPR; CM-20260525-00005503; FME Armel activé pour investigations, update ASAP } "/>
  </r>
  <r>
    <s v="Buea-Wokoko-IHS"/>
    <s v="SUO_185"/>
    <s v="SUD-OUEST"/>
    <s v="IHS"/>
    <s v="Grid-Gen"/>
    <s v="SUD-OUEST"/>
    <s v="Buea"/>
    <s v="Huawei"/>
    <n v="0"/>
    <n v="0.4997388944534333"/>
    <n v="0"/>
    <n v="0"/>
    <n v="0.1690765424489132"/>
    <n v="0"/>
    <n v="0.1642075660682641"/>
    <n v="1.949588081031182"/>
    <n v="1.947323026084872"/>
    <n v="1.140838619650547"/>
    <n v="0"/>
    <n v="1.166449792114326"/>
    <n v="0"/>
    <n v="0"/>
    <n v="0"/>
    <n v="0.8668918166953453"/>
    <n v="1.946181581072558"/>
    <n v="0"/>
    <n v="0"/>
    <n v="0"/>
    <n v="9.796612333884081"/>
    <n v="0"/>
    <n v="0"/>
    <n v="0"/>
    <m/>
    <n v="0"/>
    <m/>
    <n v="0"/>
    <m/>
    <n v="0"/>
    <m/>
    <m/>
    <n v="0"/>
    <n v="0"/>
    <n v="0"/>
    <n v="0.0002675261747609386"/>
    <m/>
    <n v="5.758946788687139"/>
    <n v="32.37293622531563"/>
    <n v="41.31093362709997"/>
    <n v="0"/>
    <n v="18.49140919947608"/>
    <x v="0"/>
    <m/>
    <x v="4"/>
    <x v="0"/>
    <s v="Defaut GE &amp; Power Cabinet"/>
    <x v="0"/>
    <s v="{05-25-2026 ocm ran 22H}: 25.05.26: IHS: 36v : Grid outag, low fuel.      ;      {05-25-2026 ocm ran 17H}: 25.05.26: IHS: 36v : Grid outag, low fuel."/>
  </r>
  <r>
    <s v="Maroua-Massalare"/>
    <s v="EXN_087"/>
    <s v="Maroua"/>
    <s v="IHS"/>
    <s v="Grid-Gen"/>
    <s v="EXTREME-NORD"/>
    <s v="Maroua"/>
    <s v="Huawei"/>
    <n v="0.2713607165991788"/>
    <n v="0.6952826931253621"/>
    <n v="0"/>
    <n v="0"/>
    <n v="0"/>
    <n v="0"/>
    <n v="0"/>
    <n v="0"/>
    <n v="0"/>
    <n v="0"/>
    <n v="0"/>
    <n v="0"/>
    <n v="0"/>
    <n v="0"/>
    <n v="0"/>
    <n v="0"/>
    <n v="0"/>
    <n v="0"/>
    <n v="0"/>
    <n v="0"/>
    <n v="0"/>
    <n v="0"/>
    <n v="0"/>
    <n v="0"/>
    <m/>
    <n v="0"/>
    <m/>
    <n v="0"/>
    <m/>
    <n v="0"/>
    <m/>
    <m/>
    <n v="0"/>
    <n v="0"/>
    <n v="0"/>
    <n v="0"/>
    <m/>
    <n v="3.262927578167581"/>
    <n v="32.37293622531563"/>
    <n v="41.31093362709997"/>
    <n v="0"/>
    <n v="18.49140919947608"/>
    <x v="0"/>
    <m/>
    <x v="4"/>
    <x v="0"/>
    <s v="Defaut GE &amp; Power Cabinet"/>
    <x v="0"/>
    <s v="{05-25-2026 ocm ran 22H}: 25.05.26: Besoin d'un FME sur EXN_016_MAROUA-DOUGGOY pour vérifier la chaine antennaire de l'ODU 3.1 sur le 10G_MPR_MAROUA-DOUGGOY_1; CM-20260525-00005737; FME Sadjo activé pour investigations, update ASAP      ;    EXN_087_H_Maroua-Massalare  //  INC-20260524-00022105  , 26/05/2026 FME activé, ETA 12H"/>
  </r>
  <r>
    <s v="Ngd-Sabonbari-America-IHS"/>
    <s v="ADM_155"/>
    <s v="Ngaoundere"/>
    <s v="IHS"/>
    <s v="Grid-Gen"/>
    <s v="ADAMAOUA"/>
    <s v="Ngaoundere"/>
    <s v="Huawei"/>
    <n v="1.500304623137661"/>
    <n v="0.8603641780311783"/>
    <n v="0"/>
    <n v="0"/>
    <n v="0"/>
    <n v="0"/>
    <n v="0"/>
    <n v="0"/>
    <n v="0"/>
    <n v="0"/>
    <n v="0"/>
    <n v="0"/>
    <n v="0"/>
    <n v="0.002140209398087509"/>
    <n v="0"/>
    <n v="0"/>
    <n v="0"/>
    <n v="0"/>
    <n v="0"/>
    <n v="0.0001783507831739591"/>
    <n v="0"/>
    <n v="0"/>
    <n v="0"/>
    <n v="0"/>
    <m/>
    <n v="0"/>
    <m/>
    <n v="0"/>
    <m/>
    <n v="0"/>
    <m/>
    <m/>
    <n v="0"/>
    <n v="0"/>
    <n v="0"/>
    <n v="2.714249228811214"/>
    <m/>
    <n v="13.67593805377918"/>
    <n v="32.3710627915063"/>
    <n v="41.31093362709997"/>
    <n v="0"/>
    <n v="18.49114167330132"/>
    <x v="0"/>
    <m/>
    <x v="5"/>
    <x v="2"/>
    <s v="MPR ISSUE"/>
    <x v="2"/>
    <s v="{05-25-2026   groupe whatsapp   incident}:  ADM_155_H_Ngd-Sabonbari-America-IHS -{ 25.05.26: Besoin d'un FME sur site pour vérifier le statut du MPR, FME Herve activé pour investigations, update ASAP }    ;         {05-25-2026 ocm ran 22H}: 25.05.26: Besoin d'un FME sur site pour vérifier le statut du MPR; CM-20260525-00005467; FME Ndewa activé pour investigations, update ASAP_x000a_24/05/2026 Low Grid Voltages. // Grid switched-off and Manual start of Gen. Escalade L2 IHS _x000a_23/05/2026 Power issue and power alarm IHS awaiting      ;      {05-25-2026 ocm ran 17H}: 25.05.26: Besoin d'un FME sur site pour vérifier le statut du MPR; CM-20260525-00005467; FME Herve activé pour investigations, update ASAP_x000a_24/05/2026 Low Grid Voltages. // Grid switched-off and Manual start of Gen. Escalade L2 IHS _x000a_23/05/2026 Power issue and power alarm IHS awaiting"/>
  </r>
  <r>
    <s v="Garoua-Roumde-Adja"/>
    <s v="NRD_065"/>
    <s v="Garoua"/>
    <s v="IHS"/>
    <s v="Grid-Gen"/>
    <s v="NORD"/>
    <s v="Garoua"/>
    <s v="Huawei"/>
    <n v="0"/>
    <n v="0"/>
    <n v="0"/>
    <n v="0"/>
    <n v="0"/>
    <n v="0"/>
    <n v="0"/>
    <n v="0"/>
    <n v="1.791355266199245"/>
    <n v="0"/>
    <n v="0"/>
    <n v="0.8626649031341227"/>
    <n v="0"/>
    <n v="0"/>
    <n v="0"/>
    <n v="0"/>
    <n v="0"/>
    <n v="0.9790209540768134"/>
    <n v="0.6989032140237934"/>
    <n v="0"/>
    <n v="0.1000012841256388"/>
    <n v="0"/>
    <n v="0"/>
    <n v="0"/>
    <m/>
    <n v="0.1885881181281443"/>
    <m/>
    <n v="0"/>
    <m/>
    <n v="0"/>
    <m/>
    <m/>
    <n v="0"/>
    <n v="0"/>
    <n v="0.0002675261747609386"/>
    <n v="0"/>
    <m/>
    <n v="13.67593805377918"/>
    <n v="32.3710627915063"/>
    <n v="41.31093362709997"/>
    <n v="0"/>
    <n v="18.49114167330132"/>
    <x v="0"/>
    <m/>
    <x v="5"/>
    <x v="2"/>
    <s v="MPR ISSUE"/>
    <x v="2"/>
    <s v="{05-25-2026 ocm ran 22H}: 25.05.26: Besoin d'un FME sur site pour vérifier le statut du MPR; CM-20260525-00005503; FME Armel activé pour investigations, update ASAP_x000a_24/05/2026 Low oil pressure // Added oil and started GEN manaully      ;      {05-25-2026 ocm ran 17H}: 25.05.26: Besoin d'un FME sur site pour vérifier le statut du MPR; CM-20260525-00005503; FME Armel activé pour investigations, update ASAP_x000a_24/05/2026 Low oil pressure // Added oil and started GEN manaully"/>
  </r>
  <r>
    <s v="Douggoy-Lopere-II"/>
    <s v="EXN_217"/>
    <s v="Maroua"/>
    <s v="CAMUSAT"/>
    <s v="Medium Grid + GE"/>
    <s v="EXTREME-NORD"/>
    <s v="Maroua"/>
    <s v="Huawei"/>
    <n v="0.2487993425276729"/>
    <n v="0.6737379185179478"/>
    <n v="0"/>
    <n v="0"/>
    <n v="0"/>
    <n v="0"/>
    <n v="0"/>
    <n v="0"/>
    <n v="0"/>
    <n v="0"/>
    <n v="0"/>
    <n v="0"/>
    <n v="0"/>
    <n v="0"/>
    <n v="0"/>
    <n v="0"/>
    <n v="3.962972237203688"/>
    <n v="0"/>
    <n v="0"/>
    <n v="0"/>
    <n v="0"/>
    <n v="0.06228009348434652"/>
    <n v="0"/>
    <n v="0"/>
    <m/>
    <n v="0"/>
    <m/>
    <n v="0"/>
    <m/>
    <n v="0"/>
    <m/>
    <m/>
    <n v="0"/>
    <n v="0"/>
    <n v="0"/>
    <n v="0"/>
    <m/>
    <n v="3.26355180590869"/>
    <n v="32.3710627915063"/>
    <n v="41.31093362709997"/>
    <n v="0"/>
    <n v="18.49114167330132"/>
    <x v="0"/>
    <m/>
    <x v="5"/>
    <x v="2"/>
    <s v="ODU HS"/>
    <x v="2"/>
    <s v="{05-25-2026 ocm ran 22H}: Impacted by EXN_087_H_Maroua-Massalare (TX issue)      ;      {05-25-2026 ocm ran 17H}: Impacted by EXN_087_H_Maroua-Massalare (TX issue)   ;  {05-25-2026   groupe whatsapp   incident}:   EXN_087_H_Maroua-Massalare  //  INC-20260524-00022105   Besoin d'un FME sur EXN_016_MAROUA-DOUGGOY pour vérifier la chaine antennaire de l'ODU 3.1 sur le 10G_MPR_MAROUA-DOUGGOY_1; CM-20260525-00005737; FME Sadjo activé pour investigations, update ASAP  ; 26/05/2026 FME activé, ETA 12H"/>
  </r>
  <r>
    <s v="NRD_260_H_Garoua-Djagara"/>
    <s v="NRD_260"/>
    <s v="Garoua"/>
    <s v="ESCO"/>
    <s v="Hybrid Solar - S1"/>
    <s v="NRD"/>
    <s v="Garoua"/>
    <s v="Huawei"/>
    <n v="0"/>
    <n v="0"/>
    <n v="0"/>
    <n v="0"/>
    <n v="0"/>
    <n v="0"/>
    <n v="0"/>
    <n v="0"/>
    <n v="8.917539158697954e-05"/>
    <n v="0"/>
    <n v="0"/>
    <n v="13.86855689960706"/>
    <n v="0"/>
    <n v="0"/>
    <n v="0"/>
    <n v="0"/>
    <n v="0"/>
    <n v="0"/>
    <n v="0"/>
    <n v="0"/>
    <n v="0"/>
    <n v="0"/>
    <n v="17.48156923006681"/>
    <n v="0"/>
    <m/>
    <n v="0"/>
    <m/>
    <n v="0"/>
    <m/>
    <n v="0"/>
    <m/>
    <m/>
    <n v="0"/>
    <n v="10.86825084966313"/>
    <n v="18.43665550904167"/>
    <n v="18.49140919947608"/>
    <m/>
    <n v="13.67317361663999"/>
    <n v="32.3710627915063"/>
    <n v="41.30960547208367"/>
    <n v="0"/>
    <n v="18.49069579634338"/>
    <x v="0"/>
    <m/>
    <x v="5"/>
    <x v="2"/>
    <s v="MPR ISSUE"/>
    <x v="2"/>
    <s v="{05-25-2026 ocm ran 22H}: 24/05/2026 Retour FME : Site scellé par le bailleur pour loyer impayé point transmis a camusat _x000a_24/05/2026 besoin d'un fme sur site pour verifier le status du MPR FME seydou  activé sur site Bibemiré NRD_039      ;      {05-25-2026 ocm ran 17H}: 24/05/2026 Retour FME : Site scellé par le bailleur pour loyer impayé point transmis a camusat _x000a_24/05/2026 besoin d'un fme sur site pour verifier le status du MPR FME seydou  activé sur site Bibemiré NRD_039"/>
  </r>
  <r>
    <s v="Tchika"/>
    <s v="EXN_225"/>
    <s v="EXTREME-NORD"/>
    <s v="IHS"/>
    <s v="Hybrid-Gen"/>
    <s v="EXTREME-NORD"/>
    <s v="Tchika"/>
    <s v="NOKIA"/>
    <n v="0"/>
    <n v="0"/>
    <n v="0"/>
    <n v="0"/>
    <n v="18.54250265852122"/>
    <n v="18.54250265852122"/>
    <n v="18.54261087174957"/>
    <n v="18.54255676513539"/>
    <n v="18.54234033867869"/>
    <n v="18.54266497836374"/>
    <n v="18.54282729820627"/>
    <n v="11.59048234612608"/>
    <n v="18.54266497836374"/>
    <n v="18.49060662095179"/>
    <n v="18.49055311571684"/>
    <n v="18.4907136314217"/>
    <n v="18.49060662095179"/>
    <n v="18.49023208430713"/>
    <n v="18.49028558954208"/>
    <n v="18.49033909477703"/>
    <n v="7.651230763084527"/>
    <n v="18.4907136314217"/>
    <n v="18.49033909477703"/>
    <n v="18.4908206418916"/>
    <m/>
    <n v="18.49055311571684"/>
    <m/>
    <n v="4.621996216109785"/>
    <m/>
    <n v="18.49049961048189"/>
    <m/>
    <m/>
    <n v="18.49055311571684"/>
    <n v="18.49066012618675"/>
    <n v="18.49098115759646"/>
    <n v="18.49087414712655"/>
    <m/>
    <n v="18.49066012618675"/>
    <n v="32.3676906106495"/>
    <n v="41.31093362709997"/>
    <n v="0"/>
    <n v="18.49066012618675"/>
    <x v="2"/>
    <m/>
    <x v="9"/>
    <x v="5"/>
    <s v="EXCLU"/>
    <x v="4"/>
    <s v=""/>
  </r>
  <r>
    <s v="Letta-MTN"/>
    <s v="EST_063"/>
    <s v="CENTRE"/>
    <s v="IHS"/>
    <s v="solar + Gen"/>
    <s v="EST"/>
    <s v="Letta"/>
    <s v="NOKIA"/>
    <n v="0.02097407687248638"/>
    <n v="0.4446463375309977"/>
    <n v="3.930744250684154"/>
    <n v="0.3809929430162116"/>
    <n v="0.1823280056387384"/>
    <n v="0"/>
    <n v="2.565290654704323"/>
    <n v="0"/>
    <n v="0"/>
    <n v="0"/>
    <n v="0.3255436845274279"/>
    <n v="0"/>
    <n v="0.4658522456503808"/>
    <n v="0"/>
    <n v="0.009951973701107071"/>
    <n v="0"/>
    <n v="0"/>
    <n v="0.06948546512457482"/>
    <n v="0.002193714633039697"/>
    <n v="0"/>
    <n v="2.417848062254411"/>
    <n v="0.002746602060879171"/>
    <n v="0"/>
    <n v="0"/>
    <m/>
    <n v="0"/>
    <m/>
    <n v="0"/>
    <m/>
    <n v="0"/>
    <m/>
    <m/>
    <n v="0"/>
    <n v="0.004815471145697134"/>
    <n v="0"/>
    <n v="0.6550774093485019"/>
    <m/>
    <n v="4.64130803891186"/>
    <n v="32.36169562245963"/>
    <n v="13.77031120903332"/>
    <n v="17.7294486141481"/>
    <n v="18.48980404242752"/>
    <x v="0"/>
    <m/>
    <x v="5"/>
    <x v="2"/>
    <s v="MPR ISSUE"/>
    <x v="2"/>
    <s v="{05-25-2026 ocm ran 22H}: Impacted by EST_056_N_Brigaya (TX issue)      ;      {05-25-2026 ocm ran 17H}: Impacted by EST_056_N_Brigaya"/>
  </r>
  <r>
    <s v="Roua"/>
    <s v="EXN_108"/>
    <s v="EXTREME-NORD"/>
    <s v="IHS"/>
    <s v="Grid-Gen"/>
    <s v="EXTREME-NORD"/>
    <s v="Roua"/>
    <s v="NOKIA"/>
    <n v="0.2726270071597139"/>
    <n v="0.3280584305701801"/>
    <n v="7.009792171399383"/>
    <n v="0.3205498625985566"/>
    <n v="0.3465355717070024"/>
    <n v="9.389865537777551"/>
    <n v="0.457701614859331"/>
    <n v="4.850766765687021"/>
    <n v="0.7576697970796129"/>
    <n v="1.411254077098903"/>
    <n v="0.612884631298993"/>
    <n v="0.02593342715113487"/>
    <n v="1.002902123943807"/>
    <n v="0.561715791606384"/>
    <n v="0.5572035167920832"/>
    <n v="0.5003631221945424"/>
    <n v="0.6169153589987246"/>
    <n v="1.185818687167019"/>
    <n v="1.172085676862624"/>
    <n v="1.094217724928874"/>
    <n v="0.1415100613251837"/>
    <n v="0.483954850142538"/>
    <n v="0.4927297086746967"/>
    <n v="0.5914290320831656"/>
    <m/>
    <n v="0.3948686339471454"/>
    <m/>
    <n v="0.8519816912220023"/>
    <m/>
    <n v="18.48819888537895"/>
    <m/>
    <m/>
    <n v="0.5943183147705836"/>
    <n v="0.8121024561043053"/>
    <n v="18.48830589584885"/>
    <n v="18.48894795866828"/>
    <m/>
    <n v="18.48937600054789"/>
    <n v="64.72339124491926"/>
    <n v="27.54062241806665"/>
    <n v="0"/>
    <n v="18.48819888537895"/>
    <x v="1"/>
    <m/>
    <x v="11"/>
    <x v="7"/>
    <s v="BSS Hardware issue"/>
    <x v="2"/>
    <s v="{05-25-2026 ocm ran 22H}: 24/05/2026 Intervention en cours, ETR 15H_x000a_24/05/2026 FME joint travaux en cours avec le BO TX _x000a_23/05/2026 retour RM: intervention ce jour ETA 15h_x000a_22.05.26: FME activé, actuellement en route pour le site de ZIDIM, intervention ce 23/05/2026_x000a_21.05.26: Travaux en cours avec le niveau 0 - Escalade faite au PM et M. Théo_x000a_20.05.26: Travaux en cours avec le niveau 0 - Escalade faite au PM et M. Théo_x000a_20.05.26: Activer le FME pour verifier le statut du modem en local et faire le reset des equipements, partager le statut pour assistance apres le reset si pas toujours OK; FME Alioum activé pour investigations, update ASAP      ;      {05-25-2026 ocm ran 17H}: 24/05/2026 Intervention en cours, ETR 15H_x000a_24/05/2026 FME joint travaux en cours avec le BO TX _x000a_23/05/2026 retour RM: intervention ce jour ETA 15h_x000a_22.05.26: FME activé, actuellement en route pour le site de ZIDIM, intervention ce 23/05/2026_x000a_21.05.26: Travaux en cours avec le niveau 0 - Escalade faite au PM et M. Théo_x000a_20.05.26: Travaux en cours avec le niveau 0 - Escalade faite au PM et M. Théo_x000a_20.05.26: Activer le FME pour verifier le statut du modem en local et faire le reset des equipements, partager le statut pour assistance apres le reset si pas toujours OK; FME Alioum activé pour investigations, update ASAP"/>
  </r>
  <r>
    <s v="BOVA-II-IHS"/>
    <s v="SUO_221"/>
    <s v="SUD-OUEST"/>
    <s v="IHS"/>
    <s v="Grid-Gen"/>
    <s v="SUD-OUEST"/>
    <s v="Buea"/>
    <s v="Huawei"/>
    <n v="0"/>
    <n v="0"/>
    <n v="0"/>
    <n v="0"/>
    <n v="0"/>
    <n v="0.3365657629275782"/>
    <n v="0"/>
    <n v="0"/>
    <n v="0"/>
    <n v="0"/>
    <n v="0"/>
    <n v="0"/>
    <n v="0.007134031326958362"/>
    <n v="0"/>
    <n v="0"/>
    <n v="0"/>
    <n v="4.750016408272051"/>
    <n v="0"/>
    <n v="0"/>
    <n v="0"/>
    <n v="0"/>
    <n v="0"/>
    <n v="0.2077786623976623"/>
    <n v="0"/>
    <m/>
    <n v="0"/>
    <m/>
    <n v="0"/>
    <m/>
    <n v="0"/>
    <m/>
    <m/>
    <n v="1.10725516717889"/>
    <n v="0"/>
    <n v="0.5437380326624491"/>
    <n v="1.100691858358089"/>
    <m/>
    <n v="0"/>
    <n v="25.7846939958195"/>
    <n v="43.88202923386067"/>
    <n v="0"/>
    <n v="18.41375526848213"/>
    <x v="0"/>
    <m/>
    <x v="4"/>
    <x v="0"/>
    <s v="Defaut GE &amp; Power Cabinet"/>
    <x v="0"/>
    <s v="{hourly IHS}: 25/05/2026 04:57 18:02:30 Calvin is informed and managing with L0.      ;      {05-25-2026 ocm ran 22H}: 25.05.26: IHS: 30 v : Calvin is informed and managing with L0.      ;      {05-25-2026 ocm ran 17H}: 25.05.26: IHS: 30 v : Calvin is informed and managing with L0."/>
  </r>
  <r>
    <s v="Ngd-Yarban"/>
    <s v="ADM_073"/>
    <s v="Ngaoundere"/>
    <s v="IHS"/>
    <s v="Grid-Gen"/>
    <s v="ADAMAOUA"/>
    <s v="Ngaoundere"/>
    <s v="Huawei"/>
    <n v="0.5533511398755254"/>
    <n v="5.062290794531338"/>
    <n v="0.7919488176056477"/>
    <n v="1.017188021676041"/>
    <n v="1.663763115916595"/>
    <n v="0"/>
    <n v="0"/>
    <n v="0"/>
    <n v="0"/>
    <n v="0"/>
    <n v="0"/>
    <n v="0"/>
    <n v="2.743677108034917"/>
    <n v="5.614232963219789"/>
    <n v="2.891137535563145"/>
    <n v="1.527164251083659"/>
    <n v="0.6036103905739472"/>
    <n v="0.3105087135058628"/>
    <n v="0.1775482046496763"/>
    <n v="1.470270351251167"/>
    <n v="0"/>
    <n v="2.884699072290566"/>
    <n v="0.09586354595600299"/>
    <n v="21.0910502150197"/>
    <m/>
    <n v="27.67472669525987"/>
    <m/>
    <n v="27.49735684139336"/>
    <m/>
    <n v="27.65685594678583"/>
    <m/>
    <m/>
    <n v="27.61583526665583"/>
    <n v="27.68601629983478"/>
    <n v="27.59899895272419"/>
    <n v="25.13007122616877"/>
    <m/>
    <n v="4.168682030516533"/>
    <n v="26.24181184529733"/>
    <n v="18.57669170823261"/>
    <n v="15.90109922581408"/>
    <n v="18.27597928848025"/>
    <x v="0"/>
    <m/>
    <x v="4"/>
    <x v="0"/>
    <s v="Defaut GE &amp; Power Cabinet"/>
    <x v="0"/>
    <s v="{hourly IHS}: 25/05/2026 13:19 4:00:45 FME is informed and managing      ;      (05/25/2026 cell huawei): 25/05/2026 : Power issue || Mail sent to HIS || Up after power return      ;      {05-25-2026 ocm ran 22H}: 25.05.26: IHS: FME is managing with level 0      ;      {05-25-2026 ocm ran 17H}: 25.05.26: IHS: FME is managing with level 0"/>
  </r>
  <r>
    <s v="EST_211_Z_BATOURI-TRYPANO-MTN-IHS"/>
    <s v="EST_211"/>
    <s v="CENTRE"/>
    <s v="IHS"/>
    <s v="Grid-Gen"/>
    <s v="EST"/>
    <s v="Batouri"/>
    <s v="ZTE"/>
    <n v="0"/>
    <n v="4.075529416464773"/>
    <n v="0"/>
    <n v="0"/>
    <n v="0"/>
    <n v="0"/>
    <n v="0"/>
    <n v="0"/>
    <n v="0"/>
    <n v="0.05819586054966282"/>
    <n v="0"/>
    <n v="0"/>
    <n v="0"/>
    <n v="2.46134781827054"/>
    <n v="0"/>
    <n v="0"/>
    <n v="0"/>
    <n v="0"/>
    <n v="0"/>
    <n v="0"/>
    <n v="0"/>
    <n v="0.782014678982858"/>
    <n v="5.565507529256664"/>
    <n v="0.0005350523495218772"/>
    <m/>
    <n v="3.266405418439474"/>
    <m/>
    <n v="0"/>
    <m/>
    <n v="0"/>
    <m/>
    <m/>
    <n v="28.22386875665249"/>
    <n v="46.14325348925471"/>
    <n v="23.11426149934509"/>
    <n v="23.11426149934509"/>
    <m/>
    <n v="0"/>
    <n v="10.69868090276529"/>
    <n v="18.65159965115211"/>
    <n v="19.29876473897217"/>
    <n v="17.85341277790619"/>
    <x v="0"/>
    <m/>
    <x v="4"/>
    <x v="0"/>
    <s v="Defaut GE &amp; Power Cabinet"/>
    <x v="0"/>
    <s v="{hourly IHS}: 25/05/2026 04:30 1:53:25 44.1V GEN Stopped due to low fuel."/>
  </r>
  <r>
    <s v="Chapelle-Manguier-IHS"/>
    <s v="CTR_446"/>
    <s v="Yaounde"/>
    <s v="IHS"/>
    <s v="Grid-Gen"/>
    <s v="CENTRE"/>
    <s v="Yaounde"/>
    <s v="ZTE"/>
    <n v="0"/>
    <n v="0"/>
    <n v="0"/>
    <n v="0"/>
    <n v="0"/>
    <n v="0"/>
    <n v="0"/>
    <n v="2.082851786218764"/>
    <n v="0"/>
    <n v="0"/>
    <n v="0"/>
    <n v="0.5294521349302153"/>
    <n v="0"/>
    <n v="0"/>
    <n v="0"/>
    <n v="0"/>
    <n v="0"/>
    <n v="0"/>
    <n v="0"/>
    <n v="0"/>
    <n v="0"/>
    <n v="0"/>
    <n v="0.2638878187841896"/>
    <n v="0"/>
    <m/>
    <n v="0"/>
    <m/>
    <n v="0"/>
    <m/>
    <n v="0"/>
    <m/>
    <m/>
    <n v="0"/>
    <n v="0"/>
    <n v="0"/>
    <n v="0"/>
    <m/>
    <n v="0"/>
    <n v="7.812468776103179"/>
    <n v="7.821929900615753"/>
    <n v="26.66753261890223"/>
    <n v="17.64834504741277"/>
    <x v="0"/>
    <m/>
    <x v="4"/>
    <x v="0"/>
    <s v="Defaut GE &amp; Power Cabinet"/>
    <x v="0"/>
    <s v="{hourly IHS}: 25/05/2026 07:14 0:46:00 No com Fme is on site      ;      {05-25-2026 ticket}: INC-20260525-00005324...Grid Outage"/>
  </r>
  <r>
    <s v="Eloumdem"/>
    <s v="CTR_630"/>
    <s v="Yaounde"/>
    <s v="CAMUSAT"/>
    <s v="HGB"/>
    <s v="CENTRE"/>
    <s v="Yaounde"/>
    <s v="ZTE"/>
    <n v="0"/>
    <n v="0"/>
    <n v="16.09919014476376"/>
    <n v="13.86855689960706"/>
    <n v="13.86855689960706"/>
    <n v="24.96475788524483"/>
    <n v="0"/>
    <n v="1.161723496360218"/>
    <n v="4.138041365967246"/>
    <n v="0"/>
    <n v="0"/>
    <n v="0.04064614348534584"/>
    <n v="14.78608250364549"/>
    <n v="0"/>
    <n v="0"/>
    <n v="7.495031147180774"/>
    <n v="15.38696412723688"/>
    <n v="0"/>
    <n v="0"/>
    <n v="0"/>
    <n v="0.9407112058510472"/>
    <n v="0"/>
    <n v="0"/>
    <n v="0"/>
    <m/>
    <n v="0"/>
    <m/>
    <n v="0"/>
    <m/>
    <n v="3.511031352640876"/>
    <m/>
    <m/>
    <n v="0.3701135452426"/>
    <n v="0"/>
    <n v="1.935837235648469"/>
    <n v="1.274994078753998"/>
    <m/>
    <n v="0.001480311500343636"/>
    <n v="15.32219064861776"/>
    <n v="13.02027550822649"/>
    <n v="21.00036772189718"/>
    <n v="17.51051556217594"/>
    <x v="0"/>
    <m/>
    <x v="4"/>
    <x v="0"/>
    <s v="Defaut GE &amp; Power Cabinet"/>
    <x v="0"/>
    <s v="{05-25-2026 ticket}: INC-20260525-00017950...2026-05-25 16:58:54...Transmission issue impacted by Mefou-Assi-IHS(CTR-642)/Main site up awaited...Grid Outage...user:OCM_NOC.CAMUSAT"/>
  </r>
  <r>
    <s v="Hilton"/>
    <s v="CTR_702"/>
    <s v="Yaounde"/>
    <s v="CAMUSAT"/>
    <s v="Good Grid no GE - 8h"/>
    <s v="CENTRE"/>
    <s v="Yaounde"/>
    <s v="ZTE"/>
    <n v="0"/>
    <n v="0"/>
    <n v="0"/>
    <n v="0"/>
    <n v="0.5815127285386924"/>
    <n v="0"/>
    <n v="0"/>
    <n v="2.312728110651679"/>
    <n v="0"/>
    <n v="0"/>
    <n v="0"/>
    <n v="0"/>
    <n v="0"/>
    <n v="0"/>
    <n v="0"/>
    <n v="0"/>
    <n v="0"/>
    <n v="0"/>
    <n v="0"/>
    <n v="0.003299489488718131"/>
    <n v="0"/>
    <n v="0"/>
    <n v="0"/>
    <n v="0.03035530329620816"/>
    <m/>
    <n v="0"/>
    <m/>
    <n v="31.76557644399928"/>
    <m/>
    <n v="0"/>
    <m/>
    <m/>
    <n v="0"/>
    <n v="0"/>
    <n v="0.05644802287455831"/>
    <n v="0"/>
    <m/>
    <n v="0"/>
    <n v="9.284363272304354"/>
    <n v="7.90996001509634"/>
    <n v="25.85544589563263"/>
    <n v="17.46459023550864"/>
    <x v="0"/>
    <m/>
    <x v="3"/>
    <x v="0"/>
    <s v="AKTIVCO Coupure ENEO &amp; Baisse de tension"/>
    <x v="0"/>
    <s v="{05-25-2026 ocm ran 22H}: 25.05.26: Power alarms; Camusat feedack awaiting      ;      {05-25-2026 ocm ran 17H}: Power status check Ongoing      ;      {05-25-2026 ticket}: INC-20260525-00017315...2026-05-25 22:57:58... grid only site probable grid outage / FME will check...user:OCM_NOC.CAMUSAT"/>
  </r>
  <r>
    <s v="Marche-Central-Bonawon-New"/>
    <s v="LIT_740"/>
    <s v="Douala"/>
    <s v="CAMUSAT"/>
    <s v="Good Grid no GE - 8h"/>
    <s v="LITTORAL"/>
    <s v="Douala"/>
    <s v="ZTE"/>
    <n v="1.953743654279135"/>
    <n v="39.06723967206284"/>
    <n v="22.82886457611013"/>
    <n v="26.66476188030236"/>
    <n v="0"/>
    <n v="3.237387746017072"/>
    <n v="0"/>
    <n v="57.27102256351426"/>
    <n v="56.31850453581711"/>
    <n v="0"/>
    <n v="5.90687092825162"/>
    <n v="15.8758236239167"/>
    <n v="30.95695182816688"/>
    <n v="15.40950766623007"/>
    <n v="45.74831351499432"/>
    <n v="3.987281448950298"/>
    <n v="0"/>
    <n v="0"/>
    <n v="2.894843023296444e-17"/>
    <n v="16.79534675672668"/>
    <n v="7.13583266986842"/>
    <n v="3.157326079450282"/>
    <n v="0"/>
    <n v="0"/>
    <m/>
    <n v="3.980409157032611e-17"/>
    <m/>
    <n v="0"/>
    <m/>
    <n v="1.87104239612137"/>
    <m/>
    <m/>
    <n v="0"/>
    <n v="0"/>
    <n v="0"/>
    <n v="0"/>
    <m/>
    <n v="0"/>
    <n v="8.37150142480886"/>
    <n v="8.422415346586833"/>
    <n v="25.70961570872923"/>
    <n v="17.43022203959102"/>
    <x v="0"/>
    <m/>
    <x v="3"/>
    <x v="0"/>
    <s v="AKTIVCO Coupure ENEO &amp; Baisse de tension"/>
    <x v="0"/>
    <s v="{05-25-2026 ocm ran 17H}: Power status check Ongoing      ;      {05-25-2026 ticket}: INC-20260525-00018072...2026-05-25 17:22:42...Grid outage and  grid only site / grid return awaited...Grid Outage...user:OCM_NOC.CAMUSAT"/>
  </r>
  <r>
    <s v="CTR_228_N_Evodoula"/>
    <s v="CTR_228"/>
    <s v="CENTRE"/>
    <s v="IHS"/>
    <s v="Grid-Gen"/>
    <s v="CENTRE"/>
    <s v="Evodoula"/>
    <s v="NOKIA"/>
    <n v="0"/>
    <n v="0"/>
    <n v="0.001694332440152591"/>
    <n v="0"/>
    <n v="0.001337630873804731"/>
    <n v="0"/>
    <n v="1.956316586194483"/>
    <n v="7.747338737657802"/>
    <n v="0.007758259068067234"/>
    <n v="0"/>
    <n v="0"/>
    <n v="9.245704599738039"/>
    <n v="0"/>
    <n v="0.004280418796175002"/>
    <n v="0"/>
    <n v="0.03898748120182774"/>
    <n v="3.750409314384317"/>
    <n v="0"/>
    <n v="0"/>
    <n v="0.04458769579348975"/>
    <n v="0"/>
    <n v="0.3001286979251376"/>
    <n v="0"/>
    <n v="0.1492261002816524"/>
    <m/>
    <n v="0.01974343169735676"/>
    <m/>
    <n v="5.198408112249703"/>
    <m/>
    <n v="0.01419571811470411"/>
    <m/>
    <m/>
    <n v="0"/>
    <n v="0.005261348103631703"/>
    <n v="0.006866505152197415"/>
    <n v="0.02108106257116218"/>
    <m/>
    <n v="23.11329840511595"/>
    <n v="23.46925470306823"/>
    <n v="39.9578092964901"/>
    <n v="0.6761062300406904"/>
    <n v="17.11828651981977"/>
    <x v="0"/>
    <m/>
    <x v="4"/>
    <x v="0"/>
    <s v="Defaut GE &amp; Power Cabinet"/>
    <x v="0"/>
    <s v="{05-25-2026 BOTX}: Power issue on site"/>
  </r>
  <r>
    <s v="Garoua-Ngalbidje-II"/>
    <s v="NRD_158"/>
    <s v="Garoua"/>
    <s v="CAMUSAT"/>
    <s v="Good Grid + Solar + GE"/>
    <s v="NORD"/>
    <s v="Garoua"/>
    <s v="Huawei"/>
    <n v="3.029145371583156"/>
    <n v="2.760228060713461"/>
    <n v="8.107630417226687"/>
    <n v="4.49333396112809"/>
    <n v="3.670512622955029"/>
    <n v="3.177979100141825"/>
    <n v="2.566717460969713"/>
    <n v="3.590147760056843"/>
    <n v="2.587923369089098"/>
    <n v="0.1585181760850148"/>
    <n v="0.3192479018813869"/>
    <n v="9.245811610207944"/>
    <n v="4.729327717423873"/>
    <n v="3.444042798480737"/>
    <n v="0.4779800989062103"/>
    <n v="7.612047096021208"/>
    <n v="15.47829756330026"/>
    <n v="8.252683109182067"/>
    <n v="19.30868382829243"/>
    <n v="4.795941734939346"/>
    <n v="0.2796840607379603"/>
    <n v="4.635212009142975"/>
    <n v="12.52619973004825"/>
    <n v="9.492470743337526"/>
    <m/>
    <n v="15.83423222128053"/>
    <m/>
    <n v="6.01309665471003"/>
    <m/>
    <n v="3.143717914694107"/>
    <m/>
    <m/>
    <n v="2.815320617635897"/>
    <n v="2.181604614862184"/>
    <n v="19.57151937745589"/>
    <n v="0.07936609851241178"/>
    <m/>
    <n v="10.20879882887742"/>
    <n v="18.35403103005887"/>
    <n v="15.5789395840346"/>
    <n v="17.71457147266053"/>
    <n v="17.08892998090933"/>
    <x v="0"/>
    <m/>
    <x v="10"/>
    <x v="6"/>
    <s v="Projet OCM (HUAWEI)"/>
    <x v="5"/>
    <s v="{05-25-2026 BOTX}: No supervision"/>
  </r>
  <r>
    <s v="Obobogo-Paloma"/>
    <s v="CTR_598"/>
    <s v="Yaounde"/>
    <s v="CAMUSAT"/>
    <s v="Good Grid no GE - 8h"/>
    <s v="CENTRE"/>
    <s v="Yaounde"/>
    <s v="ZTE"/>
    <n v="0"/>
    <n v="3.190035613084384"/>
    <n v="2.004627132718666"/>
    <n v="37.93317838217293"/>
    <n v="35.53428900816989"/>
    <n v="0.9560850433606425"/>
    <n v="20.5652007659096"/>
    <n v="0.7031836328199681"/>
    <n v="14.39717078585636"/>
    <n v="0"/>
    <n v="12.16202526588535"/>
    <n v="0"/>
    <n v="8.33870169190687"/>
    <n v="24.48970273918266"/>
    <n v="0.2311782851500855"/>
    <n v="7.193457807911919"/>
    <n v="26.51054195809185"/>
    <n v="8.45470104128321"/>
    <n v="0"/>
    <n v="5.878085111847343"/>
    <n v="0"/>
    <n v="17.50304266436094"/>
    <n v="14.42815031689367"/>
    <n v="15.5910152582662"/>
    <m/>
    <n v="18.42174538356833"/>
    <m/>
    <n v="14.44621725122919"/>
    <m/>
    <n v="21.9806460864131"/>
    <m/>
    <m/>
    <n v="12.72730807315521"/>
    <n v="18.63244899881004"/>
    <n v="0"/>
    <n v="0"/>
    <m/>
    <n v="1.60599529724655"/>
    <n v="7.36709111183051"/>
    <n v="6.331261836517506"/>
    <n v="26.59417292122216"/>
    <n v="17.04605445263432"/>
    <x v="0"/>
    <m/>
    <x v="3"/>
    <x v="0"/>
    <s v="AKTIVCO Coupure ENEO &amp; Baisse de tension"/>
    <x v="0"/>
    <s v="{05-25-2026 ocm ran 22H}: Power status check Ongoing      ;      {05-25-2026 ticket}: INC-20260525-00019812...2026-05-25 22:51:20...FME is managing...user:OCM_NOC.CAMUSAT"/>
  </r>
  <r>
    <s v="NR-Omnisport-Qtier-Yambassa"/>
    <s v="CTR_566"/>
    <s v="Yaounde"/>
    <s v="CAMUSAT"/>
    <s v="Good Grid no GE - 8h"/>
    <s v="CENTRE"/>
    <s v="Yaounde"/>
    <s v="ZTE"/>
    <n v="3.484367910556368"/>
    <n v="9.195320503491395"/>
    <n v="9.17445346186004"/>
    <n v="9.227762510950738"/>
    <n v="13.02520738629068"/>
    <n v="24.07815830700876"/>
    <n v="0"/>
    <n v="2.956485262518086"/>
    <n v="2.873124106462577"/>
    <n v="3.219677513247897"/>
    <n v="0.7633413519845448"/>
    <n v="0.2971145696894984"/>
    <n v="16.53297491959947"/>
    <n v="17.70088718813583"/>
    <n v="2.962691869772538"/>
    <n v="6.775974294658323"/>
    <n v="4.564103551891518"/>
    <n v="22.41733797901454"/>
    <n v="35.74921953697284"/>
    <n v="6.499584085973638"/>
    <n v="0.3631221945421807"/>
    <n v="8.430088633205207"/>
    <n v="9.245704599738039"/>
    <n v="10.20731851737708"/>
    <m/>
    <n v="9.245704599738039"/>
    <m/>
    <n v="39.27656998627413"/>
    <m/>
    <n v="26.46226240108666"/>
    <m/>
    <m/>
    <n v="13.77010726729503"/>
    <n v="11.69032311454686"/>
    <n v="15.24096617613067"/>
    <n v="15.14952572959738"/>
    <m/>
    <n v="11.8567600654048"/>
    <n v="0.5922548749245631"/>
    <n v="27.54062241806665"/>
    <n v="14.77365130333335"/>
    <n v="17.03456866219791"/>
    <x v="0"/>
    <m/>
    <x v="3"/>
    <x v="0"/>
    <s v="AKTIVCO Coupure ENEO &amp; Baisse de tension"/>
    <x v="0"/>
    <s v="{05-25-2026 BOTX}: Power issue on site"/>
  </r>
  <r>
    <s v="Bertoua-Dabadi"/>
    <s v="EST_087"/>
    <s v="CENTRE"/>
    <s v="IHS"/>
    <s v="Grid-Gen"/>
    <s v="EST"/>
    <s v="Bertoua"/>
    <s v="ZTE"/>
    <n v="9.245704599738039"/>
    <n v="6.803761346676826"/>
    <n v="3.874528083827722"/>
    <n v="9.661939657509423"/>
    <n v="9.245704599738039"/>
    <n v="9.245704599738039"/>
    <n v="9.245704599738039"/>
    <n v="9.245704599738039"/>
    <n v="9.245704599738039"/>
    <n v="9.673514623337415"/>
    <n v="9.245704599738039"/>
    <n v="0.3408996869587045"/>
    <n v="9.245704599738039"/>
    <n v="9.245704599738039"/>
    <n v="9.245704599738039"/>
    <n v="7.154363316240194"/>
    <n v="0"/>
    <n v="0"/>
    <n v="0"/>
    <n v="0"/>
    <n v="0.3408105115671177"/>
    <n v="0"/>
    <n v="0.07991898594025146"/>
    <n v="0.0007490732893306281"/>
    <m/>
    <n v="0"/>
    <m/>
    <n v="0"/>
    <m/>
    <n v="0.2471050100875194"/>
    <m/>
    <m/>
    <n v="0"/>
    <n v="0.2734652558406309"/>
    <n v="0"/>
    <n v="26.4540047598257"/>
    <m/>
    <n v="0"/>
    <n v="10.35721636711709"/>
    <n v="17.82585911441599"/>
    <n v="18.28349388334023"/>
    <n v="16.99798891656893"/>
    <x v="0"/>
    <m/>
    <x v="4"/>
    <x v="0"/>
    <s v="Defaut GE &amp; Power Cabinet"/>
    <x v="0"/>
    <s v="{hourly IHS}: 25/05/2026 10:23 6:56:45 FME is informed and managing      ;      {05-25-2026 ticket}: INC-20260525-00009355...Grid Outage"/>
  </r>
  <r>
    <s v="Bertoua-Bindia-IHS"/>
    <s v="EST_127"/>
    <s v="CENTRE"/>
    <s v="IHS"/>
    <s v="Grid-Gen"/>
    <s v="EST"/>
    <s v="Bertoua"/>
    <s v="ZTE"/>
    <n v="0"/>
    <n v="0"/>
    <n v="0"/>
    <n v="0"/>
    <n v="0"/>
    <n v="0"/>
    <n v="0"/>
    <n v="0"/>
    <n v="0"/>
    <n v="0"/>
    <n v="0"/>
    <n v="0"/>
    <n v="4.05425216803212"/>
    <n v="0"/>
    <n v="0"/>
    <n v="0"/>
    <n v="0"/>
    <n v="1.283144709545049"/>
    <n v="0"/>
    <n v="0"/>
    <n v="0"/>
    <n v="0"/>
    <n v="3.098934033039126"/>
    <n v="0.03115788182049104"/>
    <m/>
    <n v="0"/>
    <m/>
    <n v="0"/>
    <m/>
    <n v="0.1354039145856695"/>
    <m/>
    <m/>
    <n v="2.119199675829617"/>
    <n v="1.752028918509387"/>
    <n v="17.146002231525"/>
    <n v="2.818530931733028"/>
    <m/>
    <n v="8.643859881917514"/>
    <n v="10.49322766167484"/>
    <n v="17.93492720435482"/>
    <n v="17.73786189416176"/>
    <n v="16.76948589316645"/>
    <x v="0"/>
    <m/>
    <x v="4"/>
    <x v="0"/>
    <s v="Defaut GE &amp; Power Cabinet"/>
    <x v="0"/>
    <s v="{hourly IHS}: 25/05/2026 02:30 3:53:14 2.2V FME is informed and managing      ;      {05-25-2026 ticket}: INC-20260525-00001704...Grid Outage"/>
  </r>
  <r>
    <s v="Kumba-Preventive"/>
    <s v="SUO_217"/>
    <s v="SUD-OUEST"/>
    <s v="IHS"/>
    <s v="Grid-Gen"/>
    <s v="SUD-OUEST"/>
    <s v="Kumba"/>
    <s v="Huawei"/>
    <n v="0"/>
    <n v="0"/>
    <n v="8.917539158697954e-05"/>
    <n v="3.992738982915421"/>
    <n v="0.0006242277411088568"/>
    <n v="0.002675261747609386"/>
    <n v="0.001070104699043754"/>
    <n v="0"/>
    <n v="0.001872683223326571"/>
    <n v="0.002675261747609386"/>
    <n v="0.0002675261747609386"/>
    <n v="0"/>
    <n v="0"/>
    <n v="0.01070104699043754"/>
    <n v="0.001426806265391673"/>
    <n v="8.917539158697954e-05"/>
    <n v="0.001337630873804693"/>
    <n v="0.004547944970935957"/>
    <n v="0.001337630873804693"/>
    <n v="0.001070104699043754"/>
    <n v="1.566633279400057"/>
    <n v="0.001070104699043754"/>
    <n v="0.005243513025314397"/>
    <n v="1.446246500757634"/>
    <m/>
    <n v="0.04760182402912968"/>
    <m/>
    <n v="0.006153102019501588"/>
    <m/>
    <n v="0.0008025785242828158"/>
    <m/>
    <m/>
    <n v="1.467470243955335"/>
    <n v="0.005778565374836273"/>
    <n v="0.6702422431677382"/>
    <n v="0.424581874423927"/>
    <m/>
    <n v="9.918764785279926"/>
    <n v="22.33382891902369"/>
    <n v="38.04069721975716"/>
    <n v="0.8155067557954503"/>
    <n v="16.38524696589647"/>
    <x v="0"/>
    <m/>
    <x v="4"/>
    <x v="0"/>
    <s v="Defaut GE &amp; Power Cabinet"/>
    <x v="0"/>
    <s v="{05-25-2026 BOTX}: Power issue on site"/>
  </r>
  <r>
    <s v="Kousseri-Ville"/>
    <s v="EXN_064"/>
    <s v="EXTREME-NORD"/>
    <s v="IHS"/>
    <s v="GenOnly"/>
    <s v="EXTREME-NORD"/>
    <s v="Kousseri"/>
    <s v="Huawei"/>
    <n v="1.030350309474279"/>
    <n v="3.24054455487925"/>
    <n v="1.717553712121861"/>
    <n v="0.6226225840602911"/>
    <n v="0.1355465952122089"/>
    <n v="0.1318012287655558"/>
    <n v="0.4072283432211007"/>
    <n v="0.1662229299181298"/>
    <n v="0"/>
    <n v="0"/>
    <n v="0"/>
    <n v="2.244348420382783"/>
    <n v="0"/>
    <n v="0.1440182574129719"/>
    <n v="0.7156325174855107"/>
    <n v="0"/>
    <n v="0"/>
    <n v="0"/>
    <n v="0"/>
    <n v="0"/>
    <n v="0"/>
    <n v="0"/>
    <n v="0"/>
    <n v="0"/>
    <m/>
    <n v="0"/>
    <m/>
    <n v="0"/>
    <m/>
    <n v="0.0248264290178151"/>
    <m/>
    <m/>
    <n v="6.869626290902969"/>
    <n v="5.828699779986473"/>
    <n v="8.408329837657984"/>
    <n v="9.393343378049442"/>
    <m/>
    <n v="0.1436793909249414"/>
    <n v="27.13231738266809"/>
    <n v="35.3227076681933"/>
    <n v="0.4870126316849324"/>
    <n v="15.98670430581595"/>
    <x v="1"/>
    <m/>
    <x v="4"/>
    <x v="0"/>
    <s v="Defaut GE &amp; Power Cabinet"/>
    <x v="0"/>
    <s v="{hourly IHS}: 25/05/2026 00:20 6:03:08 47.6V Gen only, fuel shortage.      ;      {05-25-2026 ocm ran 17H}: 25.05.26: IHS: 46 V : Gen only, fuel shortage."/>
  </r>
  <r>
    <s v="New-Deido"/>
    <s v="LIT_287"/>
    <s v="Douala"/>
    <s v="IHS"/>
    <s v="GridOnly"/>
    <s v="LITTORAL"/>
    <s v="Douala"/>
    <s v="ZTE"/>
    <n v="0"/>
    <n v="7.949344097159805"/>
    <n v="2.053851948874679"/>
    <n v="0"/>
    <n v="0"/>
    <n v="0"/>
    <n v="1.346298721866949"/>
    <n v="5.119291704833737"/>
    <n v="2.635221996786831"/>
    <n v="1.592654658665138"/>
    <n v="2.834511161905414"/>
    <n v="2.630388690562818"/>
    <n v="0.1421099040330105"/>
    <n v="1.300426900434608"/>
    <n v="0.7638764043340665"/>
    <n v="4.501645107623998"/>
    <n v="0"/>
    <n v="0"/>
    <n v="1.711079578692646"/>
    <n v="12.85188609520222"/>
    <n v="0"/>
    <n v="6.368014713226207"/>
    <n v="14.98574620540874"/>
    <n v="11.48851920338553"/>
    <m/>
    <n v="12.25052292449627"/>
    <m/>
    <n v="17.87007074105464"/>
    <m/>
    <n v="22.07884602762869"/>
    <m/>
    <m/>
    <n v="18.49140919947608"/>
    <n v="18.97242126169624"/>
    <n v="11.09300850661895"/>
    <n v="10.69995905066018"/>
    <m/>
    <n v="12.93298219631142"/>
    <n v="4.009148351977747"/>
    <n v="25.28403391916657"/>
    <n v="13.19684530727761"/>
    <n v="15.94265166237198"/>
    <x v="0"/>
    <m/>
    <x v="11"/>
    <x v="7"/>
    <s v="BSS Hardware issue"/>
    <x v="2"/>
    <s v="(05/25/2026 cell zte): 25/05/2026 : Le FME ira ce jour recuperer  recuperer la nouvelle Board  ||  Intervention prevue pour ce jour apres recuperation || ETA : 16H _x000a_24/05/2026 : Board faulty || Cde d'une board effectuer _x000a_23/05/2026 : FME au Ware house pour la recuperation du materiel || FME sur site || Intervention en cours || Feedback fme : Le board qu'on m'a remis se comporte de la même façon que le précédent donc est également Faulty _x000a_22/05/2026 : ZTE a valider le remplacement de la carte || Le fme se rendra demain sur au ware house pour la recuperation du materiel  _x000a_21/05/2026 : RI recu et transferer a ZTE pour validation du remplacement de la Board_x000a_20/05/2026 : FME presentement sur le site de Sis cacao || Intervention apres Sis cacao || ETA : 13H || Feedback FME apres intervention : Le Board du slot 8 est faulty il demande à être remplacer_x000a_19/05/2026 :Site renvoyer au BO RAN pour nouvelle analyse || Power issue || Nouvelle investiguation ce jour du FME avec le BO RAN  || ETA : 16H_x000a_      ;      (05/25/2026 cell zte): 25/05/2026 : Le FME ira ce jour recuperer  recuperer la nouvelle Board  ||  Intervention prevue pour ce jour apres recuperation || ETA : 16H _x000a_24/05/2026 : Board faulty || Cde d'une board effectuer _x000a_23/05/2026 : FME au Ware house pour la recuperation du materiel || FME sur site || Intervention en cours || Feedback fme : Le board qu'on m'a remis se comporte de la même façon que le précédent donc est également Faulty _x000a_22/05/2026 : ZTE a valider le remplacement de la carte || Le fme se rendra demain sur au ware house pour la recuperation du materiel  _x000a_21/05/2026 : RI recu et transferer a ZTE pour validation du remplacement de la Board_x000a_20/05/2026 : FME presentement sur le site de Sis cacao || Intervention apres Sis cacao || ETA : 13H || Feedback FME apres intervention : Le Board du slot 8 est faulty il demande à être remplacer_x000a_19/05/2026 :Site renvoyer au BO RAN pour nouvelle analyse || Power issue || Nouvelle investiguation ce jour du FME avec le BO RAN  || ETA : 16H_x000a_      ;      (05/25/2026 cell zte): 25/05/2026 : Le FME ira ce jour recuperer  recuperer la nouvelle Board  ||  Intervention prevue pour ce jour apres recuperation || ETA : 16H _x000a_24/05/2026 : Board faulty || Cde d'une board effectuer _x000a_23/05/2026 : FME au Ware house pour la recuperation du materiel || FME sur site || Intervention en cours || Feedback fme : Le board qu'on m'a remis se comporte de la même façon que le précédent donc est également Faulty _x000a_22/05/2026 : ZTE a valider le remplacement de la carte || Le fme se rendra demain sur au ware house pour la recuperation du materiel  _x000a_21/05/2026 : RI recu et transferer a ZTE pour validation du remplacement de la Board_x000a_20/05/2026 : FME presentement sur le site de Sis cacao || Intervention apres Sis cacao || ETA : 13H || Feedback FME apres intervention : Le Board du slot 8 est faulty il demande à être remplacer_x000a_19/05/2026 :Site renvoyer au BO RAN pour nouvelle analyse || Power issue || Nouvelle investiguation ce jour du FME avec le BO RAN  || ETA : 16H_x000a_"/>
  </r>
  <r>
    <s v="Briqueterie"/>
    <s v="CTR_321"/>
    <s v="Yaounde"/>
    <s v="IHS"/>
    <s v="Grid-Lithium"/>
    <s v="CENTRE"/>
    <s v="Yaounde"/>
    <s v="ZTE"/>
    <n v="10.11675198968134"/>
    <n v="43.92080654504571"/>
    <n v="19.44478331093247"/>
    <n v="0"/>
    <n v="5.032791574994364"/>
    <n v="2.853041808277185"/>
    <n v="13.86855689960706"/>
    <n v="13.86855689960706"/>
    <n v="13.86855689960706"/>
    <n v="13.86855689960706"/>
    <n v="43.29199518880926"/>
    <n v="9.245704599738039"/>
    <n v="13.86855689960706"/>
    <n v="13.86855689960706"/>
    <n v="13.86855689960706"/>
    <n v="13.86855689960706"/>
    <n v="34.4206667180317"/>
    <n v="0.1950444164790424"/>
    <n v="0"/>
    <n v="0"/>
    <n v="13.86855689960706"/>
    <n v="0"/>
    <n v="0.7603093886705883"/>
    <n v="0"/>
    <m/>
    <n v="0"/>
    <m/>
    <n v="0"/>
    <m/>
    <n v="0"/>
    <m/>
    <m/>
    <n v="0"/>
    <n v="2.213868271538355"/>
    <n v="0.271039685189466"/>
    <n v="0"/>
    <m/>
    <n v="0"/>
    <n v="7.070963674368228"/>
    <n v="6.025467425563817"/>
    <n v="24.38171967990684"/>
    <n v="15.74733971971818"/>
    <x v="0"/>
    <m/>
    <x v="4"/>
    <x v="0"/>
    <s v="Defaut GE &amp; Power Cabinet"/>
    <x v="0"/>
    <s v="{hourly IHS}: 25/05/2026 19:56 3:03:27 Grid outage, no space to deploy MDG, awaiting grid return      ;      {05-25-2026 ocm ran 22H}: Power status check Ongoing      ;      {05-25-2026 ticket}: INC-20260525-00019945...2026-05-26 00:30:48...power issue (grid outage) grid only site....user:OCM_NOC.IHS"/>
  </r>
  <r>
    <s v="Bardake-IHS"/>
    <s v="NRD_110"/>
    <s v="NORD"/>
    <s v="IHS"/>
    <s v="Gen Only"/>
    <s v="NORD"/>
    <s v="Bardake"/>
    <s v="NOKIA"/>
    <n v="4.622852299869019"/>
    <n v="4.622852299869019"/>
    <n v="4.622852299869019"/>
    <n v="4.622852299869019"/>
    <n v="9.245704599738039"/>
    <n v="9.245704599738039"/>
    <n v="9.245704599738039"/>
    <n v="9.245704599738039"/>
    <n v="9.245704599738039"/>
    <n v="9.245704599738039"/>
    <n v="9.245704599738039"/>
    <n v="0"/>
    <n v="9.245704599738039"/>
    <n v="9.245704599738039"/>
    <n v="9.245704599738039"/>
    <n v="9.245704599738039"/>
    <n v="9.245704599738039"/>
    <n v="9.245704599738039"/>
    <n v="9.245704599738039"/>
    <n v="9.245704599738039"/>
    <n v="0"/>
    <n v="13.86855689960706"/>
    <n v="13.86855689960706"/>
    <n v="12.96371546142969"/>
    <m/>
    <n v="9.36699717078835"/>
    <m/>
    <n v="5.865011076562876"/>
    <m/>
    <n v="13.9796337673678"/>
    <m/>
    <m/>
    <n v="9.369943755297019"/>
    <n v="12.92945394788926"/>
    <n v="15.68836910014563"/>
    <n v="12.82357632580849"/>
    <m/>
    <n v="14.20225643011426"/>
    <n v="14.30741400189442"/>
    <n v="40.68901946766125"/>
    <n v="0"/>
    <n v="15.7028705397646"/>
    <x v="2"/>
    <m/>
    <x v="9"/>
    <x v="5"/>
    <s v="EXCLU"/>
    <x v="4"/>
    <s v="{hourly IHS}: 25/05/2026 05:18 1:05:14 45.6V Merlin is on the way ETA : 08H45 AM      ;      {05-25-2026 ocm ran 22H}: 25.05.26: IHS: FME Merlin is managing with level 0      ;      {05-25-2026 ocm ran 17H}: Power status check Ongoing      ;      {05-25-2026 ticket}: INC-20260525-00017220"/>
  </r>
  <r>
    <s v="Fundong-FM"/>
    <s v="NRO_092"/>
    <s v="NORD-OUEST"/>
    <s v="IHS"/>
    <s v="Hybrid-Gen"/>
    <s v="NORD-OUEST"/>
    <s v="Fundong"/>
    <s v="NOKIA"/>
    <n v="2.084893081385031"/>
    <n v="0.0001783507831740038"/>
    <n v="1.546925811862136"/>
    <n v="0.1542456102505393"/>
    <n v="0.08145001959370597"/>
    <n v="0.006429581754916427"/>
    <n v="0.0001961858614914737"/>
    <n v="0.6422744996728731"/>
    <n v="0.0001337968373983342"/>
    <n v="0.8453738978545943"/>
    <n v="0.9075716575725093"/>
    <n v="0"/>
    <n v="0.007709951354312086"/>
    <n v="1.92288896879004"/>
    <n v="0.001926219834079096"/>
    <n v="0.0001961858614912421"/>
    <n v="0.0001783507831740038"/>
    <n v="0.4239652419850329"/>
    <n v="0.01735353120282632"/>
    <n v="0.0001873026916170108"/>
    <n v="0"/>
    <n v="8.500662038107142"/>
    <n v="0.000187305375104708"/>
    <n v="0.1534253033235114"/>
    <m/>
    <n v="0.0001783507831741196"/>
    <m/>
    <n v="14.60634519078154"/>
    <m/>
    <n v="9.244741579407163"/>
    <m/>
    <m/>
    <n v="4.621871370561562"/>
    <n v="9.244652330117313"/>
    <n v="9.711195662449533"/>
    <n v="9.502030345315653"/>
    <m/>
    <n v="6.746401408493518"/>
    <n v="27.42994356717784"/>
    <n v="11.68404530942399"/>
    <n v="15.02797078839918"/>
    <n v="15.67637700237542"/>
    <x v="1"/>
    <m/>
    <x v="4"/>
    <x v="0"/>
    <s v="Defaut GE &amp; Power Cabinet"/>
    <x v="0"/>
    <s v="{05-25-2026 ocm ran 17H}: P2 Incident at Fundong_L18L8_NRO_015; Power issue; IHS"/>
  </r>
  <r>
    <s v="KOUSSERI-Douane-MTN"/>
    <s v="EXN_246"/>
    <s v="EXTREME-NORD"/>
    <s v="MTN sharing"/>
    <m/>
    <s v="EXTREME-NORD"/>
    <s v="Kousseri"/>
    <s v="Huawei"/>
    <n v="16.61121740817789"/>
    <n v="11.78096098255587"/>
    <n v="12.69188760761686"/>
    <n v="11.59608256071774"/>
    <n v="13.69002776564993"/>
    <n v="13.32619216797505"/>
    <n v="10.48121181509732"/>
    <n v="12.86435281494608"/>
    <n v="7.078421552764723"/>
    <n v="11.38011759737239"/>
    <n v="8.204688913429957"/>
    <n v="0"/>
    <n v="8.494758627184085"/>
    <n v="11.95039422657113"/>
    <n v="11.59048234612608"/>
    <n v="12.9258838351411"/>
    <n v="8.126910136887794"/>
    <n v="6.45861691107858"/>
    <n v="5.543231516438235"/>
    <n v="6.049391039085932"/>
    <n v="1.186746111239523"/>
    <n v="7.651230763084527"/>
    <n v="12.17590095681628"/>
    <n v="15.16917998590315"/>
    <m/>
    <n v="15.15926368235868"/>
    <m/>
    <n v="15.17929247530912"/>
    <m/>
    <n v="12.26759109444601"/>
    <m/>
    <m/>
    <n v="12.10721807021599"/>
    <n v="11.55420579682849"/>
    <n v="13.77640304994108"/>
    <n v="9.472013908507474"/>
    <m/>
    <n v="13.16574780343175"/>
    <n v="24.35089265374147"/>
    <n v="34.49909217948326"/>
    <n v="0.4245970380876711"/>
    <n v="15.2804708746037"/>
    <x v="1"/>
    <m/>
    <x v="6"/>
    <x v="0"/>
    <s v="Sharing"/>
    <x v="0"/>
    <s v="{05-25-2026 ocm ran 17H}: 25.05.26: Power alarms; MTN activated to check"/>
  </r>
  <r>
    <s v="Kumba-Lutherian-Church-MTN"/>
    <s v="SUO_054"/>
    <s v="SUD-OUEST"/>
    <s v="IHS"/>
    <s v="Grid-Gen"/>
    <s v="SUD-OUEST"/>
    <s v="Kumba"/>
    <s v="Huawei"/>
    <n v="14.57564641457853"/>
    <n v="14.48561493923232"/>
    <n v="15.2840557253455"/>
    <n v="23.3424791614945"/>
    <n v="34.21369063415832"/>
    <n v="34.28240919091525"/>
    <n v="34.14779001977553"/>
    <n v="34.26812329318301"/>
    <n v="34.22394580419082"/>
    <n v="34.18897121561041"/>
    <n v="34.21247784883273"/>
    <n v="0"/>
    <n v="15.1813256742373"/>
    <n v="15.53945404685061"/>
    <n v="14.8874927589582"/>
    <n v="14.58697168931008"/>
    <n v="14.60856996915245"/>
    <n v="15.03973298747549"/>
    <n v="15.11822516715035"/>
    <n v="14.97823763743711"/>
    <n v="0"/>
    <n v="15.03473916554663"/>
    <n v="14.83980175953749"/>
    <n v="15.13363467481659"/>
    <m/>
    <n v="14.99553766340499"/>
    <m/>
    <n v="14.97984279448568"/>
    <m/>
    <n v="14.75884833905483"/>
    <m/>
    <m/>
    <n v="15.15303924002591"/>
    <n v="15.2329938961228"/>
    <n v="15.38985340992429"/>
    <n v="14.88829533748249"/>
    <m/>
    <n v="15.12291579274783"/>
    <n v="8.728328117693607"/>
    <n v="14.92463729680291"/>
    <n v="16.64153626766652"/>
    <n v="14.93514808822228"/>
    <x v="0"/>
    <m/>
    <x v="5"/>
    <x v="2"/>
    <s v="ODU HS"/>
    <x v="2"/>
    <s v="{05-25-2026 BOTX}: Probable odu faulty"/>
  </r>
  <r>
    <s v="Meme-II-IHS"/>
    <s v="EXN_169"/>
    <s v="EXTREME-NORD"/>
    <s v="IHS"/>
    <s v="Grid-Gen"/>
    <s v="EXTREME-NORD"/>
    <s v="Meme-II"/>
    <s v="NOKIA"/>
    <n v="0.213082902959609"/>
    <n v="0.1989618126243372"/>
    <n v="0.6561285345144056"/>
    <n v="0.3106442985041819"/>
    <n v="0.4742470865072699"/>
    <n v="0.05307486918131815"/>
    <n v="0.703172635121903"/>
    <n v="1.254011570365608"/>
    <n v="0.1618523451089295"/>
    <n v="0.04824524647506111"/>
    <n v="0.085519200531913"/>
    <n v="0.002943236973656251"/>
    <n v="1.184168633857928"/>
    <n v="1.242268657769616"/>
    <n v="0.07277554263018725"/>
    <n v="2.065867791769442"/>
    <n v="0.2171329705374981"/>
    <n v="2.322264068429386"/>
    <n v="1.593834834254666"/>
    <n v="1.192949259651021"/>
    <n v="0.008205560602495589"/>
    <n v="2.853023973198871"/>
    <n v="0.1062140380258117"/>
    <n v="1.015256943770109"/>
    <m/>
    <n v="2.661072951396779"/>
    <m/>
    <n v="0.3631400296204981"/>
    <m/>
    <n v="0.8028686676335032"/>
    <m/>
    <m/>
    <n v="0.3146464516754984"/>
    <n v="0.3444310324655497"/>
    <n v="10.42919059343982"/>
    <n v="0.01569668566533452"/>
    <m/>
    <n v="4.732869448336353"/>
    <n v="32.97231014871567"/>
    <n v="28.61914670590497"/>
    <n v="1.17688921128581"/>
    <n v="14.92995474183416"/>
    <x v="1"/>
    <m/>
    <x v="2"/>
    <x v="1"/>
    <s v="no root cause"/>
    <x v="1"/>
    <s v="{05-25-2026 ticket}: INC-20260525-00021561...Others"/>
  </r>
  <r>
    <s v="Limbe-Batoke-Camtel"/>
    <s v="SUO_227"/>
    <s v="SUD-OUEST"/>
    <s v="CAMUSAT"/>
    <s v="Good Grid no GE - 8h"/>
    <s v="SUD-OUEST"/>
    <s v="Limbe"/>
    <s v="Huawei"/>
    <n v="0"/>
    <n v="0"/>
    <n v="0"/>
    <n v="0"/>
    <n v="0"/>
    <n v="0"/>
    <n v="0"/>
    <n v="0.03754283985811838"/>
    <n v="0"/>
    <n v="0"/>
    <n v="0"/>
    <n v="0"/>
    <n v="0"/>
    <n v="0"/>
    <n v="0"/>
    <n v="0"/>
    <n v="0"/>
    <n v="0"/>
    <n v="0"/>
    <n v="0"/>
    <n v="0"/>
    <n v="0"/>
    <n v="0"/>
    <n v="0.4897512505956916"/>
    <m/>
    <n v="0.2022497881192696"/>
    <m/>
    <n v="0"/>
    <m/>
    <n v="0"/>
    <m/>
    <m/>
    <n v="0"/>
    <n v="0"/>
    <n v="0"/>
    <n v="0"/>
    <m/>
    <n v="0"/>
    <n v="14.28243488443661"/>
    <n v="12.15368092318886"/>
    <n v="16.29799400044215"/>
    <n v="14.6188786444199"/>
    <x v="0"/>
    <m/>
    <x v="4"/>
    <x v="0"/>
    <s v="Defaut GE &amp; Power Cabinet"/>
    <x v="0"/>
    <s v="{05-25-2026  incident}:    impacted by SUO_011_H_Monkey-Hill,   RCA: Power issue / En attente RCA IHS"/>
  </r>
  <r>
    <s v="Maroua-CRTV"/>
    <s v="EXN_045"/>
    <s v="Maroua"/>
    <s v="CAMUSAT"/>
    <s v="Good Grid + Solar + GE"/>
    <s v="EXTREME-NORD"/>
    <s v="Maroua"/>
    <s v="Huawei"/>
    <n v="0.3389734985004266"/>
    <n v="0.1042995380001313"/>
    <n v="0.2707364888580698"/>
    <n v="0.23258725633716"/>
    <n v="0.4508707798637686"/>
    <n v="0.5350345144435599"/>
    <n v="0.5577385691416047"/>
    <n v="0.2782093866730588"/>
    <n v="0.1499930086492996"/>
    <n v="0.3783355163469194"/>
    <n v="0.48017381353925"/>
    <n v="0.003478366745813821"/>
    <n v="0.06133483433352453"/>
    <n v="0.1317120533739688"/>
    <n v="0.09095889941871914"/>
    <n v="0.1052269620726359"/>
    <n v="0.2601246172592193"/>
    <n v="0.02924952844052929"/>
    <n v="0.2332828243915385"/>
    <n v="0.13964866322521"/>
    <n v="0.008473133230837808"/>
    <n v="0.3386524670907135"/>
    <n v="0.06384958037627735"/>
    <n v="0.1779049062160242"/>
    <m/>
    <n v="0.2067977330902056"/>
    <m/>
    <n v="3.125383454183824"/>
    <m/>
    <n v="0.4259908456110013"/>
    <m/>
    <m/>
    <n v="0.296775703201468"/>
    <n v="1.336863965437045"/>
    <n v="7.324509963388151"/>
    <n v="0.7521052526445854"/>
    <m/>
    <n v="2.594647193614756"/>
    <n v="10.77224440367852"/>
    <n v="13.79581178534635"/>
    <n v="15.9004152193089"/>
    <n v="14.46157325366047"/>
    <x v="0"/>
    <m/>
    <x v="2"/>
    <x v="1"/>
    <s v="no root cause"/>
    <x v="1"/>
    <s v=""/>
  </r>
  <r>
    <s v="PK5-Auberge"/>
    <s v="LIT_647"/>
    <s v="Douala"/>
    <s v="CAMUSAT"/>
    <s v="Good Grid no GE - 12h"/>
    <s v="LITTORAL"/>
    <s v="Douala"/>
    <s v="ZTE"/>
    <n v="3.643760005478935"/>
    <n v="33.67239600722534"/>
    <n v="3.77871804310667"/>
    <n v="0"/>
    <n v="1.786985672011482"/>
    <n v="7.11241521203768"/>
    <n v="1.146813370886876"/>
    <n v="59.43671828851733"/>
    <n v="43.19962731820348"/>
    <n v="27.34731032750913"/>
    <n v="43.77532581121071"/>
    <n v="0.009809293074567856"/>
    <n v="21.70386350600543"/>
    <n v="9.21609836973116"/>
    <n v="44.20436645521399"/>
    <n v="0.606267817243238"/>
    <n v="0"/>
    <n v="0.6218021704576906"/>
    <n v="1.058547568294083"/>
    <n v="2.944428749575527"/>
    <n v="0"/>
    <n v="4.737781544546319"/>
    <n v="2.385762756361415"/>
    <n v="1.612772627007161"/>
    <m/>
    <n v="0.5713110637411408"/>
    <m/>
    <n v="0"/>
    <m/>
    <n v="27.44929130532798"/>
    <m/>
    <m/>
    <n v="1.840936783921604"/>
    <n v="2.485924556191911"/>
    <n v="1.660855998150859"/>
    <n v="28.64600722534695"/>
    <m/>
    <n v="12.9308063167567"/>
    <n v="5.854230862998533"/>
    <n v="5.521352907575711"/>
    <n v="22.1684798311106"/>
    <n v="14.25017407036438"/>
    <x v="0"/>
    <m/>
    <x v="3"/>
    <x v="0"/>
    <s v="AKTIVCO Coupure ENEO &amp; Baisse de tension"/>
    <x v="0"/>
    <s v="{05-25-2026 ocm ran 22H}: Power status check Ongoing      ;      {05-25-2026 ticket}: INC-20260525-00024055...2026-05-25 21:35:05...Grid outage / Grid return awaited...user:OCM_NOC.CAMUSAT"/>
  </r>
  <r>
    <s v="Makepe-Bloc-E"/>
    <s v="LIT_613"/>
    <s v="Douala"/>
    <s v="CAMUSAT"/>
    <s v="Good Grid no GE - 8h"/>
    <s v="LITTORAL"/>
    <s v="Douala"/>
    <s v="ZTE"/>
    <n v="28.95482160641264"/>
    <n v="31.4269596470652"/>
    <n v="27.41895383711009"/>
    <n v="25.98563776813256"/>
    <n v="39.5276343837481"/>
    <n v="35.30837207112344"/>
    <n v="29.16222573216564"/>
    <n v="28.57946454814473"/>
    <n v="25.40376833802753"/>
    <n v="29.19416835743209"/>
    <n v="26.39623694115565"/>
    <n v="0"/>
    <n v="29.44462636224328"/>
    <n v="26.88325942476878"/>
    <n v="22.97354273142084"/>
    <n v="26.51612433760519"/>
    <n v="25.78795376006255"/>
    <n v="27.38510285846367"/>
    <n v="29.13866559370836"/>
    <n v="25.89635536607569"/>
    <n v="13.86855689960706"/>
    <n v="13.86855689960706"/>
    <n v="32.0276450847951"/>
    <n v="25.26488658316997"/>
    <m/>
    <n v="28.87814860472616"/>
    <m/>
    <n v="25.91392291821832"/>
    <m/>
    <n v="30.04306458010519"/>
    <m/>
    <m/>
    <n v="29.16575707767248"/>
    <n v="27.72281006640356"/>
    <n v="29.2657405267198"/>
    <n v="19.83767225118639"/>
    <m/>
    <n v="22.1625282150939"/>
    <n v="5.278836892357988"/>
    <n v="7.920266498022856"/>
    <n v="20.77043893518245"/>
    <n v="14.24428849451964"/>
    <x v="0"/>
    <m/>
    <x v="3"/>
    <x v="0"/>
    <s v="AKTIVCO Coupure ENEO &amp; Baisse de tension"/>
    <x v="0"/>
    <s v="(05/25/2026 cell zte): 25/05/2026 : Need BO RAN analysis : Cell was down due to power       ;      {05-25-2026 ticket}: INC-20260525-00020981...Grid Outage"/>
  </r>
  <r>
    <s v="Bertoua-Force-Tyre"/>
    <s v="EST_120"/>
    <s v="CENTRE"/>
    <s v="CAMUSAT"/>
    <s v="Medium Grid + GE"/>
    <s v="EST"/>
    <s v="Bertoua"/>
    <s v="ZTE"/>
    <n v="0"/>
    <n v="2.091234273027939"/>
    <n v="2.309892333199214"/>
    <n v="0.9984433543644574"/>
    <n v="0"/>
    <n v="0"/>
    <n v="0"/>
    <n v="0"/>
    <n v="0"/>
    <n v="0.004726295754109917"/>
    <n v="2.94919071548627"/>
    <n v="0.4766424680324056"/>
    <n v="9.089059106876348"/>
    <n v="0"/>
    <n v="0"/>
    <n v="0.4092080369143317"/>
    <n v="0"/>
    <n v="3.336996658419726"/>
    <n v="0"/>
    <n v="1.948357460627282"/>
    <n v="0"/>
    <n v="0.9392843995856559"/>
    <n v="0.04292903350997204"/>
    <n v="8.517284331098956"/>
    <m/>
    <n v="27.73711379921412"/>
    <m/>
    <n v="13.32724443759577"/>
    <m/>
    <n v="27.73711379921412"/>
    <m/>
    <m/>
    <n v="27.73711379921412"/>
    <n v="20.92637893691518"/>
    <n v="0"/>
    <n v="7.550426900434605"/>
    <m/>
    <n v="24.21019139179244"/>
    <n v="11.06899631907725"/>
    <n v="5.154782123075982"/>
    <n v="20.361334644437"/>
    <n v="13.92937451666937"/>
    <x v="0"/>
    <m/>
    <x v="0"/>
    <x v="0"/>
    <s v="AKTIVCO Defaut GE &amp; Power Cabinet"/>
    <x v="0"/>
    <s v="(05/25/2026 cell zte): 25/05/2026 : Need BO RAN analysis : Cell was down due to power       ;      {05-25-2026 ticket}: INC-20260525-00002736...Grid Outage"/>
  </r>
  <r>
    <s v="PK5"/>
    <s v="LIT_073"/>
    <s v="Douala"/>
    <s v="IHS"/>
    <s v="Grid-Gen"/>
    <s v="LITTORAL"/>
    <s v="Douala"/>
    <s v="ZTE"/>
    <n v="22.52078143325543"/>
    <n v="32.2384378754284"/>
    <n v="0"/>
    <n v="0.03640139484580503"/>
    <n v="0"/>
    <n v="0"/>
    <n v="0.03659758070729665"/>
    <n v="0"/>
    <n v="0"/>
    <n v="0"/>
    <n v="0.3349071006440604"/>
    <n v="0"/>
    <n v="0"/>
    <n v="0"/>
    <n v="0"/>
    <n v="0"/>
    <n v="0"/>
    <n v="0"/>
    <n v="0"/>
    <n v="0"/>
    <n v="0"/>
    <n v="0"/>
    <n v="0"/>
    <n v="1.416568930437487"/>
    <m/>
    <n v="1.107201661943938"/>
    <m/>
    <n v="0"/>
    <m/>
    <n v="0"/>
    <m/>
    <m/>
    <n v="0"/>
    <n v="46.88931265034971"/>
    <n v="13.86855689960706"/>
    <n v="35.69143388322447"/>
    <m/>
    <n v="33.37786752389187"/>
    <n v="32.37293622531563"/>
    <n v="27.54062241806665"/>
    <n v="0"/>
    <n v="13.86855689960706"/>
    <x v="0"/>
    <m/>
    <x v="12"/>
    <x v="2"/>
    <s v="fiber AOF"/>
    <x v="2"/>
    <s v="{05-25-2026 ocm ran 22H}: 24/05/2026 Nous constatons l'indisponibilité de PK5 dû à la coupure de l'AOF CITE-DE-LA-PAIX----PK5._x000a_Merci d'impacter CDS pour prise en charge et correction. CDS activé       ;      {05-25-2026 ocm ran 17H}: 24/05/2026 Nous constatons l'indisponibilité de PK5 dû à la coupure de l'AOF CITE-DE-LA-PAIX----PK5._x000a_Merci d'impacter CDS pour prise en charge et correction. CDS activé "/>
  </r>
  <r>
    <s v="Ancien-Troisieme"/>
    <s v="LIT_653"/>
    <s v="Douala"/>
    <s v="CAMUSAT"/>
    <s v="Good Grid no GE - 8h"/>
    <s v="LITTORAL"/>
    <s v="Douala"/>
    <s v="ZTE"/>
    <n v="6.851434511019226"/>
    <n v="1.161580815733678"/>
    <n v="10.53252333541647"/>
    <n v="0"/>
    <n v="0"/>
    <n v="2.313084812218024"/>
    <n v="0"/>
    <n v="0.02750169076542451"/>
    <n v="7.967963918923158"/>
    <n v="0"/>
    <n v="0"/>
    <n v="23.11340541558586"/>
    <n v="17.27926593671258"/>
    <n v="58.18168166240051"/>
    <n v="58.59212031971875"/>
    <n v="37.10887673249952"/>
    <n v="0"/>
    <n v="0"/>
    <n v="0"/>
    <n v="0"/>
    <n v="13.99454389284114"/>
    <n v="0"/>
    <n v="0.02750169076542468"/>
    <n v="12.42626978623589"/>
    <m/>
    <n v="13.86855689960706"/>
    <m/>
    <n v="45.12681454086801"/>
    <m/>
    <n v="13.86855689960706"/>
    <m/>
    <m/>
    <n v="10.48322717894719"/>
    <n v="57.37814004388859"/>
    <n v="29.28885478821915"/>
    <n v="42.39497992483584"/>
    <m/>
    <n v="13.86855689960706"/>
    <n v="32.37293622531563"/>
    <n v="27.54062241806665"/>
    <n v="0"/>
    <n v="13.86855689960706"/>
    <x v="0"/>
    <m/>
    <x v="3"/>
    <x v="0"/>
    <s v="AKTIVCO Coupure ENEO &amp; Baisse de tension"/>
    <x v="0"/>
    <s v="{05-25-2026 ocm ran 22H}: 23/05/2026 Camusat: Bad Grid phases / Eneo restoration awaited - Escalated to L4_x000a_22.05.26: Camusat: Bad Grid phases / Eneo restoration awaited - Escalated to L4_x000a_22.05.26: Camusat: Bad Grid phases / Eneo restoration awaited - Escalated to L3_x000a_21.05.26: Camusat: Bad Grid phases / Eneo restoration awaited      ;      {05-25-2026 ocm ran 17H}: 23/05/2026 Camusat: Bad Grid phases / Eneo restoration awaited - Escalated to L4_x000a_22.05.26: Camusat: Bad Grid phases / Eneo restoration awaited - Escalated to L4_x000a_22.05.26: Camusat: Bad Grid phases / Eneo restoration awaited - Escalated to L3_x000a_21.05.26: Camusat: Bad Grid phases / Eneo restoration awaited"/>
  </r>
  <r>
    <s v="Nkolmintag"/>
    <s v="LIT_539"/>
    <s v="Douala"/>
    <s v="CAMUSAT"/>
    <s v="Good Grid no GE - 12h"/>
    <s v="LITTORAL"/>
    <s v="Douala"/>
    <s v="ZTE"/>
    <n v="12.96421141844518"/>
    <n v="13.1506236570186"/>
    <n v="12.90494545319647"/>
    <n v="40.11064525886545"/>
    <n v="3.321622820910134"/>
    <n v="6.390451241749491"/>
    <n v="5.633851549368925"/>
    <n v="15.94044011266062"/>
    <n v="12.63923845642391"/>
    <n v="2.066996401594599"/>
    <n v="8.449154331926504"/>
    <n v="9.244848515978804"/>
    <n v="1.478581497747074"/>
    <n v="3.888082743348944"/>
    <n v="49.47730735975208"/>
    <n v="0"/>
    <n v="0"/>
    <n v="0"/>
    <n v="0"/>
    <n v="0"/>
    <n v="9.24500903168366"/>
    <n v="0"/>
    <n v="0"/>
    <n v="0"/>
    <m/>
    <n v="68.48338341423324"/>
    <m/>
    <n v="25.9405506901462"/>
    <m/>
    <n v="35.3885050780035"/>
    <m/>
    <m/>
    <n v="31.11227752523308"/>
    <n v="35.73471961830079"/>
    <n v="36.22354344482398"/>
    <n v="40.5891604101212"/>
    <m/>
    <n v="13.86855689960706"/>
    <n v="32.37293622531563"/>
    <n v="27.54062241806665"/>
    <n v="0"/>
    <n v="13.86855689960706"/>
    <x v="0"/>
    <m/>
    <x v="3"/>
    <x v="0"/>
    <s v="AKTIVCO Coupure ENEO &amp; Baisse de tension"/>
    <x v="0"/>
    <s v="(05/25/2026 cell zte): 22/05/2026 : En attente du Feedback de Camusat ||Point suivi avec la Team Socadel._x000a_21/05/2026 : Escalade faite du cote de Camusat || En attente de leur feedback _x000a_12/05/2026 : Power issue || Mail sent to camusat || Feedback Camusat : Mauvaises phases AC et Grid only site. Point suivi et escaladé à la Team SOCADEL.       ;      (05/25/2026 cell zte): 22/05/2026 : En attente du Feedback de Camusat ||Point suivi avec la Team Socadel._x000a_21/05/2026 : Escalade faite du cote de Camusat || En attente de leur feedback _x000a_12/05/2026 : Power issue || Mail sent to camusat || Feedback Camusat : Mauvaises phases AC et Grid only site. Point suivi et escaladé à la Team SOCADEL.       ;      (05/25/2026 cell zte): 22/05/2026 : En attente du Feedback de Camusat ||Point suivi avec la Team Socadel._x000a_21/05/2026 : Escalade faite du cote de Camusat || En attente de leur feedback _x000a_12/05/2026 : Power issue || Mail sent to camusat || Feedback Camusat : Mauvaises phases AC et Grid only site. Point suivi et escaladé à la Team SOCADEL.       ;      {05-25-2026 ocm ran 22H}: 23.05.26: Grid outage, Grid only site / Grid return awaited - Escalated to L2_x000a_22.05.26: Grid outage, Grid only site / Grid return awaited - Escalated to L2_x000a_21/05/2026 Grid outage, Grid only site / Grid return awaited      ;      {05-25-2026 ocm ran 17H}: 23.05.26: Grid outage, Grid only site / Grid return awaited - Escalated to L2_x000a_22.05.26: Grid outage, Grid only site / Grid return awaited - Escalated to L2_x000a_21/05/2026 Grid outage, Grid only site / Grid return awaited"/>
  </r>
  <r>
    <s v="Moulanga"/>
    <s v="LIT_670"/>
    <s v="LITTORAL"/>
    <s v="CAMUSAT"/>
    <s v="Good Grid + GE"/>
    <s v="LITTORAL"/>
    <s v="Moulanga"/>
    <s v="ZTE"/>
    <n v="0"/>
    <n v="0"/>
    <n v="0.3927819297840094"/>
    <n v="14.07801205936656"/>
    <n v="15.54369879549015"/>
    <n v="16.07516629427023"/>
    <n v="0"/>
    <n v="0.7435087448956015"/>
    <n v="14.91643909106734"/>
    <n v="18.07790290868725"/>
    <n v="0"/>
    <n v="12.32696407016462"/>
    <n v="0"/>
    <n v="0"/>
    <n v="0"/>
    <n v="17.99687814789132"/>
    <n v="19.82827316491312"/>
    <n v="0"/>
    <n v="0"/>
    <n v="0.7196810802635604"/>
    <n v="12.32671437906818"/>
    <n v="4.062527644371392"/>
    <n v="17.76348831302988"/>
    <n v="5.098799199847047"/>
    <m/>
    <n v="9.097833965408507"/>
    <m/>
    <n v="0"/>
    <m/>
    <n v="22.41446653140543"/>
    <m/>
    <m/>
    <n v="13.86855689960706"/>
    <n v="13.86855689960706"/>
    <n v="13.86855689960706"/>
    <n v="13.86855689960706"/>
    <m/>
    <n v="13.86855689960706"/>
    <n v="32.37293622531563"/>
    <n v="27.54062241806665"/>
    <n v="0"/>
    <n v="13.86855689960706"/>
    <x v="0"/>
    <m/>
    <x v="8"/>
    <x v="4"/>
    <s v="SPARE-ISSUE"/>
    <x v="3"/>
    <s v="{05-25-2026 ocm ran 22H}: Impacted by SUO_061_Z_Bekoko-MTN (TX issue)      ;      {05-25-2026 ocm ran 17H}: Impacted by SUO_061_Z_Bekoko-MTN (TX issue)"/>
  </r>
  <r>
    <s v="Bekoko-MTN"/>
    <s v="SUO_061"/>
    <s v="LITTORAL"/>
    <s v="IHS"/>
    <s v="Grid-Gen"/>
    <s v="SUD-OUEST"/>
    <s v="Bekoko"/>
    <s v="ZTE"/>
    <n v="0"/>
    <n v="0"/>
    <n v="0.3448947445018009"/>
    <n v="13.04662731534987"/>
    <n v="13.81045021444898"/>
    <n v="14.41598679348121"/>
    <n v="0"/>
    <n v="0.6469317958069024"/>
    <n v="13.21738035516062"/>
    <n v="16.06726535457562"/>
    <n v="0"/>
    <n v="0"/>
    <n v="0"/>
    <n v="0.001515981656978661"/>
    <n v="0"/>
    <n v="15.3957033156124"/>
    <n v="17.5349852896274"/>
    <n v="0"/>
    <n v="0"/>
    <n v="0"/>
    <n v="10.01020523181322"/>
    <n v="2.555142495141723"/>
    <n v="15.78698709881775"/>
    <n v="0"/>
    <m/>
    <n v="0"/>
    <m/>
    <n v="0"/>
    <m/>
    <n v="19.91004699899838"/>
    <m/>
    <m/>
    <n v="13.86855689960706"/>
    <n v="13.86855689960706"/>
    <n v="13.86855689960706"/>
    <n v="13.86855689960706"/>
    <m/>
    <n v="13.86855689960706"/>
    <n v="32.37293622531563"/>
    <n v="27.54062241806665"/>
    <n v="0"/>
    <n v="13.86855689960706"/>
    <x v="0"/>
    <m/>
    <x v="8"/>
    <x v="4"/>
    <s v="SPARE-ISSUE"/>
    <x v="3"/>
    <s v="{05-25-2026 ocm ran 22H}: 23/05/2026 ODU( 3DB20859AC) Pas disponible chez Huawei. Commande passee a OCM_x000a_22/052/2026 ODU( 3DB20859AC) Pas disponible chez Huawei. Commande passee a OCM_x000a_21/052/2026 ODU( 3DB20859AC) Pas disponible chez Huawei. Commande passee a OCM_x000a_18.05.2026: ODU( 3DB20859AC) Pas disponible chez Huawei. Commande passee a OCM_x000a_16.05.26: Commande ODU passée et vérifications du SPM en cours_x000a_15/05/2026 ODU 3DB20858AC en defaut commande en cours _x000a_15/05/2026 FME pascala sur site ODU faulty commande en cours _x000a_14/05/2026 FME pascala activé _x000a_ Besoin d'un FME sur site pour tshoot avec le BO TX      ;      {05-25-2026 ocm ran 17H}: 23/05/2026 ODU( 3DB20859AC) Pas disponible chez Huawei. Commande passee a OCM_x000a_22/052/2026 ODU( 3DB20859AC) Pas disponible chez Huawei. Commande passee a OCM_x000a_21/052/2026 ODU( 3DB20859AC) Pas disponible chez Huawei. Commande passee a OCM_x000a_18.05.2026: ODU( 3DB20859AC) Pas disponible chez Huawei. Commande passee a OCM_x000a_16.05.26: Commande ODU passée et vérifications du SPM en cours_x000a_15/05/2026 ODU 3DB20858AC en defaut commande en cours _x000a_15/05/2026 FME pascala sur site ODU faulty commande en cours _x000a_14/05/2026 FME pascala activé _x000a_ Besoin d'un FME sur site pour tshoot avec le BO TX"/>
  </r>
  <r>
    <s v="Kondengui"/>
    <s v="CTR_040"/>
    <s v="Yaounde"/>
    <s v="IHS"/>
    <s v="Grid-Gen"/>
    <s v="CENTRE"/>
    <s v="Yaounde"/>
    <s v="ZTE"/>
    <n v="0"/>
    <n v="0"/>
    <n v="0"/>
    <n v="0"/>
    <n v="0"/>
    <n v="0"/>
    <n v="0"/>
    <n v="0"/>
    <n v="0"/>
    <n v="0"/>
    <n v="3.133355734191699"/>
    <n v="0"/>
    <n v="0"/>
    <n v="0"/>
    <n v="0"/>
    <n v="1.988700407781231"/>
    <n v="0"/>
    <n v="0"/>
    <n v="0"/>
    <n v="0"/>
    <n v="0.06228009348434652"/>
    <n v="13.86855689960706"/>
    <n v="13.86855689960706"/>
    <n v="13.86855689960706"/>
    <m/>
    <n v="13.86855689960706"/>
    <m/>
    <n v="13.86855689960706"/>
    <m/>
    <n v="13.86855689960706"/>
    <m/>
    <m/>
    <n v="13.86855689960706"/>
    <n v="13.86855689960706"/>
    <n v="13.86855689960706"/>
    <n v="13.86855689960706"/>
    <m/>
    <n v="13.86855689960706"/>
    <n v="32.37293622531563"/>
    <n v="27.54062241806665"/>
    <n v="0"/>
    <n v="13.86855689960706"/>
    <x v="0"/>
    <m/>
    <x v="8"/>
    <x v="4"/>
    <s v="Warehouse HUAWEI"/>
    <x v="3"/>
    <s v="{05-25-2026 ocm ran 22H}: 25.05.26: ODU 3DB29215AC faulty, commande en cours, update ASAP_x000a_22.05.26: Sera expédié vers Yaoundé ce jour, ETD 23-May_x000a_21/05/2026  ODU faulty mais en cours de test. Finalisation des tests ce 21.05.26_x000a_20.05.26: ODU faulty mais en cours de test. Finalisation des tests ce 21.05.26_x000a_19.05.26: ODU disponible mais en cours de test_x000a_18.05.2026: Spare pas disponible dans le WH AFRO. Commande passee par mail au SPM_x000a_17.05.2026: ODU Faulty Commande en Cours. Update ASAP_x000a_17.05.2026: FME Henry en route pour le site ETA=1H_x000a_16.05.26: Était impacté par Emombo-Tchad. Check des connectiques de l'ODU en hauteur ce 17.05.26 (Henri Kenfack)_x000a_Impacted by CTR_417_Z_Emombo-Tchad (Power issue)      ;      {05-25-2026 ocm ran 17H}: 22.05.26: Sera expédié vers Yaoundé ce jour, ETD 23-May_x000a_21/05/2026  ODU faulty mais en cours de test. Finalisation des tests ce 21.05.26_x000a_20.05.26: ODU faulty mais en cours de test. Finalisation des tests ce 21.05.26_x000a_19.05.26: ODU disponible mais en cours de test_x000a_18.05.2026: Spare pas disponible dans le WH AFRO. Commande passee par mail au SPM_x000a_17.05.2026: ODU Faulty Commande en Cours. Update ASAP_x000a_17.05.2026: FME Henry en route pour le site ETA=1H_x000a_16.05.26: Était impacté par Emombo-Tchad. Check des connectiques de l'ODU en hauteur ce 17.05.26 (Henri Kenfack)_x000a_Impacted by CTR_417_Z_Emombo-Tchad (Power issue)"/>
  </r>
  <r>
    <s v="Mimboman-Ecole"/>
    <s v="CTR_422"/>
    <s v="Yaounde"/>
    <s v="IHS"/>
    <s v="Grid-Gen"/>
    <s v="CENTRE"/>
    <s v="Yaounde"/>
    <s v="ZTE"/>
    <n v="0"/>
    <n v="0"/>
    <n v="0"/>
    <n v="0"/>
    <n v="0"/>
    <n v="0"/>
    <n v="0"/>
    <n v="0"/>
    <n v="0"/>
    <n v="0"/>
    <n v="0"/>
    <n v="0"/>
    <n v="0"/>
    <n v="0"/>
    <n v="0"/>
    <n v="0"/>
    <n v="0"/>
    <n v="0"/>
    <n v="0"/>
    <n v="0"/>
    <n v="0"/>
    <n v="0"/>
    <n v="0"/>
    <n v="0"/>
    <m/>
    <n v="0"/>
    <m/>
    <n v="13.86855689960706"/>
    <m/>
    <n v="13.86855689960706"/>
    <m/>
    <m/>
    <n v="13.86855689960706"/>
    <n v="13.86855689960706"/>
    <n v="13.86855689960706"/>
    <n v="13.86855689960706"/>
    <m/>
    <n v="13.86855689960706"/>
    <n v="32.37293622531563"/>
    <n v="27.54062241806665"/>
    <n v="0"/>
    <n v="13.86855689960706"/>
    <x v="0"/>
    <m/>
    <x v="8"/>
    <x v="4"/>
    <s v="SPARE-ISSUE"/>
    <x v="3"/>
    <s v="{05-25-2026 ocm ran 22H}: 23.05.26: Chassis MSS8 reçu faulty, commande passée à OCM_x000a_22.05.26: Chassis MSS8 reçu faulty, commande passée à OCM_x000a_21.05.26: Chassis MSS8 reçu faulty, commande passée à OCM_x000a_20.05.26: Chassis MSS8 reçu faulty, commande passée à OCM_x000a_19.05.26: Chassis MSS8 reçu faulty, nouvelle commande en cours et update ASAP_x000a_19/05/2026 Suite des travaux ce jour, test du chassis en cours sur un autre site, update ASAP_x000a_18.05.26: Chassis reçu ce jour et remplacement ce 18.05.26, ETA=16H UTC_x000a_15/05/2026 chassis MSS8(3DB18485EAAA01) pas disponible point transmis OCM _x000a_14/05/2026 chassis MSS8(3DB18485EAAA01) pas disponible point transmis OCM _x000a_13/05/2026 chassis MSS8(3DB18485EAAA01) pas disponible point transmis OCM _x000a_12.05.2026: Apres test des cartes ailleur, il en ressort que le chassis MSS8(3DB18485EAAA01) est faulty Commande en cours_x000a_12.05.2026: FME Sur site nous remonte un probable dfaut de carte core Evo 1G. Pour confirmer il faut effectuer les test sur le site de Emombo. Le FME EST EN ROUTE ETA=1H_x000a_12/05/2026 FME sur site intervention en cours _x000a_12.05.2026: FME Bertrand en route ETA=20 Minutes_x000a_11.05.26: Power issue solved but site remains down. Need FME on site to check MPR status; CM-20260511-00006359; FME Eloundou activé pour investigations, update ASAP      ;      {05-25-2026 ocm ran 17H}: 23.05.26: Chassis MSS8 reçu faulty, commande passée à OCM_x000a_22.05.26: Chassis MSS8 reçu faulty, commande passée à OCM_x000a_21.05.26: Chassis MSS8 reçu faulty, commande passée à OCM_x000a_20.05.26: Chassis MSS8 reçu faulty, commande passée à OCM_x000a_19.05.26: Chassis MSS8 reçu faulty, nouvelle commande en cours et update ASAP_x000a_19/05/2026 Suite des travaux ce jour, test du chassis en cours sur un autre site, update ASAP_x000a_18.05.26: Chassis reçu ce jour et remplacement ce 18.05.26, ETA=16H UTC_x000a_15/05/2026 chassis MSS8(3DB18485EAAA01) pas disponible point transmis OCM _x000a_14/05/2026 chassis MSS8(3DB18485EAAA01) pas disponible point transmis OCM _x000a_13/05/2026 chassis MSS8(3DB18485EAAA01) pas disponible point transmis OCM _x000a_12.05.2026: Apres test des cartes ailleur, il en ressort que le chassis MSS8(3DB18485EAAA01) est faulty Commande en cours_x000a_12.05.2026: FME Sur site nous remonte un probable dfaut de carte core Evo 1G. Pour confirmer il faut effectuer les test sur le site de Emombo. Le FME EST EN ROUTE ETA=1H_x000a_12/05/2026 FME sur site intervention en cours _x000a_12.05.2026: FME Bertrand en route ETA=20 Minutes_x000a_11.05.26: Power issue solved but site remains down. Need FME on site to check MPR status; CM-20260511-00006359; FME Eloundou activé pour investigations, update ASAP"/>
  </r>
  <r>
    <s v="CTR_942_Z_Mbankolo-II"/>
    <s v="CTR_942"/>
    <s v="Yaounde"/>
    <s v="ESCO"/>
    <s v="Medium Grid + GE"/>
    <s v="CTR"/>
    <s v="Yaoundé"/>
    <s v="ZTE"/>
    <n v="36.50334015346728"/>
    <n v="36.77739396689238"/>
    <n v="30.43859311195007"/>
    <n v="0"/>
    <n v="9.972787237503317"/>
    <n v="0"/>
    <n v="0"/>
    <n v="0"/>
    <n v="0"/>
    <n v="0"/>
    <n v="0"/>
    <n v="0.03747149954484912"/>
    <n v="0"/>
    <s v=""/>
    <n v="0"/>
    <n v="0"/>
    <n v="0"/>
    <n v="0"/>
    <n v="0"/>
    <n v="0"/>
    <n v="4.950857225204245"/>
    <n v="0"/>
    <n v="0"/>
    <n v="24.17965773771306"/>
    <m/>
    <n v="14.78116002202989"/>
    <m/>
    <n v="0"/>
    <m/>
    <n v="11.49554622424258"/>
    <m/>
    <m/>
    <n v="13.86855689960706"/>
    <n v="13.86855689960706"/>
    <n v="13.86855689960706"/>
    <n v="13.86855689960706"/>
    <m/>
    <n v="13.86855689960706"/>
    <n v="32.37293622531563"/>
    <n v="27.54062241806665"/>
    <n v="0"/>
    <n v="13.86855689960706"/>
    <x v="0"/>
    <m/>
    <x v="0"/>
    <x v="0"/>
    <s v="AKTIVCO Defaut GE &amp; Power Cabinet"/>
    <x v="0"/>
    <s v="{05-25-2026 ocm ran 22H}: 23/05/2026  Problème d'accès pour loyer impayé. Descente déjà effectuée par Camusat et l'huissier  Escalated to L4 Site a relocalisé._x000a_22/05/2026  Problème d'accès pour loyer impayé. Descente déjà effectuée par Camusat et l'huissier  Escalated to L4 Site a relocalisé._x000a_21/05/2026  Problème d'accès pour loyer impayé. Descente déjà effectuée par Camusat et l'huissier  Escalated to L3_x000a_19/05/2026 Problème d'accès pour loyer impayé. Descente déjà effectuée par Camusat et l'huissier  Escalated to L3_x000a_18.05.26: Problème d'accès pour loyer impayé. Descente déjà effectuée par Camusat et l'huissier_x000a_16.05.26: Probleme d'accès sur site pour paiement du loyer sur 7 ans, constat en cours sur site - Escalated to L3_x000a_15/05/2026 probleme d'accès sur site pour paiement du loyer sur 7 ans, constat en cours sur site _x000a_15/05/2026 Grid outage and  gen cannot be started due to noise pollution / Grid return awaited      ;      {05-25-2026 ocm ran 17H}: 23/05/2026  Problème d'accès pour loyer impayé. Descente déjà effectuée par Camusat et l'huissier  Escalated to L4 Site a relocalisé._x000a_22/05/2026  Problème d'accès pour loyer impayé. Descente déjà effectuée par Camusat et l'huissier  Escalated to L4 Site a relocalisé._x000a_21/05/2026  Problème d'accès pour loyer impayé. Descente déjà effectuée par Camusat et l'huissier  Escalated to L3_x000a_19/05/2026 Problème d'accès pour loyer impayé. Descente déjà effectuée par Camusat et l'huissier  Escalated to L3_x000a_18.05.26: Problème d'accès pour loyer impayé. Descente déjà effectuée par Camusat et l'huissier_x000a_16.05.26: Probleme d'accès sur site pour paiement du loyer sur 7 ans, constat en cours sur site - Escalated to L3_x000a_15/05/2026 probleme d'accès sur site pour paiement du loyer sur 7 ans, constat en cours sur site _x000a_15/05/2026 Grid outage and  gen cannot be started due to noise pollution / Grid return awaited"/>
  </r>
  <r>
    <s v="Biyem-assi-Stade"/>
    <s v="CTR_489"/>
    <s v="Yaounde"/>
    <s v="IHS"/>
    <s v="Grid-Lithium"/>
    <s v="CENTRE"/>
    <s v="Yaounde"/>
    <s v="ZTE"/>
    <n v="0"/>
    <n v="0"/>
    <n v="0"/>
    <n v="0"/>
    <n v="0"/>
    <n v="0"/>
    <n v="0"/>
    <n v="0"/>
    <n v="0"/>
    <n v="0"/>
    <n v="0"/>
    <n v="0"/>
    <n v="16.18408511755457"/>
    <n v="0"/>
    <n v="0"/>
    <n v="0"/>
    <n v="0"/>
    <n v="0"/>
    <n v="0"/>
    <n v="0"/>
    <n v="0"/>
    <n v="2.131826911278332"/>
    <n v="0"/>
    <n v="1.687537275313683"/>
    <m/>
    <n v="0"/>
    <m/>
    <n v="8.684529069889332e-17"/>
    <m/>
    <n v="0"/>
    <m/>
    <m/>
    <n v="2.360294264524174"/>
    <n v="0"/>
    <n v="17.27336252578952"/>
    <n v="7.358253931564663"/>
    <m/>
    <n v="13.86855689960706"/>
    <n v="32.37293622531563"/>
    <n v="27.54062241806665"/>
    <n v="0"/>
    <n v="13.86855689960706"/>
    <x v="0"/>
    <m/>
    <x v="12"/>
    <x v="2"/>
    <s v="fiber AOF"/>
    <x v="2"/>
    <s v="{05-25-2026 ocm ran 22H}: 25.05.26: AOF CTR_489_Z_Biyem-assi-Stade&lt;&gt;Niki-Accacia down, CDS activé pour investigations_x000a_23.05.26:  Grid outage, no space to deploy MDG, awaiting grid return - Escalated to L3_x000a_22.05.26: Grid outage, no space to deploy MDG, awaiting grid return - Escalated to L3_x000a_21/05/2026 Grid outage, no space to deploy MDG, awaiting grid return      ;      {05-25-2026 ocm ran 17H}: 25.05.26: AOF CTR_489_Z_Biyem-assi-Stade&lt;&gt;Niki-Accacia down, CDS activé pour investigations_x000a_23.05.26:  Grid outage, no space to deploy MDG, awaiting grid return - Escalated to L3_x000a_22.05.26: Grid outage, no space to deploy MDG, awaiting grid return - Escalated to L3_x000a_21/05/2026 Grid outage, no space to deploy MDG, awaiting grid return"/>
  </r>
  <r>
    <s v="Kousseri-II"/>
    <s v="EXN_194"/>
    <s v="EXTREME-NORD"/>
    <s v="CAMUSAT"/>
    <s v="Bad Grid + GE"/>
    <s v="EXTREME-NORD"/>
    <s v="Kousseri"/>
    <s v="Huawei"/>
    <n v="5.712415069357053"/>
    <n v="3.237227230312214"/>
    <n v="1.704052557835592"/>
    <n v="7.589182525618306"/>
    <n v="8.824921596995717"/>
    <n v="0.6319681650986065"/>
    <n v="0.4374766360474042"/>
    <n v="4.300572434673675"/>
    <n v="11.15557396135638"/>
    <n v="11.20485228274734"/>
    <n v="10.20400119281004"/>
    <n v="0"/>
    <n v="9.801980692457615"/>
    <n v="10.10043289302092"/>
    <n v="2.676456697856652"/>
    <n v="0.5775711762305491"/>
    <n v="5.449508179880318"/>
    <n v="0.05598431083830575"/>
    <n v="0"/>
    <n v="0.08373569270017378"/>
    <n v="38.27869735441585"/>
    <n v="0"/>
    <n v="0.9001720728356062"/>
    <n v="7.429255378346217"/>
    <m/>
    <n v="0"/>
    <m/>
    <n v="0"/>
    <m/>
    <n v="0.0209205468663054"/>
    <m/>
    <m/>
    <n v="5.964424725981857"/>
    <n v="7.024399100541329"/>
    <n v="25.76696187288297"/>
    <n v="13.86855689960706"/>
    <m/>
    <n v="10.26942026007825"/>
    <n v="32.37293622531563"/>
    <n v="27.54062241806665"/>
    <n v="0"/>
    <n v="13.86855689960706"/>
    <x v="1"/>
    <m/>
    <x v="0"/>
    <x v="0"/>
    <s v="AKTIVCO Defaut GE &amp; Power Cabinet"/>
    <x v="0"/>
    <s v="{05-25-2026 ocm ran 22H}: 25.05.26: Camusat: Access issue due to landlord      ;      {05-25-2026 ocm ran 17H}: 25.05.26: Camusat: Access issue due to landlord"/>
  </r>
  <r>
    <s v="Foumbot-MTN"/>
    <s v="OST_043"/>
    <s v="OUEST"/>
    <s v="IHS"/>
    <s v="Grid-Gen"/>
    <s v="OUEST"/>
    <s v="Foumbot"/>
    <s v="Huawei"/>
    <n v="2.191788444581418"/>
    <n v="1.442857835877329"/>
    <n v="8.917539158697954e-05"/>
    <n v="0"/>
    <n v="0.0005350523495218772"/>
    <n v="4.01378437532995"/>
    <n v="0"/>
    <n v="0"/>
    <n v="0"/>
    <n v="0"/>
    <n v="1.906569872129623"/>
    <n v="1.044582701971561"/>
    <n v="0.02898200226576836"/>
    <n v="0"/>
    <n v="0"/>
    <n v="0"/>
    <n v="0"/>
    <n v="3.772172569364186"/>
    <n v="0"/>
    <n v="0"/>
    <n v="0"/>
    <n v="0.6958355805532014"/>
    <n v="0.03281654410400847"/>
    <n v="0"/>
    <m/>
    <n v="2.481430116455928"/>
    <m/>
    <n v="0"/>
    <m/>
    <n v="0"/>
    <m/>
    <m/>
    <n v="0"/>
    <n v="0"/>
    <n v="0"/>
    <n v="5.124018000587844"/>
    <m/>
    <n v="10.07564213415974"/>
    <n v="32.37293622531563"/>
    <n v="27.54062241806665"/>
    <n v="0"/>
    <n v="13.86855689960706"/>
    <x v="0"/>
    <m/>
    <x v="4"/>
    <x v="0"/>
    <s v="Defaut GE &amp; Power Cabinet"/>
    <x v="0"/>
    <s v="{05-25-2026 groupe whatsapp incident}:    impacted by OST_005_H_Foumbot ,Cause: Probleme energie    Action: RCA attendu de IHS      ;      {05-25-2026 ocm ran 22H}: 25.05.26: Besoin d'un FME sur site pour verifier l'interco entre le MPR et la BBU S1P5; FME Wylli activé pour investigations, update ASAP      ;      {05-25-2026 ocm ran 17H}: 25.05.26: Besoin d'un fme sur site pour verifier l'interco entre le MPR et la BBU S1P5 FME wylli activé ETA=2H  "/>
  </r>
  <r>
    <s v="Ekoumdoum-Chatel"/>
    <s v="CTR_762"/>
    <s v="Yaounde"/>
    <s v="CAMUSAT"/>
    <s v="Good Grid + GE"/>
    <s v="CENTRE"/>
    <s v="Yaounde"/>
    <s v="ZTE"/>
    <n v="0"/>
    <n v="0.6798196802241809"/>
    <n v="1.465526220418738"/>
    <n v="1.448172689215911"/>
    <n v="0.9841396215539063"/>
    <n v="3.15267112400944"/>
    <n v="0"/>
    <n v="1.538311175032032"/>
    <n v="2.311247799151336"/>
    <n v="0"/>
    <n v="1.254662089472167"/>
    <n v="0.1837191417474953"/>
    <n v="2.470746904543808"/>
    <n v="0"/>
    <n v="3.488844515214035"/>
    <n v="3.374218466868132"/>
    <n v="0.003691861211700845"/>
    <n v="41.60567069882119"/>
    <n v="35.10310815476854"/>
    <n v="29.27806456583713"/>
    <n v="0.1261831790955761"/>
    <n v="2.01370518758222"/>
    <n v="0.4483917039776505"/>
    <n v="0"/>
    <m/>
    <n v="1.918037827487708"/>
    <m/>
    <n v="11.9689248729429"/>
    <m/>
    <n v="0"/>
    <m/>
    <m/>
    <n v="0.5635528046730764"/>
    <n v="1.295450913584052"/>
    <n v="0"/>
    <n v="0"/>
    <m/>
    <n v="4.942849275039737"/>
    <n v="32.37293622531563"/>
    <n v="27.54062241806665"/>
    <n v="0"/>
    <n v="13.86855689960706"/>
    <x v="2"/>
    <s v="site vandalise"/>
    <x v="9"/>
    <x v="5"/>
    <s v="EXCLU"/>
    <x v="4"/>
    <s v="{05-25-2026 ocm ran 22H}: Impacted by CTR_465_Z_Ekoumdoum-MTN-IHS (TX issue)      ;      {05-25-2026 ocm ran 17H}: Impacted by CTR_465_Z_Ekoumdoum-MTN-IHS (TX issue)"/>
  </r>
  <r>
    <s v="Nkoulou-carriere"/>
    <s v="CTR_897"/>
    <s v="Yaounde"/>
    <s v="MTN"/>
    <m/>
    <s v="CENTRE"/>
    <s v="Yaounde"/>
    <s v="ZTE"/>
    <n v="9.099653143396882"/>
    <n v="0"/>
    <n v="0.6481802512891204"/>
    <n v="0.6971197061920544"/>
    <n v="3.419145029149652"/>
    <n v="2.558673840648569"/>
    <n v="0.7001159993493776"/>
    <n v="5.988056204752406"/>
    <n v="5.815626667579822"/>
    <n v="0.5997401785790729"/>
    <n v="1.181377752665987"/>
    <n v="0"/>
    <n v="4.992056256117432"/>
    <n v="0"/>
    <n v="0.7141878761418017"/>
    <n v="8.015405227247433"/>
    <n v="0.6150426757753986"/>
    <n v="3.601597880336612"/>
    <n v="0"/>
    <n v="0.7506606113008764"/>
    <n v="0"/>
    <n v="7.126843790396453"/>
    <n v="0"/>
    <n v="0"/>
    <m/>
    <n v="0.6833331906527065"/>
    <m/>
    <n v="1.154018742527102"/>
    <m/>
    <n v="0.5997045084224381"/>
    <m/>
    <m/>
    <n v="0"/>
    <n v="0"/>
    <n v="0"/>
    <n v="0"/>
    <m/>
    <n v="3.847775466351627"/>
    <n v="32.37293622531563"/>
    <n v="27.54062241806665"/>
    <n v="0"/>
    <n v="13.86855689960706"/>
    <x v="0"/>
    <m/>
    <x v="5"/>
    <x v="2"/>
    <s v="ODU HS"/>
    <x v="2"/>
    <s v="{05-25-2026 ocm ran 22H}: Impacted by CTR_465_Z_Ekoumdoum-MTN-IHS (TX issue)      ;      {05-25-2026 ocm ran 17H}: Impacted by CTR_465_Z_Ekoumdoum-MTN-IHS (TX issue)   ; {05-25-2026   groupe whatsapp   incident}: CTR_465_Z_Ekoumdoum-MTN-IHS (+2 sites) : 25.05.26: Besoin d'un FME sur site pour vérifier la chaine antennaire de l'ODU 3.1; PLM-20260525-00000642; FME Crislain activé ETA 20H30"/>
  </r>
  <r>
    <s v="Ekoumdoum-MTN-IHS"/>
    <s v="CTR_465"/>
    <s v="Yaounde"/>
    <s v="CAMUSAT"/>
    <s v="Grid-Gen"/>
    <s v="CENTRE"/>
    <s v="Yaounde"/>
    <s v="ZTE"/>
    <n v="0"/>
    <n v="0"/>
    <n v="0"/>
    <n v="0"/>
    <n v="0"/>
    <n v="0"/>
    <n v="0"/>
    <n v="0"/>
    <n v="0"/>
    <n v="0"/>
    <n v="0"/>
    <n v="0"/>
    <n v="0"/>
    <n v="0"/>
    <n v="0"/>
    <n v="0"/>
    <n v="0"/>
    <n v="0"/>
    <n v="0"/>
    <n v="0"/>
    <m/>
    <n v="0"/>
    <n v="0"/>
    <n v="0"/>
    <m/>
    <n v="0"/>
    <m/>
    <n v="0.515362423059472"/>
    <m/>
    <n v="0"/>
    <m/>
    <m/>
    <n v="0"/>
    <n v="0"/>
    <n v="0"/>
    <n v="0"/>
    <m/>
    <n v="3.725444664172609"/>
    <n v="32.37293622531563"/>
    <n v="27.54062241806665"/>
    <n v="0"/>
    <n v="13.86855689960706"/>
    <x v="0"/>
    <m/>
    <x v="5"/>
    <x v="2"/>
    <s v="ODU HS"/>
    <x v="2"/>
    <s v="{05-25-2026 ocm ran 22H}: 25.05.26: Besoin d'un FME sur site pour vérifier la chaine antennaire de l'ODU 3.1; PLM-20260525-00000642; FME Crislain activé pour investigations, ETA=21H      ;      {05-25-2026 ocm ran 17H}: 25.05.26: Besoin d'un FME sur site pour vérifier la chaine antennaire de l'ODU 3.1; PLM-20260525-00000642; FME Crislain activé pour investigations, update aSAP"/>
  </r>
  <r>
    <s v="Foumban-Nkoungougnet"/>
    <s v="OST_082"/>
    <s v="OUEST"/>
    <s v="IHS"/>
    <s v="Grid-Gen"/>
    <s v="OUEST"/>
    <s v="Foumban"/>
    <s v="Huawei"/>
    <n v="0"/>
    <n v="0"/>
    <n v="0"/>
    <n v="8.917539158697954e-05"/>
    <n v="0"/>
    <n v="0"/>
    <n v="0"/>
    <n v="0"/>
    <n v="0"/>
    <n v="0"/>
    <n v="0"/>
    <n v="0"/>
    <n v="0"/>
    <n v="0"/>
    <n v="0"/>
    <n v="0"/>
    <n v="0"/>
    <n v="0"/>
    <n v="0"/>
    <n v="0"/>
    <n v="0"/>
    <n v="0"/>
    <n v="0"/>
    <n v="0"/>
    <m/>
    <n v="0"/>
    <m/>
    <n v="0"/>
    <m/>
    <n v="0"/>
    <m/>
    <m/>
    <n v="0.5712575585061909"/>
    <n v="0"/>
    <n v="0.379530466594185"/>
    <n v="0"/>
    <m/>
    <n v="1.54585541316029"/>
    <n v="32.37293622531563"/>
    <n v="27.54062241806665"/>
    <n v="0"/>
    <n v="13.86855689960706"/>
    <x v="0"/>
    <m/>
    <x v="5"/>
    <x v="2"/>
    <s v="MPR ISSUE"/>
    <x v="2"/>
    <s v="{05-25-2026 ocm ran 22H}: 25.05.26: Besoin d'un FME sur site pour vérifier le statut de la BBU Huawei et son interco avec le MPR S1P1; CM-20260525-00005835; FME Yaya activé pour investigations, update ASAP      ;      {05-25-2026 ocm ran 17H}: 25.05.26: Besoin d'un FME sur site pour vérifier le statut de la BBU Huawei et son interco avec le MPR S1P1; CM-20260525-00005835; FME Yaya activé pour investigations, update ASAP"/>
  </r>
  <r>
    <s v="Pain-Magique"/>
    <s v="LIT_381"/>
    <s v="Douala"/>
    <s v="IHS"/>
    <s v="GridOnly"/>
    <s v="LITTORAL"/>
    <s v="Douala"/>
    <s v="ZTE"/>
    <n v="0"/>
    <n v="0"/>
    <n v="4.214464676557288"/>
    <n v="0"/>
    <n v="0"/>
    <n v="0"/>
    <n v="0"/>
    <n v="0"/>
    <n v="1.117831368621107"/>
    <n v="0"/>
    <n v="0"/>
    <n v="0.09968025271592573"/>
    <n v="0"/>
    <n v="0"/>
    <n v="1.734764562698148"/>
    <n v="10.08480936441488"/>
    <n v="0"/>
    <n v="0"/>
    <n v="0"/>
    <n v="5.970916694489389"/>
    <n v="0"/>
    <n v="10.62934997560161"/>
    <n v="0"/>
    <n v="0"/>
    <m/>
    <n v="0"/>
    <m/>
    <n v="0"/>
    <m/>
    <n v="0"/>
    <m/>
    <m/>
    <n v="0"/>
    <n v="0"/>
    <n v="0"/>
    <n v="0"/>
    <m/>
    <n v="0.4494439735983749"/>
    <n v="32.36694123712576"/>
    <n v="27.54062241806665"/>
    <n v="0"/>
    <n v="13.86770081584782"/>
    <x v="0"/>
    <m/>
    <x v="1"/>
    <x v="0"/>
    <s v="Coupure ENEO &amp; Baisse de tension"/>
    <x v="0"/>
    <s v="{hourly IHS}: 25-05-2026 00:03:11 22:56:49 Grid only no space // awaiting grid return      ;      {05-25-2026 ocm ran 22H}: 25.05.26: IHS: 12 : Grid only no space // awaiting grid return      ;      {05-25-2026 ocm ran 17H}: 25.05.26: IHS: 12 : Grid only no space // awaiting grid return"/>
  </r>
  <r>
    <s v="Dumbu"/>
    <s v="NRO_046"/>
    <s v="NORD-OUEST"/>
    <s v="IHS"/>
    <s v="Hybrid-Gen"/>
    <s v="NORD-OUEST"/>
    <s v="Dumbu"/>
    <s v="NOKIA"/>
    <n v="12.77715190899149"/>
    <n v="8.920017633204848"/>
    <n v="6.344236194316306"/>
    <n v="6.517034684453972"/>
    <n v="6.709437804461135"/>
    <n v="6.822700983467976"/>
    <n v="5.574046577069785"/>
    <n v="8.487236904771784"/>
    <n v="9.237664669433096"/>
    <n v="9.273001393401186"/>
    <n v="9.154671061178274"/>
    <n v="0"/>
    <n v="10.65382154222255"/>
    <n v="11.61386413380018"/>
    <n v="13.85325440241073"/>
    <n v="12.33515037111231"/>
    <n v="11.67223834513302"/>
    <n v="12.16432599098829"/>
    <n v="11.30142923183604"/>
    <n v="12.28637143191423"/>
    <n v="1.952138497230569"/>
    <n v="11.76913632563143"/>
    <n v="11.74859031540979"/>
    <n v="12.51319795795487"/>
    <m/>
    <n v="12.15043246497904"/>
    <m/>
    <n v="13.86630967973906"/>
    <m/>
    <n v="13.86630967973906"/>
    <m/>
    <m/>
    <n v="13.86630967973906"/>
    <n v="13.86609565879926"/>
    <n v="13.86620266926916"/>
    <n v="13.86598864832935"/>
    <m/>
    <n v="13.86620266926916"/>
    <n v="64.72713811253792"/>
    <n v="13.77031120903332"/>
    <n v="0"/>
    <n v="13.86588163785945"/>
    <x v="1"/>
    <m/>
    <x v="13"/>
    <x v="8"/>
    <s v="ACCESS-ISSUE"/>
    <x v="6"/>
    <s v="{05-25-2026 ocm ran 22H}: 24/05/2026 Besoin d'un FME sur Zhoa pour vérifier la chaine antennaire de l'ODU. Problème d'accès du à l'insécurité_x000a_23.05.26: Besoin d'un FME sur Zhoa pour vérifier la chaine antennaire de l'ODU. Problème d'accès du à l'insécurité_x000a_22.05.26: Besoin d'un FME sur Zhoa pour vérifier la chaine antennaire de l'ODU. Problème d'accès du à l'insécurité_x000a_21.05.26: Besoin d'un FME sur Zhoa pour vérifier la chaine antennaire de l'ODU. Problème d'accès du à l'insécurité_x000a_19/05/2026  Access not granted for now we keep trying_x000a_18.05.2026:  Access not granted for now we keep trying_x000a_16.06.26: Besoin d'un FME sur Zhoa pour vérifier la chaine antennaire de l'ODU. Problème d'accès du à l'insécurité_x000a_15/05/2026 Apres travaux ODU sur ZHOA off negociation d'accès en cours _x000a_15/05/2026 FME will be on site this morning for AMIA replacement ETA10AM_x000a_14/05/2026 FME activé donald sur site intervention en cours _x000a_13/05/2026 Access not granted for now we keep trying_x000a_12.05.2026: Check ongoing with FME donald ETA=01:00 PM // Access not granted for now we keep trying_x000a_11.05.26: Besoin d'un FME sur Zhoa pour vérifier la chaine antennaire de l'ODU 4.2; CM-20260511-00003771; FME Donald activé pour investigations, update aSAP      ;      {05-25-2026 ocm ran 17H}: 24/05/2026 Besoin d'un FME sur Zhoa pour vérifier la chaine antennaire de l'ODU. Problème d'accès du à l'insécurité_x000a_23.05.26: Besoin d'un FME sur Zhoa pour vérifier la chaine antennaire de l'ODU. Problème d'accès du à l'insécurité_x000a_22.05.26: Besoin d'un FME sur Zhoa pour vérifier la chaine antennaire de l'ODU. Problème d'accès du à l'insécurité_x000a_21.05.26: Besoin d'un FME sur Zhoa pour vérifier la chaine antennaire de l'ODU. Problème d'accès du à l'insécurité_x000a_19/05/2026  Access not granted for now we keep trying_x000a_18.05.2026:  Access not granted for now we keep trying_x000a_16.06.26: Besoin d'un FME sur Zhoa pour vérifier la chaine antennaire de l'ODU. Problème d'accès du à l'insécurité_x000a_15/05/2026 Apres travaux ODU sur ZHOA off negociation d'accès en cours _x000a_15/05/2026 FME will be on site this morning for AMIA replacement ETA10AM_x000a_14/05/2026 FME activé donald sur site intervention en cours _x000a_13/05/2026 Access not granted for now we keep trying_x000a_12.05.2026: Check ongoing with FME donald ETA=01:00 PM // Access not granted for now we keep trying_x000a_11.05.26: Besoin d'un FME sur Zhoa pour vérifier la chaine antennaire de l'ODU 4.2; CM-20260511-00003771; FME Donald activé pour investigations, update aSAP"/>
  </r>
  <r>
    <s v="Essu"/>
    <s v="NRO_234"/>
    <s v="NORD-OUEST"/>
    <s v="IHS"/>
    <s v="Gen Only"/>
    <s v="NORD-OUEST"/>
    <s v="ESSU"/>
    <s v="NOKIA"/>
    <n v="13.97009453832724"/>
    <n v="13.96987811187054"/>
    <n v="13.96976989864219"/>
    <n v="13.96998632509889"/>
    <n v="13.96987811187054"/>
    <n v="13.97009453832724"/>
    <n v="13.96987811187054"/>
    <n v="13.97020275155559"/>
    <n v="13.96987811187054"/>
    <n v="13.97009453832724"/>
    <n v="13.97009453832724"/>
    <n v="0"/>
    <n v="13.96998632509889"/>
    <n v="13.86577462738954"/>
    <n v="13.86598864832935"/>
    <n v="13.86588163785945"/>
    <n v="13.86609565879926"/>
    <n v="13.86620266926916"/>
    <n v="13.86620266926916"/>
    <n v="13.86620266926916"/>
    <n v="0.1190848179252521"/>
    <n v="13.86588163785945"/>
    <n v="13.86598864832935"/>
    <n v="13.86566761691964"/>
    <m/>
    <n v="13.86609565879926"/>
    <m/>
    <n v="13.86630967973906"/>
    <m/>
    <n v="13.86630967973906"/>
    <m/>
    <m/>
    <n v="9.243457379870046"/>
    <n v="13.86609565879926"/>
    <n v="13.86620266926916"/>
    <n v="13.86598864832935"/>
    <m/>
    <n v="13.86620266926916"/>
    <n v="64.72713811253792"/>
    <n v="13.77031120903332"/>
    <n v="0"/>
    <n v="13.86588163785945"/>
    <x v="2"/>
    <s v="site en projet"/>
    <x v="9"/>
    <x v="5"/>
    <s v="EXCLU"/>
    <x v="4"/>
    <s v=""/>
  </r>
  <r>
    <s v="Mbiame"/>
    <s v="NRO_236"/>
    <s v="NORD-OUEST"/>
    <s v="IHS"/>
    <s v="Grid-Gen"/>
    <s v="NORD-OUEST"/>
    <s v="Mbiame"/>
    <s v="NOKIA"/>
    <n v="0.5248004569088297"/>
    <n v="2.032535585491782"/>
    <n v="0.5962139438225184"/>
    <n v="0.001070104699043579"/>
    <n v="3.120730499447971"/>
    <n v="0.001337630873804731"/>
    <n v="0.002853612530783221"/>
    <n v="0.0008025785242829415"/>
    <n v="1.018547749830423"/>
    <n v="2.050534988249114"/>
    <n v="3.892206739322157"/>
    <n v="0.2471043039930845"/>
    <n v="0.005082997320457945"/>
    <n v="1.841971218464015"/>
    <n v="0.004012892621414192"/>
    <n v="0.0008917539158698206"/>
    <n v="0.01444641343709072"/>
    <n v="0.09507880251003764"/>
    <n v="3.99898126032651"/>
    <n v="0"/>
    <n v="0.6900605611350713"/>
    <n v="0.0008025785242829415"/>
    <n v="0"/>
    <n v="0"/>
    <m/>
    <n v="0.2868415645786785"/>
    <m/>
    <n v="0"/>
    <m/>
    <n v="0.1175331661116392"/>
    <m/>
    <m/>
    <n v="0.1523829091438307"/>
    <n v="0.0008025785242829413"/>
    <n v="0.8622725314111399"/>
    <n v="3.679233976252236"/>
    <m/>
    <n v="1.711008238379377"/>
    <n v="64.72713811253792"/>
    <n v="13.77031120903332"/>
    <n v="0"/>
    <n v="13.86588163785945"/>
    <x v="1"/>
    <m/>
    <x v="4"/>
    <x v="0"/>
    <s v="Defaut GE &amp; Power Cabinet"/>
    <x v="0"/>
    <s v="{05-25-2026 ocm ran 22H}: 25.05.26: IHS: 36v : FME Kelvin is managing with level 0.      ;      {05-25-2026 ocm ran 17H}: 25.05.26: IHS: 36v : FME Kelvin is managing with level 0."/>
  </r>
  <r>
    <s v="Buea-Boduma-IHS"/>
    <s v="SUO_186"/>
    <s v="SUD-OUEST"/>
    <s v="IHS"/>
    <s v="Grid-Gen"/>
    <s v="SUD-OUEST"/>
    <s v="Buea"/>
    <s v="Huawei"/>
    <n v="0"/>
    <n v="0"/>
    <n v="2.333184945481732"/>
    <n v="0.3234391452859747"/>
    <n v="0.0002675261747609386"/>
    <n v="0.440080557481744"/>
    <n v="9.179803985355262"/>
    <n v="9.257600596975742"/>
    <n v="6.140777980384268"/>
    <n v="14.25861006240851"/>
    <n v="10.04459126280915"/>
    <n v="0.7656599121658062"/>
    <n v="12.41615729682992"/>
    <n v="10.33302014935808"/>
    <n v="12.64551640399163"/>
    <n v="11.39715009716551"/>
    <n v="18.82257093367348"/>
    <n v="16.76508062882206"/>
    <n v="13.29512346154615"/>
    <n v="14.57268579157785"/>
    <n v="5.615213892527244"/>
    <n v="15.4161066452075"/>
    <n v="13.6799509464006"/>
    <n v="1.295468748662369"/>
    <m/>
    <n v="13.14579035079459"/>
    <m/>
    <n v="14.63275433535084"/>
    <m/>
    <n v="14.93379262227016"/>
    <m/>
    <m/>
    <n v="15.5248827878653"/>
    <n v="16.09872643272751"/>
    <n v="15.37556751219206"/>
    <n v="12.57290980016151"/>
    <m/>
    <n v="15.39800404071534"/>
    <n v="11.67399054390529"/>
    <n v="14.89632103185532"/>
    <n v="13.71689545316252"/>
    <n v="13.82111559128279"/>
    <x v="0"/>
    <m/>
    <x v="4"/>
    <x v="0"/>
    <s v="Defaut GE &amp; Power Cabinet"/>
    <x v="0"/>
    <s v="{05-25-2026 BOTX}: Power issue on site"/>
  </r>
  <r>
    <s v="Garoua-Boulai-Sabal-IHS"/>
    <s v="EST_156"/>
    <s v="CENTRE"/>
    <s v="IHS"/>
    <s v="Grid-Gen"/>
    <s v="EST"/>
    <s v="Garoua"/>
    <s v="ZTE"/>
    <n v="0"/>
    <n v="0"/>
    <n v="0"/>
    <n v="0"/>
    <n v="0"/>
    <n v="0"/>
    <n v="0"/>
    <n v="0"/>
    <n v="0"/>
    <n v="0"/>
    <n v="0"/>
    <n v="0"/>
    <n v="12.75117140794388"/>
    <n v="7.374787049164889"/>
    <n v="0"/>
    <n v="0"/>
    <n v="0"/>
    <n v="0"/>
    <n v="0"/>
    <n v="0"/>
    <n v="0"/>
    <n v="0.3762844823404193"/>
    <n v="1.045813322375461"/>
    <n v="0"/>
    <m/>
    <n v="0.05122234492756065"/>
    <m/>
    <n v="0"/>
    <m/>
    <n v="0.8426004400270525"/>
    <m/>
    <m/>
    <n v="0.5078716901661661"/>
    <n v="0"/>
    <n v="0"/>
    <n v="15.18940496471508"/>
    <m/>
    <n v="0.7273858340966751"/>
    <n v="8.556596685171197"/>
    <n v="14.57761695414317"/>
    <n v="14.61667181039559"/>
    <n v="13.73818247710689"/>
    <x v="0"/>
    <m/>
    <x v="2"/>
    <x v="1"/>
    <s v="no root cause"/>
    <x v="1"/>
    <s v="{05-25-2026  incident}:    impacted by   EST_055_Z_Gado-Badzere(EST-055)      ;      {05-25-2026 ticket}: INC-20260525-00027546"/>
  </r>
  <r>
    <s v="Limbe-Mile_1"/>
    <s v="SUO_234"/>
    <s v="SUD-OUEST"/>
    <s v="ESCO"/>
    <s v="Medium Grid + GE"/>
    <s v="SUD-OUEST"/>
    <s v="Limbe"/>
    <s v="Huawei"/>
    <n v="8.839421515667759"/>
    <n v="3.560559365128284"/>
    <n v="2.118753798871682"/>
    <n v="0.03424335036940014"/>
    <n v="2.383212340162028"/>
    <n v="0"/>
    <n v="1.483414803971087"/>
    <n v="0"/>
    <n v="0"/>
    <n v="0.6575793375623872"/>
    <n v="1.074028416273582"/>
    <n v="0.4913491757563829"/>
    <n v="0.6012918303926855"/>
    <n v="0.1376868046102964"/>
    <n v="0"/>
    <n v="4.505194288209159"/>
    <n v="11.50244839955141"/>
    <n v="0"/>
    <n v="6.819420545439498"/>
    <n v="3.480890070284477"/>
    <n v="0.5498911346819506"/>
    <n v="1.319439093920949"/>
    <n v="0.1077238730370713"/>
    <n v="0.4889486720714088"/>
    <m/>
    <n v="5.624256277234164"/>
    <m/>
    <n v="0.9152783841704406"/>
    <m/>
    <n v="1.011017084578222"/>
    <m/>
    <m/>
    <n v="0.4173408326270642"/>
    <n v="0"/>
    <n v="0"/>
    <n v="0"/>
    <m/>
    <n v="6.504809763920634"/>
    <n v="11.00704810778189"/>
    <n v="9.376774415101782"/>
    <n v="17.07878742609994"/>
    <n v="13.62608900988206"/>
    <x v="0"/>
    <m/>
    <x v="2"/>
    <x v="1"/>
    <s v="no root cause"/>
    <x v="1"/>
    <s v=""/>
  </r>
  <r>
    <s v="Dagobert"/>
    <s v="CTR_255"/>
    <s v="Yaounde"/>
    <s v="IHS"/>
    <s v="Grid-Gen"/>
    <s v="CENTRE"/>
    <s v="Yaounde"/>
    <s v="ZTE"/>
    <n v="2.788389649376627"/>
    <n v="0"/>
    <n v="0"/>
    <n v="0"/>
    <n v="0"/>
    <n v="0"/>
    <n v="0"/>
    <n v="0"/>
    <n v="0"/>
    <n v="0"/>
    <n v="0"/>
    <n v="0"/>
    <n v="0"/>
    <n v="0"/>
    <n v="0"/>
    <n v="0"/>
    <n v="0"/>
    <n v="55.35608803965379"/>
    <n v="0.03989707019601496"/>
    <n v="3.093422993839051"/>
    <n v="9.710165709279661"/>
    <n v="0"/>
    <n v="0.8932520624484562"/>
    <n v="0"/>
    <m/>
    <n v="0"/>
    <m/>
    <n v="0"/>
    <m/>
    <n v="0"/>
    <m/>
    <m/>
    <n v="0"/>
    <n v="2.093713348914058"/>
    <n v="0.2688816407130604"/>
    <n v="0"/>
    <m/>
    <n v="0"/>
    <n v="5.801524925162564"/>
    <n v="5.052036051014752"/>
    <n v="21.05372022930085"/>
    <n v="13.50375820770303"/>
    <x v="0"/>
    <m/>
    <x v="4"/>
    <x v="0"/>
    <s v="Defaut GE &amp; Power Cabinet"/>
    <x v="0"/>
    <s v="{hourly IHS}: 25/05/2026 21:05 1:54:06 FME isinformed and managing ETA ASAP      ;      {05-25-2026 ocm ran 22H}: Power status check Ongoing      ;      {05-25-2026 ticket}: INC-20260525-00023882...Site down due to low fuel  // Refueling done...Site down due to low fuel  // Refueling done...Grid Outage...Site down due to low fuel  // Refueling done"/>
  </r>
  <r>
    <s v="Sanguere-Paul-MTN"/>
    <s v="NRD_166"/>
    <s v="NORD"/>
    <s v="IHS"/>
    <s v="Grid-Gen"/>
    <s v="NORD"/>
    <s v="Garoua"/>
    <s v="Huawei"/>
    <n v="0"/>
    <n v="0"/>
    <n v="0.0976292187094252"/>
    <n v="7.068701435081741"/>
    <n v="0"/>
    <n v="0"/>
    <n v="0"/>
    <n v="0"/>
    <n v="0.09104807481030611"/>
    <n v="0.6612176935391361"/>
    <n v="0"/>
    <n v="0"/>
    <n v="5.266341925560662"/>
    <n v="2.227155404884814"/>
    <n v="3.047800863503152"/>
    <n v="1.855204846575522"/>
    <n v="0"/>
    <n v="1.23998382001695"/>
    <n v="4.680976820105411"/>
    <n v="12.70947299483782"/>
    <n v="0"/>
    <n v="0"/>
    <n v="1.872968584579648"/>
    <n v="0"/>
    <m/>
    <n v="2.867862758358945"/>
    <m/>
    <n v="1.684041599963474"/>
    <m/>
    <n v="0.8898455624898338"/>
    <m/>
    <m/>
    <n v="0.7706537340946771"/>
    <n v="4.326968350583421"/>
    <n v="0.1532033227464308"/>
    <n v="3.200825835466409"/>
    <m/>
    <n v="0.9684447526345977"/>
    <n v="13.50933119911754"/>
    <n v="22.96358772708264"/>
    <n v="7.21507161821712"/>
    <n v="13.40084980581167"/>
    <x v="0"/>
    <m/>
    <x v="4"/>
    <x v="0"/>
    <s v="Defaut GE &amp; Power Cabinet"/>
    <x v="0"/>
    <s v="{hourly IHS}: 25/05/2026 19:49 3:10:11 FME Gael is managing with level 0"/>
  </r>
  <r>
    <s v="CTR_935_Z_BATA-Mokolo-II-HIS"/>
    <s v="CTR_935"/>
    <s v="Yaounde"/>
    <s v="I_HS"/>
    <s v="Grid Only"/>
    <s v="CENTRE"/>
    <s v="Yaoundé"/>
    <s v="ZTE"/>
    <n v="0"/>
    <n v="0"/>
    <n v="0"/>
    <n v="27.36446767285044"/>
    <n v="0"/>
    <n v="0"/>
    <n v="0"/>
    <n v="4.970725502449825"/>
    <n v="0.1542199222105226"/>
    <n v="0"/>
    <n v="0"/>
    <n v="0"/>
    <n v="9.054530395253872"/>
    <n v="8.547247262672181"/>
    <n v="20.54836445197799"/>
    <n v="14.84368980661068"/>
    <n v="6.960121478285429"/>
    <n v="10.63901658804964"/>
    <n v="0"/>
    <n v="0"/>
    <n v="0.0001783817522280311"/>
    <n v="0.6863294838100288"/>
    <n v="0.7376053339725429"/>
    <n v="6.267638892455906"/>
    <m/>
    <n v="5.629178758849768"/>
    <m/>
    <n v="0"/>
    <m/>
    <n v="0"/>
    <m/>
    <m/>
    <n v="1.421277391113281"/>
    <n v="1.068499541995189"/>
    <n v="0.2579665727828144"/>
    <n v="0"/>
    <m/>
    <n v="0"/>
    <n v="6.073672409865353"/>
    <n v="5.17789202035966"/>
    <n v="20.47388791486363"/>
    <n v="13.28249622609743"/>
    <x v="0"/>
    <m/>
    <x v="1"/>
    <x v="0"/>
    <s v="Coupure ENEO &amp; Baisse de tension"/>
    <x v="0"/>
    <s v="{hourly IHS}: 25-05-2026 19:32:21 3:27:39 Grid outage, no space to deploy MDG, awaiting grid return      ;      {05-25-2026 ocm ran 22H}: Power status check Ongoing      ;      {05-25-2026 ticket}: INC-20260525-00021124...2026-05-26 00:35:16...user:OCM_NOC.IHS"/>
  </r>
  <r>
    <s v="Domayo"/>
    <s v="EXN_054"/>
    <s v="Maroua"/>
    <s v="IHS"/>
    <s v="Grid-Gen"/>
    <s v="EXTREME-NORD"/>
    <s v="Maroua"/>
    <s v="Huawei"/>
    <n v="0"/>
    <n v="0"/>
    <n v="0"/>
    <n v="0"/>
    <n v="0"/>
    <n v="0"/>
    <n v="0.004815471145696896"/>
    <n v="0"/>
    <n v="0"/>
    <n v="0"/>
    <n v="0.8269234061860613"/>
    <n v="0"/>
    <n v="0"/>
    <n v="0"/>
    <n v="0.5955132650178493"/>
    <n v="0"/>
    <n v="0"/>
    <n v="8.728487328533559"/>
    <n v="11.13153227578453"/>
    <n v="6.449289165118581"/>
    <n v="0"/>
    <n v="7.318125005350523"/>
    <n v="1.895030576458268"/>
    <n v="0"/>
    <m/>
    <n v="1.023465969243764"/>
    <m/>
    <n v="1.25341363398995"/>
    <m/>
    <n v="0"/>
    <m/>
    <m/>
    <n v="1.648086082075604"/>
    <n v="12.31936632680141"/>
    <n v="6.851434511019225"/>
    <n v="5.706119286711012"/>
    <m/>
    <n v="2.215205902412158"/>
    <n v="9.440232965241059"/>
    <n v="12.04673788127612"/>
    <n v="15.05036613500209"/>
    <n v="13.24088698838294"/>
    <x v="0"/>
    <m/>
    <x v="10"/>
    <x v="6"/>
    <s v="Projet OCM (HUAWEI)"/>
    <x v="5"/>
    <s v="{05-25-2026 top offenders}: UP sans action"/>
  </r>
  <r>
    <s v="Mefou-Assi-IHS"/>
    <s v="CTR_642"/>
    <s v="Yaounde"/>
    <s v="HIS"/>
    <s v="Grid-Gen"/>
    <s v="CENTRE"/>
    <s v="Yaounde"/>
    <s v="ZTE"/>
    <n v="0"/>
    <n v="0"/>
    <n v="0"/>
    <n v="0"/>
    <n v="0"/>
    <n v="0"/>
    <n v="0"/>
    <n v="0"/>
    <n v="0"/>
    <n v="0"/>
    <n v="0"/>
    <n v="0"/>
    <n v="0"/>
    <n v="0"/>
    <n v="0"/>
    <n v="0"/>
    <n v="0"/>
    <n v="2.614675986565192"/>
    <n v="0"/>
    <n v="0"/>
    <n v="0"/>
    <n v="0"/>
    <n v="0"/>
    <n v="0"/>
    <m/>
    <n v="0"/>
    <m/>
    <n v="0"/>
    <m/>
    <n v="0"/>
    <m/>
    <m/>
    <n v="2.509252838631065"/>
    <n v="0"/>
    <n v="0"/>
    <n v="0"/>
    <m/>
    <n v="0.001730002596787445"/>
    <n v="15.34891830429761"/>
    <n v="13.05820761549211"/>
    <n v="12.64365504621695"/>
    <n v="13.16913646831206"/>
    <x v="0"/>
    <m/>
    <x v="4"/>
    <x v="0"/>
    <s v="Defaut GE &amp; Power Cabinet"/>
    <x v="0"/>
    <s v="{05-25-2026 ticket}: INC-20260525-00017911...Grid Outage"/>
  </r>
  <r>
    <s v="Foumban-Lycee-MTN"/>
    <s v="OST_128"/>
    <s v="OUEST"/>
    <s v="IHS"/>
    <s v="Grid-Gen"/>
    <s v="OUEST"/>
    <s v="Foumban"/>
    <s v="Huawei"/>
    <n v="0"/>
    <n v="0"/>
    <n v="0"/>
    <n v="0"/>
    <n v="0"/>
    <n v="0"/>
    <n v="0"/>
    <n v="0"/>
    <n v="0"/>
    <n v="0"/>
    <n v="0"/>
    <n v="0"/>
    <n v="0"/>
    <n v="0"/>
    <n v="0"/>
    <n v="0"/>
    <n v="0"/>
    <n v="0"/>
    <n v="0"/>
    <n v="0"/>
    <n v="4.700167364374932"/>
    <n v="0"/>
    <n v="0"/>
    <n v="0"/>
    <m/>
    <n v="0"/>
    <m/>
    <n v="0"/>
    <m/>
    <n v="0.02682395778936344"/>
    <m/>
    <m/>
    <n v="0"/>
    <n v="0"/>
    <n v="0.04030727699731475"/>
    <n v="0"/>
    <m/>
    <n v="0"/>
    <n v="7.799729426199697"/>
    <n v="6.639446926500538"/>
    <n v="18.6243001245439"/>
    <n v="13.05509897755063"/>
    <x v="0"/>
    <m/>
    <x v="7"/>
    <x v="3"/>
    <s v="Sites strategiques, MLL, Pylone, etc."/>
    <x v="0"/>
    <s v="{05-25-2026 dashboard cell}: Ceels impactees par les travaux CEX OCM"/>
  </r>
  <r>
    <s v="Maroua-Tchadeo-III"/>
    <s v="EXN_249"/>
    <s v="Maroua"/>
    <s v="CAMUSAT"/>
    <s v="Medium Grid + GE"/>
    <s v="EXTREME-NORD"/>
    <s v="Maroua"/>
    <s v="Huawei"/>
    <n v="0.1870899715494831"/>
    <n v="0.06902175308832215"/>
    <n v="0"/>
    <n v="0"/>
    <n v="0"/>
    <n v="0"/>
    <n v="0.004904646537283876"/>
    <n v="0"/>
    <n v="0"/>
    <n v="0"/>
    <n v="0"/>
    <n v="0"/>
    <n v="0"/>
    <n v="0"/>
    <n v="0.0008917539158697954"/>
    <n v="0"/>
    <n v="0"/>
    <n v="0"/>
    <n v="1.370019376029084"/>
    <n v="1.510559793170163"/>
    <n v="12.47078614171611"/>
    <n v="0"/>
    <n v="0"/>
    <n v="0"/>
    <m/>
    <n v="0.6469674659635365"/>
    <m/>
    <n v="6.074092622555524"/>
    <m/>
    <n v="0"/>
    <m/>
    <m/>
    <n v="4.857508425290997"/>
    <n v="0.4456629369950889"/>
    <n v="9.645299529439294"/>
    <n v="0"/>
    <m/>
    <n v="2.201205365933003"/>
    <n v="9.460840737143748"/>
    <n v="12.07324785540153"/>
    <n v="14.6485123132115"/>
    <n v="13.04316731015629"/>
    <x v="0"/>
    <m/>
    <x v="2"/>
    <x v="1"/>
    <s v="no root cause"/>
    <x v="1"/>
    <s v=""/>
  </r>
  <r>
    <s v="Hila"/>
    <s v="LIT_008"/>
    <s v="Douala"/>
    <s v="IHS"/>
    <s v="GridOnly"/>
    <s v="LITTORAL"/>
    <s v="Douala"/>
    <s v="ZTE"/>
    <n v="0"/>
    <n v="0"/>
    <n v="5.030865386536086"/>
    <n v="0"/>
    <n v="0"/>
    <n v="0"/>
    <n v="0"/>
    <n v="0"/>
    <n v="1.004168414504342"/>
    <n v="0"/>
    <n v="0"/>
    <n v="0.001872683223326521"/>
    <n v="0"/>
    <n v="0"/>
    <n v="0"/>
    <n v="0"/>
    <n v="0"/>
    <n v="0"/>
    <n v="0"/>
    <n v="0"/>
    <n v="0"/>
    <n v="0"/>
    <n v="0"/>
    <n v="0"/>
    <m/>
    <n v="0"/>
    <m/>
    <n v="0"/>
    <m/>
    <n v="0"/>
    <m/>
    <m/>
    <n v="0"/>
    <n v="0"/>
    <n v="0"/>
    <n v="0"/>
    <m/>
    <n v="0"/>
    <n v="5.833123508746688"/>
    <n v="4.96559972255373"/>
    <n v="19.94562969091661"/>
    <n v="12.90139627261131"/>
    <x v="0"/>
    <m/>
    <x v="1"/>
    <x v="0"/>
    <s v="Coupure ENEO &amp; Baisse de tension"/>
    <x v="0"/>
    <s v="{05-25-2026 ocm ran 22H}: Power status check Ongoing      ;      {05-25-2026 ticket}: INC-20260525-00021448...2026-05-26 00:42:35...problème d énergie ...user:OCM_NOC.IHS"/>
  </r>
  <r>
    <s v="Yagoua-MTN-IHS"/>
    <s v="EXN_144"/>
    <s v="EXTREME-NORD"/>
    <s v="IHS"/>
    <s v="Grid-Gen"/>
    <s v="EXTREME-NORD"/>
    <s v="Yagoua"/>
    <s v="Huawei"/>
    <n v="0.2417723216706189"/>
    <n v="0.2153764057608729"/>
    <n v="0"/>
    <n v="0"/>
    <n v="0"/>
    <n v="1.492974405949212"/>
    <n v="4.706052940219672"/>
    <n v="3.204642542226332"/>
    <n v="4.956796306283941"/>
    <n v="0"/>
    <n v="0.2484604760396424"/>
    <n v="3.081045449486778"/>
    <n v="0"/>
    <n v="1.103866502298585"/>
    <n v="0"/>
    <n v="0"/>
    <n v="0"/>
    <n v="0"/>
    <n v="0.1145903781892687"/>
    <n v="0"/>
    <n v="3.081009779330143"/>
    <n v="1.566633279400057"/>
    <n v="0.3676523044347992"/>
    <n v="0.6605221254847573"/>
    <m/>
    <n v="3.252083850550604"/>
    <m/>
    <n v="0"/>
    <m/>
    <n v="0.8739723427873516"/>
    <m/>
    <m/>
    <n v="0.8787164736197788"/>
    <n v="0.06108514323708099"/>
    <n v="0.3451979408331978"/>
    <n v="0.1844860501151432"/>
    <m/>
    <n v="4.654545234039031"/>
    <n v="9.507676582377133"/>
    <n v="16.05335655585816"/>
    <n v="11.78594508905217"/>
    <n v="12.89322780674194"/>
    <x v="1"/>
    <m/>
    <x v="4"/>
    <x v="0"/>
    <s v="Defaut GE &amp; Power Cabinet"/>
    <x v="0"/>
    <s v="{05-25-2026    groupe whatsapp  incident}:    impacted by  EXN_096_H_Yagoua-Ville ,Cause: Probleme energie    Action: RCA attendu de IHS"/>
  </r>
  <r>
    <s v="Mvam-Yetom"/>
    <s v="CTR_860"/>
    <s v="CENTRE"/>
    <s v="ESCO"/>
    <s v="Hybrid Solar - S2"/>
    <s v="CTR"/>
    <s v="Mvam-Yetom"/>
    <s v="NOKIA"/>
    <n v="10.05417553759937"/>
    <n v="2.301787934652318"/>
    <n v="0.4846996670682412"/>
    <n v="5.627925982778955"/>
    <n v="7.411010501931848"/>
    <n v="5.291146226158523"/>
    <n v="5.434573399805042"/>
    <n v="2.595914486473997"/>
    <n v="0.05615410607758113"/>
    <n v="0"/>
    <n v="0.7787178519108946"/>
    <n v="45.67442278552531"/>
    <n v="6.784727789631481"/>
    <s v=""/>
    <n v="5.805773472774013"/>
    <n v="4.621568174230167"/>
    <n v="4.62162167946512"/>
    <n v="4.62140765852531"/>
    <n v="4.621782195169976"/>
    <n v="4.621835700404927"/>
    <n v="0"/>
    <n v="4.621675184700071"/>
    <n v="4.621835700404927"/>
    <n v="4.621782195169976"/>
    <m/>
    <n v="4.73568112109217"/>
    <m/>
    <n v="6.173112977373705"/>
    <m/>
    <n v="4.408171462162524"/>
    <m/>
    <m/>
    <n v="5.976124537358069"/>
    <n v="3.695463897521067"/>
    <n v="9.741728926752065"/>
    <n v="5.730696024632383"/>
    <m/>
    <n v="3.134800375535409"/>
    <n v="29.49584147652563"/>
    <n v="0"/>
    <n v="16.20524271834035"/>
    <n v="12.66285210011614"/>
    <x v="0"/>
    <m/>
    <x v="8"/>
    <x v="4"/>
    <s v="SPARE-ISSUE"/>
    <x v="3"/>
    <s v="{05-25-2026 ocm ran 17H}: 2405/2026 ODU MPT 7/8GHz en attente de retour OCM "/>
  </r>
  <r>
    <s v="Bertoua-Birpondo-IHS"/>
    <s v="EST_128"/>
    <s v="CENTRE"/>
    <s v="IHS"/>
    <s v="Grid-Gen"/>
    <s v="EST"/>
    <s v="Bertoua"/>
    <s v="ZTE"/>
    <n v="0"/>
    <n v="0"/>
    <n v="0"/>
    <n v="0"/>
    <n v="0"/>
    <n v="0"/>
    <n v="0"/>
    <n v="0"/>
    <n v="0"/>
    <n v="0.004654955440840332"/>
    <n v="0"/>
    <n v="0"/>
    <n v="0"/>
    <n v="0"/>
    <n v="0"/>
    <n v="0"/>
    <n v="0"/>
    <n v="0"/>
    <n v="0"/>
    <n v="0"/>
    <n v="0"/>
    <n v="0"/>
    <n v="0.0596405018933717"/>
    <n v="0.0009095889941871913"/>
    <m/>
    <n v="0"/>
    <m/>
    <n v="0"/>
    <m/>
    <n v="0"/>
    <m/>
    <m/>
    <n v="0"/>
    <n v="4.892090642148427"/>
    <n v="0"/>
    <n v="0"/>
    <m/>
    <n v="5.709525786669635"/>
    <n v="7.817464599594738"/>
    <n v="13.51913053235003"/>
    <n v="13.42790270472588"/>
    <n v="12.65735889599438"/>
    <x v="0"/>
    <m/>
    <x v="4"/>
    <x v="0"/>
    <s v="Defaut GE &amp; Power Cabinet"/>
    <x v="0"/>
    <s v="{hourly IHS}: 25/05/2026 04:35 1:48:26 0V FME is informed and managing      ;      {05-25-2026 ticket}: INC-20260525-00010407...Grid Outage"/>
  </r>
  <r>
    <s v="Bertoua-Ngaikada"/>
    <s v="EST_051"/>
    <s v="CENTRE"/>
    <s v="IHS"/>
    <s v="Grid-Gen"/>
    <s v="EST"/>
    <s v="Bertoua"/>
    <s v="ZTE"/>
    <n v="0"/>
    <n v="0"/>
    <n v="0"/>
    <n v="1.282110275002639"/>
    <n v="0"/>
    <n v="0"/>
    <n v="0"/>
    <n v="0"/>
    <n v="0"/>
    <n v="0"/>
    <n v="5.789686046592889e-17"/>
    <n v="0"/>
    <n v="0"/>
    <n v="0"/>
    <n v="0"/>
    <n v="0"/>
    <n v="0"/>
    <n v="0"/>
    <n v="0"/>
    <n v="0"/>
    <n v="0"/>
    <n v="0"/>
    <n v="0.2286278689506983"/>
    <n v="6.875252180329054e-17"/>
    <m/>
    <n v="0"/>
    <m/>
    <n v="0"/>
    <m/>
    <n v="0"/>
    <m/>
    <m/>
    <n v="0"/>
    <n v="0.3249016217080016"/>
    <n v="0"/>
    <n v="0"/>
    <m/>
    <n v="1.254162707279279"/>
    <n v="12.30533773765132"/>
    <n v="5.258856350153514"/>
    <n v="17.08306246675729"/>
    <n v="12.43128144324307"/>
    <x v="0"/>
    <m/>
    <x v="4"/>
    <x v="0"/>
    <s v="Defaut GE &amp; Power Cabinet"/>
    <x v="0"/>
    <s v="{05-25-2026  incident}:    impacted by  EST_051_Z_Bertoua-Ngaikada   ,Cause:   Souci Energie   Action:   En Attente RCA IHS      ;      {05-25-2026 ticket}: INC-20260525-00001290...2026-05-25 07:44:23..._x000a_Site toujours down. ESCALADE faite au L3 Romuald pour support. Update ASAP..._x000a_En Attente RCA IHS...Others..._x000a_Souci Energie...user:TCHOUPOU BAUDOIN VALDAS "/>
  </r>
  <r>
    <s v="Bfsam-Ndiandam-II"/>
    <s v="OST_240"/>
    <s v="Bafoussam"/>
    <s v="CAMUSAT"/>
    <s v="Good Grid + GE"/>
    <s v="OUEST"/>
    <s v="Bafoussam"/>
    <s v="Huawei"/>
    <n v="0.9162058082429452"/>
    <n v="2.76666652398604"/>
    <n v="3.809751079378941"/>
    <n v="0"/>
    <n v="0"/>
    <n v="0"/>
    <n v="0"/>
    <n v="0"/>
    <n v="2.999878008064309"/>
    <n v="13.53022546392606"/>
    <n v="8.917539158697954e-05"/>
    <n v="4.508083570896577"/>
    <n v="0"/>
    <n v="0"/>
    <n v="0"/>
    <n v="0.01551651813613444"/>
    <n v="0"/>
    <n v="0"/>
    <n v="0"/>
    <n v="0.06893257769673518"/>
    <n v="0.2021427776493652"/>
    <n v="6.879596099682391"/>
    <n v="0"/>
    <n v="0"/>
    <m/>
    <n v="17.45560135603667"/>
    <m/>
    <n v="18.49140919947608"/>
    <m/>
    <n v="18.49140919947608"/>
    <m/>
    <m/>
    <n v="12.3312444889608"/>
    <n v="12.40224593574235"/>
    <n v="12.32689272985136"/>
    <n v="12.32653602828501"/>
    <m/>
    <n v="11.56328385169205"/>
    <n v="21.58195748354376"/>
    <n v="0"/>
    <n v="17.7294486141481"/>
    <n v="12.32760613298405"/>
    <x v="0"/>
    <s v=" Site was vandalise"/>
    <x v="0"/>
    <x v="0"/>
    <s v="AKTIVCO Defaut GE &amp; Power Cabinet"/>
    <x v="0"/>
    <s v="(05/25/2026 cell huawei): 22/05/2026 : Escalade faite a camusat || Feedback de mise a disposition du materiel attendu de camusat_x000a_18/05/2026 : Reste de cable attendu de camusat_x000a_17/05/2026 : Probable disjonction des breakers || Fme active || Feedback RM : Site was vandalise installation done but not yet finish 3 radios are of || The cable provided by camusat was not the nomber of meters requested      ;      (05/25/2026 cell huawei): 22/05/2026 : Escalade faite a camusat || Feedback de mise a disposition du materiel attendu de camusat_x000a_18/05/2026 : Reste de cable attendu de camusat_x000a_17/05/2026 : Probable disjonction des breakers || Fme active || Feedback RM : Site was vandalise installation done but not yet finish 3 radios are of || The cable provided by camusat was not the nomber of meters requested      ;      (05/25/2026 cell huawei): 25/05/2026 : Relance faite a camusat ce jour_x000a_22/05/2026 : Escalade faite a camusat || Feedback de mise a disposition du materiel attendu de camusat_x000a_18/05/2026 : Reste de cable attendu de camusat_x000a_17/05/2026 : Probable disjonction des breakers || Fme active || Feedback RM : Site was vandalise installation done but not yet finish 3 radios are of || The cable provided by camusat was not the nomber of meters requested"/>
  </r>
  <r>
    <s v="Balissa-MTN-IHS"/>
    <s v="CTR_170"/>
    <s v="CENTRE"/>
    <s v="IHS"/>
    <s v="Solar-Gen"/>
    <s v="CENTRE"/>
    <s v="Balissa"/>
    <s v="NOKIA"/>
    <n v="12.36152415470968"/>
    <n v="12.3615602257858"/>
    <n v="12.36134379932909"/>
    <n v="12.36123558610074"/>
    <n v="12.36123558610074"/>
    <n v="12.36123558610074"/>
    <n v="12.36130772825298"/>
    <n v="12.36123558610074"/>
    <n v="12.36127165717686"/>
    <n v="12.3615602257858"/>
    <n v="12.3615602257858"/>
    <n v="0.001926219834079154"/>
    <n v="12.36137987040521"/>
    <n v="12.32692840000799"/>
    <n v="12.32696407016462"/>
    <n v="12.32678571938145"/>
    <n v="12.32678571938145"/>
    <n v="12.32678571938145"/>
    <n v="12.32671437906818"/>
    <n v="12.32664303875491"/>
    <n v="8.500662038107142"/>
    <n v="12.32671437906818"/>
    <n v="12.32689272985136"/>
    <n v="12.32660736859828"/>
    <m/>
    <n v="12.32667870891155"/>
    <m/>
    <n v="12.32678571938145"/>
    <m/>
    <n v="12.32650035812837"/>
    <m/>
    <m/>
    <n v="3.080938439016873"/>
    <n v="12.32678571938145"/>
    <n v="12.32664303875491"/>
    <n v="12.32667870891155"/>
    <m/>
    <n v="12.32664303875491"/>
    <n v="21.57571270417931"/>
    <n v="27.54062241806665"/>
    <n v="0"/>
    <n v="12.32671437906818"/>
    <x v="0"/>
    <m/>
    <x v="8"/>
    <x v="4"/>
    <s v="SPARE-ISSUE"/>
    <x v="3"/>
    <s v="{05-25-2026 ocm ran 22H}: 23/05/2026 : ODU3DB20859AC (MPT-7-8Ghz) faulty et pas disponible en stock. Retour OCM: Début des démentellement des ODUs ce jour_x000a_22/05/2026 : ODU3DB20859AC (MPT-7-8Ghz) faulty et pas disponible en stock. Retour OCM: Début des démentellement des ODUs ce jour_x000a_21/05/2026 : ODU3DB20859AC (MPT-7-8Ghz) faulty et pas disponible en stock. Retour OCM: Début des démentellement des ODUs ce jour_x000a_18.05.26: ODU3DB20859AC (MPT-7-8Ghz) faulty et pas disponible en stock. Retour OCM: Début des démentellement des ODUs ce jour_x000a_15/05/2026  ODU3DB20859AC (MPT-7-8Ghz) en attente de mise a disposition du matériel_x000a_14/05/2026 FME en route pour le site ETA=12H37 UTC // Apres travaux ODU rcu faulty nouvelle commande en cours _x000a_13/05/2026 Spare recu a Ngaoundere et expediee a Ngaoundal ETD=13.05.2026_x000a_12.05.2026: Spare recu a Ngaoundere et expediee a Ngaoundal ETD=12.05.2026_x000a_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      ;      {05-25-2026 ocm ran 17H}: 23/05/2026 : ODU3DB20859AC (MPT-7-8Ghz) faulty et pas disponible en stock. Retour OCM: Début des démentellement des ODUs ce jour_x000a_22/05/2026 : ODU3DB20859AC (MPT-7-8Ghz) faulty et pas disponible en stock. Retour OCM: Début des démentellement des ODUs ce jour_x000a_21/05/2026 : ODU3DB20859AC (MPT-7-8Ghz) faulty et pas disponible en stock. Retour OCM: Début des démentellement des ODUs ce jour_x000a_18.05.26: ODU3DB20859AC (MPT-7-8Ghz) faulty et pas disponible en stock. Retour OCM: Début des démentellement des ODUs ce jour_x000a_15/05/2026  ODU3DB20859AC (MPT-7-8Ghz) en attente de mise a disposition du matériel_x000a_14/05/2026 FME en route pour le site ETA=12H37 UTC // Apres travaux ODU rcu faulty nouvelle commande en cours _x000a_13/05/2026 Spare recu a Ngaoundere et expediee a Ngaoundal ETD=13.05.2026_x000a_12.05.2026: Spare recu a Ngaoundere et expediee a Ngaoundal ETD=12.05.2026_x000a_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
  </r>
  <r>
    <s v="H-Progres"/>
    <s v="CTR_017"/>
    <s v="Yaounde"/>
    <s v="IHS"/>
    <s v="GridOnly"/>
    <s v="CENTRE"/>
    <s v="Yaounde"/>
    <s v="ZTE"/>
    <n v="29.78969945752826"/>
    <n v="41.60567069882119"/>
    <n v="41.60567069882119"/>
    <n v="26.80218115873791"/>
    <n v="0"/>
    <n v="0"/>
    <n v="0"/>
    <n v="0"/>
    <n v="0"/>
    <n v="0"/>
    <n v="0"/>
    <n v="0"/>
    <n v="14.09081764559845"/>
    <n v="0"/>
    <n v="0.1225091529621925"/>
    <n v="0"/>
    <n v="0"/>
    <n v="0"/>
    <n v="0"/>
    <n v="0"/>
    <n v="12.96667265925298"/>
    <n v="0"/>
    <n v="0"/>
    <n v="22.48375581066851"/>
    <m/>
    <n v="0"/>
    <m/>
    <n v="18.08459106305628"/>
    <m/>
    <n v="0"/>
    <m/>
    <m/>
    <n v="37.84089968695871"/>
    <n v="0"/>
    <n v="0"/>
    <n v="0"/>
    <m/>
    <n v="0"/>
    <n v="0"/>
    <n v="2.879652580148312"/>
    <n v="21.69145369440121"/>
    <n v="12.27857750268953"/>
    <x v="0"/>
    <m/>
    <x v="4"/>
    <x v="0"/>
    <s v="Defaut GE &amp; Power Cabinet"/>
    <x v="0"/>
    <s v="{hourly IHS}: 25/05/2026 19:39 3:20:33 FME isinformed and managing ETA ASAP      ;      {05-25-2026 ocm ran 22H}: Power status check Ongoing      ;      {05-25-2026 ticket}: INC-20260525-00021333...2026-05-26 00:41:34...user:OCM_NOC.IHS"/>
  </r>
  <r>
    <s v="Bertoua-ENIA-MTN"/>
    <s v="EST_069"/>
    <s v="CENTRE"/>
    <s v="IHS"/>
    <s v="Grid-Gen"/>
    <s v="EST"/>
    <s v="Bertoua"/>
    <s v="ZTE"/>
    <n v="0"/>
    <n v="0"/>
    <n v="0"/>
    <n v="0.9633082500791879"/>
    <n v="0"/>
    <n v="0"/>
    <n v="4.342264534944666e-17"/>
    <n v="0"/>
    <n v="0"/>
    <n v="0"/>
    <n v="0"/>
    <n v="0"/>
    <n v="0"/>
    <n v="0"/>
    <n v="0"/>
    <n v="0"/>
    <n v="0.7653210456777759"/>
    <n v="8.684529069889332e-17"/>
    <n v="0"/>
    <n v="0"/>
    <n v="0"/>
    <n v="0"/>
    <n v="0.2832032086019293"/>
    <n v="0.001284125638852506"/>
    <m/>
    <n v="0"/>
    <m/>
    <n v="1.238378662968384"/>
    <m/>
    <n v="0"/>
    <m/>
    <m/>
    <n v="0"/>
    <n v="0.3240990431837188"/>
    <n v="2.577739539369865"/>
    <n v="1.248223626199586"/>
    <m/>
    <n v="1.254483738688992"/>
    <n v="12.21641207950154"/>
    <n v="5.189207901098564"/>
    <n v="16.76352882786457"/>
    <n v="12.22856794308755"/>
    <x v="0"/>
    <m/>
    <x v="4"/>
    <x v="0"/>
    <s v="Defaut GE &amp; Power Cabinet"/>
    <x v="0"/>
    <s v="{05-25-2026  incident}:    impacted by  EST_051_Z_Bertoua-Ngaikada   ,Cause:   Souci Energie   Action:   En Attente RCA IHS      ;      {05-25-2026 ticket}: INC-20260525-00001442...problème de power à Ngaikada ...Grid Outage"/>
  </r>
  <r>
    <s v="Bodjongo-II"/>
    <s v="LIT_773"/>
    <s v="Douala"/>
    <s v="CAMUSAT"/>
    <s v="Bad Grid + GE"/>
    <s v="LITTORAL"/>
    <s v="Bodjongo"/>
    <s v="ZTE"/>
    <n v="0"/>
    <n v="2.62132847077758"/>
    <n v="10.79774878507446"/>
    <n v="1.971757083379705"/>
    <n v="0.4440577799465235"/>
    <n v="0"/>
    <n v="0"/>
    <n v="0"/>
    <n v="0"/>
    <n v="0"/>
    <n v="0"/>
    <n v="0"/>
    <n v="0"/>
    <n v="0"/>
    <n v="0"/>
    <n v="0.1320687549403171"/>
    <n v="0"/>
    <n v="11.52158543858598"/>
    <n v="0"/>
    <n v="0"/>
    <n v="0"/>
    <n v="0"/>
    <n v="0"/>
    <n v="0"/>
    <m/>
    <n v="0"/>
    <m/>
    <n v="0"/>
    <m/>
    <n v="3.01931824343027"/>
    <m/>
    <m/>
    <n v="0"/>
    <n v="0.01532033227464338"/>
    <n v="0"/>
    <n v="0"/>
    <m/>
    <n v="0.3445202078571374"/>
    <n v="10.38681662130459"/>
    <n v="8.913407693013861"/>
    <n v="14.77454051179008"/>
    <n v="12.180324056239"/>
    <x v="0"/>
    <m/>
    <x v="0"/>
    <x v="0"/>
    <s v="AKTIVCO Defaut GE &amp; Power Cabinet"/>
    <x v="0"/>
    <s v="{05-25-2026 ticket}: INC-20260525-00004105...2026-05-25 10:03:54...FME is managing ETA will be shared asap...Grid Outage...user:OCM_NOC.CAMUSAT"/>
  </r>
  <r>
    <s v="Ndjore-Luxe-MTN"/>
    <s v="CTR_363"/>
    <s v="CENTRE"/>
    <s v="IHS"/>
    <s v="Grid-Lithium"/>
    <s v="CENTRE"/>
    <s v="Ndjore-Luxe"/>
    <s v="NOKIA"/>
    <n v="0"/>
    <n v="0"/>
    <n v="0"/>
    <n v="0"/>
    <n v="0"/>
    <n v="0"/>
    <n v="0"/>
    <n v="0"/>
    <n v="0"/>
    <n v="2.198911316936597"/>
    <n v="0"/>
    <n v="0"/>
    <n v="0"/>
    <n v="0"/>
    <n v="0"/>
    <n v="0"/>
    <n v="0"/>
    <n v="0"/>
    <n v="0"/>
    <n v="1.297224184839626"/>
    <n v="0"/>
    <n v="0"/>
    <n v="0"/>
    <n v="0"/>
    <m/>
    <n v="0"/>
    <m/>
    <n v="0"/>
    <m/>
    <n v="0"/>
    <m/>
    <m/>
    <n v="6.735273583068926"/>
    <n v="1.378133096449233"/>
    <n v="1.396326116547243"/>
    <n v="0"/>
    <m/>
    <n v="5.530092975678774"/>
    <n v="27.46803672130099"/>
    <n v="20.6621075886315"/>
    <n v="2.245575996365298"/>
    <n v="12.02998312799471"/>
    <x v="0"/>
    <m/>
    <x v="10"/>
    <x v="6"/>
    <s v="Projet OCM (HUAWEI)"/>
    <x v="5"/>
    <s v="(05/25/2026 cell nokia): 25/05/2026 : Need BO RAN analysis       ;      (05/25/2026 cell nokia): 25/05/2026 : Need BO RAN analysis||Not supervision      ;      {05-25-2026 ticket}: INC-20260525-00022410...Defaut Module   ; {05-25-2026 dashboard cell}: _x000a_26/05/2026: Check and replace SFP, Optical fiber on FXDB_x000a_25/05/2026 : Need BO RAN analysis||Not supervision"/>
  </r>
  <r>
    <s v="Akak-Nkozoa-MTN-IHS"/>
    <s v="CTR_529"/>
    <s v="Yaounde"/>
    <s v="IHS"/>
    <s v="Grid-Gen"/>
    <s v="CENTRE"/>
    <s v="Yaounde"/>
    <s v="ZTE"/>
    <n v="1.455003524211475"/>
    <n v="3.539763663810202"/>
    <n v="1.857844438166498"/>
    <n v="10.48099779415752"/>
    <n v="0"/>
    <n v="2.973125390588216"/>
    <n v="13.98584037462225"/>
    <n v="0"/>
    <n v="0"/>
    <n v="7.80803677165107"/>
    <n v="2.384104094077895"/>
    <n v="0"/>
    <n v="0"/>
    <n v="0"/>
    <n v="0"/>
    <n v="0"/>
    <n v="0"/>
    <n v="10.64552639163549"/>
    <n v="0"/>
    <n v="8.613094371820004"/>
    <n v="0"/>
    <n v="0.1229015246851754"/>
    <n v="0"/>
    <n v="0"/>
    <m/>
    <n v="12.71022206812714"/>
    <m/>
    <n v="1.242034854023451"/>
    <m/>
    <n v="1.095947727525663"/>
    <m/>
    <m/>
    <n v="0"/>
    <n v="17.24154474607129"/>
    <n v="4.374338318594423"/>
    <n v="0.2954024021710281"/>
    <m/>
    <n v="0"/>
    <n v="6.130250110907282"/>
    <n v="5.337908136723891"/>
    <n v="17.81737765038841"/>
    <n v="11.95895506416348"/>
    <x v="0"/>
    <m/>
    <x v="4"/>
    <x v="0"/>
    <s v="Defaut GE &amp; Power Cabinet"/>
    <x v="0"/>
    <s v="{hourly IHS}: 25/05/2026 11:43 2:17:00 39 FME is informed and managing      ;      {05-25-2026 ticket}: INC-20260525-00010810...Grid Outage"/>
  </r>
  <r>
    <s v="EST_194_Z_Bertoua-Birpondo-II"/>
    <s v="EST_194"/>
    <s v="CENTRE"/>
    <s v="ESCO"/>
    <s v="Bad Grid + Solar + GE"/>
    <s v="EST"/>
    <s v="Bertoua"/>
    <s v="ZTE"/>
    <n v="0"/>
    <n v="0"/>
    <n v="0"/>
    <n v="0"/>
    <n v="0"/>
    <n v="0"/>
    <n v="0"/>
    <n v="0"/>
    <n v="0"/>
    <n v="0.004726295754109917"/>
    <n v="0"/>
    <n v="0"/>
    <n v="0"/>
    <n v="0"/>
    <n v="0"/>
    <n v="0"/>
    <n v="0"/>
    <n v="0"/>
    <n v="0"/>
    <n v="0"/>
    <n v="0"/>
    <n v="0"/>
    <n v="0.06895041277505246"/>
    <n v="0.03536696030339678"/>
    <m/>
    <n v="0"/>
    <m/>
    <n v="0"/>
    <m/>
    <n v="0"/>
    <m/>
    <m/>
    <n v="0"/>
    <n v="3.995414244663031"/>
    <n v="0"/>
    <n v="0"/>
    <m/>
    <n v="4.50237634583501"/>
    <n v="7.557806673620854"/>
    <n v="12.86355321630268"/>
    <n v="12.45035480785436"/>
    <n v="11.89041485818972"/>
    <x v="0"/>
    <m/>
    <x v="2"/>
    <x v="1"/>
    <s v="no root cause"/>
    <x v="1"/>
    <s v=""/>
  </r>
  <r>
    <s v="ARMP"/>
    <s v="CTR_124"/>
    <s v="Yaounde"/>
    <s v="IHS"/>
    <s v="GridOnly"/>
    <s v="CENTRE"/>
    <s v="Yaounde"/>
    <s v="ZTE"/>
    <n v="13.86855689960706"/>
    <n v="13.86855689960706"/>
    <n v="13.86855689960706"/>
    <n v="13.86855689960706"/>
    <n v="13.86855689960706"/>
    <n v="13.86855689960706"/>
    <n v="9.245704599738039"/>
    <n v="10.61932666158724"/>
    <n v="3.695820599087415"/>
    <n v="9.245704599738039"/>
    <n v="9.452020785713676"/>
    <n v="0"/>
    <n v="0.7940176866904661"/>
    <n v="6.174825144892176"/>
    <n v="9.245704599738039"/>
    <n v="9.245704599738039"/>
    <n v="4.289907057839874"/>
    <n v="0"/>
    <n v="0"/>
    <n v="0"/>
    <n v="1.540950766623006"/>
    <n v="0.2179803271952134"/>
    <n v="0.3857905790835907"/>
    <n v="0"/>
    <m/>
    <n v="2.623682701115477"/>
    <m/>
    <n v="0"/>
    <m/>
    <n v="0"/>
    <m/>
    <m/>
    <n v="0"/>
    <n v="0"/>
    <n v="0"/>
    <n v="2.710396851894656"/>
    <m/>
    <n v="5.274011009237144"/>
    <n v="5.559976859345587"/>
    <n v="17.95495578200067"/>
    <n v="9.152246441524559"/>
    <n v="11.59444173351254"/>
    <x v="0"/>
    <m/>
    <x v="1"/>
    <x v="0"/>
    <s v="Coupure ENEO &amp; Baisse de tension"/>
    <x v="0"/>
    <s v="{05-25-2026 ocm ran 17H}: Power status check Ongoing      ;      {05-25-2026 ticket}: INC-20260525-00016660...Grid Outage"/>
  </r>
  <r>
    <s v="Garoua-Stade"/>
    <s v="NRD_143"/>
    <s v="Garoua"/>
    <s v="CAMUSAT"/>
    <s v="Good Grid + GE"/>
    <s v="NORD"/>
    <s v="Garoua"/>
    <s v="Huawei"/>
    <n v="0"/>
    <n v="0"/>
    <n v="5.19362831126064"/>
    <n v="0"/>
    <n v="0"/>
    <n v="0.7853676737065286"/>
    <n v="0"/>
    <n v="0"/>
    <n v="0"/>
    <n v="0"/>
    <n v="0"/>
    <n v="0"/>
    <n v="6.289005316280145"/>
    <n v="6.453623089149709"/>
    <n v="8.917539158697954e-05"/>
    <n v="0"/>
    <n v="1.829611509190059"/>
    <n v="6.399119089811748"/>
    <n v="0"/>
    <n v="0"/>
    <n v="0"/>
    <n v="0"/>
    <n v="0.6202148484874427"/>
    <n v="1.627112029974346"/>
    <m/>
    <n v="0"/>
    <m/>
    <n v="2.303400364691681"/>
    <m/>
    <n v="0"/>
    <m/>
    <m/>
    <n v="3.226347832538602"/>
    <n v="0.0005350523495218772"/>
    <n v="22.03315255697951"/>
    <n v="0.1146973886591731"/>
    <m/>
    <n v="0"/>
    <n v="9.140483555747394"/>
    <n v="11.63325666160055"/>
    <n v="12.0891309724712"/>
    <n v="11.51502212976518"/>
    <x v="0"/>
    <m/>
    <x v="2"/>
    <x v="1"/>
    <s v="no root cause"/>
    <x v="1"/>
    <s v="{05-25-2026 top offenders}: UP sans action"/>
  </r>
  <r>
    <s v="Newb-Ancien-Etage-New"/>
    <s v="LIT_528"/>
    <s v="Douala"/>
    <s v="IHS"/>
    <s v="GridOnly"/>
    <s v="LITTORAL"/>
    <s v="Douala"/>
    <s v="ZTE"/>
    <n v="1.689552639163549"/>
    <n v="6.322499593360216"/>
    <n v="6.464341971218466"/>
    <n v="0"/>
    <n v="12.07832524334181"/>
    <n v="14.23217847634213"/>
    <n v="0"/>
    <n v="4.247727097619231"/>
    <n v="1.161580815733679"/>
    <n v="0"/>
    <n v="0"/>
    <n v="0"/>
    <n v="21.19356624518809"/>
    <n v="23.22064774150836"/>
    <n v="15.98978977436485"/>
    <n v="0"/>
    <n v="0"/>
    <n v="5.401817180459603"/>
    <n v="30.31060858994445"/>
    <n v="32.73944306044236"/>
    <n v="0"/>
    <n v="0"/>
    <n v="0"/>
    <n v="0"/>
    <m/>
    <n v="0"/>
    <m/>
    <n v="0"/>
    <m/>
    <n v="1.241374956125708"/>
    <m/>
    <m/>
    <n v="0"/>
    <n v="0"/>
    <n v="30.42840928223083"/>
    <n v="1.177240014496352"/>
    <m/>
    <n v="4.280365290940065"/>
    <n v="8.598186915738443"/>
    <n v="7.356331878100446"/>
    <n v="14.95922226818745"/>
    <n v="11.49848901216495"/>
    <x v="0"/>
    <m/>
    <x v="1"/>
    <x v="0"/>
    <s v="Coupure ENEO &amp; Baisse de tension"/>
    <x v="0"/>
    <s v="{hourly IHS}: 25-05-2026 18:04:59 4:55:01 FME isinformed and managing ETA ASAP      ;      {05-25-2026 ocm ran 22H}: 25.05.26: IHS: Grid outage, no space to deploy MDG, awaiting grid return      ;      {05-25-2026 ticket}: INC-20260525-00018610...2026-05-26 00:29:27...Grid Outage...user:OCM_NOC.IHS"/>
  </r>
  <r>
    <s v="Masque"/>
    <s v="CTR_020"/>
    <s v="Yaounde"/>
    <s v="IHS"/>
    <s v="Grid-Gen"/>
    <s v="CENTRE"/>
    <s v="Yaounde"/>
    <s v="ZTE"/>
    <n v="5.759160809626948"/>
    <n v="0"/>
    <n v="0.09056652769573617"/>
    <n v="0"/>
    <n v="0"/>
    <n v="0.3294852368355718"/>
    <n v="6.330757234621169"/>
    <n v="5.326945521683174"/>
    <n v="9.245704599738039"/>
    <n v="9.245704599738039"/>
    <n v="9.579505925526421"/>
    <n v="0.5572035167920832"/>
    <n v="10.23904712170372"/>
    <n v="9.245704599738039"/>
    <n v="1.864639603005425"/>
    <n v="0"/>
    <n v="0"/>
    <n v="4.341129402767433"/>
    <n v="0"/>
    <n v="0.002282890024626748"/>
    <n v="0.483954850142538"/>
    <n v="0.2166248612430908"/>
    <n v="0.4331248769379593"/>
    <n v="0"/>
    <m/>
    <n v="3.803473131811216"/>
    <m/>
    <n v="0.6368193064009383"/>
    <m/>
    <n v="0.6403506519077824"/>
    <m/>
    <m/>
    <n v="9.245704599738039"/>
    <n v="9.245704599738039"/>
    <n v="8.375709479415468"/>
    <n v="6.835828817491501"/>
    <m/>
    <n v="9.245704599738039"/>
    <n v="1.036758270086208"/>
    <n v="0.9859160317023157"/>
    <n v="21.05943168361909"/>
    <n v="11.46128503879486"/>
    <x v="0"/>
    <m/>
    <x v="4"/>
    <x v="0"/>
    <s v="Defaut GE &amp; Power Cabinet"/>
    <x v="0"/>
    <s v="{hourly IHS}: 25/05/2026 06:44 0:16:00 42 Fme Ahanda is informed and managed ETA 07:45 AM      ;      {05-25-2026 ticket}: INC-20260525-00004977...Grid Outage"/>
  </r>
  <r>
    <s v="Foumban-Njintout"/>
    <s v="OST_176"/>
    <s v="OUEST"/>
    <s v="IHS"/>
    <s v="Grid-Gen"/>
    <s v="OUEST"/>
    <s v="Foumban"/>
    <s v="Huawei"/>
    <n v="0.6317363090804805"/>
    <n v="0.07223206718545341"/>
    <n v="2.165981086256146"/>
    <n v="0.4682599812232295"/>
    <n v="0"/>
    <n v="0.7178975724318201"/>
    <n v="0"/>
    <n v="0.3957603878630152"/>
    <n v="0"/>
    <n v="1.009750794017687"/>
    <n v="0.154879820108266"/>
    <n v="0"/>
    <n v="0"/>
    <n v="0"/>
    <n v="0"/>
    <n v="0"/>
    <n v="0"/>
    <n v="0"/>
    <n v="0"/>
    <n v="0"/>
    <n v="0"/>
    <n v="0"/>
    <n v="0"/>
    <n v="1.043619607742421"/>
    <m/>
    <n v="0"/>
    <m/>
    <n v="0"/>
    <m/>
    <n v="0.1232403911732057"/>
    <m/>
    <m/>
    <n v="0"/>
    <n v="0.5041084886411954"/>
    <n v="0.04833306224014292"/>
    <n v="1.300979787862445"/>
    <m/>
    <n v="0"/>
    <n v="7.905890675395369"/>
    <n v="10.0940843763069"/>
    <n v="12.78493658986095"/>
    <n v="11.18485915995354"/>
    <x v="0"/>
    <m/>
    <x v="7"/>
    <x v="3"/>
    <s v="Sites strategiques, MLL, Pylone, etc."/>
    <x v="0"/>
    <s v="{05-25-2026 ocm ran 17H}: Power status check Ongoing   ; {05-25-2026 dashboard cell}: Ceels impactees par les travaux CEX OCM"/>
  </r>
  <r>
    <s v="laboratorie-T.Bella"/>
    <s v="CTR_937"/>
    <s v="Yaounde"/>
    <s v="IHS"/>
    <s v="Grid Gen"/>
    <s v="CENTRE"/>
    <s v="Yaounde"/>
    <s v="ZTE"/>
    <n v="6.290788824111885"/>
    <n v="5.095731566376454"/>
    <n v="0"/>
    <n v="0"/>
    <n v="0"/>
    <n v="0"/>
    <n v="9.245704599738039"/>
    <n v="7.448980974965258"/>
    <n v="2.52079213430242"/>
    <n v="6.787246064154917"/>
    <n v="9.245704599738039"/>
    <n v="0"/>
    <n v="3.414686259570302"/>
    <n v="9.245704599738039"/>
    <n v="9.245704599738039"/>
    <n v="7.089925178279443"/>
    <n v="9.409359278378462"/>
    <n v="0"/>
    <n v="0"/>
    <n v="0"/>
    <n v="2.302776136950572"/>
    <n v="0"/>
    <n v="0.04358893140771545"/>
    <n v="0"/>
    <m/>
    <n v="5.175151170123818"/>
    <m/>
    <n v="10.2533865246709"/>
    <m/>
    <n v="0"/>
    <m/>
    <m/>
    <n v="0"/>
    <n v="0"/>
    <n v="0.04676357534821254"/>
    <n v="0"/>
    <m/>
    <n v="0"/>
    <n v="9.486694123712576"/>
    <n v="8.081451390801432"/>
    <n v="13.38942733880977"/>
    <n v="11.05016864850057"/>
    <x v="0"/>
    <m/>
    <x v="4"/>
    <x v="0"/>
    <s v="Defaut GE &amp; Power Cabinet"/>
    <x v="0"/>
    <s v="{hourly IHS}: 25-05-2026 17:00:39 5:59:21 Access issue due to ladder stolen      ;      {05-25-2026 ocm ran 22H}: 25.05.26: IHS: Access issue due to ladder stolen      ;      {05-25-2026 ocm ran 17H}: Power status check Ongoing"/>
  </r>
  <r>
    <s v="LIT_871_Z_Bonamatoumbe-III-IHS"/>
    <s v="LIT_871"/>
    <s v="Douala"/>
    <s v="I_HS"/>
    <s v="Grid-Gen"/>
    <s v="LITTORAL"/>
    <s v="Douala"/>
    <s v="ZTE"/>
    <n v="5.713752700230857"/>
    <n v="1.80713931051014"/>
    <n v="2.093178296564537"/>
    <n v="0"/>
    <n v="0.167150353990634"/>
    <n v="0"/>
    <n v="1.192863543102391"/>
    <n v="0"/>
    <n v="2.237125213664238"/>
    <n v="0"/>
    <n v="0.4308419869133333"/>
    <n v="4.199162179360962"/>
    <n v="1.15403657760542"/>
    <n v="0"/>
    <n v="0"/>
    <n v="4.985831813784661"/>
    <n v="0"/>
    <n v="5.527929019241911"/>
    <n v="0"/>
    <n v="0"/>
    <n v="0"/>
    <n v="0"/>
    <n v="0"/>
    <n v="0"/>
    <m/>
    <n v="0"/>
    <m/>
    <n v="0"/>
    <m/>
    <n v="0.3273628625158021"/>
    <m/>
    <m/>
    <n v="0.8709047093167593"/>
    <n v="0"/>
    <n v="0"/>
    <n v="2.035927695165696"/>
    <m/>
    <n v="3.507607017603935"/>
    <n v="7.300022181456303"/>
    <n v="6.663300590593349"/>
    <n v="14.67994241212432"/>
    <n v="10.93481136194365"/>
    <x v="0"/>
    <m/>
    <x v="4"/>
    <x v="0"/>
    <s v="Defaut GE &amp; Power Cabinet"/>
    <x v="0"/>
    <s v="{hourly IHS}: 25/05/2026 12:31 1:29:00 1.7 V FME is informed and managing      ;      {05-25-2026 ticket}: INC-20260525-00011617...Grid Outage"/>
  </r>
  <r>
    <s v="Makombe"/>
    <s v="LIT_419"/>
    <s v="Douala"/>
    <s v="IHS"/>
    <s v="Grid-Gen"/>
    <s v="LITTORAL"/>
    <s v="Douala"/>
    <s v="ZTE"/>
    <n v="0"/>
    <n v="0"/>
    <n v="0"/>
    <n v="0"/>
    <n v="0"/>
    <n v="0"/>
    <n v="0"/>
    <n v="0"/>
    <n v="0"/>
    <n v="0"/>
    <n v="0"/>
    <n v="0"/>
    <n v="0"/>
    <n v="0"/>
    <n v="0"/>
    <n v="0"/>
    <n v="0"/>
    <n v="0"/>
    <n v="0"/>
    <n v="0"/>
    <n v="0"/>
    <n v="6.156579859773481"/>
    <n v="20.30213336072801"/>
    <n v="1.862000011414451"/>
    <m/>
    <n v="0"/>
    <m/>
    <n v="0.2444297483399111"/>
    <m/>
    <n v="0"/>
    <m/>
    <m/>
    <n v="1.346049030770504"/>
    <n v="2.852792117180744"/>
    <n v="0.2420576829236978"/>
    <n v="0"/>
    <m/>
    <n v="10.57925124060805"/>
    <n v="4.894408274682365"/>
    <n v="4.955877627834389"/>
    <n v="16.41348849884102"/>
    <n v="10.92211278618167"/>
    <x v="0"/>
    <m/>
    <x v="4"/>
    <x v="0"/>
    <s v="Defaut GE &amp; Power Cabinet"/>
    <x v="0"/>
    <s v="{hourly IHS}: 25/05/2026 06:04 0:19:31 46.9V Instable, Nicolas report rectifiers insufficient      ;      (05/25/2026 cell zte): 25/05/2026 : Power issue || Mail sent to IHS       ;      {05-25-2026 ticket}: INC-20260525-00022362...Grid Outage"/>
  </r>
  <r>
    <s v="Bonamoutongo"/>
    <s v="LIT_020"/>
    <s v="Douala"/>
    <s v="IHS"/>
    <s v="Grid-Gen"/>
    <s v="LITTORAL"/>
    <s v="Douala"/>
    <s v="ZTE"/>
    <n v="0"/>
    <n v="0"/>
    <n v="0"/>
    <n v="0"/>
    <n v="0"/>
    <n v="0"/>
    <n v="0"/>
    <n v="0"/>
    <n v="0"/>
    <n v="0"/>
    <n v="0"/>
    <n v="0"/>
    <n v="0.3639782783014153"/>
    <n v="0"/>
    <n v="0"/>
    <n v="0"/>
    <n v="2.571479426880459"/>
    <n v="0"/>
    <n v="0"/>
    <n v="5.237431263608165"/>
    <n v="0"/>
    <n v="2.819190829630771"/>
    <n v="0"/>
    <n v="1.54879820108266"/>
    <m/>
    <n v="0"/>
    <m/>
    <n v="0"/>
    <m/>
    <n v="0"/>
    <m/>
    <m/>
    <n v="0"/>
    <n v="0"/>
    <n v="0"/>
    <n v="0"/>
    <m/>
    <n v="0"/>
    <n v="5.863473136457921"/>
    <n v="4.981856339953284"/>
    <n v="16.05937833111168"/>
    <n v="10.88455211124523"/>
    <x v="0"/>
    <m/>
    <x v="4"/>
    <x v="0"/>
    <s v="Defaut GE &amp; Power Cabinet"/>
    <x v="0"/>
    <s v="{05-25-2026 ocm ran 17H}: Power status check Ongoing      ;      {05-25-2026 ticket}: INC-20260525-00015998...Grid Outage"/>
  </r>
  <r>
    <s v="Bastos-Bir-IHS"/>
    <s v="CTR_640"/>
    <s v="Yaounde"/>
    <s v="IHS"/>
    <s v="Grid-Gen"/>
    <s v="CENTRE"/>
    <s v="Yaounde"/>
    <s v="ZTE"/>
    <n v="6.37409647493244"/>
    <n v="1.23588175200395"/>
    <n v="0.05329121401237946"/>
    <n v="0"/>
    <n v="0"/>
    <n v="0.5773928254473749"/>
    <n v="0.04667439995662498"/>
    <n v="0.04644254393849935"/>
    <n v="0"/>
    <n v="0"/>
    <n v="0.2861816666809343"/>
    <n v="20.78202181301419"/>
    <n v="0.7547448442355598"/>
    <n v="0"/>
    <n v="0"/>
    <n v="0"/>
    <n v="0.04708460675792468"/>
    <n v="0"/>
    <n v="0"/>
    <n v="0"/>
    <n v="0.2856109441747777"/>
    <n v="0.1313910219642556"/>
    <n v="0.2627107036152412"/>
    <n v="0"/>
    <m/>
    <n v="0.04704893660129"/>
    <m/>
    <n v="0"/>
    <m/>
    <n v="0"/>
    <m/>
    <m/>
    <n v="0"/>
    <n v="0"/>
    <n v="0"/>
    <n v="2.747244123698397"/>
    <m/>
    <n v="4.926993890415572"/>
    <n v="5.560351546107454"/>
    <n v="17.95399951038893"/>
    <n v="7.627903744415772"/>
    <n v="10.79924693165312"/>
    <x v="0"/>
    <m/>
    <x v="4"/>
    <x v="0"/>
    <s v="Defaut GE &amp; Power Cabinet"/>
    <x v="0"/>
    <s v="{05-25-2026 ocm ran 17H}: Power status check Ongoing      ;      {05-25-2026 ticket}: INC-20260525-00016874...Grid Outage"/>
  </r>
  <r>
    <s v="Dragage"/>
    <s v="CTR_344"/>
    <s v="Yaounde"/>
    <s v="IHS"/>
    <s v="Grid-Gen"/>
    <s v="CENTRE"/>
    <s v="Yaounde"/>
    <s v="ZTE"/>
    <n v="0.01701466471479525"/>
    <n v="0"/>
    <n v="0.05352307003050477"/>
    <n v="0"/>
    <n v="0"/>
    <n v="0.5768934432544879"/>
    <n v="0"/>
    <n v="0"/>
    <n v="0"/>
    <n v="0"/>
    <n v="0.2419150022971582"/>
    <n v="3.064583672199821"/>
    <n v="0.7005618763073115"/>
    <n v="0"/>
    <n v="0"/>
    <n v="0"/>
    <n v="0"/>
    <n v="0"/>
    <n v="0"/>
    <n v="0"/>
    <n v="0"/>
    <n v="0.1293578230360731"/>
    <n v="0.2630674051815894"/>
    <n v="0"/>
    <m/>
    <n v="0"/>
    <m/>
    <n v="0"/>
    <m/>
    <n v="0"/>
    <m/>
    <m/>
    <n v="0"/>
    <n v="0"/>
    <n v="0"/>
    <n v="2.689672490889842"/>
    <m/>
    <n v="4.940958756738092"/>
    <n v="5.560351546107454"/>
    <n v="17.9530432387772"/>
    <n v="7.626125327502314"/>
    <n v="10.79799847617091"/>
    <x v="0"/>
    <m/>
    <x v="4"/>
    <x v="0"/>
    <s v="Defaut GE &amp; Power Cabinet"/>
    <x v="0"/>
    <s v="{05-25-2026 ocm ran 17H}: Power status check Ongoing      ;      {05-25-2026 ticket}: INC-20260525-00016833...Grid Outage"/>
  </r>
  <r>
    <s v="Qtier-Tergal"/>
    <s v="LIT_420"/>
    <s v="Douala"/>
    <s v="IHS"/>
    <s v="Grid-Gen"/>
    <s v="LITTORAL"/>
    <s v="Douala"/>
    <s v="ZTE"/>
    <n v="10.57204586896782"/>
    <n v="16.43584508308293"/>
    <n v="0"/>
    <n v="0.0168541490099392"/>
    <n v="0"/>
    <n v="0"/>
    <n v="0.01974343169735728"/>
    <n v="3.521268687595061"/>
    <n v="0"/>
    <n v="0"/>
    <n v="23.77977744675872"/>
    <n v="0"/>
    <n v="0"/>
    <n v="0"/>
    <n v="0"/>
    <n v="8.351810474470151"/>
    <n v="0"/>
    <n v="0"/>
    <n v="0"/>
    <n v="0"/>
    <n v="0"/>
    <n v="3.635680715001155"/>
    <n v="0"/>
    <n v="0.05036626116832616"/>
    <m/>
    <n v="6.786033278829333"/>
    <m/>
    <n v="0"/>
    <m/>
    <n v="0"/>
    <m/>
    <m/>
    <n v="0"/>
    <n v="0"/>
    <n v="0"/>
    <n v="0"/>
    <m/>
    <n v="11.16816552664846"/>
    <n v="4.232336766463237"/>
    <n v="10.7336175797573"/>
    <n v="12.50134749281519"/>
    <n v="10.72708620478094"/>
    <x v="0"/>
    <m/>
    <x v="4"/>
    <x v="0"/>
    <s v="Defaut GE &amp; Power Cabinet"/>
    <x v="0"/>
    <s v="(05/25/2026 cell zte): 25/05/2026 : Need BO RAN analysis      ;      {05-25-2026 ticket}: INC-20260525-00021760...Grid Outage"/>
  </r>
  <r>
    <s v="Mvan-MRS-IHS"/>
    <s v="CTR_487"/>
    <s v="Yaounde"/>
    <s v="IHS"/>
    <s v="Grid-Gen"/>
    <s v="CENTRE"/>
    <s v="Yaounde"/>
    <s v="ZTE"/>
    <n v="0"/>
    <n v="0"/>
    <n v="15.78727246007083"/>
    <n v="0.03595551788787012"/>
    <n v="0"/>
    <n v="0"/>
    <n v="0.07706537340946765"/>
    <n v="3.239848986824873"/>
    <n v="3.748006038244116"/>
    <n v="7.723873037071281"/>
    <n v="0"/>
    <n v="0"/>
    <n v="20.20464682264512"/>
    <n v="30.13457636695174"/>
    <n v="0"/>
    <n v="0"/>
    <n v="1.257890238647618"/>
    <n v="0.0369007770386918"/>
    <n v="0"/>
    <n v="1.232207725870567"/>
    <n v="0"/>
    <n v="0"/>
    <n v="0"/>
    <n v="3.150762770629481"/>
    <m/>
    <n v="29.1509182925124"/>
    <m/>
    <n v="3.393016639414667"/>
    <m/>
    <n v="0"/>
    <m/>
    <m/>
    <n v="0"/>
    <n v="5.208021219462783"/>
    <n v="1.263757979414041"/>
    <n v="5.186547785168638"/>
    <m/>
    <n v="0"/>
    <n v="3.452738510605134"/>
    <n v="2.656097527804128"/>
    <n v="17.82021627738488"/>
    <n v="10.67777221323334"/>
    <x v="0"/>
    <m/>
    <x v="5"/>
    <x v="2"/>
    <s v="IP &amp; VLAN"/>
    <x v="2"/>
    <s v="{05-25-2026 goupe whatsapp incident}:    impacted by    CTR_007_Z_Messamendongo(CTR-007)  ,Cause: Boucle etherneet  ,Action: Desactivation de la bouclee"/>
  </r>
  <r>
    <s v="Kapanyaye-IHS"/>
    <s v="NRD_109"/>
    <s v="NORD"/>
    <s v="IHS"/>
    <s v="Solar-Gen"/>
    <s v="NORD"/>
    <s v="Kapanyaye"/>
    <s v="NOKIA"/>
    <n v="0"/>
    <n v="0"/>
    <n v="0"/>
    <n v="0"/>
    <n v="0"/>
    <n v="0"/>
    <n v="0"/>
    <n v="0"/>
    <n v="0"/>
    <n v="0"/>
    <n v="0"/>
    <n v="0"/>
    <n v="0.02255192488422598"/>
    <n v="0"/>
    <n v="0"/>
    <n v="0"/>
    <n v="0"/>
    <n v="0"/>
    <n v="0"/>
    <n v="0"/>
    <n v="0.5863281996843914"/>
    <n v="0"/>
    <n v="0"/>
    <n v="0"/>
    <m/>
    <n v="0"/>
    <m/>
    <n v="0.03991490527433204"/>
    <m/>
    <n v="0"/>
    <m/>
    <m/>
    <n v="3.949595928465641"/>
    <n v="4.968817149069864"/>
    <n v="4.27294362652674"/>
    <n v="8.157560159743596"/>
    <m/>
    <n v="9.542261466869173"/>
    <n v="0"/>
    <n v="31.78516503127841"/>
    <n v="0"/>
    <n v="10.67064651161771"/>
    <x v="0"/>
    <m/>
    <x v="4"/>
    <x v="0"/>
    <s v="Defaut GE &amp; Power Cabinet"/>
    <x v="0"/>
    <s v="  {05-25-2026 groupe whatsapp incident}:    impacted by  Boula-Ibi-IHS_G_NRD_105 ,RCA: Power issue / En attente RCA IHS      ;      {05-25-2026 ocm ran 22H}: 25.05.26: Besoin d'un FME sur site pour vérifier le statut de la BBU Huawei et son interco avec le MPR S1P1; FME       ;      {05-25-2026 ocm ran 17H}: 25.05.26: Besoin d'un FME sur site pour vérifier le statut de la BBU Huawei et son interco avec le MPR S1P1; FME       ;      {05-25-2026 ticket}: INC-20260525-00005910...2026-05-25 17:31:05...25.05.26: Besoin d'un FME sur site pour vérifier le statut de la BBU Huawei et son interco avec le MPR S1P1; CM-20260525-00002210; FME Seydou activé pour investigations, update ASAP...user:JACQUES FABRICE WANGA j84364567"/>
  </r>
  <r>
    <s v="Touloum-IHS"/>
    <s v="EXN_125"/>
    <s v="EXTREME-NORD"/>
    <s v="IHS"/>
    <s v="Grid-Gen"/>
    <s v="EXTREME-NORD"/>
    <s v="Touloum"/>
    <s v="NOKIA"/>
    <n v="4.687689533299176"/>
    <n v="1.882330107011728"/>
    <n v="1.362283766148592"/>
    <n v="0.3064976097255678"/>
    <n v="2.323604423541629"/>
    <n v="0.07772975613939438"/>
    <n v="8.874470845426286"/>
    <n v="3.735521072771401"/>
    <n v="3.735399250679062"/>
    <n v="0.0894250826834231"/>
    <n v="0.2283569324336959"/>
    <n v="0"/>
    <n v="2.385101653505588"/>
    <n v="3.935741325019517"/>
    <n v="4.991341722900647"/>
    <n v="0.2759326639377978"/>
    <n v="1.199030423723689"/>
    <n v="1.010044236226153"/>
    <n v="0.04803647342052121"/>
    <n v="1.541298210546121"/>
    <n v="0"/>
    <n v="4.365563460062266"/>
    <n v="1.505064591257463"/>
    <n v="2.597067261534586"/>
    <m/>
    <n v="3.940699201711813"/>
    <m/>
    <n v="0.1464616631424551"/>
    <m/>
    <n v="1.630710144258962"/>
    <m/>
    <m/>
    <n v="0"/>
    <n v="0"/>
    <n v="0.3736112252420044"/>
    <n v="0.5763070912348941"/>
    <m/>
    <n v="3.792866815417616"/>
    <n v="0"/>
    <n v="22.129624143663"/>
    <n v="6.213309891062389"/>
    <n v="10.66934008671201"/>
    <x v="1"/>
    <m/>
    <x v="4"/>
    <x v="0"/>
    <s v="Defaut GE &amp; Power Cabinet"/>
    <x v="0"/>
    <s v="{05-25-2026 ocm ran 17H}: P1 Incident at EXN_074_H_Dziguilao; Power issue; IHS      ;      {05-25-2026 ticket}: INC-20260525-00022831...Grid Outage"/>
  </r>
  <r>
    <s v="Limbe-Mile4-IHS"/>
    <s v="SUO_212"/>
    <s v="SUD-OUEST"/>
    <s v="IHS"/>
    <s v="Grid-Gen"/>
    <s v="SUD-OUEST"/>
    <s v="Limbe"/>
    <s v="Huawei"/>
    <n v="0"/>
    <n v="0"/>
    <n v="0"/>
    <n v="0"/>
    <n v="0"/>
    <n v="0"/>
    <n v="0"/>
    <n v="0"/>
    <n v="2.66393647287784"/>
    <n v="0"/>
    <n v="0"/>
    <n v="9.245116042153564"/>
    <n v="0"/>
    <n v="0.9872607602594504"/>
    <n v="0"/>
    <n v="0"/>
    <n v="2.776386641669021"/>
    <n v="0"/>
    <n v="0"/>
    <n v="0"/>
    <n v="9.245169547388516"/>
    <n v="0"/>
    <n v="0"/>
    <n v="0.8835497798437932"/>
    <m/>
    <n v="2.576045206929713"/>
    <m/>
    <n v="0"/>
    <m/>
    <n v="0"/>
    <m/>
    <m/>
    <n v="10.72471413936473"/>
    <n v="0"/>
    <n v="0"/>
    <n v="0"/>
    <m/>
    <n v="9.388260380728983"/>
    <n v="6.209184122073946"/>
    <n v="5.286269469690015"/>
    <n v="15.26326315973795"/>
    <n v="10.62094965371412"/>
    <x v="0"/>
    <m/>
    <x v="4"/>
    <x v="0"/>
    <s v="Defaut GE &amp; Power Cabinet"/>
    <x v="0"/>
    <s v="{hourly IHS}: 25/05/2026 03:10 2:10:47 44.2V FME is informed and will manage in the morning, Insecurity area.      ;      (05/25/2026 cell huawei): 25/05/2026 : Verifier l'etat de la RRU      ;      (05/25/2026 cell huawei): 25/05/2026 : Verifier l'etat de la RRU || Fme active || Ghost town      ;      (05/25/2026 cell huawei): 25/05/2026 : Verifier l'etat de la RRU || Fme active || Ghost town      ;      {05-25-2026 ocm ran 17H}: Power status check Ongoing"/>
  </r>
  <r>
    <s v="Institute-Samba-New"/>
    <s v="CTR_868"/>
    <s v="Yaounde"/>
    <s v="CAMUSAT"/>
    <s v="Good Grid no GE - 8h"/>
    <s v="CENTRE"/>
    <s v="Yaounde"/>
    <s v="ZTE"/>
    <n v="67.12814931812932"/>
    <n v="13.86855689960706"/>
    <n v="36.80441411054322"/>
    <n v="38.95742909486263"/>
    <n v="49.23162915592994"/>
    <n v="1.504567206855519"/>
    <n v="9.28217733489711"/>
    <n v="19.28515935999179"/>
    <n v="46.03096383616839"/>
    <n v="9.311908410452212"/>
    <n v="12.94869490030905"/>
    <n v="42.13901088082457"/>
    <n v="13.86855689960706"/>
    <n v="13.86855689960706"/>
    <n v="57.19030099904972"/>
    <n v="36.73847782600383"/>
    <n v="4.410686208205278"/>
    <n v="13.86855689960706"/>
    <n v="13.86855689960706"/>
    <n v="40.56387026906714"/>
    <n v="13.86855689960706"/>
    <n v="0"/>
    <n v="0.9527320486369721"/>
    <n v="6.242455761871741"/>
    <m/>
    <n v="8.933483718713703"/>
    <m/>
    <n v="0"/>
    <m/>
    <n v="0"/>
    <m/>
    <m/>
    <n v="0"/>
    <n v="0"/>
    <n v="0"/>
    <n v="0"/>
    <m/>
    <n v="7.23710755824111e-17"/>
    <n v="4.600778748965865"/>
    <n v="3.988768271162928"/>
    <n v="16.28588708530053"/>
    <n v="10.48897007416539"/>
    <x v="0"/>
    <m/>
    <x v="3"/>
    <x v="0"/>
    <s v="AKTIVCO Coupure ENEO &amp; Baisse de tension"/>
    <x v="0"/>
    <s v="{05-25-2026 ticket}: INC-20260525-00022132...Grid Outage"/>
  </r>
  <r>
    <s v="Mutengene-Maternity-IHS"/>
    <s v="SUO_210"/>
    <s v="SUD-OUEST"/>
    <s v="IHS"/>
    <s v="Grid-Gen"/>
    <s v="SUD-OUEST"/>
    <s v="Mutengene"/>
    <s v="Huawei"/>
    <n v="4.586308224396675"/>
    <n v="0.9238570568411082"/>
    <n v="0.707036009736526"/>
    <n v="1.971471722126626"/>
    <n v="0.936876664012807"/>
    <n v="0.7622712472855011"/>
    <n v="0"/>
    <n v="0.7331465643931935"/>
    <n v="0.05685822967585815"/>
    <n v="1.132687988859497"/>
    <n v="2.365377261844632"/>
    <n v="0"/>
    <n v="1.066858714789989"/>
    <n v="0.6335911572254895"/>
    <n v="21.16101722725885"/>
    <n v="22.46208619051288"/>
    <n v="2.214938376237397"/>
    <n v="3.548895223908707"/>
    <n v="1.191133540505603"/>
    <n v="0"/>
    <n v="0.4886989809749654"/>
    <n v="2.273169906943695"/>
    <n v="0.8801789500418054"/>
    <n v="1.371660203234284"/>
    <m/>
    <n v="0.9727608415874076"/>
    <m/>
    <n v="0.4403480836565049"/>
    <m/>
    <n v="0"/>
    <m/>
    <m/>
    <n v="0.8014192441921851"/>
    <n v="3.311795692757246"/>
    <n v="15.02161254790502"/>
    <n v="6.333057959724113"/>
    <m/>
    <n v="15.27520952650007"/>
    <n v="22.89773249563365"/>
    <n v="19.50597521003975"/>
    <n v="0.7450540857623769"/>
    <n v="10.20671212471428"/>
    <x v="1"/>
    <m/>
    <x v="4"/>
    <x v="0"/>
    <s v="Defaut GE &amp; Power Cabinet"/>
    <x v="0"/>
    <s v="{hourly IHS}: 25/05/2026 03:16 3:07:06 No comm FME is informed and will manage in the morning, Insecurity area."/>
  </r>
  <r>
    <s v="Kousseri-Lacka"/>
    <s v="EXN_094"/>
    <s v="EXTREME-NORD"/>
    <s v="IHS"/>
    <s v="Grid-Gen"/>
    <s v="EXTREME-NORD"/>
    <s v="Kousseri"/>
    <s v="Huawei"/>
    <n v="0"/>
    <n v="0"/>
    <n v="0"/>
    <n v="0"/>
    <n v="0.001070104699043754"/>
    <n v="0.1056728390305707"/>
    <n v="0.4386002459814002"/>
    <n v="0.1801342910056986"/>
    <n v="0"/>
    <n v="0"/>
    <n v="0"/>
    <n v="0"/>
    <n v="0"/>
    <n v="0"/>
    <n v="0.1904964715081057"/>
    <n v="0"/>
    <n v="0"/>
    <n v="0"/>
    <n v="0"/>
    <n v="0"/>
    <n v="0"/>
    <n v="0.2310534396018639"/>
    <n v="0"/>
    <n v="0"/>
    <m/>
    <n v="0.1441074328045589"/>
    <m/>
    <n v="0.3064958208844487"/>
    <m/>
    <n v="0.03370829801987827"/>
    <m/>
    <m/>
    <n v="2.178519146313275"/>
    <n v="6.758567258220545"/>
    <n v="13.29095005321987"/>
    <n v="11.4773187742022"/>
    <m/>
    <n v="1.277348309091895"/>
    <n v="16.79908096831049"/>
    <n v="21.44253147621136"/>
    <n v="0.8132837346536299"/>
    <n v="10.02153050654476"/>
    <x v="1"/>
    <m/>
    <x v="4"/>
    <x v="0"/>
    <s v="Defaut GE &amp; Power Cabinet"/>
    <x v="0"/>
    <s v="{hourly IHS}: 25-05-2026 12:12:28 10:47:32 Yannick is managing with level 0, ETA asap      ;      {05-25-2026 ocm ran 22H}: 25.05.26: IHS: FME is managing with level 0      ;      {05-25-2026 ocm ran 17H}: 25.05.26: IHS: FME is managing with level 0"/>
  </r>
  <r>
    <s v="Batoua-Godole-IHS"/>
    <s v="ADM_141"/>
    <s v="ADAMAOUA"/>
    <s v="IHS"/>
    <s v="Solar-Gen"/>
    <s v="ADAMAOUA"/>
    <s v="Batoua-Godole"/>
    <s v="NOKIA"/>
    <n v="0.04151224314599013"/>
    <n v="0.08087106318437449"/>
    <n v="2.28598665227839"/>
    <n v="0.04262491158951361"/>
    <n v="0.01186238652317313"/>
    <n v="0.02657707561925475"/>
    <n v="3.199070122837836"/>
    <n v="3.085914658108449"/>
    <n v="3.130682782949431"/>
    <n v="3.086539190374407"/>
    <n v="3.139981452555576"/>
    <n v="13.66518350155379"/>
    <n v="3.081901533246013"/>
    <n v="3.081901533246013"/>
    <n v="11.46109269309609"/>
    <n v="5.365337855085793"/>
    <n v="13.87405076956348"/>
    <n v="0.04908775641281191"/>
    <n v="0.007491599976637023"/>
    <n v="0.2283734148137176"/>
    <n v="0"/>
    <n v="1.622054736968879"/>
    <n v="3.081901533246013"/>
    <n v="3.081901533246013"/>
    <m/>
    <n v="3.139852657461121"/>
    <m/>
    <n v="3.081901533246013"/>
    <m/>
    <n v="1.540950766623006"/>
    <m/>
    <m/>
    <n v="4.62140765852531"/>
    <n v="9.24447397933414"/>
    <n v="9.33603736991572"/>
    <n v="9.244313463629283"/>
    <m/>
    <n v="9.251751558370966"/>
    <n v="32.36356905626896"/>
    <n v="16.06071372746971"/>
    <n v="0"/>
    <n v="10.01328151184374"/>
    <x v="0"/>
    <m/>
    <x v="8"/>
    <x v="4"/>
    <s v="Warehouse HUAWEI"/>
    <x v="3"/>
    <s v="(05/25/2026 cell nokia): _x000a_25/05/2026 : Spare en cours de transfert ce jour _x000a_23/05/2026 : Les 3 sur 4 FXDB disponible au Ware house de Ngde sont faulty , la seule FXDB restente doit etre tester ce jour avant expedition _x000a_20/05/2026: Le FME a procede hier au remplacement de la FXDB. Cette FXDB apres remplacement a ete constate faulty  || Nouvelle cde passeee et ETD 23052026  _x000a_19/05/2026: FME a pris la route pour le site||Feedback  FME: FXDB cmde Faulty||Nouvel Cmd faite du cote de NDE.ETA 22052026_x000a_17/05/2025 ; Intervention prevue pour 19/05/2026_x000a_16/05/2025 : Action du  level0_x000a_15/05/2026 : Intervention le 16052026_x000a_14/05/2025 ; Feedback RM : Etat de la route mauvaise a cause de la  pluie||Intervention le 15/05/2026 apres le site de Messodo_x000a_13/05/2026: Feedback RM||After onsite intervention,  faulty FXDB  reported by Tchoup      ;      (05/25/2026 cell nokia): _x000a_25/05/2026 : Spare en cours de transfert ce jour _x000a_23/05/2026 : Les 3 sur 4 FXDB disponible au Ware house de Ngde sont faulty , la seule FXDB restente doit etre tester ce jour avant expedition _x000a_20/05/2026: Le FME a procede hier au remplacement de la FXDB. Cette FXDB apres remplacement a ete constate faulty  || Nouvelle cde passeee et ETD 23052026  _x000a_19/05/2026: FME a pris la route pour le site||Feedback  FME: FXDB cmde Faulty||Nouvel Cmd faite du cote de NDE.ETA 22052026_x000a_17/05/2025 ; Intervention prevue pour 19/05/2026_x000a_16/05/2025 : Action du  level0_x000a_15/05/2026 : Intervention le 16052026_x000a_14/05/2025 ; Feedback RM : Etat de la route mauvaise a cause de la  pluie||Intervention le 15/05/2026 apres le site de Messodo_x000a_13/05/2026: Feedback RM||After onsite intervention,  faulty FXDB  reported by Tchoup      ;      (05/25/2026 cell nokia): _x000a_25/05/2026 : Spare en cours de transfert ce jour _x000a_23/05/2026 : Les 3 sur 4 FXDB disponible au Ware house de Ngde sont faulty , la seule FXDB restente doit etre tester ce jour avant expedition _x000a_20/05/2026: Le FME a procede hier au remplacement de la FXDB. Cette FXDB apres remplacement a ete constate faulty  || Nouvelle cde passeee et ETD 23052026  _x000a_19/05/2026: FME a pris la route pour le site||Feedback  FME: FXDB cmde Faulty||Nouvel Cmd faite du cote de NDE.ETA 22052026_x000a_17/05/2025 ; Intervention prevue pour 19/05/2026_x000a_16/05/2025 : Action du  level0_x000a_15/05/2026 : Intervention le 16052026_x000a_14/05/2025 ; Feedback RM : Etat de la route mauvaise a cause de la  pluie||Intervention le 15/05/2026 apres le site de Messodo_x000a_13/05/2026: Feedback RM||After onsite intervention,  faulty FXDB  reported by Tchoup"/>
  </r>
  <r>
    <s v="Notre-Dame-de-Yassa"/>
    <s v="LIT_620"/>
    <s v="Douala"/>
    <s v="CAMUSAT"/>
    <s v="Medium Grid + GE"/>
    <s v="LITTORAL"/>
    <s v="Douala"/>
    <s v="ZTE"/>
    <n v="2.053334731603472"/>
    <n v="22.95155207985549"/>
    <n v="28.48340481632723"/>
    <n v="27.77413942180104"/>
    <n v="20.06592558349243"/>
    <n v="2.932229556006427"/>
    <n v="0.06219091809275926"/>
    <n v="8.021861525598331"/>
    <n v="6.603509087329105"/>
    <n v="1.156961530449472"/>
    <n v="0.3636215767350671"/>
    <n v="13.86855689960706"/>
    <n v="1.020630191791299"/>
    <n v="2.014008383913616"/>
    <n v="0"/>
    <n v="4.387946483350597"/>
    <n v="0"/>
    <n v="10.23196659561171"/>
    <n v="3.706307625138042"/>
    <n v="8.960164995876537"/>
    <n v="9.245704599738039"/>
    <n v="2.040511310293267"/>
    <n v="2.161415306206893"/>
    <n v="0"/>
    <m/>
    <n v="7.304409830124444"/>
    <m/>
    <n v="1.664119817482943"/>
    <m/>
    <n v="37.71462733247157"/>
    <m/>
    <m/>
    <n v="7.16110497584417"/>
    <n v="20.42795983825724"/>
    <n v="1.245316508433852"/>
    <n v="2.6132491802998"/>
    <m/>
    <n v="2.62332599954913"/>
    <n v="2.740334080708528"/>
    <n v="2.511647388230974"/>
    <n v="16.52703357870015"/>
    <n v="9.853167367228545"/>
    <x v="0"/>
    <m/>
    <x v="0"/>
    <x v="0"/>
    <s v="AKTIVCO Defaut GE &amp; Power Cabinet"/>
    <x v="0"/>
    <s v="{05-25-2026 ticket}: INC-20260525-00013336...Grid Outage"/>
  </r>
  <r>
    <s v="Hamalade-IHS"/>
    <s v="NRD_111"/>
    <s v="NORD"/>
    <s v="IHS"/>
    <s v="Solar-Gen"/>
    <s v="NORD"/>
    <s v="Hamalade"/>
    <s v="NOKIA"/>
    <n v="0.001248527734980219"/>
    <n v="0.001426888839977247"/>
    <n v="0.0009809293074568711"/>
    <n v="6.186515833841039"/>
    <n v="9.306401473997997"/>
    <n v="9.248290835760498"/>
    <n v="0"/>
    <n v="0"/>
    <n v="0"/>
    <n v="0"/>
    <n v="0"/>
    <n v="0.6734882274215055"/>
    <n v="0"/>
    <n v="0"/>
    <n v="0"/>
    <n v="0.002407874917461755"/>
    <n v="0"/>
    <n v="0.2207325701324738"/>
    <n v="0.2195752099009595"/>
    <n v="0"/>
    <n v="0.6681912091612384"/>
    <n v="0"/>
    <n v="0.1503175907661956"/>
    <n v="0.04508796566317255"/>
    <m/>
    <n v="0.002675416574957467"/>
    <m/>
    <n v="0.004066397856366266"/>
    <m/>
    <n v="0"/>
    <m/>
    <m/>
    <n v="3.11404034437396"/>
    <n v="4.979857062548334"/>
    <n v="23.11222830041691"/>
    <n v="23.1118002585373"/>
    <m/>
    <n v="15.50965745765144"/>
    <n v="0"/>
    <n v="28.96236182410377"/>
    <n v="0"/>
    <n v="9.722998916710454"/>
    <x v="0"/>
    <m/>
    <x v="4"/>
    <x v="0"/>
    <s v="Defaut GE &amp; Power Cabinet"/>
    <x v="0"/>
    <s v="  {05-25-2026 groupe whatsapp incident}:    impacted by  Boula-Ibi-IHS_G_NRD_105 ,RCA: Power issue / En attente RCA IHS      ;      {hourly IHS}: 25/05/2026 07:39 0:21:00 44 FME is informed and managing      ;      (05/25/2026 cell nokia): _x000a__x000a__x000a_25/05/2026: Intervention prevu pour ce jour ||ETA : 16h_x000a_23/05/2026 : Check breaker and  interconnection (sfp, optical fiber) between system and radio module, swap its if needed       ;      (05/25/2026 cell nokia): _x000a__x000a__x000a_25/05/2026: Intervention prevu pour ce jour ||ETA : 16h|| Forte pluie dans la zone evidence envoyer dans le groupe.||Intervention reporte pour demain_x000a_23/05/2026 : Check breaker and  interconnection (sfp, optical fiber) between system and radio module, swap its if needed       ;      (05/25/2026 cell nokia): _x000a__x000a__x000a_25/05/2026: Intervention prevu pour ce jour ||ETA : 16h|| Forte pluie dans la zone evidence envoyer dans le groupe.||Intervention reporte pour demain_x000a_23/05/2026 : Check breaker and  interconnection (sfp, optical fiber) between system and radio module, swap its if needed "/>
  </r>
  <r>
    <s v="CTR_939_Z_Mehanda-IV"/>
    <s v="CTR_939"/>
    <s v="CENTRE"/>
    <s v="ESCO"/>
    <s v="Good Grid Solar + GE"/>
    <s v="CENTRE"/>
    <s v="Nkolafamba"/>
    <s v="ZTE"/>
    <n v="5.798968704431375"/>
    <n v="0"/>
    <n v="0"/>
    <n v="8.926777729266366"/>
    <n v="10.734113225638"/>
    <n v="17.26720942377002"/>
    <n v="0"/>
    <n v="3.375877129151649"/>
    <n v="3.472614593945205"/>
    <n v="0.06285081599050338"/>
    <n v="0"/>
    <n v="0"/>
    <n v="1.252361364369224"/>
    <n v="0"/>
    <n v="0"/>
    <n v="0"/>
    <n v="0"/>
    <n v="0"/>
    <n v="18.44999614762308"/>
    <n v="22.36096129645325"/>
    <n v="0"/>
    <n v="2.846746025631147"/>
    <n v="0"/>
    <n v="0.5016650829117121"/>
    <m/>
    <n v="0"/>
    <m/>
    <n v="0"/>
    <m/>
    <n v="0"/>
    <m/>
    <m/>
    <n v="0"/>
    <n v="0"/>
    <n v="0"/>
    <n v="0"/>
    <m/>
    <n v="0.07082309599837915"/>
    <n v="7.175751072103722"/>
    <n v="5.250887420055695"/>
    <n v="13.29708646061108"/>
    <n v="9.721758510185975"/>
    <x v="0"/>
    <m/>
    <x v="5"/>
    <x v="2"/>
    <s v="IP &amp; VLAN"/>
    <x v="2"/>
    <s v="{05-25-2026 goupe whatsapp incident}:    impacted by    CTR_351_Z_Mimboman-Nodal(CTR-351)  ,Cause: Boucle ethernet  ,Action: Desactivation de la boucle      ;      {05-25-2026 ocm ran 22H}: 25.05.26: BO TX analysis ongoing"/>
  </r>
  <r>
    <s v="Mora4-IHS"/>
    <s v="EXN_258"/>
    <s v="EXTREME-NORD"/>
    <s v="IHS"/>
    <s v="Grid-Gen"/>
    <s v="EXTREME-NORD"/>
    <s v="Mora"/>
    <s v="Huawei"/>
    <n v="11.93193492051262"/>
    <n v="11.93193492051262"/>
    <n v="13.02984450665319"/>
    <n v="13.52371566034021"/>
    <n v="10.21666409841539"/>
    <n v="6.757140451955151"/>
    <n v="0"/>
    <n v="0"/>
    <n v="0"/>
    <n v="0"/>
    <n v="0"/>
    <n v="0"/>
    <n v="7.590341805708939"/>
    <n v="28.44017258648587"/>
    <n v="27.73711379921413"/>
    <n v="27.73711379921413"/>
    <n v="16.1628970445135"/>
    <n v="0"/>
    <n v="0"/>
    <n v="0"/>
    <n v="0"/>
    <n v="0"/>
    <n v="1.822923354821036"/>
    <n v="0"/>
    <m/>
    <n v="0.002942787922370324"/>
    <m/>
    <n v="0"/>
    <m/>
    <n v="0"/>
    <m/>
    <m/>
    <n v="2.261024218609549"/>
    <n v="6.250784743445966"/>
    <n v="16.18037542126455"/>
    <n v="0.1860198668504393"/>
    <m/>
    <n v="0"/>
    <n v="11.27994496600842"/>
    <n v="19.00727956451816"/>
    <n v="3.266473065465441"/>
    <n v="9.695166408414732"/>
    <x v="1"/>
    <m/>
    <x v="4"/>
    <x v="0"/>
    <s v="Defaut GE &amp; Power Cabinet"/>
    <x v="0"/>
    <s v="{hourly IHS}: 25/05/2026 12:41 0:19:00 25 FME is informed and managing"/>
  </r>
  <r>
    <s v="OST_342_H_Foumban-New"/>
    <s v="OST_342"/>
    <s v="OUEST"/>
    <s v="ESCO"/>
    <s v="Medium Grid + Solar + GE"/>
    <s v="OST"/>
    <s v="Foumban"/>
    <s v="Huawei"/>
    <n v="9.230954989969554"/>
    <n v="8.990217102841342"/>
    <n v="8.91639771368564"/>
    <n v="9.249378625871422"/>
    <n v="8.940671255275614"/>
    <n v="9.245704599738039"/>
    <n v="8.506101736993948"/>
    <n v="9.281963313957304"/>
    <n v="8.989307513847155"/>
    <n v="0.1846287307416825"/>
    <n v="0.2631030753382244"/>
    <n v="0"/>
    <n v="0.3690969457785083"/>
    <s v=""/>
    <n v="2.497035809983649"/>
    <n v="3.915459588566145"/>
    <n v="0.6343937357497724"/>
    <n v="0.3197294489959565"/>
    <n v="0.996160464339831"/>
    <n v="5.113852005946928"/>
    <n v="0"/>
    <n v="5.797256536912904"/>
    <n v="3.961206564450265"/>
    <n v="6.547132404767816"/>
    <m/>
    <n v="3.536374998929896"/>
    <m/>
    <n v="4.731806793309991"/>
    <m/>
    <n v="9.136464745043989"/>
    <m/>
    <m/>
    <n v="10.78125133763087"/>
    <n v="10.7465264401469"/>
    <n v="10.86209774764363"/>
    <n v="7.637872289424798"/>
    <m/>
    <n v="8.218404088656033"/>
    <n v="21.82238148907513"/>
    <n v="12.41607122820976"/>
    <n v="4.588999643222207"/>
    <n v="9.677563186115462"/>
    <x v="2"/>
    <m/>
    <x v="9"/>
    <x v="5"/>
    <s v="EXCLU"/>
    <x v="4"/>
    <s v="{05-25-2026 ocm ran 22H}: New site not yet transferred to MSP      ;      {05-25-2026 ocm ran 17H}: Power status check Ongoing      ;      {05-25-2026 ticket}: INC-20260525-00016440...travaux d'installation du site non achevés. Merci de contacter l'équipe projet "/>
  </r>
  <r>
    <s v="Mile16-Bolifamba-IHS"/>
    <s v="SUO_220"/>
    <s v="SUD-OUEST"/>
    <s v="IHS"/>
    <s v="Grid-Gen"/>
    <s v="SUD-OUEST"/>
    <s v="Buea"/>
    <s v="Huawei"/>
    <n v="0"/>
    <n v="1.240501037288155"/>
    <n v="18.53305410734719"/>
    <n v="8.917539158697954e-05"/>
    <n v="0"/>
    <n v="2.847905305721779"/>
    <n v="0"/>
    <n v="0"/>
    <n v="0"/>
    <n v="14.89514400755636"/>
    <n v="3.529294472837889"/>
    <n v="0"/>
    <n v="0"/>
    <n v="0"/>
    <n v="0"/>
    <n v="0"/>
    <n v="8.266166428390022"/>
    <n v="0"/>
    <n v="0"/>
    <n v="0"/>
    <n v="0"/>
    <n v="0"/>
    <n v="0"/>
    <n v="0"/>
    <m/>
    <n v="3.077300083040124"/>
    <m/>
    <n v="0"/>
    <m/>
    <n v="0"/>
    <m/>
    <m/>
    <n v="2.15376405760873"/>
    <n v="18.49114167330132"/>
    <n v="0"/>
    <n v="1.649298867401187"/>
    <m/>
    <n v="0"/>
    <n v="12.519533669852"/>
    <n v="16.00416169405429"/>
    <n v="4.81694481107193"/>
    <n v="9.672551529108274"/>
    <x v="0"/>
    <m/>
    <x v="12"/>
    <x v="2"/>
    <s v="fiber AOF"/>
    <x v="2"/>
    <s v="{05-25-2026 groupe whatsapp incident}:    impacted by SUO_801_H_Buea-Agence  Cause:    coupure  AOF_SUO_801_SUO_023_Buea_Agence_Buea-Signal-Hill ;   Action:Routage du traffic sur le FH Buea-Agence&lt;&gt;Buea-Signal-Hill      ;      {05-25-2026 ocm ran 22H}: Impacted by SUO_169_H_Buea-Bomaka-III-MTN      ;      {05-25-2026 ocm ran 17H}: Power status check Ongoing"/>
  </r>
  <r>
    <s v="Nsam-Sofavinc-IHS"/>
    <s v="CTR_488"/>
    <s v="Yaounde"/>
    <s v="IHS"/>
    <s v="Grid-Gen"/>
    <s v="CENTRE"/>
    <s v="Yaounde"/>
    <s v="ZTE"/>
    <n v="0"/>
    <n v="0"/>
    <n v="0"/>
    <n v="0"/>
    <n v="0"/>
    <n v="3.919436811030925"/>
    <n v="0.3604826029512062"/>
    <n v="0"/>
    <n v="0"/>
    <n v="0"/>
    <n v="0"/>
    <n v="0"/>
    <n v="0"/>
    <n v="0"/>
    <n v="0"/>
    <n v="0"/>
    <n v="0"/>
    <n v="0"/>
    <n v="0"/>
    <n v="0.001533816735296174"/>
    <n v="0"/>
    <n v="0.9350931561810676"/>
    <n v="0"/>
    <n v="0"/>
    <m/>
    <n v="0"/>
    <m/>
    <n v="0"/>
    <m/>
    <n v="0"/>
    <m/>
    <m/>
    <n v="0"/>
    <n v="0"/>
    <n v="0.6331452802675549"/>
    <n v="0"/>
    <m/>
    <n v="0"/>
    <n v="2.79778605086148"/>
    <n v="3.154580668523108"/>
    <n v="15.71333944014341"/>
    <n v="9.652879437724188"/>
    <x v="0"/>
    <m/>
    <x v="5"/>
    <x v="2"/>
    <s v="IP &amp; VLAN"/>
    <x v="2"/>
    <s v="{05-25-2026 goupe whatsapp incident}:    impacted by    CTR_007_Z_Messamendongo(CTR-007)  ,Cause: Boucle etherneet  ,Action: Desactivation de la bouclee"/>
  </r>
  <r>
    <s v="Mile4-Q10-IHS"/>
    <s v="SUO_214"/>
    <s v="SUD-OUEST"/>
    <s v="IHS"/>
    <s v="Grid-Gen"/>
    <s v="SUD-OUEST"/>
    <s v="Limbe"/>
    <s v="Huawei"/>
    <n v="0"/>
    <n v="0"/>
    <n v="0"/>
    <n v="0"/>
    <n v="0"/>
    <n v="8.50608390191563"/>
    <n v="13.86855689960706"/>
    <n v="13.86855689960706"/>
    <n v="13.8682893734323"/>
    <n v="13.86855689960706"/>
    <n v="13.86855689960706"/>
    <n v="9.245704599738039"/>
    <n v="13.86855689960706"/>
    <n v="13.8682893734323"/>
    <n v="13.86855689960706"/>
    <n v="13.8682893734323"/>
    <n v="13.86855689960706"/>
    <n v="13.86855689960706"/>
    <n v="13.86855689960706"/>
    <n v="13.8682893734323"/>
    <n v="4.769849015360998"/>
    <n v="13.8682893734323"/>
    <n v="13.86855689960706"/>
    <n v="13.86855689960706"/>
    <m/>
    <n v="35.70288400350424"/>
    <m/>
    <n v="0"/>
    <m/>
    <n v="0"/>
    <m/>
    <m/>
    <n v="10.79922909657481"/>
    <n v="0"/>
    <n v="0"/>
    <n v="0"/>
    <m/>
    <n v="9.300404784937488"/>
    <n v="4.328256577501209"/>
    <n v="3.689614635290757"/>
    <n v="14.89783268434797"/>
    <n v="9.62577011868175"/>
    <x v="1"/>
    <m/>
    <x v="2"/>
    <x v="1"/>
    <s v="no root cause"/>
    <x v="1"/>
    <s v="{05-25-2026 ocm ran 17H}: Power status check Ongoing"/>
  </r>
  <r>
    <s v="Mvogmbi-New"/>
    <s v="CTR_483"/>
    <s v="Yaounde"/>
    <s v="IHS"/>
    <s v="Grid-Gen"/>
    <s v="CENTRE"/>
    <s v="Yaounde"/>
    <s v="ZTE"/>
    <n v="0"/>
    <n v="0"/>
    <n v="0"/>
    <n v="0"/>
    <n v="1.11060816190256"/>
    <n v="0"/>
    <n v="0.02555766722882846"/>
    <n v="0.9955897418336762"/>
    <n v="1.631749150336869"/>
    <n v="0.05416513284993087"/>
    <n v="0"/>
    <n v="0"/>
    <n v="0"/>
    <n v="0"/>
    <n v="0"/>
    <n v="0"/>
    <n v="0.05534224801887953"/>
    <n v="0"/>
    <n v="0"/>
    <n v="0"/>
    <n v="0.2705945591821967"/>
    <n v="1.277134288152086"/>
    <n v="0.3396333963981708"/>
    <n v="0"/>
    <m/>
    <n v="0"/>
    <m/>
    <n v="0"/>
    <m/>
    <n v="0"/>
    <m/>
    <m/>
    <n v="0"/>
    <n v="0"/>
    <n v="0"/>
    <n v="0"/>
    <m/>
    <n v="0"/>
    <n v="4.417556922412863"/>
    <n v="3.968952198319681"/>
    <n v="14.27548936561406"/>
    <n v="9.407754121329896"/>
    <x v="0"/>
    <m/>
    <x v="4"/>
    <x v="0"/>
    <s v="Defaut GE &amp; Power Cabinet"/>
    <x v="0"/>
    <s v="{hourly IHS}: 25/05/2026 10:38 1:22:00 1.7 v fme Nicolas is informed ETA=11:45 AM      ;      {05-25-2026 ticket}: INC-20260525-00021755...Others"/>
  </r>
  <r>
    <s v="Fraternite-Adama_Ekombitie-III"/>
    <s v="CTR_849"/>
    <s v="Yaounde"/>
    <s v="CAMUSAT"/>
    <s v="Good Grid no GE - 8h"/>
    <s v="CENTRE"/>
    <s v="Yaounde"/>
    <s v="ZTE"/>
    <n v="7.154416821475146"/>
    <n v="31.32542454620427"/>
    <n v="5.695614425582066"/>
    <n v="5.086938872765979"/>
    <n v="1.770042347609956"/>
    <n v="7.35684496037759"/>
    <n v="8.398556214740049"/>
    <n v="22.66966866704905"/>
    <n v="0"/>
    <n v="0"/>
    <n v="3.566230920033218"/>
    <n v="0"/>
    <n v="4.460178550536051"/>
    <n v="0"/>
    <n v="0.1590888985911722"/>
    <n v="0"/>
    <n v="0"/>
    <n v="0"/>
    <n v="1.076471822003067"/>
    <n v="0"/>
    <n v="0"/>
    <n v="11.74029700399221"/>
    <n v="26.22530555056173"/>
    <n v="8.77368141698984"/>
    <m/>
    <n v="12.01686556346006"/>
    <m/>
    <n v="9.743089263853573"/>
    <m/>
    <n v="14.54639688613801"/>
    <m/>
    <m/>
    <n v="13.77324624107889"/>
    <n v="4.541203311331981"/>
    <n v="12.05515747660751"/>
    <n v="3.476734497036523"/>
    <m/>
    <n v="0"/>
    <n v="4.535208565639126"/>
    <n v="3.986271339732279"/>
    <n v="13.96635262560002"/>
    <n v="9.269157727725418"/>
    <x v="0"/>
    <m/>
    <x v="3"/>
    <x v="0"/>
    <s v="AKTIVCO Coupure ENEO &amp; Baisse de tension"/>
    <x v="0"/>
    <s v="{05-25-2026 ocm ran 22H}: Power status check Ongoing      ;      {05-25-2026 ticket}: INC-20260525-00024399...2026-05-25 21:38:39...Grid outage / Grid return awaited...user:OCM_NOC.CAMUSAT"/>
  </r>
  <r>
    <s v="Ngousso-Maetur"/>
    <s v="CTR_567"/>
    <s v="Yaounde"/>
    <s v="CAMUSAT"/>
    <s v="Good Grid no GE - 8h"/>
    <s v="CENTRE"/>
    <s v="Yaounde"/>
    <s v="ZTE"/>
    <n v="0"/>
    <n v="0"/>
    <n v="0"/>
    <n v="0"/>
    <n v="0"/>
    <n v="0"/>
    <n v="0"/>
    <n v="0"/>
    <n v="0"/>
    <n v="0"/>
    <n v="0"/>
    <n v="0"/>
    <n v="13.86855689960706"/>
    <n v="13.86855689960706"/>
    <n v="13.86855689960706"/>
    <n v="38.87815217174182"/>
    <n v="1.830021715991359"/>
    <n v="0"/>
    <n v="0"/>
    <n v="0"/>
    <n v="0"/>
    <n v="0"/>
    <n v="0.2701122611169611"/>
    <n v="0"/>
    <m/>
    <n v="0"/>
    <m/>
    <n v="0"/>
    <m/>
    <n v="0"/>
    <m/>
    <m/>
    <n v="0"/>
    <n v="0"/>
    <n v="0"/>
    <n v="1.065431908524596"/>
    <m/>
    <n v="15.10003338726661"/>
    <n v="0"/>
    <n v="27.54062241806665"/>
    <n v="0"/>
    <n v="9.245704599738039"/>
    <x v="0"/>
    <m/>
    <x v="3"/>
    <x v="0"/>
    <s v="AKTIVCO Coupure ENEO &amp; Baisse de tension"/>
    <x v="0"/>
    <s v="(05/25/2026 cell zte): 22/05/2026 : En attente feedback IHS || _x000a_We are facing PWC issue on this site ETR to replace 30/05/2026_x000a_21/05/2026 : Need BO RAN analysis || Power issue || Mail sent to IHS       ;      (05/25/2026 cell zte): 22/05/2026 : En attente feedback IHS || _x000a_We are facing PWC issue on this site ETR to replace 30/05/2026_x000a_21/05/2026 : Need BO RAN analysis || Power issue || Mail sent to IHS       ;      (05/25/2026 cell zte): 22/05/2026 : En attente feedback IHS || _x000a_We are facing PWC issue on this site ETR to replace 30/05/2026_x000a_21/05/2026 : Need BO RAN analysis || Power issue || Mail sent to IHS "/>
  </r>
  <r>
    <s v="Emia"/>
    <s v="CTR_323"/>
    <s v="Yaounde"/>
    <s v="IHS"/>
    <s v="Grid-Lithium"/>
    <s v="CENTRE"/>
    <s v="Yaounde"/>
    <s v="ZTE"/>
    <n v="7.074818866944608"/>
    <n v="8.78577360008903"/>
    <n v="9.245704599738039"/>
    <n v="9.245704599738039"/>
    <n v="9.245704599738039"/>
    <n v="5.498786501271283"/>
    <n v="9.245704599738039"/>
    <n v="9.245704599738039"/>
    <n v="6.477878795661367"/>
    <n v="9.245704599738039"/>
    <n v="9.245704599738039"/>
    <n v="9.245704599738039"/>
    <n v="14.16925632003836"/>
    <n v="9.245704599738039"/>
    <n v="9.245704599738039"/>
    <n v="9.245704599738039"/>
    <n v="6.558404174264411"/>
    <n v="9.245704599738039"/>
    <n v="9.245704599738039"/>
    <n v="9.245704599738039"/>
    <n v="9.245704599738039"/>
    <n v="9.245704599738039"/>
    <n v="9.664935950666747"/>
    <n v="6.026294612664904"/>
    <m/>
    <n v="9.245704599738039"/>
    <m/>
    <n v="0.9094284784823344"/>
    <m/>
    <n v="3.326848498857128"/>
    <m/>
    <m/>
    <n v="9.245704599738039"/>
    <n v="5.319757985121265"/>
    <n v="7.407978129913563"/>
    <n v="9.245704599738039"/>
    <m/>
    <n v="9.245704599738039"/>
    <n v="0"/>
    <n v="0"/>
    <n v="17.7294486141481"/>
    <n v="9.245704599738039"/>
    <x v="0"/>
    <m/>
    <x v="11"/>
    <x v="7"/>
    <s v="BSS Hardware issue"/>
    <x v="2"/>
    <s v="05-25-2026: hardware issue,  site with GPS issue (alarm : TDD down 09Apr 02pm)"/>
  </r>
  <r>
    <s v="Darrack-MTN-IHS"/>
    <s v="EXN_133"/>
    <s v="EXTREME-NORD"/>
    <s v="IHS"/>
    <s v="Solar-Gen"/>
    <s v="EXTREME-NORD"/>
    <s v="Darrack"/>
    <s v="NOKIA"/>
    <n v="9.296527525712303"/>
    <n v="9.296852165397356"/>
    <n v="9.296635738940653"/>
    <n v="9.29690627201153"/>
    <n v="9.29679805878318"/>
    <n v="9.29679805878318"/>
    <n v="9.29690627201153"/>
    <n v="9.296852165397356"/>
    <n v="9.296635738940653"/>
    <n v="9.296960378625705"/>
    <n v="9.297122698468232"/>
    <n v="0"/>
    <n v="9.296960378625705"/>
    <n v="9.244902021213758"/>
    <n v="9.244848515978804"/>
    <n v="9.24500903168366"/>
    <n v="9.244902021213758"/>
    <n v="9.24452748456909"/>
    <n v="9.244580989804041"/>
    <n v="9.244634495038994"/>
    <n v="13.35121478285436"/>
    <n v="9.24500903168366"/>
    <n v="9.244634495038994"/>
    <n v="9.245116042153564"/>
    <m/>
    <n v="9.244848515978804"/>
    <m/>
    <n v="4.621996216109785"/>
    <m/>
    <n v="9.244795010743852"/>
    <m/>
    <m/>
    <n v="9.244848515978804"/>
    <n v="9.244955526448708"/>
    <n v="9.245276557858421"/>
    <n v="9.245169547388516"/>
    <m/>
    <n v="9.244955526448708"/>
    <n v="32.3676906106495"/>
    <n v="13.77031120903332"/>
    <n v="0"/>
    <n v="9.244955526448708"/>
    <x v="1"/>
    <m/>
    <x v="2"/>
    <x v="1"/>
    <s v="no root cause"/>
    <x v="1"/>
    <s v=""/>
  </r>
  <r>
    <s v="Nkan"/>
    <s v="LIT_514"/>
    <s v="LITTORAL"/>
    <s v="IHS"/>
    <s v="Hybrid-Gen"/>
    <s v="LITTORAL"/>
    <s v="Nkan"/>
    <s v="NOKIA"/>
    <n v="0"/>
    <n v="0"/>
    <n v="0"/>
    <n v="0"/>
    <n v="0"/>
    <n v="0.9929868168594064"/>
    <n v="0"/>
    <n v="0"/>
    <n v="1.29557750488361"/>
    <n v="7.052693088720238"/>
    <n v="1.468548028403292"/>
    <n v="0"/>
    <n v="0"/>
    <n v="0.2798054821930319"/>
    <n v="3.699227099046037"/>
    <n v="0"/>
    <n v="0"/>
    <n v="0"/>
    <n v="0"/>
    <n v="0.3798693330822156"/>
    <n v="0"/>
    <n v="0"/>
    <n v="0.003210499889948891"/>
    <n v="0"/>
    <m/>
    <n v="0"/>
    <m/>
    <n v="0"/>
    <m/>
    <n v="6.04000643845935"/>
    <m/>
    <m/>
    <n v="9.245169547388516"/>
    <n v="9.244955526448708"/>
    <n v="9.245116042153564"/>
    <n v="9.245223052623469"/>
    <m/>
    <n v="9.245276557858421"/>
    <n v="32.36731592388763"/>
    <n v="13.77031120903332"/>
    <n v="0"/>
    <n v="9.244902021213758"/>
    <x v="0"/>
    <m/>
    <x v="8"/>
    <x v="4"/>
    <s v="SPARE-ISSUE"/>
    <x v="3"/>
    <s v="{05-25-2026 ocm ran 22H}: 23/05/2026 ODU MPT 7/8 GHz  3DB20859ACAA07 pas disponible au WH point tranmis a OCM _x000a_22/05/2026 ODU MPT 7/8 GHz  3DB20859ACAA07 pas disponible au WH point tranmis a OCM _x000a_21/05/2026 ODU MPT 7/8 GHz  3DB20859ACAA07 pas disponible au WH point tranmis a OCM _x000a_15/05/2026 ODU MPT 7/8 GHz  3DB20859ACAA07 pas disponible au WH point tranmis a OCM _x000a_15/05/2026 Retour FME : nous sommes à 7km de Nkan calée dans une flaque d’eau_x000a_15/05/2026 FME en route ETA=12H UTC  _x000a_14/05/2026 FME activé manage avec le level 0 _x000a_Besoin d'un fme sur site pour verifier le status du MPR et la chaine antennaire de l Odu 3/1      ;      {05-25-2026 ocm ran 17H}: 23/05/2026 ODU MPT 7/8 GHz  3DB20859ACAA07 pas disponible au WH point tranmis a OCM _x000a_22/05/2026 ODU MPT 7/8 GHz  3DB20859ACAA07 pas disponible au WH point tranmis a OCM _x000a_21/05/2026 ODU MPT 7/8 GHz  3DB20859ACAA07 pas disponible au WH point tranmis a OCM _x000a_15/05/2026 ODU MPT 7/8 GHz  3DB20859ACAA07 pas disponible au WH point tranmis a OCM _x000a_15/05/2026 Retour FME : nous sommes à 7km de Nkan calée dans une flaque d’eau_x000a_15/05/2026 FME en route ETA=12H UTC  _x000a_14/05/2026 FME activé manage avec le level 0 _x000a_Besoin d'un fme sur site pour verifier le status du MPR et la chaine antennaire de l Odu 3/1"/>
  </r>
  <r>
    <s v="Mantoum-Ville"/>
    <s v="OST_201"/>
    <s v="OUEST"/>
    <s v="IHS"/>
    <s v="Hybrid-Gen"/>
    <s v="OUEST"/>
    <s v="Mantoum"/>
    <s v="NOKIA"/>
    <n v="0"/>
    <n v="0"/>
    <n v="0"/>
    <n v="0"/>
    <n v="0"/>
    <n v="0"/>
    <n v="2.767079364010929"/>
    <n v="4.135563442238086"/>
    <n v="2.763138601864482"/>
    <n v="0"/>
    <n v="0"/>
    <n v="20.54836445197798"/>
    <n v="0"/>
    <n v="0"/>
    <n v="0"/>
    <n v="0.008757023453841448"/>
    <n v="1.212856665896191"/>
    <n v="0"/>
    <n v="0"/>
    <n v="0.02068869084817904"/>
    <n v="0.6863294838100288"/>
    <n v="0.02885715671754672"/>
    <n v="0.06468782905719486"/>
    <n v="0.09714767159485563"/>
    <m/>
    <n v="0"/>
    <m/>
    <n v="0.01968992646240525"/>
    <m/>
    <n v="0"/>
    <m/>
    <m/>
    <n v="3.796767142363876"/>
    <n v="7.063475757134744"/>
    <n v="9.244152947924425"/>
    <n v="7.333195646528723"/>
    <m/>
    <n v="9.245169547388516"/>
    <n v="32.3643184297927"/>
    <n v="13.77031120903332"/>
    <n v="0"/>
    <n v="9.24447397933414"/>
    <x v="0"/>
    <m/>
    <x v="8"/>
    <x v="4"/>
    <s v="Warehouse HUAWEI"/>
    <x v="3"/>
    <s v="(05/25/2026 cell nokia): 25/05/2026 : Expedition spare ce jour  de  bafoussam pour foumban _x000a_23/05/2025 : Spare attendu de OCM SPMS_x000a_21/05/2026 : Relance faite SPMS_x000a_20/05/2026 : Commande de la FRMF passer au  SPMS HW || En attente du feedback du SPMS _x000a_19/05/2026: closed after reset but check SFP of FRMF||FRMF faulty. Cde en cour_x000a_17/05/2026 : Need BO RAN analysis       ;      (05/25/2026 cell nokia): 25/05/2026 : Expedition spare ce jour  de  bafoussam pour foumban _x000a_23/05/2025 : Spare attendu de OCM SPMS_x000a_21/05/2026 : Relance faite SPMS_x000a_20/05/2026 : Commande de la FRMF passer au  SPMS HW || En attente du feedback du SPMS _x000a_19/05/2026: closed after reset but check SFP of FRMF||FRMF faulty. Cde en cour_x000a_17/05/2026 : Need BO RAN analysis       ;      (05/25/2026 cell nokia): 25/05/2026 : Expedition spare ce jour  de  bafoussam pour foumban _x000a_23/05/2025 : Spare attendu de OCM SPMS_x000a_21/05/2026 : Relance faite SPMS_x000a_20/05/2026 : Commande de la FRMF passer au  SPMS HW || En attente du feedback du SPMS _x000a_19/05/2026: closed after reset but check SFP of FRMF||FRMF faulty. Cde en cour_x000a_17/05/2026 : Need BO RAN analysis "/>
  </r>
  <r>
    <s v="Tatum"/>
    <s v="NRO_073"/>
    <s v="NORD-OUEST"/>
    <s v="IHS"/>
    <s v="Hybrid-Gen"/>
    <s v="NORD-OUEST"/>
    <s v="Tatum"/>
    <s v="NOKIA"/>
    <n v="9.296473419098129"/>
    <n v="9.296365205869778"/>
    <n v="9.296311099255602"/>
    <n v="9.296419312483954"/>
    <n v="9.296365205869778"/>
    <n v="9.296473419098129"/>
    <n v="9.296365205869778"/>
    <n v="9.296527525712303"/>
    <n v="9.296365205869778"/>
    <n v="9.296473419098129"/>
    <n v="9.296473419098129"/>
    <n v="0.7847434459654198"/>
    <n v="9.296419312483954"/>
    <n v="9.244313463629283"/>
    <n v="9.244420474099186"/>
    <n v="9.244366968864234"/>
    <n v="9.24447397933414"/>
    <n v="9.24452748456909"/>
    <n v="9.24452748456909"/>
    <n v="9.24452748456909"/>
    <n v="5.788196317127667"/>
    <n v="9.244366968864234"/>
    <n v="9.244420474099186"/>
    <n v="9.244259958394329"/>
    <m/>
    <n v="9.24447397933414"/>
    <m/>
    <n v="9.244580989804041"/>
    <m/>
    <n v="9.244580989804041"/>
    <m/>
    <m/>
    <n v="9.244580989804041"/>
    <n v="9.24447397933414"/>
    <n v="9.24452748456909"/>
    <n v="9.244420474099186"/>
    <m/>
    <n v="9.24452748456909"/>
    <n v="32.36356905626896"/>
    <n v="13.77031120903332"/>
    <n v="0"/>
    <n v="9.244366968864234"/>
    <x v="1"/>
    <m/>
    <x v="5"/>
    <x v="2"/>
    <s v="ODU HS"/>
    <x v="2"/>
    <s v="{05-25-2026 ocm ran 22H}: 24/05/2026 FME Donald est sur place et travaille avec BO Dubois | après l'intervention chez Tatum, BO a demandé à FME de vérifier le directeur MAH de Tatum, mais il faut également remplacer à nouveau la radio là-bas _x000a_23/05/2026 Donald fme sur site travaux en cours _x000a_22.05.26: ODU to be replaced. Access issue due to insecurity PLAN FOR 23/05/2026_x000a_21.05.26: ODU to be replaced. Access issue due to insecurity_x000a_18.05.2026: spare already in BDA waiting for access for gosh town to end_x000a_16.05.26: ODU to be replaced. Access issue due to insecurity_x000a_15/05/2026 Access not granted for now we keep trying_x000a_14/05/2026 ODU  3DB20858AC/AB et 3DB20859AC/AB MPT 8Ghz recu red negociation d'accès en cours plan for 15/05/2026_x000a_13/05/2026 ODU 3DB20858AC/AB et 3DB20859AC/AB MPT 8Ghz ETD 13 MAY en attente des ODU ce jour a bamenda_x000a_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05-25-2026 ocm ran 17H}: 24/05/2026 FME Donald est sur place et travaille avec BO Dubois | après l'intervention chez Tatum, BO a demandé à FME de vérifier le directeur MAH de Tatum, mais il faut également remplacer à nouveau la radio là-bas _x000a_23/05/2026 Donald fme sur site travaux en cours _x000a_22.05.26: ODU to be replaced. Access issue due to insecurity PLAN FOR 23/05/2026_x000a_21.05.26: ODU to be replaced. Access issue due to insecurity_x000a_18.05.2026: spare already in BDA waiting for access for gosh town to end_x000a_16.05.26: ODU to be replaced. Access issue due to insecurity_x000a_15/05/2026 Access not granted for now we keep trying_x000a_14/05/2026 ODU  3DB20858AC/AB et 3DB20859AC/AB MPT 8Ghz recu red negociation d'accès en cours plan for 15/05/2026_x000a_13/05/2026 ODU 3DB20858AC/AB et 3DB20859AC/AB MPT 8Ghz ETD 13 MAY en attente des ODU ce jour a bamenda_x000a_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r>
  <r>
    <s v="Baba-Babungo-IHS"/>
    <s v="NRO_085"/>
    <s v="NORD-OUEST"/>
    <s v="IHS"/>
    <s v="Grid-Hybrid-Gen"/>
    <s v="NORD-OUEST"/>
    <s v="Baba-Babungo"/>
    <s v="NOKIA"/>
    <n v="9.296473419098129"/>
    <n v="9.296365205869778"/>
    <n v="9.296311099255602"/>
    <n v="9.296419312483954"/>
    <n v="9.296365205869778"/>
    <n v="9.296473419098129"/>
    <n v="9.296365205869778"/>
    <n v="9.296527525712303"/>
    <n v="9.296365205869778"/>
    <n v="9.296473419098129"/>
    <n v="9.296473419098129"/>
    <n v="0.03932634768985777"/>
    <n v="9.296419312483954"/>
    <n v="9.244313463629283"/>
    <n v="9.244420474099186"/>
    <n v="9.244366968864234"/>
    <n v="9.24447397933414"/>
    <n v="9.24452748456909"/>
    <n v="9.24452748456909"/>
    <n v="9.24452748456909"/>
    <n v="0"/>
    <n v="9.244366968864234"/>
    <n v="9.244420474099186"/>
    <n v="9.244259958394329"/>
    <m/>
    <n v="9.24447397933414"/>
    <m/>
    <n v="9.244580989804041"/>
    <m/>
    <n v="9.244580989804041"/>
    <m/>
    <m/>
    <n v="9.244580989804041"/>
    <n v="9.24447397933414"/>
    <n v="9.24452748456909"/>
    <n v="9.244420474099186"/>
    <m/>
    <n v="9.24452748456909"/>
    <n v="32.36356905626896"/>
    <n v="13.77031120903332"/>
    <n v="0"/>
    <n v="9.244366968864234"/>
    <x v="1"/>
    <m/>
    <x v="13"/>
    <x v="8"/>
    <s v="ACCESS-ISSUE"/>
    <x v="6"/>
    <s v="{05-25-2026 ocm ran 22H}: 24/05/2026  MPR down. Access issue due to insecurity |No access for this site for now _x000a_23.05.26: MPR down. Access issue due to insecurity_x000a_22.05.26: MPR down. Access issue due to insecurity_x000a_21.05.26: MPR down. Access issue due to insecurity_x000a_18.05.26: MPR down. Access issue due to insecurity_x000a_16.05.26: MPR down. Access issue due to insecurity_x000a_15/05/2026 Access not granted for now we keep trying_x000a_14/05/2026 Access not granted for now we keep trying_x000a_13/05/2026 Access not granted for now we keep trying_x000a_12.05.2026: Access not granted for now we keep trying_x000a_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      ;      {05-25-2026 ocm ran 17H}: 24/05/2026  MPR down. Access issue due to insecurity |No access for this site for now _x000a_23.05.26: MPR down. Access issue due to insecurity_x000a_22.05.26: MPR down. Access issue due to insecurity_x000a_21.05.26: MPR down. Access issue due to insecurity_x000a_18.05.26: MPR down. Access issue due to insecurity_x000a_16.05.26: MPR down. Access issue due to insecurity_x000a_15/05/2026 Access not granted for now we keep trying_x000a_14/05/2026 Access not granted for now we keep trying_x000a_13/05/2026 Access not granted for now we keep trying_x000a_12.05.2026: Access not granted for now we keep trying_x000a_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
  </r>
  <r>
    <s v="Alou-IHS"/>
    <s v="SUO_133"/>
    <s v="SUD-OUEST"/>
    <s v="IHS"/>
    <s v="Grid-Gen"/>
    <s v="SUD-OUEST"/>
    <s v="Alou"/>
    <s v="NOKIA"/>
    <n v="2.512892808016797"/>
    <n v="3.222714207800984"/>
    <n v="2.187996022643325"/>
    <n v="0.802309246518085"/>
    <n v="0.07615588951067853"/>
    <n v="1.429731477081799"/>
    <n v="4.774107410832614"/>
    <n v="9.296527525712303"/>
    <n v="9.296365205869778"/>
    <n v="9.235997258930784"/>
    <n v="7.162003695249487"/>
    <n v="0"/>
    <n v="6.852121829084845"/>
    <n v="7.896070718225737"/>
    <n v="9.244420474099186"/>
    <n v="9.244366968864234"/>
    <n v="9.24447397933414"/>
    <n v="9.24452748456909"/>
    <n v="9.24452748456909"/>
    <n v="9.24452748456909"/>
    <n v="6.163410694769043"/>
    <n v="9.244366968864234"/>
    <n v="9.244420474099186"/>
    <n v="9.244259958394329"/>
    <m/>
    <n v="9.24447397933414"/>
    <m/>
    <n v="9.244580989804041"/>
    <m/>
    <n v="9.244580989804041"/>
    <m/>
    <m/>
    <n v="4.621728689935023"/>
    <n v="9.24447397933414"/>
    <n v="9.24452748456909"/>
    <n v="9.244420474099186"/>
    <m/>
    <n v="9.24452748456909"/>
    <n v="32.36356905626896"/>
    <n v="13.77031120903332"/>
    <n v="0"/>
    <n v="9.244366968864234"/>
    <x v="1"/>
    <m/>
    <x v="8"/>
    <x v="4"/>
    <s v="Warehouse HUAWEI"/>
    <x v="3"/>
    <s v="{05-25-2026 ocm ran 22H}: 22.05.26: ODUs MPT 7/8 G faulty 3DB20858AB 3DB20859AB. recu ce jour expedition en cours vers bamenda ETD=23/05/2026_x000a_21.05.26: ODUs MPT 7/8 G faulty 3DB20858AB 3DB20859AB. Commande passée à OCM_x000a_16.05.26: ODUs MPT 7/8 G faulty 3DB20858AB 3DB20859AB. Commande passée à OCM_x000a_15/05/2026 ODU 7/8 MPT GHZ  3DB20858AB  Faulty commande en cours UPDATE ASAP _x000a_14/05/2026 Access not granted for now we keep trying_x000a_13/05/2026 FME on the way to site ETA12AM_x000a_13.05.2026: Access not granted for now we keep trying_x000a_12.05.2026: Access not granted for now we keep trying_x000a_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05-25-2026 ocm ran 17H}: 22.05.26: ODUs MPT 7/8 G faulty 3DB20858AB 3DB20859AB. recu ce jour expedition en cours vers bamenda ETD=23/05/2026_x000a_21.05.26: ODUs MPT 7/8 G faulty 3DB20858AB 3DB20859AB. Commande passée à OCM_x000a_16.05.26: ODUs MPT 7/8 G faulty 3DB20858AB 3DB20859AB. Commande passée à OCM_x000a_15/05/2026 ODU 7/8 MPT GHZ  3DB20858AB  Faulty commande en cours UPDATE ASAP _x000a_14/05/2026 Access not granted for now we keep trying_x000a_13/05/2026 FME on the way to site ETA12AM_x000a_13.05.2026: Access not granted for now we keep trying_x000a_12.05.2026: Access not granted for now we keep trying_x000a_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r>
  <r>
    <s v="Eyumojock"/>
    <s v="SUO_016"/>
    <s v="SUD-OUEST"/>
    <s v="IHS"/>
    <s v="Solar-Gen"/>
    <s v="SUD-OUEST"/>
    <s v="Eyumojock"/>
    <s v="NOKIA"/>
    <n v="9.296473419098129"/>
    <n v="9.296365205869778"/>
    <n v="9.296311099255602"/>
    <n v="9.296419312483954"/>
    <n v="9.296365205869778"/>
    <n v="9.296473419098129"/>
    <n v="9.296365205869778"/>
    <n v="9.296527525712303"/>
    <n v="9.296365205869778"/>
    <n v="9.296473419098129"/>
    <n v="9.296473419098129"/>
    <n v="0"/>
    <n v="9.296419312483954"/>
    <n v="9.244313463629283"/>
    <n v="9.244420474099186"/>
    <n v="9.244366968864234"/>
    <n v="9.24447397933414"/>
    <n v="9.24452748456909"/>
    <n v="9.24452748456909"/>
    <n v="9.24452748456909"/>
    <n v="0"/>
    <n v="9.244366968864234"/>
    <n v="9.244420474099186"/>
    <n v="9.244259958394329"/>
    <m/>
    <n v="9.24447397933414"/>
    <m/>
    <n v="9.244580989804041"/>
    <m/>
    <n v="9.244580989804041"/>
    <m/>
    <m/>
    <n v="4.621728689935023"/>
    <n v="9.24447397933414"/>
    <n v="9.24452748456909"/>
    <n v="9.244420474099186"/>
    <m/>
    <n v="9.24452748456909"/>
    <n v="32.36356905626896"/>
    <n v="13.77031120903332"/>
    <n v="0"/>
    <n v="9.244366968864234"/>
    <x v="2"/>
    <m/>
    <x v="9"/>
    <x v="5"/>
    <s v="EXCLU"/>
    <x v="4"/>
    <s v=""/>
  </r>
  <r>
    <s v="Misaje"/>
    <s v="NRO_237"/>
    <s v="NORD-OUEST"/>
    <s v="IHS"/>
    <s v="Solar-Gen"/>
    <s v="NORD-OUEST"/>
    <s v="Misaje"/>
    <s v="NOKIA"/>
    <n v="1.37721017249455"/>
    <n v="1.752978986747783"/>
    <n v="1.749434796247824"/>
    <n v="0.3277161562665524"/>
    <n v="2.636815939767168"/>
    <n v="0.5396473636077308"/>
    <n v="0.4438227263035963"/>
    <n v="1.81566537125674"/>
    <n v="1.973395876794328"/>
    <n v="1.35639020970917"/>
    <n v="2.598539516513687"/>
    <n v="0"/>
    <n v="0.2995065701457825"/>
    <n v="1.307008044333724"/>
    <n v="0.2666522559233863"/>
    <n v="0.08571538639340469"/>
    <n v="0.1051556217593662"/>
    <n v="0.07899156186774653"/>
    <n v="0.8392831154600167"/>
    <n v="0.01414321710569492"/>
    <n v="0"/>
    <n v="0.03904098643677953"/>
    <n v="0.2872161012233435"/>
    <n v="0.3244379096717489"/>
    <m/>
    <n v="0.2919245618991362"/>
    <m/>
    <n v="0.0678446379193741"/>
    <m/>
    <n v="1.34628088678863"/>
    <m/>
    <m/>
    <n v="0.1137699645866685"/>
    <n v="0.395475026609937"/>
    <n v="0.3488362968099464"/>
    <n v="1.380613412549617"/>
    <m/>
    <n v="8.985811838496947"/>
    <n v="32.36356905626896"/>
    <n v="13.77031120903332"/>
    <n v="0"/>
    <n v="9.244366968864234"/>
    <x v="1"/>
    <m/>
    <x v="4"/>
    <x v="0"/>
    <s v="Defaut GE &amp; Power Cabinet"/>
    <x v="0"/>
    <s v="{05-25-2026 ocm ran 22H}: 25.05.26: IHS: 36v : FME Roland is managing with level 0._x000a_24/05/2026 IHS: Coord Jackson is managing with level 0 escalade L2 IHS _x000a_23/05/2026 IHS: Coord Jackson is managing with level 0      ;      {05-25-2026 ocm ran 17H}: 25.05.26: IHS: 36v : FME Roland is managing with level 0._x000a_24/05/2026 IHS: Coord Jackson is managing with level 0 escalade L2 IHS _x000a_23/05/2026 IHS: Coord Jackson is managing with level 0"/>
  </r>
  <r>
    <s v="Bafanji"/>
    <s v="NRO_051"/>
    <s v="NORD-OUEST"/>
    <s v="IHS"/>
    <s v="Gen Only"/>
    <s v="NORD-OUEST"/>
    <s v="Bafanji"/>
    <s v="NOKIA"/>
    <n v="0.00346282330721553"/>
    <n v="0.1553658512931591"/>
    <n v="0"/>
    <n v="0"/>
    <n v="2.584635206548853"/>
    <n v="3.88993688501933"/>
    <n v="0"/>
    <n v="0"/>
    <n v="0.6688186559354693"/>
    <n v="0"/>
    <n v="0.755586452076798"/>
    <n v="0"/>
    <n v="0"/>
    <n v="0"/>
    <n v="0"/>
    <n v="0"/>
    <n v="0"/>
    <n v="0.1044600537049878"/>
    <n v="0"/>
    <n v="4.632447572003778"/>
    <n v="0.01392919616588616"/>
    <n v="0"/>
    <n v="0.03506376397200046"/>
    <n v="0"/>
    <m/>
    <n v="0"/>
    <m/>
    <n v="0"/>
    <m/>
    <n v="0"/>
    <m/>
    <m/>
    <n v="0.3187485196884997"/>
    <n v="0.2264341543176585"/>
    <n v="0"/>
    <n v="2.123747620800553"/>
    <m/>
    <n v="8.078933776213999"/>
    <n v="32.36356905626896"/>
    <n v="13.77031120903332"/>
    <n v="0"/>
    <n v="9.244366968864234"/>
    <x v="1"/>
    <m/>
    <x v="5"/>
    <x v="2"/>
    <s v="MPR ISSUE"/>
    <x v="2"/>
    <s v="{05-25-2026 ocm ran 22H}: 25.05.26: Besoin d'un FME sur site pour vérifier le statut du MPR; CM-20260524-00008007; FME Uche activé pour investigations, update ASAP      ;      {05-25-2026 ocm ran 17H}: 25.05.26: Besoin d'un FME sur site pour vérifier le statut du MPR; CM-20260524-00008007; FME Uche activé pour investigations, update ASAP"/>
  </r>
  <r>
    <s v="Bangolan"/>
    <s v="NRO_050"/>
    <s v="NORD-OUEST"/>
    <s v="IHS"/>
    <s v="Hybrid-Gen"/>
    <s v="NORD-OUEST"/>
    <s v="Bangolan"/>
    <s v="NOKIA"/>
    <n v="2.031342272008033"/>
    <n v="2.709360393292726"/>
    <n v="8.288157955750354"/>
    <n v="8.985151350897246"/>
    <n v="8.764181045999658"/>
    <n v="9.185791355824216"/>
    <n v="7.340606621745849"/>
    <n v="0.3000797215233643"/>
    <n v="0.7338426734942517"/>
    <n v="6.783522320113339"/>
    <n v="9.296473419098129"/>
    <n v="5.879583258426005"/>
    <n v="9.229407288964428"/>
    <n v="9.081354353043235"/>
    <n v="9.139229182183186"/>
    <n v="8.887380041263237"/>
    <n v="6.599050317749755"/>
    <n v="0.09727251714307732"/>
    <n v="0.3140043888560725"/>
    <n v="1.231886694460852"/>
    <n v="0"/>
    <n v="0.8053786315786469"/>
    <n v="0.04455202563685483"/>
    <n v="0"/>
    <m/>
    <n v="3.245324355868312"/>
    <m/>
    <n v="0"/>
    <m/>
    <n v="4.076742201790356"/>
    <m/>
    <m/>
    <n v="5.998953437604336"/>
    <n v="1.59777332614223"/>
    <n v="9.24452748456909"/>
    <n v="9.244420474099186"/>
    <m/>
    <n v="7.803988208873023"/>
    <n v="32.36356905626896"/>
    <n v="13.77031120903332"/>
    <n v="0"/>
    <n v="9.244366968864234"/>
    <x v="1"/>
    <m/>
    <x v="13"/>
    <x v="8"/>
    <s v="ACCESS-ISSUE"/>
    <x v="6"/>
    <s v="{05-25-2026 ocm ran 22H}: 22/05/2026 Intevenion planned 24.05.2025 while waiting acces to be granted by local resident_x000a_22.05.26: MRBTS_2 Down. Problème d'accès du à l'insécurité_x000a_21.05.26: MRBTS_2 Down. Problème d'accès du à l'insécurité_x000a_18.05.2026: SM faulty alrady at BDA WH just watingr for access to be granted for intervention to be done _x000a_16.05.26: MRBTS_2 Down. Problème d'accès du à l'insécurité_x000a_15/05/2026 Access not granted for now we keep trying_x000a_14/05/2026 Access not granted for now we keep trying_x000a_13/05/2026 Access not granted for now we keep trying_x000a_12.05.2026: RM Activated to send FME on the site. No ETA Site under NOSO AREA_x000a_12.05.2026: MRBTS_2 Down. Need FME on the site to check his status      ;      {05-25-2026 ocm ran 17H}: 22/05/2026 Intevenion planned 24.05.2025 while waiting acces to be granted by local resident_x000a_22.05.26: MRBTS_2 Down. Problème d'accès du à l'insécurité_x000a_21.05.26: MRBTS_2 Down. Problème d'accès du à l'insécurité_x000a_18.05.2026: SM faulty alrady at BDA WH just watingr for access to be granted for intervention to be done _x000a_16.05.26: MRBTS_2 Down. Problème d'accès du à l'insécurité_x000a_15/05/2026 Access not granted for now we keep trying_x000a_14/05/2026 Access not granted for now we keep trying_x000a_13/05/2026 Access not granted for now we keep trying_x000a_12.05.2026: RM Activated to send FME on the site. No ETA Site under NOSO AREA_x000a_12.05.2026: MRBTS_2 Down. Need FME on the site to check his status"/>
  </r>
  <r>
    <s v="Mbonso"/>
    <s v="NRO_057"/>
    <s v="NORD-OUEST"/>
    <s v="IHS"/>
    <s v="Gen Only"/>
    <s v="NORD-OUEST"/>
    <s v="Mbonso"/>
    <s v="NOKIA"/>
    <n v="6.426604496629083"/>
    <n v="6.091504199503747"/>
    <n v="3.099527897941209"/>
    <n v="3.609677322618857"/>
    <n v="5.594802054097311"/>
    <n v="3.914318850028453"/>
    <n v="8.67212523671672"/>
    <n v="6.892140062597721"/>
    <n v="3.169676906216876"/>
    <n v="7.09503347245149"/>
    <n v="5.068398767808366"/>
    <n v="4.991341722900647"/>
    <n v="2.116828233200948"/>
    <n v="1.2452630031989"/>
    <n v="0.005796400453153663"/>
    <n v="0.02125941335433605"/>
    <n v="0.1230442053117144"/>
    <n v="0.0782424885784158"/>
    <n v="3.759117292035853"/>
    <n v="2.041296053739231"/>
    <n v="4.365563460062266"/>
    <n v="0.04096717489505831"/>
    <n v="0"/>
    <n v="0"/>
    <m/>
    <n v="1.434849885712818"/>
    <m/>
    <n v="1.389174250141967"/>
    <m/>
    <n v="0.7631808362796882"/>
    <m/>
    <m/>
    <n v="0"/>
    <n v="0.001426806265391782"/>
    <n v="0.6463075680657927"/>
    <n v="4.776929541453002"/>
    <m/>
    <n v="3.40874717849061"/>
    <n v="32.36356905626896"/>
    <n v="13.77031120903332"/>
    <n v="0"/>
    <n v="9.244366968864234"/>
    <x v="1"/>
    <m/>
    <x v="2"/>
    <x v="1"/>
    <s v="no root cause"/>
    <x v="1"/>
    <s v="{05-25-2026 ocm ran 22H}: Impacted by Ntem_G9U9U21_NRO_056      ;      {05-25-2026 ocm ran 17H}: Impacted by Ntem_G9U9U21_NRO_056"/>
  </r>
  <r>
    <s v="Mbang"/>
    <s v="EST_011"/>
    <s v="CENTRE"/>
    <s v="IHS"/>
    <s v="Solar-Gen"/>
    <s v="EST"/>
    <s v="Mbang"/>
    <s v="NOKIA"/>
    <n v="0.005885575844740715"/>
    <n v="0.3971336888934547"/>
    <n v="3.286184520293465"/>
    <n v="0.3238671871655923"/>
    <n v="0"/>
    <n v="0"/>
    <n v="0.1161777001595168"/>
    <n v="0"/>
    <n v="0"/>
    <n v="0.008418156965810917"/>
    <n v="0.09308127373848933"/>
    <n v="0"/>
    <n v="0.2020179321011436"/>
    <n v="0.40093256057506"/>
    <n v="0"/>
    <n v="0.3388129827955699"/>
    <n v="0.04728079261941663"/>
    <n v="0.002942787922370101"/>
    <n v="0.08109610110919913"/>
    <n v="0.1491725950466994"/>
    <n v="0"/>
    <n v="0.102034483053822"/>
    <n v="0.002140209398087672"/>
    <n v="0.1973629766603032"/>
    <m/>
    <n v="0"/>
    <m/>
    <n v="7.893859168514381"/>
    <m/>
    <n v="9.244099442689473"/>
    <m/>
    <m/>
    <n v="9.244152947924425"/>
    <n v="9.244206453159377"/>
    <n v="9.244152947924425"/>
    <n v="9.24447397933414"/>
    <m/>
    <n v="9.244688000273946"/>
    <n v="32.36169562245963"/>
    <n v="13.77031120903332"/>
    <n v="0"/>
    <n v="9.244099442689473"/>
    <x v="0"/>
    <m/>
    <x v="5"/>
    <x v="2"/>
    <s v="ODU HS"/>
    <x v="2"/>
    <s v="{05-25-2026 ocm ran 22H}: Impacted by Fio-MTN_EST_084 (TX issue, ODU fault)      ;      {05-25-2026 ocm ran 17H}: Impacted by Fio-MTN_EST_084 (TX issue, ODU fault)"/>
  </r>
  <r>
    <s v="Ngoura-IHS"/>
    <s v="EST_021"/>
    <s v="CENTRE"/>
    <s v="IHS"/>
    <s v="Gen Only"/>
    <s v="EST"/>
    <s v="Ngoura"/>
    <s v="NOKIA"/>
    <n v="0.009363416116632604"/>
    <n v="0"/>
    <n v="0"/>
    <n v="0.2627820439285113"/>
    <n v="0.003388664880305353"/>
    <n v="0"/>
    <n v="0.005528874278392683"/>
    <n v="0"/>
    <n v="0"/>
    <n v="0.05272049150622236"/>
    <n v="0.1148400692857124"/>
    <n v="0"/>
    <n v="0.2326764317287469"/>
    <n v="0.005796400453153663"/>
    <n v="1.182715383539792"/>
    <n v="0.130731124066512"/>
    <n v="0.002675261747609462"/>
    <n v="0.004119903091318555"/>
    <n v="0"/>
    <n v="0.02516529550584542"/>
    <n v="0"/>
    <n v="0.007134031326958395"/>
    <n v="0"/>
    <n v="0.006741659603975792"/>
    <m/>
    <n v="0.06397442592449898"/>
    <m/>
    <n v="0.01432156788886897"/>
    <m/>
    <n v="0.001337630873804731"/>
    <m/>
    <m/>
    <n v="0.006367122959310295"/>
    <n v="0.002675261747609462"/>
    <n v="0"/>
    <n v="0"/>
    <m/>
    <n v="8.454665371126577"/>
    <n v="32.36169562245963"/>
    <n v="13.77031120903332"/>
    <n v="0"/>
    <n v="9.244099442689473"/>
    <x v="0"/>
    <m/>
    <x v="5"/>
    <x v="2"/>
    <s v="MPR ISSUE"/>
    <x v="2"/>
    <s v="{05-25-2026 ocm ran 22H}: 25.05.26: Impacted by EST_056_N_Brigaya_x000a_24/05/2026 IHS: FME is managing with level 0      ;      {05-25-2026 ocm ran 17H}: 25.05.26: Impacted by EST_056_N_Brigaya_x000a_24/05/2026 IHS: FME is managing with level 0     ; {05-25-2026   groupe whatsapp   incident}:     EST_056_N_Brigaya -{ 25.05.26: Fiber between IDU to MPR down; Need FME at Brigaya to check interco IDU -- MPR; FME Frank activé pour investigatons, update ASAP } "/>
  </r>
  <r>
    <s v="Kaladi-MTN-IHS"/>
    <s v="ADM_100"/>
    <s v="ADAMAOUA"/>
    <s v="IHS"/>
    <s v="Solar-Gen"/>
    <s v="ADAMAOUA"/>
    <s v="Kaladi"/>
    <s v="NOKIA"/>
    <n v="0.001355465952122073"/>
    <n v="1.392153318881588"/>
    <n v="1.871648977274445"/>
    <n v="0.06645303458684046"/>
    <n v="0"/>
    <n v="1.938647061386998"/>
    <n v="0.7692388081526192"/>
    <n v="4.178054127028886"/>
    <n v="2.261770854050234"/>
    <n v="0.6258453656196046"/>
    <n v="1.822164131109844"/>
    <n v="0.515041391649759"/>
    <n v="0.6094297652117912"/>
    <n v="0.0008919087611408398"/>
    <n v="6.918278532603383"/>
    <n v="5.640982805868624"/>
    <n v="3.420132904815967"/>
    <n v="8.030834632530992"/>
    <n v="8.038831597456124"/>
    <n v="4.056558291041212"/>
    <n v="0.2647617376217422"/>
    <n v="6.154368170701379"/>
    <n v="6.16308966335933"/>
    <n v="9.24370707096649"/>
    <m/>
    <n v="9.2280300371255"/>
    <m/>
    <n v="6.162982652889425"/>
    <m/>
    <n v="9.243493050026682"/>
    <m/>
    <m/>
    <n v="3.080938439016873"/>
    <n v="9.244063772532838"/>
    <n v="6.162839972262886"/>
    <n v="9.24384975159303"/>
    <m/>
    <n v="9.243778411279759"/>
    <n v="43.15142540835861"/>
    <n v="9.180207472688883"/>
    <n v="0"/>
    <n v="9.2439210919063"/>
    <x v="0"/>
    <m/>
    <x v="8"/>
    <x v="4"/>
    <s v="SPARE-ISSUE"/>
    <x v="3"/>
    <s v="{05-25-2026 ocm ran 22H}: 23.05.26: ODU MPT-MC 7-8 GHz 3DB20859AC (Kaladji) faulty, en attente de retour OCM _x000a_22.05.26: ODU MPT-MC 7-8 GHz 3DB20859AC (Kaladji) faulty, en attente de retour OCM _x000a_21.05.26: ODU MPT-MC 7-8 GHz 3DB20859AC (Kaladji) faulty, en attente de retour OCM _x000a_19.05.26: ODU MPT-MC 7-8 GHz 3DB20859AC (Kaladji) faulty, en attente de retour OCM _x000a_16.05.26: ODU 7-8G 3DB20859AC (Kaladji) faulty, commande passée à OCM, en parrallèle, cable Eth à remplacer sur le site de Gale, ETA à préciser_x000a_15/05/2026 Expedition de l ODU de TIBATI vers meiganga ETD=15/05/2026 _x000a_14/05/2026 Expedition de l ODU de TIBATI vers meiganga ETD=15/05/2026 _x000a_14/05/2026 Spare pas encore recu a Ngaoundere d'apres le retour du WH manager. Relance du Transporteur et SPM. ESCALADE KINGSLEY et FM MANAGER THEOPHILE_x000a_13/05/2026 Spare pas encore recu a Ngaoundere d'apres le retour du WH manager. Relance du Transporteur et SPM. Update ASAP_x000a_12.05.2026:Spare pas encore recu a Ngaoundere d'apres le retour du WH manager. Relance du Transporteur et SPM. Update ASAP_x000a_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05-25-2026 ocm ran 17H}: 23.05.26: ODU MPT-MC 7-8 GHz 3DB20859AC (Kaladji) faulty, en attente de retour OCM _x000a_22.05.26: ODU MPT-MC 7-8 GHz 3DB20859AC (Kaladji) faulty, en attente de retour OCM _x000a_21.05.26: ODU MPT-MC 7-8 GHz 3DB20859AC (Kaladji) faulty, en attente de retour OCM _x000a_19.05.26: ODU MPT-MC 7-8 GHz 3DB20859AC (Kaladji) faulty, en attente de retour OCM _x000a_16.05.26: ODU 7-8G 3DB20859AC (Kaladji) faulty, commande passée à OCM, en parrallèle, cable Eth à remplacer sur le site de Gale, ETA à préciser_x000a_15/05/2026 Expedition de l ODU de TIBATI vers meiganga ETD=15/05/2026 _x000a_14/05/2026 Expedition de l ODU de TIBATI vers meiganga ETD=15/05/2026 _x000a_14/05/2026 Spare pas encore recu a Ngaoundere d'apres le retour du WH manager. Relance du Transporteur et SPM. ESCALADE KINGSLEY et FM MANAGER THEOPHILE_x000a_13/05/2026 Spare pas encore recu a Ngaoundere d'apres le retour du WH manager. Relance du Transporteur et SPM. Update ASAP_x000a_12.05.2026:Spare pas encore recu a Ngaoundere d'apres le retour du WH manager. Relance du Transporteur et SPM. Update ASAP_x000a_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r>
  <r>
    <s v="Mandjou-MTN-IHS"/>
    <s v="EST_112"/>
    <s v="CENTRE"/>
    <s v="IHS"/>
    <s v="Grid-Gen"/>
    <s v="EST"/>
    <s v="Bertoua"/>
    <s v="ZTE"/>
    <n v="0"/>
    <n v="0"/>
    <n v="0"/>
    <n v="0"/>
    <n v="0.09570303025114632"/>
    <n v="1.348599446969892"/>
    <n v="0"/>
    <n v="0"/>
    <n v="0"/>
    <n v="0"/>
    <n v="0"/>
    <n v="0"/>
    <n v="0"/>
    <n v="0"/>
    <n v="0"/>
    <n v="0"/>
    <n v="0"/>
    <n v="0"/>
    <n v="0"/>
    <n v="0"/>
    <n v="0"/>
    <n v="0"/>
    <n v="0.4979910567783284"/>
    <n v="0.0004280418796175018"/>
    <m/>
    <n v="0"/>
    <m/>
    <n v="0"/>
    <m/>
    <n v="0.1093468651639544"/>
    <m/>
    <m/>
    <n v="0"/>
    <n v="1.585217431006783"/>
    <n v="13.41729374802031"/>
    <n v="0"/>
    <m/>
    <n v="3.515151255732195"/>
    <n v="5.09011965996427"/>
    <n v="9.836741060347961"/>
    <n v="9.697468026799923"/>
    <n v="9.086294669737153"/>
    <x v="0"/>
    <m/>
    <x v="5"/>
    <x v="2"/>
    <s v="IP &amp; VLAN"/>
    <x v="2"/>
    <s v="{05-25-2026 goupe whatsapp incident}:    impacted by    CTR_351_Z_Mimboman-Nodal(CTR-351)  ,Cause: Boucle ethernet  ,Action: Desactivation de la boucle      ;      {05-25-2026 ticket}: INC-20260525-00019546...Grid Outage"/>
  </r>
  <r>
    <s v="Ntem"/>
    <s v="NRO_056"/>
    <s v="NORD-OUEST"/>
    <s v="IHS"/>
    <s v="Hybrid-Gen"/>
    <s v="NORD-OUEST"/>
    <s v="Ntem"/>
    <s v="NOKIA"/>
    <n v="6.323362492750644"/>
    <n v="6.086652639766034"/>
    <n v="5.062432468966749"/>
    <n v="4.450550223952346"/>
    <n v="6.092278505419703"/>
    <n v="4.266247775497865"/>
    <n v="1.897132385165578"/>
    <n v="0.1451256748708003"/>
    <n v="0.842833189356063"/>
    <n v="1.723267392765573"/>
    <n v="2.969907583578434"/>
    <n v="0"/>
    <n v="2.083725078376349"/>
    <n v="1.239841139390411"/>
    <n v="0.004012892621414021"/>
    <n v="0.02054601022164006"/>
    <n v="0.001515981656978832"/>
    <n v="0.06376040498469034"/>
    <n v="0.07920558280755531"/>
    <n v="0.4572914080580313"/>
    <n v="0"/>
    <n v="0.04144872200962802"/>
    <n v="0"/>
    <n v="0"/>
    <m/>
    <n v="1.426271213042151"/>
    <m/>
    <n v="1.382878467495926"/>
    <m/>
    <n v="0.7619858860324227"/>
    <m/>
    <m/>
    <n v="0"/>
    <n v="0.003121138705544201"/>
    <n v="0"/>
    <n v="0.922733446907112"/>
    <m/>
    <n v="3.410280995225906"/>
    <n v="31.794045178231"/>
    <n v="13.53469650914111"/>
    <n v="0"/>
    <n v="9.083940439399258"/>
    <x v="1"/>
    <m/>
    <x v="4"/>
    <x v="0"/>
    <s v="Defaut GE &amp; Power Cabinet"/>
    <x v="0"/>
    <s v="{hourly IHS}: 25/05/2026 19:01 3:58:56 FME is managing with level 0      ;      {05-25-2026 ocm ran 22H}: 25.05.26: Need FME on site to check MPR status; Red zone today      ;      {05-25-2026 ocm ran 17H}: 25.05.26: Need FME on site to check MPR status; Red zone today      ;      {05-25-2026 ticket}: INC-20260525-00020562"/>
  </r>
  <r>
    <s v="Bafmeng"/>
    <s v="NRO_047"/>
    <s v="NORD-OUEST"/>
    <s v="IHS"/>
    <s v="Hybrid-Gen"/>
    <s v="NORD-OUEST"/>
    <s v="Bafmeng"/>
    <s v="NOKIA"/>
    <n v="0.595022379982528"/>
    <n v="6.224028877743582"/>
    <n v="4.578404231096886"/>
    <n v="3.870168956363137"/>
    <n v="9.290034732011275"/>
    <n v="9.296473419098129"/>
    <n v="9.296365205869778"/>
    <n v="9.296527525712303"/>
    <n v="9.296365205869778"/>
    <n v="9.296473419098129"/>
    <n v="4.628576912380355"/>
    <n v="1.665100746790399"/>
    <n v="0.04294053561744202"/>
    <n v="0.9615247422474481"/>
    <n v="0"/>
    <n v="0"/>
    <n v="0"/>
    <n v="0.1554148724577879"/>
    <n v="0.01458909406362985"/>
    <n v="0"/>
    <n v="5.797256536912904"/>
    <n v="2.227833137860875"/>
    <n v="0"/>
    <n v="0"/>
    <m/>
    <n v="3.623338840805518"/>
    <m/>
    <n v="7.038025100375821"/>
    <m/>
    <n v="4.711492639106477"/>
    <m/>
    <m/>
    <n v="0"/>
    <n v="0.03333376137521289"/>
    <n v="1.060348911204139"/>
    <n v="0.1940456520932676"/>
    <m/>
    <n v="3.711033920892154"/>
    <n v="31.34729366249815"/>
    <n v="13.70071588617903"/>
    <n v="0"/>
    <n v="9.075878983999795"/>
    <x v="1"/>
    <m/>
    <x v="4"/>
    <x v="0"/>
    <s v="Defaut GE &amp; Power Cabinet"/>
    <x v="0"/>
    <s v="{05-25-2026 ocm ran 17H}: P2 Incident at Fundong_L18L8_NRO_015; Power issue; IHS      ;      {05-25-2026 ticket}: INC-20260525-00024730...Rectifiers hanging. // Rectifiers reset...Rectifiers hanging. // Rectifiers reset...Grid Outage...Rectifiers hanging. // Rectifiers reset"/>
  </r>
  <r>
    <s v="Brigaya"/>
    <s v="EST_056"/>
    <s v="CENTRE"/>
    <s v="IHS"/>
    <s v="Solar-Gen"/>
    <s v="EST"/>
    <s v="Brigaya"/>
    <s v="NOKIA"/>
    <n v="0.002942787922370392"/>
    <n v="0"/>
    <n v="0.007134031326958427"/>
    <n v="0"/>
    <n v="0"/>
    <n v="0"/>
    <n v="0"/>
    <n v="0"/>
    <n v="0"/>
    <n v="0"/>
    <n v="0.00708052609200624"/>
    <n v="0"/>
    <n v="0.4668482677181797"/>
    <n v="0"/>
    <n v="0"/>
    <n v="0"/>
    <n v="0"/>
    <n v="0"/>
    <n v="0"/>
    <n v="0"/>
    <n v="0"/>
    <n v="0"/>
    <n v="0"/>
    <n v="0"/>
    <m/>
    <n v="0.004547944970935983"/>
    <m/>
    <n v="0"/>
    <m/>
    <n v="0"/>
    <m/>
    <m/>
    <n v="0"/>
    <n v="0"/>
    <n v="0.02113443280604201"/>
    <n v="0"/>
    <m/>
    <n v="3.568471005869882"/>
    <n v="30.55882781994253"/>
    <n v="13.77031120903332"/>
    <n v="0"/>
    <n v="8.986650087177862"/>
    <x v="0"/>
    <m/>
    <x v="5"/>
    <x v="2"/>
    <s v="MPR ISSUE"/>
    <x v="2"/>
    <s v="{05-25-2026 ocm ran 22H}: 25.05.26: Fiber between IDU to MPR down; Need FME at Brigaya to check interco IDU -- MPR; CM-20260524-00005101; FME Frank activé pour investigatons, ETA=21H      ;      {05-25-2026 ocm ran 17H}: 25.05.26: Fiber between IDU to MPR down; Need FME at Brigaya to check interco IDU -- MPR; CM-20260524-00005101; FME Frank activé pour investigatons, update ASAP"/>
  </r>
  <r>
    <s v="Maroua-Domayo-IHS"/>
    <s v="EXN_241"/>
    <s v="Maroua"/>
    <s v="IHS"/>
    <s v="Grid-Gen"/>
    <s v="EXTREME-NORD"/>
    <s v="Maroua"/>
    <s v="Huawei"/>
    <n v="0"/>
    <n v="0"/>
    <n v="0"/>
    <n v="0"/>
    <n v="0"/>
    <n v="0"/>
    <n v="0"/>
    <n v="0"/>
    <n v="0"/>
    <n v="0"/>
    <n v="0"/>
    <n v="0"/>
    <n v="0"/>
    <n v="0.2361186018440044"/>
    <n v="0"/>
    <n v="0"/>
    <n v="0"/>
    <n v="0"/>
    <n v="0"/>
    <n v="0"/>
    <n v="0"/>
    <n v="0"/>
    <n v="0"/>
    <n v="0"/>
    <m/>
    <n v="0"/>
    <m/>
    <n v="0"/>
    <m/>
    <n v="0.8966585624070793"/>
    <m/>
    <m/>
    <n v="0"/>
    <n v="16.00420051764531"/>
    <n v="15.09052729052344"/>
    <n v="5.808795832584261"/>
    <m/>
    <n v="0.2697555595506131"/>
    <n v="6.823670411535955"/>
    <n v="5.793305928713989"/>
    <n v="11.60793239608026"/>
    <n v="8.972703055933659"/>
    <x v="0"/>
    <m/>
    <x v="4"/>
    <x v="0"/>
    <s v="Defaut GE &amp; Power Cabinet"/>
    <x v="0"/>
    <s v="{hourly IHS}: 25/05/2026 11:21 0:39:00 25 FME is informed and managing"/>
  </r>
  <r>
    <s v="Diang-MTN"/>
    <s v="EST_076"/>
    <s v="CENTRE"/>
    <s v="IHS"/>
    <s v="Grid-Gen"/>
    <s v="EST"/>
    <s v="Diang"/>
    <s v="NOKIA"/>
    <n v="0"/>
    <n v="0"/>
    <n v="0"/>
    <n v="0"/>
    <n v="0"/>
    <n v="0.3789597440880282"/>
    <n v="0"/>
    <n v="0"/>
    <n v="2.192484012635796"/>
    <n v="0"/>
    <n v="0"/>
    <n v="0.005636844788977805"/>
    <n v="0.3809572728595765"/>
    <n v="0"/>
    <n v="0"/>
    <n v="1.010107495584035"/>
    <n v="1.667526317441565"/>
    <n v="2.96199630171816"/>
    <n v="9.78880056958106"/>
    <n v="5.185138813981561"/>
    <n v="0.01955006401979872"/>
    <n v="0"/>
    <n v="1.935230842985678"/>
    <n v="2.376613361184591"/>
    <m/>
    <n v="5.876640470503633"/>
    <m/>
    <n v="3.143682244537473"/>
    <m/>
    <n v="6.276395915909746"/>
    <m/>
    <m/>
    <n v="1.602481786818022"/>
    <n v="2.9511704091795"/>
    <n v="2.503733025023068"/>
    <n v="8.413537680526662"/>
    <m/>
    <n v="4.354059834547545"/>
    <n v="19.50369491105436"/>
    <n v="8.371626698763391"/>
    <n v="6.295849329727177"/>
    <n v="8.878790862418169"/>
    <x v="0"/>
    <m/>
    <x v="4"/>
    <x v="0"/>
    <s v="Defaut GE &amp; Power Cabinet"/>
    <x v="0"/>
    <s v="{hourly IHS}: 25/05/2026 06:37 10:42:45 FME is informed and managing      ;      {05-25-2026 ticket}: INC-20260525-00025554...Grid Outage"/>
  </r>
  <r>
    <s v="Garoua-Ngalbidje-IHS"/>
    <s v="NRD_085"/>
    <s v="Garoua"/>
    <s v="IHS"/>
    <s v="Grid-Gen"/>
    <s v="NORD"/>
    <s v="Garoua"/>
    <s v="Huawei"/>
    <n v="0"/>
    <n v="0"/>
    <n v="4.548658374068652"/>
    <n v="9.782362106308481"/>
    <n v="0"/>
    <n v="1.754436654082235"/>
    <n v="2.300457576769311"/>
    <n v="1.759751507420819"/>
    <n v="0.3270418311060887"/>
    <n v="0.5077468446179439"/>
    <n v="2.46600277371138"/>
    <n v="0.000802578524282816"/>
    <n v="0"/>
    <n v="3.012523078591343"/>
    <n v="1.546212114726638"/>
    <n v="6.262199193569098"/>
    <n v="6.174290092542655"/>
    <n v="9.269157727725414"/>
    <n v="13.83197715397808"/>
    <n v="10.45811538867629"/>
    <n v="0.001605157048565632"/>
    <n v="2.869753276660589"/>
    <n v="0"/>
    <n v="0"/>
    <m/>
    <n v="12.97327163823042"/>
    <m/>
    <n v="0.8374639374716422"/>
    <m/>
    <n v="10.52060950310045"/>
    <m/>
    <m/>
    <n v="15.34981365910174"/>
    <n v="13.70673923403333"/>
    <n v="0"/>
    <n v="8.76408614485508"/>
    <m/>
    <n v="4.660056273239107"/>
    <n v="15.4183602508303"/>
    <n v="19.66025369673354"/>
    <n v="0.133381268509216"/>
    <n v="8.871471151404119"/>
    <x v="0"/>
    <m/>
    <x v="4"/>
    <x v="0"/>
    <s v="Defaut GE &amp; Power Cabinet"/>
    <x v="0"/>
    <s v="{hourly IHS}: 25/05/2026 01:35 4:48:04 31.9V Merlin is going to site ETA ASAP."/>
  </r>
  <r>
    <s v="Garoua-Boulai-Frontiere"/>
    <s v="EST_080"/>
    <s v="CENTRE"/>
    <s v="IHS"/>
    <s v="Grid-Gen"/>
    <s v="EST"/>
    <s v="Garoua-Boulai"/>
    <s v="ZTE"/>
    <n v="0"/>
    <n v="0"/>
    <n v="0"/>
    <n v="0"/>
    <n v="0"/>
    <n v="0"/>
    <n v="0"/>
    <n v="0"/>
    <n v="0"/>
    <n v="0"/>
    <n v="0"/>
    <n v="0"/>
    <n v="12.66158580955561"/>
    <n v="6.587814218409796"/>
    <n v="0"/>
    <n v="0"/>
    <n v="0"/>
    <n v="0"/>
    <n v="0"/>
    <n v="0"/>
    <n v="0"/>
    <n v="0.5863281996843914"/>
    <n v="1.286248013172275"/>
    <n v="0"/>
    <m/>
    <n v="0.04344625078117621"/>
    <m/>
    <n v="0"/>
    <m/>
    <n v="0.9095354889522395"/>
    <m/>
    <m/>
    <n v="0.6684587353359985"/>
    <n v="0"/>
    <n v="0"/>
    <n v="7.04810191962515"/>
    <m/>
    <n v="0.6665147117994027"/>
    <n v="8.542233692632959"/>
    <n v="3.667461009618817"/>
    <n v="12.132189181972"/>
    <n v="8.777836990237789"/>
    <x v="0"/>
    <m/>
    <x v="2"/>
    <x v="1"/>
    <s v="no root cause"/>
    <x v="1"/>
    <s v="{05-25-2026  incident}:    impacted by   EST_055_Z_Gado-Badzere(EST-055)      ;      {hourly IHS}: 25/05/2026 03:44 2:39:39 48.3V FME is informed and managing"/>
  </r>
  <r>
    <s v="Yao+C649unde"/>
    <s v="CTR_375"/>
    <s v="Yaounde"/>
    <s v="IHS"/>
    <s v="grid only"/>
    <s v="CENTRE"/>
    <s v="Yaounde"/>
    <s v="ZTE"/>
    <n v="4.846611192439071"/>
    <n v="7.80284676386071"/>
    <n v="0.1580187938921276"/>
    <n v="0.1473534170583249"/>
    <n v="17.18293867872033"/>
    <n v="1.395024155830073"/>
    <n v="19.71453887048309"/>
    <n v="4.426327571889632"/>
    <n v="2.464344111427862"/>
    <n v="0"/>
    <n v="0.5916073828663391"/>
    <n v="0"/>
    <n v="0"/>
    <n v="0.6155955632032367"/>
    <n v="23.18590500894607"/>
    <n v="10.42981111938659"/>
    <n v="0"/>
    <n v="0"/>
    <n v="0"/>
    <n v="0.001052269620726409"/>
    <n v="0"/>
    <n v="42.24905331404292"/>
    <n v="55.06236213484461"/>
    <n v="22.37695936170395"/>
    <m/>
    <n v="0"/>
    <m/>
    <n v="0.02739468029552011"/>
    <m/>
    <n v="0"/>
    <m/>
    <m/>
    <n v="0"/>
    <n v="11.87281163589045"/>
    <n v="0"/>
    <n v="0.5892353174501243"/>
    <m/>
    <n v="0"/>
    <n v="4.448406132473252"/>
    <n v="3.79544202698981"/>
    <n v="13.0930815204425"/>
    <n v="8.737297857222353"/>
    <x v="0"/>
    <m/>
    <x v="5"/>
    <x v="2"/>
    <s v="IP &amp; VLAN"/>
    <x v="2"/>
    <s v="{05-25-2026 goupe whatsapp incident}:    impacted by    CTR_007_Z_Messamendongo(CTR-007)  ,Cause: Boucle etherneet  ,Action: Desactivation de la bouclee      ;      {hourly IHS}: 25/05/2026 20:45 2:14:52 FME isinformed and managing ETA ASAP      ;      {05-25-2026 ocm ran 22H}: Power status check Ongoing      ;      {05-25-2026 ticket}: INC-20260525-00023394...2026-05-26 00:49:42...user:OCM_NOC.IHS"/>
  </r>
  <r>
    <s v="Kumba-Mbongue-Road"/>
    <s v="SUO_237"/>
    <s v="SUD-OUEST"/>
    <s v="IHS"/>
    <s v="Grid-Gen"/>
    <s v="SUD-OUEST"/>
    <s v="Kumba"/>
    <s v="Huawei"/>
    <n v="0"/>
    <n v="0.0005350523495218772"/>
    <n v="0"/>
    <n v="0"/>
    <n v="0.03331592629689556"/>
    <n v="0.003299489488718243"/>
    <n v="0.00196185861491355"/>
    <n v="0"/>
    <n v="0.001872683223326571"/>
    <n v="0.002140209398087509"/>
    <n v="0.0002675261747609386"/>
    <n v="0"/>
    <n v="0"/>
    <n v="0.01016599464091567"/>
    <n v="0.0002675261747609386"/>
    <n v="0.0002675261747609386"/>
    <n v="0.000963094229139379"/>
    <n v="0.003014128235639908"/>
    <n v="0.002407735572848448"/>
    <n v="0.002140209398087509"/>
    <n v="0.8041836813313815"/>
    <n v="0.001605157048565632"/>
    <n v="0.003995057543096684"/>
    <n v="0.001605157048565631"/>
    <m/>
    <n v="0.0548963710609446"/>
    <m/>
    <n v="0.003745366446653141"/>
    <m/>
    <n v="0.001587321970248236"/>
    <m/>
    <m/>
    <n v="0.003210314097131264"/>
    <n v="0.00836465173085868"/>
    <n v="0.006242277411088567"/>
    <n v="0.01467826945521683"/>
    <m/>
    <n v="6.98427017432719"/>
    <n v="12.11112509941689"/>
    <n v="20.61721594908045"/>
    <n v="0"/>
    <n v="8.650904737852883"/>
    <x v="0"/>
    <m/>
    <x v="4"/>
    <x v="0"/>
    <s v="Defaut GE &amp; Power Cabinet"/>
    <x v="0"/>
    <s v="{hourly IHS}: 25/05/2026 15:15 7:44:37 FME is managing with level 0      ;      {05-25-2026 ocm ran 22H}: 25.05.26: IHS: Fme is informed and managing      ;      {05-25-2026 ocm ran 17H}: Power status check Ongoing"/>
  </r>
  <r>
    <s v="Logbong"/>
    <s v="LIT_508"/>
    <s v="LITTORAL"/>
    <s v="IHS"/>
    <s v="Grid-Gen"/>
    <s v="LITTORAL"/>
    <s v="Logbong"/>
    <s v="NOKIA"/>
    <n v="0"/>
    <n v="0"/>
    <n v="0"/>
    <n v="0"/>
    <n v="0"/>
    <n v="0.9954296212096666"/>
    <n v="0"/>
    <n v="0"/>
    <n v="0.006835445569606032"/>
    <n v="1.281353583207814"/>
    <n v="1.194030590521433"/>
    <n v="9.245704599738039"/>
    <n v="0.043904425846912"/>
    <n v="0"/>
    <n v="0.8569398429942383"/>
    <n v="0"/>
    <n v="0"/>
    <n v="0"/>
    <n v="0"/>
    <n v="0.3795661367508196"/>
    <n v="16.82208153912444"/>
    <n v="0"/>
    <n v="0"/>
    <n v="0"/>
    <m/>
    <n v="0"/>
    <m/>
    <n v="0"/>
    <m/>
    <n v="0"/>
    <m/>
    <m/>
    <n v="0"/>
    <n v="0"/>
    <n v="1.98315369842452"/>
    <n v="0"/>
    <m/>
    <n v="3.085789580319205"/>
    <n v="30.24209261057756"/>
    <n v="12.8795989092496"/>
    <n v="0"/>
    <n v="8.642397936037201"/>
    <x v="0"/>
    <m/>
    <x v="11"/>
    <x v="7"/>
    <s v="BSS Hardware issue"/>
    <x v="2"/>
    <s v="(05/25/2026 cell nokia): 25/05/2026: Closed after reset_x000a_24/05/2026 : Need BO RAN analysis       ;      (05/25/2026 cell nokia): 25/05/2026: Closed after reset||Check sfp and optical fiber of FXDB_x000a_24/05/2026 : Need BO RAN analysis       ;      (05/25/2026 cell nokia): 25/05/2026: Closed after reset||Check sfp and optical fiber of FXDB||Escalade faite au RM || En attente du feedback du RM _x000a_24/05/2026 : Need BO RAN analysis "/>
  </r>
  <r>
    <s v="Nkololoun"/>
    <s v="LIT_183"/>
    <s v="Douala"/>
    <s v="IHS"/>
    <s v="GridOnly"/>
    <s v="LITTORAL"/>
    <s v="Douala"/>
    <s v="ZTE"/>
    <n v="0"/>
    <n v="4.209649205411592"/>
    <n v="4.24644297198038"/>
    <n v="0"/>
    <n v="0"/>
    <n v="0.00444093450103159"/>
    <n v="27.1462554896371"/>
    <n v="18.56046662272103"/>
    <n v="23.18105386764374"/>
    <n v="7.86960346200273"/>
    <n v="60.07202161326133"/>
    <n v="23.11426149934509"/>
    <n v="0"/>
    <n v="0"/>
    <n v="19.15799525158874"/>
    <n v="0"/>
    <n v="0"/>
    <n v="0"/>
    <n v="0"/>
    <n v="0"/>
    <n v="23.11399397317033"/>
    <n v="0"/>
    <n v="0"/>
    <n v="0"/>
    <m/>
    <n v="0"/>
    <m/>
    <n v="0"/>
    <m/>
    <n v="30.31797447728954"/>
    <m/>
    <m/>
    <n v="0"/>
    <n v="0"/>
    <n v="25.9252838631065"/>
    <n v="0"/>
    <m/>
    <n v="0"/>
    <n v="3.852903972279175"/>
    <n v="3.280649142670625"/>
    <n v="13.29708646061108"/>
    <n v="8.585824537072712"/>
    <x v="0"/>
    <m/>
    <x v="1"/>
    <x v="0"/>
    <s v="Coupure ENEO &amp; Baisse de tension"/>
    <x v="0"/>
    <s v="{hourly IHS}: 25/05/2026 21:11 1:48:50 Grid outage, no space to deploy MDG, awaiting grid return      ;      {05-25-2026 ocm ran 22H}: Power status check Ongoing      ;      {05-25-2026 ticket}: INC-20260525-00024011...Grid outage, no space to deploy MDG, //  grid return...Grid outage, no space to deploy MDG, //  grid return...Grid Outage...Grid outage, no space to deploy MDG, //  grid return"/>
  </r>
  <r>
    <s v="Buea-Bomaka-III-MTN"/>
    <s v="SUO_169"/>
    <s v="SUD-OUEST"/>
    <s v="MTN sharing"/>
    <m/>
    <s v="SUD-OUEST"/>
    <s v="Buea"/>
    <s v="Huawei"/>
    <n v="4.622852299869019"/>
    <n v="5.864708803109296"/>
    <n v="8.998777940433689"/>
    <n v="4.622852299869019"/>
    <n v="4.622852299869019"/>
    <n v="5.384053442455476"/>
    <n v="4.622584773694258"/>
    <n v="4.622584773694258"/>
    <n v="4.622852299869019"/>
    <n v="4.754296827068226"/>
    <n v="1.216709042812748"/>
    <n v="0"/>
    <n v="0"/>
    <n v="0"/>
    <n v="0"/>
    <n v="0"/>
    <n v="8.266719315817859"/>
    <n v="0"/>
    <n v="0"/>
    <n v="0"/>
    <n v="0"/>
    <n v="0"/>
    <n v="0"/>
    <n v="0"/>
    <m/>
    <n v="1.088581840180577"/>
    <m/>
    <n v="0"/>
    <m/>
    <n v="0"/>
    <m/>
    <m/>
    <n v="2.153942408391905"/>
    <n v="18.49140919947607"/>
    <n v="0"/>
    <n v="0.6887015492262428"/>
    <m/>
    <n v="0"/>
    <n v="0"/>
    <n v="21.33224148365753"/>
    <n v="2.693275614128401"/>
    <n v="8.565991929983763"/>
    <x v="0"/>
    <m/>
    <x v="12"/>
    <x v="2"/>
    <s v="fiber AOF"/>
    <x v="2"/>
    <s v="{05-25-2026 groupe whatsapp incident}:    impacted by SUO_801_H_Buea-Agence  Cause:    coupure  AOF_SUO_801_SUO_023_Buea_Agence_Buea-Signal-Hill ;   Action:Routage du traffic sur le FH Buea-Agence&lt;&gt;Buea-Signal-Hill      ;      {05-25-2026 ocm ran 22H}: 25.05.26: Power alarms; MTN activated to check      ;      {05-25-2026 ocm ran 17H}: Power status check Ongoing"/>
  </r>
  <r>
    <s v="Ndokoti-New"/>
    <s v="LIT_217"/>
    <s v="Douala"/>
    <s v="IHS"/>
    <s v="Grid-Gen"/>
    <s v="LITTORAL"/>
    <s v="Douala"/>
    <s v="ZTE"/>
    <n v="0"/>
    <n v="0.3786208775999979"/>
    <n v="0"/>
    <n v="0.3840784115651211"/>
    <n v="0.560003624087914"/>
    <n v="0.1888199741462703"/>
    <n v="0.96268402233808"/>
    <n v="13.79957081667537"/>
    <n v="12.96014502058882"/>
    <n v="0.382562429908142"/>
    <n v="1.611863038012973"/>
    <n v="23.18590500894607"/>
    <n v="0"/>
    <n v="0.9123891014830229"/>
    <n v="1.323237965602555"/>
    <n v="13.94453433323917"/>
    <n v="18.5588971358291"/>
    <n v="5.380111890147332"/>
    <n v="0.1891766757126179"/>
    <n v="3.758600074764649"/>
    <n v="42.24905331404292"/>
    <n v="7.080115885204875"/>
    <n v="0.7792502418436612"/>
    <n v="1.836549354655526"/>
    <m/>
    <n v="0"/>
    <m/>
    <n v="1.26265220455836"/>
    <m/>
    <n v="0.1904786364297883"/>
    <m/>
    <m/>
    <n v="0"/>
    <n v="0.07529970065604555"/>
    <n v="0.6363555943646856"/>
    <n v="0"/>
    <m/>
    <n v="1.926027942573901"/>
    <n v="5.199653090016747"/>
    <n v="4.534161847057743"/>
    <n v="11.99781610403027"/>
    <n v="8.521404234190271"/>
    <x v="0"/>
    <m/>
    <x v="4"/>
    <x v="0"/>
    <s v="Defaut GE &amp; Power Cabinet"/>
    <x v="0"/>
    <s v="{05-25-2026 ticket}: INC-20260525-00009316...power fluctuations on site défaut démarrage GE les équipes power IHS suivent le point ...Others"/>
  </r>
  <r>
    <s v="Ayene-II"/>
    <s v="CTR_791"/>
    <s v="Yaounde"/>
    <s v="CAMUSAT"/>
    <s v="Good Grid + GE"/>
    <s v="CENTRE"/>
    <s v="Yaounde"/>
    <s v="ZTE"/>
    <n v="0"/>
    <n v="0"/>
    <n v="0"/>
    <n v="0.7408513182263086"/>
    <n v="0"/>
    <n v="0"/>
    <n v="0"/>
    <n v="3.071682033370145"/>
    <n v="3.468459020697252"/>
    <n v="0.07601310378874104"/>
    <n v="0"/>
    <n v="0.0008917539158698208"/>
    <n v="13.3067697676874"/>
    <n v="0"/>
    <n v="0"/>
    <n v="0"/>
    <n v="0"/>
    <n v="0"/>
    <n v="0"/>
    <n v="1.33943221671475"/>
    <n v="1.215514092565483"/>
    <n v="0.0243983871381973"/>
    <n v="0"/>
    <n v="0.5978496602774277"/>
    <m/>
    <n v="0"/>
    <m/>
    <n v="0"/>
    <m/>
    <n v="0"/>
    <m/>
    <m/>
    <n v="0"/>
    <n v="22.63271438477541"/>
    <n v="0"/>
    <n v="0"/>
    <m/>
    <n v="0.06358205420151587"/>
    <n v="6.005604314792833"/>
    <n v="5.310176259983477"/>
    <n v="11.10508501380051"/>
    <n v="8.431461934235646"/>
    <x v="0"/>
    <m/>
    <x v="5"/>
    <x v="2"/>
    <s v="IP &amp; VLAN"/>
    <x v="2"/>
    <s v="{05-25-2026 goupe whatsapp incident}:    impacted by    CTR_351_Z_Mimboman-Nodal(CTR-351)  ,Cause: Boucle ethernet  ,Action: Desactivation de la boucle      ;      {05-25-2026 ocm ran 22H}: 25.05.26: BO TX analysis ongoing      ;      {05-25-2026 ticket}: INC-20260525-00019107...2026-05-26 01:15:08...Site resté down après la remontée de CTR_351_Z_Mimboman-Nodal(CTR-351) // INC-20260525-00019122. BO Tx Analysis ongoing...user:OCM_NOC.CAMUSAT"/>
  </r>
  <r>
    <s v="Bastos-ART"/>
    <s v="CTR_722"/>
    <s v="Yaounde"/>
    <s v="CAMUSAT"/>
    <s v="Good Grid + GE"/>
    <s v="CENTRE"/>
    <s v="Yaounde"/>
    <s v="NOKIA"/>
    <n v="0"/>
    <n v="0"/>
    <n v="0"/>
    <n v="0"/>
    <n v="5.648386025154658"/>
    <n v="3.081972873559283"/>
    <n v="3.0819907086376"/>
    <n v="3.0819907086376"/>
    <n v="3.0819907086376"/>
    <n v="4.361809019620118"/>
    <n v="3.08206204895087"/>
    <n v="1.512735672724887"/>
    <n v="17.73608913613772"/>
    <n v="3.0819907086376"/>
    <n v="11.21894966234774"/>
    <n v="7.209674385630657"/>
    <n v="3.082151224342456"/>
    <n v="3.082008543715918"/>
    <n v="3.0819907086376"/>
    <n v="3.0819907086376"/>
    <n v="1.458980746676255"/>
    <n v="8.019319750834905"/>
    <n v="3.219570502777992"/>
    <n v="5.926602482492695"/>
    <m/>
    <n v="4.751916662214738"/>
    <m/>
    <n v="3.0819907086376"/>
    <m/>
    <n v="3.0819907086376"/>
    <m/>
    <m/>
    <n v="3.0819907086376"/>
    <n v="5.699276158427758"/>
    <n v="3.0819907086376"/>
    <n v="3.081964549064035"/>
    <m/>
    <n v="3.0819907086376"/>
    <n v="0"/>
    <n v="15.33285902261391"/>
    <n v="6.277555202060994"/>
    <n v="8.421090836194081"/>
    <x v="2"/>
    <m/>
    <x v="9"/>
    <x v="5"/>
    <s v="EXCLU"/>
    <x v="4"/>
    <s v="{05-25-2026 ocm ran 22H}: Impacted by CTR_344_Z_Dragage      ;      {05-25-2026 ocm ran 17H}: Power status check Ongoing      ;      {05-25-2026 ticket}: INC-20260525-00016739...2026-05-25 17:24:00...Transmission issue impacted by CTR_344_Z_Dragage(CTR-344)/Main site up awaited...Auto TT closure RCA...Others Transmission equipement fault...user:OCM_NOC.CAMUSAT"/>
  </r>
  <r>
    <s v="Buea-Low-Boduma-MTN"/>
    <s v="SUO_170"/>
    <s v="SUD-OUEST"/>
    <s v="MTN sharing"/>
    <m/>
    <s v="SUD-OUEST"/>
    <s v="Buea"/>
    <s v="Huawei"/>
    <n v="0"/>
    <n v="0"/>
    <n v="1.282074604846005"/>
    <n v="0.2764437139196366"/>
    <n v="0"/>
    <n v="0.3416309251697187"/>
    <n v="4.644932126825956"/>
    <n v="4.73681845031718"/>
    <n v="7.593017067456546"/>
    <n v="7.7830498269284"/>
    <n v="5.305258066449221"/>
    <n v="9.245704599738039"/>
    <n v="6.240048026298893"/>
    <n v="5.332099859316902"/>
    <n v="6.462629803699994"/>
    <n v="6.357937893976881"/>
    <n v="11.18179152648295"/>
    <n v="9.666130900914013"/>
    <n v="8.057085805275188"/>
    <n v="8.688625928494176"/>
    <n v="9.245704599738039"/>
    <n v="10.0192119463635"/>
    <n v="8.132314165617961"/>
    <n v="1.518781764274483"/>
    <m/>
    <n v="6.648917196725193"/>
    <m/>
    <n v="8.6651728005068"/>
    <m/>
    <n v="9.93900759917017"/>
    <m/>
    <m/>
    <n v="10.18240291296767"/>
    <n v="10.85032659595415"/>
    <n v="9.920994170069601"/>
    <n v="7.274393393316267"/>
    <m/>
    <n v="9.975658685112418"/>
    <n v="11.66837024247729"/>
    <n v="19.8556518627321"/>
    <n v="0.06754564238607735"/>
    <n v="8.367237817214704"/>
    <x v="0"/>
    <m/>
    <x v="6"/>
    <x v="0"/>
    <s v="Sharing"/>
    <x v="0"/>
    <s v="{05-25-2026 BOTX}: Power issue on site"/>
  </r>
  <r>
    <s v="Bois-Des-Singes-II-MTN"/>
    <s v="LIT_753"/>
    <s v="Douala"/>
    <s v="MTN"/>
    <m/>
    <s v="LITTORAL"/>
    <s v="Douala"/>
    <s v="ZTE"/>
    <n v="3.082222564655726"/>
    <n v="4.159389954713169"/>
    <n v="0.7523727788193476"/>
    <n v="7.686455042761383"/>
    <n v="8.158264204569774"/>
    <n v="1.088403489397403"/>
    <n v="0.6955145491434885"/>
    <n v="8.69738295194802"/>
    <n v="8.66388867486795"/>
    <n v="7.61202926094289"/>
    <n v="4.281970447988631"/>
    <n v="9.375579640045316"/>
    <n v="23.49172309685446"/>
    <n v="13.86855689960706"/>
    <n v="32.69858289601721"/>
    <n v="19.29423741485534"/>
    <n v="3.722519711328555"/>
    <n v="13.86855689960706"/>
    <n v="13.86855689960706"/>
    <n v="28.38500868925016"/>
    <n v="9.245704599738039"/>
    <n v="28.08111678980005"/>
    <n v="4.567741907868266"/>
    <n v="33.76419315532498"/>
    <m/>
    <n v="25.80689461323562"/>
    <m/>
    <n v="9.356745797342144"/>
    <m/>
    <n v="0"/>
    <m/>
    <m/>
    <n v="0"/>
    <n v="0.683154839869533"/>
    <n v="0"/>
    <n v="0.9399799676400341"/>
    <m/>
    <n v="8.028710195672213"/>
    <n v="6.003730880983497"/>
    <n v="6.463864833345234"/>
    <n v="9.843640216955919"/>
    <n v="8.160671940142622"/>
    <x v="0"/>
    <m/>
    <x v="6"/>
    <x v="0"/>
    <s v="Sharing"/>
    <x v="0"/>
    <s v="(05/25/2026 cell zte): 25/05/2026 : Power issue || Mail sent to MTN"/>
  </r>
  <r>
    <s v="Bertoua-Camp-SIC-IHS"/>
    <s v="EST_025"/>
    <s v="CENTRE"/>
    <s v="IHS"/>
    <s v="Grid-Gen"/>
    <s v="EST"/>
    <s v="Bertoua"/>
    <s v="ZTE"/>
    <n v="0"/>
    <n v="0"/>
    <n v="0"/>
    <n v="1.424666055993585"/>
    <n v="0"/>
    <n v="0"/>
    <n v="0"/>
    <n v="0"/>
    <n v="0"/>
    <n v="0.00470846067579252"/>
    <n v="0"/>
    <n v="0"/>
    <n v="2.022943758150631"/>
    <n v="0"/>
    <n v="0"/>
    <n v="0"/>
    <n v="0"/>
    <n v="0"/>
    <n v="0"/>
    <n v="2.685071040683955"/>
    <n v="0"/>
    <n v="0"/>
    <n v="0.05302368783761777"/>
    <n v="12.39464819237914"/>
    <m/>
    <n v="41.60567069882117"/>
    <m/>
    <n v="19.67974263268585"/>
    <m/>
    <n v="41.60567069882117"/>
    <m/>
    <m/>
    <n v="41.60567069882117"/>
    <n v="31.34634509307057"/>
    <n v="0"/>
    <n v="0"/>
    <m/>
    <n v="32.6056799730619"/>
    <n v="5.600942611976388"/>
    <n v="9.637411555501155"/>
    <n v="7.871444260583494"/>
    <n v="8.14007242468603"/>
    <x v="0"/>
    <m/>
    <x v="4"/>
    <x v="0"/>
    <s v="Defaut GE &amp; Power Cabinet"/>
    <x v="0"/>
    <s v="{hourly IHS}: 25/05/2026 10:39 3:21:00 44 FME is informed and managing"/>
  </r>
  <r>
    <s v="Abuh"/>
    <s v="NRO_079"/>
    <s v="NORD-OUEST"/>
    <s v="IHS"/>
    <s v="Hybrid-Gen"/>
    <s v="NORD-OUEST"/>
    <s v="Abuh"/>
    <s v="NOKIA"/>
    <n v="0.9824630949989049"/>
    <n v="6.205067548483758"/>
    <n v="4.777557285997529"/>
    <n v="4.31734427647092"/>
    <n v="9.289944554320982"/>
    <n v="9.296473419098129"/>
    <n v="9.296365205869778"/>
    <n v="9.296527525712303"/>
    <n v="9.296365205869778"/>
    <n v="9.296473419098129"/>
    <n v="4.67461158886327"/>
    <n v="6.057737855738473"/>
    <n v="0.04373509575208411"/>
    <n v="1.096393604483596"/>
    <n v="0"/>
    <n v="0"/>
    <n v="0"/>
    <n v="0.1507064117819954"/>
    <n v="0.02454106776473677"/>
    <n v="0"/>
    <n v="7.080918463729158"/>
    <n v="2.236037273886877"/>
    <n v="0.02414869604175397"/>
    <n v="0"/>
    <m/>
    <n v="1.48503779609797"/>
    <m/>
    <n v="5.570019804070964"/>
    <m/>
    <n v="0.2393645860977703"/>
    <m/>
    <m/>
    <n v="0.001337630873804731"/>
    <n v="0.4706498817177607"/>
    <n v="0.3587347652761013"/>
    <n v="0.646450248692332"/>
    <m/>
    <n v="3.468940567811822"/>
    <n v="28.24251425808025"/>
    <n v="12.1534152921856"/>
    <n v="0"/>
    <n v="8.113070116113494"/>
    <x v="1"/>
    <m/>
    <x v="4"/>
    <x v="0"/>
    <s v="Defaut GE &amp; Power Cabinet"/>
    <x v="0"/>
    <s v="{05-25-2026 ocm ran 17H}: P2 Incident at Fundong_L18L8_NRO_015; Power issue; IHS      ;      {05-25-2026 ticket}: INC-20260525-00024624...Others"/>
  </r>
  <r>
    <s v="Fundong"/>
    <s v="NRO_015"/>
    <s v="NORD-OUEST"/>
    <s v="IHS"/>
    <s v="Grid-Gen"/>
    <s v="NORD-OUEST"/>
    <s v="Fundong"/>
    <s v="NOKIA"/>
    <n v="7.619394535609889"/>
    <n v="2.487083836282542"/>
    <n v="3.083845556782609"/>
    <n v="3.480633433160696"/>
    <n v="4.717598273037789"/>
    <n v="4.805023355261596"/>
    <n v="0.0002496910964437095"/>
    <n v="0.0002720400074430563"/>
    <n v="0.0002853612530783308"/>
    <n v="0.7975192065125424"/>
    <n v="0.9002448161165819"/>
    <n v="0"/>
    <n v="18.68495843191116"/>
    <n v="10.76156141116847"/>
    <n v="7.619430818444611"/>
    <n v="2.844893788279483"/>
    <n v="0.0002496910964435937"/>
    <n v="3.664138031436691"/>
    <n v="0.8535352006283496"/>
    <n v="0.0002185302312039171"/>
    <n v="0"/>
    <n v="8.164729212076693"/>
    <n v="0.0002898742600718036"/>
    <n v="0.0003031963313957138"/>
    <m/>
    <n v="0.0002318560181262397"/>
    <m/>
    <n v="10.62178680662231"/>
    <m/>
    <n v="0.0002496910964435358"/>
    <m/>
    <m/>
    <n v="0.0002675261747609478"/>
    <n v="0.0001961858614915315"/>
    <n v="0.8122725614325556"/>
    <n v="0.00157399442760959"/>
    <m/>
    <n v="8.779717276650487"/>
    <n v="27.42856971571766"/>
    <n v="11.67501385531313"/>
    <n v="0.498242148554072"/>
    <n v="8.096061610274663"/>
    <x v="1"/>
    <m/>
    <x v="4"/>
    <x v="0"/>
    <s v="Defaut GE &amp; Power Cabinet"/>
    <x v="0"/>
    <s v="{05-25-2026 ocm ran 17H}: P2 Incident at Fundong_L18L8_NRO_015; Power issue; IHS"/>
  </r>
  <r>
    <s v="Tchatibali"/>
    <s v="EXN_017"/>
    <s v="EXTREME-NORD"/>
    <s v="IHS"/>
    <s v="Grid-Gen"/>
    <s v="EXTREME-NORD"/>
    <s v="Tchatibali"/>
    <s v="NOKIA"/>
    <n v="3.183444677272568"/>
    <n v="0.4288513698376828"/>
    <n v="0.6257117971193139"/>
    <n v="0.4516063271562967"/>
    <n v="2.004543163100091"/>
    <n v="0.07420519964337499"/>
    <n v="3.775133681685426"/>
    <n v="3.023729630554718"/>
    <n v="2.898448401657654"/>
    <n v="0"/>
    <n v="0.2309233139829874"/>
    <n v="0.5050180776353826"/>
    <n v="3.887185709068668"/>
    <n v="5.582124336199441"/>
    <n v="5.430561544826884"/>
    <n v="0.4584011654215915"/>
    <n v="1.162830698724045"/>
    <n v="1.157409701948706"/>
    <n v="0.06335198385880479"/>
    <n v="2.036301513411466"/>
    <n v="0.4526364526171908"/>
    <n v="4.029835945815606"/>
    <n v="1.796117499445211"/>
    <n v="2.772311284470112"/>
    <m/>
    <n v="0.5548793487642731"/>
    <m/>
    <n v="0.2474973818105028"/>
    <m/>
    <n v="1.861840139791361"/>
    <m/>
    <m/>
    <n v="0"/>
    <n v="0"/>
    <n v="0.5394857487336244"/>
    <n v="0.1771057911852661"/>
    <m/>
    <n v="3.245653316502611"/>
    <n v="0"/>
    <n v="13.83004192588137"/>
    <n v="6.313551044395853"/>
    <n v="7.935349223232854"/>
    <x v="1"/>
    <m/>
    <x v="4"/>
    <x v="0"/>
    <s v="Defaut GE &amp; Power Cabinet"/>
    <x v="0"/>
    <s v="{05-25-2026 ocm ran 17H}: P1 Incident at EXN_074_H_Dziguilao; Power issue; IHS      ;      {05-25-2026 ticket}: INC-20260525-00022859...Grid Outage"/>
  </r>
  <r>
    <s v="Yagoua-Ville"/>
    <s v="EXN_096"/>
    <s v="EXTREME-NORD"/>
    <s v="IHS"/>
    <s v="Grid-Gen"/>
    <s v="EXTREME-NORD"/>
    <s v="Yagoua"/>
    <s v="Huawei"/>
    <n v="0.3065849962760356"/>
    <n v="0.2793329966070547"/>
    <n v="0"/>
    <n v="0"/>
    <n v="0"/>
    <n v="0"/>
    <n v="4.745040421421499"/>
    <n v="3.276803269098515"/>
    <n v="3.943014784566522"/>
    <n v="0"/>
    <n v="0.3215664620626482"/>
    <n v="0.7930189223046916"/>
    <n v="0"/>
    <n v="1.377206912590995"/>
    <n v="0"/>
    <n v="0"/>
    <n v="0"/>
    <n v="0"/>
    <n v="0.1531141473548439"/>
    <n v="0"/>
    <n v="0.165937568665052"/>
    <n v="1.209146969606173"/>
    <n v="0.4131495892224762"/>
    <n v="0.8178096811658718"/>
    <m/>
    <n v="3.253136120171331"/>
    <m/>
    <n v="0"/>
    <m/>
    <n v="0.5715250846809519"/>
    <m/>
    <m/>
    <n v="0.9217168474430203"/>
    <n v="0.06063926627914609"/>
    <n v="0.4346408585949383"/>
    <n v="0.1789393407584332"/>
    <m/>
    <n v="5.333330479720802"/>
    <n v="9.623205000619482"/>
    <n v="16.00995244992537"/>
    <n v="2.156501509191953"/>
    <n v="7.873509344154232"/>
    <x v="1"/>
    <m/>
    <x v="4"/>
    <x v="0"/>
    <s v="Defaut GE &amp; Power Cabinet"/>
    <x v="0"/>
    <s v="{05-25-2026    groupe whatsapp  incident}:    impacted by  EXN_096_H_Yagoua-Ville ,Cause: Probleme energie    Action: RCA attendu de IHS      ;      {hourly IHS}: 25/05/2026 01:47 0:27:53 43.3V Mamoudou is going to site ETA 02:30."/>
  </r>
  <r>
    <s v="Njinikom"/>
    <s v="NRO_081"/>
    <s v="NORD-OUEST"/>
    <s v="IHS"/>
    <s v="Grid-Gen"/>
    <s v="NORD-OUEST"/>
    <s v="Njinikom"/>
    <s v="NOKIA"/>
    <n v="1.53383856983813"/>
    <n v="0"/>
    <n v="2.114410509672847"/>
    <n v="0.08360158318722151"/>
    <n v="1.422808977490681"/>
    <n v="0"/>
    <n v="0.03638355976748787"/>
    <n v="0.2283324924954133"/>
    <n v="0"/>
    <n v="0.8848942029942598"/>
    <n v="0.286629207649341"/>
    <n v="0"/>
    <n v="0.003913711758675884"/>
    <n v="0.9605794830966261"/>
    <n v="0"/>
    <n v="0"/>
    <n v="0"/>
    <n v="1.546176444570003"/>
    <n v="0.1081875850733236"/>
    <n v="0"/>
    <n v="0"/>
    <n v="2.417848062254411"/>
    <n v="0"/>
    <n v="0.06707772955172579"/>
    <m/>
    <n v="0"/>
    <m/>
    <n v="2.727625537549261"/>
    <m/>
    <n v="0"/>
    <m/>
    <m/>
    <n v="0"/>
    <n v="0"/>
    <n v="0.1754258303299059"/>
    <n v="0.2181051727434347"/>
    <m/>
    <n v="3.332805415015139"/>
    <n v="27.43044314952699"/>
    <n v="11.68324841641421"/>
    <n v="0"/>
    <n v="7.839265993784832"/>
    <x v="1"/>
    <m/>
    <x v="4"/>
    <x v="0"/>
    <s v="Defaut GE &amp; Power Cabinet"/>
    <x v="0"/>
    <s v="{05-25-2026 ocm ran 17H}: P2 Incident at Fundong_L18L8_NRO_015; Power issue; IHS"/>
  </r>
  <r>
    <s v="Muchemni-Fundong-IHS"/>
    <s v="NRO_041"/>
    <s v="NORD-OUEST"/>
    <s v="IHS"/>
    <s v="Grid-Gen"/>
    <s v="NORD-OUEST"/>
    <s v="Fundong"/>
    <s v="NOKIA"/>
    <n v="0.5993599181276268"/>
    <n v="0"/>
    <n v="0"/>
    <n v="0.05135306803323796"/>
    <n v="0.02482184179830454"/>
    <n v="0"/>
    <n v="0"/>
    <n v="0.02086704163135323"/>
    <n v="0"/>
    <n v="0.3663023482062385"/>
    <n v="0.2534830006894893"/>
    <n v="0.02648509130133292"/>
    <n v="0.002705330708762132"/>
    <n v="0.9650739228326097"/>
    <n v="0.002764437139196341"/>
    <n v="0.001426806265391782"/>
    <n v="0.002586086356022412"/>
    <n v="0.1481559955826078"/>
    <n v="0.02712715412075917"/>
    <n v="0"/>
    <n v="0"/>
    <n v="2.242136870671427"/>
    <n v="0"/>
    <n v="0"/>
    <m/>
    <n v="0"/>
    <m/>
    <n v="1.785665876215996"/>
    <m/>
    <n v="0"/>
    <m/>
    <m/>
    <n v="0"/>
    <n v="0"/>
    <n v="0.1728397439738837"/>
    <n v="0.001694332440152762"/>
    <m/>
    <n v="3.349623893868443"/>
    <n v="27.41995192019472"/>
    <n v="11.68138899939139"/>
    <n v="0"/>
    <n v="7.837143619465063"/>
    <x v="1"/>
    <m/>
    <x v="4"/>
    <x v="0"/>
    <s v="Defaut GE &amp; Power Cabinet"/>
    <x v="0"/>
    <s v="{05-25-2026 ocm ran 17H}: P2 Incident at Fundong_L18L8_NRO_015; Power issue; IHS"/>
  </r>
  <r>
    <s v="Ekang-I"/>
    <s v="CTR_717"/>
    <s v="CENTRE"/>
    <s v="CAMUSAT"/>
    <s v="Good Grid + GE"/>
    <s v="CENTRE"/>
    <s v="Ekang"/>
    <s v="ZTE"/>
    <n v="0.7917883019007915"/>
    <n v="1.277847691284782"/>
    <n v="1.886291388082743"/>
    <n v="1.173227121874937"/>
    <n v="3.244860643832059"/>
    <n v="6.907668512953974"/>
    <n v="1.732660023456695"/>
    <n v="1.66365610544669"/>
    <n v="1.757736143570954"/>
    <n v="0.6806044236701448"/>
    <n v="1.656218877788336"/>
    <n v="0"/>
    <n v="0.5643197130407244"/>
    <n v="4.996996572811351"/>
    <n v="1.548316653968091"/>
    <n v="1.793120938952668"/>
    <n v="0"/>
    <n v="4.383095342048266"/>
    <n v="0.1571270399762583"/>
    <n v="0.9505918392388844"/>
    <n v="0.004851141302331758"/>
    <n v="0"/>
    <n v="2.651344907585758"/>
    <n v="1.422543681673815"/>
    <m/>
    <n v="0.3158949071577166"/>
    <m/>
    <n v="0.5795687050020972"/>
    <m/>
    <n v="2.626286622549817"/>
    <m/>
    <m/>
    <n v="0.8132082309599837"/>
    <n v="1.989431645992244"/>
    <n v="1.260315809298782"/>
    <n v="0.7922520139370438"/>
    <m/>
    <n v="0.7897551029726081"/>
    <n v="6.099775587608759"/>
    <n v="5.566403925728721"/>
    <n v="9.462580192922667"/>
    <n v="7.674380694740506"/>
    <x v="0"/>
    <m/>
    <x v="0"/>
    <x v="0"/>
    <s v="AKTIVCO Defaut GE &amp; Power Cabinet"/>
    <x v="0"/>
    <s v="{05-25-2026 ticket}: INC-20260525-00024089...Grid Outage"/>
  </r>
  <r>
    <s v="Limbe-GRA-IHS"/>
    <s v="SUO_192"/>
    <s v="SUD-OUEST"/>
    <s v="IHS"/>
    <m/>
    <s v="SUD-OUEST"/>
    <s v="Limbe"/>
    <s v="Huawei"/>
    <n v="0"/>
    <n v="0"/>
    <n v="0"/>
    <n v="0"/>
    <n v="0"/>
    <n v="0"/>
    <n v="0"/>
    <n v="0"/>
    <n v="0"/>
    <n v="0"/>
    <n v="0"/>
    <n v="0"/>
    <n v="0"/>
    <n v="0"/>
    <n v="0"/>
    <n v="0"/>
    <n v="0"/>
    <n v="0"/>
    <n v="0"/>
    <n v="0"/>
    <m/>
    <n v="0"/>
    <n v="0"/>
    <n v="0.4885919705050609"/>
    <m/>
    <n v="0.2043899975173571"/>
    <m/>
    <n v="0"/>
    <m/>
    <n v="0"/>
    <m/>
    <m/>
    <n v="0"/>
    <n v="0"/>
    <n v="0"/>
    <n v="0"/>
    <m/>
    <n v="8.088118841547457"/>
    <n v="5.32742127581342"/>
    <n v="4.527946081581444"/>
    <n v="10.19682697590327"/>
    <n v="7.598367590951764"/>
    <x v="0"/>
    <m/>
    <x v="5"/>
    <x v="2"/>
    <s v="ODU HS"/>
    <x v="2"/>
    <s v="{05-25-2026 BOTX}: Odu faulty at limbe-UQ_4"/>
  </r>
  <r>
    <s v="Nkoulou-II"/>
    <s v="CTR_777"/>
    <s v="Yaounde"/>
    <s v="CAMUSAT"/>
    <s v="Good Grid + GE"/>
    <s v="CENTRE"/>
    <s v="Yaounde"/>
    <s v="ZTE"/>
    <n v="4.469934338375666"/>
    <n v="0"/>
    <n v="0"/>
    <n v="0.6550467564413164"/>
    <n v="0"/>
    <n v="0"/>
    <n v="0"/>
    <n v="2.765792605148488"/>
    <n v="3.463839735413046"/>
    <n v="0.1062613966150449"/>
    <n v="0"/>
    <n v="4.665763498300672"/>
    <n v="0.9753112577867952"/>
    <n v="0"/>
    <n v="0"/>
    <n v="0"/>
    <n v="0"/>
    <n v="0.009844963231202633"/>
    <n v="14.31618169521706"/>
    <n v="17.52478362482985"/>
    <n v="1.561122240199982"/>
    <n v="0"/>
    <n v="0"/>
    <n v="0.3870033644091735"/>
    <m/>
    <n v="0"/>
    <m/>
    <n v="0"/>
    <m/>
    <n v="0"/>
    <m/>
    <m/>
    <n v="0"/>
    <n v="0"/>
    <n v="0"/>
    <n v="0"/>
    <m/>
    <n v="0.0545931747295484"/>
    <n v="7.115301607855832"/>
    <n v="5.266984658853289"/>
    <n v="8.864724307074052"/>
    <n v="7.407104211076012"/>
    <x v="0"/>
    <m/>
    <x v="5"/>
    <x v="2"/>
    <s v="IP &amp; VLAN"/>
    <x v="2"/>
    <s v="{05-25-2026 goupe whatsapp incident}:    impacted by    CTR_351_Z_Mimboman-Nodal(CTR-351)  ,Cause: Boucle ethernet  ,Action: Desactivation de la boucle      ;      {05-25-2026 ocm ran 22H}: 25.05.26: BO TX analysis ongoing      ;      {05-25-2026 ticket}: INC-20260525-00019071"/>
  </r>
  <r>
    <s v="Etoa-Meki-II"/>
    <s v="CTR_682"/>
    <s v="Yaounde"/>
    <s v="CAMUSAT"/>
    <s v="Good Grid no GE - 8h"/>
    <s v="CENTRE"/>
    <s v="Yaounde"/>
    <s v="ZTE"/>
    <n v="8.550849948492292"/>
    <n v="9.245704599738039"/>
    <n v="9.348238464984748"/>
    <n v="9.245704599738039"/>
    <n v="9.245704599738039"/>
    <n v="5.596611905842201"/>
    <n v="9.245704599738039"/>
    <n v="9.108035630206059"/>
    <n v="3.492928748148718"/>
    <n v="11.2783149703367"/>
    <n v="9.245704599738039"/>
    <n v="3.081580501836299"/>
    <n v="12.64389341186475"/>
    <n v="9.245704599738039"/>
    <n v="9.245704599738039"/>
    <n v="6.312137412857807"/>
    <n v="4.803699994007414"/>
    <n v="8.51038215579012"/>
    <n v="5.988947958668276"/>
    <n v="9.245704599738039"/>
    <n v="4.010035388445585"/>
    <n v="9.245704599738039"/>
    <n v="9.245704599738039"/>
    <n v="8.232137098960427"/>
    <m/>
    <n v="9.245704599738039"/>
    <m/>
    <n v="6.987195127171244"/>
    <m/>
    <n v="9.245704599738039"/>
    <m/>
    <m/>
    <n v="0"/>
    <n v="0"/>
    <n v="0"/>
    <n v="0"/>
    <m/>
    <n v="7.194153375966305"/>
    <n v="5.893448077407287"/>
    <n v="5.104684115861018"/>
    <n v="9.236858046214762"/>
    <n v="7.372200962808867"/>
    <x v="0"/>
    <m/>
    <x v="3"/>
    <x v="0"/>
    <s v="AKTIVCO Coupure ENEO &amp; Baisse de tension"/>
    <x v="0"/>
    <s v="{05-25-2026 ticket}: INC-20260525-00028267...2026-05-26 00:57:53...no power issue site on grid /  , U=48V Load=59A...Grid Outage...user:OCM_NOC.CAMUSAT"/>
  </r>
  <r>
    <s v="Telo-MTN-IHS"/>
    <s v="ADM_108"/>
    <s v="ADAMAOUA"/>
    <s v="IHS"/>
    <s v="Grid-Hybrid-Gen"/>
    <s v="ADAMAOUA"/>
    <s v="Telo"/>
    <s v="NOKIA"/>
    <n v="0"/>
    <n v="0.2511929918520996"/>
    <n v="0"/>
    <n v="0"/>
    <n v="0.002318962778966286"/>
    <n v="0.3118995131370624"/>
    <n v="0"/>
    <n v="0"/>
    <n v="0"/>
    <n v="0.02455889872106977"/>
    <n v="0"/>
    <n v="0"/>
    <n v="0"/>
    <n v="0"/>
    <n v="0"/>
    <n v="0"/>
    <n v="0"/>
    <n v="0"/>
    <n v="0"/>
    <n v="0"/>
    <n v="0"/>
    <n v="0.009454232868092832"/>
    <n v="0"/>
    <n v="0"/>
    <m/>
    <n v="0"/>
    <m/>
    <n v="0"/>
    <m/>
    <n v="0.008829272140124035"/>
    <m/>
    <m/>
    <n v="0"/>
    <n v="0"/>
    <n v="0"/>
    <n v="3.807123680304606"/>
    <m/>
    <n v="2.872824958584541"/>
    <n v="18.88833435248133"/>
    <n v="13.75358951828668"/>
    <n v="0"/>
    <n v="7.31449103459185"/>
    <x v="0"/>
    <m/>
    <x v="4"/>
    <x v="0"/>
    <s v="Defaut GE &amp; Power Cabinet"/>
    <x v="0"/>
    <s v="{05-25-2026 groupe whatsapp incident}:    impacted by  ADM_094_N_Tourningal-MTN-IHS_G   ,Hello @~IHS NOC comme echange, tout a lheure ci-dessous les sites down pour power issue _x000a_Bien vouloir nous partager les ETR _x000a_ADM_094_N_Tourningal-MTN-IHS =&gt;5 sites       ;      {05-25-2026 ticket}: INC-20260525-00009551...Grid Outage"/>
  </r>
  <r>
    <s v="EST_197_Z_Bertoua-Mokolo-IV-MTN-IHS"/>
    <s v="EST_197"/>
    <s v="CENTRE"/>
    <s v="IHS"/>
    <s v="Solar-Grid-Gen-Lithium"/>
    <s v="EST"/>
    <s v="Bertoua"/>
    <s v="ZTE"/>
    <n v="0"/>
    <n v="0"/>
    <n v="0"/>
    <n v="0"/>
    <n v="0"/>
    <n v="0"/>
    <n v="0"/>
    <n v="0"/>
    <n v="0"/>
    <n v="0"/>
    <n v="0"/>
    <n v="0"/>
    <n v="0"/>
    <n v="0"/>
    <n v="0"/>
    <n v="0"/>
    <n v="0"/>
    <n v="0"/>
    <n v="0"/>
    <n v="0"/>
    <n v="0"/>
    <n v="0"/>
    <n v="0.07330217188449699"/>
    <n v="0.5768042678629011"/>
    <m/>
    <n v="0"/>
    <m/>
    <n v="0"/>
    <m/>
    <n v="0"/>
    <m/>
    <m/>
    <n v="0"/>
    <n v="1.772253897321314"/>
    <n v="12.21367565269253"/>
    <n v="0"/>
    <m/>
    <n v="0"/>
    <n v="4.424051492951892"/>
    <n v="7.537970358130096"/>
    <n v="7.756633768689793"/>
    <n v="7.207333498842861"/>
    <x v="0"/>
    <m/>
    <x v="4"/>
    <x v="0"/>
    <s v="Defaut GE &amp; Power Cabinet"/>
    <x v="0"/>
    <s v="{hourly IHS}: 25/05/2026 21:02 1:57:54 FME Magloire is managing with level 0      ;      {05-25-2026 ocm ran 22H}: Power status check Ongoing"/>
  </r>
  <r>
    <s v="Bastos-BAT"/>
    <s v="CTR_200"/>
    <s v="Yaounde"/>
    <s v="IHS"/>
    <s v="Grid-Gen"/>
    <s v="CENTRE"/>
    <s v="Yaounde"/>
    <s v="ZTE"/>
    <n v="4.743720625626011"/>
    <n v="8.757754692052403"/>
    <n v="9.245704599738039"/>
    <n v="9.245704599738039"/>
    <n v="9.245704599738039"/>
    <n v="8.89797407778377"/>
    <n v="9.245704599738039"/>
    <n v="7.513900660040579"/>
    <n v="4.64339831009066"/>
    <n v="9.260258023645033"/>
    <n v="9.245704599738039"/>
    <n v="0"/>
    <n v="9.245704599738039"/>
    <n v="9.245704599738039"/>
    <n v="10.21946420571122"/>
    <n v="9.245704599738039"/>
    <n v="5.544497806998771"/>
    <n v="9.245704599738039"/>
    <n v="9.245704599738039"/>
    <n v="9.245704599738039"/>
    <n v="0.5270979045923185"/>
    <n v="9.245704599738039"/>
    <n v="9.245704599738039"/>
    <n v="8.279007684778545"/>
    <m/>
    <n v="9.245704599738039"/>
    <m/>
    <n v="9.245704599738039"/>
    <m/>
    <n v="9.245704599738039"/>
    <m/>
    <m/>
    <n v="0"/>
    <n v="0"/>
    <n v="0"/>
    <n v="0"/>
    <m/>
    <n v="0"/>
    <n v="5.041909963270706"/>
    <n v="4.445387965768027"/>
    <n v="9.577424885141628"/>
    <n v="7.206869786806609"/>
    <x v="0"/>
    <m/>
    <x v="5"/>
    <x v="2"/>
    <s v="IP &amp; VLAN"/>
    <x v="2"/>
    <s v="{05-25-2026 goupe whatsapp incident}:    impacted by    CTR_007_Z_Messamendongo(CTR-007)  ,Cause: Boucle etherneet  ,Action: Desactivation de la bouclee      ;      {hourly IHS}: 25/05/2026 20:33 2:26:45 Access issue during the Nigth      ;      {05-25-2026 ocm ran 22H}: Power status check Ongoing      ;      {05-25-2026 ticket}: INC-20260525-00022657...Grid outage gen failed to start due to battery GE discharged causing by satiic charger faulty/Gen manually started with external battery...Grid outage gen failed to start due to battery GE discharged causing by satiic charger faulty/Gen manually started with external battery...Grid Outage...Grid outage gen failed to start due to battery GE discharged causing by satiic charger faulty/Gen manually started with external battery"/>
  </r>
  <r>
    <s v="Moloundou"/>
    <s v="EST_015"/>
    <s v="CENTRE"/>
    <s v="IHS"/>
    <s v="Solar-Gen"/>
    <s v="EST"/>
    <s v="Moloundou"/>
    <s v="NOKIA"/>
    <n v="0.589770369799648"/>
    <n v="0.8647337722189405"/>
    <n v="1.092095350609103"/>
    <n v="0.8091953383385698"/>
    <n v="0.464585955089846"/>
    <n v="0.6322713614300025"/>
    <n v="0.7780552915963964"/>
    <n v="0.8108183304654527"/>
    <n v="1.009822134330956"/>
    <n v="0.9739379567563557"/>
    <n v="0.8698524396960334"/>
    <n v="1.545945455685395"/>
    <n v="0.8882582405195858"/>
    <n v="0.4984012635796285"/>
    <n v="1.25587487479775"/>
    <n v="2.52339605573676"/>
    <n v="1.585467122103227"/>
    <n v="1.33689963559368"/>
    <n v="1.135559436468597"/>
    <n v="1.069730162399089"/>
    <n v="0.193969607580664"/>
    <n v="0.9574583443910821"/>
    <n v="2.068191351841864"/>
    <n v="2.32642545079944"/>
    <m/>
    <n v="2.698179823247239"/>
    <m/>
    <n v="1.966228209101312"/>
    <m/>
    <n v="1.977999360790793"/>
    <m/>
    <m/>
    <n v="2.115293793678107"/>
    <n v="1.715342162410504"/>
    <n v="3.1659582573559"/>
    <n v="6.001539523960359"/>
    <m/>
    <n v="6.192695893366207"/>
    <n v="34.83700126694084"/>
    <n v="6.616602660220122"/>
    <n v="0"/>
    <n v="7.195990389032996"/>
    <x v="0"/>
    <m/>
    <x v="14"/>
    <x v="2"/>
    <s v="SAT"/>
    <x v="2"/>
    <s v="Impacts :Coupure franche (25 sites VSAT Nokia)  ,Indisponibilité de plusieurs sites VSAT dans plusieurs regions @~Supervision Reseau Orange Cameroun  ; Cause: A Determiner_x000a_Action: Sans action      ;      (05/25/2026 cell nokia): 25/05/2026 : FME est  patir ce jour de Yokadouma pour mouloundou. Il arrive ce soir  sur mouloundou _x000a_23/05/2026 : En attente du feedback du PM _x000a_21/05/2026 : Check breaker and  interconnection (sfp, optical fiber) between system and radio module, swap its if needed || Action avec le level0 en cour      ;      (05/25/2026 cell nokia): 25/05/2026 : FME est  patir ce jour de Yokadouma pour mouloundou. Il arrive ce soir  sur mouloundou _x000a_23/05/2026 : En attente du feedback du PM _x000a_21/05/2026 : Check breaker and  interconnection (sfp, optical fiber) between system and radio module, swap its if needed || Action avec le level0 en cour      ;      {05-25-2026 ticket}: INC-20260525-00025045...Others Transmission equipement fault"/>
  </r>
  <r>
    <s v="Satcom"/>
    <s v="CTR_199"/>
    <s v="Yaounde"/>
    <s v="IHS"/>
    <s v="Grid-Gen"/>
    <s v="CENTRE"/>
    <s v="Yaounde"/>
    <s v="ZTE"/>
    <n v="2.812788036514826"/>
    <n v="0"/>
    <n v="0"/>
    <n v="0"/>
    <n v="0"/>
    <n v="0"/>
    <n v="0"/>
    <n v="1.312483413377165"/>
    <n v="0"/>
    <n v="2.656909452020785"/>
    <n v="0"/>
    <n v="8.986453901316372"/>
    <n v="4.241609665756364"/>
    <n v="0"/>
    <n v="0"/>
    <n v="0"/>
    <n v="0"/>
    <n v="0"/>
    <n v="0"/>
    <n v="0"/>
    <n v="0"/>
    <n v="0"/>
    <n v="0"/>
    <n v="0"/>
    <m/>
    <n v="0"/>
    <m/>
    <n v="0"/>
    <m/>
    <n v="0"/>
    <m/>
    <m/>
    <n v="0"/>
    <n v="0"/>
    <n v="0"/>
    <n v="0"/>
    <m/>
    <n v="6.592397833537367"/>
    <n v="5.968385429780703"/>
    <n v="5.127528382141437"/>
    <n v="8.434142212066092"/>
    <n v="6.971963970288185"/>
    <x v="0"/>
    <m/>
    <x v="4"/>
    <x v="0"/>
    <s v="Defaut GE &amp; Power Cabinet"/>
    <x v="0"/>
    <s v="{05-25-2026 ticket}: INC-20260525-00028253...Grid Outage"/>
  </r>
  <r>
    <s v="Garoua-Bockle-IHS"/>
    <s v="NRD_094"/>
    <s v="Garoua"/>
    <s v="IHS"/>
    <s v="Grid-Gen"/>
    <s v="NORD"/>
    <s v="Garoua"/>
    <s v="Huawei"/>
    <n v="0"/>
    <n v="0"/>
    <n v="0.09927004591462561"/>
    <n v="7.043125932774596"/>
    <n v="0"/>
    <n v="0"/>
    <n v="0"/>
    <n v="0"/>
    <n v="0.06911092847990914"/>
    <n v="0.3716830321345307"/>
    <n v="0"/>
    <n v="7.23710755824111e-17"/>
    <n v="1.945896219819481"/>
    <n v="0"/>
    <n v="1.505869167572689"/>
    <n v="1.877677045255441"/>
    <n v="0"/>
    <n v="1.240518872366472"/>
    <n v="2.473761032779447"/>
    <n v="6.400973937956755"/>
    <n v="0"/>
    <n v="0"/>
    <n v="0"/>
    <n v="0"/>
    <m/>
    <n v="0"/>
    <m/>
    <n v="0"/>
    <m/>
    <n v="0"/>
    <m/>
    <m/>
    <n v="0"/>
    <n v="0"/>
    <n v="0"/>
    <n v="1.450348568770635"/>
    <m/>
    <n v="0"/>
    <n v="8.881949690059111"/>
    <n v="15.08173147213127"/>
    <n v="1.213598541807573"/>
    <n v="6.964330556768341"/>
    <x v="0"/>
    <m/>
    <x v="2"/>
    <x v="1"/>
    <s v="no root cause"/>
    <x v="1"/>
    <s v=""/>
  </r>
  <r>
    <s v="Mvog-Mangaa-II"/>
    <s v="CTR_669"/>
    <s v="Yaounde"/>
    <s v="CAMUSAT"/>
    <s v="Good Grid no GE - 12h"/>
    <s v="CENTRE"/>
    <s v="Yaounde"/>
    <s v="ZTE"/>
    <n v="0.5700091030239738"/>
    <n v="0.3791024247145674"/>
    <n v="1.40620674993508"/>
    <n v="0.9976051056835398"/>
    <n v="19.53911304015319"/>
    <n v="0"/>
    <n v="0"/>
    <n v="9.181034605759164"/>
    <n v="33.21028912802161"/>
    <n v="17.27041973786715"/>
    <n v="4.582669868419925"/>
    <n v="0"/>
    <n v="2.605883292954716"/>
    <n v="0"/>
    <n v="0"/>
    <n v="1.865781048017739"/>
    <n v="0.3466069120202712"/>
    <n v="15.53531630868098"/>
    <n v="0"/>
    <n v="0"/>
    <n v="38.22676160635557"/>
    <n v="18.69670878598762"/>
    <n v="0"/>
    <n v="0"/>
    <m/>
    <n v="0"/>
    <m/>
    <n v="0.4082092725285573"/>
    <m/>
    <n v="5.827594005130797"/>
    <m/>
    <m/>
    <n v="4.524474007870264"/>
    <n v="0.8509650917579105"/>
    <n v="8.619657680640808"/>
    <n v="4.496722626008396"/>
    <m/>
    <n v="4.272161154914063"/>
    <n v="6.013847423553909"/>
    <n v="4.858922311644244"/>
    <n v="8.548952703959795"/>
    <n v="6.948154140734464"/>
    <x v="0"/>
    <m/>
    <x v="5"/>
    <x v="2"/>
    <s v="IP &amp; VLAN"/>
    <x v="2"/>
    <s v="{05-25-2026 goupe whatsapp incident}:    impacted by    CTR_007_Z_Messamendongo(CTR-007)  ,Cause: Boucle etherneet  ,Action: Desactivation de la bouclee      ;      {05-25-2026 ticket}: INC-20260525-00025476...Grid Outage"/>
  </r>
  <r>
    <s v="Maroua-Diguirwo-II"/>
    <s v="EXN_196"/>
    <s v="Maroua"/>
    <s v="CAMUSAT"/>
    <s v="Good Grid + GE"/>
    <s v="EXTREME-NORD"/>
    <s v="Maroua"/>
    <s v="Huawei"/>
    <n v="0"/>
    <n v="0"/>
    <n v="0"/>
    <n v="0"/>
    <n v="0"/>
    <n v="0"/>
    <n v="0"/>
    <n v="0"/>
    <n v="0"/>
    <n v="0"/>
    <n v="0"/>
    <n v="1.540950766623006"/>
    <n v="0"/>
    <n v="0"/>
    <n v="0"/>
    <n v="0"/>
    <n v="0"/>
    <n v="0"/>
    <n v="0"/>
    <n v="0"/>
    <n v="0"/>
    <n v="0"/>
    <n v="0"/>
    <n v="0"/>
    <m/>
    <n v="0"/>
    <m/>
    <n v="0"/>
    <m/>
    <n v="0.7619145457191533"/>
    <m/>
    <m/>
    <n v="0"/>
    <n v="12.95417026935249"/>
    <n v="12.85070898003327"/>
    <n v="4.94406206036532"/>
    <m/>
    <n v="0.2117915550190763"/>
    <n v="5.25560631312223"/>
    <n v="6.725936381162215"/>
    <n v="7.463194977969518"/>
    <n v="6.900445306235429"/>
    <x v="0"/>
    <m/>
    <x v="2"/>
    <x v="1"/>
    <s v="no root cause"/>
    <x v="1"/>
    <s v=""/>
  </r>
  <r>
    <s v="KUMBA-BONAKAMA"/>
    <s v="SUO_218"/>
    <s v="SUD-OUEST"/>
    <s v="IHS"/>
    <s v="Grid-Gen"/>
    <s v="SUD-OUEST"/>
    <s v="Kumba"/>
    <s v="Huawei"/>
    <n v="15.19951745412104"/>
    <n v="4.952373206861227"/>
    <n v="21.6321664911695"/>
    <n v="22.56742016305542"/>
    <n v="5.883399965185927"/>
    <n v="10.68280170531885"/>
    <n v="16.96117731492182"/>
    <n v="4.885491663170991"/>
    <n v="2.276487231510731"/>
    <n v="0.7448998810043574"/>
    <n v="0.9108731198260439"/>
    <n v="0"/>
    <n v="37.08554845006035"/>
    <n v="26.87097105580811"/>
    <n v="25.07321299649291"/>
    <n v="38.07195312656057"/>
    <n v="20.24242151852137"/>
    <n v="0.2009656624804171"/>
    <n v="0.413773816963585"/>
    <n v="0"/>
    <n v="0.6814783425076978"/>
    <n v="2.717976760179549"/>
    <n v="0.9076093004939602"/>
    <n v="1.395220341691565"/>
    <m/>
    <n v="0"/>
    <m/>
    <n v="0"/>
    <m/>
    <n v="0"/>
    <m/>
    <m/>
    <n v="0"/>
    <n v="0"/>
    <n v="0"/>
    <n v="0.9176682846649715"/>
    <m/>
    <n v="0"/>
    <n v="9.507052104440687"/>
    <n v="16.19977236485544"/>
    <n v="0.1261992002048736"/>
    <n v="6.861868031834901"/>
    <x v="0"/>
    <m/>
    <x v="4"/>
    <x v="0"/>
    <s v="Defaut GE &amp; Power Cabinet"/>
    <x v="0"/>
    <s v="{hourly IHS}: 25/05/2026 15:40 7:19:36 FME is managing with level 0      ;      {05-25-2026 ocm ran 22H}: 25.05.26: IHS: FME is managing with level 0 - Escalated to L2"/>
  </r>
  <r>
    <s v="Limbe-Sonara-MTN"/>
    <s v="SUO_080"/>
    <s v="SUD-OUEST"/>
    <s v="IHS"/>
    <s v="Grid-Gen"/>
    <s v="SUD-OUEST"/>
    <s v="Limbe"/>
    <s v="Huawei"/>
    <n v="0"/>
    <n v="1.02425071268973"/>
    <n v="0.1902111102550273"/>
    <n v="0"/>
    <n v="0"/>
    <n v="0"/>
    <n v="0"/>
    <n v="0.04333924031127206"/>
    <n v="0"/>
    <n v="0"/>
    <n v="0"/>
    <n v="0"/>
    <n v="0"/>
    <n v="0"/>
    <n v="0"/>
    <n v="0"/>
    <n v="0"/>
    <n v="0"/>
    <n v="0"/>
    <n v="0"/>
    <n v="0"/>
    <n v="0"/>
    <n v="0"/>
    <n v="0.4885027951134739"/>
    <m/>
    <n v="0.2024281389024435"/>
    <m/>
    <n v="0"/>
    <m/>
    <n v="0"/>
    <m/>
    <m/>
    <n v="0"/>
    <n v="0"/>
    <n v="0"/>
    <n v="0"/>
    <m/>
    <n v="0"/>
    <n v="15.65129052112434"/>
    <n v="13.31767597947713"/>
    <n v="0.1764736783352704"/>
    <n v="6.797929276067037"/>
    <x v="0"/>
    <m/>
    <x v="4"/>
    <x v="0"/>
    <s v="Defaut GE &amp; Power Cabinet"/>
    <x v="0"/>
    <s v="{hourly IHS}: 25/05/2026 08:06 14:19:45 FME Roland is managing with level 0.      ;      {05-25-2026 ocm ran 17H}: 25.05.26: Camusat: investigations ongoing / FME is trying to get level0"/>
  </r>
  <r>
    <s v="Mazera-IHS"/>
    <s v="EXN_226"/>
    <s v="EXTREME-NORD"/>
    <s v="IHS"/>
    <s v="Hybrid-Gen"/>
    <s v="EXTREME-NORD"/>
    <s v="Mazera"/>
    <s v="NOKIA"/>
    <n v="0.06753195545073389"/>
    <n v="0.3117110142721496"/>
    <n v="0.00115928009063063"/>
    <n v="0"/>
    <n v="0.003896760416186437"/>
    <n v="0.05100398733579384"/>
    <n v="0.02161353813721665"/>
    <n v="0.1063993829804642"/>
    <n v="0.0009809293074567"/>
    <n v="0"/>
    <n v="0.00115928009063063"/>
    <n v="20.14083291242548"/>
    <n v="0"/>
    <n v="0.09538592629516322"/>
    <n v="10.0238668419343"/>
    <n v="11.80558731270901"/>
    <n v="0.002229513812464556"/>
    <n v="0.0122177356923058"/>
    <n v="0.003121319337450378"/>
    <n v="0.2619348524199682"/>
    <n v="6.118056090607904"/>
    <n v="0"/>
    <n v="0.9332277219741784"/>
    <n v="0.3505692111930606"/>
    <m/>
    <n v="0.5105155054471965"/>
    <m/>
    <n v="0.04904646537283874"/>
    <m/>
    <n v="0.08677020550446286"/>
    <m/>
    <m/>
    <n v="0.1318904041571427"/>
    <n v="0.7708677550344857"/>
    <n v="3.202503455842609"/>
    <n v="0.1031999875640761"/>
    <m/>
    <n v="1.210176505411289"/>
    <n v="11.81749557370039"/>
    <n v="15.11341928768125"/>
    <n v="0"/>
    <n v="6.761286448615534"/>
    <x v="1"/>
    <m/>
    <x v="4"/>
    <x v="0"/>
    <s v="Defaut GE &amp; Power Cabinet"/>
    <x v="0"/>
    <s v="{05-25-2026  incident}:    impacted by  EXN_226_N_Mazera-IHS,   RCA: Power issue / En attente RCA IHS      ;      {hourly IHS}: 25/05/2026 00:00 6:23:21 50V FME is informed and managing      ;      (05/25/2026 cell nokia): 28/04/2026 : Need BO RAN analysis || Cell lock with suffix Plan      ;      {05-25-2026 ticket}: INC-20260525-00012253...Others"/>
  </r>
  <r>
    <s v="Maroua-Zikirou-IHS"/>
    <s v="EXN_147"/>
    <s v="Maroua"/>
    <s v="IHS"/>
    <s v="Grid-Gen"/>
    <s v="EXTREME-NORD"/>
    <s v="Maroua"/>
    <s v="Huawei"/>
    <n v="0.5953527493129928"/>
    <n v="0.07874187077130293"/>
    <n v="0"/>
    <n v="0"/>
    <n v="0"/>
    <n v="0"/>
    <n v="0"/>
    <n v="8.917539158697954e-05"/>
    <n v="0"/>
    <n v="0.566941469553381"/>
    <n v="0.1851102778562521"/>
    <n v="0"/>
    <n v="0.09861014801688199"/>
    <n v="0"/>
    <n v="0"/>
    <n v="0.7741315743665694"/>
    <n v="0"/>
    <n v="0"/>
    <n v="0"/>
    <n v="0"/>
    <n v="0.3605736921650153"/>
    <n v="0"/>
    <n v="0"/>
    <n v="0"/>
    <m/>
    <n v="0"/>
    <m/>
    <n v="1.751315515376691"/>
    <m/>
    <n v="0"/>
    <m/>
    <m/>
    <n v="0"/>
    <n v="0"/>
    <n v="0.4470362380255283"/>
    <n v="3.047123130527091"/>
    <m/>
    <n v="5.034824773922548"/>
    <n v="11.60030214740477"/>
    <n v="14.79070614495888"/>
    <n v="0.2647105175029056"/>
    <n v="6.759976229407618"/>
    <x v="0"/>
    <m/>
    <x v="2"/>
    <x v="1"/>
    <s v="no root cause"/>
    <x v="1"/>
    <s v=""/>
  </r>
  <r>
    <s v="Barriere"/>
    <s v="CTR_237"/>
    <s v="Yaounde"/>
    <s v="IHS"/>
    <s v="Grid-Gen"/>
    <s v="CENTRE"/>
    <s v="Yaounde"/>
    <s v="ZTE"/>
    <n v="0"/>
    <n v="0"/>
    <n v="0"/>
    <n v="0.6183421652641149"/>
    <n v="1.13773531602332"/>
    <n v="0"/>
    <n v="0"/>
    <n v="0.0321744812845818"/>
    <n v="0"/>
    <n v="0"/>
    <n v="0.01096857316519866"/>
    <n v="0"/>
    <n v="0"/>
    <n v="0"/>
    <n v="0"/>
    <n v="0"/>
    <n v="0"/>
    <n v="0"/>
    <n v="0"/>
    <n v="0"/>
    <n v="0"/>
    <n v="0"/>
    <n v="0"/>
    <n v="0"/>
    <m/>
    <n v="0"/>
    <m/>
    <n v="0"/>
    <m/>
    <n v="1.213320377932443"/>
    <m/>
    <m/>
    <n v="0"/>
    <n v="0"/>
    <n v="0"/>
    <n v="0"/>
    <m/>
    <n v="0.002247219867991722"/>
    <n v="2.175181548225683"/>
    <n v="0.1759539765598702"/>
    <n v="12.21943421170713"/>
    <n v="6.741980635385367"/>
    <x v="0"/>
    <m/>
    <x v="5"/>
    <x v="2"/>
    <s v="IP &amp; VLAN"/>
    <x v="2"/>
    <s v="{05-25-2026 goupe whatsapp incident}:    impacted by    CTR_007_Z_Messamendongo(CTR-007)  ,Cause: Boucle etherneet  ,Action: Desactivation de la bouclee      ;      {05-25-2026 ticket}: INC-20260525-00021993...Auto TT closure RCA...Others"/>
  </r>
  <r>
    <s v="Mballa-II"/>
    <s v="CTR_824"/>
    <s v="Yaounde"/>
    <s v="CAMUSAT"/>
    <s v="Good Grid no GE - 8h"/>
    <s v="CENTRE"/>
    <s v="Yaounde"/>
    <s v="ZTE"/>
    <n v="4.521923591670875"/>
    <n v="8.785880610558936"/>
    <n v="9.284549400313329"/>
    <n v="9.245704599738039"/>
    <n v="9.245704599738039"/>
    <n v="5.291935262946127"/>
    <n v="9.245704599738039"/>
    <n v="7.369383020434719"/>
    <n v="3.392231895968702"/>
    <n v="9.245704599738039"/>
    <n v="9.424198063538535"/>
    <n v="0"/>
    <n v="9.77908045189808"/>
    <n v="9.245704599738039"/>
    <n v="9.245704599738039"/>
    <n v="9.245704599738039"/>
    <n v="4.600059069779387"/>
    <n v="9.245704599738039"/>
    <n v="9.245704599738039"/>
    <n v="9.245704599738039"/>
    <n v="0.3856300633787342"/>
    <n v="9.341211444127692"/>
    <n v="9.443192421946563"/>
    <n v="8.130619833177812"/>
    <m/>
    <n v="9.245704599738039"/>
    <m/>
    <n v="9.245704599738039"/>
    <m/>
    <n v="9.245704599738039"/>
    <m/>
    <m/>
    <n v="0"/>
    <n v="0"/>
    <n v="0"/>
    <n v="7.775309402938649"/>
    <m/>
    <n v="2.76461548997954"/>
    <n v="5.672382887905711"/>
    <n v="4.829490396482959"/>
    <n v="8.170081500743104"/>
    <n v="6.691935405626753"/>
    <x v="0"/>
    <m/>
    <x v="4"/>
    <x v="0"/>
    <s v="Defaut GE &amp; Power Cabinet"/>
    <x v="0"/>
    <s v="{05-25-2026 ocm ran 17H}: Power status check Ongoing      ;      {05-25-2026 ticket}: INC-20260525-00016892...2026-05-25 17:24:08...Transmission issue impacted by CTR_344_Z_Dragage(CTR-344)/Main site up awaited...Grid Outage...user:OCM_NOC.CAMUSAT"/>
  </r>
  <r>
    <s v="Monkey-Hill"/>
    <s v="SUO_011"/>
    <s v="SUD-OUEST"/>
    <s v="IHS"/>
    <s v="Grid-Gen"/>
    <s v="SUD-OUEST"/>
    <s v="Limbe"/>
    <s v="Huawei"/>
    <n v="0"/>
    <n v="0"/>
    <n v="0"/>
    <n v="0"/>
    <n v="0"/>
    <n v="0"/>
    <n v="0"/>
    <n v="0.03745366446653141"/>
    <n v="0"/>
    <n v="0"/>
    <n v="0"/>
    <n v="0"/>
    <n v="0"/>
    <n v="0"/>
    <n v="0"/>
    <n v="0"/>
    <n v="0"/>
    <n v="0"/>
    <n v="0"/>
    <n v="0"/>
    <n v="0"/>
    <n v="0"/>
    <n v="0"/>
    <n v="0.4897512505956916"/>
    <m/>
    <n v="0.2035874189930743"/>
    <m/>
    <n v="0"/>
    <m/>
    <n v="0"/>
    <m/>
    <m/>
    <n v="0"/>
    <n v="0"/>
    <n v="0"/>
    <n v="0"/>
    <m/>
    <n v="0"/>
    <n v="15.32531303829998"/>
    <n v="13.03716964003386"/>
    <n v="0.0976419286137979"/>
    <n v="6.616100652621186"/>
    <x v="0"/>
    <m/>
    <x v="4"/>
    <x v="0"/>
    <s v="Defaut GE &amp; Power Cabinet"/>
    <x v="0"/>
    <s v="{05-25-2026  incident}:    impacted by SUO_011_H_Monkey-Hill,   RCA: Power issue / En attente RCA IHS      ;      {hourly IHS}: 25/05/2026 00:08 6:14:50 No comm FME is informed and will manage in the morning, Insecurity area."/>
  </r>
  <r>
    <s v="Marouare-New"/>
    <s v="NRD_130"/>
    <s v="Garoua"/>
    <s v="IHS"/>
    <s v="Grid-Gen"/>
    <s v="NORD"/>
    <s v="Garoua"/>
    <s v="Huawei"/>
    <n v="0"/>
    <n v="0"/>
    <n v="5.265985223994316"/>
    <n v="0"/>
    <n v="0"/>
    <n v="0.3045517973478525"/>
    <n v="0"/>
    <n v="0"/>
    <n v="0"/>
    <n v="0"/>
    <n v="0"/>
    <n v="22.3028902814518"/>
    <n v="2.42833508830504"/>
    <n v="0.4705072010912215"/>
    <n v="0"/>
    <n v="0"/>
    <n v="1.814719218795034"/>
    <n v="2.882648038284066"/>
    <n v="0"/>
    <n v="0"/>
    <n v="0"/>
    <n v="0"/>
    <n v="0"/>
    <n v="0"/>
    <m/>
    <n v="0"/>
    <m/>
    <n v="1.075811924105321"/>
    <m/>
    <n v="0"/>
    <m/>
    <m/>
    <n v="1.570004109202044"/>
    <n v="0"/>
    <n v="9.341853506947121"/>
    <n v="0.0902811664426581"/>
    <m/>
    <n v="0"/>
    <n v="9.0436894755984"/>
    <n v="11.40614215381268"/>
    <n v="2.816738788312572"/>
    <n v="6.589508550849948"/>
    <x v="0"/>
    <m/>
    <x v="4"/>
    <x v="0"/>
    <s v="Defaut GE &amp; Power Cabinet"/>
    <x v="0"/>
    <s v="{05-25-2026 top offenders}: grid outage "/>
  </r>
  <r>
    <s v="Akongo-IHS"/>
    <s v="CTR_436"/>
    <s v="CENTRE"/>
    <s v="IHS"/>
    <s v="Gen Only"/>
    <s v="CENTRE"/>
    <s v="Akongo"/>
    <s v="NOKIA"/>
    <n v="0.08982171660866627"/>
    <n v="0.07500155668860796"/>
    <n v="0.08224079434780145"/>
    <n v="0.1180843486585741"/>
    <n v="0.1449602021663284"/>
    <n v="0.1274096657471469"/>
    <n v="0.1330036777641042"/>
    <n v="0.1570679802548896"/>
    <n v="0.1441675765654976"/>
    <n v="0.07139245031814807"/>
    <n v="0.229231169084087"/>
    <n v="0"/>
    <n v="5.96950364988253"/>
    <n v="5.535491092448486"/>
    <n v="4.508083570896577"/>
    <n v="0.1260226633907194"/>
    <n v="0.1808120239817596"/>
    <n v="0.4862199050888472"/>
    <n v="0.3023402476364954"/>
    <n v="0.161996016356907"/>
    <n v="0"/>
    <n v="0.2021427776493652"/>
    <n v="0.3082258234812361"/>
    <n v="0.2726091720813965"/>
    <m/>
    <n v="0.3526886737265042"/>
    <m/>
    <n v="0.3463572209238285"/>
    <m/>
    <n v="0.2247219867991885"/>
    <m/>
    <m/>
    <n v="4.375426258371785"/>
    <n v="8.980068943278743"/>
    <n v="6.296175017763739"/>
    <n v="5.89879163777384"/>
    <m/>
    <n v="7.581941483821444"/>
    <n v="22.29348764432934"/>
    <n v="9.759017428793891"/>
    <n v="0"/>
    <n v="6.459722685934259"/>
    <x v="2"/>
    <m/>
    <x v="9"/>
    <x v="5"/>
    <s v="EXCLU"/>
    <x v="4"/>
    <s v="Impacts :Coupure franche (25 sites VSAT Nokia)  ,Indisponibilité de plusieurs sites VSAT dans plusieurs regions @~Supervision Reseau Orange Cameroun  ; Cause: A Determiner_x000a_Action: Sans action      ;      {05-25-2026 ocm ran 22H}: Power status check Ongoing      ;      {05-25-2026 ticket}: INC-20260525-00021032"/>
  </r>
  <r>
    <s v="Bonamoutongo-III"/>
    <s v="LIT_718"/>
    <s v="Douala"/>
    <s v="CAMUSAT"/>
    <s v="Good Grid no GE - 8h"/>
    <s v="LITTORAL"/>
    <s v="Douala"/>
    <s v="ZTE"/>
    <n v="5.779243107812335"/>
    <n v="36.94622081824485"/>
    <n v="36.15056230434919"/>
    <n v="9.85673438289202"/>
    <n v="5.732782728795518"/>
    <n v="2.028829333995372"/>
    <n v="6.562149540711064"/>
    <n v="11.71857387860162"/>
    <n v="19.5421985087021"/>
    <n v="28.04892447343714"/>
    <n v="3.171933008592228"/>
    <n v="0"/>
    <n v="14.27970896005799"/>
    <n v="1.814915404656526"/>
    <n v="4.120723504921056"/>
    <n v="26.78118927155833"/>
    <n v="20.30603924287952"/>
    <n v="30.83963268299504"/>
    <n v="3.725516004485878"/>
    <n v="1.792532381368193"/>
    <n v="2.944696275750287"/>
    <n v="13.739930314782"/>
    <n v="1.833642236889791"/>
    <n v="5.415264829510919"/>
    <m/>
    <n v="3.003106157239757"/>
    <m/>
    <n v="21.84732887599056"/>
    <m/>
    <n v="1.101119900237706"/>
    <m/>
    <m/>
    <n v="10.74520664435142"/>
    <n v="7.987172298270995"/>
    <n v="3.964274197920857"/>
    <n v="0.3856300633787344"/>
    <m/>
    <n v="10.8750816846587"/>
    <n v="1.761027780775272"/>
    <n v="1.969494510575939"/>
    <n v="10.56037643340403"/>
    <n v="6.419772110503293"/>
    <x v="0"/>
    <m/>
    <x v="3"/>
    <x v="0"/>
    <s v="AKTIVCO Coupure ENEO &amp; Baisse de tension"/>
    <x v="0"/>
    <s v="{05-25-2026 top offenders}: grid outage "/>
  </r>
  <r>
    <s v="CRTV_Yaounde_Mballa_II"/>
    <s v="CTR_842"/>
    <s v="Yaounde"/>
    <s v="CAMUSAT"/>
    <s v="Good Grid no GE - 8h"/>
    <s v="CENTRE"/>
    <s v="Yaounde"/>
    <s v="ZTE"/>
    <n v="0.6753074054098784"/>
    <n v="4.093507175408709"/>
    <n v="14.45789922752709"/>
    <n v="22.85975493175586"/>
    <n v="27.7416082389501"/>
    <n v="10.31254547944971"/>
    <n v="0"/>
    <n v="2.368123863905511"/>
    <n v="0.66515924584728"/>
    <n v="0.3758921106174363"/>
    <n v="0.001533816735296345"/>
    <n v="0.05197141821689165"/>
    <n v="15.12443177440481"/>
    <n v="0"/>
    <n v="0.685045358171177"/>
    <n v="0.4163063980846549"/>
    <n v="0.442648808759449"/>
    <n v="0"/>
    <n v="0.3229397630930873"/>
    <n v="0.3173752186580598"/>
    <n v="0.006688154369023826"/>
    <n v="1.102849902834493"/>
    <n v="2.259740092970697"/>
    <n v="3.868374981808221"/>
    <m/>
    <n v="0.6301311520319155"/>
    <m/>
    <n v="0.3941552308144499"/>
    <m/>
    <n v="0.3619272442949155"/>
    <m/>
    <m/>
    <n v="0"/>
    <n v="0.6451304528968443"/>
    <n v="0.3373683414518614"/>
    <n v="3.53093530004309"/>
    <m/>
    <n v="0"/>
    <n v="0"/>
    <n v="12.31364391335244"/>
    <n v="4.223808570109025"/>
    <n v="6.33650012983937"/>
    <x v="0"/>
    <m/>
    <x v="2"/>
    <x v="1"/>
    <s v="no root cause"/>
    <x v="1"/>
    <s v="{05-25-2026 ocm ran 17H}: Power status check Ongoing      ;      {05-25-2026 ticket}: INC-20260525-00018206...Others"/>
  </r>
  <r>
    <s v="Maroua-Diguirwo-IHS"/>
    <s v="EXN_114"/>
    <s v="Maroua"/>
    <s v="IHS"/>
    <s v="Grid-Gen"/>
    <s v="EXTREME-NORD"/>
    <s v="Maroua"/>
    <s v="Huawei"/>
    <n v="0"/>
    <n v="0"/>
    <n v="0"/>
    <n v="0"/>
    <n v="0"/>
    <n v="0"/>
    <n v="0"/>
    <n v="0"/>
    <n v="0"/>
    <n v="0"/>
    <n v="0"/>
    <n v="0"/>
    <n v="0"/>
    <n v="0"/>
    <n v="0"/>
    <n v="0"/>
    <n v="0"/>
    <n v="0"/>
    <n v="0"/>
    <n v="0"/>
    <n v="0"/>
    <n v="0"/>
    <n v="0"/>
    <n v="0"/>
    <m/>
    <n v="0"/>
    <m/>
    <n v="0"/>
    <m/>
    <n v="0.7139381850453581"/>
    <m/>
    <m/>
    <n v="0"/>
    <n v="13.09487120219843"/>
    <n v="8.572162867081582"/>
    <n v="3.058537580650224"/>
    <m/>
    <n v="0.1530428070415743"/>
    <n v="4.622385685566866"/>
    <n v="5.914433666200857"/>
    <n v="6.790645581755741"/>
    <n v="6.186863822756418"/>
    <x v="0"/>
    <m/>
    <x v="2"/>
    <x v="1"/>
    <s v="no root cause"/>
    <x v="1"/>
    <s v=""/>
  </r>
  <r>
    <s v="Maroua-Loperey"/>
    <s v="EXN_082"/>
    <s v="Maroua"/>
    <s v="IHS"/>
    <s v="Grid-Lithium"/>
    <s v="EXTREME-NORD"/>
    <s v="Maroua"/>
    <s v="Huawei"/>
    <n v="2.869111213841163"/>
    <n v="1.004828312402085"/>
    <n v="3.853357845864973"/>
    <n v="2.010726729503215"/>
    <n v="2.491917142506556"/>
    <n v="0"/>
    <n v="0.003210314097131264"/>
    <n v="0"/>
    <n v="4.072907659952115"/>
    <n v="0.4113304112341017"/>
    <n v="2.529459982364674"/>
    <n v="0"/>
    <n v="2.159631798375153"/>
    <n v="0"/>
    <n v="6.891474261841779"/>
    <n v="13.86855689960706"/>
    <n v="13.8682893734323"/>
    <n v="0"/>
    <n v="6.664522890252915"/>
    <n v="0.8049505896990294"/>
    <n v="0"/>
    <n v="2.220467250515791"/>
    <n v="0"/>
    <n v="0.3612495113188541"/>
    <m/>
    <n v="2.934405435561148"/>
    <m/>
    <n v="3.364391338715246"/>
    <m/>
    <n v="1.612558606067351"/>
    <m/>
    <m/>
    <n v="0"/>
    <n v="3.226098141442158"/>
    <n v="0"/>
    <n v="0.8024001734996418"/>
    <m/>
    <n v="0"/>
    <n v="13.83655763781479"/>
    <n v="11.77170354050002"/>
    <n v="0.4704254739344275"/>
    <n v="6.173077307217072"/>
    <x v="0"/>
    <m/>
    <x v="4"/>
    <x v="0"/>
    <s v="Defaut GE &amp; Power Cabinet"/>
    <x v="0"/>
    <s v="{hourly IHS}: 25/05/2026 00:27 5:55:53 46.3V Grid only no space // awaiting grid return"/>
  </r>
  <r>
    <s v="Nkol-Mbanda"/>
    <s v="CTR_262"/>
    <s v="Yaounde"/>
    <s v="IHS"/>
    <s v="Grid-Gen"/>
    <s v="CENTRE"/>
    <s v="Yaounde"/>
    <s v="ZTE"/>
    <n v="0"/>
    <n v="0"/>
    <n v="0"/>
    <n v="0"/>
    <n v="4.503589131160593"/>
    <n v="6.163803066492026"/>
    <n v="6.163803066492026"/>
    <n v="6.163803066492026"/>
    <n v="6.163803066492026"/>
    <n v="6.163803066492026"/>
    <n v="6.163803066492026"/>
    <n v="0.7745417811678684"/>
    <n v="6.163803066492026"/>
    <n v="6.163803066492026"/>
    <n v="6.163803066492026"/>
    <n v="6.163803066492026"/>
    <n v="6.163803066492026"/>
    <n v="6.163803066492026"/>
    <n v="6.163803066492026"/>
    <n v="6.233894924279394"/>
    <n v="2.051194522205387"/>
    <n v="6.163803066492026"/>
    <n v="6.163803066492026"/>
    <n v="6.163803066492026"/>
    <m/>
    <n v="6.163803066492026"/>
    <m/>
    <n v="6.163803066492026"/>
    <m/>
    <n v="6.163803066492026"/>
    <m/>
    <m/>
    <n v="0"/>
    <n v="0"/>
    <n v="0"/>
    <n v="1.947661892572903"/>
    <m/>
    <n v="6.163803066492026"/>
    <n v="0"/>
    <n v="0"/>
    <n v="11.81963240943207"/>
    <n v="6.163803066492026"/>
    <x v="0"/>
    <m/>
    <x v="11"/>
    <x v="7"/>
    <s v="BSS Hardware issue"/>
    <x v="2"/>
    <s v="05-25-2026: hardware issue,  site with GPS issue (alarm : TDD down 09Apr 02pm)"/>
  </r>
  <r>
    <s v="Tagawa-IHS"/>
    <s v="EXN_274"/>
    <s v="EXTREME-NORD"/>
    <s v="IHS"/>
    <s v="Gen Only"/>
    <s v="EXTREME-NORD"/>
    <s v="Tagawa"/>
    <s v="NOKIA"/>
    <n v="9.205224783550682"/>
    <n v="9.269814193115494"/>
    <n v="6.197757159293769"/>
    <n v="6.114588131173064"/>
    <n v="6.19786537252212"/>
    <n v="6.566871251762367"/>
    <n v="9.170958590295006"/>
    <n v="8.892683488307819"/>
    <n v="6.197757159293769"/>
    <n v="6.197973585750471"/>
    <n v="6.198081798978821"/>
    <n v="9.245704599738039"/>
    <n v="9.158461690937324"/>
    <n v="9.056624574894245"/>
    <n v="8.401261058957488"/>
    <n v="6.343065556698294"/>
    <n v="5.46524322806717"/>
    <n v="9.244919856292073"/>
    <n v="7.644841770874493"/>
    <n v="4.242464367217035"/>
    <n v="9.341211444127692"/>
    <n v="7.441480638568241"/>
    <n v="7.433012090406306"/>
    <n v="6.861206866237758"/>
    <m/>
    <n v="6.956766632768123"/>
    <m/>
    <n v="5.178464467415105"/>
    <m/>
    <n v="6.163196673829234"/>
    <m/>
    <m/>
    <n v="7.321231875993415"/>
    <n v="4.940176916676969"/>
    <n v="9.022238596093437"/>
    <n v="6.163446364925678"/>
    <m/>
    <n v="6.163303684299138"/>
    <n v="21.57846040709967"/>
    <n v="9.180207472688883"/>
    <n v="0"/>
    <n v="6.163303684299138"/>
    <x v="1"/>
    <m/>
    <x v="8"/>
    <x v="4"/>
    <s v="SPARE-ISSUE"/>
    <x v="3"/>
    <s v="{05-25-2026 ocm ran 22H}: 23/05/2026   defaut Carte EAC. Commande passee au SPM Car spare pas disponible chez Huawei. Commande passée à OCM_x000a_21/05/2026   defaut Carte EAC. Commande passee au SPM Car spare pas disponible chez Huawei. Commande passée à OCM_x000a_18/05/2026  defaut Carte EAC. Commande passee au SPM Car spare pas disponible chez Huawei. Commande passée à OCM      ;      {05-25-2026 ocm ran 17H}: 23/05/2026   defaut Carte EAC. Commande passee au SPM Car spare pas disponible chez Huawei. Commande passée à OCM_x000a_21/05/2026   defaut Carte EAC. Commande passee au SPM Car spare pas disponible chez Huawei. Commande passée à OCM_x000a_18/05/2026  defaut Carte EAC. Commande passee au SPM Car spare pas disponible chez Huawei. Commande passée à OCM"/>
  </r>
  <r>
    <s v="Fio-MTN"/>
    <s v="EST_084"/>
    <s v="CENTRE"/>
    <s v="IHS"/>
    <s v="Grid-Gen"/>
    <s v="EST"/>
    <s v="Fio"/>
    <s v="NOKIA"/>
    <n v="0"/>
    <n v="0"/>
    <n v="0"/>
    <n v="0.4819038161360373"/>
    <n v="0"/>
    <n v="0"/>
    <n v="0"/>
    <n v="0"/>
    <n v="0"/>
    <n v="0.009987643857741695"/>
    <n v="0.09454375016051589"/>
    <n v="0"/>
    <n v="0.2692918475143608"/>
    <n v="0.5266163574777489"/>
    <n v="0"/>
    <n v="0.4354434371192211"/>
    <n v="0.05593080560335403"/>
    <n v="0"/>
    <n v="0.1208326556003572"/>
    <n v="0.2027670053904738"/>
    <n v="0"/>
    <n v="0.176050058071015"/>
    <n v="0.002175879554722185"/>
    <n v="0.2686141145382998"/>
    <m/>
    <n v="0"/>
    <m/>
    <n v="5.309199618757367"/>
    <m/>
    <n v="6.162732961792982"/>
    <m/>
    <m/>
    <n v="6.162768631949616"/>
    <n v="6.162804302106252"/>
    <n v="6.162768631949616"/>
    <n v="6.162982652889426"/>
    <m/>
    <n v="6.163125333515965"/>
    <n v="21.57446374830642"/>
    <n v="9.180207472688883"/>
    <n v="0"/>
    <n v="6.162732961792982"/>
    <x v="0"/>
    <m/>
    <x v="8"/>
    <x v="4"/>
    <s v="SPARE-ISSUE"/>
    <x v="3"/>
    <s v="{05-25-2026 ocm ran 22H}: 23/05/2026  ODU MPT-MC 7/8GHz(3DB20858AC)Faulty. Pas disponible au WH point transmis a OCM _x000a_22/05/2026  ODU MPT-MC 7/8GHz(3DB20858AC)Faulty. Pas disponible au WH point transmis a OCM _x000a_21/05/2026  ODU MPT-MC 7/8GHz(3DB20858AC)Faulty. Pas disponible au WH point transmis a OCM _x000a_15/05/2026 ODU MPT-MC 7/8GHz(3DB20858AC)Faulty. Pas disponible au WH point transmis a OCM _x000a_14/05/2026 ODU MPT-MC 7/8GHz(3DB20858AC)Faulty. Pas disponible au WH point transmis a OCM _x000a_13/05/2026 ODU MPT-MC 7/8GHz(3DB20858AC)Faulty. Pas disponible au WH point transmis a OCM _x000a_12.05.2026: ODU MPT-MC 7/8GHz(3DB20858AC)Faulty. Commande en Cours Update ASAP_x000a_12.05.2026 FME :Présent sur fio. Et après troobleshoting avec le BO duboa, L'odu 5.2 en direction de ndemba est faulty.      ;      {05-25-2026 ocm ran 17H}: 23/05/2026  ODU MPT-MC 7/8GHz(3DB20858AC)Faulty. Pas disponible au WH point transmis a OCM _x000a_22/05/2026  ODU MPT-MC 7/8GHz(3DB20858AC)Faulty. Pas disponible au WH point transmis a OCM _x000a_21/05/2026  ODU MPT-MC 7/8GHz(3DB20858AC)Faulty. Pas disponible au WH point transmis a OCM _x000a_15/05/2026 ODU MPT-MC 7/8GHz(3DB20858AC)Faulty. Pas disponible au WH point transmis a OCM _x000a_14/05/2026 ODU MPT-MC 7/8GHz(3DB20858AC)Faulty. Pas disponible au WH point transmis a OCM _x000a_13/05/2026 ODU MPT-MC 7/8GHz(3DB20858AC)Faulty. Pas disponible au WH point transmis a OCM _x000a_12.05.2026: ODU MPT-MC 7/8GHz(3DB20858AC)Faulty. Commande en Cours Update ASAP_x000a_12.05.2026 FME :Présent sur fio. Et après troobleshoting avec le BO duboa, L'odu 5.2 en direction de ndemba est faulty."/>
  </r>
  <r>
    <s v="Ndoghem-PK12-IHS"/>
    <s v="LIT_159"/>
    <s v="Douala"/>
    <s v="IHS"/>
    <s v="Grid-Gen"/>
    <s v="LITTORAL"/>
    <s v="Douala"/>
    <s v="ZTE"/>
    <n v="0"/>
    <n v="0"/>
    <n v="0"/>
    <n v="0"/>
    <n v="0"/>
    <n v="0"/>
    <n v="0"/>
    <n v="0"/>
    <n v="0"/>
    <n v="0"/>
    <n v="0"/>
    <n v="0.005368358573536438"/>
    <n v="0.2035160786798048"/>
    <n v="0"/>
    <n v="0"/>
    <n v="0"/>
    <n v="1.447976503354421"/>
    <n v="0"/>
    <n v="0"/>
    <n v="2.951616286137436"/>
    <n v="0"/>
    <n v="1.585484957181544"/>
    <n v="0"/>
    <n v="0.8709403794733948"/>
    <m/>
    <n v="0"/>
    <m/>
    <n v="0"/>
    <m/>
    <n v="0"/>
    <m/>
    <m/>
    <n v="0"/>
    <n v="0"/>
    <n v="0"/>
    <n v="0"/>
    <m/>
    <n v="0"/>
    <n v="5.864222509981656"/>
    <n v="4.981856339953284"/>
    <n v="6.956722361212345"/>
    <n v="6.137728181991994"/>
    <x v="0"/>
    <m/>
    <x v="4"/>
    <x v="0"/>
    <s v="Defaut GE &amp; Power Cabinet"/>
    <x v="0"/>
    <s v="{05-25-2026 ocm ran 17H}: Power status check Ongoing      ;      {05-25-2026 ticket}: INC-20260525-00016180...Grid Outage"/>
  </r>
  <r>
    <s v="Manguier"/>
    <s v="CTR_049"/>
    <s v="Yaounde"/>
    <s v="IHS"/>
    <s v="Grid-Gen"/>
    <s v="CENTRE"/>
    <s v="Yaounde"/>
    <s v="ZTE"/>
    <n v="6.336517964917686"/>
    <n v="9.245704599738039"/>
    <n v="9.245704599738039"/>
    <n v="9.245704599738039"/>
    <n v="9.245704599738039"/>
    <n v="7.671919453932706"/>
    <n v="9.245704599738039"/>
    <n v="7.475965448459477"/>
    <n v="4.643291299620754"/>
    <n v="9.245704599738039"/>
    <n v="10.62918945989676"/>
    <n v="1.365845967702813"/>
    <n v="9.245704599738039"/>
    <n v="9.245704599738039"/>
    <n v="9.245704599738039"/>
    <n v="9.245704599738039"/>
    <n v="5.792762097176921"/>
    <n v="9.245704599738039"/>
    <n v="9.245704599738039"/>
    <n v="9.245704599738039"/>
    <n v="2.534988856643067"/>
    <n v="9.245704599738039"/>
    <n v="9.345581038315457"/>
    <n v="8.178863720026367"/>
    <m/>
    <n v="9.245704599738039"/>
    <m/>
    <n v="9.245704599738039"/>
    <m/>
    <n v="9.245704599738039"/>
    <m/>
    <m/>
    <n v="0"/>
    <n v="0"/>
    <n v="0"/>
    <n v="0.001391136108756881"/>
    <m/>
    <n v="0"/>
    <n v="4.318764512867243"/>
    <n v="4.784492504530602"/>
    <n v="7.483886174751076"/>
    <n v="6.12568950412775"/>
    <x v="0"/>
    <m/>
    <x v="5"/>
    <x v="2"/>
    <s v="IP &amp; VLAN"/>
    <x v="2"/>
    <s v="{05-25-2026 goupe whatsapp incident}:    impacted by    CTR_007_Z_Messamendongo(CTR-007)  ,Cause: Boucle etherneet  ,Action: Desactivation de la bouclee      ;      {hourly IHS}: 25/05/2026 08:10 3:50:00 44 FME is informed and managing with L0.      ;      {05-25-2026 ticket}: INC-20260525-00022509...Grid Outage"/>
  </r>
  <r>
    <s v="Bambili-Campus-II-IHS"/>
    <s v="NRO_129"/>
    <s v="NORD-OUEST"/>
    <s v="IHS"/>
    <s v="GenOnly"/>
    <s v="NORD-OUEST"/>
    <s v="Bamenda"/>
    <s v="Huawei"/>
    <n v="1.559784609326176"/>
    <n v="3.233963410980131"/>
    <n v="1.545070669714325"/>
    <n v="0.190692657369597"/>
    <n v="14.34152534150607"/>
    <n v="0"/>
    <n v="0.03691861211700952"/>
    <n v="0.08550136545359598"/>
    <n v="5.115510668230446"/>
    <n v="0"/>
    <n v="4.630432208153913"/>
    <n v="3.081901533246013"/>
    <n v="0.00470846067579252"/>
    <n v="0"/>
    <n v="0"/>
    <n v="0"/>
    <n v="0"/>
    <n v="0.1228658545285404"/>
    <n v="0"/>
    <n v="0"/>
    <n v="3.081901533246013"/>
    <n v="0.8041836813313815"/>
    <n v="0.1873039924892918"/>
    <n v="1.726328570654019"/>
    <m/>
    <n v="0"/>
    <m/>
    <n v="12.21770638039226"/>
    <m/>
    <n v="0"/>
    <m/>
    <m/>
    <n v="0"/>
    <n v="0"/>
    <n v="0"/>
    <n v="0"/>
    <m/>
    <n v="0"/>
    <n v="3.448991642986464"/>
    <n v="4.406287082088055"/>
    <n v="7.76843288090407"/>
    <n v="6.022905947784598"/>
    <x v="1"/>
    <m/>
    <x v="2"/>
    <x v="1"/>
    <s v="no root cause"/>
    <x v="1"/>
    <s v=""/>
  </r>
  <r>
    <s v="Maroua-Djarengol-II"/>
    <s v="EXN_143"/>
    <s v="Maroua"/>
    <s v="IHS"/>
    <s v="Solar-Grid-Gen"/>
    <s v="EXTREME-NORD"/>
    <s v="Maroua"/>
    <s v="Huawei"/>
    <n v="1.224021424922881"/>
    <n v="1.200746647718679"/>
    <n v="0.2326050914154774"/>
    <n v="0.5405098834870002"/>
    <n v="0.7580264986459607"/>
    <n v="0.5575602183584308"/>
    <n v="0.7670867184311979"/>
    <n v="0.3432539172966017"/>
    <n v="0.08070372938621649"/>
    <n v="1.782170200865786"/>
    <n v="1.305153196188715"/>
    <n v="2.228332520053762"/>
    <n v="0.1559677598856272"/>
    <n v="0.6561525312969956"/>
    <n v="1.040213107783799"/>
    <n v="0.09078054863554517"/>
    <n v="1.766974714139365"/>
    <n v="0.6194122699631598"/>
    <n v="1.839064100698279"/>
    <n v="2.153799727765365"/>
    <n v="0.006973515622101158"/>
    <n v="1.077595431937061"/>
    <n v="0.1606048802481501"/>
    <n v="0.3194262526645607"/>
    <m/>
    <n v="1.819891391507078"/>
    <m/>
    <n v="1.135202734902249"/>
    <m/>
    <n v="2.472976289333482"/>
    <m/>
    <m/>
    <n v="0.2079570131808363"/>
    <n v="3.333197786738121"/>
    <n v="13.09929430162114"/>
    <n v="0.9257297400644345"/>
    <m/>
    <n v="14.17952932514918"/>
    <n v="6.522672046169403"/>
    <n v="8.279612119233894"/>
    <n v="4.15397150593061"/>
    <n v="5.877246863166425"/>
    <x v="0"/>
    <m/>
    <x v="2"/>
    <x v="1"/>
    <s v="no root cause"/>
    <x v="1"/>
    <s v=""/>
  </r>
  <r>
    <s v="Nsimalen-highway-I"/>
    <s v="CTR_724"/>
    <s v="Yaounde"/>
    <m/>
    <m/>
    <s v="CENTRE"/>
    <s v="Yaounde"/>
    <s v="ZTE"/>
    <n v="0"/>
    <n v="0"/>
    <n v="0"/>
    <n v="0"/>
    <n v="2.343422280435918"/>
    <n v="0"/>
    <n v="0"/>
    <n v="0.205834638861066"/>
    <n v="0"/>
    <n v="0"/>
    <n v="0.0139113610875684"/>
    <n v="4.621354153290357"/>
    <n v="0"/>
    <n v="0"/>
    <n v="0"/>
    <n v="0"/>
    <n v="1.208968618822999"/>
    <n v="0"/>
    <n v="1.31018268827422"/>
    <n v="0"/>
    <n v="0"/>
    <n v="0"/>
    <n v="0"/>
    <n v="0"/>
    <m/>
    <n v="0"/>
    <m/>
    <n v="0.631664968767211"/>
    <m/>
    <n v="0"/>
    <m/>
    <m/>
    <n v="0"/>
    <n v="2.964707233622405"/>
    <n v="0"/>
    <n v="0"/>
    <m/>
    <n v="0"/>
    <n v="4.608772066552362"/>
    <n v="4.206798198639291"/>
    <n v="7.193935817207196"/>
    <n v="5.821958120382499"/>
    <x v="0"/>
    <m/>
    <x v="5"/>
    <x v="2"/>
    <s v="IP &amp; VLAN"/>
    <x v="2"/>
    <s v="{05-25-2026 goupe whatsapp incident}:    impacted by    CTR_007_Z_Messamendongo(CTR-007)  ,Cause: Boucle etherneet  ,Action: Desactivation de la bouclee      ;      {05-25-2026 ticket}: INC-20260525-00019024...Grid Outage"/>
  </r>
  <r>
    <s v="LIMBE-ALPHA-CLUB-TOWE-IHS"/>
    <s v="SUO_208"/>
    <s v="SUD-OUEST"/>
    <s v="IHS"/>
    <s v="Grid-Gen"/>
    <s v="SUD-OUEST"/>
    <s v="Limbe"/>
    <s v="Huawei"/>
    <n v="0"/>
    <n v="0"/>
    <n v="0.3353529776019952"/>
    <n v="0"/>
    <n v="0.665052235377376"/>
    <n v="0"/>
    <n v="0"/>
    <n v="0.04788718528220801"/>
    <n v="0"/>
    <n v="0"/>
    <n v="0"/>
    <n v="0"/>
    <n v="0"/>
    <n v="0"/>
    <n v="0"/>
    <n v="0"/>
    <n v="0"/>
    <n v="0"/>
    <n v="0"/>
    <n v="0"/>
    <n v="0"/>
    <n v="0"/>
    <n v="0"/>
    <n v="0.4898404259872787"/>
    <m/>
    <n v="0.2039262854811049"/>
    <m/>
    <n v="0"/>
    <m/>
    <n v="0"/>
    <m/>
    <m/>
    <n v="0"/>
    <n v="0"/>
    <n v="0"/>
    <n v="0"/>
    <m/>
    <n v="2.150785599529724"/>
    <n v="12.52390501540712"/>
    <n v="10.67039740098126"/>
    <n v="0.6785344531340632"/>
    <n v="5.724435912142978"/>
    <x v="0"/>
    <m/>
    <x v="4"/>
    <x v="0"/>
    <s v="Defaut GE &amp; Power Cabinet"/>
    <x v="0"/>
    <s v="{hourly IHS}: 25/05/2026 06:40 16:19:32 Our FME GUY is ma,naging with level zero"/>
  </r>
  <r>
    <s v="IHS-KUMBA ALASKA STREET"/>
    <s v="SUO_230"/>
    <s v="SUD-OUEST"/>
    <s v="IHS"/>
    <s v="Grid-Gen"/>
    <s v="SUD-OUEST"/>
    <s v="Kumba"/>
    <s v="Huawei"/>
    <n v="0"/>
    <n v="0.001070104699043754"/>
    <n v="0"/>
    <n v="0.0002675261747609386"/>
    <n v="0.001070104699043754"/>
    <n v="0.00196185861491355"/>
    <n v="0.002140209398087509"/>
    <n v="0.002140209398087509"/>
    <n v="0.08248723721795609"/>
    <n v="0.00401289262141408"/>
    <n v="0.001070104699043754"/>
    <n v="7.134031326982153e-05"/>
    <n v="0.0002675261747609386"/>
    <n v="0.01114692394837244"/>
    <n v="0.0008917539158697954"/>
    <n v="0"/>
    <n v="0.002942787922370325"/>
    <n v="0.005707225061566692"/>
    <n v="0.001070104699043754"/>
    <n v="0.002140209398087509"/>
    <n v="7.134031326947414e-05"/>
    <n v="0.07060907505857042"/>
    <n v="0.004904646537283874"/>
    <n v="1.071888206875494"/>
    <m/>
    <n v="0.05330904909069638"/>
    <m/>
    <n v="5.0051472036024"/>
    <m/>
    <n v="0.0008025785242828158"/>
    <m/>
    <m/>
    <n v="0.009613107213076393"/>
    <n v="0.005760730296518877"/>
    <n v="0.00718753656191055"/>
    <n v="0.01993961755884862"/>
    <m/>
    <n v="0.002639591590974594"/>
    <n v="7.800978382072588"/>
    <n v="13.33324195626821"/>
    <n v="0.1275672132152245"/>
    <n v="5.656626944380237"/>
    <x v="0"/>
    <m/>
    <x v="4"/>
    <x v="0"/>
    <s v="Defaut GE &amp; Power Cabinet"/>
    <x v="0"/>
    <s v="{hourly IHS}: 25/05/2026 19:26 3:33:44 FME Ndassie is managing with level 0      ;      {05-25-2026 ocm ran 22H}: Power status check Ongoing"/>
  </r>
  <r>
    <s v="Kousseri-Market-MTN-IHS"/>
    <s v="EXN_180"/>
    <s v="EXTREME-NORD"/>
    <s v="IHS"/>
    <s v="Grid-Gen"/>
    <s v="EXTREME-NORD"/>
    <s v="Kousseri"/>
    <s v="Huawei"/>
    <n v="0"/>
    <n v="0"/>
    <n v="0"/>
    <n v="0"/>
    <n v="0.0005350523495218772"/>
    <n v="0.04200160943746736"/>
    <n v="0.4688663738860209"/>
    <n v="0.1947233850693286"/>
    <n v="0.4988649756158809"/>
    <n v="0"/>
    <n v="0"/>
    <n v="0"/>
    <n v="2.990853458435707"/>
    <n v="3.542367585244541"/>
    <n v="0"/>
    <n v="0"/>
    <n v="0"/>
    <n v="0"/>
    <n v="0"/>
    <n v="0"/>
    <m/>
    <n v="0"/>
    <n v="0"/>
    <n v="0"/>
    <m/>
    <n v="0"/>
    <m/>
    <n v="0"/>
    <m/>
    <n v="0.01878033746821789"/>
    <m/>
    <m/>
    <n v="1.320384353071771"/>
    <n v="6.650397508225538"/>
    <n v="15.69165860521127"/>
    <n v="9.068120724931726"/>
    <m/>
    <n v="0"/>
    <n v="4.403193929874625"/>
    <n v="7.260067202518777"/>
    <n v="4.949129068197088"/>
    <n v="5.646978167010526"/>
    <x v="1"/>
    <m/>
    <x v="4"/>
    <x v="0"/>
    <s v="Defaut GE &amp; Power Cabinet"/>
    <x v="0"/>
    <s v="(05/25/2026 cell huawei): 25/05/2026 : Power issue || Mail sent to HIS || Feedback HIS : Nous vérifions l'état de l'énergie dans le site et un retour vous sera fait dès que possible"/>
  </r>
  <r>
    <s v="Montesquieux"/>
    <s v="CTR_270"/>
    <s v="Yaounde"/>
    <s v="IHS"/>
    <s v="Grid-Gen"/>
    <s v="CENTRE"/>
    <s v="Yaounde"/>
    <s v="ZTE"/>
    <n v="31.58405101688483"/>
    <n v="23.1142614993451"/>
    <n v="23.1142614993451"/>
    <n v="12.64988599817939"/>
    <n v="0.3503344433886075"/>
    <n v="0.6395837435401355"/>
    <n v="0.7110667374362584"/>
    <n v="0.9796451818179227"/>
    <n v="1.249917958639739"/>
    <n v="0.2716817480088918"/>
    <n v="0"/>
    <n v="4.46080277827716"/>
    <n v="10.99536145283121"/>
    <n v="0"/>
    <n v="0.7106565306349568"/>
    <n v="2.488064765589998"/>
    <n v="0"/>
    <n v="0"/>
    <n v="0"/>
    <n v="0"/>
    <n v="1.567525033315926"/>
    <n v="0.6200721678609042"/>
    <n v="0.1114335693270898"/>
    <n v="0"/>
    <m/>
    <n v="0"/>
    <m/>
    <n v="2.13869341643053"/>
    <m/>
    <n v="0"/>
    <m/>
    <m/>
    <n v="0"/>
    <n v="0"/>
    <n v="2.185599672405282"/>
    <n v="0"/>
    <m/>
    <n v="0.3993809087614457"/>
    <n v="4.459896526503843"/>
    <n v="4.067235669526131"/>
    <n v="6.925565864901603"/>
    <n v="5.613894096731758"/>
    <x v="0"/>
    <m/>
    <x v="4"/>
    <x v="0"/>
    <s v="Defaut GE &amp; Power Cabinet"/>
    <x v="0"/>
    <s v="{05-25-2026 ocm ran 17H}: Power status check Ongoing      ;      {05-25-2026 ticket}: INC-20260525-00016354...Grid Outage"/>
  </r>
  <r>
    <s v="Omnisport-Rail-IHS"/>
    <s v="CTR_161"/>
    <s v="Yaounde"/>
    <s v="IHS"/>
    <s v="Grid-Gen"/>
    <s v="CENTRE"/>
    <s v="Yaounde"/>
    <s v="ZTE"/>
    <n v="0"/>
    <n v="0"/>
    <n v="0"/>
    <n v="0"/>
    <n v="0"/>
    <n v="0"/>
    <n v="0"/>
    <n v="2.313049142061393"/>
    <n v="0"/>
    <n v="0"/>
    <n v="0"/>
    <n v="0"/>
    <n v="0"/>
    <n v="0"/>
    <n v="0"/>
    <n v="0"/>
    <n v="0"/>
    <n v="0"/>
    <n v="0"/>
    <n v="0"/>
    <n v="0"/>
    <n v="0"/>
    <n v="0.2005732907574349"/>
    <n v="0"/>
    <m/>
    <n v="0"/>
    <m/>
    <n v="2.098386139433214"/>
    <m/>
    <n v="0"/>
    <m/>
    <m/>
    <n v="0"/>
    <n v="0"/>
    <n v="0"/>
    <n v="0.004654955440840332"/>
    <m/>
    <n v="0"/>
    <n v="2.87472173263152"/>
    <n v="2.480356056046868"/>
    <n v="8.34505036476699"/>
    <n v="5.595042418950271"/>
    <x v="0"/>
    <m/>
    <x v="4"/>
    <x v="0"/>
    <s v="Defaut GE &amp; Power Cabinet"/>
    <x v="0"/>
    <s v="{hourly IHS}: 25/05/2026 06:05 0:18:44 0.1V FME is informed and managing      ;      {05-25-2026 ticket}: INC-20260525-00011535...tickets arrivé déjà OLSA power issues responsabilité ihs ...Grid Outage"/>
  </r>
  <r>
    <s v="Ossing-IHS"/>
    <s v="SUO_100"/>
    <s v="SUD-OUEST"/>
    <s v="IHS"/>
    <s v="Hybrid-Gen"/>
    <s v="SUD-OUEST"/>
    <s v="Ossing"/>
    <s v="NOKIA"/>
    <n v="9.296473419098129"/>
    <n v="9.296365205869778"/>
    <n v="9.296311099255602"/>
    <n v="9.296419312483954"/>
    <n v="9.296365205869778"/>
    <n v="9.296473419098129"/>
    <n v="7.589278510802456"/>
    <n v="2.002477624324048"/>
    <n v="2.983489384959347"/>
    <n v="0.5657824541474568"/>
    <n v="3.508118787430333"/>
    <n v="0.2636663574436108"/>
    <n v="1.837141972036308"/>
    <n v="0.9793954907214788"/>
    <n v="0.8482719949319841"/>
    <n v="2.569053856229293"/>
    <n v="1.494187191274794"/>
    <n v="1.927633099622467"/>
    <n v="3.908058031064427"/>
    <n v="6.762740666546815"/>
    <n v="1.230103186629113"/>
    <n v="5.903464428292997"/>
    <n v="0.7370346114663858"/>
    <n v="1.818749946494765"/>
    <m/>
    <n v="0.3725747860504006"/>
    <m/>
    <n v="0.7532110275002639"/>
    <m/>
    <n v="1.661979608084855"/>
    <m/>
    <m/>
    <n v="0.6659261542149283"/>
    <n v="6.036193081131058"/>
    <n v="1.844557304820037"/>
    <n v="0.8590443822356912"/>
    <m/>
    <n v="3.360770817816816"/>
    <n v="18.32567973174426"/>
    <n v="8.806730282104375"/>
    <n v="0"/>
    <n v="5.573426304029586"/>
    <x v="1"/>
    <m/>
    <x v="7"/>
    <x v="3"/>
    <s v="Sites strategiques, MLL, Pylone, etc."/>
    <x v="0"/>
    <s v="{05-25-2026 groupe whatsapp  incident}:    impacted by   OST_033_H_Batchingou  Cause: infiltration d'eau dans la radio de Yenon dir Batchingou   , Action: Sans action      ;      {05-25-2026 ticket}: INC-20260525-00027914...Auto TT closure RCA...Others"/>
  </r>
  <r>
    <s v="Ndjokloumbe-IHS"/>
    <s v="LIT_500"/>
    <s v="LITTORAL"/>
    <s v="IHS"/>
    <s v="Hybrid-Gen"/>
    <s v="LITTORAL"/>
    <s v="Ndjokloumbe"/>
    <s v="NOKIA"/>
    <n v="0"/>
    <n v="0"/>
    <n v="0"/>
    <n v="0"/>
    <n v="3.14071092321449"/>
    <n v="1.053115173537451"/>
    <n v="0.0623537381115323"/>
    <n v="0.03606097722754534"/>
    <n v="0.205852059396424"/>
    <n v="6.482468978853726"/>
    <n v="5.59796814249391"/>
    <n v="0"/>
    <n v="4.792249441668787"/>
    <n v="4.915239702642529"/>
    <n v="4.707604592033284"/>
    <n v="4.972921674708971"/>
    <n v="5.076005969757414"/>
    <n v="4.777732119977284"/>
    <n v="5.223733048169796"/>
    <n v="5.55175668387395"/>
    <n v="0.002140581026737913"/>
    <n v="4.767138083456753"/>
    <n v="5.053719255272687"/>
    <n v="4.985674493716268"/>
    <m/>
    <n v="4.884401061395425"/>
    <m/>
    <n v="4.955708366506579"/>
    <m/>
    <n v="7.134123183959618"/>
    <m/>
    <m/>
    <n v="7.299695794631941"/>
    <n v="4.787176429254565"/>
    <n v="4.98288902586229"/>
    <n v="5.264292369639246"/>
    <m/>
    <n v="4.811921965111734"/>
    <n v="32.36731592388763"/>
    <n v="2.771754290469234"/>
    <n v="0"/>
    <n v="5.552559606114946"/>
    <x v="0"/>
    <m/>
    <x v="4"/>
    <x v="0"/>
    <s v="Defaut GE &amp; Power Cabinet"/>
    <x v="0"/>
    <s v="{05-25-2026 top offenders}: grid outage "/>
  </r>
  <r>
    <s v="China-Embassy-IHS"/>
    <s v="CTR_874"/>
    <s v="Yaounde"/>
    <s v="IHS"/>
    <s v="GridOnly"/>
    <s v="CENTRE"/>
    <s v="Yaounde"/>
    <s v="ZTE"/>
    <n v="0"/>
    <n v="0"/>
    <n v="0"/>
    <n v="0"/>
    <n v="0"/>
    <n v="0"/>
    <n v="0"/>
    <n v="0"/>
    <n v="0"/>
    <n v="0"/>
    <n v="0"/>
    <n v="0"/>
    <n v="0"/>
    <n v="0"/>
    <n v="0.8400321887493473"/>
    <n v="0"/>
    <n v="0"/>
    <n v="0"/>
    <n v="0"/>
    <n v="0"/>
    <n v="0"/>
    <n v="0"/>
    <n v="0"/>
    <n v="0"/>
    <m/>
    <n v="0"/>
    <m/>
    <n v="0"/>
    <m/>
    <n v="0"/>
    <m/>
    <m/>
    <n v="0"/>
    <n v="0"/>
    <n v="0"/>
    <n v="0"/>
    <m/>
    <n v="0"/>
    <n v="4.845574100052357"/>
    <n v="4.129977712496302"/>
    <n v="6.646833214042599"/>
    <n v="5.544676157781944"/>
    <x v="0"/>
    <m/>
    <x v="5"/>
    <x v="2"/>
    <s v="IP &amp; VLAN"/>
    <x v="2"/>
    <s v="{05-25-2026 goupe whatsapp incident}:    impacted by    CTR_007_Z_Messamendongo(CTR-007)  ,Cause: Boucle etherneet  ,Action: Desactivation de la bouclee      ;      {05-25-2026 ocm ran 22H}: Power status check Ongoing      ;      {05-25-2026 ticket}: INC-20260525-00022865...Auto TT closure RCA...Others"/>
  </r>
  <r>
    <s v="Odza-II-MTN-IHS"/>
    <s v="CTR_467"/>
    <s v="Yaounde"/>
    <s v="IHS"/>
    <s v="Grid-Gen"/>
    <s v="CENTRE"/>
    <s v="Yaounde"/>
    <s v="ZTE"/>
    <n v="0"/>
    <n v="0"/>
    <n v="0"/>
    <n v="0"/>
    <n v="0"/>
    <n v="0"/>
    <n v="0"/>
    <n v="0"/>
    <n v="0"/>
    <n v="1.337184996846758"/>
    <n v="0"/>
    <n v="0"/>
    <n v="0"/>
    <n v="0"/>
    <n v="0"/>
    <n v="0"/>
    <n v="0"/>
    <n v="0"/>
    <n v="0"/>
    <n v="0"/>
    <n v="0"/>
    <n v="0"/>
    <n v="0"/>
    <n v="0"/>
    <m/>
    <n v="0"/>
    <m/>
    <n v="0.7412615250276086"/>
    <m/>
    <n v="0"/>
    <m/>
    <m/>
    <n v="0"/>
    <n v="0"/>
    <n v="0"/>
    <n v="0"/>
    <m/>
    <n v="0"/>
    <n v="4.70131969673353"/>
    <n v="3.773022770314609"/>
    <n v="6.91533996764923"/>
    <n v="5.544265950980644"/>
    <x v="0"/>
    <m/>
    <x v="5"/>
    <x v="2"/>
    <s v="IP &amp; VLAN"/>
    <x v="2"/>
    <s v="{05-25-2026 goupe whatsapp incident}:    impacted by    CTR_007_Z_Messamendongo(CTR-007)  ,Cause: Boucle etherneet  ,Action: Desactivation de la bouclee      ;      {05-25-2026 ticket}: INC-20260525-00020343...Others"/>
  </r>
  <r>
    <s v="Bamenda-Old-Town-IHS"/>
    <s v="NRO_119"/>
    <s v="NORD-OUEST"/>
    <s v="IHS"/>
    <s v="Grid-Gen"/>
    <s v="NORD-OUEST"/>
    <s v="Bamenda"/>
    <s v="Huawei"/>
    <n v="10.11944508650726"/>
    <n v="6.930443907965287"/>
    <n v="0.01444641343709068"/>
    <n v="0"/>
    <n v="8.659911452403172"/>
    <n v="0"/>
    <n v="0"/>
    <n v="1.361547713828321"/>
    <n v="17.79812403512226"/>
    <n v="1.018900189194511"/>
    <n v="1.365810297546179"/>
    <n v="0"/>
    <n v="0"/>
    <n v="0"/>
    <n v="0"/>
    <n v="0"/>
    <n v="0"/>
    <n v="3.079101425950182"/>
    <n v="0.05773214851341055"/>
    <n v="0"/>
    <n v="0"/>
    <n v="0"/>
    <n v="0"/>
    <n v="0"/>
    <m/>
    <n v="0"/>
    <m/>
    <n v="0"/>
    <m/>
    <n v="0"/>
    <m/>
    <m/>
    <n v="0"/>
    <n v="0"/>
    <n v="0"/>
    <n v="3.368796603059643"/>
    <m/>
    <n v="0.0975578783961556"/>
    <n v="6.945443609142757"/>
    <n v="8.884028904053233"/>
    <n v="3.001591546336242"/>
    <n v="5.539575325383169"/>
    <x v="0"/>
    <m/>
    <x v="4"/>
    <x v="0"/>
    <s v="Defaut GE &amp; Power Cabinet"/>
    <x v="0"/>
    <s v="{hourly IHS}: 25/05/2026 21:17 1:42:25 FME Peter is managing with level 0      ;      {05-25-2026 ocm ran 22H}: Power status check Ongoing"/>
  </r>
  <r>
    <s v="Bamenyam"/>
    <s v="OST_186"/>
    <s v="NORD-OUEST"/>
    <s v="IHS"/>
    <s v="Grid-Gen"/>
    <s v="OUEST"/>
    <s v="Bamenyam"/>
    <s v="NOKIA"/>
    <n v="4.673621119229109"/>
    <n v="6.591978129226008"/>
    <n v="16.29830935505376"/>
    <n v="4.673567012614935"/>
    <n v="4.673512906000759"/>
    <n v="4.673621119229109"/>
    <n v="4.673512906000759"/>
    <n v="6.671655300386046"/>
    <n v="4.679844358803434"/>
    <n v="5.365500751350824"/>
    <n v="4.759713599588536"/>
    <n v="5.63312031115791"/>
    <n v="4.673567012614935"/>
    <n v="4.621461163760261"/>
    <n v="4.621568174230167"/>
    <n v="4.621514668995214"/>
    <n v="4.62162167946512"/>
    <n v="4.621675184700071"/>
    <n v="4.621675184700071"/>
    <n v="4.621675184700071"/>
    <n v="2.787337379755902"/>
    <n v="10.55570893722908"/>
    <n v="4.621568174230167"/>
    <n v="4.62140765852531"/>
    <m/>
    <n v="4.62162167946512"/>
    <m/>
    <n v="4.621728689935023"/>
    <m/>
    <n v="4.633178810214792"/>
    <m/>
    <m/>
    <n v="0.009167230255141497"/>
    <n v="0.01810260449215684"/>
    <n v="1.967298313800355"/>
    <n v="5.347848233471163"/>
    <m/>
    <n v="1.540558394900024"/>
    <n v="21.82338065377344"/>
    <n v="7.192596927690566"/>
    <n v="0"/>
    <n v="5.531014487790818"/>
    <x v="0"/>
    <m/>
    <x v="4"/>
    <x v="0"/>
    <s v="Defaut GE &amp; Power Cabinet"/>
    <x v="0"/>
    <s v="{05-25-2026 ticket}: INC-20260525-00008256...power fluctuations issue due to Grid outage _x000a_poor backup batteries during change _x000a_power team alerted and managing _x000a_follow up ongoing ...Grid Outage"/>
  </r>
  <r>
    <s v="Tsinga-Village2"/>
    <s v="CTR_675"/>
    <s v="Yaounde"/>
    <s v="IHS"/>
    <s v="Hybrid-Gen-Lithium"/>
    <s v="CENTRE"/>
    <s v="Yaounde"/>
    <s v="ZTE"/>
    <n v="13.86176173476813"/>
    <n v="3.029662588854361"/>
    <n v="3.91665453881341"/>
    <n v="0.4570060468049528"/>
    <n v="0.6605399605630742"/>
    <n v="0.4894658893426133"/>
    <n v="7.230875802221822"/>
    <n v="15.23024729406192"/>
    <n v="4.451849568961827"/>
    <n v="11.5841508933234"/>
    <n v="13.34902106822132"/>
    <n v="0"/>
    <n v="0.3176784149894563"/>
    <n v="2.428923645889514"/>
    <n v="9.245704599738039"/>
    <n v="4.891751775660397"/>
    <n v="3.885906863794221"/>
    <n v="8.791730516247044"/>
    <n v="2.161183450188766"/>
    <n v="7.059409359278376"/>
    <n v="0"/>
    <n v="4.769849015360998"/>
    <n v="4.870813393715773"/>
    <n v="6.957160855284748"/>
    <m/>
    <n v="8.535618791609236"/>
    <m/>
    <n v="7.538958945076519"/>
    <m/>
    <n v="12.52473725362623"/>
    <m/>
    <m/>
    <n v="9.270869895243885"/>
    <n v="16.04445428940768"/>
    <n v="18.17233964837786"/>
    <n v="6.173612359566593"/>
    <m/>
    <n v="6.92475451798204"/>
    <n v="2.502782673684799"/>
    <n v="2.128235598124518"/>
    <n v="8.452952390958419"/>
    <n v="5.479988328724749"/>
    <x v="0"/>
    <m/>
    <x v="11"/>
    <x v="7"/>
    <s v="BSS Hardware issue"/>
    <x v="2"/>
    <s v="05-25-2026: hardware issue,  site with GPS issue (alarm : TDD down 09Apr 02pm)"/>
  </r>
  <r>
    <s v="Charles-Atangana"/>
    <s v="CTR_197"/>
    <s v="Yaounde"/>
    <s v="IHS"/>
    <s v="GridOnly"/>
    <s v="CENTRE"/>
    <s v="Yaounde"/>
    <s v="ZTE"/>
    <n v="11.58991162361992"/>
    <n v="8.785987621028841"/>
    <n v="9.245704599738039"/>
    <n v="9.245704599738039"/>
    <n v="12.67380283820302"/>
    <n v="5.649653428758136"/>
    <n v="9.245704599738039"/>
    <n v="9.245704599738039"/>
    <n v="6.708860894949963"/>
    <n v="10.53626870186312"/>
    <n v="9.245704599738039"/>
    <n v="4.218245713160575"/>
    <n v="13.86855689960706"/>
    <n v="13.86855689960706"/>
    <n v="13.86855689960706"/>
    <n v="13.86855689960706"/>
    <n v="48.05012655771574"/>
    <n v="9.245704599738039"/>
    <n v="9.245704599738039"/>
    <n v="15.11126948660657"/>
    <n v="4.002155904267007"/>
    <n v="9.245704599738039"/>
    <n v="9.245704599738039"/>
    <n v="8.234277308358514"/>
    <m/>
    <n v="9.245704599738039"/>
    <m/>
    <n v="9.245704599738039"/>
    <m/>
    <n v="9.245704599738039"/>
    <m/>
    <m/>
    <n v="0"/>
    <n v="0"/>
    <n v="0"/>
    <n v="0"/>
    <m/>
    <n v="0"/>
    <n v="3.051074301883625"/>
    <n v="2.648341102508918"/>
    <n v="7.869426441393227"/>
    <n v="5.428587633014014"/>
    <x v="0"/>
    <m/>
    <x v="1"/>
    <x v="0"/>
    <s v="Coupure ENEO &amp; Baisse de tension"/>
    <x v="0"/>
    <s v="{hourly IHS}: 25/05/2026 05:35 0:48:08 48.8V Grid only no space // awaiting grid return      ;      {05-25-2026 ticket}: INC-20260525-00003999...2026-05-25 06:38:43...Grid only no space // awaiting grid return...Grid Outage...user:OCM_NOC.IHS"/>
  </r>
  <r>
    <s v="Mvog-Awae"/>
    <s v="CTR_738"/>
    <s v="Yaounde"/>
    <s v="CAMUSAT"/>
    <s v="Medium Grid + GE"/>
    <s v="CENTRE"/>
    <s v="Yaoundé"/>
    <s v="ZTE"/>
    <n v="2.318078634146899"/>
    <n v="2.251375441239839"/>
    <n v="2.626108271766643"/>
    <n v="0"/>
    <n v="0.01109341871342022"/>
    <n v="2.162663761689111"/>
    <n v="0"/>
    <n v="0.2230989946723055"/>
    <n v="1.984955041334577"/>
    <n v="0"/>
    <n v="1.960289128021619"/>
    <n v="0.0005350523495218772"/>
    <n v="0"/>
    <n v="0.04888594966798169"/>
    <n v="0.3229219280147694"/>
    <n v="0"/>
    <n v="0"/>
    <n v="5.165003010561219"/>
    <n v="1.090918235440155"/>
    <n v="5.535526762605119"/>
    <n v="0.6248162986933308"/>
    <n v="0.7556009279947945"/>
    <n v="0"/>
    <n v="0"/>
    <m/>
    <n v="0"/>
    <m/>
    <n v="3.684156457867839"/>
    <m/>
    <n v="0.656455727628392"/>
    <m/>
    <m/>
    <n v="0"/>
    <n v="0"/>
    <n v="0"/>
    <n v="0"/>
    <m/>
    <n v="0"/>
    <n v="4.666473827879893"/>
    <n v="3.993177745817058"/>
    <n v="6.554081931940805"/>
    <n v="5.424806596410726"/>
    <x v="0"/>
    <m/>
    <x v="0"/>
    <x v="0"/>
    <s v="AKTIVCO Defaut GE &amp; Power Cabinet"/>
    <x v="0"/>
    <s v="{05-25-2026 ticket}: INC-20260525-00019507...2026-05-25 18:11:51...No power issue U=49V Load=51A/no action done...problème énergie délestage dans la zone ...Others...user:OCM_NOC.CAMUSAT"/>
  </r>
  <r>
    <s v="CTR_973_Z_Nkoabang-Ebolmedjock-IHS"/>
    <s v="CTR_973"/>
    <s v="Yaounde"/>
    <s v="IHS"/>
    <s v="Gen Only"/>
    <s v="CENTRE"/>
    <s v="Yaoundé"/>
    <s v="ZTE"/>
    <n v="0.3370294749638305"/>
    <n v="0.6727926593671258"/>
    <n v="2.448203365550619"/>
    <n v="0"/>
    <n v="0.3149318129285769"/>
    <n v="0.01137877996649871"/>
    <n v="0"/>
    <n v="0.3396333963981703"/>
    <n v="1.019667097562159"/>
    <n v="0.2996828209672037"/>
    <n v="1.216370176324718"/>
    <n v="4.621568174230167"/>
    <n v="0.5088526194736227"/>
    <n v="0.4810655674551195"/>
    <n v="0"/>
    <n v="0.4432373663439234"/>
    <n v="0"/>
    <n v="0.6029148225195691"/>
    <n v="0"/>
    <n v="0"/>
    <n v="0"/>
    <n v="0"/>
    <n v="0"/>
    <n v="0.6051085371526086"/>
    <m/>
    <n v="0"/>
    <m/>
    <n v="0.3575576501071537"/>
    <m/>
    <n v="2.131969591904872"/>
    <m/>
    <m/>
    <n v="0.3396155613198529"/>
    <n v="12.33841419044439"/>
    <n v="0"/>
    <n v="0.6255832070609791"/>
    <m/>
    <n v="0.6499637591208588"/>
    <n v="4.347865184705586"/>
    <n v="4.067341921927435"/>
    <n v="6.533630137436059"/>
    <n v="5.393541704120331"/>
    <x v="0"/>
    <m/>
    <x v="4"/>
    <x v="0"/>
    <s v="Defaut GE &amp; Power Cabinet"/>
    <x v="0"/>
    <s v="{hourly IHS}: 25/05/2026 15:51 1:28:05 Fme is informed and managing      ;      {05-25-2026 ocm ran 17H}: Power status check Ongoing"/>
  </r>
  <r>
    <s v="Maroua-Doursogo"/>
    <s v="EXN_067"/>
    <s v="Maroua"/>
    <s v="IHS"/>
    <s v="Grid-Gen"/>
    <s v="EXTREME-NORD"/>
    <s v="Maroua"/>
    <s v="Huawei"/>
    <n v="0"/>
    <n v="0"/>
    <n v="0"/>
    <n v="0"/>
    <n v="0"/>
    <n v="0"/>
    <n v="0.004815471145696896"/>
    <n v="0"/>
    <n v="0"/>
    <n v="0"/>
    <n v="0"/>
    <n v="0"/>
    <n v="0"/>
    <n v="0"/>
    <n v="0.0008025785242828158"/>
    <n v="0"/>
    <n v="0"/>
    <n v="0"/>
    <n v="0"/>
    <n v="0"/>
    <n v="0"/>
    <n v="0"/>
    <n v="0"/>
    <n v="0"/>
    <m/>
    <n v="0"/>
    <m/>
    <n v="0"/>
    <m/>
    <n v="0"/>
    <m/>
    <m/>
    <n v="0"/>
    <n v="0"/>
    <n v="2.780756235856783"/>
    <n v="0"/>
    <m/>
    <n v="0.9013848581611893"/>
    <n v="9.275370790019544"/>
    <n v="11.83890818432496"/>
    <n v="0.09866793837156107"/>
    <n v="5.350434319827185"/>
    <x v="0"/>
    <m/>
    <x v="4"/>
    <x v="0"/>
    <s v="Defaut GE &amp; Power Cabinet"/>
    <x v="0"/>
    <s v="{hourly IHS}: 25/05/2026 03:23 3:00:00 43.8V FME is informed and managing"/>
  </r>
  <r>
    <s v="Bonamoutongo-II"/>
    <s v="LIT_610"/>
    <s v="Douala"/>
    <s v="CAMUSAT"/>
    <s v="Good Grid + GE"/>
    <s v="LITTORAL"/>
    <s v="Douala"/>
    <s v="ZTE"/>
    <n v="0"/>
    <n v="15.50000285361253"/>
    <n v="0.5147381953183637"/>
    <n v="6.3923060898945"/>
    <n v="4.825940336669206"/>
    <n v="1.526807549517312"/>
    <n v="7.034154888380945"/>
    <n v="9.012956827696023"/>
    <n v="4.510009759354855"/>
    <n v="4.542344756344294"/>
    <n v="3.526512200620377"/>
    <n v="0"/>
    <n v="0.5150592267280765"/>
    <n v="0.5241551166699484"/>
    <n v="0"/>
    <n v="2.986680050109436"/>
    <n v="0.8926813399422997"/>
    <n v="3.482798423664438"/>
    <n v="1.316371460450358"/>
    <n v="1.022360194388086"/>
    <n v="1.319439093920949"/>
    <n v="2.715836550781458"/>
    <n v="0"/>
    <n v="0"/>
    <m/>
    <n v="2.237392739838997"/>
    <m/>
    <n v="13.74376485662024"/>
    <m/>
    <n v="1.35366460921203"/>
    <m/>
    <m/>
    <n v="0.001533816735296003"/>
    <n v="0"/>
    <n v="0.5273654307670791"/>
    <n v="1.324736112181218"/>
    <m/>
    <n v="17.19417477806029"/>
    <n v="2.27572249599335"/>
    <n v="2.098803682963234"/>
    <n v="8.283523979626459"/>
    <n v="5.349328544971507"/>
    <x v="0"/>
    <m/>
    <x v="0"/>
    <x v="0"/>
    <s v="AKTIVCO Defaut GE &amp; Power Cabinet"/>
    <x v="0"/>
    <s v="{05-25-2026 ticket}: INC-20260525-00020974...Grid Outage"/>
  </r>
  <r>
    <s v="Kumba Gare Ntam"/>
    <s v="SUO_238"/>
    <s v="SUD-OUEST"/>
    <s v="IHS"/>
    <s v="Hybrid-Gen"/>
    <s v="SUD-OUEST"/>
    <s v="Kumba"/>
    <s v="Huawei"/>
    <n v="0"/>
    <n v="3.770656587707208"/>
    <n v="0"/>
    <n v="0.003923717229827101"/>
    <n v="1.243854032011825"/>
    <n v="2.382409761637746"/>
    <n v="0.006723824525658258"/>
    <n v="0"/>
    <n v="0.0005350523495218772"/>
    <n v="0"/>
    <n v="0.2234735313169707"/>
    <n v="0"/>
    <n v="0"/>
    <n v="0.5074971535215005"/>
    <n v="0"/>
    <n v="0.4811904130033416"/>
    <n v="0.1504210505289171"/>
    <n v="0.003299489488718243"/>
    <n v="0.2942787922370325"/>
    <n v="0"/>
    <n v="1.209146969606173"/>
    <n v="3.097061349815799"/>
    <n v="0.9234825201964428"/>
    <n v="0"/>
    <m/>
    <n v="0.2609271957835022"/>
    <m/>
    <n v="0.3889830581024047"/>
    <m/>
    <n v="0"/>
    <m/>
    <m/>
    <n v="0"/>
    <n v="0"/>
    <n v="0"/>
    <n v="0.02147343429414467"/>
    <m/>
    <n v="4.737442678058287"/>
    <n v="6.865510433277779"/>
    <n v="11.78030998500566"/>
    <n v="0.7057237117147881"/>
    <n v="5.303207032442721"/>
    <x v="0"/>
    <m/>
    <x v="4"/>
    <x v="0"/>
    <s v="Defaut GE &amp; Power Cabinet"/>
    <x v="0"/>
    <s v="{hourly IHS}: 25/05/2026 21:16 1:09:29 FME Ndassie is managing with level 0      ;      {05-25-2026 ocm ran 22H}: Power status check Ongoing"/>
  </r>
  <r>
    <s v="EST_205_Z_Mandjou-Sallekere"/>
    <s v="EST_205"/>
    <s v="CENTRE"/>
    <s v="ESCO"/>
    <s v="Hybrid Solar - S1"/>
    <s v="EST"/>
    <s v="Mandjou"/>
    <s v="ZTE"/>
    <n v="0"/>
    <n v="0"/>
    <n v="0"/>
    <n v="0"/>
    <n v="0"/>
    <n v="0"/>
    <n v="0"/>
    <n v="0"/>
    <n v="0"/>
    <n v="0"/>
    <n v="0"/>
    <n v="0"/>
    <n v="0"/>
    <n v="0"/>
    <n v="0"/>
    <n v="0"/>
    <n v="0"/>
    <n v="0"/>
    <n v="0"/>
    <n v="0"/>
    <n v="0"/>
    <n v="0"/>
    <n v="0.5396716348060829"/>
    <n v="0"/>
    <m/>
    <n v="0"/>
    <m/>
    <n v="0"/>
    <m/>
    <n v="0.1186389409673185"/>
    <m/>
    <m/>
    <n v="0"/>
    <n v="1.778068132852785"/>
    <n v="14.57862487265754"/>
    <n v="0"/>
    <m/>
    <n v="3.423247097162653"/>
    <n v="3.266893876719063"/>
    <n v="5.672550074631689"/>
    <n v="5.571848590508834"/>
    <n v="5.276507920201579"/>
    <x v="0"/>
    <m/>
    <x v="2"/>
    <x v="1"/>
    <s v="no root cause"/>
    <x v="1"/>
    <s v=""/>
  </r>
  <r>
    <s v="Pitoa-Entree"/>
    <s v="NRD_133"/>
    <s v="NORD"/>
    <s v="CAMUSAT"/>
    <s v="Medium Grid + GE"/>
    <s v="NORD"/>
    <s v="Garoua"/>
    <s v="Huawei"/>
    <n v="0"/>
    <n v="0"/>
    <n v="5.638149803243416"/>
    <n v="0"/>
    <n v="0"/>
    <n v="0"/>
    <n v="8.917539158697954e-05"/>
    <n v="0"/>
    <n v="0"/>
    <n v="0"/>
    <n v="0"/>
    <n v="0"/>
    <n v="0"/>
    <n v="0"/>
    <n v="0"/>
    <n v="0"/>
    <n v="3.359058650298345"/>
    <n v="0"/>
    <n v="0"/>
    <n v="1.459266107929333"/>
    <n v="0"/>
    <n v="0"/>
    <n v="4.466438663025458"/>
    <n v="1.672573644605388"/>
    <m/>
    <n v="0"/>
    <m/>
    <n v="0"/>
    <m/>
    <n v="0"/>
    <m/>
    <m/>
    <n v="1.266183550065205"/>
    <n v="0"/>
    <n v="0"/>
    <n v="0"/>
    <m/>
    <n v="0.3208530589299524"/>
    <n v="3.522055561550544"/>
    <n v="5.97250060351364"/>
    <n v="5.269928119124384"/>
    <n v="5.256193765998066"/>
    <x v="0"/>
    <m/>
    <x v="4"/>
    <x v="0"/>
    <s v="Defaut GE &amp; Power Cabinet"/>
    <x v="0"/>
    <s v="{05-25-2026   groupe whatsapp   incident}:    impacted by  NRD_013_H_Pitoa,Cause: Probleme energie    Action: RCA attendu de IHS      ;      {05-25-2026 ocm ran 17H}: Power status check Ongoing"/>
  </r>
  <r>
    <s v="Mokola-MTN"/>
    <s v="EXN_142"/>
    <s v="EXTREME-NORD"/>
    <s v="IHS"/>
    <s v="Grid-Gen"/>
    <s v="EXTREME-NORD"/>
    <s v="Mokola"/>
    <s v="NOKIA"/>
    <n v="0.2914854440731416"/>
    <n v="0.9113162565033504"/>
    <n v="0.1933908668920254"/>
    <n v="0.2039287945152735"/>
    <n v="0"/>
    <n v="0"/>
    <n v="0.1861546302903139"/>
    <n v="1.06234055852581"/>
    <n v="0.4554449266744456"/>
    <n v="2.180615144731142"/>
    <n v="5.282835457227566"/>
    <n v="26.84999700370684"/>
    <n v="1.431389863965693"/>
    <n v="3.892482507193753"/>
    <n v="0.6171255090308069"/>
    <n v="0.6302854756750301"/>
    <n v="0.4535366394626197"/>
    <n v="1.249661447914705"/>
    <n v="0.05491521767793606"/>
    <n v="0.4236087380929906"/>
    <n v="0.009791457996250355"/>
    <n v="0.1474782626065468"/>
    <n v="1.133155941100722"/>
    <n v="0.04000491157268699"/>
    <m/>
    <n v="0.03576140155193157"/>
    <m/>
    <n v="0"/>
    <m/>
    <n v="0.6040458765524607"/>
    <m/>
    <m/>
    <n v="0.6137585501365453"/>
    <n v="0.7964967625765838"/>
    <n v="0"/>
    <n v="0.6207540731593721"/>
    <m/>
    <n v="2.883985826049583"/>
    <n v="16.45511852091651"/>
    <n v="8.618230946349501"/>
    <n v="0"/>
    <n v="5.24302893490259"/>
    <x v="1"/>
    <m/>
    <x v="4"/>
    <x v="0"/>
    <s v="Defaut GE &amp; Power Cabinet"/>
    <x v="0"/>
    <s v="{05-25-2026  incident}:    impacted by   EXN_047_H_Hina  ,Cause: Probleme energie    Action: RCA attendu de IHS      ;      {hourly IHS}: 25-05-2026 18:55:53 4:04:07 FME Robert is managing with level 0      ;      {05-25-2026 ocm ran 22H}: Power status check Ongoing      ;      {05-25-2026 ticket}: INC-20260525-00020009...Auto TT closure RCA...Others Transmission equipement fault"/>
  </r>
  <r>
    <s v="Foumban-Ndjidare-II"/>
    <s v="OST_175"/>
    <s v="OUEST"/>
    <s v="IHS"/>
    <s v="Grid-Gen"/>
    <s v="OUEST"/>
    <s v="Foumban"/>
    <s v="Huawei"/>
    <n v="1.298910918777626"/>
    <n v="1.025285147232139"/>
    <n v="0"/>
    <n v="0"/>
    <n v="0"/>
    <n v="0"/>
    <n v="0"/>
    <n v="0"/>
    <n v="0"/>
    <n v="0.2897308472660965"/>
    <n v="0.1068321191212015"/>
    <n v="0"/>
    <n v="2.776743343235368"/>
    <n v="0"/>
    <n v="0"/>
    <n v="0"/>
    <n v="0"/>
    <n v="1.44134185422035"/>
    <n v="0"/>
    <n v="0"/>
    <n v="0"/>
    <n v="15.76314159910739"/>
    <n v="0.3900174926448137"/>
    <n v="0"/>
    <m/>
    <n v="0"/>
    <m/>
    <n v="0"/>
    <m/>
    <n v="1.03534413140315"/>
    <m/>
    <m/>
    <n v="0.5825649981594199"/>
    <n v="0"/>
    <n v="0"/>
    <n v="1.590264758170606"/>
    <m/>
    <n v="0"/>
    <n v="9.108635180988692"/>
    <n v="11.62295017867404"/>
    <n v="0.0754117171955952"/>
    <n v="5.241997043657418"/>
    <x v="0"/>
    <m/>
    <x v="4"/>
    <x v="0"/>
    <s v="Defaut GE &amp; Power Cabinet"/>
    <x v="0"/>
    <s v="{hourly IHS}: 25/05/2026 06:54 6:06:00 49 v FME is informed and managing"/>
  </r>
  <r>
    <s v="Cite-Berge-EPC"/>
    <s v="LIT_656"/>
    <s v="Douala"/>
    <s v="CAMUSAT"/>
    <s v="Good Grid no GE - 8h"/>
    <s v="LITTORAL"/>
    <s v="Douala"/>
    <s v="ZTE"/>
    <n v="0.6388525053291224"/>
    <n v="27.29460767108121"/>
    <n v="23.48551648960001"/>
    <n v="25.48060185541887"/>
    <n v="26.21954482026521"/>
    <n v="25.70593023488084"/>
    <n v="14.97936124737111"/>
    <n v="8.371429060619292"/>
    <n v="2.389882659452734"/>
    <n v="6.77798965850819"/>
    <n v="4.331712481415848"/>
    <n v="1.971988939397831"/>
    <n v="0"/>
    <n v="3.910287415854101"/>
    <n v="0"/>
    <n v="3.643563819617444"/>
    <n v="0"/>
    <n v="0"/>
    <n v="0"/>
    <n v="0"/>
    <n v="1.140196556831121"/>
    <n v="1.597701985828959"/>
    <n v="9.094730661781284"/>
    <n v="13.2700651765102"/>
    <m/>
    <n v="12.6858771862239"/>
    <m/>
    <n v="0"/>
    <m/>
    <n v="1.7820810254742"/>
    <m/>
    <m/>
    <n v="0"/>
    <n v="0.56599621040256"/>
    <n v="0"/>
    <n v="0.7068398238750346"/>
    <m/>
    <n v="0"/>
    <n v="1.995581693704064"/>
    <n v="3.529598518926528"/>
    <n v="7.080561738974365"/>
    <n v="5.162327748813611"/>
    <x v="0"/>
    <m/>
    <x v="3"/>
    <x v="0"/>
    <s v="AKTIVCO Coupure ENEO &amp; Baisse de tension"/>
    <x v="0"/>
    <s v="{05-25-2026 ticket}: INC-20260525-00027531...Grid Outage"/>
  </r>
  <r>
    <s v="Nassarao-II"/>
    <s v="NRD_147"/>
    <s v="NORD"/>
    <s v="CAMUSAT"/>
    <s v="Good Grid + GE"/>
    <s v="NORD"/>
    <s v="Garoua"/>
    <s v="Huawei"/>
    <n v="0"/>
    <n v="0"/>
    <n v="4.494439735983769"/>
    <n v="0"/>
    <n v="1.644840097821838"/>
    <n v="3.841158652295874"/>
    <n v="0"/>
    <n v="0"/>
    <n v="0"/>
    <n v="0"/>
    <n v="0"/>
    <n v="0"/>
    <n v="4.338186614845063"/>
    <n v="0"/>
    <n v="0"/>
    <n v="0"/>
    <n v="1.585181760850149"/>
    <n v="0"/>
    <n v="2.938792864827228"/>
    <n v="0"/>
    <n v="0"/>
    <n v="12.4902620472387"/>
    <n v="0"/>
    <n v="0"/>
    <m/>
    <n v="0"/>
    <m/>
    <n v="0"/>
    <m/>
    <n v="0"/>
    <m/>
    <m/>
    <n v="0.01906569872129623"/>
    <n v="6.052779703966237"/>
    <n v="0"/>
    <n v="10.32547591122982"/>
    <m/>
    <n v="2.051961430573034"/>
    <n v="8.323041936940719"/>
    <n v="10.55256348793483"/>
    <n v="0.5812345277728531"/>
    <n v="5.03425405141639"/>
    <x v="0"/>
    <m/>
    <x v="5"/>
    <x v="2"/>
    <s v="IP &amp; VLAN"/>
    <x v="2"/>
    <s v="{05-25-2026 top offenders}: ISOLEMENT DU ROUTEUR DE EGOULAI_01 (NRD_009_H_Garoua-Lainde)"/>
  </r>
  <r>
    <s v="Baiboum"/>
    <s v="ADM_008"/>
    <s v="ADAMAOUA"/>
    <s v="IHS"/>
    <s v="Gen Only"/>
    <s v="ADAMAOUA"/>
    <s v="Baiboum"/>
    <s v="NOKIA"/>
    <n v="0"/>
    <n v="8.917539158700189e-05"/>
    <n v="0"/>
    <n v="5.350523495235167e-05"/>
    <n v="5.350523495212009e-05"/>
    <n v="8.917539158700189e-05"/>
    <n v="0.09014633877781744"/>
    <n v="5.350523495223587e-05"/>
    <n v="0.140729801539123"/>
    <n v="7.134031326958995e-05"/>
    <n v="5.350523495206218e-05"/>
    <n v="0"/>
    <n v="3.567015663482392e-05"/>
    <n v="5.350523495212009e-05"/>
    <n v="0.1859790522381515"/>
    <n v="5.350523495229378e-05"/>
    <n v="4.552612752935965"/>
    <n v="5.350523495223587e-05"/>
    <n v="7.134031326953204e-05"/>
    <n v="8.917539158700189e-05"/>
    <n v="0"/>
    <n v="7.134031326947414e-05"/>
    <n v="2.359573818145581"/>
    <n v="3.567015663476602e-05"/>
    <m/>
    <n v="14.47950438907957"/>
    <m/>
    <n v="3.567015663482392e-05"/>
    <m/>
    <n v="1.488742874793119"/>
    <m/>
    <m/>
    <n v="8.91753915868861e-05"/>
    <n v="3.567015663470812e-05"/>
    <n v="13.86859256976369"/>
    <n v="6.623894319656403"/>
    <m/>
    <n v="17.30088252006052"/>
    <n v="0.1114068638618115"/>
    <n v="14.86875897509527"/>
    <n v="0.0001710016262940206"/>
    <n v="5.007611949701363"/>
    <x v="0"/>
    <m/>
    <x v="11"/>
    <x v="7"/>
    <s v="BSS Hardware issue"/>
    <x v="2"/>
    <s v="(05/25/2026 cell nokia): 25/05/2026: Closed after reset_x000a_24/05/2026 : Need BO RAN analysis "/>
  </r>
  <r>
    <s v="Bda-Bus-Station-IHS"/>
    <s v="NRO_066"/>
    <s v="NORD-OUEST"/>
    <s v="IHS"/>
    <s v="Grid-Gen"/>
    <s v="NORD-OUEST"/>
    <s v="Bamenda"/>
    <s v="Huawei"/>
    <n v="0"/>
    <n v="0"/>
    <n v="0"/>
    <n v="0"/>
    <n v="0"/>
    <n v="0"/>
    <n v="0"/>
    <n v="0"/>
    <n v="0"/>
    <n v="0.2685962794599824"/>
    <n v="4.276726934963317"/>
    <n v="0"/>
    <n v="5.640700219442803"/>
    <n v="0.5913220216132613"/>
    <n v="1.942775081113936"/>
    <n v="2.729569561085857"/>
    <n v="0"/>
    <n v="0.3644598254159853"/>
    <n v="0.2498872823050341"/>
    <n v="0"/>
    <n v="0.2237053873350969"/>
    <n v="0"/>
    <n v="0.3433252576098713"/>
    <n v="0"/>
    <m/>
    <n v="0"/>
    <m/>
    <n v="0"/>
    <m/>
    <n v="0"/>
    <m/>
    <m/>
    <n v="0"/>
    <n v="0"/>
    <n v="0"/>
    <n v="3.443240219956454"/>
    <m/>
    <n v="0"/>
    <n v="8.4985202370818"/>
    <n v="10.87233008966003"/>
    <n v="0.2474393532472251"/>
    <n v="4.992591308466953"/>
    <x v="0"/>
    <m/>
    <x v="4"/>
    <x v="0"/>
    <s v="Defaut GE &amp; Power Cabinet"/>
    <x v="0"/>
    <s v="{hourly IHS}: 25/05/2026 02:19 4:03:58 43.2V Peter is informed and will manage in the morning, Insecurity area."/>
  </r>
  <r>
    <s v="Essomba"/>
    <s v="CTR_266"/>
    <s v="Yaounde"/>
    <s v="IHS"/>
    <s v="Grid-Gen"/>
    <s v="CENTRE"/>
    <s v="Yaounde"/>
    <s v="ZTE"/>
    <n v="0"/>
    <n v="0"/>
    <n v="0"/>
    <n v="0"/>
    <n v="0"/>
    <n v="0"/>
    <n v="0"/>
    <n v="3.729386216480755"/>
    <n v="0"/>
    <n v="0"/>
    <n v="0"/>
    <n v="0"/>
    <n v="0"/>
    <n v="0"/>
    <n v="0"/>
    <n v="0"/>
    <n v="0"/>
    <n v="0"/>
    <n v="0"/>
    <n v="0"/>
    <n v="0"/>
    <n v="0"/>
    <n v="0"/>
    <n v="0"/>
    <m/>
    <n v="0"/>
    <m/>
    <n v="0"/>
    <m/>
    <n v="0"/>
    <m/>
    <m/>
    <n v="2.651808619622011"/>
    <n v="18.05780277542354"/>
    <n v="2.064552995865116"/>
    <n v="8.572376888021392"/>
    <m/>
    <n v="0.07103711693818759"/>
    <n v="3.669931936900751"/>
    <n v="3.413570896702266"/>
    <n v="6.36074749325296"/>
    <n v="4.987098104345196"/>
    <x v="0"/>
    <m/>
    <x v="5"/>
    <x v="2"/>
    <s v="IP &amp; VLAN"/>
    <x v="2"/>
    <s v="{05-25-2026 goupe whatsapp incident}:    impacted by    CTR_351_Z_Mimboman-Nodal(CTR-351)  ,Cause: Boucle ethernet  ,Action: Desactivation de la boucle      ;      (05/25/2026 cell zte): 25/05/2026 : Power issue || Mail sent to IHS       ;      {05-25-2026 ticket}: INC-20260525-00018852...power ...Grid Outage"/>
  </r>
  <r>
    <s v="Batouri-Kako-MTN"/>
    <s v="EST_070"/>
    <s v="CENTRE"/>
    <s v="IHS"/>
    <s v="Grid-Gen"/>
    <s v="EST"/>
    <s v="Batouri"/>
    <s v="ZTE"/>
    <n v="0"/>
    <n v="0"/>
    <n v="0"/>
    <n v="0"/>
    <n v="0"/>
    <n v="0"/>
    <n v="0"/>
    <n v="0"/>
    <n v="0"/>
    <n v="0.03092602580236464"/>
    <n v="0"/>
    <n v="0"/>
    <n v="0"/>
    <n v="4.342264534944666e-17"/>
    <n v="1.129656025545539"/>
    <n v="0"/>
    <n v="0"/>
    <n v="0"/>
    <n v="17.51900505945502"/>
    <n v="18.68402804530395"/>
    <n v="0"/>
    <n v="16.54153575719182"/>
    <n v="5.426393918380975"/>
    <n v="0.0009630942291393935"/>
    <m/>
    <n v="0"/>
    <m/>
    <n v="0"/>
    <m/>
    <n v="0"/>
    <m/>
    <m/>
    <n v="9.215670327851543"/>
    <n v="2.445510268724692"/>
    <n v="0"/>
    <n v="3.548645532812263"/>
    <m/>
    <n v="1.074385117839929"/>
    <n v="4.949737019851404"/>
    <n v="2.210103073329456"/>
    <n v="6.728640392061584"/>
    <n v="4.95768806019981"/>
    <x v="0"/>
    <m/>
    <x v="4"/>
    <x v="0"/>
    <s v="Defaut GE &amp; Power Cabinet"/>
    <x v="0"/>
    <s v="{hourly IHS}: 25/05/2026 07:38 0:22:00 33 FME is informed and managing"/>
  </r>
  <r>
    <s v="Ngd-Balam"/>
    <s v="ADM_165"/>
    <s v="Ngaoundere"/>
    <s v="CAMUSAT"/>
    <s v="Hybrid Solar - S1"/>
    <s v="ADAMAOUA"/>
    <s v="Ngaoundere"/>
    <s v="Huawei"/>
    <n v="0"/>
    <n v="0"/>
    <n v="0"/>
    <n v="0"/>
    <n v="0"/>
    <n v="0"/>
    <n v="0"/>
    <n v="0"/>
    <n v="0"/>
    <n v="0"/>
    <n v="0"/>
    <n v="0"/>
    <n v="0"/>
    <n v="0"/>
    <n v="0"/>
    <n v="0"/>
    <n v="0"/>
    <n v="0"/>
    <n v="0"/>
    <n v="0"/>
    <m/>
    <n v="2.929233262849104"/>
    <n v="21.43740743594353"/>
    <n v="0"/>
    <m/>
    <n v="0"/>
    <m/>
    <n v="0"/>
    <m/>
    <n v="0"/>
    <m/>
    <m/>
    <n v="0.2288062197338721"/>
    <n v="0"/>
    <n v="0"/>
    <n v="0"/>
    <m/>
    <n v="0"/>
    <n v="3.577634097894161"/>
    <n v="4.566887586659459"/>
    <n v="5.57003597327012"/>
    <n v="4.948752685962796"/>
    <x v="0"/>
    <m/>
    <x v="2"/>
    <x v="1"/>
    <s v="no root cause"/>
    <x v="1"/>
    <s v=""/>
  </r>
  <r>
    <s v="Bamenda-Ntasen-IHS"/>
    <s v="NRO_134"/>
    <s v="SUD-OUEST"/>
    <s v="IHS"/>
    <s v="Grid-Gen"/>
    <s v="NORD-OUEST"/>
    <s v="Bamenda"/>
    <s v="Huawei"/>
    <n v="0"/>
    <n v="1.583523098566631"/>
    <n v="0"/>
    <n v="0"/>
    <n v="0"/>
    <n v="0"/>
    <n v="0"/>
    <n v="0"/>
    <n v="0"/>
    <n v="0"/>
    <n v="0.5758946788687139"/>
    <n v="0"/>
    <n v="7.179332425884549"/>
    <n v="5.576458267343543"/>
    <n v="0"/>
    <n v="0"/>
    <n v="0.04191243404588038"/>
    <n v="0.2378842745974266"/>
    <n v="0"/>
    <n v="0"/>
    <n v="2.758729914134799"/>
    <n v="0.6814783425076978"/>
    <n v="0"/>
    <n v="1.233081644708118"/>
    <m/>
    <n v="0"/>
    <m/>
    <n v="0.2683287532852214"/>
    <m/>
    <n v="0.1638330294235988"/>
    <m/>
    <m/>
    <n v="4.108131939628974"/>
    <n v="0.1626024090196984"/>
    <n v="1.227410089803186"/>
    <n v="11.01583612273958"/>
    <m/>
    <n v="0"/>
    <n v="6.906101499146713"/>
    <n v="11.75789072833046"/>
    <n v="0"/>
    <n v="4.933450188766469"/>
    <x v="0"/>
    <m/>
    <x v="4"/>
    <x v="0"/>
    <s v="Defaut GE &amp; Power Cabinet"/>
    <x v="0"/>
    <s v="{hourly IHS}: 25/05/2026 18:57 4:02:03 FME Peter is managing with level 0      ;      {05-25-2026 ocm ran 22H}: Power status check Ongoing"/>
  </r>
  <r>
    <s v="Bong-assi"/>
    <s v="CTR_774"/>
    <s v="Yaounde"/>
    <s v="CAMUSAT"/>
    <s v="Hybrid Solar - S3"/>
    <s v="CENTRE"/>
    <s v="Yaounde"/>
    <s v="ZTE"/>
    <n v="0"/>
    <n v="0"/>
    <n v="0"/>
    <n v="0"/>
    <n v="0.05500338153084932"/>
    <n v="1.906498531816352"/>
    <n v="0.04886811458966479"/>
    <n v="0"/>
    <n v="0"/>
    <n v="0"/>
    <n v="0"/>
    <n v="0"/>
    <n v="0"/>
    <n v="0"/>
    <n v="0"/>
    <n v="0"/>
    <n v="0"/>
    <n v="0"/>
    <n v="0"/>
    <n v="0"/>
    <n v="0"/>
    <n v="0"/>
    <n v="0"/>
    <n v="0"/>
    <m/>
    <n v="0"/>
    <m/>
    <n v="0.003852376916557516"/>
    <m/>
    <n v="0"/>
    <m/>
    <m/>
    <n v="0"/>
    <n v="0"/>
    <n v="0"/>
    <n v="0"/>
    <m/>
    <n v="0.001337630873804524"/>
    <n v="3.649823747347217"/>
    <n v="3.552230280404337"/>
    <n v="6.090941127286497"/>
    <n v="4.890075278298561"/>
    <x v="0"/>
    <m/>
    <x v="5"/>
    <x v="2"/>
    <s v="IP &amp; VLAN"/>
    <x v="2"/>
    <s v="{05-25-2026 goupe whatsapp incident}:    impacted by    CTR_007_Z_Messamendongo(CTR-007)  ,Cause: Boucle etherneet  ,Action: Desactivation de la bouclee"/>
  </r>
  <r>
    <s v="CTR_941_Z_Biyemassi-Accacia"/>
    <s v="CTR_941"/>
    <s v="Yaounde"/>
    <s v="ESCO"/>
    <s v="Good Grid + Solar + GE"/>
    <s v="CENTRE"/>
    <s v="Yaounde"/>
    <s v="ZTE"/>
    <n v="6.513396802416999e-17"/>
    <n v="0"/>
    <n v="0"/>
    <n v="0"/>
    <n v="0"/>
    <n v="0"/>
    <n v="0"/>
    <n v="0"/>
    <n v="0"/>
    <n v="0"/>
    <n v="13.51023234113226"/>
    <n v="0"/>
    <n v="12.055353662469"/>
    <n v="0"/>
    <n v="0"/>
    <n v="0"/>
    <n v="0"/>
    <n v="0"/>
    <n v="0"/>
    <n v="0.000374536644665314"/>
    <n v="0"/>
    <n v="0"/>
    <n v="0"/>
    <n v="0"/>
    <m/>
    <n v="0"/>
    <m/>
    <n v="5.532227273116401"/>
    <m/>
    <n v="0"/>
    <m/>
    <m/>
    <n v="3.510585475682941"/>
    <n v="9.072436813884538"/>
    <n v="0"/>
    <n v="0"/>
    <m/>
    <n v="0"/>
    <n v="2.968643214272868"/>
    <n v="2.53666982873813"/>
    <n v="6.925565864901604"/>
    <n v="4.887114655297875"/>
    <x v="0"/>
    <m/>
    <x v="5"/>
    <x v="2"/>
    <s v="MPR ISSUE"/>
    <x v="2"/>
    <s v="{05-25-2026 top offenders}: 26.05.2026: FME Hossiah activated is managing ETA=2H_x000a_26.05.2026: Need FME On the site to check MPR status as it's not supervised"/>
  </r>
  <r>
    <s v="CTR_936_Z_Nsimalen-TOUTOULI"/>
    <s v="CTR_936"/>
    <s v="Yaounde"/>
    <s v="ESCO"/>
    <s v="Good Grid + GE"/>
    <s v="CENTRE"/>
    <s v="Yaoundé"/>
    <s v="ZTE"/>
    <n v="0"/>
    <n v="0"/>
    <n v="0"/>
    <n v="0"/>
    <n v="0"/>
    <n v="0"/>
    <n v="0"/>
    <n v="0"/>
    <n v="0"/>
    <n v="0"/>
    <n v="0"/>
    <n v="0"/>
    <n v="0"/>
    <n v="12.94987201547799"/>
    <n v="21.3828320962923"/>
    <n v="0"/>
    <n v="1.238878045161272"/>
    <n v="0"/>
    <n v="0"/>
    <n v="0"/>
    <n v="0"/>
    <n v="0"/>
    <n v="0"/>
    <n v="0"/>
    <m/>
    <n v="0"/>
    <m/>
    <n v="2.179571415934002"/>
    <m/>
    <n v="0.6376753901601743"/>
    <m/>
    <m/>
    <n v="0.6346434268462169"/>
    <n v="1.96843975881267"/>
    <n v="1.051663228063566"/>
    <n v="1.460050851375299"/>
    <m/>
    <n v="0.6405468377692745"/>
    <n v="3.897366801354068"/>
    <n v="3.128017568197041"/>
    <n v="6.267859409850132"/>
    <n v="4.875272163295124"/>
    <x v="0"/>
    <m/>
    <x v="5"/>
    <x v="2"/>
    <s v="IP &amp; VLAN"/>
    <x v="2"/>
    <s v="{05-25-2026 goupe whatsapp incident}:    impacted by    CTR_007_Z_Messamendongo(CTR-007)  ,Cause: Boucle etherneet  ,Action: Desactivation de la bouclee      ;      (05/25/2026 cell zte): 25/05/2026 : Need BO RAN analysis"/>
  </r>
  <r>
    <s v="Odza"/>
    <s v="CTR_099"/>
    <s v="Yaounde"/>
    <s v="IHS"/>
    <s v="Grid-Gen"/>
    <s v="CENTRE"/>
    <s v="Yaounde"/>
    <s v="ZTE"/>
    <n v="0"/>
    <n v="0"/>
    <n v="0"/>
    <n v="0"/>
    <n v="0"/>
    <n v="0"/>
    <n v="0"/>
    <n v="0"/>
    <n v="0"/>
    <n v="0"/>
    <n v="0"/>
    <n v="0"/>
    <n v="0"/>
    <n v="0"/>
    <n v="0"/>
    <n v="0"/>
    <n v="0.004440934501031591"/>
    <n v="0"/>
    <n v="0"/>
    <n v="0"/>
    <n v="0"/>
    <n v="0"/>
    <n v="0"/>
    <n v="0"/>
    <m/>
    <n v="0"/>
    <m/>
    <n v="0"/>
    <m/>
    <n v="0"/>
    <m/>
    <m/>
    <n v="0"/>
    <n v="0"/>
    <n v="0"/>
    <n v="0.1760143879143805"/>
    <m/>
    <n v="4.839548501425379"/>
    <n v="2.984629849445863"/>
    <n v="2.641222191621531"/>
    <n v="6.740678906552674"/>
    <n v="4.828080546067294"/>
    <x v="0"/>
    <m/>
    <x v="4"/>
    <x v="0"/>
    <s v="Defaut GE &amp; Power Cabinet"/>
    <x v="0"/>
    <s v="{05-25-2026 ticket}: INC-20260525-00025494...Grid Outage"/>
  </r>
  <r>
    <s v="Ekoudou-New"/>
    <s v="CTR_539"/>
    <s v="Yaounde"/>
    <s v="IHS"/>
    <s v="Grid-Gen"/>
    <s v="CENTRE"/>
    <s v="Yaounde"/>
    <s v="ZTE"/>
    <n v="0"/>
    <n v="0"/>
    <n v="0"/>
    <n v="0"/>
    <n v="1.526218991932838"/>
    <n v="0"/>
    <n v="0"/>
    <n v="0"/>
    <n v="0"/>
    <n v="0"/>
    <n v="0"/>
    <n v="0"/>
    <n v="0"/>
    <n v="0"/>
    <n v="0.7348587319116635"/>
    <n v="0"/>
    <n v="0"/>
    <n v="0"/>
    <n v="0"/>
    <n v="0"/>
    <n v="0"/>
    <n v="0"/>
    <n v="0"/>
    <n v="0"/>
    <m/>
    <n v="0"/>
    <m/>
    <n v="0"/>
    <m/>
    <n v="0"/>
    <m/>
    <m/>
    <n v="0"/>
    <n v="0"/>
    <n v="0"/>
    <n v="0"/>
    <m/>
    <n v="0"/>
    <n v="4.759645935997506"/>
    <n v="4.058788603622443"/>
    <n v="5.22512569303539"/>
    <n v="4.767102413300117"/>
    <x v="0"/>
    <m/>
    <x v="5"/>
    <x v="2"/>
    <s v="IP &amp; VLAN"/>
    <x v="2"/>
    <s v="{05-25-2026 goupe whatsapp incident}:    impacted by    CTR_007_Z_Messamendongo(CTR-007)  ,Cause: Boucle etherneet  ,Action: Desactivation de la bouclee      ;      {05-25-2026 ocm ran 22H}: Power status check Ongoing      ;      {05-25-2026 ticket}: INC-20260525-00022866...Grid Outage"/>
  </r>
  <r>
    <s v="Kaele-MTN-IHS"/>
    <s v="EXN_160"/>
    <s v="EXTREME-NORD"/>
    <s v="IHS"/>
    <s v="Grid-Gen"/>
    <s v="EXTREME-NORD"/>
    <s v="Kaele"/>
    <s v="NOKIA"/>
    <n v="0"/>
    <n v="0.006420999779897953"/>
    <n v="0.03216728224980548"/>
    <n v="0.9428084887714915"/>
    <n v="0"/>
    <n v="0"/>
    <n v="0.004458769579348932"/>
    <n v="1.006185238012516"/>
    <n v="3.599242233157052"/>
    <n v="4.622852299869019"/>
    <n v="3.375461037008051"/>
    <n v="0"/>
    <n v="0.1464929339948811"/>
    <n v="0.03267509693534224"/>
    <n v="0.3688491354270987"/>
    <n v="0"/>
    <n v="0.6735707679451345"/>
    <n v="8.069396796575795"/>
    <n v="5.573874966847604"/>
    <n v="0.9214778559485122"/>
    <n v="4.177688745066818"/>
    <n v="11.98800840674251"/>
    <n v="13.49323327888542"/>
    <n v="2.058568582370085"/>
    <m/>
    <n v="3.751380600417374"/>
    <m/>
    <n v="5.570661866890389"/>
    <m/>
    <n v="11.79065241176343"/>
    <m/>
    <m/>
    <n v="1.008002956342582"/>
    <n v="1.459301778085968"/>
    <n v="0.07321542212136346"/>
    <n v="0.9206339408779456"/>
    <m/>
    <n v="1.025977729183064"/>
    <n v="0"/>
    <n v="14.1914799120053"/>
    <n v="0"/>
    <n v="4.764243491223477"/>
    <x v="1"/>
    <m/>
    <x v="4"/>
    <x v="0"/>
    <s v="Defaut GE &amp; Power Cabinet"/>
    <x v="0"/>
    <s v="{05-25-2026 ocm ran 22H}: 25.05.26: Probable disjonction DC suite instabilité grid. Besoin d'un FME sur site pour vérifier le statut des BTS et leur interco avec le MPR; FME Hermann activé pour investigations, update ASAP      ;      {05-25-2026 ocm ran 17H}: 25.05.26: BO TRANS analysis ongoing      ;      {05-25-2026 ticket}: INC-20260525-00010504...2026-05-25 20:33:01...Probable disjonction DC suite instabilité grid. Besoin d'un FME sur site pour vérifier le statut des BTS et leur interco avec le MPR; FME Hermann activé pour investigations, update ASAP...user:ndzie mbene lionnel"/>
  </r>
  <r>
    <s v="Bitoto"/>
    <s v="CTR_315"/>
    <s v="Yaounde"/>
    <s v="IHS"/>
    <s v="Grid-Gen"/>
    <s v="CENTRE"/>
    <s v="Yaounde"/>
    <s v="ZTE"/>
    <n v="0"/>
    <n v="0"/>
    <n v="0"/>
    <n v="0"/>
    <n v="19.77787123358816"/>
    <n v="27.10707182257379"/>
    <n v="0"/>
    <n v="15.83280541501514"/>
    <n v="0"/>
    <n v="0"/>
    <n v="14.35329649319557"/>
    <n v="0"/>
    <n v="0"/>
    <n v="16.46270471102894"/>
    <n v="0"/>
    <n v="1.461834359207038"/>
    <n v="0"/>
    <n v="0"/>
    <n v="0"/>
    <n v="0"/>
    <n v="0"/>
    <n v="12.96667265925298"/>
    <n v="0"/>
    <n v="0"/>
    <m/>
    <n v="0"/>
    <m/>
    <n v="0"/>
    <m/>
    <n v="0"/>
    <m/>
    <m/>
    <n v="0"/>
    <n v="0"/>
    <n v="0"/>
    <n v="0"/>
    <m/>
    <n v="0.1270749330114465"/>
    <n v="2.255239619677949"/>
    <n v="2.154479941246672"/>
    <n v="7.059494338614959"/>
    <n v="4.726777301224486"/>
    <x v="0"/>
    <m/>
    <x v="5"/>
    <x v="2"/>
    <s v="IP &amp; VLAN"/>
    <x v="2"/>
    <s v="{05-25-2026 goupe whatsapp incident}:    impacted by    CTR_351_Z_Mimboman-Nodal(CTR-351)  ,Cause: Boucle ethernet  ,Action: Desactivation de la boucle      ;      {05-25-2026 ticket}: INC-20260525-00018851...power ...Grid Outage"/>
  </r>
  <r>
    <s v="Nkomekui"/>
    <s v="SUD_016"/>
    <s v="CENTRE"/>
    <s v="IHS"/>
    <s v="Grid-Gen"/>
    <s v="SUD"/>
    <s v="Nkomekui"/>
    <s v="ZTE"/>
    <n v="4.673783439071634"/>
    <n v="4.673945758914162"/>
    <n v="4.67383754568581"/>
    <n v="4.673512906000759"/>
    <n v="0"/>
    <n v="0"/>
    <n v="0"/>
    <n v="0"/>
    <n v="0"/>
    <n v="0"/>
    <n v="0"/>
    <n v="0"/>
    <n v="0"/>
    <n v="4.62162167946512"/>
    <n v="4.621728689935023"/>
    <n v="4.621568174230167"/>
    <n v="5.104238898733852"/>
    <n v="0"/>
    <n v="0"/>
    <n v="0"/>
    <n v="0"/>
    <n v="0"/>
    <n v="0"/>
    <n v="4.621782195169976"/>
    <m/>
    <n v="4.621996216109785"/>
    <m/>
    <n v="0"/>
    <m/>
    <n v="4.62162167946512"/>
    <m/>
    <m/>
    <n v="0"/>
    <n v="4.621568174230167"/>
    <n v="0"/>
    <n v="5.932161069305687"/>
    <m/>
    <n v="4.62188920563988"/>
    <n v="32.36619186360203"/>
    <n v="0.2605840141987208"/>
    <n v="0"/>
    <n v="4.709370264786706"/>
    <x v="2"/>
    <m/>
    <x v="9"/>
    <x v="5"/>
    <s v="EXCLU"/>
    <x v="4"/>
    <s v="(05/25/2026 cell nokia): 25/05/2026 : Need BO RAN analysis ||No issue      ;      (05/25/2026 cell nokia): 25/05/2026 : Need BO RAN analysis ||No issue"/>
  </r>
  <r>
    <s v="Ndokoti-Carrefour-MTN"/>
    <s v="LIT_684"/>
    <s v="Douala"/>
    <s v="MTN sharing"/>
    <s v="MTN sharing"/>
    <s v="LITTORAL"/>
    <s v="Douala"/>
    <s v="ZTE"/>
    <n v="0"/>
    <n v="1.410201807478177"/>
    <n v="17.28128130056245"/>
    <n v="20.45979545305379"/>
    <n v="1.661444555735333"/>
    <n v="0.4743239078511449"/>
    <n v="0.0006955680543784404"/>
    <n v="0"/>
    <n v="0.4667796697228863"/>
    <n v="1.061454686059818"/>
    <n v="0.07879537600625477"/>
    <n v="1.560176981049159"/>
    <n v="0.2727696877862525"/>
    <n v="0"/>
    <n v="0"/>
    <n v="6.495482017960637"/>
    <n v="0.3255971897623799"/>
    <n v="0"/>
    <n v="0"/>
    <n v="0"/>
    <n v="1.543679533605568"/>
    <n v="1.025980715286517"/>
    <n v="0"/>
    <n v="0.5938189325776968"/>
    <m/>
    <n v="0"/>
    <m/>
    <n v="0"/>
    <m/>
    <n v="0"/>
    <m/>
    <m/>
    <n v="0"/>
    <n v="0.1314801973558429"/>
    <n v="0"/>
    <n v="0"/>
    <m/>
    <n v="0"/>
    <n v="4.946239943407312"/>
    <n v="4.34593571814723"/>
    <n v="4.768346148879214"/>
    <n v="4.651941312604691"/>
    <x v="0"/>
    <m/>
    <x v="6"/>
    <x v="0"/>
    <s v="Sharing"/>
    <x v="0"/>
    <s v="{05-25-2026 ticket}: INC-20260525-00021797...Grid Outage"/>
  </r>
  <r>
    <s v="Maroua-Meskin"/>
    <s v="EXN_233"/>
    <s v="Maroua"/>
    <s v="CAMUSAT"/>
    <s v="Bad Grid + GE"/>
    <s v="EXTREME-NORD"/>
    <s v="Maroua"/>
    <s v="Huawei"/>
    <n v="0"/>
    <n v="0.2134680523809116"/>
    <n v="1.135274075215519"/>
    <n v="0"/>
    <n v="0"/>
    <n v="4.582491517636753"/>
    <n v="3.077585444293203"/>
    <n v="3.708626185319305"/>
    <n v="0.004904646537283874"/>
    <n v="2.391773177754378"/>
    <n v="10.6612212605548"/>
    <n v="0"/>
    <n v="0"/>
    <n v="0"/>
    <n v="10.23829804841439"/>
    <n v="0.3651732285486812"/>
    <n v="1.901897081610465"/>
    <n v="0.3330700875773685"/>
    <n v="5.424432059766061"/>
    <n v="4.357056127704867"/>
    <n v="0"/>
    <n v="4.007756118858669"/>
    <n v="0"/>
    <n v="0.9709951688339855"/>
    <m/>
    <n v="0"/>
    <m/>
    <n v="4.824691881186988"/>
    <m/>
    <n v="1.724491557587328"/>
    <m/>
    <m/>
    <n v="0"/>
    <n v="1.809279519908228"/>
    <n v="13.33996084843608"/>
    <n v="18.43745808756595"/>
    <m/>
    <n v="1.402211692391984"/>
    <n v="3.38654384934195"/>
    <n v="4.322825820863552"/>
    <n v="5.186479325492978"/>
    <n v="4.639510263017467"/>
    <x v="0"/>
    <m/>
    <x v="2"/>
    <x v="1"/>
    <s v="no root cause"/>
    <x v="1"/>
    <s v=""/>
  </r>
  <r>
    <s v="BTS-Mobile-Krystal-Palace"/>
    <s v="LIT_756"/>
    <s v="Douala"/>
    <s v="CAMUSAT"/>
    <s v="Good Grid + GE"/>
    <s v="LITTORAL"/>
    <s v="Douala"/>
    <s v="ZTE"/>
    <n v="4.622852299869019"/>
    <n v="4.622852299869019"/>
    <n v="4.622852299869019"/>
    <n v="4.622852299869019"/>
    <n v="4.622852299869019"/>
    <n v="4.622852299869019"/>
    <n v="4.622852299869019"/>
    <n v="4.622852299869019"/>
    <n v="4.622852299869019"/>
    <n v="4.622852299869019"/>
    <n v="4.622852299869019"/>
    <n v="0"/>
    <n v="4.622852299869019"/>
    <n v="4.622852299869019"/>
    <n v="4.622852299869019"/>
    <n v="4.622852299869019"/>
    <n v="4.622852299869019"/>
    <n v="4.622852299869019"/>
    <n v="4.622852299869019"/>
    <n v="4.622852299869019"/>
    <n v="0"/>
    <n v="4.622852299869019"/>
    <n v="4.622852299869019"/>
    <n v="4.622852299869019"/>
    <m/>
    <n v="4.622852299869019"/>
    <m/>
    <n v="4.622852299869019"/>
    <m/>
    <n v="4.622852299869019"/>
    <m/>
    <m/>
    <n v="4.622852299869019"/>
    <n v="4.622852299869019"/>
    <n v="4.622852299869019"/>
    <n v="4.622852299869019"/>
    <m/>
    <n v="4.622852299869019"/>
    <n v="10.79097874177188"/>
    <n v="9.180207472688883"/>
    <n v="0"/>
    <n v="4.622852299869019"/>
    <x v="0"/>
    <m/>
    <x v="2"/>
    <x v="1"/>
    <s v="no root cause"/>
    <x v="1"/>
    <s v=""/>
  </r>
  <r>
    <s v="Kossehone"/>
    <s v="EXN_243"/>
    <s v="EXTREME-NORD"/>
    <s v="CAMUSAT"/>
    <s v="Bad Grid + GE"/>
    <s v="EXTREME-NORD"/>
    <s v="KOSSEHONE"/>
    <s v="NOKIA"/>
    <n v="0"/>
    <n v="0"/>
    <n v="0"/>
    <n v="0"/>
    <n v="4.622852299869019"/>
    <n v="4.622852299869019"/>
    <n v="4.622852299869019"/>
    <n v="4.622852299869019"/>
    <n v="4.622852299869019"/>
    <n v="4.622852299869019"/>
    <n v="4.622852299869019"/>
    <n v="2.974623537166877"/>
    <n v="4.622852299869019"/>
    <n v="4.622852299869019"/>
    <n v="4.622852299869019"/>
    <n v="4.622852299869019"/>
    <n v="4.622852299869019"/>
    <n v="4.622852299869019"/>
    <n v="4.622852299869019"/>
    <n v="4.622852299869019"/>
    <n v="0.9524466873838948"/>
    <n v="4.622852299869019"/>
    <n v="4.622852299869019"/>
    <n v="4.622852299869019"/>
    <m/>
    <n v="4.622852299869019"/>
    <m/>
    <n v="0"/>
    <m/>
    <n v="4.622852299869019"/>
    <m/>
    <m/>
    <n v="4.622852299869019"/>
    <n v="4.622852299869019"/>
    <n v="4.622852299869019"/>
    <n v="4.622852299869019"/>
    <m/>
    <n v="4.622852299869019"/>
    <n v="0"/>
    <n v="13.77031120903332"/>
    <n v="0"/>
    <n v="4.622852299869019"/>
    <x v="1"/>
    <m/>
    <x v="4"/>
    <x v="0"/>
    <s v="Defaut GE &amp; Power Cabinet"/>
    <x v="0"/>
    <s v="  {05-25-2026 groupe whatsapp incident}:    impacted by   Bariki-IHS_GD_EXN_167   ,RCA: Power issue / En attente RCA IHS"/>
  </r>
  <r>
    <s v="Balikumbat-Ville"/>
    <s v="NRO_033"/>
    <s v="NORD-OUEST"/>
    <s v="IHS"/>
    <s v="Grid-Gen"/>
    <s v="NORD-OUEST"/>
    <s v="Balikumbat"/>
    <s v="NOKIA"/>
    <n v="6.056767753203242"/>
    <n v="9.296365205869778"/>
    <n v="7.457836408582249"/>
    <n v="4.71161782913406"/>
    <n v="5.918831958132489"/>
    <n v="8.528123426733565"/>
    <n v="3.118926044546401"/>
    <n v="0.09855203026167539"/>
    <n v="0.6697915668532853"/>
    <n v="0.04705561599770958"/>
    <n v="4.91593490212233"/>
    <n v="0"/>
    <n v="4.622852299869019"/>
    <n v="4.622852299869019"/>
    <n v="3.641833817020657"/>
    <n v="2.419934766417547"/>
    <n v="2.568768494976215"/>
    <n v="4.696921380121164"/>
    <n v="4.622852299869019"/>
    <n v="2.679114124525944"/>
    <n v="0.6987783684755716"/>
    <n v="2.201508562264398"/>
    <n v="0"/>
    <n v="0"/>
    <m/>
    <n v="0"/>
    <m/>
    <n v="0"/>
    <m/>
    <n v="0"/>
    <m/>
    <m/>
    <n v="0.3189090353933565"/>
    <n v="0.2293769422400286"/>
    <n v="0"/>
    <n v="2.136035989761238"/>
    <m/>
    <n v="4.622852299869019"/>
    <n v="0"/>
    <n v="13.77031120903332"/>
    <n v="0"/>
    <n v="4.622852299869019"/>
    <x v="1"/>
    <m/>
    <x v="2"/>
    <x v="1"/>
    <s v="no root cause"/>
    <x v="1"/>
    <s v="{05-25-2026 ticket}: INC-20260525-00028205"/>
  </r>
  <r>
    <s v="Nkolmeyang-IHS"/>
    <s v="CTR_442"/>
    <s v="CENTRE"/>
    <s v="IHS"/>
    <s v="Grid-Gen"/>
    <s v="CENTRE"/>
    <s v="Nkolmeyang"/>
    <s v="NOKIA"/>
    <n v="0"/>
    <n v="0"/>
    <n v="0"/>
    <n v="0"/>
    <n v="0"/>
    <n v="0"/>
    <n v="0"/>
    <n v="0"/>
    <n v="1.481439096118144"/>
    <n v="4.673891652299987"/>
    <n v="4.673891652299987"/>
    <n v="0.8638955235380222"/>
    <n v="0"/>
    <n v="0"/>
    <n v="0"/>
    <n v="0"/>
    <n v="0"/>
    <n v="4.62140765852531"/>
    <n v="4.621782195169976"/>
    <n v="4.621835700404927"/>
    <n v="0.1210110063835304"/>
    <n v="4.621675184700071"/>
    <n v="4.621835700404927"/>
    <n v="4.621782195169976"/>
    <m/>
    <n v="4.621996216109785"/>
    <m/>
    <n v="4.621782195169976"/>
    <m/>
    <n v="4.62162167946512"/>
    <m/>
    <m/>
    <n v="4.621728689935023"/>
    <n v="4.621568174230167"/>
    <n v="4.621354153290357"/>
    <n v="4.621461163760261"/>
    <m/>
    <n v="4.62188920563988"/>
    <n v="32.36619186360203"/>
    <n v="0"/>
    <n v="0"/>
    <n v="4.62188920563988"/>
    <x v="0"/>
    <m/>
    <x v="7"/>
    <x v="3"/>
    <s v="Sites strategiques, MLL, Pylone, etc."/>
    <x v="0"/>
    <s v="{05-25-2026 ocm ran 22H}: 21/05/2026 ETR mi-juin_x000a_15/04/2026 ETR mi-juin_x000a_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05-25-2026 ocm ran 17H}: 21/05/2026 ETR mi-juin_x000a_15/04/2026 ETR mi-juin_x000a_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r>
  <r>
    <s v="Bamengwi-IHS"/>
    <s v="NRO_093"/>
    <s v="NORD-OUEST"/>
    <s v="IHS"/>
    <s v="Grid-Gen"/>
    <s v="NORD-OUEST"/>
    <s v="Bamengwi"/>
    <s v="NOKIA"/>
    <n v="0.001426806265391782"/>
    <n v="0"/>
    <n v="0"/>
    <n v="0.006866505152197415"/>
    <n v="0.003121138705544201"/>
    <n v="0.001605157048565883"/>
    <n v="0.0845193618376243"/>
    <n v="0.001515981656978832"/>
    <n v="0.001337630873804731"/>
    <n v="0"/>
    <n v="0"/>
    <n v="3.081330810739856"/>
    <n v="0.001872683223326521"/>
    <n v="0"/>
    <n v="0.03920150214163615"/>
    <n v="0"/>
    <n v="0"/>
    <n v="0"/>
    <n v="0"/>
    <n v="0"/>
    <n v="3.082240399734044"/>
    <n v="0"/>
    <n v="0"/>
    <n v="0.02916035304894225"/>
    <m/>
    <n v="0"/>
    <m/>
    <n v="0"/>
    <m/>
    <n v="0.001694332440152762"/>
    <m/>
    <m/>
    <n v="0"/>
    <n v="0"/>
    <n v="0.2350663322232782"/>
    <n v="7.50389518110452"/>
    <m/>
    <n v="0.6894327874372561"/>
    <n v="32.10253727883489"/>
    <n v="0.09722094719340647"/>
    <n v="0"/>
    <n v="4.616877548632692"/>
    <x v="1"/>
    <m/>
    <x v="4"/>
    <x v="0"/>
    <s v="Defaut GE &amp; Power Cabinet"/>
    <x v="0"/>
    <s v="(05/25/2026 cell nokia): 25/05/2026: FeedbackFME  :Après investigation _x000a_Il y a Power insuffisant sur le site ce qui fait que les équipements redémarrent régulièrement et le FRGU ne parvient pas à travailler normalement_x000a_23/05/2026 : FME activer || En attente d'un ETA _x000a_22/05/2026 : Check breaker and  interconnection (sfp, optical fiber) between system and radio module, swap its if needed||Fme Active || Action avec le Level0 en cour || Ation avec le level non productive || Le fme se rendra demain sur site       ;      (05/25/2026 cell nokia): 25/05/2026: FeedbackFME  :Après investigation _x000a_Il y a Power insuffisant sur le site ce qui fait que les équipements redémarrent régulièrement et le FRGU ne parvient pas à travailler normalement||RI attendu_x000a_23/05/2026 : FME activer || En attente d'un ETA _x000a_22/05/2026 : Check breaker and  interconnection (sfp, optical fiber) between system and radio module, swap its if needed||Fme Active || Action avec le Level0 en cour || Ation avec le level non productive || Le fme se rendra demain sur site       ;      (05/25/2026 cell nokia): _x000a_25/05/2026 : Instabilites power sur site noter par le FME || RI recu et partager a IHS pour restaurer le power_x000a_24/05/2026: FeedbackFME  :Après investigation _x000a_Il y a Power insuffisant sur le site ce qui fait que les équipements redémarrent régulièrement et le FRGU ne parvient pas à travailler normalement||RI attendu_x000a_23/05/2026 : FME activer || En attente d'un ETA _x000a_22/05/2026 : Check breaker and  interconnection (sfp, optical fiber) between system and radio module, swap its if needed||Fme Active || Action avec le Level0 en cour || Ation avec le level non productive || Le fme se rendra demain sur site "/>
  </r>
  <r>
    <s v="Logpom-Denver-City"/>
    <s v="LIT_440"/>
    <s v="Douala"/>
    <s v="IHS"/>
    <s v="Grid-Gen"/>
    <s v="LITTORAL"/>
    <s v="Douala"/>
    <s v="ZTE"/>
    <n v="0"/>
    <n v="0"/>
    <n v="0"/>
    <n v="0"/>
    <n v="0"/>
    <n v="0"/>
    <n v="0"/>
    <n v="0"/>
    <n v="0"/>
    <n v="0"/>
    <n v="0"/>
    <n v="0"/>
    <n v="0"/>
    <n v="0"/>
    <n v="0"/>
    <n v="0"/>
    <n v="0"/>
    <n v="0"/>
    <n v="0"/>
    <n v="0"/>
    <n v="0"/>
    <n v="0"/>
    <n v="0"/>
    <n v="0"/>
    <m/>
    <n v="0"/>
    <m/>
    <n v="0"/>
    <m/>
    <n v="0"/>
    <m/>
    <m/>
    <n v="3.68305068301216"/>
    <n v="0"/>
    <n v="4.932522764693965"/>
    <n v="2.760281565948413"/>
    <m/>
    <n v="1.232582262515231"/>
    <n v="4.244451638430273"/>
    <n v="3.594040600317567"/>
    <n v="5.292979138348797"/>
    <n v="4.572896245501993"/>
    <x v="0"/>
    <m/>
    <x v="2"/>
    <x v="1"/>
    <s v="no root cause"/>
    <x v="1"/>
    <s v="(05/25/2026 cell zte): 25/05/2026 : Need BO TX analysis"/>
  </r>
  <r>
    <s v="Pitoa-Ville-IHS"/>
    <s v="NRD_096"/>
    <s v="NORD"/>
    <s v="IHS"/>
    <s v="Grid-Gen"/>
    <s v="NORD"/>
    <s v="Garoua"/>
    <s v="Huawei"/>
    <n v="0"/>
    <n v="0"/>
    <n v="5.649920954932897"/>
    <n v="0"/>
    <n v="0"/>
    <n v="0"/>
    <n v="0.3028931350643347"/>
    <n v="0"/>
    <n v="0"/>
    <n v="0"/>
    <n v="0"/>
    <n v="0"/>
    <n v="0"/>
    <n v="0"/>
    <n v="0"/>
    <n v="0"/>
    <n v="3.438799285455422"/>
    <n v="0.05899843907394565"/>
    <n v="0"/>
    <n v="1.460603738803138"/>
    <n v="0"/>
    <n v="0"/>
    <n v="0"/>
    <n v="0"/>
    <m/>
    <n v="0"/>
    <m/>
    <n v="0"/>
    <m/>
    <n v="0"/>
    <m/>
    <m/>
    <n v="0.8895066960018034"/>
    <n v="1.042995380001313"/>
    <n v="5.588033233171534"/>
    <n v="13.07156075483758"/>
    <m/>
    <n v="0.3649057023739202"/>
    <n v="3.039958594614902"/>
    <n v="5.209767740750941"/>
    <n v="4.535989139071109"/>
    <n v="4.548551363598748"/>
    <x v="0"/>
    <m/>
    <x v="4"/>
    <x v="0"/>
    <s v="Defaut GE &amp; Power Cabinet"/>
    <x v="0"/>
    <s v="{05-25-2026   groupe whatsapp   incident}:    impacted by  NRD_013_H_Pitoa,Cause: Probleme energie    Action: RCA attendu de IHS      ;      {05-25-2026 ocm ran 17H}: Power status check Ongoing"/>
  </r>
  <r>
    <s v="Mvan-IHS"/>
    <s v="CTR_639"/>
    <s v="Yaounde"/>
    <s v="IHS"/>
    <s v="Grid-Gen"/>
    <s v="CENTRE"/>
    <s v="Yaounde"/>
    <s v="ZTE"/>
    <n v="0"/>
    <n v="0"/>
    <n v="0"/>
    <n v="0"/>
    <n v="0"/>
    <n v="1.254929615646928"/>
    <n v="0.04159140263616713"/>
    <n v="0"/>
    <n v="0.7294903733381275"/>
    <n v="0"/>
    <n v="0"/>
    <n v="0"/>
    <n v="0"/>
    <n v="0"/>
    <n v="0"/>
    <n v="0"/>
    <n v="0"/>
    <n v="0"/>
    <n v="0"/>
    <n v="0"/>
    <n v="0"/>
    <n v="0"/>
    <n v="0"/>
    <n v="0"/>
    <m/>
    <n v="0"/>
    <m/>
    <n v="0"/>
    <m/>
    <n v="0"/>
    <m/>
    <m/>
    <n v="0"/>
    <n v="0"/>
    <n v="0"/>
    <n v="0"/>
    <m/>
    <n v="0"/>
    <n v="0.3044954418106463"/>
    <n v="0.06885155604516514"/>
    <n v="8.541565433703903"/>
    <n v="4.520924827285102"/>
    <x v="0"/>
    <m/>
    <x v="5"/>
    <x v="2"/>
    <s v="IP &amp; VLAN"/>
    <x v="2"/>
    <s v="{05-25-2026 goupe whatsapp incident}:    impacted by    CTR_007_Z_Messamendongo(CTR-007)  ,Cause: Boucle etherneet  ,Action: Desactivation de la bouclee"/>
  </r>
  <r>
    <s v="Foumban-Njintout-II"/>
    <s v="OST_178"/>
    <s v="OUEST"/>
    <s v="IHS"/>
    <s v="Grid-Gen"/>
    <s v="OUEST"/>
    <s v="Foumban"/>
    <s v="Huawei"/>
    <n v="0"/>
    <n v="0"/>
    <n v="0"/>
    <n v="0"/>
    <n v="0"/>
    <n v="0"/>
    <n v="0"/>
    <n v="0"/>
    <n v="0"/>
    <n v="0"/>
    <n v="0"/>
    <n v="0"/>
    <n v="0"/>
    <n v="0"/>
    <n v="0"/>
    <n v="0"/>
    <n v="0"/>
    <n v="0"/>
    <n v="0"/>
    <n v="0"/>
    <n v="0"/>
    <n v="0"/>
    <n v="0"/>
    <n v="0"/>
    <m/>
    <n v="0"/>
    <m/>
    <n v="0"/>
    <m/>
    <n v="0.03613386867104411"/>
    <m/>
    <m/>
    <n v="0"/>
    <n v="0"/>
    <n v="0.04797636067379499"/>
    <n v="0"/>
    <m/>
    <n v="0"/>
    <n v="7.797855992390362"/>
    <n v="9.960896991272001"/>
    <n v="0.05591753179809441"/>
    <n v="4.486681476915702"/>
    <x v="0"/>
    <m/>
    <x v="4"/>
    <x v="0"/>
    <s v="Defaut GE &amp; Power Cabinet"/>
    <x v="0"/>
    <s v="{hourly IHS}: 25/05/2026 16:32 0:47:05 FME Martial is managing with level 0"/>
  </r>
  <r>
    <s v="BAFIA-BEGNIAN-IHS"/>
    <s v="CTR_828"/>
    <s v="CENTRE"/>
    <s v="IHS"/>
    <s v="Grid-Gen"/>
    <s v="CENTRE"/>
    <s v="Bafia"/>
    <s v="ZTE"/>
    <n v="0"/>
    <n v="0.1398091789300669"/>
    <n v="0"/>
    <n v="0"/>
    <n v="0.1996101965282957"/>
    <n v="0"/>
    <n v="0"/>
    <n v="0"/>
    <n v="3.756281514583387"/>
    <n v="0"/>
    <n v="2.087292720719796"/>
    <n v="0.008560837592350289"/>
    <n v="0"/>
    <n v="0"/>
    <n v="0"/>
    <n v="0.03488541318882609"/>
    <n v="0"/>
    <n v="0"/>
    <n v="0"/>
    <n v="0"/>
    <n v="0"/>
    <n v="0.02017147357697529"/>
    <n v="0"/>
    <n v="0"/>
    <m/>
    <n v="0"/>
    <m/>
    <n v="0"/>
    <m/>
    <n v="0"/>
    <m/>
    <m/>
    <n v="0.1103277944714117"/>
    <n v="0"/>
    <n v="0.2386155128084406"/>
    <n v="0.09889550926996091"/>
    <m/>
    <n v="2.567698390277172"/>
    <n v="2.499410492827996"/>
    <n v="4.455428817691279"/>
    <n v="5.024848588320014"/>
    <n v="4.473055477081211"/>
    <x v="0"/>
    <m/>
    <x v="4"/>
    <x v="0"/>
    <s v="Defaut GE &amp; Power Cabinet"/>
    <x v="0"/>
    <s v="{hourly IHS}: 25/05/2026 21:50 1:09:15 FME Jordan is managing with level 0      ;      {05-25-2026 ocm ran 22H}: Power status check Ongoing      ;      {05-25-2026 ticket}: INC-20260525-00024860...Grid Outage"/>
  </r>
  <r>
    <s v="CTR_948_Z_Nkoabang-III"/>
    <s v="CTR_948"/>
    <s v="Yaounde"/>
    <s v="ESCO"/>
    <s v="Good Grid + Solar + GE"/>
    <s v="CENTRE"/>
    <s v="Yaoundé"/>
    <s v="ZTE"/>
    <n v="0"/>
    <n v="0"/>
    <n v="0"/>
    <n v="0"/>
    <n v="0"/>
    <n v="0"/>
    <n v="0"/>
    <n v="4.358001386855692"/>
    <n v="0"/>
    <n v="0.1134310980986377"/>
    <n v="5.683415232012971"/>
    <n v="0"/>
    <n v="0"/>
    <n v="5.381877562900753"/>
    <n v="0"/>
    <n v="0"/>
    <n v="22.31435823680988"/>
    <n v="28.20323357103926"/>
    <n v="0"/>
    <n v="0"/>
    <n v="0"/>
    <n v="12.47078614171611"/>
    <n v="25.62494114424156"/>
    <n v="0"/>
    <m/>
    <n v="0"/>
    <m/>
    <n v="16.82550587416139"/>
    <m/>
    <n v="0"/>
    <m/>
    <m/>
    <n v="10.44161794123271"/>
    <n v="0"/>
    <n v="0"/>
    <n v="0"/>
    <m/>
    <n v="11.96776559285227"/>
    <n v="2.518269726508639"/>
    <n v="2.14199528409342"/>
    <n v="6.44768472006076"/>
    <n v="4.441095016736436"/>
    <x v="0"/>
    <m/>
    <x v="5"/>
    <x v="2"/>
    <s v="IP &amp; VLAN"/>
    <x v="2"/>
    <s v="{05-25-2026 goupe whatsapp incident}:    impacted by    CTR_351_Z_Mimboman-Nodal(CTR-351)  ,Cause: Boucle ethernet  ,Action: Desactivation de la boucle"/>
  </r>
  <r>
    <s v="Mpenda-Mbocko-IHS"/>
    <s v="SUO_008"/>
    <s v="SUD-OUEST"/>
    <s v="IHS"/>
    <s v="Grid-Gen"/>
    <s v="SUD-OUEST"/>
    <s v="Mpenda-Mbocko"/>
    <s v="NOKIA"/>
    <n v="0"/>
    <n v="0"/>
    <n v="0"/>
    <n v="0"/>
    <n v="0"/>
    <n v="0"/>
    <n v="0"/>
    <n v="0"/>
    <n v="0"/>
    <n v="0"/>
    <n v="0"/>
    <n v="0"/>
    <n v="0"/>
    <n v="0"/>
    <n v="0"/>
    <n v="0"/>
    <n v="0"/>
    <n v="0"/>
    <n v="0"/>
    <n v="0"/>
    <n v="0"/>
    <n v="0"/>
    <n v="0"/>
    <n v="0"/>
    <m/>
    <n v="0"/>
    <m/>
    <n v="0"/>
    <m/>
    <n v="0"/>
    <m/>
    <m/>
    <n v="0"/>
    <n v="0"/>
    <n v="0"/>
    <n v="0"/>
    <m/>
    <n v="0"/>
    <n v="15.45283143292208"/>
    <n v="6.591898976916879"/>
    <n v="0"/>
    <n v="4.41963941752061"/>
    <x v="1"/>
    <m/>
    <x v="4"/>
    <x v="0"/>
    <s v="Defaut GE &amp; Power Cabinet"/>
    <x v="0"/>
    <s v="{05-25-2026   groupe whatsapp   incident}:    impacted by  SUO_008_N_Mpenda-Mbocko-IHS,Cause: Probleme energie    Action: RCA attendu de IHS      ;      {hourly IHS}: 25/05/2026 13:36 9:23:34 FME is managing with level 0      ;      {05-25-2026 ocm ran 22H}: P2 incident at SUO_008_N_Mpenda-Mbocko-IHS; Power issue; IHS      ;      {05-25-2026 ocm ran 17H}: P2 incident at SUO_008_N_Mpenda-Mbocko-IHS      ;      {05-25-2026 ticket}: INC-20260525-00012954...power issue "/>
  </r>
  <r>
    <s v="Pitoa-II"/>
    <s v="NRD_183"/>
    <s v="NORD"/>
    <s v="CAMUSAT"/>
    <s v="Hybrid Solar - S1"/>
    <s v="NORD"/>
    <s v="Garoua"/>
    <s v="Huawei"/>
    <n v="3.715189494140106"/>
    <n v="2.615603410637696"/>
    <n v="6.367872032599669"/>
    <n v="0.3490324826714379"/>
    <n v="0.9736882656599122"/>
    <n v="0.3662968384826771"/>
    <n v="1.064611494921996"/>
    <n v="2.072774966969435"/>
    <n v="0.34052515031404"/>
    <n v="2.512320472101657"/>
    <n v="2.549096403592128"/>
    <n v="0"/>
    <n v="0.8888646331823774"/>
    <n v="0.1984509164376643"/>
    <n v="0"/>
    <n v="0.6364982749912251"/>
    <n v="3.329274069508295"/>
    <n v="0"/>
    <n v="0"/>
    <n v="1.933964552425143"/>
    <n v="0.003317324567035302"/>
    <n v="1.314177745817317"/>
    <n v="1.65941135680715"/>
    <n v="4.86118245142438"/>
    <m/>
    <n v="1.356268530646372"/>
    <m/>
    <n v="0.3773545870394626"/>
    <m/>
    <n v="0"/>
    <m/>
    <m/>
    <n v="0.02505828503594125"/>
    <n v="0.2141992905919249"/>
    <n v="0"/>
    <n v="0.5130081927215758"/>
    <m/>
    <n v="0.5174669623009249"/>
    <n v="3.049950241598024"/>
    <n v="5.192554851739649"/>
    <n v="4.166112621397475"/>
    <n v="4.351313232486667"/>
    <x v="0"/>
    <m/>
    <x v="4"/>
    <x v="0"/>
    <s v="Defaut GE &amp; Power Cabinet"/>
    <x v="0"/>
    <s v="{05-25-2026   groupe whatsapp   incident}:    impacted by  NRD_013_H_Pitoa,Cause: Probleme energie    Action: RCA attendu de IHS      ;      {05-25-2026 ocm ran 17H}: Power status check Ongoing"/>
  </r>
  <r>
    <s v="Dibamba"/>
    <s v="LIT_583"/>
    <s v="LITTORAL"/>
    <s v="CAMUSAT"/>
    <s v="Good Grid + GE"/>
    <s v="LITTORAL"/>
    <s v="Dibamba"/>
    <s v="ZTE"/>
    <n v="0"/>
    <n v="1.704123898148861"/>
    <n v="0.02443405729483251"/>
    <n v="2.189273698538664"/>
    <n v="0.3668853960671516"/>
    <n v="0"/>
    <n v="0.0199039474022137"/>
    <n v="0"/>
    <n v="0"/>
    <n v="0"/>
    <n v="16.6678437818356"/>
    <n v="0.3645846709642067"/>
    <n v="0"/>
    <n v="4.621050956958962"/>
    <n v="0"/>
    <n v="0.07695836293956324"/>
    <n v="0"/>
    <n v="0"/>
    <n v="0"/>
    <n v="0"/>
    <n v="0.7899156186774653"/>
    <n v="0"/>
    <n v="0"/>
    <n v="0"/>
    <m/>
    <n v="0"/>
    <m/>
    <n v="4.944151235756906"/>
    <m/>
    <n v="0"/>
    <m/>
    <m/>
    <n v="1.526308167324425"/>
    <n v="7.540296575950325"/>
    <n v="14.31199045181247"/>
    <n v="12.6612647781459"/>
    <m/>
    <n v="2.542533094771326"/>
    <n v="2.242625165361757"/>
    <n v="1.916368309923803"/>
    <n v="6.458115819264687"/>
    <n v="4.331427120162769"/>
    <x v="0"/>
    <m/>
    <x v="2"/>
    <x v="1"/>
    <s v="no root cause"/>
    <x v="1"/>
    <s v=""/>
  </r>
  <r>
    <s v="Nsimalen-highway-II"/>
    <s v="CTR_725"/>
    <s v="Yaounde"/>
    <s v="MTN sharing"/>
    <s v="MTN "/>
    <s v="CENTRE"/>
    <s v="Yaounde"/>
    <s v="ZTE"/>
    <n v="0"/>
    <n v="0"/>
    <n v="0"/>
    <n v="2.917979328430827"/>
    <n v="0"/>
    <n v="0"/>
    <n v="0.009541766899806877"/>
    <n v="2.991709542194942"/>
    <n v="15.80209341015258"/>
    <n v="0"/>
    <n v="0"/>
    <n v="0"/>
    <n v="3.355884006357849"/>
    <n v="0"/>
    <n v="0"/>
    <n v="0"/>
    <n v="1.53688436876664"/>
    <n v="0"/>
    <n v="0"/>
    <n v="0"/>
    <n v="0"/>
    <n v="0"/>
    <n v="0"/>
    <n v="0"/>
    <m/>
    <n v="0"/>
    <m/>
    <n v="2.12198194804713"/>
    <m/>
    <n v="0"/>
    <m/>
    <m/>
    <n v="0"/>
    <n v="0"/>
    <n v="0"/>
    <n v="0"/>
    <m/>
    <n v="0"/>
    <n v="3.684294929438989"/>
    <n v="3.573746391668452"/>
    <n v="4.977036533608247"/>
    <n v="4.321332465835123"/>
    <x v="0"/>
    <m/>
    <x v="5"/>
    <x v="2"/>
    <s v="IP &amp; VLAN"/>
    <x v="2"/>
    <s v="{05-25-2026 goupe whatsapp incident}:    impacted by    CTR_007_Z_Messamendongo(CTR-007)  ,Cause: Boucle etherneet  ,Action: Desactivation de la bouclee      ;      {05-25-2026 ticket}: INC-20260525-00019159...Grid Outage"/>
  </r>
  <r>
    <s v="Maroua-Pitouare-IHS"/>
    <s v="EXN_145"/>
    <s v="Maroua"/>
    <s v="IHS"/>
    <s v="Grid-Gen"/>
    <s v="EXTREME-NORD"/>
    <s v="Maroua"/>
    <s v="Huawei"/>
    <n v="3.049495195943305"/>
    <n v="1.548798201082661"/>
    <n v="1.540950766623006"/>
    <n v="1.94090239789061"/>
    <n v="1.782740923371943"/>
    <n v="1.540950766623006"/>
    <n v="1.540950766623006"/>
    <n v="2.609432473539877"/>
    <n v="1.93993930366147"/>
    <n v="0.401021735966647"/>
    <n v="0"/>
    <n v="0"/>
    <n v="0.5571321764788134"/>
    <n v="0"/>
    <n v="1.231280301798061"/>
    <n v="0"/>
    <n v="0.2991477686176816"/>
    <n v="1.986132156503526"/>
    <n v="0"/>
    <n v="0"/>
    <n v="0.0243983871381973"/>
    <n v="0"/>
    <n v="0"/>
    <n v="0"/>
    <m/>
    <n v="3.952984593345947"/>
    <m/>
    <n v="0"/>
    <m/>
    <n v="0"/>
    <m/>
    <m/>
    <n v="4.323668861094704"/>
    <n v="0.4302177591722241"/>
    <n v="17.0196942068812"/>
    <n v="4.10007048422951"/>
    <m/>
    <n v="1.152377915321902"/>
    <n v="4.659229883817129"/>
    <n v="5.926865197153456"/>
    <n v="3.133604801835107"/>
    <n v="4.289193654707176"/>
    <x v="0"/>
    <m/>
    <x v="4"/>
    <x v="0"/>
    <s v="Defaut GE &amp; Power Cabinet"/>
    <x v="0"/>
    <s v="{hourly IHS}: 25/05/2026 15:58 1:21:05 Emmanuel is on site,"/>
  </r>
  <r>
    <s v="Abang-MTN-IHS"/>
    <s v="CTR_462"/>
    <s v="Yaounde"/>
    <s v="IHS"/>
    <s v="Grid-Gen"/>
    <s v="CENTRE"/>
    <s v="Yaounde"/>
    <s v="ZTE"/>
    <n v="0"/>
    <n v="0"/>
    <n v="0"/>
    <n v="1.197607673934818"/>
    <n v="0"/>
    <n v="0"/>
    <n v="0"/>
    <n v="9.859819851440932"/>
    <n v="18.90705569966299"/>
    <n v="0.2229206438891312"/>
    <n v="0"/>
    <n v="0.009934138622789591"/>
    <n v="2.952650720679844"/>
    <n v="0"/>
    <n v="0"/>
    <n v="0"/>
    <n v="0"/>
    <n v="0"/>
    <n v="0"/>
    <n v="1.530909617530313"/>
    <n v="0"/>
    <n v="6.055918677750097"/>
    <n v="0"/>
    <n v="0.7517485510782377"/>
    <m/>
    <n v="0"/>
    <m/>
    <n v="0"/>
    <m/>
    <n v="0.6117610213649954"/>
    <m/>
    <m/>
    <n v="0"/>
    <n v="0"/>
    <n v="0"/>
    <n v="0"/>
    <m/>
    <n v="0.1068856243561537"/>
    <n v="2.505530376605158"/>
    <n v="2.247503918588561"/>
    <n v="6.072438751321501"/>
    <n v="4.279009824987944"/>
    <x v="0"/>
    <m/>
    <x v="5"/>
    <x v="2"/>
    <s v="IP &amp; VLAN"/>
    <x v="2"/>
    <s v="{05-25-2026 goupe whatsapp incident}:    impacted by    CTR_351_Z_Mimboman-Nodal(CTR-351)  ,Cause: Boucle ethernet  ,Action: Desactivation de la boucle      ;      {05-25-2026 ticket}: INC-20260525-00019093...power ...Grid Outage"/>
  </r>
  <r>
    <s v="Nkongoa"/>
    <s v="CTR_629"/>
    <s v="Yaounde"/>
    <s v="CAMUSAT"/>
    <s v="Medium Grid + GE"/>
    <s v="CENTRE"/>
    <s v="Yaounde"/>
    <s v="ZTE"/>
    <n v="0"/>
    <n v="25.54013534684234"/>
    <n v="0"/>
    <n v="0.7324153261821802"/>
    <n v="0"/>
    <n v="0"/>
    <n v="0"/>
    <n v="3.07034440249634"/>
    <n v="3.468030978817634"/>
    <n v="0.07727939434927635"/>
    <n v="0"/>
    <n v="22.10718596707502"/>
    <n v="1.083035130823867"/>
    <n v="7.421211758025072"/>
    <n v="13.86855689960706"/>
    <n v="23.86584953471848"/>
    <n v="0.003656191055066162"/>
    <n v="0"/>
    <n v="0.1229371948418101"/>
    <n v="1.373871752945641"/>
    <n v="0"/>
    <n v="0"/>
    <n v="0"/>
    <n v="0.4540454238042645"/>
    <m/>
    <n v="0"/>
    <m/>
    <n v="0"/>
    <m/>
    <n v="0"/>
    <m/>
    <m/>
    <n v="0"/>
    <n v="0"/>
    <n v="0"/>
    <n v="0"/>
    <m/>
    <n v="0.06557958297306442"/>
    <n v="3.201448588979613"/>
    <n v="3.4019893849601"/>
    <n v="5.090068608588497"/>
    <n v="4.253666178698925"/>
    <x v="2"/>
    <s v="site vandalise"/>
    <x v="9"/>
    <x v="5"/>
    <s v="EXCLU"/>
    <x v="4"/>
    <s v="{05-25-2026 goupe whatsapp incident}:    impacted by    CTR_351_Z_Mimboman-Nodal(CTR-351)  ,Cause: Boucle ethernet  ,Action: Desactivation de la boucle      ;      {05-25-2026 ticket}: INC-20260525-00019097...power ...Others"/>
  </r>
  <r>
    <s v="Ngd-ZI"/>
    <s v="ADM_033"/>
    <s v="Ngaoundere"/>
    <s v="IHS"/>
    <s v="Grid-Gen"/>
    <s v="ADAMAOUA"/>
    <s v="Ngaoundere"/>
    <s v="Huawei"/>
    <n v="0"/>
    <n v="2.391576991892887"/>
    <n v="27.10844512360422"/>
    <n v="0.05252430564473095"/>
    <n v="0.07312382110132322"/>
    <n v="0.1547371394817269"/>
    <n v="0.05459317472954887"/>
    <n v="0.05885575844740648"/>
    <n v="0"/>
    <n v="0.04860058841490385"/>
    <n v="0.5400461714507481"/>
    <n v="20.5699092265854"/>
    <n v="0.05519956739234033"/>
    <n v="0.9551397842098204"/>
    <n v="4.460802778277159"/>
    <n v="0.2459457299968895"/>
    <n v="1.441609380395111"/>
    <n v="0.07374804884243208"/>
    <n v="0.05297018260266585"/>
    <n v="3.797106008851906"/>
    <n v="0"/>
    <n v="1.567525033315926"/>
    <n v="0"/>
    <n v="0.05389760667517042"/>
    <m/>
    <n v="2.687175579925406"/>
    <m/>
    <n v="0.4043212254553653"/>
    <m/>
    <n v="0.1242213204806625"/>
    <m/>
    <m/>
    <n v="0.05288100721107886"/>
    <n v="0.05626967209138409"/>
    <n v="0.1752296444684148"/>
    <n v="7.940587073705959"/>
    <m/>
    <n v="9.572710760687492"/>
    <n v="5.283707820262261"/>
    <n v="6.741767988956552"/>
    <n v="2.284923730538647"/>
    <n v="4.209363844158513"/>
    <x v="0"/>
    <m/>
    <x v="4"/>
    <x v="0"/>
    <s v="Defaut GE &amp; Power Cabinet"/>
    <x v="0"/>
    <s v="{hourly IHS}: 25/05/2026 02:33 0:49:28 48.9V Joseph is going to site ETA ASAP."/>
  </r>
  <r>
    <s v="OST_362_H_Dschang-TSINBING"/>
    <s v="OST_362"/>
    <s v="OUEST"/>
    <s v="ESCO"/>
    <s v="Hybrid Solar - S1"/>
    <s v="OST"/>
    <s v="Dschang"/>
    <s v="Huawei"/>
    <n v="0"/>
    <n v="0"/>
    <n v="0"/>
    <n v="0"/>
    <n v="0"/>
    <n v="0"/>
    <n v="0"/>
    <n v="0"/>
    <n v="0"/>
    <n v="0"/>
    <n v="0"/>
    <n v="0.03336943153184774"/>
    <n v="0"/>
    <s v=""/>
    <n v="0"/>
    <n v="0"/>
    <n v="0"/>
    <n v="0"/>
    <n v="0"/>
    <n v="0"/>
    <n v="0"/>
    <n v="0"/>
    <n v="0"/>
    <n v="5.547708121095901"/>
    <m/>
    <n v="0"/>
    <m/>
    <n v="3.142362448741985"/>
    <m/>
    <n v="3.423978335373667"/>
    <m/>
    <m/>
    <n v="0"/>
    <n v="0"/>
    <n v="0"/>
    <n v="0"/>
    <m/>
    <n v="0"/>
    <n v="7.095318313889589"/>
    <n v="9.04919826188072"/>
    <n v="0.2072539710681664"/>
    <n v="4.159211603929996"/>
    <x v="0"/>
    <m/>
    <x v="2"/>
    <x v="1"/>
    <s v="no root cause"/>
    <x v="1"/>
    <s v=""/>
  </r>
  <r>
    <s v="Yassa-Pesage-IHS"/>
    <s v="LIT_563"/>
    <s v="Douala"/>
    <s v="IHS"/>
    <s v="Grid-Gen"/>
    <s v="LITTORAL"/>
    <s v="Douala"/>
    <s v="ZTE"/>
    <n v="0.2148056832547171"/>
    <n v="0.3226008966050572"/>
    <n v="0.002889282687418138"/>
    <n v="2.116167712515659"/>
    <n v="0.8117635896162749"/>
    <n v="0.9737774410514987"/>
    <n v="0.03686510688205745"/>
    <n v="3.123332420177324"/>
    <n v="1.934267748756539"/>
    <n v="0.1219919356909883"/>
    <n v="0.1069747997477403"/>
    <n v="0"/>
    <n v="0.3090462370838359"/>
    <n v="1.206578718328467"/>
    <n v="0"/>
    <n v="0.3983821443756729"/>
    <n v="0"/>
    <n v="5.756984930072226"/>
    <n v="1.999330114458399"/>
    <n v="3.487078842460615"/>
    <n v="0"/>
    <n v="0.1969527698590033"/>
    <n v="0.1981833902629029"/>
    <n v="0"/>
    <m/>
    <n v="5.380450756635362"/>
    <m/>
    <n v="0.0992165406796733"/>
    <m/>
    <n v="0.1993426703535341"/>
    <m/>
    <m/>
    <n v="4.358786130301655"/>
    <n v="14.71429631341797"/>
    <n v="0.1986471022991555"/>
    <n v="0.2749990725759274"/>
    <m/>
    <n v="0.384934495324356"/>
    <n v="1.894790954761819"/>
    <n v="1.604623764497078"/>
    <n v="6.375761436041561"/>
    <n v="4.134153318894054"/>
    <x v="0"/>
    <m/>
    <x v="4"/>
    <x v="0"/>
    <s v="Defaut GE &amp; Power Cabinet"/>
    <x v="0"/>
    <s v="{05-25-2026 ticket}: INC-20260525-00013119...grid outage power fluctuation on site ...Grid Outage"/>
  </r>
  <r>
    <s v="Mbanga-Bakoko-IHS"/>
    <s v="LIT_164"/>
    <s v="Douala"/>
    <s v="IHS"/>
    <s v="Grid-Gen"/>
    <s v="LITTORAL"/>
    <s v="Douala"/>
    <s v="ZTE"/>
    <n v="0.2174274397673732"/>
    <n v="0.3273450274374849"/>
    <n v="0.003370829801987826"/>
    <n v="0.002229384789674551"/>
    <n v="0.8114425582065619"/>
    <n v="4.767245093926657"/>
    <n v="0"/>
    <n v="3.118534784109944"/>
    <n v="1.928899390183002"/>
    <n v="0.1220811110825754"/>
    <n v="0.1067607788079322"/>
    <n v="0"/>
    <n v="0.3095277841984055"/>
    <n v="1.202744176490228"/>
    <n v="0"/>
    <n v="0.3947972936338756"/>
    <n v="0"/>
    <n v="5.750296775703202"/>
    <n v="2.000132692982681"/>
    <n v="3.484813787514304"/>
    <n v="0"/>
    <n v="0.1934570945087933"/>
    <n v="0.1966852436842417"/>
    <n v="0"/>
    <m/>
    <n v="5.379969209520793"/>
    <m/>
    <n v="0.1014459254693479"/>
    <m/>
    <n v="0.1994496808234382"/>
    <m/>
    <m/>
    <n v="4.419550242129024"/>
    <n v="14.60771388539322"/>
    <n v="0.200644631070704"/>
    <n v="0.2393289159411354"/>
    <m/>
    <n v="0.3781393304854275"/>
    <n v="1.891793460666882"/>
    <n v="1.603986250089251"/>
    <n v="6.37271760709353"/>
    <n v="4.131923934104378"/>
    <x v="0"/>
    <m/>
    <x v="4"/>
    <x v="0"/>
    <s v="Defaut GE &amp; Power Cabinet"/>
    <x v="0"/>
    <s v="{05-25-2026 ticket}: INC-20260525-00013122...impacted by yassa pesage ihs ...Grid Outage"/>
  </r>
  <r>
    <s v="Betare-Oya"/>
    <s v="EST_014"/>
    <s v="CENTRE"/>
    <s v="IHS"/>
    <s v="Solar-Gen-Lithium"/>
    <s v="EST"/>
    <s v="Betare-oya"/>
    <s v="NOKIA"/>
    <n v="1.399964472523992"/>
    <n v="0.0007490732893305785"/>
    <n v="0.08223533248100265"/>
    <n v="8.9175391586944e-05"/>
    <n v="0.6004855605052322"/>
    <n v="8.917539158700189e-05"/>
    <n v="5.350523495223587e-05"/>
    <n v="7.134031326958995e-05"/>
    <n v="0.0727069382682516"/>
    <n v="0.0001248455482218258"/>
    <n v="0.0001070104699041823"/>
    <n v="0.1859790522381515"/>
    <n v="2.780435204447069"/>
    <n v="9.245811610207944"/>
    <n v="9.245811610207944"/>
    <n v="9.245704599738039"/>
    <n v="5.377293947773184"/>
    <n v="0.0001426806265393536"/>
    <n v="5.350523495223587e-05"/>
    <n v="3.567015663482392e-05"/>
    <n v="7.134031326947414e-05"/>
    <n v="0.2796840607379603"/>
    <n v="1.783507831741196e-05"/>
    <n v="0.2092054686630541"/>
    <m/>
    <n v="8.91753915870598e-05"/>
    <m/>
    <n v="1.783507831746985e-05"/>
    <m/>
    <n v="0.03197829542309116"/>
    <m/>
    <m/>
    <n v="0.3741799430989663"/>
    <n v="0.01253806005712929"/>
    <n v="0.005421863808488572"/>
    <n v="4.491283078526593"/>
    <m/>
    <n v="0.07899156186774609"/>
    <n v="6.999023816089748"/>
    <n v="8.093776669352726"/>
    <n v="0.7904756386625219"/>
    <n v="4.128858136772313"/>
    <x v="0"/>
    <m/>
    <x v="4"/>
    <x v="0"/>
    <s v="Defaut GE &amp; Power Cabinet"/>
    <x v="0"/>
    <s v="{hourly IHS}: 25/05/2026 15:32 1:47:05 FME Stephane is heading to site, ETA ASAP      ;      (05/25/2026 cell nokia): 25/05/2026:Intervention prevue pour aujourd'hui ||ETA :16h_x000a_23/05/2026 : Check breaker and  interconnection (sfp, optical fiber) between system and radio module, swap its if needed  ||Action avec le level0 faite       ;      (05/25/2026 cell nokia): 25/05/2026:Intervention prevue pour aujourd'hui ||ETA :16h_x000a_23/05/2026 : Check breaker and  interconnection (sfp, optical fiber) between system and radio module, swap its if needed  ||Action avec le level0 faite       ;      {05-25-2026 ocm ran 17H}: Power status check Ongoing      ;      {05-25-2026 ticket}: INC-20260525-00015194...Grid Outage"/>
  </r>
  <r>
    <s v="EXN_350_H_Maroua-Ziling"/>
    <s v="EXN_350"/>
    <s v="Maroua"/>
    <s v="ESCO"/>
    <s v="Hybrid Solar - S1"/>
    <s v="EXN"/>
    <s v="Maroua"/>
    <s v="Huawei"/>
    <n v="18.49140919947608"/>
    <n v="18.49140919947608"/>
    <n v="18.49114167330132"/>
    <n v="18.49140919947608"/>
    <n v="18.49114167330132"/>
    <n v="18.49140919947608"/>
    <n v="12.77419649405164"/>
    <n v="4.8485908861323"/>
    <n v="0"/>
    <n v="0.5684039459754076"/>
    <n v="0"/>
    <n v="0"/>
    <n v="0"/>
    <s v=""/>
    <n v="5.656395088362111"/>
    <n v="1.526236827011155"/>
    <n v="4.977859533776786"/>
    <n v="0"/>
    <n v="0"/>
    <n v="0"/>
    <n v="0"/>
    <n v="0"/>
    <n v="0"/>
    <n v="6.779273784147041"/>
    <m/>
    <n v="0"/>
    <m/>
    <n v="2.382980484143901"/>
    <m/>
    <n v="0"/>
    <m/>
    <m/>
    <n v="0"/>
    <n v="0"/>
    <n v="0"/>
    <n v="0"/>
    <m/>
    <n v="0"/>
    <n v="6.91546866819339"/>
    <n v="8.833559013433705"/>
    <n v="0.3184050281591797"/>
    <n v="4.119100512794172"/>
    <x v="2"/>
    <m/>
    <x v="9"/>
    <x v="5"/>
    <s v="EXCLU"/>
    <x v="4"/>
    <s v=""/>
  </r>
  <r>
    <s v="Ngaouyanga-IHS"/>
    <s v="ADM_081"/>
    <s v="ADAMAOUA"/>
    <s v="IHS"/>
    <s v="Hybrid-Gen"/>
    <s v="ADAMAOUA"/>
    <s v="Ngaouyanga"/>
    <s v="NOKIA"/>
    <n v="4.67372933245746"/>
    <n v="4.673783439071634"/>
    <n v="4.705608223596204"/>
    <n v="4.673296479544057"/>
    <n v="1.940299255400318"/>
    <n v="0"/>
    <n v="0"/>
    <n v="0"/>
    <n v="0"/>
    <n v="0"/>
    <n v="0.04221902633898573"/>
    <n v="0"/>
    <n v="0"/>
    <n v="0"/>
    <n v="0"/>
    <n v="0.2873766169282003"/>
    <n v="4.62162167946512"/>
    <n v="0"/>
    <n v="0.004816028556409562"/>
    <n v="0.7922341788587262"/>
    <n v="0"/>
    <n v="1.483664727335437"/>
    <n v="0"/>
    <n v="0"/>
    <m/>
    <n v="0"/>
    <m/>
    <n v="0"/>
    <m/>
    <n v="0.03076737845563713"/>
    <m/>
    <m/>
    <n v="0"/>
    <n v="0.4508324792498778"/>
    <n v="0.04904954679373225"/>
    <n v="0"/>
    <m/>
    <n v="0.05290208364238672"/>
    <n v="12.6652868202183"/>
    <n v="6.865463644410647"/>
    <n v="0"/>
    <n v="4.113417118731695"/>
    <x v="0"/>
    <m/>
    <x v="4"/>
    <x v="0"/>
    <s v="Defaut GE &amp; Power Cabinet"/>
    <x v="0"/>
    <s v="{hourly IHS}: 25/05/2026 08:02 1:58:00 44 Our FME PARFAIT is managing with level zero      ;      {05-25-2026 ticket}: INC-20260525-00009667...Grid Outage"/>
  </r>
  <r>
    <s v="Elig-Edzoa"/>
    <s v="CTR_075"/>
    <s v="Yaounde"/>
    <s v="IHS"/>
    <s v="GridOnly"/>
    <s v="CENTRE"/>
    <s v="Yaounde"/>
    <s v="ZTE"/>
    <n v="7.455562118864377"/>
    <n v="8.878016625146604"/>
    <n v="9.245704599738039"/>
    <n v="9.245704599738039"/>
    <n v="7.059409359278379"/>
    <n v="5.358745466323092"/>
    <n v="9.245704599738039"/>
    <n v="24.31081690365919"/>
    <n v="7.372307973278772"/>
    <n v="9.245704599738039"/>
    <n v="9.245704599738039"/>
    <n v="4.621354153290357"/>
    <n v="9.245704599738039"/>
    <n v="9.245704599738039"/>
    <n v="9.245704599738039"/>
    <n v="9.245704599738039"/>
    <n v="5.838205876729647"/>
    <n v="5.949140063863849"/>
    <n v="9.245704599738039"/>
    <n v="9.383337899113382"/>
    <n v="4.630396537997277"/>
    <n v="9.245704599738039"/>
    <n v="9.245704599738039"/>
    <n v="8.19705549991011"/>
    <m/>
    <n v="6.638483675909517"/>
    <m/>
    <n v="5.380415086478728"/>
    <m/>
    <n v="9.245704599738039"/>
    <m/>
    <m/>
    <n v="0"/>
    <n v="0"/>
    <n v="0.3093851035718663"/>
    <n v="0"/>
    <m/>
    <n v="0"/>
    <n v="2.303199525196935"/>
    <n v="2.054708936421964"/>
    <n v="5.924077740348945"/>
    <n v="4.10802492915907"/>
    <x v="0"/>
    <m/>
    <x v="1"/>
    <x v="0"/>
    <s v="Coupure ENEO &amp; Baisse de tension"/>
    <x v="0"/>
    <s v="{hourly IHS}: 25/05/2026 06:44 2:16:00 NO COM Grid only site, no space to deployed MDG/Awaiting grid return      ;      {05-25-2026 ticket}: INC-20260525-00004993...2026-05-25 07:28:14...Grid Outage...user:OCM_NOC.IHS"/>
  </r>
  <r>
    <s v="Fondonera-IHS"/>
    <s v="OST_263"/>
    <s v="OUEST"/>
    <s v="IHS"/>
    <s v="Grid-Gen"/>
    <s v="OUEST"/>
    <s v="Santchou"/>
    <s v="NOKIA"/>
    <n v="0"/>
    <n v="0"/>
    <n v="0"/>
    <n v="0.3099702124703111"/>
    <n v="0"/>
    <n v="0"/>
    <n v="0"/>
    <n v="0"/>
    <n v="0"/>
    <n v="0"/>
    <n v="0"/>
    <n v="0"/>
    <n v="6.643410120010873"/>
    <n v="7.608533585592681"/>
    <n v="0"/>
    <n v="0"/>
    <n v="0"/>
    <n v="0"/>
    <n v="0"/>
    <n v="0.1518121866376739"/>
    <n v="0"/>
    <n v="0"/>
    <n v="0"/>
    <n v="0"/>
    <m/>
    <n v="0"/>
    <m/>
    <n v="0"/>
    <m/>
    <n v="0"/>
    <m/>
    <m/>
    <n v="0.2793329966070547"/>
    <n v="0"/>
    <n v="0"/>
    <n v="0"/>
    <m/>
    <n v="1.029957937751297"/>
    <n v="6.615469467525148"/>
    <n v="9.265156267531646"/>
    <n v="0"/>
    <n v="4.055108251791355"/>
    <x v="0"/>
    <m/>
    <x v="4"/>
    <x v="0"/>
    <s v="Defaut GE &amp; Power Cabinet"/>
    <x v="0"/>
    <s v="{hourly IHS}: 25-05-2026 19:19:56 3:40:04 FME isinformed and managing ETA ASAP      ;      {05-25-2026 ocm ran 22H}: Power status check Ongoing      ;      {05-25-2026 ticket}: INC-20260525-00020831"/>
  </r>
  <r>
    <s v="Nkolangaa"/>
    <s v="CTR_247"/>
    <s v="Yaounde"/>
    <s v="IHS"/>
    <s v="Grid-Gen"/>
    <s v="CENTRE"/>
    <s v="Yaounde"/>
    <s v="ZTE"/>
    <n v="0"/>
    <n v="0"/>
    <n v="0"/>
    <n v="1.135809127565041"/>
    <n v="0"/>
    <n v="0"/>
    <n v="0"/>
    <n v="4.396221959689869"/>
    <n v="3.49025348640111"/>
    <n v="0.08006166656679074"/>
    <n v="0"/>
    <n v="0"/>
    <n v="1.81823272922356"/>
    <n v="0"/>
    <n v="0"/>
    <n v="0"/>
    <n v="0"/>
    <n v="0"/>
    <n v="0"/>
    <n v="1.457090228374611"/>
    <n v="0.09502529727508494"/>
    <n v="0"/>
    <n v="0"/>
    <n v="0.754584328530703"/>
    <m/>
    <n v="0"/>
    <m/>
    <n v="0"/>
    <m/>
    <n v="0"/>
    <m/>
    <m/>
    <n v="0.02660993684955476"/>
    <n v="0"/>
    <n v="0"/>
    <n v="0"/>
    <m/>
    <n v="0.1057798495004755"/>
    <n v="2.506904228065337"/>
    <n v="2.247238287585299"/>
    <n v="5.617540225054556"/>
    <n v="4.041892458758165"/>
    <x v="0"/>
    <m/>
    <x v="5"/>
    <x v="2"/>
    <s v="IP &amp; VLAN"/>
    <x v="2"/>
    <s v="{05-25-2026 goupe whatsapp incident}:    impacted by    CTR_351_Z_Mimboman-Nodal(CTR-351)  ,Cause: Boucle ethernet  ,Action: Desactivation de la boucle      ;      (05/25/2026 cell zte):   _x000a_25/05/2026 : En attente du GO de zte _x000a_21/05/2026 : RI recu et transferer a ZTE || En attente du feedback de zte pour la validation du remplacement de la RRU_x000a_20/05/2026 : En attente du RI pour transmettre  a ZTE pour la validation du remplacement de le radio _x000a_19/05/2026 : FME en route pour une investiguation ce jour || ETA : 10h  || Feedback FME : Il a constater que la radio est faulty || _x000a_18/05/2026 : Feedback RM :  nouvelle intervention ce jour ETA 16H30 || _x000a_16/05/2026 : En attente du feedback du BO || ch_x000a_18/05/2026 : Le jumpeur a ete remplacer hier mais apres redemarrage l'alarme persiste toujours. On va effectuer d'abord le remplacement de la RRU _x000a_17/05/2026 : FME en route pour le site || ETA: 10H || Feedback FME : Remplacement de la bretelle sur nkolanga ce ctr_247 non ok_x000a_16/05/2026 : Check and clean RRU 51 ant 1 ||Escalade faite au RM || En attente d'un ETA       ;      (05/25/2026 cell zte):   _x000a_25/05/2026 : En attente du GO de zte _x000a_21/05/2026 : RI recu et transferer a ZTE || En attente du feedback de zte pour la validation du remplacement de la RRU_x000a_20/05/2026 : En attente du RI pour transmettre  a ZTE pour la validation du remplacement de le radio _x000a_19/05/2026 : FME en route pour une investiguation ce jour || ETA : 10h  || Feedback FME : Il a constater que la radio est faulty || _x000a_18/05/2026 : Feedback RM :  nouvelle intervention ce jour ETA 16H30 || _x000a_16/05/2026 : En attente du feedback du BO || ch_x000a_18/05/2026 : Le jumpeur a ete remplacer hier mais apres redemarrage l'alarme persiste toujours. On va effectuer d'abord le remplacement de la RRU _x000a_17/05/2026 : FME en route pour le site || ETA: 10H || Feedback FME : Remplacement de la bretelle sur nkolanga ce ctr_247 non ok_x000a_16/05/2026 : Check and clean RRU 51 ant 1 ||Escalade faite au RM || En attente d'un ETA       ;      (05/25/2026 cell zte):   _x000a_25/05/2026 : En attente du GO de zte _x000a_21/05/2026 : RI recu et transferer a ZTE || En attente du feedback de zte pour la validation du remplacement de la RRU_x000a_20/05/2026 : En attente du RI pour transmettre  a ZTE pour la validation du remplacement de le radio _x000a_19/05/2026 : FME en route pour une investiguation ce jour || ETA : 10h  || Feedback FME : Il a constater que la radio est faulty || _x000a_18/05/2026 : Feedback RM :  nouvelle intervention ce jour ETA 16H30 || _x000a_16/05/2026 : En attente du feedback du BO || ch_x000a_18/05/2026 : Le jumpeur a ete remplacer hier mais apres redemarrage l'alarme persiste toujours. On va effectuer d'abord le remplacement de la RRU _x000a_17/05/2026 : FME en route pour le site || ETA: 10H || Feedback FME : Remplacement de la bretelle sur nkolanga ce ctr_247 non ok_x000a_16/05/2026 : Check and clean RRU 51 ant 1 ||Escalade faite au RM || En attente d'un ETA       ;      {05-25-2026 ticket}: INC-20260525-00019061...power ...Grid Outage"/>
  </r>
  <r>
    <s v="So-Djay-IHS"/>
    <s v="NRD_125"/>
    <s v="NORD"/>
    <s v="IHS"/>
    <s v="Solar-Gen"/>
    <s v="NORD"/>
    <s v="So-Djay"/>
    <s v="NOKIA"/>
    <n v="0"/>
    <n v="0"/>
    <n v="0"/>
    <n v="0"/>
    <n v="0"/>
    <n v="0"/>
    <n v="0"/>
    <n v="0"/>
    <n v="0.002229384789674552"/>
    <n v="0"/>
    <n v="0"/>
    <n v="0"/>
    <n v="0"/>
    <n v="6.547916787982151"/>
    <n v="0"/>
    <n v="0"/>
    <n v="0.05311453020365282"/>
    <n v="0"/>
    <n v="0.1057477042464651"/>
    <n v="0.1891467341678629"/>
    <n v="0"/>
    <n v="0"/>
    <n v="0"/>
    <n v="0.2569547337435856"/>
    <m/>
    <n v="0"/>
    <m/>
    <n v="0"/>
    <m/>
    <n v="0"/>
    <m/>
    <m/>
    <n v="0.1773876889448196"/>
    <n v="0"/>
    <n v="6.94629580794194"/>
    <n v="2.158518595505608"/>
    <m/>
    <n v="5.872866672594959"/>
    <n v="0"/>
    <n v="11.95394429682269"/>
    <n v="0"/>
    <n v="4.013076977433995"/>
    <x v="0"/>
    <m/>
    <x v="4"/>
    <x v="0"/>
    <s v="Defaut GE &amp; Power Cabinet"/>
    <x v="0"/>
    <s v="{05-25-2026 ocm ran 17H}: 25.05.26: Besoin d'un FME sur site pour reset physique du MPR et si NOK, tshoot avec le BO TX; FME Ervice activé pour investigations, update ASAP_x000a_24/05/2025 IHS active en attente de retour       ;      {05-25-2026 ticket}: INC-20260525-00017746...Grid Outage"/>
  </r>
  <r>
    <s v="Mvog-Manga-III"/>
    <s v="CTR_739"/>
    <s v="Yaounde"/>
    <s v="CAMUSAT"/>
    <s v="Good Grid + GE"/>
    <s v="CENTRE"/>
    <s v="Yaounde"/>
    <s v="ZTE"/>
    <n v="0"/>
    <n v="0"/>
    <n v="0"/>
    <n v="0"/>
    <n v="0"/>
    <n v="0"/>
    <n v="0"/>
    <n v="2.97713828320963"/>
    <n v="23.18194562155961"/>
    <n v="1.71653711265777"/>
    <n v="2.2757381582214"/>
    <n v="23.11426149934509"/>
    <n v="0"/>
    <n v="0"/>
    <n v="0.1559677598856267"/>
    <n v="0"/>
    <n v="1.848159990640151"/>
    <n v="0"/>
    <n v="0"/>
    <n v="0"/>
    <n v="23.11426149934509"/>
    <n v="0"/>
    <n v="0"/>
    <n v="0"/>
    <m/>
    <n v="0"/>
    <m/>
    <n v="0"/>
    <m/>
    <n v="0"/>
    <m/>
    <m/>
    <n v="0"/>
    <n v="0"/>
    <n v="0"/>
    <n v="0"/>
    <m/>
    <n v="0"/>
    <n v="3.721139127689252"/>
    <n v="2.147201651757331"/>
    <n v="5.275571172792081"/>
    <n v="4.00336868959259"/>
    <x v="0"/>
    <m/>
    <x v="5"/>
    <x v="2"/>
    <s v="IP &amp; VLAN"/>
    <x v="2"/>
    <s v="{05-25-2026 goupe whatsapp incident}:    impacted by    CTR_007_Z_Messamendongo(CTR-007)  ,Cause: Boucle etherneet  ,Action: Desactivation de la bouclee      ;      {05-25-2026 ticket}: INC-20260525-00025499...Grid Outage"/>
  </r>
  <r>
    <s v="Guider-Sanguere"/>
    <s v="NRD_134"/>
    <s v="NORD"/>
    <s v="CAMUSAT"/>
    <s v="Good Grid + GE"/>
    <s v="NORD"/>
    <s v="Guider"/>
    <s v="Huawei"/>
    <n v="7.704985689133157"/>
    <n v="3.946100253115431"/>
    <n v="1.937264041913861"/>
    <n v="1.125999834490473"/>
    <n v="0.462695436788202"/>
    <n v="0.3152885144949248"/>
    <n v="0.309349433415232"/>
    <n v="2.20814321139847"/>
    <n v="0.9507701900220585"/>
    <n v="2.414762593705502"/>
    <n v="0.7351619282430591"/>
    <n v="6.395403660449326"/>
    <n v="2.255887716054139"/>
    <n v="0.2999860172985991"/>
    <n v="0.7656599121658062"/>
    <n v="1.281022335225278"/>
    <n v="1.839010595463327"/>
    <n v="4.431410569210091"/>
    <n v="1.33429571415934"/>
    <n v="4.289389840568667"/>
    <n v="1.027318196297856"/>
    <n v="5.615213892527244"/>
    <n v="8.91345492576327"/>
    <n v="16.64931313546384"/>
    <m/>
    <n v="7.575717041488674"/>
    <m/>
    <n v="12.88161717075732"/>
    <m/>
    <n v="6.080869952316135"/>
    <m/>
    <m/>
    <n v="10.48023088578987"/>
    <n v="6.850043374910468"/>
    <n v="2.104129034651417"/>
    <n v="3.448198371728691"/>
    <m/>
    <n v="4.942599583943292"/>
    <n v="3.787458684539724"/>
    <n v="6.489312283457607"/>
    <n v="2.454386342195868"/>
    <n v="3.999320126814541"/>
    <x v="0"/>
    <m/>
    <x v="0"/>
    <x v="0"/>
    <s v="AKTIVCO Defaut GE &amp; Power Cabinet"/>
    <x v="0"/>
    <s v="{05-25-2026 BOTX}: Power issue on site"/>
  </r>
  <r>
    <s v="Buea-Bomaka-II-IHS"/>
    <s v="SUO_201"/>
    <s v="SUD-OUEST"/>
    <s v="IHS"/>
    <s v="Grid-Gen"/>
    <s v="SUD-OUEST"/>
    <s v="Buea"/>
    <s v="Huawei"/>
    <n v="0"/>
    <n v="0.6239958850907307"/>
    <n v="0"/>
    <n v="0"/>
    <n v="0"/>
    <n v="0.007651248598162844"/>
    <n v="0"/>
    <n v="0"/>
    <n v="0.002675261747609386"/>
    <n v="0"/>
    <n v="0"/>
    <n v="0.4726117403326742"/>
    <n v="0"/>
    <n v="0"/>
    <n v="0"/>
    <n v="0"/>
    <n v="1.727041973786716"/>
    <n v="0"/>
    <n v="0"/>
    <n v="0"/>
    <n v="0"/>
    <n v="0"/>
    <n v="0"/>
    <n v="0"/>
    <m/>
    <n v="0"/>
    <m/>
    <n v="0"/>
    <m/>
    <n v="0"/>
    <m/>
    <m/>
    <n v="0"/>
    <n v="0"/>
    <n v="0"/>
    <n v="0"/>
    <m/>
    <n v="1.767902138211869"/>
    <n v="5.590326487056821"/>
    <n v="9.52127768087559"/>
    <n v="0"/>
    <n v="3.994700841530336"/>
    <x v="0"/>
    <m/>
    <x v="4"/>
    <x v="0"/>
    <s v="Defaut GE &amp; Power Cabinet"/>
    <x v="0"/>
    <s v="{hourly IHS}: 25/05/2026 19:54 3:05:43 FME Abdel is managing with level 0      ;      {05-25-2026 ocm ran 22H}: Power status check Ongoing"/>
  </r>
  <r>
    <s v="Doualare-II"/>
    <s v="EXN_197"/>
    <s v="Maroua"/>
    <s v="CAMUSAT"/>
    <s v="Medium Grid + GE"/>
    <s v="EXTREME-NORD"/>
    <s v="Maroua"/>
    <s v="Huawei"/>
    <n v="2.247737085263088"/>
    <n v="3.124259844249828"/>
    <n v="4.338026099140207"/>
    <n v="1.509828554959151"/>
    <n v="3.958870169190687"/>
    <n v="0"/>
    <n v="0.004904646537283876"/>
    <n v="0"/>
    <n v="4.566225926211287"/>
    <n v="0"/>
    <n v="2.598677921314488"/>
    <n v="0"/>
    <n v="18.49140919947608"/>
    <n v="18.49114167330132"/>
    <n v="20.14083291242548"/>
    <n v="2.002076716519277"/>
    <n v="5.65701931610322"/>
    <n v="0.3899818224881789"/>
    <n v="7.00501237041032"/>
    <n v="0.8441342567623482"/>
    <n v="0"/>
    <n v="6.118056090607904"/>
    <n v="0.0002675261747609386"/>
    <n v="0"/>
    <m/>
    <n v="5.018541347418765"/>
    <m/>
    <n v="0"/>
    <m/>
    <n v="0.1209218309919443"/>
    <m/>
    <m/>
    <n v="0"/>
    <n v="1.527110745848707"/>
    <n v="1.111232389643669"/>
    <n v="0"/>
    <m/>
    <n v="0"/>
    <n v="5.514140178810514"/>
    <n v="7.032315180323076"/>
    <n v="1.622805433528795"/>
    <n v="3.994522490747161"/>
    <x v="0"/>
    <m/>
    <x v="2"/>
    <x v="1"/>
    <s v="no root cause"/>
    <x v="1"/>
    <s v=""/>
  </r>
  <r>
    <s v="Ngd-Burkina-II-IHS"/>
    <s v="ADM_101"/>
    <s v="Ngaoundere"/>
    <s v="IHS"/>
    <s v="Grid-Gen"/>
    <s v="ADAMAOUA"/>
    <s v="Ngaoundere"/>
    <s v="Huawei"/>
    <n v="1.423310590041463"/>
    <n v="0.7804630271692448"/>
    <n v="0.597118422066415"/>
    <n v="0"/>
    <n v="0"/>
    <n v="0"/>
    <n v="0.9628802081995702"/>
    <n v="0"/>
    <n v="0"/>
    <n v="0"/>
    <n v="0"/>
    <n v="27.73550864216554"/>
    <n v="0.5697415768492122"/>
    <n v="0"/>
    <n v="0"/>
    <n v="0.9853702419578068"/>
    <n v="1.412930574460738"/>
    <n v="0"/>
    <n v="1.016974000736232"/>
    <n v="0.1228836896068578"/>
    <n v="8.692638821115592"/>
    <n v="2.303471705004951"/>
    <n v="0"/>
    <n v="0"/>
    <m/>
    <n v="2.649721915458876"/>
    <m/>
    <n v="3.589131160592753"/>
    <m/>
    <n v="0"/>
    <m/>
    <m/>
    <n v="1.346548412963391"/>
    <n v="0"/>
    <n v="0.081042595874247"/>
    <n v="13.52458957917776"/>
    <m/>
    <n v="0"/>
    <n v="6.720007074086064"/>
    <n v="8.575950066471503"/>
    <n v="0.2383762670536502"/>
    <n v="3.962972237203688"/>
    <x v="0"/>
    <m/>
    <x v="4"/>
    <x v="0"/>
    <s v="Defaut GE &amp; Power Cabinet"/>
    <x v="0"/>
    <s v=" {05-25-2026  incident}:    impacted by   ADM_115_H_Ngd-Aoudi  ,Cause: Power issue å ADM 058_H_Ngd-Trouamala    ;Action: En attente RCA HIS       ;      {hourly IHS}: 25-05-2026 19:00:25 3:59:35 FME Yannick is managing with level 0      ;      {05-25-2026 ocm ran 22H}: Power status check Ongoing"/>
  </r>
  <r>
    <s v="Mewoulo-II-MTN"/>
    <s v="CTR_846"/>
    <s v="Yaounde"/>
    <s v="MTN sharing"/>
    <s v="MTN"/>
    <s v="CENTRE"/>
    <s v="Yaounde"/>
    <s v="ZTE"/>
    <n v="0"/>
    <n v="0"/>
    <n v="0"/>
    <n v="0.3517969198106333"/>
    <n v="0"/>
    <n v="0"/>
    <n v="0.0552709077056102"/>
    <n v="0.7156503525638281"/>
    <n v="0"/>
    <n v="0"/>
    <n v="0.352635168491552"/>
    <n v="0"/>
    <n v="0"/>
    <n v="0"/>
    <n v="0"/>
    <n v="1.128639426081448"/>
    <n v="0"/>
    <n v="0.2257920914982322"/>
    <n v="0.4435405626753186"/>
    <n v="0.02152693952909688"/>
    <n v="0"/>
    <n v="0.1117010955018508"/>
    <n v="0.1581971446753017"/>
    <n v="1.69440378046588"/>
    <m/>
    <n v="0"/>
    <m/>
    <n v="0"/>
    <m/>
    <n v="0"/>
    <m/>
    <m/>
    <n v="1.026069890678104"/>
    <n v="3.239634965885063"/>
    <n v="0"/>
    <n v="1.472357055414301"/>
    <m/>
    <n v="1.468914885299043"/>
    <n v="3.170224692157356"/>
    <n v="2.960670036142816"/>
    <n v="4.783565293619368"/>
    <n v="3.941213441656465"/>
    <x v="0"/>
    <m/>
    <x v="6"/>
    <x v="0"/>
    <s v="Sharing"/>
    <x v="0"/>
    <s v="{05-25-2026 ticket}: INC-20260525-00016244...Grid Outage"/>
  </r>
  <r>
    <s v="GSO"/>
    <s v="CTR_389"/>
    <s v="Yaounde"/>
    <s v="IHS"/>
    <s v="Grid-Gen"/>
    <s v="CENTRE"/>
    <s v="Yaounde"/>
    <s v="ZTE"/>
    <n v="0.01958291599250074"/>
    <n v="0"/>
    <n v="0"/>
    <n v="0.009292075803363237"/>
    <n v="0"/>
    <n v="0"/>
    <n v="0.01084372761697675"/>
    <n v="0"/>
    <n v="2.543210827747387"/>
    <n v="2.70652663989978"/>
    <n v="0"/>
    <n v="0"/>
    <n v="0"/>
    <n v="0"/>
    <n v="0"/>
    <n v="0"/>
    <n v="0"/>
    <n v="0"/>
    <n v="0"/>
    <n v="0"/>
    <n v="0"/>
    <n v="0"/>
    <n v="0.1937067856052372"/>
    <n v="0"/>
    <m/>
    <n v="0"/>
    <m/>
    <n v="0"/>
    <m/>
    <n v="0"/>
    <m/>
    <m/>
    <n v="0"/>
    <n v="0"/>
    <n v="0.3249372918646362"/>
    <n v="0"/>
    <m/>
    <n v="0"/>
    <n v="3.506693404313993"/>
    <n v="3.198356657860469"/>
    <n v="4.504524839833037"/>
    <n v="3.923538879043926"/>
    <x v="0"/>
    <m/>
    <x v="4"/>
    <x v="0"/>
    <s v="Defaut GE &amp; Power Cabinet"/>
    <x v="0"/>
    <s v="(05/25/2026 cell zte): 25/05/2026 : Power issue || Mail sent to IHS       ;      {05-25-2026 ticket}: INC-20260525-00021663...power issue (grid outage)...Grid Outage"/>
  </r>
  <r>
    <s v="Ngd-CRTV"/>
    <s v="ADM_007"/>
    <s v="Ngaoundere"/>
    <s v="CAMUSAT"/>
    <s v="Good Grid + Solar + GE"/>
    <s v="ADAMAOUA"/>
    <s v="Ngaoundere"/>
    <s v="Huawei"/>
    <n v="2.310677076645179"/>
    <n v="5.202099973461404"/>
    <n v="3.106246415149259"/>
    <n v="0"/>
    <n v="4.897030958842346"/>
    <n v="0"/>
    <n v="1.123520758604355"/>
    <n v="1.887432833095056"/>
    <n v="0.5340000799011509"/>
    <n v="1.627985948811898"/>
    <n v="2.341478256899322"/>
    <n v="0"/>
    <n v="3.562699574526372"/>
    <n v="2.965313626285195"/>
    <n v="0.5144528340652849"/>
    <n v="1.188707969854437"/>
    <n v="4.38833885507358"/>
    <n v="5.702106394089599"/>
    <n v="3.759902035481818"/>
    <n v="3.548110480462742"/>
    <n v="0.3001286979251376"/>
    <n v="0"/>
    <n v="0"/>
    <n v="0.5822618018280241"/>
    <m/>
    <n v="0.04089583458178882"/>
    <m/>
    <n v="0.03320891582699119"/>
    <m/>
    <n v="6.309729677284959"/>
    <m/>
    <m/>
    <n v="1.429749053314042"/>
    <n v="0.5545282550444737"/>
    <n v="12.62853740943347"/>
    <n v="23.85714601649959"/>
    <m/>
    <n v="2.720545011457254"/>
    <n v="2.886961500185845"/>
    <n v="3.686214558449021"/>
    <n v="4.165599616518593"/>
    <n v="3.822075118496261"/>
    <x v="0"/>
    <m/>
    <x v="4"/>
    <x v="0"/>
    <s v="Defaut GE &amp; Power Cabinet"/>
    <x v="0"/>
    <s v=" {05-25-2026  incident}:    impacted by   ADM_115_H_Ngd-Aoudi  ,Cause: Power issue å ADM 058_H_Ngd-Trouamala    ;Action: En attente RCA HIS "/>
  </r>
  <r>
    <s v="Hopital-de-La-Cass"/>
    <s v="CTR_652"/>
    <s v="Yaounde"/>
    <s v="CAMUSAT"/>
    <s v="Good Grid no GE - 8h"/>
    <s v="CENTRE"/>
    <s v="Yaounde"/>
    <s v="ZTE"/>
    <n v="5.041156226725223"/>
    <n v="14.30391116133469"/>
    <n v="0.9473458549851198"/>
    <n v="2.82386362014993"/>
    <n v="9.663277288383227"/>
    <n v="8.974522233922036"/>
    <n v="8.807728581497749"/>
    <n v="14.43639012307631"/>
    <n v="5.120861191725665"/>
    <n v="4.611348674354298"/>
    <n v="14.58513467624339"/>
    <n v="11.21894966234774"/>
    <n v="2.91747994623794"/>
    <n v="1.762997491674586"/>
    <n v="3.812069639560202"/>
    <n v="5.557000196899265"/>
    <n v="1.529732502361365"/>
    <n v="0.530540074707576"/>
    <n v="0.8727060522268177"/>
    <n v="0.5980101759822846"/>
    <n v="8.019319750834905"/>
    <n v="5.784022908801398"/>
    <n v="0.300307048708313"/>
    <n v="0.678535554585327"/>
    <m/>
    <n v="0.6081048303099311"/>
    <m/>
    <n v="1.549957481173291"/>
    <m/>
    <n v="1.547603250835395"/>
    <m/>
    <m/>
    <n v="3.694643483918467"/>
    <n v="0.4556505808528307"/>
    <n v="0"/>
    <n v="0"/>
    <m/>
    <n v="5.88036800187197"/>
    <n v="1.617897437742048"/>
    <n v="1.743176895797846"/>
    <n v="5.754957131944307"/>
    <n v="3.817384492898785"/>
    <x v="0"/>
    <m/>
    <x v="3"/>
    <x v="0"/>
    <s v="AKTIVCO Coupure ENEO &amp; Baisse de tension"/>
    <x v="0"/>
    <s v="(05/25/2026 cell zte): 25/05/2026 : Need BO RAN analysis || Cell was down due to power       ;      {05-25-2026 ticket}: INC-20260525-00022121...Others"/>
  </r>
  <r>
    <s v="Meskin-MTN-IHS"/>
    <s v="EXN_157"/>
    <s v="EXTREME-NORD"/>
    <s v="IHS"/>
    <s v="Grid-Gen-Lithium"/>
    <s v="EXTREME-NORD"/>
    <s v="Maroua"/>
    <s v="Huawei"/>
    <n v="0.5667987889268419"/>
    <n v="0.2843624886925604"/>
    <n v="1.76474532934969"/>
    <n v="0"/>
    <n v="0"/>
    <n v="0"/>
    <n v="0"/>
    <n v="1.071263979134385"/>
    <n v="0"/>
    <n v="0"/>
    <n v="0.6635897589553496"/>
    <n v="0"/>
    <n v="0"/>
    <n v="0"/>
    <n v="0"/>
    <n v="1.049433843273893"/>
    <n v="2.229010253029823"/>
    <n v="0.2710931904244178"/>
    <n v="5.238644048933747"/>
    <n v="0"/>
    <n v="0"/>
    <n v="4.177688745066818"/>
    <n v="0"/>
    <n v="0.9265323185887174"/>
    <m/>
    <n v="1.03568299789118"/>
    <m/>
    <n v="6.992331629726652"/>
    <m/>
    <n v="0"/>
    <m/>
    <m/>
    <n v="0.6957820753182492"/>
    <n v="0.1164630614125953"/>
    <n v="13.13294909440606"/>
    <n v="18.38279357252314"/>
    <m/>
    <n v="2.692811464673703"/>
    <n v="5.89694515385138"/>
    <n v="7.525379448575538"/>
    <n v="0.8437220241339383"/>
    <n v="3.808431283583452"/>
    <x v="1"/>
    <m/>
    <x v="4"/>
    <x v="0"/>
    <s v="Defaut GE &amp; Power Cabinet"/>
    <x v="0"/>
    <s v="{hourly IHS}: 25/05/2026 03:51 2:32:47 50.1V DG stopped due to fuel shortage."/>
  </r>
  <r>
    <s v="Maison-Blanche-IHS"/>
    <s v="CTR_123"/>
    <s v="Yaounde"/>
    <s v="IHS"/>
    <s v="GridOnly"/>
    <s v="CENTRE"/>
    <s v="Yaounde"/>
    <s v="ZTE"/>
    <n v="0"/>
    <n v="0"/>
    <n v="0"/>
    <n v="0"/>
    <n v="0"/>
    <n v="0"/>
    <n v="0"/>
    <n v="0"/>
    <n v="0"/>
    <n v="0"/>
    <n v="4.382274928445662"/>
    <n v="0"/>
    <n v="13.07758901130887"/>
    <n v="0"/>
    <n v="0"/>
    <n v="0"/>
    <n v="0"/>
    <n v="0"/>
    <n v="0"/>
    <n v="0.05869524274254987"/>
    <n v="0"/>
    <n v="0"/>
    <n v="0"/>
    <n v="0"/>
    <m/>
    <n v="14.26767028219375"/>
    <m/>
    <n v="0"/>
    <m/>
    <n v="0"/>
    <m/>
    <m/>
    <n v="0"/>
    <n v="0"/>
    <n v="0"/>
    <n v="0"/>
    <m/>
    <n v="0"/>
    <n v="1.875806825493887"/>
    <n v="1.750295806685231"/>
    <n v="5.550062983318999"/>
    <n v="3.749753875919221"/>
    <x v="0"/>
    <m/>
    <x v="1"/>
    <x v="0"/>
    <s v="Coupure ENEO &amp; Baisse de tension"/>
    <x v="0"/>
    <s v="{hourly IHS}: 25/05/2026 21:34 1:25:28 Grid outage, no space to deploy MDG, awaiting grid return      ;      {05-25-2026 ticket}: INC-20260525-00024599...Grid Outage"/>
  </r>
  <r>
    <s v="Nkambe-Entrance-IHS"/>
    <s v="NRO_090"/>
    <s v="NORD-OUEST"/>
    <s v="IHS"/>
    <s v="Grid-Gen"/>
    <s v="NORD-OUEST"/>
    <s v="Nkambe"/>
    <s v="NOKIA"/>
    <n v="4.187901499375089"/>
    <n v="6.074679926780064"/>
    <n v="1.294899857540837"/>
    <n v="0.1248347992979882"/>
    <n v="7.48494238598027"/>
    <n v="0.008560837592349857"/>
    <n v="0.4568279120512083"/>
    <n v="0.1527569086342382"/>
    <n v="2.375850880447146"/>
    <n v="4.771449225141001"/>
    <n v="8.978152863440803"/>
    <n v="0"/>
    <n v="1.712153165163308"/>
    <n v="1.883861469977849"/>
    <n v="0.9703924765264027"/>
    <n v="0.09477560617864197"/>
    <n v="0.006545473742484396"/>
    <n v="0.9299388185473404"/>
    <n v="5.86213215330816"/>
    <n v="3.708269483752957"/>
    <n v="0"/>
    <n v="4.12609186349459"/>
    <n v="1.683363866987413"/>
    <n v="3.378695071525798"/>
    <m/>
    <n v="3.389788490239219"/>
    <m/>
    <n v="4.129337847748356"/>
    <m/>
    <n v="2.312014707518984"/>
    <m/>
    <m/>
    <n v="0.0002853612530783018"/>
    <n v="0.0002318560181263555"/>
    <n v="0.0002542020392157231"/>
    <n v="2.787136563801694"/>
    <m/>
    <n v="2.77399674117449"/>
    <n v="1.217107498131562"/>
    <n v="0.5219649214072234"/>
    <n v="6.503221109843592"/>
    <n v="3.740387884463977"/>
    <x v="1"/>
    <m/>
    <x v="4"/>
    <x v="0"/>
    <s v="Defaut GE &amp; Power Cabinet"/>
    <x v="0"/>
    <s v="{hourly IHS}: 25/05/2026 22:08 0:51:58 FME Roland is managing with level 0      ;      {05-25-2026 ticket}: INC-20260525-00025157...Grid Outage"/>
  </r>
  <r>
    <s v="Bachuo-Ntai"/>
    <s v="SUO_030"/>
    <s v="SUD-OUEST"/>
    <s v="IHS"/>
    <s v="Grid-Gen"/>
    <s v="SUD-OUEST"/>
    <s v="Bashuo-Ntai"/>
    <s v="NOKIA"/>
    <n v="6.197648946065419"/>
    <n v="6.197576803913186"/>
    <n v="6.197540732837068"/>
    <n v="6.197612874989303"/>
    <n v="6.197576803913186"/>
    <n v="6.197648946065419"/>
    <n v="5.05913254547296"/>
    <n v="1.350506276466579"/>
    <n v="2.515527384221824"/>
    <n v="2.685023720507807"/>
    <n v="4.043883849179974"/>
    <n v="0"/>
    <n v="1.197521127874397"/>
    <n v="0.6773227692597443"/>
    <n v="0.5997936838140243"/>
    <n v="1.742665502392754"/>
    <n v="1.481078408711508"/>
    <n v="0.5515676320437858"/>
    <n v="0.6831191697128981"/>
    <n v="4.510205945216347"/>
    <n v="0.191816267303593"/>
    <n v="3.949899124797037"/>
    <n v="0.5208199570245953"/>
    <n v="1.227124728550108"/>
    <m/>
    <n v="0.2484069708046903"/>
    <m/>
    <n v="0.504411684972591"/>
    <m/>
    <n v="1.06109798449347"/>
    <m/>
    <m/>
    <n v="0.4459661333264847"/>
    <n v="4.029443574092622"/>
    <n v="1.226643181435539"/>
    <n v="0.5720423019521563"/>
    <m/>
    <n v="2.218327041117703"/>
    <n v="12.20367272959806"/>
    <n v="5.869648279051107"/>
    <n v="0"/>
    <n v="3.713191965368559"/>
    <x v="1"/>
    <m/>
    <x v="7"/>
    <x v="3"/>
    <s v="Sites strategiques, MLL, Pylone, etc."/>
    <x v="0"/>
    <s v="{05-25-2026 groupe whatsapp  incident}:    impacted by   OST_033_H_Batchingou  Cause: infiltration d'eau dans la radio de Yenon dir Batchingou   , Action: Sans action      ;      {05-25-2026 ticket}: INC-20260525-00026771...Grid Outage"/>
  </r>
  <r>
    <s v="Ekoumdoum-II"/>
    <s v="CTR_665"/>
    <s v="Yaounde"/>
    <s v="CAMUSAT"/>
    <s v="HGB"/>
    <s v="CENTRE"/>
    <s v="Yaounde"/>
    <s v="ZTE"/>
    <n v="0"/>
    <n v="0"/>
    <n v="0"/>
    <n v="0"/>
    <n v="0"/>
    <n v="0"/>
    <n v="0"/>
    <n v="0"/>
    <n v="0"/>
    <n v="0"/>
    <n v="0"/>
    <n v="0"/>
    <n v="0"/>
    <n v="0"/>
    <n v="0"/>
    <n v="0"/>
    <n v="3.028253617667286"/>
    <n v="0"/>
    <n v="0"/>
    <n v="0"/>
    <n v="0"/>
    <n v="0"/>
    <n v="0"/>
    <n v="0"/>
    <m/>
    <n v="0"/>
    <m/>
    <n v="0"/>
    <m/>
    <n v="0"/>
    <m/>
    <m/>
    <n v="0"/>
    <n v="0"/>
    <n v="0"/>
    <n v="0"/>
    <m/>
    <n v="0"/>
    <n v="3.342205915854346"/>
    <n v="1.730639112443941"/>
    <n v="4.956242735850915"/>
    <n v="3.642886086641384"/>
    <x v="0"/>
    <m/>
    <x v="5"/>
    <x v="2"/>
    <s v="IP &amp; VLAN"/>
    <x v="2"/>
    <s v="{05-25-2026 goupe whatsapp incident}:    impacted by    CTR_007_Z_Messamendongo(CTR-007)  ,Cause: Boucle etherneet  ,Action: Desactivation de la bouclee      ;      {05-25-2026 ticket}: INC-20260525-00021914...Grid Outage"/>
  </r>
  <r>
    <s v="Nkolo2-MTN-IHS"/>
    <s v="CTR_469"/>
    <s v="Yaounde"/>
    <s v="IHS"/>
    <s v="Grid-Gen"/>
    <s v="CENTRE"/>
    <s v="Yaounde"/>
    <s v="ZTE"/>
    <n v="0"/>
    <n v="0"/>
    <n v="0"/>
    <n v="0"/>
    <n v="0"/>
    <n v="0"/>
    <n v="0"/>
    <n v="3.763576061615197"/>
    <n v="0"/>
    <n v="0"/>
    <n v="2.818744952672832"/>
    <n v="0"/>
    <n v="0"/>
    <n v="0"/>
    <n v="0"/>
    <n v="0"/>
    <n v="0"/>
    <n v="0"/>
    <n v="0"/>
    <n v="0"/>
    <n v="0"/>
    <n v="0"/>
    <n v="5.587730036840139"/>
    <n v="0"/>
    <m/>
    <n v="0"/>
    <m/>
    <n v="0"/>
    <m/>
    <n v="0"/>
    <m/>
    <m/>
    <n v="0"/>
    <n v="0"/>
    <n v="0"/>
    <n v="0"/>
    <m/>
    <n v="0"/>
    <n v="1.197748682101763"/>
    <n v="1.382024983764634"/>
    <n v="5.663915866105449"/>
    <n v="3.588667448556498"/>
    <x v="0"/>
    <m/>
    <x v="4"/>
    <x v="0"/>
    <s v="Defaut GE &amp; Power Cabinet"/>
    <x v="0"/>
    <s v="{05-25-2026 ticket}: INC-20260525-00020211...Grid Outage"/>
  </r>
  <r>
    <s v="C-D-Billes"/>
    <s v="LIT_084"/>
    <s v="Douala"/>
    <s v="IHS"/>
    <s v="Grid-Gen"/>
    <s v="LITTORAL"/>
    <s v="Douala"/>
    <s v="ZTE"/>
    <n v="0"/>
    <n v="0"/>
    <n v="0"/>
    <n v="0"/>
    <n v="11.64457613866274"/>
    <n v="0"/>
    <n v="0"/>
    <n v="0"/>
    <n v="0"/>
    <n v="13.40327537646282"/>
    <n v="0"/>
    <n v="0"/>
    <n v="0"/>
    <n v="0"/>
    <n v="0"/>
    <n v="0"/>
    <n v="0"/>
    <n v="0"/>
    <n v="0"/>
    <n v="0"/>
    <n v="0"/>
    <n v="0"/>
    <n v="0"/>
    <n v="0"/>
    <m/>
    <n v="0.0004458769579349104"/>
    <m/>
    <n v="0"/>
    <m/>
    <n v="0"/>
    <m/>
    <m/>
    <n v="0.0698778368475573"/>
    <n v="0.5270087292007322"/>
    <n v="0"/>
    <n v="0"/>
    <m/>
    <n v="0"/>
    <n v="1.54708163974917"/>
    <n v="1.324436182257718"/>
    <n v="5.540452691921287"/>
    <n v="3.554834304988402"/>
    <x v="0"/>
    <m/>
    <x v="4"/>
    <x v="0"/>
    <s v="Defaut GE &amp; Power Cabinet"/>
    <x v="0"/>
    <s v="{05-25-2026 ticket}: INC-20260525-00025979...Grid Outage"/>
  </r>
  <r>
    <s v="Mehanda"/>
    <s v="CTR_635"/>
    <s v="Yaounde"/>
    <s v="HIS"/>
    <s v="Grid-Gen"/>
    <s v="CENTRE"/>
    <s v="Yaounde"/>
    <s v="ZTE"/>
    <n v="0"/>
    <n v="0"/>
    <n v="0"/>
    <n v="0"/>
    <n v="0"/>
    <n v="0"/>
    <n v="0"/>
    <n v="0"/>
    <n v="0"/>
    <n v="4.371466870985325"/>
    <n v="0"/>
    <n v="0.03310190535708681"/>
    <n v="0"/>
    <n v="0"/>
    <n v="0"/>
    <n v="0"/>
    <n v="0"/>
    <n v="0"/>
    <n v="0"/>
    <n v="0"/>
    <n v="0"/>
    <n v="0"/>
    <n v="0"/>
    <n v="0"/>
    <m/>
    <n v="0"/>
    <m/>
    <n v="0.001284125638852506"/>
    <m/>
    <n v="0"/>
    <m/>
    <m/>
    <n v="0"/>
    <n v="0"/>
    <n v="0"/>
    <n v="0"/>
    <m/>
    <n v="0"/>
    <n v="1.370229488147908"/>
    <n v="0.0561012678886549"/>
    <n v="6.378394861086488"/>
    <n v="3.540762428195975"/>
    <x v="0"/>
    <m/>
    <x v="5"/>
    <x v="2"/>
    <s v="IP &amp; VLAN"/>
    <x v="2"/>
    <s v="{05-25-2026 goupe whatsapp incident}:    impacted by    CTR_007_Z_Messamendongo(CTR-007)  ,Cause: Boucle etherneet  ,Action: Desactivation de la bouclee      ;      {05-25-2026 ticket}: INC-20260525-00025543...Auto TT closure RCA...Others Transmission equipement fault"/>
  </r>
  <r>
    <s v="Mehanda-II"/>
    <s v="CTR_763"/>
    <s v="Yaounde"/>
    <s v="CAMUSAT"/>
    <s v="Good Grid + GE"/>
    <s v="CENTRE"/>
    <s v="Yaounde"/>
    <s v="ZTE"/>
    <n v="0"/>
    <n v="0"/>
    <n v="0"/>
    <n v="0"/>
    <n v="0"/>
    <n v="0"/>
    <n v="0"/>
    <n v="9.87546121512529"/>
    <n v="12.2997655757306"/>
    <n v="1.994443302999432"/>
    <n v="0"/>
    <n v="9.244420474099186"/>
    <n v="0"/>
    <n v="0"/>
    <n v="0"/>
    <n v="0"/>
    <n v="0"/>
    <n v="0"/>
    <n v="0"/>
    <n v="0"/>
    <n v="9.244366968864234"/>
    <n v="0"/>
    <n v="0"/>
    <n v="0"/>
    <m/>
    <n v="0"/>
    <m/>
    <n v="0.001070104699043755"/>
    <m/>
    <n v="0"/>
    <m/>
    <m/>
    <n v="0"/>
    <n v="0"/>
    <n v="0"/>
    <n v="0"/>
    <m/>
    <n v="0"/>
    <n v="3.269891370813999"/>
    <n v="1.918280853147281"/>
    <n v="4.615607496273533"/>
    <n v="3.517915692871391"/>
    <x v="0"/>
    <m/>
    <x v="5"/>
    <x v="2"/>
    <s v="IP &amp; VLAN"/>
    <x v="2"/>
    <s v="{05-25-2026 goupe whatsapp incident}:    impacted by    CTR_007_Z_Messamendongo(CTR-007)  ,Cause: Boucle etherneet  ,Action: Desactivation de la bouclee      ;      {05-25-2026 ticket}: INC-20260525-00022780...Auto TT closure RCA...Others Transmission equipement fault"/>
  </r>
  <r>
    <s v="Zemda"/>
    <s v="OST_262"/>
    <s v="NORD-OUEST"/>
    <s v="CAMUSAT"/>
    <s v="Hybrid Solar - S3"/>
    <s v="OUEST"/>
    <s v="Zemda"/>
    <s v="NOKIA"/>
    <n v="0.9544490096733268"/>
    <n v="0.0001783507831740038"/>
    <n v="0.0001961858614912421"/>
    <n v="0.0001426806265391799"/>
    <n v="0.0001605157048565339"/>
    <n v="1.598265424724916"/>
    <n v="0.6740972814394804"/>
    <n v="0.07865850516410604"/>
    <n v="0.06961643424387634"/>
    <n v="0.0001961858614912421"/>
    <n v="0.0001961858614914157"/>
    <n v="0.5140903643303043"/>
    <n v="0.0001961858614914157"/>
    <n v="1.157373713925566"/>
    <n v="0.0001961858614911842"/>
    <n v="0.0001783507831739459"/>
    <n v="0.003067633470591933"/>
    <n v="0.6854977878636249"/>
    <n v="1.064601099385538"/>
    <n v="0.0001605157048565339"/>
    <n v="10.94648699478122"/>
    <n v="0.000178350783173888"/>
    <n v="0.000160515704856476"/>
    <n v="0.02965294902036805"/>
    <m/>
    <n v="2.236047974933867"/>
    <m/>
    <n v="0.0001605157048564181"/>
    <m/>
    <n v="3.113620562829001"/>
    <m/>
    <m/>
    <n v="1.738493607241892"/>
    <n v="0.000160515704856476"/>
    <n v="0.0001605829976917231"/>
    <n v="0.0001783507831739459"/>
    <m/>
    <n v="0.0001961858614912421"/>
    <n v="4.605399885695559"/>
    <n v="4.542130777155562"/>
    <n v="2.525899222311963"/>
    <n v="3.499723912987646"/>
    <x v="0"/>
    <m/>
    <x v="2"/>
    <x v="1"/>
    <s v="no root cause"/>
    <x v="1"/>
    <s v=""/>
  </r>
  <r>
    <s v="Eleveur"/>
    <s v="CTR_254"/>
    <s v="Yaounde"/>
    <s v="IHS"/>
    <s v="Grid-Gen"/>
    <s v="CENTRE"/>
    <s v="Yaounde"/>
    <s v="ZTE"/>
    <n v="0.209205468663054"/>
    <n v="3.613797073905711"/>
    <n v="0.2157509424055379"/>
    <n v="0"/>
    <n v="0"/>
    <n v="0"/>
    <n v="0"/>
    <n v="0"/>
    <n v="0"/>
    <n v="0"/>
    <n v="1.476673144367111"/>
    <n v="0"/>
    <n v="4.049846903687723"/>
    <n v="0"/>
    <n v="0"/>
    <n v="0"/>
    <n v="0.3546862024980526"/>
    <n v="0"/>
    <n v="0.02334611751747124"/>
    <n v="0.0001248455482217339"/>
    <n v="0"/>
    <n v="0.1153929567135513"/>
    <n v="0"/>
    <n v="0"/>
    <m/>
    <n v="0"/>
    <m/>
    <n v="0"/>
    <m/>
    <n v="0"/>
    <m/>
    <m/>
    <n v="0"/>
    <n v="0"/>
    <n v="0"/>
    <n v="0"/>
    <m/>
    <n v="0"/>
    <n v="1.584550315935878"/>
    <n v="1.573066801309709"/>
    <n v="5.240242236799769"/>
    <n v="3.48709667753893"/>
    <x v="0"/>
    <m/>
    <x v="4"/>
    <x v="0"/>
    <s v="Defaut GE &amp; Power Cabinet"/>
    <x v="0"/>
    <s v="{05-25-2026 ticket}: INC-20260525-00016784...Power fluctuation in site ...Grid Outage"/>
  </r>
  <r>
    <s v="Dakana"/>
    <s v="EXN_211"/>
    <s v="EXTREME-NORD"/>
    <s v="IHS"/>
    <s v="Hybrid-Gen"/>
    <s v="EXTREME-NORD"/>
    <s v="Dakana"/>
    <s v="NOKIA"/>
    <n v="0.1257923860283228"/>
    <n v="1.104291923635116"/>
    <n v="0"/>
    <n v="0"/>
    <n v="0"/>
    <n v="0"/>
    <n v="0"/>
    <n v="0"/>
    <n v="0"/>
    <n v="0"/>
    <n v="0"/>
    <n v="0"/>
    <n v="0.01898795537098993"/>
    <n v="2.787757045475987"/>
    <n v="0.05998298122861351"/>
    <n v="0"/>
    <n v="0"/>
    <n v="0"/>
    <n v="0"/>
    <n v="0"/>
    <n v="0"/>
    <n v="3.344255535294907"/>
    <n v="0"/>
    <n v="0"/>
    <m/>
    <n v="0.004815749834923507"/>
    <m/>
    <n v="0"/>
    <m/>
    <n v="0"/>
    <m/>
    <m/>
    <n v="0"/>
    <n v="0"/>
    <n v="1.735849341933244"/>
    <n v="5.030836407372485"/>
    <m/>
    <n v="0.5752145636158569"/>
    <n v="0"/>
    <n v="10.35808350526897"/>
    <n v="0"/>
    <n v="3.477328103024728"/>
    <x v="1"/>
    <m/>
    <x v="4"/>
    <x v="0"/>
    <s v="Defaut GE &amp; Power Cabinet"/>
    <x v="0"/>
    <s v="{05-25-2026  incident}:    impacted by  EXN_036_N_Balaza , Cause:   Soucis Energie   Action: En Attente RCA IHS      ;      {05-25-2026 ocm ran 22H}: 25.05.26: Besoin d'un FME sur site pour vérifier le statut du MPR; CM-20260525-00003819; FME Yanoussa activé pour investigations, update ASAP      ;      {05-25-2026 ocm ran 17H}: 25.05.26: BO TRANS analysis ongoing      ;      {05-25-2026 ticket}: INC-20260525-00010858...2026-05-25 20:35:04...25.05.26: Besoin d'un FME sur site pour vérifier le statut du MPR; CM-20260525-00003819; FME Yanoussa activé pour investigations, update ASAP...Others Transmission equipement fault...user:ndzie mbene lionnel"/>
  </r>
  <r>
    <s v="Mendji-IHS"/>
    <s v="NRO_087"/>
    <s v="NORD-OUEST"/>
    <s v="IHS"/>
    <s v="Hybrid-Gen"/>
    <s v="NORD-OUEST"/>
    <s v="Mendji"/>
    <s v="NOKIA"/>
    <n v="0"/>
    <n v="0"/>
    <n v="0"/>
    <n v="0"/>
    <n v="0.001605157048565883"/>
    <n v="0"/>
    <n v="0.03336066385094198"/>
    <n v="0"/>
    <n v="0"/>
    <n v="0"/>
    <n v="0"/>
    <n v="0"/>
    <n v="0"/>
    <n v="0"/>
    <n v="0"/>
    <n v="1.746179012821281"/>
    <n v="0.00240773557284831"/>
    <n v="0"/>
    <n v="0"/>
    <n v="6.745369300265672"/>
    <n v="0"/>
    <n v="5.355695667930816"/>
    <n v="0"/>
    <n v="0"/>
    <m/>
    <n v="0"/>
    <m/>
    <n v="0.001515981656978832"/>
    <m/>
    <n v="0.3568977522094097"/>
    <m/>
    <m/>
    <n v="0"/>
    <n v="4.346515596419287"/>
    <n v="0"/>
    <n v="0"/>
    <m/>
    <n v="0"/>
    <n v="12.10900187443298"/>
    <n v="5.155897773289676"/>
    <n v="0"/>
    <n v="3.460058698809759"/>
    <x v="1"/>
    <m/>
    <x v="4"/>
    <x v="0"/>
    <s v="Defaut GE &amp; Power Cabinet"/>
    <x v="0"/>
    <s v="{hourly IHS}: 25/05/2026 15:05 7:54:13 FME Brice is managing with level 0      ;      {05-25-2026 ocm ran 22H}: 25.05.26: IHS: FME Brice is managing with level 0      ;      {05-25-2026 ocm ran 17H}: Power status check Ongoing      ;      {05-25-2026 ticket}: INC-20260525-00014565...No access for this site for now "/>
  </r>
  <r>
    <s v="Dschang-Vallee"/>
    <s v="OST_096"/>
    <s v="OUEST"/>
    <s v="IHS"/>
    <s v="Grid-Gen"/>
    <s v="OUEST"/>
    <s v="Dschang"/>
    <s v="Huawei"/>
    <n v="0"/>
    <n v="0"/>
    <n v="0"/>
    <n v="0"/>
    <n v="0"/>
    <n v="0"/>
    <n v="0"/>
    <n v="0"/>
    <n v="0"/>
    <n v="0"/>
    <n v="0"/>
    <n v="0"/>
    <n v="0"/>
    <n v="0"/>
    <n v="0"/>
    <n v="0"/>
    <n v="3.496317413029024"/>
    <n v="0"/>
    <n v="0"/>
    <n v="0.4720945230614698"/>
    <n v="0"/>
    <n v="0"/>
    <n v="0"/>
    <n v="0"/>
    <m/>
    <n v="0"/>
    <m/>
    <n v="1.517497638635631"/>
    <m/>
    <n v="3.447609814144216"/>
    <m/>
    <m/>
    <n v="0"/>
    <n v="0"/>
    <n v="0"/>
    <n v="0"/>
    <m/>
    <n v="3.033390120222696"/>
    <n v="0.1255200652254715"/>
    <n v="8.328010088027987"/>
    <n v="1.235486749973187"/>
    <n v="3.458025499881574"/>
    <x v="0"/>
    <m/>
    <x v="5"/>
    <x v="2"/>
    <s v="MPR ISSUE"/>
    <x v="2"/>
    <s v="(05/25/2026 cell huawei): 25/05/2026 : Besoin d'analyse BO RAN || Fme should check and replace SFP , optical fiber between BBU and RRU 60&amp;61 || Fme active ETA 17h || Up without action"/>
  </r>
  <r>
    <s v="Nkolfoulou-I"/>
    <s v="CTR_671"/>
    <s v="Yaounde"/>
    <s v="CAMUSAT"/>
    <s v="Good Grid + GE"/>
    <s v="CENTRE"/>
    <s v="Yaounde"/>
    <s v="ZTE"/>
    <n v="0.2019822619445091"/>
    <n v="3.535643760718882"/>
    <n v="0.2141101152003377"/>
    <n v="0"/>
    <n v="0"/>
    <n v="0"/>
    <n v="0"/>
    <n v="0"/>
    <n v="0"/>
    <n v="0"/>
    <n v="1.446424851540808"/>
    <n v="0"/>
    <n v="3.967894718819288"/>
    <n v="0"/>
    <n v="0"/>
    <n v="0"/>
    <n v="1.23820031218521"/>
    <n v="0"/>
    <n v="34.57058838636772"/>
    <n v="29.0340450242985"/>
    <n v="0.5488923702961755"/>
    <n v="0.1190848179252521"/>
    <n v="0"/>
    <n v="0"/>
    <m/>
    <n v="0"/>
    <m/>
    <n v="0"/>
    <m/>
    <n v="0"/>
    <m/>
    <m/>
    <n v="11.81795093498615"/>
    <n v="3.250157662092326"/>
    <n v="0"/>
    <n v="0"/>
    <m/>
    <n v="0"/>
    <n v="1.584925002697745"/>
    <n v="1.347386700939441"/>
    <n v="5.240002834522957"/>
    <n v="3.411261924533362"/>
    <x v="0"/>
    <m/>
    <x v="0"/>
    <x v="0"/>
    <s v="AKTIVCO Defaut GE &amp; Power Cabinet"/>
    <x v="0"/>
    <s v="{05-25-2026 ticket}: INC-20260525-00017015...Auto TT closure RCA...Grid Outage"/>
  </r>
  <r>
    <s v="NR-Bastos"/>
    <s v="CTR_038"/>
    <s v="Yaounde"/>
    <s v="IHS"/>
    <s v="GridOnly"/>
    <s v="CENTRE"/>
    <s v="Yaounde"/>
    <s v="ZTE"/>
    <n v="0"/>
    <n v="0"/>
    <n v="0"/>
    <n v="0.02263271438477569"/>
    <n v="0"/>
    <n v="0"/>
    <n v="0.02445189237315001"/>
    <n v="0"/>
    <n v="0"/>
    <n v="0"/>
    <n v="0"/>
    <n v="0"/>
    <n v="19.10101217636467"/>
    <n v="0"/>
    <n v="27.83472518284523"/>
    <n v="50.17658511042053"/>
    <n v="53.33838779452845"/>
    <n v="0"/>
    <n v="0"/>
    <n v="0"/>
    <n v="0"/>
    <n v="0"/>
    <n v="0"/>
    <n v="0"/>
    <m/>
    <n v="0"/>
    <m/>
    <n v="0"/>
    <m/>
    <n v="0"/>
    <m/>
    <m/>
    <n v="0"/>
    <n v="0"/>
    <n v="0.694979496793966"/>
    <n v="0"/>
    <m/>
    <n v="0"/>
    <n v="1.646373631643946"/>
    <n v="1.411138141722004"/>
    <n v="5.173825205147232"/>
    <n v="3.406928000502237"/>
    <x v="0"/>
    <m/>
    <x v="1"/>
    <x v="0"/>
    <s v="Coupure ENEO &amp; Baisse de tension"/>
    <x v="0"/>
    <s v="{05-25-2026 top offenders}: IHS feedback : Grid outage, No space to deploy MDG // awaiting grid return"/>
  </r>
  <r>
    <s v="Bafia-Lable"/>
    <s v="CTR_362"/>
    <s v="CENTRE"/>
    <s v="IHS"/>
    <s v="Grid-Gen"/>
    <s v="CENTRE"/>
    <s v="Bafia"/>
    <s v="ZTE"/>
    <n v="0"/>
    <n v="0"/>
    <n v="0"/>
    <n v="0"/>
    <n v="0"/>
    <n v="0"/>
    <n v="0.2165178507731853"/>
    <n v="0"/>
    <n v="3.580427642373863"/>
    <n v="0"/>
    <n v="1.954795923899861"/>
    <n v="0.0001605157048565339"/>
    <n v="0"/>
    <n v="0.8715289370578682"/>
    <n v="0"/>
    <n v="0"/>
    <n v="0"/>
    <n v="0"/>
    <n v="0"/>
    <n v="0"/>
    <n v="0.2801355751313371"/>
    <n v="0"/>
    <n v="0"/>
    <n v="0"/>
    <m/>
    <n v="0"/>
    <m/>
    <n v="0"/>
    <m/>
    <n v="0"/>
    <m/>
    <m/>
    <n v="0.1049059306629235"/>
    <n v="0.8324879506210895"/>
    <n v="0"/>
    <n v="2.554857133888647"/>
    <m/>
    <n v="37.47189191657178"/>
    <n v="1.878679424001535"/>
    <n v="3.322246957781245"/>
    <n v="3.878316884344895"/>
    <n v="3.406089751821316"/>
    <x v="0"/>
    <m/>
    <x v="4"/>
    <x v="0"/>
    <s v="Defaut GE &amp; Power Cabinet"/>
    <x v="0"/>
    <s v="{hourly IHS}: 25/05/2026 06:32 0:28:00 25 Our FME FRANCIS is managung with level zero      ;      {05-25-2026 ticket}: INC-20260525-00004771...Grid Outage"/>
  </r>
  <r>
    <s v="Beka-Hossere-MTN-IHS"/>
    <s v="ADM_132"/>
    <s v="Ngaoundere"/>
    <s v="IHS"/>
    <s v="Grid-Gen"/>
    <s v="ADAMAOUA"/>
    <s v="Ngaoundere"/>
    <s v="Huawei"/>
    <n v="18.49114167330132"/>
    <n v="17.62462439325063"/>
    <n v="18.49140919947608"/>
    <n v="18.49114167330132"/>
    <n v="18.49140919947608"/>
    <n v="18.49140919947608"/>
    <n v="18.49140919947608"/>
    <n v="18.49140919947608"/>
    <n v="18.49114167330132"/>
    <n v="18.49140919947608"/>
    <n v="18.49140919947608"/>
    <n v="2.152515602126512"/>
    <n v="0.06215524793612474"/>
    <n v="0"/>
    <n v="0"/>
    <n v="0"/>
    <n v="0"/>
    <n v="0"/>
    <n v="0"/>
    <n v="0"/>
    <n v="2.76632765749801"/>
    <n v="0"/>
    <n v="0"/>
    <n v="0"/>
    <m/>
    <n v="0"/>
    <m/>
    <n v="0"/>
    <m/>
    <n v="0"/>
    <m/>
    <m/>
    <n v="0"/>
    <n v="0"/>
    <n v="5.182962934426839"/>
    <n v="3.521803739944583"/>
    <m/>
    <n v="0"/>
    <n v="5.878835293694472"/>
    <n v="7.479478411212096"/>
    <n v="0.1003779546344997"/>
    <n v="3.402790262332601"/>
    <x v="2"/>
    <s v="enquete suite a un deces"/>
    <x v="9"/>
    <x v="5"/>
    <s v="EXCLU"/>
    <x v="4"/>
    <s v="{hourly IHS}: 25/05/2026 04:59 1:24:26 No comm FME is informed and managing with L0."/>
  </r>
  <r>
    <s v="Dschang-Foto"/>
    <s v="OST_105"/>
    <s v="OUEST"/>
    <s v="IHS"/>
    <s v="Grid-Gen"/>
    <s v="OUEST"/>
    <s v="Dschang"/>
    <s v="Huawei"/>
    <n v="0"/>
    <n v="0"/>
    <n v="0"/>
    <n v="0"/>
    <n v="0"/>
    <n v="0"/>
    <n v="0"/>
    <n v="0"/>
    <n v="0"/>
    <n v="0"/>
    <n v="0"/>
    <n v="0"/>
    <n v="11.31769482326151"/>
    <n v="14.27656998627412"/>
    <n v="0"/>
    <n v="0.006153102019501588"/>
    <n v="0"/>
    <n v="0"/>
    <n v="0"/>
    <n v="0"/>
    <n v="0"/>
    <n v="0"/>
    <n v="0"/>
    <n v="0"/>
    <m/>
    <n v="0.1605157048565631"/>
    <m/>
    <n v="0.3370651451204653"/>
    <m/>
    <n v="0"/>
    <m/>
    <m/>
    <n v="0"/>
    <n v="0"/>
    <n v="0"/>
    <n v="0"/>
    <m/>
    <n v="4.58456038672157"/>
    <n v="0.2210651895015767"/>
    <n v="7.485800429089696"/>
    <n v="1.620924415639563"/>
    <n v="3.389931170865757"/>
    <x v="0"/>
    <m/>
    <x v="4"/>
    <x v="0"/>
    <s v="Defaut GE &amp; Power Cabinet"/>
    <x v="0"/>
    <s v="{hourly IHS}: 25/05/2026 04:54 1:29:48 49.8V FME is informed and managing with L0.      ;      {05-25-2026 ticket}: INC-20260525-00012260...power issue on site due to GE failure ...Grid Outage"/>
  </r>
  <r>
    <s v="Ngd-Madagascar"/>
    <s v="ADM_135"/>
    <s v="Ngaoundere"/>
    <s v="IHS"/>
    <s v="Grid-Gen"/>
    <s v="ADAMAOUA"/>
    <s v="Ngaoundere"/>
    <s v="Huawei"/>
    <n v="0"/>
    <n v="0"/>
    <n v="0.547519069265737"/>
    <n v="0"/>
    <n v="0"/>
    <n v="0"/>
    <n v="0"/>
    <n v="0"/>
    <n v="0"/>
    <n v="0"/>
    <n v="0"/>
    <n v="6.256153102019502"/>
    <n v="0"/>
    <n v="0"/>
    <n v="0"/>
    <n v="0"/>
    <n v="0"/>
    <n v="0"/>
    <n v="0"/>
    <n v="0"/>
    <n v="0"/>
    <n v="0"/>
    <n v="0"/>
    <n v="0"/>
    <m/>
    <n v="0.3207638835383653"/>
    <m/>
    <n v="0"/>
    <m/>
    <n v="0"/>
    <m/>
    <m/>
    <n v="0"/>
    <n v="0"/>
    <n v="0"/>
    <n v="0.3760526263222926"/>
    <m/>
    <n v="1.039428364337833"/>
    <n v="5.880708727503807"/>
    <n v="7.510450986192287"/>
    <n v="0"/>
    <n v="3.361109684304846"/>
    <x v="0"/>
    <m/>
    <x v="4"/>
    <x v="0"/>
    <s v="Defaut GE &amp; Power Cabinet"/>
    <x v="0"/>
    <s v="{hourly IHS}: 25/05/2026 19:43 3:16:33 FME Joseph is managing with level 0      ;      {05-25-2026 ocm ran 22H}: Power status check Ongoing"/>
  </r>
  <r>
    <s v="Nkwein-Ntambang"/>
    <s v="NRO_222"/>
    <s v="NORD-OUEST"/>
    <s v="IHS"/>
    <s v="Grid-Gen"/>
    <s v="NORD-OUEST"/>
    <s v="Bamenda"/>
    <s v="Huawei"/>
    <n v="0.3975795658513896"/>
    <n v="1.256178071129146"/>
    <n v="0"/>
    <n v="6.760796643010218"/>
    <n v="9.989427365573446"/>
    <n v="0.2347988060485171"/>
    <n v="1.417532024666627"/>
    <n v="0"/>
    <n v="0"/>
    <n v="0"/>
    <n v="0.01014815956259827"/>
    <n v="0"/>
    <n v="4.717877597144104"/>
    <n v="0"/>
    <n v="0.003085468548909492"/>
    <n v="0"/>
    <n v="0"/>
    <n v="0.2379556149106962"/>
    <n v="1.101494436882371"/>
    <n v="0"/>
    <n v="0.01710384010638266"/>
    <n v="1.164363087951192"/>
    <n v="3.911464531023048"/>
    <n v="3.821433055676834"/>
    <m/>
    <n v="0"/>
    <m/>
    <n v="2.129918557898371"/>
    <m/>
    <n v="0"/>
    <m/>
    <m/>
    <n v="1.394970650595121"/>
    <n v="0"/>
    <n v="3.697033384412997"/>
    <n v="0"/>
    <m/>
    <n v="0"/>
    <n v="4.563684759541023"/>
    <n v="7.771300631394268"/>
    <n v="0"/>
    <n v="3.260609017986319"/>
    <x v="0"/>
    <m/>
    <x v="7"/>
    <x v="3"/>
    <s v="Sites strategiques, MLL, Pylone, etc."/>
    <x v="0"/>
    <s v="{05-25-2026 ocm ran 22H}: Power status check Ongoing   ; {05-25-2026 dashboard cell}: Ceels impactees par les travaux CEX OCM"/>
  </r>
  <r>
    <s v="Kumba-Fiango-IHS"/>
    <s v="SUO_110"/>
    <s v="SUD-OUEST"/>
    <s v="IHS"/>
    <s v="Grid-Gen"/>
    <s v="SUD-OUEST"/>
    <s v="Kumba"/>
    <s v="Huawei"/>
    <n v="0"/>
    <n v="0"/>
    <n v="0"/>
    <n v="0.2611055465666761"/>
    <n v="0"/>
    <n v="0"/>
    <n v="0.008007950164510761"/>
    <n v="0"/>
    <n v="0"/>
    <n v="0"/>
    <n v="0"/>
    <n v="0"/>
    <n v="0"/>
    <n v="0"/>
    <n v="0"/>
    <n v="0"/>
    <n v="1.349865737530426"/>
    <n v="0"/>
    <n v="0"/>
    <n v="0"/>
    <n v="0"/>
    <n v="2.731174718134423"/>
    <n v="0"/>
    <n v="0"/>
    <m/>
    <n v="1.417068312630374"/>
    <m/>
    <n v="0"/>
    <m/>
    <n v="0"/>
    <m/>
    <m/>
    <n v="0"/>
    <n v="0.6607539815028834"/>
    <n v="0"/>
    <n v="0"/>
    <m/>
    <n v="0"/>
    <n v="4.451903208917345"/>
    <n v="7.592530966199837"/>
    <n v="0.1429573595816725"/>
    <n v="3.259182211720928"/>
    <x v="0"/>
    <m/>
    <x v="4"/>
    <x v="0"/>
    <s v="Defaut GE &amp; Power Cabinet"/>
    <x v="0"/>
    <s v="{hourly IHS}: 25/05/2026 22:03 0:56:54 FME Marcel is managing with level 0"/>
  </r>
  <r>
    <s v="Superette-Biyem-Assi"/>
    <s v="CTR_561"/>
    <s v="Yaounde"/>
    <s v="CAMUSAT"/>
    <s v="Good Grid no GE - 12h"/>
    <s v="CENTRE"/>
    <s v="Yaounde"/>
    <s v="ZTE"/>
    <n v="13.86855689960706"/>
    <n v="13.86855689960706"/>
    <n v="37.54760182402912"/>
    <n v="0"/>
    <n v="0"/>
    <n v="0"/>
    <n v="0"/>
    <n v="0"/>
    <n v="53.66532261516468"/>
    <n v="42.69532264370081"/>
    <n v="3.721306926002973"/>
    <n v="0"/>
    <n v="40.03045874675045"/>
    <n v="0"/>
    <n v="0"/>
    <n v="0"/>
    <n v="0"/>
    <n v="0"/>
    <n v="0"/>
    <n v="0.0222938478967445"/>
    <n v="44.11613632277782"/>
    <n v="0"/>
    <n v="0"/>
    <n v="0"/>
    <m/>
    <n v="12.53344077184511"/>
    <m/>
    <n v="0"/>
    <m/>
    <n v="0"/>
    <m/>
    <m/>
    <n v="0"/>
    <n v="0"/>
    <n v="0"/>
    <n v="0"/>
    <m/>
    <n v="0"/>
    <n v="1.893666894476218"/>
    <n v="1.60940512255577"/>
    <n v="4.686367969233936"/>
    <n v="3.254598596593358"/>
    <x v="0"/>
    <m/>
    <x v="3"/>
    <x v="0"/>
    <s v="AKTIVCO Coupure ENEO &amp; Baisse de tension"/>
    <x v="0"/>
    <s v="{05-25-2026 ticket}: INC-20260525-00024633...2026-05-25 21:41:15...Grid outage / Grid return awaited...power failure  ...Grid Outage...user:OCM_NOC.CAMUSAT"/>
  </r>
  <r>
    <s v="Chamber-Wangai"/>
    <s v="NRD_055"/>
    <s v="NORD"/>
    <s v="IHS"/>
    <s v="Solar-Gen"/>
    <s v="NORD"/>
    <s v="Chamber-Wangai"/>
    <s v="NOKIA"/>
    <n v="0"/>
    <n v="1.159540812851567"/>
    <n v="0.006059940787627177"/>
    <n v="0.4444317288354431"/>
    <n v="0.001731411653607765"/>
    <n v="0.003011934855755174"/>
    <n v="0.01112792698204157"/>
    <n v="0.00115427443573851"/>
    <n v="0.0009558835170959533"/>
    <n v="0.0007394570603949827"/>
    <n v="0.02636795664140159"/>
    <n v="0"/>
    <n v="0.001064096745446439"/>
    <n v="0.001944023536596154"/>
    <n v="0"/>
    <n v="0.007829599381336804"/>
    <n v="0.002496910964435427"/>
    <n v="0.1664191157796212"/>
    <n v="0.05213193392174824"/>
    <n v="0.004851141302331686"/>
    <n v="2.715836550781458"/>
    <n v="0.003549180585161786"/>
    <n v="0.001944023536596154"/>
    <n v="0.03633005453253546"/>
    <m/>
    <n v="0"/>
    <m/>
    <n v="0"/>
    <m/>
    <n v="0.004940316693918667"/>
    <m/>
    <m/>
    <n v="0"/>
    <n v="0.003888047073192308"/>
    <n v="0.00631361772435815"/>
    <n v="0"/>
    <m/>
    <n v="0.07563856714407606"/>
    <n v="22.62820781826393"/>
    <n v="0"/>
    <n v="0"/>
    <n v="3.231305984310838"/>
    <x v="0"/>
    <m/>
    <x v="14"/>
    <x v="2"/>
    <s v="SAT"/>
    <x v="2"/>
    <s v="Impacts :Coupure franche (25 sites VSAT Nokia)  ,Indisponibilité de plusieurs sites VSAT dans plusieurs regions @~Supervision Reseau Orange Cameroun  ; Cause: A Determiner_x000a_Action: Sans action      ;      {05-25-2026 ticket}: INC-20260525-00018464...Others Transmission equipement fault"/>
  </r>
  <r>
    <s v="Buea-UB-Lamp-IHS"/>
    <s v="SUO_200"/>
    <s v="SUD-OUEST"/>
    <s v="IHS"/>
    <s v="Grid-Gen"/>
    <s v="SUD-OUEST"/>
    <s v="Buea"/>
    <s v="Huawei"/>
    <n v="0"/>
    <n v="0.6246736180667916"/>
    <n v="0"/>
    <n v="0"/>
    <n v="0"/>
    <n v="0"/>
    <n v="0"/>
    <n v="0"/>
    <n v="0"/>
    <n v="0"/>
    <n v="0"/>
    <n v="0"/>
    <n v="0"/>
    <n v="0"/>
    <n v="0"/>
    <n v="0"/>
    <n v="10.33266344779173"/>
    <n v="0"/>
    <n v="0.004726295754109916"/>
    <n v="0"/>
    <n v="3.17753322318389"/>
    <n v="0"/>
    <n v="0"/>
    <n v="0"/>
    <m/>
    <n v="0"/>
    <m/>
    <n v="0"/>
    <m/>
    <n v="0"/>
    <m/>
    <m/>
    <n v="0"/>
    <n v="0"/>
    <n v="0"/>
    <n v="0"/>
    <m/>
    <n v="0"/>
    <n v="2.124473939786339"/>
    <n v="3.63893223986862"/>
    <n v="3.268867088233555"/>
    <n v="3.229682992183954"/>
    <x v="0"/>
    <m/>
    <x v="12"/>
    <x v="2"/>
    <s v="fiber AOF"/>
    <x v="2"/>
    <s v="{05-25-2026 groupe whatsapp incident}:    impacted by SUO_801_H_Buea-Agence  Cause:    coupure  AOF_SUO_801_SUO_023_Buea_Agence_Buea-Signal-Hill ;   Action:Routage du traffic sur le FH Buea-Agence&lt;&gt;Buea-Signal-Hill"/>
  </r>
  <r>
    <s v="Fonfuka"/>
    <s v="NRO_043"/>
    <s v="NORD-OUEST"/>
    <s v="IHS"/>
    <s v="Hybrid-Gen"/>
    <s v="NORD-OUEST"/>
    <s v="Fonfuka"/>
    <s v="NOKIA"/>
    <n v="3.353692666102324"/>
    <n v="5.931420763697263"/>
    <n v="3.720820196128303"/>
    <n v="5.748177671018042"/>
    <n v="11.92999102931838"/>
    <n v="12.85595570430687"/>
    <n v="0.1907946816467199"/>
    <n v="6.198212979444102"/>
    <n v="7.897186463520768"/>
    <n v="5.839519882547177"/>
    <n v="5.399735308738575"/>
    <n v="3.887030473728216"/>
    <n v="3.023154311097995"/>
    <n v="2.053299061446839"/>
    <n v="2.955593508602215"/>
    <n v="2.945124317629904"/>
    <n v="4.123987324253139"/>
    <n v="0.1363313386581743"/>
    <n v="0.004191243404587952"/>
    <n v="0"/>
    <n v="0"/>
    <n v="0.03830974822576649"/>
    <n v="0"/>
    <n v="0"/>
    <m/>
    <n v="0.7684956896182723"/>
    <m/>
    <n v="0"/>
    <m/>
    <n v="0"/>
    <m/>
    <m/>
    <n v="1.196912105880439"/>
    <n v="0"/>
    <n v="0"/>
    <n v="0.08480579739921747"/>
    <m/>
    <n v="0.0008917539158696494"/>
    <n v="15.03455611109113"/>
    <n v="3.217057080490019"/>
    <n v="0"/>
    <n v="3.226936390123076"/>
    <x v="1"/>
    <m/>
    <x v="4"/>
    <x v="0"/>
    <s v="Defaut GE &amp; Power Cabinet"/>
    <x v="0"/>
    <s v="{05-25-2026 ticket}: INC-20260525-00002288...power issue at Tadu impacting Fonfuka...Grid Outage"/>
  </r>
  <r>
    <s v="Buea-Dirty-South-HIS"/>
    <s v="SUO_260"/>
    <s v="SUD-OUEST"/>
    <m/>
    <m/>
    <s v="SUD-OUEST"/>
    <s v="Buea"/>
    <s v="Huawei"/>
    <n v="0"/>
    <n v="0.6231933065664479"/>
    <n v="0"/>
    <n v="0"/>
    <n v="0"/>
    <n v="0"/>
    <n v="0"/>
    <n v="0"/>
    <n v="0"/>
    <n v="0"/>
    <n v="0"/>
    <n v="0"/>
    <n v="0"/>
    <n v="0"/>
    <n v="0"/>
    <n v="0"/>
    <n v="10.33257427240014"/>
    <n v="0"/>
    <n v="0"/>
    <n v="0"/>
    <n v="0.6646241934977584"/>
    <n v="0"/>
    <n v="0"/>
    <n v="0"/>
    <m/>
    <n v="0"/>
    <m/>
    <n v="0"/>
    <m/>
    <n v="0"/>
    <m/>
    <m/>
    <n v="0"/>
    <n v="0"/>
    <n v="0"/>
    <n v="0"/>
    <m/>
    <n v="0"/>
    <n v="2.125098417722784"/>
    <n v="3.645466762548833"/>
    <n v="3.238428798753247"/>
    <n v="3.216092662506099"/>
    <x v="0"/>
    <m/>
    <x v="12"/>
    <x v="2"/>
    <s v="fiber AOF"/>
    <x v="2"/>
    <s v="{05-25-2026 groupe whatsapp incident}:    impacted by SUO_801_H_Buea-Agence  Cause:    coupure  AOF_SUO_801_SUO_023_Buea_Agence_Buea-Signal-Hill ;   Action:Routage du traffic sur le FH Buea-Agence&lt;&gt;Buea-Signal-Hill"/>
  </r>
  <r>
    <s v="Buea-Service-Center-IHS"/>
    <s v="SUO_182"/>
    <s v="SUD-OUEST"/>
    <s v="IHS"/>
    <s v="Grid-Gen"/>
    <s v="SUD-OUEST"/>
    <s v="Buea"/>
    <s v="Huawei"/>
    <n v="0"/>
    <n v="0.6260112489405963"/>
    <n v="0"/>
    <n v="0"/>
    <n v="0"/>
    <n v="0"/>
    <n v="0"/>
    <n v="0"/>
    <n v="0"/>
    <n v="0"/>
    <n v="0"/>
    <n v="0"/>
    <n v="0"/>
    <n v="0"/>
    <n v="0"/>
    <n v="0"/>
    <n v="10.33239592161697"/>
    <n v="0"/>
    <n v="0"/>
    <n v="0"/>
    <n v="0"/>
    <n v="0"/>
    <n v="0"/>
    <n v="0"/>
    <m/>
    <n v="0"/>
    <m/>
    <n v="0"/>
    <m/>
    <n v="0"/>
    <m/>
    <m/>
    <n v="0"/>
    <n v="0"/>
    <n v="0"/>
    <n v="0"/>
    <m/>
    <n v="0"/>
    <n v="2.126971851532119"/>
    <n v="3.632716474392322"/>
    <n v="3.24116482477395"/>
    <n v="3.213506576150078"/>
    <x v="0"/>
    <m/>
    <x v="12"/>
    <x v="2"/>
    <s v="fiber AOF"/>
    <x v="2"/>
    <s v="{05-25-2026 groupe whatsapp incident}:    impacted by SUO_801_H_Buea-Agence  Cause:    coupure  AOF_SUO_801_SUO_023_Buea_Agence_Buea-Signal-Hill ;   Action:Routage du traffic sur le FH Buea-Agence&lt;&gt;Buea-Signal-Hill"/>
  </r>
  <r>
    <s v="Mokong-MTN-IHS"/>
    <s v="EXN_161"/>
    <s v="EXTREME-NORD"/>
    <s v="IHS"/>
    <s v="Hybrid-Gen"/>
    <s v="EXTREME-NORD"/>
    <s v="Mokong"/>
    <s v="NOKIA"/>
    <n v="0"/>
    <n v="0"/>
    <n v="0"/>
    <n v="0.003745583204940658"/>
    <n v="0"/>
    <n v="0"/>
    <n v="0"/>
    <n v="2.066250335201383"/>
    <n v="0"/>
    <n v="0.002942958232453008"/>
    <n v="0"/>
    <n v="0"/>
    <n v="0"/>
    <n v="0"/>
    <n v="0"/>
    <n v="0"/>
    <n v="0"/>
    <n v="0"/>
    <n v="0"/>
    <n v="0"/>
    <n v="0.1229015246851754"/>
    <n v="0"/>
    <n v="0"/>
    <n v="0"/>
    <m/>
    <n v="0"/>
    <m/>
    <n v="0"/>
    <m/>
    <n v="0"/>
    <m/>
    <m/>
    <n v="0"/>
    <n v="0"/>
    <n v="0"/>
    <n v="0"/>
    <m/>
    <n v="2.138366537707971"/>
    <n v="10.05134707384626"/>
    <n v="5.295366400713262"/>
    <n v="0"/>
    <n v="3.213047010390206"/>
    <x v="1"/>
    <m/>
    <x v="2"/>
    <x v="1"/>
    <s v="no root cause"/>
    <x v="1"/>
    <s v="{05-25-2026 ticket}: INC-20260525-00015314...Others Transmission equipement fault"/>
  </r>
  <r>
    <s v="Dschang-Universite"/>
    <s v="OST_106"/>
    <s v="OUEST"/>
    <s v="IHS"/>
    <s v="Grid-Gen"/>
    <s v="OUEST"/>
    <s v="Dschang"/>
    <s v="Huawei"/>
    <n v="0"/>
    <n v="0"/>
    <n v="0"/>
    <n v="0"/>
    <n v="0"/>
    <n v="0"/>
    <n v="0"/>
    <n v="0"/>
    <n v="0"/>
    <n v="0"/>
    <n v="0"/>
    <n v="0"/>
    <n v="0"/>
    <n v="0"/>
    <n v="0"/>
    <n v="0"/>
    <n v="0"/>
    <n v="0"/>
    <n v="0"/>
    <n v="0"/>
    <m/>
    <n v="0"/>
    <n v="0"/>
    <n v="0"/>
    <m/>
    <n v="0"/>
    <m/>
    <n v="0"/>
    <m/>
    <n v="0"/>
    <m/>
    <m/>
    <n v="0.2897308472660965"/>
    <n v="0"/>
    <n v="0"/>
    <n v="1.88302756875066"/>
    <m/>
    <n v="0"/>
    <n v="5.543490641823436"/>
    <n v="7.076144295861087"/>
    <n v="0.04924846837263363"/>
    <n v="3.192835720380215"/>
    <x v="0"/>
    <m/>
    <x v="4"/>
    <x v="0"/>
    <s v="Defaut GE &amp; Power Cabinet"/>
    <x v="0"/>
    <s v="{hourly IHS}: 25/05/2026 07:20 4:40:00 28 FME is informed and managing with L0."/>
  </r>
  <r>
    <s v="Goro-IHS"/>
    <s v="ADM_138"/>
    <s v="ADAMAOUA"/>
    <s v="IHS"/>
    <s v="Hybrid-Gen"/>
    <s v="ADAMAOUA"/>
    <s v="Goro"/>
    <s v="NOKIA"/>
    <n v="0.03389315226928966"/>
    <n v="0.04589490484292683"/>
    <n v="0.06560485019421612"/>
    <n v="0.01123739996495536"/>
    <n v="0.1706123404480391"/>
    <n v="0.001427054017825446"/>
    <n v="0.05508096381599757"/>
    <n v="0.1085629367379696"/>
    <n v="3.553977073457546"/>
    <n v="4.379107596446112"/>
    <n v="0.6677346101025904"/>
    <n v="0.001961858614913521"/>
    <n v="0.08628318996223633"/>
    <n v="0.01418125639497678"/>
    <n v="0.02042461153029841"/>
    <n v="0.103157461219112"/>
    <n v="0.1644127979904891"/>
    <n v="0.06735679768828798"/>
    <n v="0.2402979889162883"/>
    <n v="0.03920800564301949"/>
    <n v="1.734497036523386"/>
    <n v="0.04989336990440695"/>
    <n v="0.04827008357150905"/>
    <n v="0.01596516682442076"/>
    <m/>
    <n v="3.717914745306212"/>
    <m/>
    <n v="1.738006384711028"/>
    <m/>
    <n v="1.021453686714678"/>
    <m/>
    <m/>
    <n v="3.236763518275962"/>
    <n v="3.11511654000621"/>
    <n v="3.242493846251966"/>
    <n v="3.254779675750207"/>
    <m/>
    <n v="3.557897063446271"/>
    <n v="0.1741044486809027"/>
    <n v="0.1992520027083921"/>
    <n v="5.909816204716034"/>
    <n v="3.173654827905554"/>
    <x v="0"/>
    <m/>
    <x v="11"/>
    <x v="7"/>
    <s v="BSS Hardware issue"/>
    <x v="2"/>
    <s v="(05/25/2026 cell nokia): 25/05/2026 : Forte pluie dans la zone. Evidences partagees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cell nokia): 25/05/2026 : Forte pluie dans la zone. Evidences partagees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cell nokia): 25/05/2026 : Forte pluie dans la zone. Evidences partagees 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ticket}: INC-20260525-00017989...Others"/>
  </r>
  <r>
    <s v="Tourningal-MTN-IHS"/>
    <s v="ADM_094"/>
    <s v="ADAMAOUA"/>
    <s v="IHS"/>
    <s v="Solar-Grid-Gen"/>
    <s v="ADAMAOUA"/>
    <s v="Tournigal"/>
    <s v="NOKIA"/>
    <n v="0"/>
    <n v="0.1681187883841724"/>
    <n v="0"/>
    <n v="0"/>
    <n v="0.001427054017825275"/>
    <n v="0.2071007985580846"/>
    <n v="0"/>
    <n v="0"/>
    <n v="0"/>
    <n v="0"/>
    <n v="0"/>
    <n v="0"/>
    <n v="0"/>
    <n v="0"/>
    <n v="0"/>
    <n v="0"/>
    <n v="0"/>
    <n v="0"/>
    <n v="0"/>
    <n v="0"/>
    <n v="0"/>
    <n v="0"/>
    <n v="0"/>
    <n v="0"/>
    <m/>
    <n v="0"/>
    <m/>
    <n v="0"/>
    <m/>
    <n v="0"/>
    <m/>
    <m/>
    <n v="0"/>
    <n v="0"/>
    <n v="0"/>
    <n v="1.090598405629745"/>
    <m/>
    <n v="0.1849249821484965"/>
    <n v="7.589904839554133"/>
    <n v="6.21853814922437"/>
    <n v="0"/>
    <n v="3.171472690764316"/>
    <x v="0"/>
    <m/>
    <x v="4"/>
    <x v="0"/>
    <s v="Defaut GE &amp; Power Cabinet"/>
    <x v="0"/>
    <s v="{05-25-2026 groupe whatsapp incident}:    impacted by  ADM_094_N_Tourningal-MTN-IHS_G   ,Hello @~IHS NOC comme echange, tout a lheure ci-dessous les sites down pour power issue _x000a_Bien vouloir nous partager les ETR _x000a_ADM_094_N_Tourningal-MTN-IHS =&gt;5 sites       ;      {hourly IHS}: 25/05/2026 03:39 2:44:44 46.2V FME Yannick managing with level 0      ;      {05-25-2026 ticket}: INC-20260525-00009547...Grid Outage"/>
  </r>
  <r>
    <s v="Nkongoa-Mfou"/>
    <s v="CTR_896"/>
    <s v="CENTRE"/>
    <s v="CAMUSAT"/>
    <s v="Good Grid + GE"/>
    <s v="CENTRE"/>
    <s v="Mfou"/>
    <s v="ZTE"/>
    <n v="0"/>
    <n v="21.45766808491209"/>
    <n v="0"/>
    <n v="0.6515332460127904"/>
    <n v="0"/>
    <n v="0"/>
    <n v="5.61606997628648"/>
    <n v="2.766291987341375"/>
    <n v="3.463911075726316"/>
    <n v="0.09939489146284745"/>
    <n v="4.668510100361553"/>
    <n v="0"/>
    <n v="0.9460260591896311"/>
    <n v="6.484816641126835"/>
    <n v="13.86855689960706"/>
    <n v="20.7347766905514"/>
    <n v="0"/>
    <n v="2.470033501411111"/>
    <n v="0.1152146059303775"/>
    <n v="1.174974959550042"/>
    <n v="0"/>
    <n v="0.9916660246038469"/>
    <n v="10.46858457964861"/>
    <n v="0.4020918406656905"/>
    <m/>
    <n v="0"/>
    <m/>
    <n v="0"/>
    <m/>
    <n v="0"/>
    <m/>
    <m/>
    <n v="0"/>
    <n v="3.301932894447726"/>
    <n v="0"/>
    <n v="0"/>
    <m/>
    <n v="4.35395282407764"/>
    <n v="3.49695154850545"/>
    <n v="2.858986488094633"/>
    <n v="3.273313130517197"/>
    <n v="3.166154443217392"/>
    <x v="2"/>
    <s v="site vandalise"/>
    <x v="9"/>
    <x v="5"/>
    <s v="EXCLU"/>
    <x v="4"/>
    <s v="{05-25-2026 goupe whatsapp incident}:    impacted by    CTR_351_Z_Mimboman-Nodal(CTR-351)  ,Cause: Boucle ethernet  ,Action: Desactivation de la boucle"/>
  </r>
  <r>
    <s v="Edenville-Stade"/>
    <s v="CTR_730"/>
    <s v="Yaounde"/>
    <s v="CAMUSAT"/>
    <s v="Good Grid + GE"/>
    <s v="CENTRE"/>
    <s v="Yaounde"/>
    <s v="ZTE"/>
    <n v="0"/>
    <n v="0"/>
    <n v="0"/>
    <n v="0"/>
    <n v="0.009274240725045896"/>
    <n v="0"/>
    <n v="0.009309910881680577"/>
    <n v="0.01640827205200391"/>
    <n v="0"/>
    <n v="0"/>
    <n v="0"/>
    <n v="0"/>
    <n v="0"/>
    <n v="0"/>
    <n v="0"/>
    <n v="0"/>
    <n v="1.541860355617193"/>
    <n v="0"/>
    <n v="0"/>
    <n v="0"/>
    <n v="0"/>
    <n v="0"/>
    <n v="0"/>
    <n v="0"/>
    <m/>
    <n v="0"/>
    <m/>
    <n v="0.5528695927609555"/>
    <m/>
    <n v="0"/>
    <m/>
    <m/>
    <n v="0"/>
    <n v="0"/>
    <n v="0"/>
    <n v="0"/>
    <m/>
    <n v="0"/>
    <n v="3.256652438561362"/>
    <n v="2.278051483963538"/>
    <n v="3.711624499033635"/>
    <n v="3.165387534849743"/>
    <x v="0"/>
    <m/>
    <x v="5"/>
    <x v="2"/>
    <s v="IP &amp; VLAN"/>
    <x v="2"/>
    <s v="{05-25-2026 goupe whatsapp incident}:    impacted by    CTR_007_Z_Messamendongo(CTR-007)  ,Cause: Boucle etherneet  ,Action: Desactivation de la bouclee      ;      {05-25-2026 ticket}: INC-20260525-00021953...Auto TT closure RCA...Others"/>
  </r>
  <r>
    <s v="Messamendongo"/>
    <s v="CTR_007"/>
    <s v="Yaounde"/>
    <m/>
    <m/>
    <s v="CENTRE"/>
    <s v="Yaounde"/>
    <s v="ZTE"/>
    <n v="0"/>
    <n v="0"/>
    <n v="0"/>
    <n v="0"/>
    <n v="0"/>
    <n v="0"/>
    <n v="0"/>
    <n v="0"/>
    <n v="0"/>
    <n v="0"/>
    <n v="0"/>
    <n v="0"/>
    <n v="0"/>
    <n v="0"/>
    <n v="0"/>
    <n v="0"/>
    <n v="0"/>
    <n v="0"/>
    <n v="0"/>
    <n v="0"/>
    <n v="0"/>
    <n v="0"/>
    <n v="0"/>
    <n v="0"/>
    <m/>
    <n v="0"/>
    <m/>
    <n v="0"/>
    <m/>
    <n v="0"/>
    <m/>
    <m/>
    <n v="0"/>
    <n v="0"/>
    <n v="0.5948533671201059"/>
    <n v="0"/>
    <m/>
    <n v="0"/>
    <n v="0.2882590154630729"/>
    <n v="0.07713924334690049"/>
    <n v="5.932456820037341"/>
    <n v="3.160768249565538"/>
    <x v="0"/>
    <m/>
    <x v="5"/>
    <x v="2"/>
    <s v="IP &amp; VLAN"/>
    <x v="2"/>
    <s v="{05-25-2026 goupe whatsapp incident}:    impacted by    CTR_007_Z_Messamendongo(CTR-007)  ,Cause: Boucle etherneet  ,Action: Desactivation de la bouclee      ;      {05-25-2026 ticket}: INC-20260525-00023557...2026-05-25 20:41:09...Les investigations du BO IP revelent une Boucle ethernet sur les VLAN 1303 à 1306, BO TX alerté pour prise en charge...Desactivation de la bouclee...Others...Boucle etherneet...user:KOUAMEBOZOMABILEVICTORINE "/>
  </r>
  <r>
    <s v="CTR_951_Z_Odza-Entree-Plaque-LB"/>
    <s v="CTR_951"/>
    <s v="Yaounde"/>
    <s v="ESCO"/>
    <s v="Good Grid + Solar + GE"/>
    <s v="CENTRE"/>
    <s v="Yaoundé"/>
    <s v="ZTE"/>
    <n v="0"/>
    <n v="0"/>
    <n v="0"/>
    <n v="0"/>
    <n v="0"/>
    <n v="0"/>
    <n v="0"/>
    <n v="0"/>
    <n v="0"/>
    <n v="0"/>
    <n v="0"/>
    <n v="0"/>
    <n v="0"/>
    <n v="0"/>
    <n v="0"/>
    <n v="0"/>
    <n v="8.076864907129179"/>
    <n v="0"/>
    <n v="0"/>
    <n v="0"/>
    <n v="37.9647464707947"/>
    <n v="0"/>
    <n v="0"/>
    <n v="0"/>
    <m/>
    <n v="0"/>
    <m/>
    <n v="14.78779467116396"/>
    <m/>
    <n v="0"/>
    <m/>
    <m/>
    <n v="0"/>
    <n v="0"/>
    <n v="0"/>
    <n v="0"/>
    <m/>
    <n v="0"/>
    <n v="2.875596001742543"/>
    <n v="0.707003478278609"/>
    <n v="4.79970784714151"/>
    <n v="3.150976791569287"/>
    <x v="0"/>
    <m/>
    <x v="5"/>
    <x v="2"/>
    <s v="IP &amp; VLAN"/>
    <x v="2"/>
    <s v="{05-25-2026 goupe whatsapp incident}:    impacted by    CTR_007_Z_Messamendongo(CTR-007)  ,Cause: Boucle etherneet  ,Action: Desactivation de la bouclee"/>
  </r>
  <r>
    <s v="Ngd-Beka"/>
    <s v="ADM_180"/>
    <s v="Ngaoundere"/>
    <s v="ESCO"/>
    <s v="Medium Grid solar + GE"/>
    <s v="ADAMAOUA"/>
    <s v="Ngaoundere"/>
    <s v="Huawei"/>
    <n v="1.181663113919066"/>
    <n v="0.02568251277705011"/>
    <n v="0.5977426498075238"/>
    <n v="0"/>
    <n v="0.8255857753122566"/>
    <n v="0"/>
    <n v="0.1635655032488378"/>
    <n v="0"/>
    <n v="0"/>
    <n v="0"/>
    <n v="0"/>
    <n v="0.0005350523495218772"/>
    <n v="0"/>
    <n v="0"/>
    <n v="0.3055148915769919"/>
    <n v="0.418232586542934"/>
    <n v="0"/>
    <n v="0"/>
    <n v="0"/>
    <n v="0"/>
    <n v="0"/>
    <n v="0"/>
    <n v="0.1535600243127788"/>
    <n v="0"/>
    <m/>
    <n v="0"/>
    <m/>
    <n v="0"/>
    <m/>
    <n v="0"/>
    <m/>
    <m/>
    <n v="0"/>
    <n v="0"/>
    <n v="1.077274400527348"/>
    <n v="7.144250826834231"/>
    <m/>
    <n v="2.375578926642183"/>
    <n v="6.840531315819974"/>
    <n v="5.81200635134354"/>
    <n v="0.410574904731574"/>
    <n v="3.142094922567224"/>
    <x v="0"/>
    <m/>
    <x v="2"/>
    <x v="1"/>
    <s v="no root cause"/>
    <x v="1"/>
    <s v=""/>
  </r>
  <r>
    <s v="Mendong-IV-MTN"/>
    <s v="CTR_746"/>
    <s v="Yaounde"/>
    <s v="MTN sharing"/>
    <m/>
    <s v="CENTRE"/>
    <s v="Yaounde"/>
    <s v="ZTE"/>
    <n v="0"/>
    <n v="0.7278495461329266"/>
    <n v="0"/>
    <n v="0.6706881201256735"/>
    <n v="1.144869347350278"/>
    <n v="0.663411408172176"/>
    <n v="1.05294735370242"/>
    <n v="4.601842577611126"/>
    <n v="14.61409884343084"/>
    <n v="1.011355951066253"/>
    <n v="1.970365947270947"/>
    <n v="0"/>
    <n v="2.035303467424586"/>
    <n v="0"/>
    <n v="0"/>
    <n v="4.362228300416914"/>
    <n v="0"/>
    <n v="0"/>
    <n v="0"/>
    <n v="4.356146538710681"/>
    <n v="0"/>
    <n v="0"/>
    <n v="0.6272418693444975"/>
    <n v="1.915505246366638"/>
    <m/>
    <n v="0.2420576829236966"/>
    <m/>
    <n v="0.4241003273093571"/>
    <m/>
    <n v="0.4958508473802403"/>
    <m/>
    <m/>
    <n v="0"/>
    <n v="3.741656750363122"/>
    <n v="0.2721276249668262"/>
    <n v="2.166837170015381"/>
    <m/>
    <n v="0.001498146578661148"/>
    <n v="1.763275901346474"/>
    <n v="1.888370802180129"/>
    <n v="4.323297316286798"/>
    <n v="3.140293579657167"/>
    <x v="0"/>
    <m/>
    <x v="2"/>
    <x v="1"/>
    <s v="no root cause"/>
    <x v="1"/>
    <s v=""/>
  </r>
  <r>
    <s v="Bangambi-IHS"/>
    <s v="OST_205"/>
    <s v="OUEST"/>
    <s v="IHS"/>
    <s v="Grid-Gen"/>
    <s v="OUEST"/>
    <s v="Bangambi"/>
    <s v="NOKIA"/>
    <n v="0.129310430850116"/>
    <n v="0.01293043178011189"/>
    <n v="0.0271363752688459"/>
    <n v="0"/>
    <n v="0.003031963313957151"/>
    <n v="0.06229055242267879"/>
    <n v="0.8376896317854959"/>
    <n v="0.003121138705544201"/>
    <n v="0.006509803585849383"/>
    <n v="0.003567015663479283"/>
    <n v="0.01070104699043751"/>
    <n v="0"/>
    <n v="0.001515981656978661"/>
    <n v="1.344996761149778"/>
    <n v="0.01845930605850477"/>
    <n v="0"/>
    <n v="0.4786578318822713"/>
    <n v="0.2487458372927205"/>
    <n v="0"/>
    <n v="0.03008777712144675"/>
    <n v="0"/>
    <n v="0.1496719772395865"/>
    <n v="0.01524899196137366"/>
    <n v="0.04706677167960789"/>
    <m/>
    <n v="0.2413799499476364"/>
    <m/>
    <n v="0.1535065190778266"/>
    <m/>
    <n v="0.1296431842891508"/>
    <m/>
    <m/>
    <n v="0"/>
    <n v="0"/>
    <n v="0.01615858095556057"/>
    <n v="0"/>
    <m/>
    <n v="1.107629703823555"/>
    <n v="10.96295996546887"/>
    <n v="4.672714978358511"/>
    <n v="0"/>
    <n v="3.134193982872618"/>
    <x v="0"/>
    <m/>
    <x v="4"/>
    <x v="0"/>
    <s v="Defaut GE &amp; Power Cabinet"/>
    <x v="0"/>
    <s v="{05-25-2026 top offenders}: 26.05.2026 IHS: FME isinformed and  managing"/>
  </r>
  <r>
    <s v="Bertoua-Meteo"/>
    <s v="EST_107"/>
    <s v="CENTRE"/>
    <s v="IHS"/>
    <s v="Grid-Gen"/>
    <s v="EST"/>
    <s v="Bertoua"/>
    <s v="ZTE"/>
    <n v="0"/>
    <n v="0"/>
    <n v="0"/>
    <n v="0"/>
    <n v="0"/>
    <n v="0"/>
    <n v="0"/>
    <n v="0"/>
    <n v="0"/>
    <n v="0"/>
    <n v="0"/>
    <n v="0"/>
    <n v="0"/>
    <n v="0"/>
    <n v="0"/>
    <n v="0"/>
    <n v="0"/>
    <n v="0"/>
    <n v="0"/>
    <n v="0"/>
    <n v="0"/>
    <n v="0"/>
    <n v="1.204492014165332"/>
    <n v="0.0004280418796175018"/>
    <m/>
    <n v="0"/>
    <m/>
    <n v="0"/>
    <m/>
    <n v="0"/>
    <m/>
    <m/>
    <n v="0"/>
    <n v="0.4538849080994078"/>
    <n v="0"/>
    <n v="0"/>
    <m/>
    <n v="1.031955466522845"/>
    <n v="1.822726200896051"/>
    <n v="3.183534447878523"/>
    <n v="3.41428687123386"/>
    <n v="3.109545904637977"/>
    <x v="0"/>
    <m/>
    <x v="4"/>
    <x v="0"/>
    <s v="Defaut GE &amp; Power Cabinet"/>
    <x v="0"/>
    <s v="{05-25-2026 ticket}: INC-20260525-00013953...Grid Outage"/>
  </r>
  <r>
    <s v="Golf-Quater-IHS"/>
    <s v="CTR_852"/>
    <s v="Yaounde"/>
    <s v="IHS"/>
    <s v="Grid-Gen"/>
    <s v="CENTRE"/>
    <s v="Yaounde"/>
    <s v="ZTE"/>
    <n v="0"/>
    <n v="0"/>
    <n v="1.609990354789645"/>
    <n v="0.2354408688679438"/>
    <n v="0"/>
    <n v="0"/>
    <n v="0"/>
    <n v="0"/>
    <n v="0"/>
    <n v="0"/>
    <n v="0"/>
    <n v="0"/>
    <n v="0.1361886580316355"/>
    <n v="0"/>
    <n v="0"/>
    <n v="0"/>
    <n v="0"/>
    <n v="0"/>
    <n v="0"/>
    <n v="0"/>
    <n v="0"/>
    <n v="0"/>
    <n v="0"/>
    <n v="0"/>
    <m/>
    <n v="0"/>
    <m/>
    <n v="0"/>
    <m/>
    <n v="0"/>
    <m/>
    <m/>
    <n v="12.71808733766512"/>
    <n v="32.89245019732731"/>
    <n v="3.081901533246013"/>
    <n v="3.081901533246013"/>
    <m/>
    <n v="3.081901533246013"/>
    <n v="0"/>
    <n v="0"/>
    <n v="5.912107626508371"/>
    <n v="3.083096483493278"/>
    <x v="0"/>
    <m/>
    <x v="2"/>
    <x v="1"/>
    <s v="no root cause"/>
    <x v="1"/>
    <s v=""/>
  </r>
  <r>
    <s v="NTENYING1"/>
    <s v="SUD_161"/>
    <s v="CENTRE"/>
    <s v="ESCO"/>
    <s v="Hybrid Solar - S3"/>
    <s v="SUD"/>
    <s v="Ntenying"/>
    <s v="NOKIA"/>
    <n v="0.0004458769579349104"/>
    <n v="0.5891996472934909"/>
    <n v="0.007633413519845844"/>
    <n v="0.03420768021276499"/>
    <n v="0.2869307399702654"/>
    <n v="0.0127699160752553"/>
    <n v="3.081901533246013"/>
    <n v="3.081901533246013"/>
    <n v="3.081901533246013"/>
    <n v="3.081901533246013"/>
    <n v="3.081901533246013"/>
    <n v="1.334795096352227"/>
    <n v="3.081901533246013"/>
    <n v="3.081901533246013"/>
    <n v="3.081901533246013"/>
    <n v="3.081901533246013"/>
    <n v="3.081901533246013"/>
    <n v="3.081901533246013"/>
    <n v="3.081901533246013"/>
    <n v="3.081901533246013"/>
    <n v="0.5804069536830154"/>
    <n v="3.081901533246013"/>
    <n v="3.081901533246013"/>
    <n v="3.081901533246013"/>
    <m/>
    <n v="3.081901533246013"/>
    <m/>
    <n v="3.081901533246013"/>
    <m/>
    <n v="3.081901533246013"/>
    <m/>
    <m/>
    <n v="3.081901533246013"/>
    <n v="3.081901533246013"/>
    <n v="3.081901533246013"/>
    <n v="3.081901533246013"/>
    <m/>
    <n v="3.081901533246013"/>
    <n v="0"/>
    <n v="9.180207472688883"/>
    <n v="0"/>
    <n v="3.081901533246013"/>
    <x v="0"/>
    <m/>
    <x v="11"/>
    <x v="7"/>
    <s v="BSS Hardware issue"/>
    <x v="2"/>
    <s v="{05-25-2026 ocm ran 22H}: 23/05/2026 Le bailleur refuse l'accès au site pour problème de loyer impayé - Escalade refaite à Camusat et à OCM_x000a_22/05/2026 Le bailleur refuse l'accès au site pour problème de loyer impayé - Escalade refaite à Camusat et à OCM_x000a_21/05/2026 Le bailleur refuse l'accès au site pour problème de loyer impayé - Escalade refaite à Camusat et à OCM_x000a_19.08.26: Le bailleur refuse l'accès au site pour problème de loyer impayé - Escalade refaite à Camusat et à OCM_x000a_18.08.26: Le bailleur refuse l'accès au site pour problème de loyer impayé - Escalade refaite à Camusat_x000a_17.05.2026: Le FME as recu la spare est en route pour le site ETA=14H_x000a_15/05/2026 FME  sur site travaux en cours _x000a_15/05/2026 FME en route ETA=10H UTC _x000a_13/05/2026 : carte core en defaut remplacee mais le site n'est pas remonte car le software de la BTS a ete upgrade par Nokia. Le nouveau software SRAN24 expediee de Douala vers Yaoundé recu a Yaounde ce jour et expedie vers Djoum ETD=14/05/2026, ETR 15/05/2026 _x000a_11/05/2026 SRAN24 remis à Douala ce jour et recherche d'une solution pour expédition sur Yaoundé en cours ETD=11.05.2026 ET ETD=13/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 UTC_x000a_17.04.26; Camusat FME is managing      ;      {05-25-2026 ocm ran 17H}: 23/05/2026 Le bailleur refuse l'accès au site pour problème de loyer impayé - Escalade refaite à Camusat et à OCM_x000a_22/05/2026 Le bailleur refuse l'accès au site pour problème de loyer impayé - Escalade refaite à Camusat et à OCM_x000a_21/05/2026 Le bailleur refuse l'accès au site pour problème de loyer impayé - Escalade refaite à Camusat et à OCM_x000a_19.08.26: Le bailleur refuse l'accès au site pour problème de loyer impayé - Escalade refaite à Camusat et à OCM_x000a_18.08.26: Le bailleur refuse l'accès au site pour problème de loyer impayé - Escalade refaite à Camusat_x000a_17.05.2026: Le FME as recu la spare est en route pour le site ETA=14H_x000a_15/05/2026 FME  sur site travaux en cours _x000a_15/05/2026 FME en route ETA=10H UTC _x000a_13/05/2026 : carte core en defaut remplacee mais le site n'est pas remonte car le software de la BTS a ete upgrade par Nokia. Le nouveau software SRAN24 expediee de Douala vers Yaoundé recu a Yaounde ce jour et expedie vers Djoum ETD=14/05/2026, ETR 15/05/2026 _x000a_11/05/2026 SRAN24 remis à Douala ce jour et recherche d'une solution pour expédition sur Yaoundé en cours ETD=11.05.2026 ET ETD=13/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 UTC_x000a_17.04.26; Camusat FME is managing"/>
  </r>
  <r>
    <s v="SS_Vreket"/>
    <s v="EXN_251"/>
    <s v="EXTREME-NORD"/>
    <s v="OCM"/>
    <m/>
    <s v="EXTREME-NORD"/>
    <s v="Mozogo"/>
    <s v="NOKIA"/>
    <n v="0.01667676331723491"/>
    <n v="0.02051152707467408"/>
    <n v="0.02621756512657198"/>
    <n v="1.053935769428248"/>
    <n v="0.06822312266141574"/>
    <n v="0.02068988817967128"/>
    <n v="0.05154337633727413"/>
    <n v="0.1790641863066549"/>
    <n v="0.02042116467341831"/>
    <n v="0.001872791602470158"/>
    <n v="0.004815471145696963"/>
    <n v="0"/>
    <n v="0.261834102135838"/>
    <n v="0.2769056155080986"/>
    <n v="0.3605778417326551"/>
    <n v="0.01284199955979574"/>
    <n v="0.003567222099943289"/>
    <n v="0.02523809635709873"/>
    <n v="0.02416792972711589"/>
    <n v="0.04066633193935359"/>
    <n v="0"/>
    <n v="0.006509803585849554"/>
    <n v="0.1276173706254714"/>
    <n v="0.09809860774844077"/>
    <m/>
    <n v="0.6087464513553239"/>
    <m/>
    <n v="0"/>
    <m/>
    <n v="0.03478041547444723"/>
    <m/>
    <m/>
    <n v="0.01658662283517805"/>
    <n v="0.291960232055771"/>
    <n v="3.081901533246013"/>
    <n v="3.081901533246013"/>
    <m/>
    <n v="3.081901533246013"/>
    <n v="0"/>
    <n v="9.180207472688883"/>
    <n v="0"/>
    <n v="3.081901533246013"/>
    <x v="1"/>
    <m/>
    <x v="13"/>
    <x v="8"/>
    <s v="ACCESS-ISSUE"/>
    <x v="6"/>
    <s v="{05-25-2026 ocm ran 22H}: 23/05/2026 Nous n'avons pas pu avoir le retour du commandant du BIR. Négociation escorte militaire pour  intervention ce 25/05/2026_x000a_22.05.26: BIR will check their equipment after coming back from 20May celebration, in parallel FME will move to site on 23-May_x000a_21.05.26: Nous avons appelé le Camp du Bir afin qu'on fasse un check de power et un reset sur le MPR, on attend le retour du capitaine, qui est à Maroua dans les festivités du défilé_x000a_20.05.26: Nous avons appelé le Camp du Bir afin qu'on fasse un reset sur le MPR, on attend le retour du capitaine, qui est à Maroua dans les festivités du défilé_x000a_20.05.26: Reste down après l'incident sur Kolofata, besoin d'un FME sur site pour vérifier le statut du MPR; CM-20260520-00003488; FME Yaouba activé pour investigations, update ASAP      ;      {05-25-2026 ocm ran 17H}: 23/05/2026 Nous n'avons pas pu avoir le retour du commandant du BIR. Négociation escorte militaire pour  intervention ce 25/05/2026_x000a_22.05.26: BIR will check their equipment after coming back from 20May celebration, in parallel FME will move to site on 23-May_x000a_21.05.26: Nous avons appelé le Camp du Bir afin qu'on fasse un check de power et un reset sur le MPR, on attend le retour du capitaine, qui est à Maroua dans les festivités du défilé_x000a_20.05.26: Nous avons appelé le Camp du Bir afin qu'on fasse un reset sur le MPR, on attend le retour du capitaine, qui est à Maroua dans les festivités du défilé_x000a_20.05.26: Reste down après l'incident sur Kolofata, besoin d'un FME sur site pour vérifier le statut du MPR; CM-20260520-00003488; FME Yaouba activé pour investigations, update ASAP"/>
  </r>
  <r>
    <s v="Ekok"/>
    <s v="SUO_015"/>
    <s v="SUD-OUEST"/>
    <s v="IHS"/>
    <s v="Grid-Gen"/>
    <s v="SUD-OUEST"/>
    <s v="Ekok"/>
    <s v="NOKIA"/>
    <n v="3.115747412819406"/>
    <n v="3.115675270667173"/>
    <n v="3.115639199591056"/>
    <n v="3.11571134174329"/>
    <n v="3.115675270667173"/>
    <n v="3.115747412819406"/>
    <n v="3.115675270667173"/>
    <n v="3.115783483895523"/>
    <n v="3.115675270667173"/>
    <n v="3.115747412819406"/>
    <n v="3.115747412819406"/>
    <n v="0.6769660676933965"/>
    <n v="3.11571134174329"/>
    <n v="3.080974109173508"/>
    <n v="3.081045449486778"/>
    <n v="3.081009779330143"/>
    <n v="3.081081119643413"/>
    <n v="3.081116789800047"/>
    <n v="3.081116789800047"/>
    <n v="3.081116789800047"/>
    <n v="0"/>
    <n v="3.081009779330143"/>
    <n v="3.081045449486778"/>
    <n v="3.080938439016873"/>
    <m/>
    <n v="3.081081119643413"/>
    <m/>
    <n v="3.081152459956682"/>
    <m/>
    <n v="3.081152459956682"/>
    <m/>
    <m/>
    <n v="3.081152459956682"/>
    <n v="3.081081119643413"/>
    <n v="3.081116789800047"/>
    <n v="3.081045449486778"/>
    <m/>
    <n v="3.081116789800047"/>
    <n v="21.57571270417931"/>
    <n v="0"/>
    <n v="0"/>
    <n v="3.081009779330143"/>
    <x v="2"/>
    <m/>
    <x v="9"/>
    <x v="5"/>
    <s v="EXCLU"/>
    <x v="4"/>
    <s v=""/>
  </r>
  <r>
    <s v="Douggoy"/>
    <s v="EXN_002"/>
    <s v="Maroua"/>
    <s v="IHS"/>
    <s v="Grid-Gen"/>
    <s v="EXTREME-NORD"/>
    <s v="Maroua"/>
    <s v="Huawei"/>
    <n v="0.005974751236327629"/>
    <n v="0.00374536644665314"/>
    <n v="0.04048562778048871"/>
    <n v="0.0008025785242828158"/>
    <n v="0"/>
    <n v="0"/>
    <n v="0"/>
    <n v="0.005796400453153669"/>
    <n v="0"/>
    <n v="0.005974751236327628"/>
    <n v="0"/>
    <n v="0"/>
    <n v="0"/>
    <n v="0"/>
    <n v="0"/>
    <n v="0"/>
    <n v="1.068142840428841"/>
    <n v="0"/>
    <n v="0"/>
    <n v="0"/>
    <n v="0.1551830164396625"/>
    <n v="0"/>
    <n v="0"/>
    <n v="0.01542734274454746"/>
    <m/>
    <n v="0.01558785844940402"/>
    <m/>
    <n v="0"/>
    <m/>
    <n v="0"/>
    <m/>
    <m/>
    <n v="0"/>
    <n v="0"/>
    <n v="8.107327220895293"/>
    <n v="0"/>
    <m/>
    <n v="0"/>
    <n v="5.281834386452926"/>
    <n v="6.741502357953292"/>
    <n v="0.06771664401237122"/>
    <n v="3.052759015275389"/>
    <x v="0"/>
    <m/>
    <x v="4"/>
    <x v="0"/>
    <s v="Defaut GE &amp; Power Cabinet"/>
    <x v="0"/>
    <s v="{hourly IHS}: 25/05/2026 06:57 2:03:00 44 Fme is informed and managing"/>
  </r>
  <r>
    <s v="Mvog-Atangana-Mballa"/>
    <s v="CTR_728"/>
    <s v="Yaounde"/>
    <s v="CAMUSAT"/>
    <s v="Good Grid no GE - 8h"/>
    <s v="CENTRE"/>
    <s v="Yaounde"/>
    <s v="ZTE"/>
    <n v="6.350126129673861"/>
    <n v="4.924425639137866"/>
    <n v="0"/>
    <n v="0"/>
    <n v="0"/>
    <n v="2.003218161531591"/>
    <n v="9.245704599738039"/>
    <n v="7.276123395913056"/>
    <n v="0.03324458598362615"/>
    <n v="0.3481228936772506"/>
    <n v="0"/>
    <n v="0"/>
    <n v="0"/>
    <n v="0"/>
    <n v="0"/>
    <n v="0"/>
    <n v="0"/>
    <n v="0"/>
    <n v="0"/>
    <n v="0"/>
    <n v="6.055918677750097"/>
    <n v="0"/>
    <n v="0.431626730359298"/>
    <n v="0"/>
    <m/>
    <n v="0"/>
    <m/>
    <n v="0"/>
    <m/>
    <n v="0"/>
    <m/>
    <m/>
    <n v="0"/>
    <n v="0"/>
    <n v="0"/>
    <n v="0"/>
    <m/>
    <n v="0"/>
    <n v="1.405325148176125"/>
    <n v="1.192470699837815"/>
    <n v="4.686846773787559"/>
    <n v="3.045143436833861"/>
    <x v="0"/>
    <m/>
    <x v="11"/>
    <x v="7"/>
    <s v="BSS Hardware issue"/>
    <x v="2"/>
    <s v="{05-25-2026 ticket}: INC-20260525-00021678...Others ,05-25-2026: hardware issue,  site with GPS issue (alarm : TDD down 09Apr 02pm)"/>
  </r>
  <r>
    <s v="Nkolmesseng-Ebama-Ewoulou"/>
    <s v="CTR_564"/>
    <s v="Yaounde"/>
    <s v="CAMUSAT"/>
    <s v="Good Grid no GE - 8h"/>
    <s v="CENTRE"/>
    <s v="Yaounde"/>
    <s v="ZTE"/>
    <n v="0.1762640790108236"/>
    <n v="3.126203867786425"/>
    <n v="0.1812222307830596"/>
    <n v="0"/>
    <n v="0"/>
    <n v="0"/>
    <n v="0"/>
    <n v="1.777087203545328"/>
    <n v="9.30737830055959"/>
    <n v="0"/>
    <n v="1.246172592193087"/>
    <n v="0"/>
    <n v="3.483904198520117"/>
    <n v="0"/>
    <n v="0"/>
    <n v="0"/>
    <n v="0.9898468466154728"/>
    <n v="0"/>
    <n v="0"/>
    <n v="18.68937856879917"/>
    <n v="0"/>
    <n v="0.09736169253466347"/>
    <n v="0"/>
    <n v="1.766760693199556"/>
    <m/>
    <n v="0"/>
    <m/>
    <n v="0"/>
    <m/>
    <n v="38.05178165298359"/>
    <m/>
    <m/>
    <n v="13.86855689960706"/>
    <n v="22.82772313109781"/>
    <n v="0"/>
    <n v="0.00936341611663285"/>
    <m/>
    <n v="0"/>
    <n v="1.619396184789516"/>
    <n v="1.37575609208768"/>
    <n v="4.451822138609267"/>
    <n v="3.014681123067747"/>
    <x v="0"/>
    <m/>
    <x v="3"/>
    <x v="0"/>
    <s v="AKTIVCO Coupure ENEO &amp; Baisse de tension"/>
    <x v="0"/>
    <s v="{05-25-2026 ticket}: INC-20260525-00017021...power fluctuation in site...Grid Outage"/>
  </r>
  <r>
    <s v="Bandjoun-IUT"/>
    <s v="OST_239"/>
    <s v="OUEST"/>
    <s v="CAMUSAT"/>
    <s v="Good Grid + GE"/>
    <s v="OUEST"/>
    <s v="Bandjoun"/>
    <s v="Huawei"/>
    <n v="4.291726235828246"/>
    <n v="2.40909103880057"/>
    <n v="3.372399288879758"/>
    <n v="0"/>
    <n v="0"/>
    <n v="0"/>
    <n v="0"/>
    <n v="0"/>
    <n v="0"/>
    <n v="0"/>
    <n v="0"/>
    <n v="0"/>
    <n v="0"/>
    <n v="0"/>
    <n v="0"/>
    <n v="0"/>
    <n v="0"/>
    <n v="0"/>
    <n v="0"/>
    <n v="0"/>
    <n v="0"/>
    <n v="0"/>
    <n v="0"/>
    <n v="0"/>
    <m/>
    <n v="0"/>
    <m/>
    <n v="0"/>
    <m/>
    <n v="0"/>
    <m/>
    <m/>
    <n v="0"/>
    <n v="0"/>
    <n v="0"/>
    <n v="0"/>
    <m/>
    <n v="0"/>
    <n v="1.987088793768409"/>
    <n v="3.420264797984435"/>
    <n v="3.031687832563962"/>
    <n v="3.012968955549278"/>
    <x v="0"/>
    <m/>
    <x v="2"/>
    <x v="1"/>
    <s v="no root cause"/>
    <x v="1"/>
    <s v="{05-25-2026 ocm ran 17H}: Power status check Ongoing"/>
  </r>
  <r>
    <s v="Yansoki-MTN"/>
    <s v="LIT_698"/>
    <s v="Douala"/>
    <s v="MTN sharing"/>
    <s v="MTN"/>
    <s v="LITTORAL"/>
    <s v="Douala"/>
    <s v="ZTE"/>
    <n v="0"/>
    <n v="3.787992283831717"/>
    <n v="0"/>
    <n v="1.191062200192334"/>
    <n v="0.06434896256916406"/>
    <n v="0.4797457716596324"/>
    <n v="0"/>
    <n v="0"/>
    <n v="0.6809967953931291"/>
    <n v="7.534232649322409"/>
    <n v="0.9640751584468356"/>
    <n v="0"/>
    <n v="0"/>
    <n v="0"/>
    <n v="0"/>
    <n v="0.004173408326270781"/>
    <n v="0.4797636067379496"/>
    <n v="0"/>
    <n v="0.6726499787405872"/>
    <n v="2.600711120242672"/>
    <n v="0.0796336246871728"/>
    <n v="0.4766067978757708"/>
    <n v="16.72561160050566"/>
    <n v="9.277540214534591"/>
    <m/>
    <n v="0"/>
    <m/>
    <n v="0"/>
    <m/>
    <n v="0"/>
    <m/>
    <m/>
    <n v="0"/>
    <n v="0.4842223763172986"/>
    <n v="3.060321088481963"/>
    <n v="0"/>
    <m/>
    <n v="20.75311115106169"/>
    <n v="2.275847391580639"/>
    <n v="1.939318828605527"/>
    <n v="3.878316884344895"/>
    <n v="2.998540377190503"/>
    <x v="0"/>
    <m/>
    <x v="6"/>
    <x v="0"/>
    <s v="Sharing"/>
    <x v="0"/>
    <s v="{05-25-2026 ticket}: INC-20260525-00025522    ; {05-25-2026 top offenders}: Power MTN"/>
  </r>
  <r>
    <s v="Lada"/>
    <s v="CTR_667"/>
    <s v="Yaounde"/>
    <s v="CAMUSAT"/>
    <s v="Bad Grid + Solar + GE"/>
    <s v="CENTRE"/>
    <s v="Lada"/>
    <s v="ZTE"/>
    <n v="0"/>
    <n v="0"/>
    <n v="0"/>
    <n v="0"/>
    <n v="8.624829853352852"/>
    <n v="8.550921288805561"/>
    <n v="0"/>
    <n v="4.926441002987733"/>
    <n v="33.85928979291334"/>
    <n v="36.98281839895216"/>
    <n v="36.98260437801235"/>
    <n v="49.47730735975209"/>
    <n v="36.98281839895216"/>
    <n v="36.98272922356058"/>
    <n v="36.98281839895216"/>
    <n v="36.98281839895216"/>
    <n v="36.98281839895216"/>
    <n v="36.98281839895216"/>
    <n v="36.98281839895216"/>
    <n v="36.98281839895216"/>
    <n v="0"/>
    <n v="36.98258654293404"/>
    <n v="36.98281839895216"/>
    <n v="36.98281839895216"/>
    <m/>
    <n v="36.98281839895216"/>
    <m/>
    <n v="0"/>
    <m/>
    <n v="0"/>
    <m/>
    <m/>
    <n v="0"/>
    <n v="0"/>
    <n v="0"/>
    <n v="0"/>
    <m/>
    <n v="0.06466999397887788"/>
    <n v="3.120641144003613"/>
    <n v="2.223437749693143"/>
    <n v="3.405565788292872"/>
    <n v="2.968024558189439"/>
    <x v="2"/>
    <s v="site vandalise"/>
    <x v="9"/>
    <x v="5"/>
    <s v="EXCLU"/>
    <x v="4"/>
    <s v="{05-25-2026 goupe whatsapp incident}:    impacted by    CTR_351_Z_Mimboman-Nodal(CTR-351)  ,Cause: Boucle ethernet  ,Action: Desactivation de la boucle      ;      {05-25-2026 ticket}: INC-20260525-00019118...power ...Grid Outage"/>
  </r>
  <r>
    <s v="Ntumbaw"/>
    <s v="NRO_245"/>
    <s v="NORD-OUEST"/>
    <s v="IHS"/>
    <s v="Gen Only"/>
    <s v="NORD-OUEST"/>
    <s v="Ntumbaw"/>
    <s v="NOKIA"/>
    <n v="6.679570953436401"/>
    <n v="7.187866522536689"/>
    <n v="5.230967645557405"/>
    <n v="3.556830994942974"/>
    <n v="5.326958228495301"/>
    <n v="5.389104177434897"/>
    <n v="4.928014002790658"/>
    <n v="1.857049698980435"/>
    <n v="3.537453768160657"/>
    <n v="4.29239691378915"/>
    <n v="6.363752503180878"/>
    <n v="0"/>
    <n v="0.2901401704875673"/>
    <n v="1.298126175331661"/>
    <n v="0.006063926627914473"/>
    <n v="0.001961858614913571"/>
    <n v="0"/>
    <n v="0.06452731335233837"/>
    <n v="0.06067493643578085"/>
    <n v="0"/>
    <n v="2.46250709836117"/>
    <n v="0.03272736871242148"/>
    <n v="0"/>
    <n v="0"/>
    <m/>
    <n v="0"/>
    <m/>
    <n v="0"/>
    <m/>
    <n v="1.242088359258403"/>
    <m/>
    <m/>
    <n v="0.01904786364297883"/>
    <n v="0"/>
    <n v="0"/>
    <n v="0.9224659207323509"/>
    <m/>
    <n v="0.001694332440152762"/>
    <n v="10.37370258463924"/>
    <n v="4.421959311280435"/>
    <n v="0"/>
    <n v="2.965866513713035"/>
    <x v="1"/>
    <m/>
    <x v="4"/>
    <x v="0"/>
    <s v="Defaut GE &amp; Power Cabinet"/>
    <x v="0"/>
    <s v="{05-25-2026 ticket}: INC-20260525-00012469...generator issue on site ...Grid Outage"/>
  </r>
  <r>
    <s v="Yagoua-Quinf-II"/>
    <s v="EXN_236"/>
    <s v="EXTREME-NORD"/>
    <s v="CAMUSAT"/>
    <s v="Bad Grid + GE"/>
    <s v="EXTREME-NORD"/>
    <s v="Yagoua"/>
    <s v="Huawei"/>
    <n v="0.9759176504495866"/>
    <n v="0.04387429266079392"/>
    <n v="0.8800719395719011"/>
    <n v="0"/>
    <n v="3.382690129068894"/>
    <n v="0"/>
    <n v="4.722354201801771"/>
    <n v="5.544212445745691"/>
    <n v="10.53933633533371"/>
    <n v="1.714807110060982"/>
    <n v="8.655631033606996"/>
    <n v="9.245704599738039"/>
    <n v="0"/>
    <n v="1.18786972117352"/>
    <n v="0"/>
    <n v="0"/>
    <n v="0"/>
    <n v="2.276505066589048"/>
    <n v="0"/>
    <n v="0"/>
    <n v="9.245704599738039"/>
    <n v="0.453278515436617"/>
    <n v="0"/>
    <n v="1.386498988394358"/>
    <m/>
    <n v="0"/>
    <m/>
    <n v="0.107081810217645"/>
    <m/>
    <n v="1.870953220729783"/>
    <m/>
    <m/>
    <n v="0.5968865660482889"/>
    <n v="0"/>
    <n v="0"/>
    <n v="0.8344319741576849"/>
    <m/>
    <n v="1.126106844960377"/>
    <n v="3.88550172056161"/>
    <n v="6.591367714910357"/>
    <n v="0.3522633501653654"/>
    <n v="2.951348759962674"/>
    <x v="1"/>
    <m/>
    <x v="2"/>
    <x v="1"/>
    <s v="no root cause"/>
    <x v="1"/>
    <s v=""/>
  </r>
  <r>
    <s v="Ekounou-II"/>
    <s v="CTR_719"/>
    <s v="Yaounde"/>
    <s v="CAMUSAT"/>
    <s v="Good Grid no GE - 8h"/>
    <s v="CENTRE"/>
    <s v="Yaounde"/>
    <s v="ZTE"/>
    <n v="0"/>
    <n v="0"/>
    <n v="0"/>
    <n v="0"/>
    <n v="0"/>
    <n v="0"/>
    <n v="0"/>
    <n v="26.10531114364229"/>
    <n v="19.09733815023129"/>
    <n v="0"/>
    <n v="0"/>
    <n v="0.3229219280147694"/>
    <n v="12.80544355126372"/>
    <n v="0"/>
    <n v="0"/>
    <n v="0"/>
    <n v="0"/>
    <n v="0"/>
    <n v="0"/>
    <n v="0"/>
    <n v="0.7556009279947945"/>
    <n v="1.961359232720662"/>
    <n v="0"/>
    <n v="0"/>
    <m/>
    <n v="0"/>
    <m/>
    <n v="25.72956171365139"/>
    <m/>
    <n v="0"/>
    <m/>
    <m/>
    <n v="0"/>
    <n v="0"/>
    <n v="0"/>
    <n v="0"/>
    <m/>
    <n v="0.00133763087380456"/>
    <n v="2.570226290820874"/>
    <n v="2.181043041572739"/>
    <n v="3.517708654816391"/>
    <n v="2.933674197350135"/>
    <x v="0"/>
    <m/>
    <x v="2"/>
    <x v="1"/>
    <s v="no root cause"/>
    <x v="1"/>
    <s v=""/>
  </r>
  <r>
    <s v="Boussa-IHS"/>
    <s v="NRD_129"/>
    <s v="NORD"/>
    <s v="IHS"/>
    <s v="Solar-Gen"/>
    <s v="NORD"/>
    <s v="Boussa"/>
    <s v="NOKIA"/>
    <n v="0"/>
    <n v="0"/>
    <n v="0"/>
    <n v="0"/>
    <n v="0"/>
    <n v="1.188192218300262"/>
    <n v="0"/>
    <n v="0"/>
    <n v="0.390167430692462"/>
    <n v="0"/>
    <n v="0"/>
    <n v="21.82658667990743"/>
    <n v="0"/>
    <n v="0"/>
    <n v="0"/>
    <n v="0"/>
    <n v="0"/>
    <n v="4.353794653491017"/>
    <n v="0"/>
    <n v="0"/>
    <n v="0"/>
    <n v="0.004851141302331758"/>
    <n v="0"/>
    <n v="0"/>
    <m/>
    <n v="0"/>
    <m/>
    <n v="0"/>
    <m/>
    <n v="0"/>
    <m/>
    <m/>
    <n v="7.27856680164254"/>
    <n v="7.036098911917542"/>
    <n v="4.430709549168695"/>
    <n v="22.83060956273266"/>
    <m/>
    <n v="10.05799056340839"/>
    <n v="0"/>
    <n v="8.533156252342181"/>
    <n v="0"/>
    <n v="2.864678975476181"/>
    <x v="0"/>
    <m/>
    <x v="4"/>
    <x v="0"/>
    <s v="Defaut GE &amp; Power Cabinet"/>
    <x v="0"/>
    <s v="{05-25-2026  incident}:    impacted by  Boula-1bVIHS G NRD_105   ,Cause:   Souci Energie   Action:   En Attente RCA IHS      ;      {05-25-2026 ticket}: INC-20260525-00016392...Grid Outage"/>
  </r>
  <r>
    <s v="CRH-Etoug-Ebe"/>
    <s v="CTR_265"/>
    <s v="Yaounde"/>
    <s v="IHS"/>
    <s v="Grid-Gen"/>
    <s v="CENTRE"/>
    <s v="Yaounde"/>
    <s v="ZTE"/>
    <n v="0"/>
    <n v="0"/>
    <n v="0"/>
    <n v="0"/>
    <n v="0"/>
    <n v="0"/>
    <n v="0"/>
    <n v="0"/>
    <n v="0"/>
    <n v="0"/>
    <n v="0"/>
    <n v="0"/>
    <n v="0"/>
    <n v="0"/>
    <n v="0"/>
    <n v="0"/>
    <n v="3.899104821749095"/>
    <n v="0"/>
    <n v="0"/>
    <n v="0.0288393216392289"/>
    <n v="0.6958355805532014"/>
    <n v="0"/>
    <n v="0"/>
    <n v="0"/>
    <m/>
    <n v="0"/>
    <m/>
    <n v="0"/>
    <m/>
    <n v="0"/>
    <m/>
    <m/>
    <n v="6.525569795082085"/>
    <n v="0.7940711919254179"/>
    <n v="0"/>
    <n v="0"/>
    <m/>
    <n v="0"/>
    <n v="2.097871179693776"/>
    <n v="1.890230219202954"/>
    <n v="3.693635127947521"/>
    <n v="2.860336355309004"/>
    <x v="0"/>
    <m/>
    <x v="4"/>
    <x v="0"/>
    <s v="Defaut GE &amp; Power Cabinet"/>
    <x v="0"/>
    <s v="{hourly IHS}: 25/05/2026 21:47 1:12:12 Fme Martial is informed ETA 10:15 PM      ;      {05-25-2026 ocm ran 22H}: Power status check Ongoing"/>
  </r>
  <r>
    <s v="Brazzaville"/>
    <s v="LIT_081"/>
    <s v="Douala"/>
    <s v="IHS"/>
    <s v="Grid-Gen"/>
    <s v="LITTORAL"/>
    <s v="Douala"/>
    <s v="ZTE"/>
    <n v="0"/>
    <n v="17.90957543952767"/>
    <n v="22.48676993890416"/>
    <n v="0"/>
    <n v="0"/>
    <n v="0"/>
    <n v="0"/>
    <n v="0"/>
    <n v="0"/>
    <n v="0"/>
    <n v="0"/>
    <n v="0"/>
    <n v="0"/>
    <n v="0"/>
    <n v="0"/>
    <n v="0"/>
    <n v="0"/>
    <n v="0"/>
    <n v="0"/>
    <n v="0"/>
    <n v="0"/>
    <n v="0"/>
    <n v="0"/>
    <n v="0"/>
    <m/>
    <n v="14.87907460199239"/>
    <m/>
    <n v="0"/>
    <m/>
    <n v="0"/>
    <m/>
    <m/>
    <n v="0"/>
    <n v="0"/>
    <n v="0"/>
    <n v="0"/>
    <m/>
    <n v="0"/>
    <n v="1.208739493783197"/>
    <n v="1.074955543995294"/>
    <n v="4.443956063799743"/>
    <n v="2.85095510411405"/>
    <x v="0"/>
    <m/>
    <x v="4"/>
    <x v="0"/>
    <s v="Defaut GE &amp; Power Cabinet"/>
    <x v="0"/>
    <s v="{05-25-2026 ticket}: INC-20260525-00022571...Grid Outage"/>
  </r>
  <r>
    <s v="Mbanga-Bakoko-SIC"/>
    <s v="LIT_614"/>
    <s v="Douala"/>
    <s v="IHS"/>
    <s v="Grid + Gen"/>
    <s v="LITTORAL"/>
    <s v="Douala"/>
    <s v="ZTE"/>
    <n v="0.1045492290965744"/>
    <n v="2.251714307727869"/>
    <n v="0"/>
    <n v="0"/>
    <n v="0"/>
    <n v="0"/>
    <n v="0"/>
    <n v="0.5872556237568942"/>
    <n v="0"/>
    <n v="0"/>
    <n v="1.17945156420771"/>
    <n v="0"/>
    <n v="1.645268139701456"/>
    <n v="1.053054364172326"/>
    <n v="0"/>
    <n v="2.338624644368537"/>
    <n v="4.017369226071745"/>
    <n v="0"/>
    <n v="0"/>
    <n v="0"/>
    <n v="0"/>
    <n v="2.282676003686865"/>
    <n v="22.41582199735756"/>
    <n v="0.1418067077016147"/>
    <m/>
    <n v="0"/>
    <m/>
    <n v="0"/>
    <m/>
    <n v="0"/>
    <m/>
    <m/>
    <n v="3.598548081944338"/>
    <n v="12.05531799231237"/>
    <n v="0"/>
    <n v="2.208303727103325"/>
    <m/>
    <n v="4.458252362077773"/>
    <n v="0.5017055741400189"/>
    <n v="0.8446003379676373"/>
    <n v="4.773339396366997"/>
    <n v="2.844427465449887"/>
    <x v="0"/>
    <m/>
    <x v="2"/>
    <x v="1"/>
    <s v="no root cause"/>
    <x v="1"/>
    <s v=""/>
  </r>
  <r>
    <s v="Av-Germaine"/>
    <s v="CTR_090"/>
    <s v="Yaounde"/>
    <s v="IHS"/>
    <s v="Grid-Lithium"/>
    <s v="CENTRE"/>
    <s v="Yaounde"/>
    <s v="ZTE"/>
    <n v="0"/>
    <n v="0"/>
    <n v="0"/>
    <n v="0"/>
    <n v="0"/>
    <n v="0"/>
    <n v="1.133187371052384"/>
    <n v="1.800522496454386"/>
    <n v="36.07549445971127"/>
    <n v="0.05575245482017997"/>
    <n v="0.5260099648149575"/>
    <n v="0"/>
    <n v="0.3873065607405699"/>
    <n v="0"/>
    <n v="0"/>
    <n v="0"/>
    <n v="0"/>
    <n v="0"/>
    <n v="26.16782309314476"/>
    <n v="0.003460005193574891"/>
    <n v="22.33279970779008"/>
    <n v="0"/>
    <n v="0.7999210976135241"/>
    <n v="16.99388684855592"/>
    <m/>
    <n v="0"/>
    <m/>
    <n v="0"/>
    <m/>
    <n v="0"/>
    <m/>
    <m/>
    <n v="0"/>
    <n v="0"/>
    <n v="0"/>
    <n v="0"/>
    <m/>
    <n v="0"/>
    <n v="1.451161828711197"/>
    <n v="1.029054506631849"/>
    <n v="4.267379784488702"/>
    <n v="2.778080974109173"/>
    <x v="0"/>
    <m/>
    <x v="4"/>
    <x v="0"/>
    <s v="Defaut GE &amp; Power Cabinet"/>
    <x v="0"/>
    <s v="{05-25-2026 ticket}: INC-20260525-00022080...power issues responsabilité ihs ...Grid Outage"/>
  </r>
  <r>
    <s v="Nkolagaa-II"/>
    <s v="CTR_670"/>
    <s v="Yaounde"/>
    <s v="CAMUSAT"/>
    <s v="Good Grid + GE"/>
    <s v="CENTRE"/>
    <s v="Yaounde"/>
    <s v="ZTE"/>
    <n v="0"/>
    <n v="0"/>
    <n v="0"/>
    <n v="0.7547983494705127"/>
    <n v="0"/>
    <n v="0"/>
    <n v="0"/>
    <n v="3.067829656453589"/>
    <n v="4.024146555832356"/>
    <n v="0.3599475506016838"/>
    <n v="0"/>
    <n v="0"/>
    <n v="1.056942411245516"/>
    <n v="0"/>
    <n v="0"/>
    <n v="0"/>
    <n v="0"/>
    <n v="0"/>
    <n v="0"/>
    <n v="0.9399621325617161"/>
    <n v="0.2147343429414467"/>
    <n v="0"/>
    <n v="0"/>
    <n v="0.4347657041431598"/>
    <m/>
    <n v="0"/>
    <m/>
    <n v="0"/>
    <m/>
    <n v="0"/>
    <m/>
    <m/>
    <n v="0"/>
    <n v="0"/>
    <n v="0"/>
    <n v="0"/>
    <m/>
    <n v="0.06317184740021636"/>
    <n v="2.548119771870716"/>
    <n v="2.31545232922264"/>
    <n v="3.081620307441773"/>
    <n v="2.748225053005853"/>
    <x v="0"/>
    <m/>
    <x v="5"/>
    <x v="2"/>
    <s v="IP &amp; VLAN"/>
    <x v="2"/>
    <s v="{05-25-2026 goupe whatsapp incident}:    impacted by    CTR_351_Z_Mimboman-Nodal(CTR-351)  ,Cause: Boucle ethernet  ,Action: Desactivation de la boucle      ;      {05-25-2026 ticket}: INC-20260525-00019108...power ...Grid Outage"/>
  </r>
  <r>
    <s v="Ngalbidje-MTN-IHS"/>
    <s v="NRD_117"/>
    <s v="NORD"/>
    <s v="IHS"/>
    <s v="Grid-Gen"/>
    <s v="NORD"/>
    <s v="Garoua"/>
    <s v="Huawei"/>
    <n v="3.637713913929339"/>
    <n v="3.673277060094226"/>
    <n v="4.766103648914343"/>
    <n v="0.2457138739787634"/>
    <n v="0.843313843159748"/>
    <n v="2.409376400053648"/>
    <n v="3.141524200061067"/>
    <n v="1.614538299760582"/>
    <n v="0.4598774944140535"/>
    <n v="0.8218760790222381"/>
    <n v="0.9022766120770589"/>
    <n v="0.006331452802675454"/>
    <n v="2.576615929435869"/>
    <n v="10.57044071191925"/>
    <n v="5.776710526691265"/>
    <n v="2.665898331492753"/>
    <n v="5.57613723593383"/>
    <n v="0.3234569803642921"/>
    <n v="1.704480599715209"/>
    <n v="4.741580416227924"/>
    <n v="0.3817063461489072"/>
    <n v="0.4802986590874717"/>
    <n v="2.076145796771423"/>
    <n v="10.30651722297843"/>
    <m/>
    <n v="9.664721929726939"/>
    <m/>
    <n v="3.967216985843228"/>
    <m/>
    <n v="10.12037251057977"/>
    <m/>
    <m/>
    <n v="0.2282890024626676"/>
    <n v="4.488714675843885"/>
    <n v="0.113520273490225"/>
    <n v="3.559275239489431"/>
    <m/>
    <n v="4.697188906295927"/>
    <n v="2.269977298978055"/>
    <n v="2.909722009717419"/>
    <n v="2.754494196341605"/>
    <n v="2.737416995545511"/>
    <x v="0"/>
    <m/>
    <x v="2"/>
    <x v="1"/>
    <s v="no root cause"/>
    <x v="1"/>
    <s v=""/>
  </r>
  <r>
    <s v="LIT_851_Z_Yassa-La-Perle"/>
    <s v="LIT_851"/>
    <s v="Douala"/>
    <s v="CAMUSAT"/>
    <s v="Good-Grid + solar + SE"/>
    <s v="LITTORAL"/>
    <s v="Douala"/>
    <s v="ZTE"/>
    <n v="0.1305349382050202"/>
    <n v="0.2862708420725221"/>
    <n v="0"/>
    <n v="0.001872683223326521"/>
    <n v="0.5296126506350713"/>
    <n v="8.697739653514367"/>
    <n v="0"/>
    <n v="2.065569595329207"/>
    <n v="1.263329937534421"/>
    <n v="0.07335567711944936"/>
    <n v="0.06434896256916467"/>
    <n v="0.04018243144909298"/>
    <n v="0.2052460812765916"/>
    <n v="0.7867053045803335"/>
    <n v="0"/>
    <n v="0.2393110808628182"/>
    <n v="0"/>
    <n v="3.816260882964789"/>
    <n v="1.763336358162616"/>
    <n v="2.408591656607682"/>
    <n v="0"/>
    <n v="0.1201192524676615"/>
    <n v="0.1202976032508357"/>
    <n v="0"/>
    <m/>
    <n v="3.68469151021736"/>
    <m/>
    <n v="0.06046091549597199"/>
    <m/>
    <n v="0.1209575011485788"/>
    <m/>
    <m/>
    <n v="0.1283412235719807"/>
    <n v="11.5344266949745"/>
    <n v="0.1203689435641053"/>
    <n v="0.2420398478453793"/>
    <m/>
    <n v="0.3653159091752207"/>
    <n v="1.88567357688972"/>
    <n v="1.601542444859254"/>
    <n v="3.686076856065332"/>
    <n v="2.729177189362874"/>
    <x v="0"/>
    <m/>
    <x v="2"/>
    <x v="1"/>
    <s v="no root cause"/>
    <x v="1"/>
    <s v=""/>
  </r>
  <r>
    <s v="Ngd-Q-Haoussa"/>
    <s v="ADM_048"/>
    <s v="Ngaoundere"/>
    <s v="IHS"/>
    <s v="Grid-Gen"/>
    <s v="ADAMAOUA"/>
    <s v="Ngaoundere"/>
    <s v="Huawei"/>
    <n v="1.462030545068529"/>
    <n v="0.8221079350403643"/>
    <n v="0"/>
    <n v="0"/>
    <n v="0"/>
    <n v="0"/>
    <n v="0"/>
    <n v="0"/>
    <n v="0"/>
    <n v="0"/>
    <n v="0"/>
    <n v="13.86855689960706"/>
    <n v="0"/>
    <n v="0.5377454463478041"/>
    <n v="0"/>
    <n v="0"/>
    <n v="0"/>
    <n v="0"/>
    <n v="0"/>
    <n v="0"/>
    <n v="0.6694396646434536"/>
    <n v="0"/>
    <n v="0"/>
    <n v="0"/>
    <m/>
    <n v="0"/>
    <m/>
    <n v="0"/>
    <m/>
    <n v="0"/>
    <m/>
    <m/>
    <n v="0"/>
    <n v="0"/>
    <n v="0"/>
    <n v="4.278902814518039"/>
    <m/>
    <n v="0"/>
    <n v="4.596157612236171"/>
    <n v="5.866248202209371"/>
    <n v="0.04907746674633973"/>
    <n v="2.651291402350807"/>
    <x v="0"/>
    <m/>
    <x v="4"/>
    <x v="0"/>
    <s v="Defaut GE &amp; Power Cabinet"/>
    <x v="0"/>
    <s v="{hourly IHS}: 25/05/2026 20:35 2:24:04 FME Joseph is managing with level 0      ;      {05-25-2026 ocm ran 22H}: Power status check Ongoing"/>
  </r>
  <r>
    <s v="Nyalla-III"/>
    <s v="LIT_751"/>
    <s v="Douala"/>
    <s v="CAMUSAT"/>
    <s v="Good Grid no GE - 8h"/>
    <s v="LITTORAL"/>
    <s v="Douala"/>
    <s v="ZTE"/>
    <n v="12.11540437116368"/>
    <n v="16.30978674953557"/>
    <n v="19.51876321579303"/>
    <n v="0.0008025785242828159"/>
    <n v="4.068038683571466"/>
    <n v="0"/>
    <n v="0.7750946685957091"/>
    <n v="1.438630922316107"/>
    <n v="1.985525763840734"/>
    <n v="3.922165578013486"/>
    <n v="29.46954196665271"/>
    <n v="0"/>
    <n v="1.441395359455302"/>
    <n v="14.40910245325069"/>
    <n v="29.35939252296445"/>
    <n v="45.25795587173581"/>
    <n v="22.79840226234401"/>
    <n v="0"/>
    <n v="8.117475380457893"/>
    <n v="3.743458093273179"/>
    <n v="0.8898277274115165"/>
    <n v="10.07043429129106"/>
    <n v="15.83228819774394"/>
    <n v="1.936336617841355"/>
    <m/>
    <n v="1.808637457088803"/>
    <m/>
    <n v="7.331804510419966"/>
    <m/>
    <n v="0"/>
    <m/>
    <m/>
    <n v="5.958111108257498"/>
    <n v="46.99883786629685"/>
    <n v="32.63706971090052"/>
    <n v="25.43253631935348"/>
    <m/>
    <n v="8.73244671592002"/>
    <n v="0.8086989276964458"/>
    <n v="0.8351438742515587"/>
    <n v="4.311122000494675"/>
    <n v="2.644050360553944"/>
    <x v="0"/>
    <m/>
    <x v="2"/>
    <x v="1"/>
    <s v="no root cause"/>
    <x v="1"/>
    <s v=""/>
  </r>
  <r>
    <s v="Nkoa-Ayos-IHS"/>
    <s v="CTR_661"/>
    <s v="Yaounde"/>
    <s v="IHS"/>
    <s v="Grid-Gen"/>
    <s v="CENTRE"/>
    <s v="Yaounde"/>
    <s v="ZTE"/>
    <n v="0.03850593408725732"/>
    <n v="0"/>
    <n v="0"/>
    <n v="0.02586086356022412"/>
    <n v="0"/>
    <n v="0"/>
    <n v="0.02732333998225058"/>
    <n v="0"/>
    <n v="0"/>
    <n v="0.02782272217513735"/>
    <n v="0"/>
    <n v="0.007776094146384748"/>
    <n v="0"/>
    <n v="0"/>
    <n v="0"/>
    <n v="0"/>
    <n v="0"/>
    <n v="0"/>
    <n v="0"/>
    <n v="0"/>
    <n v="0"/>
    <n v="0"/>
    <n v="0.3675274588865782"/>
    <n v="0"/>
    <m/>
    <n v="0"/>
    <m/>
    <n v="0"/>
    <m/>
    <n v="0"/>
    <m/>
    <m/>
    <n v="0"/>
    <n v="0"/>
    <n v="0"/>
    <n v="0"/>
    <m/>
    <n v="0"/>
    <n v="1.401952967319321"/>
    <n v="1.187689341779123"/>
    <n v="3.901299502918794"/>
    <n v="2.633402818798458"/>
    <x v="0"/>
    <m/>
    <x v="2"/>
    <x v="1"/>
    <s v="no root cause"/>
    <x v="1"/>
    <s v="{05-25-2026 ticket}: INC-20260525-00021647...Auto TT closure RCA...Others"/>
  </r>
  <r>
    <s v="BAMENDA-MILE4-IHS"/>
    <s v="NRO_117"/>
    <s v="NORD-OUEST"/>
    <s v="IHS"/>
    <s v="Grid-Gen"/>
    <s v="NORD-OUEST"/>
    <s v="Bamenda"/>
    <s v="Huawei"/>
    <n v="0"/>
    <n v="0"/>
    <n v="0"/>
    <n v="0"/>
    <n v="3.332163352195713"/>
    <n v="0"/>
    <n v="1.123128386881372"/>
    <n v="0"/>
    <n v="0"/>
    <n v="0"/>
    <n v="0.00470846067579252"/>
    <n v="0"/>
    <n v="2.145149714781427"/>
    <n v="0"/>
    <n v="0"/>
    <n v="0"/>
    <n v="0"/>
    <n v="0.2598927612410932"/>
    <n v="0"/>
    <n v="0"/>
    <n v="0"/>
    <n v="0"/>
    <n v="1.878336943153185"/>
    <n v="2.604831023333989"/>
    <m/>
    <n v="0"/>
    <m/>
    <n v="0"/>
    <m/>
    <n v="0"/>
    <m/>
    <m/>
    <n v="0.6867396906113294"/>
    <n v="0"/>
    <n v="0"/>
    <n v="0"/>
    <m/>
    <n v="0"/>
    <n v="4.566182671286804"/>
    <n v="5.831131783578308"/>
    <n v="0"/>
    <n v="2.609628659401369"/>
    <x v="0"/>
    <m/>
    <x v="4"/>
    <x v="0"/>
    <s v="Defaut GE &amp; Power Cabinet"/>
    <x v="0"/>
    <s v="{hourly IHS}: 25/05/2026 20:41 2:18:07 FME Peter is managing with level 0      ;      {05-25-2026 ocm ran 22H}: Power status check Ongoing"/>
  </r>
  <r>
    <s v="Mimboman-Liberte-II"/>
    <s v="CTR_655"/>
    <s v="Yaounde"/>
    <s v="CAMUSAT"/>
    <s v="Good Grid no GE - 8h"/>
    <s v="CENTRE"/>
    <s v="Yaounde"/>
    <s v="ZTE"/>
    <n v="0"/>
    <n v="5.30911044336578"/>
    <n v="0"/>
    <n v="0"/>
    <n v="0"/>
    <n v="0.02664560700618907"/>
    <n v="0.4486592301524117"/>
    <n v="3.464570973624059"/>
    <n v="3.180600856654482"/>
    <n v="0"/>
    <n v="0.3674204484166727"/>
    <n v="0.5997936838140244"/>
    <n v="0"/>
    <n v="0"/>
    <n v="0"/>
    <n v="0"/>
    <n v="0"/>
    <n v="0"/>
    <n v="0"/>
    <n v="0"/>
    <n v="3.949899124797037"/>
    <n v="0"/>
    <n v="0.09946623177611678"/>
    <n v="0"/>
    <m/>
    <n v="0"/>
    <m/>
    <n v="0"/>
    <m/>
    <n v="0"/>
    <m/>
    <m/>
    <n v="0"/>
    <n v="0"/>
    <n v="0"/>
    <n v="0"/>
    <m/>
    <n v="2.512855524451178"/>
    <n v="2.052034499158704"/>
    <n v="1.869351622346665"/>
    <n v="3.231930736954079"/>
    <n v="2.606008138502937"/>
    <x v="0"/>
    <m/>
    <x v="3"/>
    <x v="0"/>
    <s v="AKTIVCO Coupure ENEO &amp; Baisse de tension"/>
    <x v="0"/>
    <s v="{05-25-2026 ticket}: INC-20260525-00018365...Grid Outage"/>
  </r>
  <r>
    <s v="Bodjongo-IHS"/>
    <s v="LIT_123"/>
    <s v="Douala"/>
    <s v="IHS"/>
    <s v="Grid-Gen"/>
    <s v="LITTORAL"/>
    <s v="Douala"/>
    <s v="ZTE"/>
    <n v="0"/>
    <n v="0.1038001558072447"/>
    <n v="0"/>
    <n v="0"/>
    <n v="0.03422551529108319"/>
    <n v="0.4269539398401405"/>
    <n v="0"/>
    <n v="0.05006306483693005"/>
    <n v="12.12476778728031"/>
    <n v="0"/>
    <n v="0.2282533323060329"/>
    <n v="9.244420474099186"/>
    <n v="0"/>
    <n v="0"/>
    <n v="0.04064614348534584"/>
    <n v="0.05425430824151829"/>
    <n v="0"/>
    <n v="0"/>
    <n v="0"/>
    <n v="0"/>
    <n v="9.244366968864234"/>
    <n v="0.9407112058510472"/>
    <n v="1.893817791132684"/>
    <n v="0"/>
    <m/>
    <n v="0"/>
    <m/>
    <n v="0"/>
    <m/>
    <n v="3.305803106442602"/>
    <m/>
    <m/>
    <n v="0.2500477980098895"/>
    <n v="2.692847134830339"/>
    <n v="0.05279183181949161"/>
    <n v="0"/>
    <m/>
    <n v="0.5330369856720107"/>
    <n v="1.7766397291864"/>
    <n v="1.474305194297391"/>
    <n v="3.532996200207063"/>
    <n v="2.59106234287296"/>
    <x v="0"/>
    <m/>
    <x v="4"/>
    <x v="0"/>
    <s v="Defaut GE &amp; Power Cabinet"/>
    <x v="0"/>
    <s v="{05-25-2026 ticket}: INC-20260525-00026715...Grid Outage"/>
  </r>
  <r>
    <s v="Obili-GP-MTN"/>
    <s v="CTR_747"/>
    <s v="Yaounde"/>
    <s v="MTN sharing"/>
    <s v="MTN"/>
    <s v="CENTRE"/>
    <s v="Yaounde"/>
    <s v="ZTE"/>
    <n v="0.3331592629689555"/>
    <n v="0"/>
    <n v="0"/>
    <n v="13.46400381813356"/>
    <n v="17.06388953095171"/>
    <n v="0.8118170948512268"/>
    <n v="0"/>
    <n v="2.2088922846878"/>
    <n v="7.682067613495304"/>
    <n v="23.98834085260235"/>
    <n v="1.253021262266967"/>
    <n v="3.327597572146457"/>
    <n v="0.01194950247265491"/>
    <n v="0"/>
    <n v="0"/>
    <n v="1.672948181250054"/>
    <n v="0"/>
    <n v="0"/>
    <n v="2.513765113445366"/>
    <n v="2.753201039856406"/>
    <n v="4.722675233211485"/>
    <n v="0"/>
    <n v="0.3374218466868138"/>
    <n v="0.5455928808074582"/>
    <m/>
    <n v="0"/>
    <m/>
    <n v="12.24169456072915"/>
    <m/>
    <n v="12.98584536844418"/>
    <m/>
    <m/>
    <n v="9.245704599738039"/>
    <n v="5.317867466819621"/>
    <n v="0.1200300770760742"/>
    <n v="0"/>
    <m/>
    <n v="0.4073710238476401"/>
    <n v="2.202034099492824"/>
    <n v="1.987132409192446"/>
    <n v="3.05966369862564"/>
    <n v="2.577133146707073"/>
    <x v="0"/>
    <m/>
    <x v="6"/>
    <x v="0"/>
    <s v="Sharing"/>
    <x v="0"/>
    <s v="{05-25-2026 ticket}: INC-20260525-00016319...Grid Outage"/>
  </r>
  <r>
    <s v="Mbankolo-Camtel-II"/>
    <s v="CTR_680"/>
    <s v="Yaounde"/>
    <s v="CAMUSAT"/>
    <s v="Medium Grid + GE"/>
    <s v="CENTRE"/>
    <s v="Yaounde"/>
    <s v="ZTE"/>
    <n v="11.46064297597544"/>
    <n v="16.72008272622727"/>
    <n v="0"/>
    <n v="0"/>
    <n v="0"/>
    <n v="0"/>
    <n v="0.6607718165812014"/>
    <n v="1.514929387357926"/>
    <n v="0"/>
    <n v="0"/>
    <n v="0.08093558540434281"/>
    <n v="0.9723506347861082"/>
    <n v="3.526726221560185"/>
    <n v="1.859199904118619"/>
    <n v="0"/>
    <n v="9.730943575519429"/>
    <n v="0.3443061869173269"/>
    <n v="6.413672513718742"/>
    <n v="0.7544059777475297"/>
    <n v="0.6013096654710037"/>
    <n v="0"/>
    <n v="0"/>
    <n v="0.4971706431757287"/>
    <n v="0"/>
    <m/>
    <n v="0"/>
    <m/>
    <n v="0"/>
    <m/>
    <n v="1.069783667634042"/>
    <m/>
    <m/>
    <n v="0.02204415680030137"/>
    <n v="3.45203291356693"/>
    <n v="0"/>
    <n v="0"/>
    <m/>
    <n v="0"/>
    <n v="2.278844885675575"/>
    <n v="1.844966696247335"/>
    <n v="3.128782555973621"/>
    <n v="2.576419743574378"/>
    <x v="0"/>
    <m/>
    <x v="2"/>
    <x v="1"/>
    <s v="no root cause"/>
    <x v="1"/>
    <s v=""/>
  </r>
  <r>
    <s v="Nkolda-II"/>
    <s v="CTR_776"/>
    <s v="Yaounde"/>
    <s v="CAMUSAT"/>
    <s v="Good Grid no GE - 8h"/>
    <s v="CENTRE"/>
    <s v="Yaounde"/>
    <s v="ZTE"/>
    <n v="0.3599297155233661"/>
    <n v="0"/>
    <n v="0"/>
    <n v="0"/>
    <n v="1.899310995254442"/>
    <n v="0.5372817343115527"/>
    <n v="8.39745043988437"/>
    <n v="17.82821181224371"/>
    <n v="7.088962084050303"/>
    <n v="7.279672576498218"/>
    <n v="18.09095818601558"/>
    <n v="0"/>
    <n v="7.006599692380568"/>
    <n v="0"/>
    <n v="1.53811498917054"/>
    <n v="17.80461600362979"/>
    <n v="22.85424389255578"/>
    <n v="7.110435518344447"/>
    <n v="11.52374348306238"/>
    <n v="9.670215133848696"/>
    <n v="0"/>
    <n v="23.57524476861483"/>
    <n v="13.86855689960706"/>
    <n v="29.96906684016631"/>
    <m/>
    <n v="7.042876241678152"/>
    <m/>
    <n v="22.43126717518042"/>
    <m/>
    <n v="5.035199310567212"/>
    <m/>
    <m/>
    <n v="24.77691884040602"/>
    <n v="2.937722760128185"/>
    <n v="8.366863280570037"/>
    <n v="0.7623247525204531"/>
    <m/>
    <n v="23.45161200571864"/>
    <n v="3.471472848698488"/>
    <n v="1.503471478455414"/>
    <n v="2.916535337417673"/>
    <n v="2.521398526965212"/>
    <x v="0"/>
    <m/>
    <x v="5"/>
    <x v="2"/>
    <s v="IP &amp; VLAN"/>
    <x v="2"/>
    <s v="{05-25-2026 goupe whatsapp incident}:    impacted by    CTR_007_Z_Messamendongo(CTR-007)  ,Cause: Boucle etherneet  ,Action: Desactivation de la bouclee      ;      {05-25-2026 ticket}: INC-20260525-00022013...Grid Outage"/>
  </r>
  <r>
    <s v="Awae-Nkomo"/>
    <s v="CTR_374"/>
    <s v="Yaounde"/>
    <s v="IHS"/>
    <s v="Grid-Gen"/>
    <s v="CENTRE"/>
    <s v="Yaounde"/>
    <s v="ZTE"/>
    <n v="0"/>
    <n v="0"/>
    <n v="0"/>
    <n v="0"/>
    <n v="2.927717281192125"/>
    <n v="1.505762157102784"/>
    <n v="0"/>
    <n v="0"/>
    <n v="0"/>
    <n v="0"/>
    <n v="0"/>
    <n v="0"/>
    <n v="0"/>
    <n v="0"/>
    <n v="0"/>
    <n v="0"/>
    <n v="0"/>
    <n v="0"/>
    <n v="0"/>
    <n v="0.0007312382110132324"/>
    <n v="0.2504401697328733"/>
    <n v="0"/>
    <n v="0"/>
    <n v="0"/>
    <m/>
    <n v="0"/>
    <m/>
    <n v="0"/>
    <m/>
    <n v="0"/>
    <m/>
    <m/>
    <n v="0"/>
    <n v="0"/>
    <n v="0"/>
    <n v="0"/>
    <m/>
    <n v="0.06575793375623874"/>
    <n v="2.16793760416292"/>
    <n v="2.065865438558911"/>
    <n v="2.822792245883376"/>
    <n v="2.475170003966522"/>
    <x v="0"/>
    <m/>
    <x v="5"/>
    <x v="2"/>
    <s v="IP &amp; VLAN"/>
    <x v="2"/>
    <s v="{05-25-2026 goupe whatsapp incident}:    impacted by    CTR_351_Z_Mimboman-Nodal(CTR-351)  ,Cause: Boucle ethernet  ,Action: Desactivation de la boucle      ;      {05-25-2026 ticket}: INC-20260525-00019083...power ...Grid Outage"/>
  </r>
  <r>
    <s v="Rain-forest-School"/>
    <s v="CTR_766"/>
    <s v="Yaounde"/>
    <s v="CAMUSAT"/>
    <s v="Good Grid no GE - 8h"/>
    <s v="CENTRE"/>
    <s v="Yaounde"/>
    <s v="ZTE"/>
    <n v="0"/>
    <n v="0"/>
    <n v="0"/>
    <n v="0"/>
    <n v="16.80915110734434"/>
    <n v="0"/>
    <n v="0"/>
    <n v="0"/>
    <n v="0"/>
    <n v="0"/>
    <n v="0"/>
    <n v="0"/>
    <n v="0"/>
    <n v="0"/>
    <n v="0"/>
    <n v="0"/>
    <n v="0"/>
    <n v="0"/>
    <n v="0"/>
    <n v="0"/>
    <n v="4.800150813422252"/>
    <n v="0"/>
    <n v="0"/>
    <n v="0"/>
    <m/>
    <n v="0"/>
    <m/>
    <n v="0"/>
    <m/>
    <n v="0"/>
    <m/>
    <m/>
    <n v="0"/>
    <n v="0"/>
    <n v="0"/>
    <n v="0"/>
    <m/>
    <n v="0"/>
    <n v="3.283130303066637"/>
    <n v="1.816384800296487"/>
    <n v="2.652987630973566"/>
    <n v="2.462114726638188"/>
    <x v="0"/>
    <m/>
    <x v="5"/>
    <x v="2"/>
    <s v="IP &amp; VLAN"/>
    <x v="2"/>
    <s v="{05-25-2026 goupe whatsapp incident}:    impacted by    CTR_007_Z_Messamendongo(CTR-007)  ,Cause: Boucle etherneet  ,Action: Desactivation de la bouclee      ;      {05-25-2026 ticket}: INC-20260525-00025481...Others"/>
  </r>
  <r>
    <s v="Clge-Advantiste"/>
    <s v="CTR_331"/>
    <s v="Yaounde"/>
    <s v="IHS"/>
    <s v="Grid-Gen"/>
    <s v="CENTRE"/>
    <s v="Yaounde"/>
    <s v="ZTE"/>
    <n v="0"/>
    <n v="0"/>
    <n v="0"/>
    <n v="0"/>
    <n v="0.01166414121957687"/>
    <n v="0"/>
    <n v="0"/>
    <n v="0"/>
    <n v="0"/>
    <n v="0"/>
    <n v="0"/>
    <n v="0"/>
    <n v="0"/>
    <n v="0"/>
    <n v="0"/>
    <n v="0"/>
    <n v="0"/>
    <n v="0"/>
    <n v="0"/>
    <n v="0"/>
    <n v="0"/>
    <n v="0"/>
    <n v="0"/>
    <n v="0"/>
    <m/>
    <n v="0"/>
    <m/>
    <n v="0"/>
    <m/>
    <n v="0"/>
    <m/>
    <m/>
    <n v="0"/>
    <n v="0"/>
    <n v="0"/>
    <n v="0"/>
    <m/>
    <n v="0"/>
    <n v="0.1568688576350171"/>
    <n v="0.0634326835786486"/>
    <n v="4.618172520667941"/>
    <n v="2.452020072310542"/>
    <x v="0"/>
    <m/>
    <x v="5"/>
    <x v="2"/>
    <s v="IP &amp; VLAN"/>
    <x v="2"/>
    <s v="{05-25-2026 goupe whatsapp incident}:    impacted by    CTR_007_Z_Messamendongo(CTR-007)  ,Cause: Boucle etherneet  ,Action: Desactivation de la bouclee      ;      {05-25-2026 ticket}: INC-20260525-00022997...Auto TT closure RCA...Others"/>
  </r>
  <r>
    <s v="Domayo-II"/>
    <s v="EXN_247"/>
    <s v="Maroua"/>
    <s v="CAMUSAT"/>
    <s v="Medium Grid + GE"/>
    <s v="EXTREME-NORD"/>
    <s v="Maroua"/>
    <s v="Huawei"/>
    <n v="0"/>
    <n v="0"/>
    <n v="0"/>
    <n v="0"/>
    <n v="0"/>
    <n v="0"/>
    <n v="0.004904646537283876"/>
    <n v="0"/>
    <n v="0"/>
    <n v="0"/>
    <n v="1.407811906983646"/>
    <n v="0"/>
    <n v="0"/>
    <n v="0"/>
    <n v="0"/>
    <n v="0"/>
    <n v="0"/>
    <n v="0.9487726612505101"/>
    <n v="0.2815267112400944"/>
    <n v="0"/>
    <n v="0"/>
    <n v="0"/>
    <n v="0"/>
    <n v="0"/>
    <m/>
    <n v="0"/>
    <m/>
    <n v="0"/>
    <m/>
    <n v="0"/>
    <m/>
    <m/>
    <n v="0"/>
    <n v="0"/>
    <n v="2.673496074855964"/>
    <n v="4.180310501579475"/>
    <m/>
    <n v="7.353688151515411"/>
    <n v="3.416518790291316"/>
    <n v="4.397468132779801"/>
    <n v="0.9285388307756962"/>
    <n v="2.448381716333793"/>
    <x v="0"/>
    <m/>
    <x v="10"/>
    <x v="6"/>
    <s v="Projet OCM (HUAWEI)"/>
    <x v="5"/>
    <s v="{05-25-2026 BOTX}: No supervision"/>
  </r>
  <r>
    <s v="Ndokoti-Brasseries"/>
    <s v="LIT_406"/>
    <s v="Douala"/>
    <s v="IHS"/>
    <s v="GridOnly"/>
    <s v="LITTORAL"/>
    <s v="Douala"/>
    <s v="ZTE"/>
    <n v="0"/>
    <n v="0"/>
    <n v="0"/>
    <n v="0"/>
    <n v="0"/>
    <n v="0"/>
    <n v="0"/>
    <n v="0"/>
    <n v="0"/>
    <n v="0"/>
    <n v="8.404334780114887"/>
    <n v="0"/>
    <n v="0"/>
    <n v="0"/>
    <n v="0"/>
    <n v="0"/>
    <n v="0"/>
    <n v="0"/>
    <n v="0"/>
    <n v="0"/>
    <n v="0"/>
    <n v="0"/>
    <n v="0"/>
    <n v="0"/>
    <m/>
    <n v="0.1013389149994437"/>
    <m/>
    <n v="0"/>
    <m/>
    <n v="0"/>
    <m/>
    <m/>
    <n v="0"/>
    <n v="0"/>
    <n v="15.67623126246672"/>
    <n v="0"/>
    <m/>
    <n v="0"/>
    <n v="1.032386924531092"/>
    <n v="0.983100343067754"/>
    <n v="3.778315133288242"/>
    <n v="2.447810993827635"/>
    <x v="0"/>
    <m/>
    <x v="1"/>
    <x v="0"/>
    <s v="Coupure ENEO &amp; Baisse de tension"/>
    <x v="0"/>
    <s v="{05-25-2026 ticket}: INC-20260525-00021516...Grid Outage"/>
  </r>
  <r>
    <s v="Ekounou-Lycee-MTN"/>
    <s v="CTR_726"/>
    <s v="Yaounde"/>
    <s v="MTN"/>
    <m/>
    <s v="CENTRE"/>
    <s v="Yaounde"/>
    <s v="ZTE"/>
    <n v="0"/>
    <n v="0"/>
    <n v="1.087814931812928"/>
    <n v="8.540969315104457"/>
    <n v="27.12834907100644"/>
    <n v="0.9366626430729984"/>
    <n v="0"/>
    <n v="4.062313623431583"/>
    <n v="15.7006118145266"/>
    <n v="0"/>
    <n v="0.5669414695533814"/>
    <n v="0"/>
    <n v="1.973076879175192"/>
    <n v="8.77093481492896"/>
    <n v="4.665763498300672"/>
    <n v="6.715994926276919"/>
    <n v="3.456937560104213"/>
    <n v="13.86855689960706"/>
    <n v="13.86855689960706"/>
    <n v="17.81301632551729"/>
    <n v="13.86855689960706"/>
    <n v="1.561122240199982"/>
    <n v="0.3592519825473054"/>
    <n v="0.002372065416213627"/>
    <m/>
    <n v="0.6525320103985641"/>
    <m/>
    <n v="1.970223266644409"/>
    <m/>
    <n v="0.3318751373301027"/>
    <m/>
    <m/>
    <n v="0.4526364526171904"/>
    <n v="0.9276737636010306"/>
    <n v="0"/>
    <n v="0"/>
    <m/>
    <n v="3.83111750320318"/>
    <n v="1.25457617431827"/>
    <n v="1.371080986430294"/>
    <n v="3.448281994541081"/>
    <n v="2.437680669343355"/>
    <x v="0"/>
    <m/>
    <x v="6"/>
    <x v="0"/>
    <s v="Sharing"/>
    <x v="0"/>
    <s v="(05/25/2026 cell zte): 25/05/2026 : Power issue || Mail sent to MTN"/>
  </r>
  <r>
    <s v="Matsari"/>
    <s v="CTR_301"/>
    <s v="CENTRE"/>
    <s v="IHS"/>
    <s v="Hybrid-Gen"/>
    <s v="CENTRE"/>
    <s v="Matsari"/>
    <s v="NOKIA"/>
    <n v="0.003031963313957322"/>
    <n v="1.303119997260532"/>
    <n v="2.336204585645315"/>
    <n v="0.04548467333989214"/>
    <n v="1.550871989290416"/>
    <n v="0.04795340122170949"/>
    <n v="0.062355530930299"/>
    <n v="0.1906640383356968"/>
    <n v="0.5101541928947879"/>
    <n v="0"/>
    <n v="2.953191380966594"/>
    <n v="0"/>
    <n v="0.001872683223326521"/>
    <n v="2.894633210913356"/>
    <n v="3.490649977416361"/>
    <n v="0.003745366446653041"/>
    <n v="3.68425613224191"/>
    <n v="0"/>
    <n v="0"/>
    <n v="0.000356701566348031"/>
    <n v="0.05713275485686965"/>
    <n v="0.001070104699043579"/>
    <n v="0.001872683223326521"/>
    <n v="0"/>
    <m/>
    <n v="0"/>
    <m/>
    <n v="0"/>
    <m/>
    <n v="0"/>
    <m/>
    <m/>
    <n v="0.005618049669979562"/>
    <n v="8.228322574306336"/>
    <n v="9.245205217545152"/>
    <n v="9.245240887701787"/>
    <m/>
    <n v="6.82996107672508"/>
    <n v="0.2420476481661331"/>
    <n v="6.894983951637307"/>
    <n v="0.1641615612421128"/>
    <n v="2.434898397125842"/>
    <x v="0"/>
    <m/>
    <x v="12"/>
    <x v="2"/>
    <s v="fiber AOF"/>
    <x v="2"/>
    <s v="(05/25/2026 cell nokia): 24/05/2026 :Intervetion e cour ||Apres remplacement de la FO et SFP la l'alarm persiste_x000a_23/05/2026 : Commande de la sfp effectuer _x000a_22/05/2026: FME en route pour le site.||ETA: 12h|| FME sur site || Intervention en cours ||Le fme apres avoir remplacer la F.O , les cellules restent toujours down || Feedback fme : Faulty optical SFP o tower. Need to replaaced this SFP || Suite de l'intervention prevu pour demain._x000a_21/05/2026 : Commande de la FO en cours || Expedition en cours || ETD 21052026 a OBALA_x000a_20/05/2026 : Commande de la fibre en cours || ETD : Ce soir _x000a_19/05/2026: Activation du level0 en cour||Cde de la FO en cour_x000a_18/05/2026 : Check breaker and  interconnection (sfp, optical fiber) between system and radio module, swap its if needed ||Feedback RM. Intervention en cours      ;      {05-25-2026 ticket}: INC-20260525-00017960...Grid Outage"/>
  </r>
  <r>
    <s v="Pitoa"/>
    <s v="NRD_013"/>
    <s v="NORD"/>
    <s v="IHS"/>
    <s v="Grid-Gen"/>
    <s v="NORD"/>
    <s v="Garoua"/>
    <s v="Huawei"/>
    <n v="0"/>
    <n v="0"/>
    <n v="5.652845907776951"/>
    <n v="0"/>
    <n v="0"/>
    <n v="0"/>
    <n v="0"/>
    <n v="0"/>
    <n v="0"/>
    <n v="0"/>
    <n v="0"/>
    <n v="0"/>
    <n v="0"/>
    <n v="0"/>
    <n v="0"/>
    <n v="0"/>
    <n v="3.313436519962447"/>
    <n v="0"/>
    <n v="0"/>
    <n v="0.7902723202438127"/>
    <n v="0"/>
    <n v="0"/>
    <n v="0"/>
    <n v="0"/>
    <m/>
    <n v="0"/>
    <m/>
    <n v="0"/>
    <m/>
    <n v="0"/>
    <m/>
    <m/>
    <n v="0.02452323268641937"/>
    <n v="0"/>
    <n v="0"/>
    <n v="0"/>
    <m/>
    <n v="0.3791559299495196"/>
    <n v="3.058068454771811"/>
    <n v="5.182142116411831"/>
    <n v="0.414507942136333"/>
    <n v="2.392557921200344"/>
    <x v="0"/>
    <m/>
    <x v="4"/>
    <x v="0"/>
    <s v="Defaut GE &amp; Power Cabinet"/>
    <x v="0"/>
    <s v="{05-25-2026   groupe whatsapp   incident}:    impacted by  NRD_013_H_Pitoa,Cause: Probleme energie    Action: RCA attendu de IHS      ;      {05-25-2026 ocm ran 17H}: Power status check Ongoing"/>
  </r>
  <r>
    <s v="Ngd-Baladji-II-IHS"/>
    <s v="ADM_158"/>
    <s v="Ngaoundere"/>
    <s v="IHS"/>
    <s v="Grid-Gen"/>
    <s v="ADAMAOUA"/>
    <s v="Ngaoundere"/>
    <s v="Huawei"/>
    <n v="0"/>
    <n v="2.270494645196086"/>
    <n v="29.62789962703284"/>
    <n v="0"/>
    <n v="0"/>
    <n v="0"/>
    <n v="0"/>
    <n v="0"/>
    <n v="0"/>
    <n v="0"/>
    <n v="0.5940329535175054"/>
    <n v="0"/>
    <n v="0"/>
    <n v="0.9346472792231325"/>
    <n v="4.874398244457571"/>
    <n v="0.1712880921602703"/>
    <n v="1.460782089586312"/>
    <n v="0.1252914251797062"/>
    <n v="0"/>
    <n v="4.073621063084811"/>
    <n v="0"/>
    <n v="1.604800346999284"/>
    <n v="0.4534033609848389"/>
    <n v="0"/>
    <m/>
    <n v="2.595110905651008"/>
    <m/>
    <n v="0"/>
    <m/>
    <n v="0"/>
    <m/>
    <m/>
    <n v="0.4254557932614793"/>
    <n v="0"/>
    <n v="0"/>
    <n v="8.748587461797261"/>
    <m/>
    <n v="10.20917336552208"/>
    <n v="1.751660611728595"/>
    <n v="2.240066250497261"/>
    <n v="2.662666323021798"/>
    <n v="2.390703073055334"/>
    <x v="0"/>
    <m/>
    <x v="1"/>
    <x v="0"/>
    <s v="Coupure ENEO &amp; Baisse de tension"/>
    <x v="0"/>
    <s v="{05-25-2026 BOTX}: Impacted by power issue at  ngd-stade-ADM_057"/>
  </r>
  <r>
    <s v="Mobil-Kondengui"/>
    <s v="CTR_125"/>
    <s v="Yaounde"/>
    <s v="IHS"/>
    <s v="GridOnly"/>
    <s v="CENTRE"/>
    <s v="Yaounde"/>
    <s v="ZTE"/>
    <n v="5.874179229695833"/>
    <n v="2.742410817474382"/>
    <n v="0"/>
    <n v="0"/>
    <n v="0"/>
    <n v="0"/>
    <n v="0"/>
    <n v="0"/>
    <n v="0"/>
    <n v="0.04665656487830774"/>
    <n v="2.70625911372502"/>
    <n v="0"/>
    <n v="0"/>
    <n v="0"/>
    <n v="8.910280281822773"/>
    <n v="2.893152899413012"/>
    <n v="0"/>
    <n v="0"/>
    <n v="0"/>
    <n v="0"/>
    <n v="0"/>
    <n v="0"/>
    <n v="1.02260988548453"/>
    <n v="0"/>
    <m/>
    <n v="0"/>
    <m/>
    <n v="0"/>
    <m/>
    <n v="0"/>
    <m/>
    <m/>
    <n v="23.70023299746315"/>
    <n v="0.9819102367642321"/>
    <n v="0"/>
    <n v="0"/>
    <m/>
    <n v="0.0019618586149134"/>
    <n v="1.074226946272916"/>
    <n v="1.064702187269434"/>
    <n v="3.59134195509853"/>
    <n v="2.383676052198281"/>
    <x v="0"/>
    <m/>
    <x v="1"/>
    <x v="0"/>
    <s v="Coupure ENEO &amp; Baisse de tension"/>
    <x v="0"/>
    <s v="{05-25-2026 ticket}: INC-20260525-00022099...Grid Outage"/>
  </r>
  <r>
    <s v="Vivoki-IHS"/>
    <s v="NRO_039"/>
    <s v="NORD-OUEST"/>
    <s v="IHS"/>
    <s v="Grid-Gen"/>
    <s v="NORD-OUEST"/>
    <s v="Vikovi"/>
    <s v="NOKIA"/>
    <n v="0.7555362904324775"/>
    <n v="1.226834145612708"/>
    <n v="0.4628140019132755"/>
    <n v="0.004191243404587952"/>
    <n v="2.068237609386763"/>
    <n v="0.00115928009063063"/>
    <n v="0.4467845345468305"/>
    <n v="0"/>
    <n v="2.405163894293034"/>
    <n v="1.807526355453403"/>
    <n v="2.572261848496609"/>
    <n v="3.859689298667648"/>
    <n v="3.878463293433963"/>
    <n v="1.236184948335345"/>
    <n v="0.005796400453153663"/>
    <n v="0.06568659344296922"/>
    <n v="0.002586086356022412"/>
    <n v="0.07512134987287153"/>
    <n v="0.006063926627914645"/>
    <n v="0"/>
    <n v="0"/>
    <n v="0.002675261747609291"/>
    <n v="0"/>
    <n v="0"/>
    <m/>
    <n v="0.001248455482217681"/>
    <m/>
    <n v="0"/>
    <m/>
    <n v="0"/>
    <m/>
    <m/>
    <n v="0"/>
    <n v="0"/>
    <n v="0"/>
    <n v="0.2837382609514516"/>
    <m/>
    <n v="1.132402627606418"/>
    <n v="8.301185209165137"/>
    <n v="3.542720690487605"/>
    <n v="0"/>
    <n v="2.374740677961265"/>
    <x v="1"/>
    <m/>
    <x v="2"/>
    <x v="1"/>
    <s v="no root cause"/>
    <x v="1"/>
    <s v="{05-25-2026 ticket}: INC-20260525-00028165"/>
  </r>
  <r>
    <s v="PK10-Bassang"/>
    <s v="LIT_452"/>
    <s v="Douala"/>
    <s v="IHS"/>
    <s v="Grid-Gen"/>
    <s v="LITTORAL"/>
    <s v="Douala"/>
    <s v="ZTE"/>
    <n v="0"/>
    <n v="0"/>
    <n v="0"/>
    <n v="0"/>
    <n v="0"/>
    <n v="0"/>
    <n v="0"/>
    <n v="0"/>
    <n v="0"/>
    <n v="0"/>
    <n v="0"/>
    <n v="0"/>
    <n v="0"/>
    <n v="0"/>
    <n v="0"/>
    <n v="0"/>
    <n v="0"/>
    <n v="0"/>
    <n v="0"/>
    <n v="0"/>
    <m/>
    <n v="0"/>
    <n v="0"/>
    <n v="0"/>
    <m/>
    <n v="0"/>
    <m/>
    <n v="0"/>
    <m/>
    <n v="0"/>
    <m/>
    <m/>
    <n v="0"/>
    <n v="1.948393130783916"/>
    <n v="2.936278118784476"/>
    <n v="3.490003795304666"/>
    <m/>
    <n v="3.097007844580847"/>
    <n v="4.899653889348505"/>
    <n v="1.928587336073795"/>
    <n v="1.968331319618182"/>
    <n v="2.373581397870634"/>
    <x v="0"/>
    <m/>
    <x v="5"/>
    <x v="2"/>
    <s v="MPR ISSUE"/>
    <x v="2"/>
    <s v="(05/25/2026 cell zte): 25/05/2026 : Check and replace SFP, Optical fiber between BBU and RRU 51"/>
  </r>
  <r>
    <s v="Lomie"/>
    <s v="EST_010"/>
    <s v="CENTRE"/>
    <s v="IHS"/>
    <s v="Grid-Gen"/>
    <s v="EST"/>
    <s v="Lomie"/>
    <s v="NOKIA"/>
    <n v="0.6979044496380195"/>
    <n v="0.9228939626119683"/>
    <n v="0.9610431951328787"/>
    <n v="0.7598813467909701"/>
    <n v="0.542382566710327"/>
    <n v="0.6097991627500836"/>
    <n v="0.7671580587444675"/>
    <n v="0.6989923894153803"/>
    <n v="0.8672841884183279"/>
    <n v="0.8849765861091851"/>
    <n v="0.8404602306289647"/>
    <n v="0.00185484814500928"/>
    <n v="0.771545488010547"/>
    <n v="0.596636874951845"/>
    <n v="2.99754161280473"/>
    <n v="18.49007156860227"/>
    <n v="14.62374762080056"/>
    <n v="1.312215887202404"/>
    <n v="1.632052346668264"/>
    <n v="0.9556926716376596"/>
    <n v="0.07906398797893743"/>
    <n v="1.048756110297832"/>
    <n v="2.058881440960184"/>
    <n v="2.012866938901303"/>
    <m/>
    <n v="1.715627523663582"/>
    <m/>
    <n v="2.034465218743668"/>
    <m/>
    <n v="1.893336244018115"/>
    <m/>
    <m/>
    <n v="2.095372011197576"/>
    <n v="1.933322489605716"/>
    <n v="1.597559305202421"/>
    <n v="1.557555224536502"/>
    <m/>
    <n v="2.125977005590228"/>
    <n v="1.546082475050857"/>
    <n v="6.378278524094645"/>
    <n v="0"/>
    <n v="2.362042102199279"/>
    <x v="0"/>
    <m/>
    <x v="14"/>
    <x v="2"/>
    <s v="SAT"/>
    <x v="2"/>
    <s v="Impacts :Coupure franche (25 sites VSAT Nokia)  ,Indisponibilité de plusieurs sites VSAT dans plusieurs regions @~Supervision Reseau Orange Cameroun  ; Cause: A Determiner_x000a_Action: Sans action      ;      {05-25-2026 ticket}: INC-20260525-00018466...Others Transmission equipement fault"/>
  </r>
  <r>
    <s v="Kotto-Baden-Baden"/>
    <s v="LIT_713"/>
    <s v="Douala"/>
    <s v="CAMUSAT"/>
    <s v="Good Grid no GE - 8h"/>
    <s v="LITTORAL"/>
    <s v="Douala"/>
    <s v="ZTE"/>
    <n v="0"/>
    <n v="0"/>
    <n v="0"/>
    <n v="0"/>
    <n v="0"/>
    <n v="0"/>
    <n v="0.9987108805392182"/>
    <n v="9.568519517282903"/>
    <n v="1.134560672082825"/>
    <n v="0"/>
    <n v="0"/>
    <n v="0"/>
    <n v="0"/>
    <n v="0"/>
    <n v="0"/>
    <n v="2.388937400301912"/>
    <n v="0.05623400193474901"/>
    <n v="11.68782620358242"/>
    <n v="32.36305156763205"/>
    <n v="59.9910146875437"/>
    <n v="0"/>
    <n v="0.5989732702114235"/>
    <n v="0"/>
    <n v="0"/>
    <m/>
    <n v="0"/>
    <m/>
    <n v="28.08207988402917"/>
    <m/>
    <n v="1.678619736154986"/>
    <m/>
    <m/>
    <n v="0"/>
    <n v="0"/>
    <n v="0"/>
    <n v="0"/>
    <m/>
    <n v="16.25489037847463"/>
    <n v="0.554036825214121"/>
    <n v="0.5570282138376326"/>
    <n v="3.998325825677931"/>
    <n v="2.351198374582302"/>
    <x v="0"/>
    <m/>
    <x v="2"/>
    <x v="1"/>
    <s v="no root cause"/>
    <x v="1"/>
    <s v=""/>
  </r>
  <r>
    <s v="EXN_153_H_Salak-MTN-HIS"/>
    <s v="EXN_153"/>
    <s v="EXTREME-NORD"/>
    <s v="IHS"/>
    <s v="Solar-Gen"/>
    <s v="EXN"/>
    <s v="Salak"/>
    <s v="Huawei"/>
    <n v="3.307105067159771"/>
    <n v="2.813751130743965"/>
    <n v="3.320624056524357"/>
    <n v="1.748658088707399"/>
    <n v="0"/>
    <n v="0"/>
    <n v="1.615430053676451"/>
    <n v="1.0602062305776"/>
    <n v="1.015315338452714"/>
    <n v="4.4136825013626"/>
    <n v="0.7478783390833627"/>
    <n v="0"/>
    <n v="0"/>
    <s v=""/>
    <n v="1.373443711066024"/>
    <n v="0"/>
    <n v="0.44202458101834"/>
    <n v="4.581189556919583"/>
    <n v="0"/>
    <n v="0"/>
    <n v="0"/>
    <n v="1.549957481173292"/>
    <n v="0.4077633955706226"/>
    <n v="0.918221172092811"/>
    <m/>
    <n v="1.884472210094369"/>
    <m/>
    <n v="3.069131617170758"/>
    <m/>
    <n v="0"/>
    <m/>
    <m/>
    <n v="0"/>
    <n v="0"/>
    <n v="0"/>
    <n v="0"/>
    <m/>
    <n v="4.950393513167995"/>
    <n v="1.488130922548749"/>
    <n v="2.537307343145956"/>
    <n v="2.439167197455715"/>
    <n v="2.336306084187277"/>
    <x v="1"/>
    <m/>
    <x v="4"/>
    <x v="0"/>
    <s v="Defaut GE &amp; Power Cabinet"/>
    <x v="0"/>
    <s v="{05-25-2026 groupe whatsapp incident}:    impacted by EXN_066_H_Maroua-Stade   ,Cause:   Souci Energie   Action:   En Attente RCA IHS"/>
  </r>
  <r>
    <s v="Tradex-Nkomo"/>
    <s v="CTR_276"/>
    <s v="Yaounde"/>
    <s v="IHS"/>
    <s v="Grid-Gen"/>
    <s v="CENTRE"/>
    <s v="Yaounde"/>
    <s v="ZTE"/>
    <n v="0.03791737650278356"/>
    <n v="0.001444641343709069"/>
    <n v="0.03766768540633993"/>
    <n v="0.0009095889941871911"/>
    <n v="0.001979693693230946"/>
    <n v="0.0002675261747609387"/>
    <n v="0.0008560837592350035"/>
    <n v="0.001444641343709069"/>
    <n v="0.002247219867991884"/>
    <n v="0.000374536644665314"/>
    <n v="0.03748933462316606"/>
    <n v="0"/>
    <n v="0"/>
    <n v="0"/>
    <n v="0.001551651813613444"/>
    <n v="0.001444641343709069"/>
    <n v="0"/>
    <n v="0.0008560837592350035"/>
    <n v="0"/>
    <n v="0"/>
    <n v="0"/>
    <n v="0.0008025785242828159"/>
    <n v="0.3087608758307577"/>
    <n v="0.0008025785242828159"/>
    <m/>
    <n v="0.000374536644665314"/>
    <m/>
    <n v="0.001337630873804693"/>
    <m/>
    <n v="0"/>
    <m/>
    <m/>
    <n v="0.03854160424389245"/>
    <n v="0.001551651813613444"/>
    <n v="0.0007490732893306281"/>
    <n v="0.001444641343709069"/>
    <m/>
    <n v="10.54431232218427"/>
    <n v="2.71048403534645"/>
    <n v="2.239588114691392"/>
    <n v="2.286325943874256"/>
    <n v="2.331205251788501"/>
    <x v="0"/>
    <m/>
    <x v="5"/>
    <x v="2"/>
    <s v="IP &amp; VLAN"/>
    <x v="2"/>
    <s v="{05-25-2026 goupe whatsapp incident}:    impacted by    CTR_351_Z_Mimboman-Nodal(CTR-351)  ,Cause: Boucle ethernet  ,Action: Desactivation de la boucle      ;      {05-25-2026 ticket}: INC-20260525-00019080...Grid Outage"/>
  </r>
  <r>
    <s v="Tradex-Simbock-MTN"/>
    <s v="CTR_851"/>
    <s v="Yaounde"/>
    <s v="MTN"/>
    <m/>
    <s v="CENTRE"/>
    <s v="Yaounde"/>
    <s v="ZTE"/>
    <n v="11.88294196037474"/>
    <n v="17.66480682469973"/>
    <n v="18.60755122947896"/>
    <n v="1.232296901262152"/>
    <n v="3.179691267660295"/>
    <n v="0"/>
    <n v="0"/>
    <n v="1.040106097313894"/>
    <n v="0.7030409521934287"/>
    <n v="0.3417914408745744"/>
    <n v="0.6160592752394903"/>
    <n v="0"/>
    <n v="1.351114193012644"/>
    <n v="1.083605853330023"/>
    <n v="0"/>
    <n v="1.051056835400776"/>
    <n v="0.5806031395445078"/>
    <n v="0"/>
    <n v="0"/>
    <n v="0"/>
    <n v="0.04997388944534315"/>
    <n v="0.3373505063735435"/>
    <n v="0"/>
    <n v="0"/>
    <m/>
    <n v="0"/>
    <m/>
    <n v="0"/>
    <m/>
    <n v="0"/>
    <m/>
    <m/>
    <n v="0"/>
    <n v="0"/>
    <n v="0"/>
    <n v="0"/>
    <m/>
    <n v="0.6274380552059884"/>
    <n v="1.167648845565108"/>
    <n v="1.320611095810766"/>
    <n v="3.281658009880337"/>
    <n v="2.321431628870569"/>
    <x v="0"/>
    <m/>
    <x v="6"/>
    <x v="0"/>
    <s v="Sharing"/>
    <x v="0"/>
    <s v="{05-25-2026 ticket}: INC-20260525-00017463...Grid Outage"/>
  </r>
  <r>
    <s v="Ngaoundere-Cifan-MTN-IHS"/>
    <s v="ADM_120"/>
    <s v="Ngaoundere"/>
    <s v="IHS"/>
    <s v="Grid-Gen"/>
    <s v="ADAMAOUA"/>
    <s v="Ngaoundere"/>
    <s v="Huawei"/>
    <n v="1.488658316996402"/>
    <n v="0.8509115865229588"/>
    <n v="0"/>
    <n v="0"/>
    <n v="0"/>
    <n v="0"/>
    <n v="0"/>
    <n v="0"/>
    <n v="0"/>
    <n v="0"/>
    <n v="0"/>
    <n v="0.1864657438083742"/>
    <n v="0"/>
    <n v="0"/>
    <n v="0"/>
    <n v="0"/>
    <n v="0"/>
    <n v="0"/>
    <n v="0"/>
    <n v="0"/>
    <n v="0"/>
    <n v="0"/>
    <n v="0"/>
    <n v="0"/>
    <m/>
    <n v="0"/>
    <m/>
    <n v="0"/>
    <m/>
    <n v="0"/>
    <m/>
    <m/>
    <n v="0"/>
    <n v="0"/>
    <n v="0"/>
    <n v="2.717727069083106"/>
    <m/>
    <n v="0"/>
    <n v="4.042870160545784"/>
    <n v="5.163069810377714"/>
    <n v="0"/>
    <n v="2.310623571410227"/>
    <x v="0"/>
    <m/>
    <x v="2"/>
    <x v="1"/>
    <s v="no root cause"/>
    <x v="1"/>
    <s v="{05-25-2026 ocm ran 22H}: Power status check Ongoing"/>
  </r>
  <r>
    <s v="Minkan-Nord-IHS"/>
    <s v="CTR_646"/>
    <s v="Yaounde"/>
    <s v="CAMUSAT"/>
    <s v="Good Grid + GE"/>
    <s v="CENTRE"/>
    <s v="Yaounde"/>
    <s v="ZTE"/>
    <n v="0"/>
    <n v="0"/>
    <n v="0"/>
    <n v="0"/>
    <n v="0"/>
    <n v="0"/>
    <n v="0"/>
    <n v="0"/>
    <n v="0"/>
    <n v="0"/>
    <n v="0"/>
    <n v="0"/>
    <n v="0"/>
    <n v="0"/>
    <n v="0"/>
    <n v="0"/>
    <n v="1.451418673469679"/>
    <n v="0"/>
    <n v="0"/>
    <n v="0"/>
    <n v="0"/>
    <n v="0"/>
    <n v="0"/>
    <n v="0"/>
    <m/>
    <n v="0"/>
    <m/>
    <n v="0.7444004988114707"/>
    <m/>
    <n v="1.610668087765707"/>
    <m/>
    <m/>
    <n v="0.463248324216042"/>
    <n v="2.599391324447184"/>
    <n v="0"/>
    <n v="1.589230323628196"/>
    <m/>
    <n v="0.4240646571527216"/>
    <n v="2.330301867638654"/>
    <n v="0.8150621704050522"/>
    <n v="3.267909479126311"/>
    <n v="2.310570066175275"/>
    <x v="0"/>
    <m/>
    <x v="5"/>
    <x v="2"/>
    <s v="IP &amp; VLAN"/>
    <x v="2"/>
    <s v="{05-25-2026 goupe whatsapp incident}:    impacted by    CTR_007_Z_Messamendongo(CTR-007)  ,Cause: Boucle etherneet  ,Action: Desactivation de la bouclee      ;      {05-25-2026 ticket}: INC-20260525-00022186...Grid Outage"/>
  </r>
  <r>
    <s v="Maroua-Camp-SIC"/>
    <s v="EXN_071"/>
    <s v="Maroua"/>
    <s v="IHS"/>
    <s v="Grid-Gen"/>
    <s v="EXTREME-NORD"/>
    <s v="Maroua"/>
    <s v="Huawei"/>
    <n v="1.262045811895569"/>
    <n v="1.043387751724295"/>
    <n v="2.478505163611874"/>
    <n v="0.3512618674611124"/>
    <n v="0"/>
    <n v="0"/>
    <n v="0.004654955440840332"/>
    <n v="0.2401493295437359"/>
    <n v="0.5766972573929967"/>
    <n v="3.532629632483242"/>
    <n v="1.14060676363242"/>
    <n v="0"/>
    <n v="0.2713963867558135"/>
    <n v="0.2914073446279317"/>
    <n v="0.04895728998125176"/>
    <n v="0"/>
    <n v="0.3340153467281906"/>
    <n v="3.987049592932172"/>
    <n v="0"/>
    <n v="0.3752500477980099"/>
    <n v="0.00972011768298077"/>
    <n v="1.209039959136269"/>
    <n v="0.2673834941343994"/>
    <n v="0.5647834250769761"/>
    <m/>
    <n v="1.127283960129326"/>
    <m/>
    <n v="1.848570197441451"/>
    <m/>
    <n v="0"/>
    <m/>
    <m/>
    <n v="0.70207785796429"/>
    <n v="0.1003936558486215"/>
    <n v="0"/>
    <n v="0"/>
    <m/>
    <n v="5.147150097165507"/>
    <n v="1.640503539041362"/>
    <n v="2.087859685628895"/>
    <n v="2.585373587936972"/>
    <n v="2.283425076976199"/>
    <x v="0"/>
    <m/>
    <x v="4"/>
    <x v="0"/>
    <s v="Defaut GE &amp; Power Cabinet"/>
    <x v="0"/>
    <s v="{05-25-2026 groupe whatsapp incident}:    impacted by EXN_066_H_Maroua-Stade   ,Cause:   Souci Energie   Action:   En Attente RCA IHS"/>
  </r>
  <r>
    <s v="CTR_946_Z_Nkolfoulou-foret-Bar"/>
    <s v="CTR_946"/>
    <s v="Yaounde"/>
    <s v="ESCO"/>
    <s v="GE"/>
    <s v="CENTRE"/>
    <s v="Yaounde"/>
    <s v="ZTE"/>
    <n v="0.1323362811150778"/>
    <n v="2.347952390328537"/>
    <n v="0.1370982470258226"/>
    <n v="0"/>
    <n v="0"/>
    <n v="0"/>
    <n v="0"/>
    <n v="0"/>
    <n v="0"/>
    <n v="0"/>
    <n v="0.9565844255535298"/>
    <n v="0"/>
    <n v="2.651844289778645"/>
    <n v="0"/>
    <n v="0"/>
    <n v="0"/>
    <n v="0.2289132302037762"/>
    <n v="0"/>
    <n v="0"/>
    <n v="0"/>
    <n v="0"/>
    <n v="0.07462196767998472"/>
    <n v="0"/>
    <n v="0"/>
    <m/>
    <n v="0"/>
    <m/>
    <n v="0"/>
    <m/>
    <n v="0"/>
    <m/>
    <m/>
    <n v="0"/>
    <n v="0"/>
    <n v="0"/>
    <n v="0.02402385049353229"/>
    <m/>
    <n v="0"/>
    <n v="1.583551151237566"/>
    <n v="1.348024215347268"/>
    <n v="3.051900224791898"/>
    <n v="2.270209283943008"/>
    <x v="0"/>
    <m/>
    <x v="2"/>
    <x v="1"/>
    <s v="no root cause"/>
    <x v="1"/>
    <s v=""/>
  </r>
  <r>
    <s v="Nlobisson"/>
    <s v="CTR_631"/>
    <s v="Yaounde"/>
    <s v="CAMUSAT"/>
    <s v="Bad Grid + Solar + GE"/>
    <s v="CENTRE"/>
    <s v="Yaounde"/>
    <s v="ZTE"/>
    <n v="0"/>
    <n v="0"/>
    <n v="0"/>
    <n v="0"/>
    <n v="7.536123167624053"/>
    <n v="7.547323596807379"/>
    <n v="0"/>
    <n v="4.309418633519104"/>
    <n v="0"/>
    <n v="0"/>
    <n v="6.273667148927184"/>
    <n v="0"/>
    <n v="0"/>
    <n v="5.566524128720753"/>
    <n v="0"/>
    <n v="0.4223168194776176"/>
    <n v="0"/>
    <n v="0.4212645498568913"/>
    <n v="1.397717252656"/>
    <n v="0.09579220564273382"/>
    <n v="0"/>
    <n v="5.930841273510201"/>
    <n v="0"/>
    <n v="0"/>
    <m/>
    <n v="0"/>
    <m/>
    <n v="0"/>
    <m/>
    <n v="0"/>
    <m/>
    <m/>
    <n v="0"/>
    <n v="0"/>
    <n v="0"/>
    <n v="0"/>
    <m/>
    <n v="0.05560977419363991"/>
    <n v="2.386130195156849"/>
    <n v="2.191933912706427"/>
    <n v="2.286565346151068"/>
    <n v="2.269014333695742"/>
    <x v="0"/>
    <m/>
    <x v="5"/>
    <x v="2"/>
    <s v="IP &amp; VLAN"/>
    <x v="2"/>
    <s v="{05-25-2026 goupe whatsapp incident}:    impacted by    CTR_351_Z_Mimboman-Nodal(CTR-351)  ,Cause: Boucle ethernet  ,Action: Desactivation de la boucle      ;      {05-25-2026 ticket}: INC-20260525-00019085...Grid Outage"/>
  </r>
  <r>
    <s v="Mimboman-Chapelle"/>
    <s v="CTR_772"/>
    <s v="Yaounde"/>
    <s v="CAMUSAT"/>
    <s v="Good Grid no GE - 8h"/>
    <s v="CENTRE"/>
    <s v="Yaounde"/>
    <s v="ZTE"/>
    <n v="0"/>
    <n v="0"/>
    <n v="0"/>
    <n v="0"/>
    <n v="1.819284998844287"/>
    <n v="0"/>
    <n v="0"/>
    <n v="2.395429368809445"/>
    <n v="2.77399674117449"/>
    <n v="0"/>
    <n v="1.538275504875398"/>
    <n v="21.3828320962923"/>
    <n v="3.964434713625714"/>
    <n v="0"/>
    <n v="0"/>
    <n v="9.759640216532119"/>
    <n v="15.22771471294085"/>
    <n v="0"/>
    <n v="0"/>
    <n v="4.689965699577379"/>
    <n v="0"/>
    <n v="2.944696275750287"/>
    <n v="0"/>
    <n v="4.017654587324825"/>
    <m/>
    <n v="0.478818347587128"/>
    <m/>
    <n v="0"/>
    <m/>
    <n v="0"/>
    <m/>
    <m/>
    <n v="12.50060639266279"/>
    <n v="4.213323231544973"/>
    <n v="0"/>
    <n v="1.024322053002999"/>
    <m/>
    <n v="0.08300445448916048"/>
    <n v="2.195539528953795"/>
    <n v="2.199424706998379"/>
    <n v="2.289985378676946"/>
    <n v="2.246096258057888"/>
    <x v="0"/>
    <m/>
    <x v="5"/>
    <x v="2"/>
    <s v="IP &amp; VLAN"/>
    <x v="2"/>
    <s v="{05-25-2026 goupe whatsapp incident}:    impacted by    CTR_351_Z_Mimboman-Nodal(CTR-351)  ,Cause: Boucle ethernet  ,Action: Desactivation de la boucle      ;      {05-25-2026 ticket}: INC-20260525-00019079...Auto TT closure RCA...Others"/>
  </r>
  <r>
    <s v="Bambili-University-IHS"/>
    <s v="NRO_061"/>
    <s v="NORD-OUEST"/>
    <s v="IHS"/>
    <s v="Grid-Gen"/>
    <s v="NORD-OUEST"/>
    <s v="Bamenda"/>
    <s v="Huawei"/>
    <n v="1.328624159254408"/>
    <n v="3.042610855712789"/>
    <n v="1.49627389543793"/>
    <n v="0.1513306395231042"/>
    <n v="14.41511287464366"/>
    <n v="0"/>
    <n v="0"/>
    <n v="0"/>
    <n v="4.896299720631332"/>
    <n v="0"/>
    <n v="4.517001110055273"/>
    <n v="0"/>
    <n v="0.00470846067579252"/>
    <n v="0"/>
    <n v="0"/>
    <n v="0"/>
    <n v="0"/>
    <n v="0.1221524513958446"/>
    <n v="0"/>
    <n v="0"/>
    <n v="0"/>
    <n v="0"/>
    <n v="0"/>
    <n v="0"/>
    <m/>
    <n v="0"/>
    <m/>
    <n v="4.870938239263996"/>
    <m/>
    <n v="0"/>
    <m/>
    <m/>
    <n v="0"/>
    <n v="0"/>
    <n v="0"/>
    <n v="0"/>
    <m/>
    <n v="0"/>
    <n v="3.435877606321116"/>
    <n v="4.389021066876111"/>
    <n v="0.4911166707159851"/>
    <n v="2.22019972434103"/>
    <x v="1"/>
    <m/>
    <x v="4"/>
    <x v="0"/>
    <s v="Defaut GE &amp; Power Cabinet"/>
    <x v="0"/>
    <s v="{hourly IHS}: 25/05/2026 18:11 2:15:45 FME Simeu is managing with level 0"/>
  </r>
  <r>
    <s v="Laising"/>
    <s v="NRO_044"/>
    <s v="NORD-OUEST"/>
    <s v="IHS"/>
    <s v="Gen Only"/>
    <s v="NORD-OUEST"/>
    <s v="Laising"/>
    <s v="NOKIA"/>
    <n v="0.3460481703895106"/>
    <n v="1.238846810419683"/>
    <n v="0.4707646556236545"/>
    <n v="0.001515981656978661"/>
    <n v="2.075389711283579"/>
    <n v="0"/>
    <n v="0.003210314097131252"/>
    <n v="0.001426806265391782"/>
    <n v="0.686336128174649"/>
    <n v="1.37240276644756"/>
    <n v="2.548814635044699"/>
    <n v="0"/>
    <n v="0.04054279967711164"/>
    <n v="1.298893083699309"/>
    <n v="0.005261348103631874"/>
    <n v="0"/>
    <n v="0.2655643161460252"/>
    <n v="0.0842350748930608"/>
    <n v="0.005618049669979562"/>
    <n v="0.02965973524182948"/>
    <n v="2.236037273886877"/>
    <n v="0.001337630873804731"/>
    <n v="0.450353562592564"/>
    <n v="0"/>
    <m/>
    <n v="0.00115928009063063"/>
    <m/>
    <n v="0.002051034006500622"/>
    <m/>
    <n v="0.4742347324595574"/>
    <m/>
    <m/>
    <n v="0.2222964161480227"/>
    <n v="0.08874734970736206"/>
    <n v="1.013032448428088"/>
    <n v="3.895680486712153"/>
    <m/>
    <n v="6.245059683306082"/>
    <n v="6.570257264926521"/>
    <n v="3.797726453617852"/>
    <n v="0"/>
    <n v="2.213172703483975"/>
    <x v="1"/>
    <m/>
    <x v="4"/>
    <x v="0"/>
    <s v="Defaut GE &amp; Power Cabinet"/>
    <x v="0"/>
    <s v="(05/25/2026 cell nokia): 21/05/2026 : En attente feedback IHS _x000a_18/05/2026: Relance faite a IHS ce jour _x000a_15/05/2026 : Need BO RAN analysis||Site Actualy down check power needed|| Mail sent to HIS  ||Feedback HIS : Le site est dans une zone rouge et notre FME ne peux s'y rendre facilement._x000a_Néanmoins il rentre en contact avec le niveau 0 afin d'avoir l'état de l'énergie dans le site._x000a_Nous vous reviendrons sous peu.      ;      (05/25/2026 cell nokia): 21/05/2026 : En attente feedback IHS _x000a_18/05/2026: Relance faite a IHS ce jour _x000a_15/05/2026 : Need BO RAN analysis||Site Actualy down check power needed|| Mail sent to HIS  ||Feedback HIS : Le site est dans une zone rouge et notre FME ne peux s'y rendre facilement._x000a_Néanmoins il rentre en contact avec le niveau 0 afin d'avoir l'état de l'énergie dans le site._x000a_Nous vous reviendrons sous peu.      ;      (05/25/2026 cell nokia): 25/05/2026 : Relance faite a IHS ce jour _x000a_21/05/2026 : En attente feedback IHS _x000a_18/05/2026: Relance faite a IHS ce jour _x000a_15/05/2026 : Need BO RAN analysis||Site Actualy down check power needed|| Mail sent to HIS  ||Feedback HIS : Le site est dans une zone rouge et notre FME ne peux s'y rendre facilement._x000a_Néanmoins il rentre en contact avec le niveau 0 afin d'avoir l'état de l'énergie dans le site._x000a_Nous vous reviendrons sous peu.      ;      {05-25-2026 ticket}: INC-20260525-00024849...Grid Outage"/>
  </r>
  <r>
    <s v="Foumbot-Ndoumbem"/>
    <s v="OST_228"/>
    <s v="OUEST"/>
    <s v="CAMUSAT"/>
    <s v="Hybrid Solar - S1"/>
    <s v="OUEST"/>
    <s v="Foumbot"/>
    <s v="Huawei"/>
    <n v="2.050498954151008"/>
    <n v="1.049951060545097"/>
    <n v="1.24053670744479"/>
    <n v="9.999415009431191"/>
    <n v="0"/>
    <n v="3.077710289841425"/>
    <n v="0"/>
    <n v="0"/>
    <n v="0"/>
    <n v="0"/>
    <n v="1.572964732202732"/>
    <n v="0"/>
    <n v="0"/>
    <n v="0"/>
    <n v="0"/>
    <n v="0"/>
    <n v="0"/>
    <n v="3.188787157602166"/>
    <n v="0"/>
    <n v="0"/>
    <n v="0"/>
    <n v="0"/>
    <n v="0"/>
    <n v="0"/>
    <m/>
    <n v="0"/>
    <m/>
    <n v="0"/>
    <m/>
    <n v="0"/>
    <m/>
    <m/>
    <n v="0"/>
    <n v="0"/>
    <n v="0"/>
    <n v="1.883384270317008"/>
    <m/>
    <n v="0"/>
    <n v="1.882800978382072"/>
    <n v="2.49114067477925"/>
    <n v="2.023633245561619"/>
    <n v="2.160470047056071"/>
    <x v="0"/>
    <m/>
    <x v="4"/>
    <x v="0"/>
    <s v="Defaut GE &amp; Power Cabinet"/>
    <x v="0"/>
    <s v="{05-25-2026 groupe whatsapp incident}:    impacted by OST_005_H_Foumbot ,Cause: Probleme energie    Action: RCA attendu de IHS"/>
  </r>
  <r>
    <s v="Garoua-Boulai-Entrance"/>
    <s v="EST_144"/>
    <s v="CENTRE"/>
    <s v="CAMUSAT"/>
    <s v="Hybrid Solar - S3"/>
    <s v="EST"/>
    <s v="Garoua-Boulai"/>
    <s v="ZTE"/>
    <n v="0"/>
    <n v="0"/>
    <n v="0"/>
    <n v="0.153881055722492"/>
    <n v="0"/>
    <n v="0"/>
    <n v="0"/>
    <n v="0"/>
    <n v="0"/>
    <n v="0"/>
    <n v="0"/>
    <n v="0"/>
    <n v="0"/>
    <n v="0"/>
    <n v="0"/>
    <n v="0"/>
    <n v="0"/>
    <n v="0"/>
    <n v="0"/>
    <n v="0"/>
    <n v="0"/>
    <n v="0.04141305185299304"/>
    <n v="0"/>
    <n v="0"/>
    <m/>
    <n v="0.04127037122645471"/>
    <m/>
    <n v="0"/>
    <m/>
    <n v="0"/>
    <m/>
    <m/>
    <n v="0"/>
    <n v="0.01318012287655552"/>
    <n v="0"/>
    <n v="0"/>
    <m/>
    <n v="0"/>
    <n v="1.359988049990208"/>
    <n v="2.310352213960036"/>
    <n v="2.243404535674497"/>
    <n v="2.13972785097294"/>
    <x v="0"/>
    <m/>
    <x v="2"/>
    <x v="1"/>
    <s v="no root cause"/>
    <x v="1"/>
    <s v="{05-25-2026  incident}:    impacted by   EST_055_Z_Gado-Badzere(EST-055)      ;      {05-25-2026 ticket}: INC-20260525-00021644...2026-05-25 19:36:45...Transmission issue impacted by Gado-Badzere(EST-055)/Main site up awaited...Auto TT closure RCA...Others...user:OCM_NOC.CAMUSAT"/>
  </r>
  <r>
    <s v="GAROUA-BOULAI-II-IHS"/>
    <s v="ADM_156"/>
    <s v="CENTRE"/>
    <s v="IHS"/>
    <s v="Grid-Gen-Lithium"/>
    <s v="ADAMAOUA"/>
    <s v="Garoua Boulai"/>
    <s v="ZTE"/>
    <n v="2.787640576087297"/>
    <n v="0"/>
    <n v="8.207025308689536"/>
    <n v="0"/>
    <n v="0"/>
    <n v="0"/>
    <n v="0"/>
    <n v="0"/>
    <n v="0"/>
    <n v="0"/>
    <n v="0"/>
    <n v="0"/>
    <n v="0"/>
    <n v="0"/>
    <n v="0"/>
    <n v="0"/>
    <n v="0"/>
    <n v="0"/>
    <n v="0"/>
    <n v="0"/>
    <n v="0"/>
    <n v="5.288207731577794"/>
    <n v="0"/>
    <n v="0"/>
    <m/>
    <n v="0"/>
    <m/>
    <n v="0.2589831722469061"/>
    <m/>
    <n v="0"/>
    <m/>
    <m/>
    <n v="0"/>
    <n v="0"/>
    <n v="0"/>
    <n v="0"/>
    <m/>
    <n v="0"/>
    <n v="1.363485126434301"/>
    <n v="2.311414737973077"/>
    <n v="2.240942112255865"/>
    <n v="2.139299809093322"/>
    <x v="0"/>
    <m/>
    <x v="2"/>
    <x v="1"/>
    <s v="no root cause"/>
    <x v="1"/>
    <s v=""/>
  </r>
  <r>
    <s v="Nkolso-MTN-IHS"/>
    <s v="CTR_471"/>
    <s v="Yaounde"/>
    <s v="IHS"/>
    <s v="Grid-Gen"/>
    <s v="CENTRE"/>
    <s v="Yaounde"/>
    <s v="ZTE"/>
    <n v="0"/>
    <n v="8.435474826857059"/>
    <n v="0"/>
    <n v="0"/>
    <n v="0"/>
    <n v="1.848748548224626"/>
    <n v="0"/>
    <n v="0"/>
    <n v="0"/>
    <n v="0"/>
    <n v="0"/>
    <n v="0"/>
    <n v="0.7955871735823963"/>
    <n v="0"/>
    <n v="0"/>
    <n v="0.1143406870928255"/>
    <n v="0"/>
    <n v="0"/>
    <n v="0"/>
    <n v="2.128170720223266"/>
    <n v="0"/>
    <n v="0"/>
    <n v="0.1739811889861974"/>
    <n v="0"/>
    <m/>
    <n v="0"/>
    <m/>
    <n v="0"/>
    <m/>
    <n v="0"/>
    <m/>
    <m/>
    <n v="0"/>
    <n v="8.566830178664681"/>
    <n v="5.572516715035399"/>
    <n v="8.312163095370583"/>
    <m/>
    <n v="0"/>
    <n v="1.696581657734134"/>
    <n v="1.444713900534152"/>
    <n v="2.654116241707105"/>
    <n v="2.111370076448279"/>
    <x v="0"/>
    <m/>
    <x v="4"/>
    <x v="0"/>
    <s v="Defaut GE &amp; Power Cabinet"/>
    <x v="0"/>
    <s v="{05-25-2026 ticket}: INC-20260525-00021025...Grid Outage"/>
  </r>
  <r>
    <s v="Pinyin-New"/>
    <s v="NRO_247"/>
    <s v="NORD-OUEST"/>
    <s v="IHS"/>
    <s v="Grid Gen"/>
    <s v="NORD-OUEST"/>
    <s v="Pinyin"/>
    <s v="NOKIA"/>
    <n v="0"/>
    <n v="0"/>
    <n v="0"/>
    <n v="0"/>
    <n v="0"/>
    <n v="0.005203238133269531"/>
    <n v="0"/>
    <n v="0"/>
    <n v="0"/>
    <n v="0"/>
    <n v="0.002051034006500622"/>
    <n v="0"/>
    <n v="0"/>
    <n v="5.17329632197881"/>
    <n v="0"/>
    <n v="0"/>
    <n v="0"/>
    <n v="0.1043708783134008"/>
    <n v="1.284785536750249"/>
    <n v="0"/>
    <n v="0"/>
    <n v="2.16690851032865"/>
    <n v="0"/>
    <n v="0.001605157048565883"/>
    <m/>
    <n v="0"/>
    <m/>
    <n v="0"/>
    <m/>
    <n v="3.357845864972762"/>
    <m/>
    <m/>
    <n v="0"/>
    <n v="0"/>
    <n v="0"/>
    <n v="0"/>
    <m/>
    <n v="0"/>
    <n v="7.216716824734522"/>
    <n v="3.137367779511817"/>
    <n v="0"/>
    <n v="2.083797045369586"/>
    <x v="1"/>
    <m/>
    <x v="5"/>
    <x v="2"/>
    <s v="MPR ISSUE"/>
    <x v="2"/>
    <s v="{05-25-2026 groupe whatsapp incident}:    impacted by  NRO_017_H_Bali cause: Plantage du MPR a BALI   ,Action: Reset du MPR      ;      {05-25-2026 ticket}: INC-20260525-00006659...Power instability on site due to Gen issue ...Grid Outage"/>
  </r>
  <r>
    <s v="Widikum"/>
    <s v="NRO_219"/>
    <s v="NORD-OUEST"/>
    <s v="IHS"/>
    <s v="Gen Only"/>
    <s v="NORD-OUEST"/>
    <s v="Widikum"/>
    <s v="NOKIA"/>
    <n v="2.174537875729455"/>
    <n v="0.001337630873804731"/>
    <n v="0"/>
    <n v="0"/>
    <n v="0.03829338059060161"/>
    <n v="5.349275798758875"/>
    <n v="0.0431168759645724"/>
    <n v="0"/>
    <n v="0"/>
    <n v="1.534226325148436"/>
    <n v="3.449540905108199"/>
    <n v="0"/>
    <n v="0"/>
    <n v="6.710002339962275"/>
    <n v="0.9838720953791453"/>
    <n v="0.3295744122271589"/>
    <n v="0.5847230426358249"/>
    <n v="0.1462119720460117"/>
    <n v="1.700967089286682"/>
    <n v="0.9580647370538733"/>
    <n v="0"/>
    <n v="2.172241198745552"/>
    <n v="0"/>
    <n v="0.8084641001275565"/>
    <m/>
    <n v="0.5145955146918241"/>
    <m/>
    <n v="0"/>
    <m/>
    <n v="3.813193249494197"/>
    <m/>
    <m/>
    <n v="0"/>
    <n v="0"/>
    <n v="1.494294201744699"/>
    <n v="2.223641894456287"/>
    <m/>
    <n v="0"/>
    <n v="7.215592764448921"/>
    <n v="3.137633410515078"/>
    <n v="0"/>
    <n v="2.083725705056316"/>
    <x v="1"/>
    <m/>
    <x v="5"/>
    <x v="2"/>
    <s v="MPR ISSUE"/>
    <x v="2"/>
    <s v="{05-25-2026 groupe whatsapp incident}:    impacted by  NRO_017_H_Bali cause: Plantage du MPR a BALI   ,Action: Reset du MPR"/>
  </r>
  <r>
    <s v="Batibo"/>
    <s v="NRO_010"/>
    <s v="NORD-OUEST"/>
    <s v="IHS"/>
    <s v="Grid-Gen"/>
    <s v="NORD-OUEST"/>
    <s v="Batibo"/>
    <s v="NOKIA"/>
    <n v="0"/>
    <n v="0.001070104699043579"/>
    <n v="0"/>
    <n v="0"/>
    <n v="0.05269374667359035"/>
    <n v="0.005040918290743803"/>
    <n v="0"/>
    <n v="0"/>
    <n v="0"/>
    <n v="0"/>
    <n v="0.001605157048565712"/>
    <n v="0"/>
    <n v="0"/>
    <n v="6.709146256203041"/>
    <n v="0"/>
    <n v="0"/>
    <n v="0"/>
    <n v="0.1458731055579814"/>
    <n v="1.296592358596365"/>
    <n v="0"/>
    <n v="1.315836408100836"/>
    <n v="2.173025942191518"/>
    <n v="0"/>
    <n v="0.001605157048565883"/>
    <m/>
    <n v="0"/>
    <m/>
    <n v="0"/>
    <m/>
    <n v="3.359361846629741"/>
    <m/>
    <m/>
    <n v="0"/>
    <n v="0"/>
    <n v="0.0356701566347918"/>
    <n v="0"/>
    <m/>
    <n v="0"/>
    <n v="7.213969121814164"/>
    <n v="3.127805063394432"/>
    <n v="0"/>
    <n v="2.080194359549472"/>
    <x v="1"/>
    <m/>
    <x v="5"/>
    <x v="2"/>
    <s v="MPR ISSUE"/>
    <x v="2"/>
    <s v="{05-25-2026 groupe whatsapp incident}:    impacted by  NRO_017_H_Bali cause: Plantage du MPR a BALI   ,Action: Reset du MPR      ;      (05/25/2026 cell nokia): 22/05/2026 : Feedback PM : Intevenion planned 25.05.2025 while waiting acces to be granted by local resident_x000a_19/05/2026:AZHA power connector founded faulty. Spare part reauest to SPM awaiting feedback PM_x000a_18/05/2026 : En attente du feedback du SPMS _x000a_16/05/2026 : AZHA power connector founded faulty. Spare part reauest to SPM awaiting feedback || Feedback SPMS : _x000a_15/05/2026 : Cde en cours_x000a_13/05/2026: Intervention en cours || ETR 14H||Fme sur le site||Radio AZHA  faulty a cause de la filtration d'eau dans le connecteur_x000a_12/05/2026 : Feedback PM : intevention planned on 13.05.2026_x000a_12/05/2026 : intevention planned on 12.05.2026 || Access issue || Negociation en cours _x000a_11/05/2026 : Ghost town     _x000a_08/05/2026 : FME a recharger le software hier || Nouvelle alarme apparue || Feedback RM : Plan for next week _x000a_07/05/2026 : Check breaker and  interconnection (sfp, optical fiber) between system and radio module, swap its if needed || Rajout d'un second depart || Access issue       ;      (05/25/2026 cell nokia): 25/05/2026 : Relance faite au SMPS HW _x000a_22/05/2026 : Feedback PM : Intevenion planned 25.05.2025 while waiting acces to be granted by local resident_x000a_19/05/2026:AZHA power connector founded faulty. Spare part reauest to SPM awaiting feedback PM_x000a_18/05/2026 : En attente du feedback du SPMS _x000a_16/05/2026 : AZHA power connector founded faulty. Spare part reauest to SPM awaiting feedback || Feedback SPMS : _x000a_15/05/2026 : Cde en cours_x000a_13/05/2026: Intervention en cours || ETR 14H||Fme sur le site||Radio AZHA  faulty a cause de la filtration d'eau dans le connecteur_x000a_12/05/2026 : Feedback PM : intevention planned on 13.05.2026_x000a_12/05/2026 : intevention planned on 12.05.2026 || Access issue || Negociation en cours _x000a_11/05/2026 : Ghost town     _x000a_08/05/2026 : FME a recharger le software hier || Nouvelle alarme apparue || Feedback RM : Plan for next week _x000a_07/05/2026 : Check breaker and  interconnection (sfp, optical fiber) between system and radio module, swap its if needed || Rajout d'un second depart || Access issue       ;      {05-25-2026 ticket}: INC-20260525-00008803...power ...Grid Outage"/>
  </r>
  <r>
    <s v="Maroua-Total-Domayo-MTN-IHS"/>
    <s v="EXN_158"/>
    <s v="Maroua"/>
    <s v="IHS"/>
    <s v="Grid-Gen"/>
    <s v="EXTREME-NORD"/>
    <s v="Maroua"/>
    <s v="Huawei"/>
    <n v="0"/>
    <n v="0"/>
    <n v="0"/>
    <n v="0"/>
    <n v="0"/>
    <n v="0.6446489057822752"/>
    <n v="1.331299421002017"/>
    <n v="3.898123892441637"/>
    <n v="5.406400795587174"/>
    <n v="5.236200643204264"/>
    <n v="4.614665998921335"/>
    <n v="1.231280301798061"/>
    <n v="0.719377883932164"/>
    <n v="0"/>
    <n v="0"/>
    <n v="1.415035113702191"/>
    <n v="0"/>
    <n v="0"/>
    <n v="0"/>
    <n v="0"/>
    <n v="0"/>
    <n v="0"/>
    <n v="0"/>
    <n v="0.7300789309226016"/>
    <m/>
    <n v="0"/>
    <m/>
    <n v="0"/>
    <m/>
    <n v="0.1647069482611512"/>
    <m/>
    <m/>
    <n v="0"/>
    <n v="0"/>
    <n v="2.924863668661342"/>
    <n v="1.690141196748023"/>
    <m/>
    <n v="0"/>
    <n v="3.489582708855397"/>
    <n v="4.453569400668455"/>
    <n v="0.1600575222110592"/>
    <n v="2.076894870060753"/>
    <x v="0"/>
    <m/>
    <x v="4"/>
    <x v="0"/>
    <s v="Defaut GE &amp; Power Cabinet"/>
    <x v="0"/>
    <s v="{hourly IHS}: 25/05/2026 11:10 1:50:00 32 FME is informed and managing"/>
  </r>
  <r>
    <s v="PK11-Mbengue-City"/>
    <s v="LIT_261"/>
    <s v="Douala"/>
    <s v="IHS"/>
    <s v="Grid-Gen"/>
    <s v="LITTORAL"/>
    <s v="Douala"/>
    <s v="ZTE"/>
    <n v="0"/>
    <n v="2.053441742073378"/>
    <n v="1.300516075826193"/>
    <n v="2.739450194473692"/>
    <n v="1.492457188678008"/>
    <n v="3.904954727437201"/>
    <n v="0.7440437972451215"/>
    <n v="1.303851235471547"/>
    <n v="2.615656915872647"/>
    <n v="2.084492613423964"/>
    <n v="1.304386287821069"/>
    <n v="0"/>
    <n v="1.302888141242407"/>
    <n v="1.304814329700687"/>
    <n v="0"/>
    <n v="6.022263884965172"/>
    <n v="1.447049079281919"/>
    <n v="0.9026511487217241"/>
    <n v="0"/>
    <n v="2.615674750950963"/>
    <n v="0"/>
    <n v="2.036551922906805"/>
    <n v="0"/>
    <n v="0"/>
    <m/>
    <n v="0.5783915898331473"/>
    <m/>
    <n v="2.616316813770389"/>
    <m/>
    <n v="0"/>
    <m/>
    <m/>
    <n v="0"/>
    <n v="0"/>
    <n v="1.305723918694873"/>
    <n v="0.7423137946483331"/>
    <m/>
    <n v="2.074130432921557"/>
    <n v="0.5952523690194997"/>
    <n v="0.6378331650295285"/>
    <n v="3.401153946334493"/>
    <n v="2.072792802047753"/>
    <x v="0"/>
    <m/>
    <x v="2"/>
    <x v="1"/>
    <s v="no root cause"/>
    <x v="1"/>
    <s v=""/>
  </r>
  <r>
    <s v="Ondoa-Otoa-IHS"/>
    <s v="CTR_622"/>
    <s v="Yaounde"/>
    <s v="IHS"/>
    <s v="Grid-Gen"/>
    <s v="CENTRE"/>
    <s v="Yaounde"/>
    <s v="ZTE"/>
    <n v="0"/>
    <n v="0"/>
    <n v="0.0523459548615572"/>
    <n v="0"/>
    <n v="0"/>
    <n v="0"/>
    <n v="0"/>
    <n v="7.703113005909832"/>
    <n v="26.15312698861123"/>
    <n v="0"/>
    <n v="0.3163229490373342"/>
    <n v="0"/>
    <n v="0.2315706568730685"/>
    <n v="0"/>
    <n v="0"/>
    <n v="0"/>
    <n v="1.813256742373006"/>
    <n v="0"/>
    <n v="0"/>
    <n v="0"/>
    <n v="0"/>
    <n v="0.3051046847756915"/>
    <n v="0"/>
    <n v="0.01869116207663149"/>
    <m/>
    <n v="0"/>
    <m/>
    <n v="0"/>
    <m/>
    <n v="0"/>
    <m/>
    <m/>
    <n v="0"/>
    <n v="0"/>
    <n v="0"/>
    <n v="0"/>
    <m/>
    <n v="1.740810654247745"/>
    <n v="1.685715741639989"/>
    <n v="1.566691657231454"/>
    <n v="2.435986567206649"/>
    <n v="2.037015634943056"/>
    <x v="0"/>
    <m/>
    <x v="4"/>
    <x v="0"/>
    <s v="Defaut GE &amp; Power Cabinet"/>
    <x v="0"/>
    <s v="{hourly IHS}: 25/05/2026 04:36 0:44:09 40.3V fme is on the way ETA 05:35 AM      ;      {05-25-2026 ticket}: INC-20260525-00003296...Grid Outage"/>
  </r>
  <r>
    <s v="Foumbot-Centre-Ville-II"/>
    <s v="OST_227"/>
    <s v="OUEST"/>
    <s v="CAMUSAT"/>
    <s v="Medium Grid + GE"/>
    <s v="OUEST"/>
    <s v="Foumbot"/>
    <s v="Huawei"/>
    <n v="2.046486061529594"/>
    <n v="1.046651571056379"/>
    <n v="0"/>
    <n v="2.737399160467194"/>
    <n v="0"/>
    <n v="37.82829028658831"/>
    <n v="41.60567069882118"/>
    <n v="41.60567069882118"/>
    <n v="41.55350309474279"/>
    <n v="41.60406554177261"/>
    <n v="41.52006232289767"/>
    <n v="0"/>
    <n v="0"/>
    <n v="0.8907551514840212"/>
    <n v="0"/>
    <n v="0"/>
    <n v="0"/>
    <n v="3.187859733529662"/>
    <n v="5.94885470261077"/>
    <n v="0"/>
    <n v="10.69061346962187"/>
    <n v="0"/>
    <n v="1.398323645318791"/>
    <n v="0"/>
    <m/>
    <n v="1.440182574129719"/>
    <m/>
    <n v="0"/>
    <m/>
    <n v="1.365542771371418"/>
    <m/>
    <m/>
    <n v="0"/>
    <n v="1.583130726843648"/>
    <n v="1.20957501148579"/>
    <n v="1.855829074316631"/>
    <m/>
    <n v="0"/>
    <n v="1.549954238256817"/>
    <n v="2.673151038213463"/>
    <n v="1.729852451588755"/>
    <n v="2.020839218909178"/>
    <x v="0"/>
    <m/>
    <x v="4"/>
    <x v="0"/>
    <s v="Defaut GE &amp; Power Cabinet"/>
    <x v="0"/>
    <s v="{05-25-2026 groupe whatsapp incident}:    impacted by OST_005_H_Foumbot ,Cause: Probleme energie    Action: RCA attendu de IHS"/>
  </r>
  <r>
    <s v="Montee-Kondengui-MTN-IHS"/>
    <s v="CTR_535"/>
    <s v="Yaounde"/>
    <s v="IHS"/>
    <s v="Grid-Gen"/>
    <s v="CENTRE"/>
    <s v="Yaounde"/>
    <s v="ZTE"/>
    <n v="0"/>
    <n v="0"/>
    <n v="0"/>
    <n v="0"/>
    <n v="0"/>
    <n v="0"/>
    <n v="0"/>
    <n v="0"/>
    <n v="0"/>
    <n v="0.02792973264504191"/>
    <n v="0"/>
    <n v="0"/>
    <n v="0"/>
    <n v="0"/>
    <n v="0"/>
    <n v="0"/>
    <n v="0"/>
    <n v="0"/>
    <n v="0"/>
    <n v="0"/>
    <n v="0"/>
    <n v="0"/>
    <n v="0.8625935628208528"/>
    <n v="0"/>
    <m/>
    <n v="0"/>
    <m/>
    <n v="0"/>
    <m/>
    <n v="0"/>
    <m/>
    <m/>
    <n v="20.0924641800287"/>
    <n v="0.8292598014456404"/>
    <n v="0"/>
    <n v="0"/>
    <m/>
    <n v="0.002675261747609462"/>
    <n v="1.074351841860205"/>
    <n v="0.9105830791775894"/>
    <n v="2.979908540122181"/>
    <n v="2.013098794919429"/>
    <x v="0"/>
    <m/>
    <x v="4"/>
    <x v="0"/>
    <s v="Defaut GE &amp; Power Cabinet"/>
    <x v="0"/>
    <s v="{05-25-2026 ticket}: INC-20260525-00021759...Grid Outage"/>
  </r>
  <r>
    <s v="Avenue-General-De-Gaulle"/>
    <s v="LIT_453"/>
    <s v="Douala"/>
    <s v="CAMUSAT"/>
    <s v="GridOnly"/>
    <s v="LITTORAL"/>
    <s v="Douala"/>
    <s v="ZTE"/>
    <n v="0.3009491115277387"/>
    <n v="0.3383314356810006"/>
    <n v="3.71461877163395"/>
    <n v="13.86855689960706"/>
    <n v="25.52795398835156"/>
    <n v="0.08412806442315601"/>
    <n v="0.3277017290038324"/>
    <n v="0.5066410697622655"/>
    <n v="0.2682217428153168"/>
    <n v="0"/>
    <n v="0.07733289958422823"/>
    <n v="1.182715383539792"/>
    <n v="0"/>
    <n v="0"/>
    <n v="0.2817228971015863"/>
    <n v="0.08259424768786032"/>
    <n v="0"/>
    <n v="0"/>
    <n v="0"/>
    <n v="0"/>
    <n v="0.007134031326958395"/>
    <n v="0.7741850796015223"/>
    <n v="0"/>
    <n v="0.08708868742384379"/>
    <m/>
    <n v="0"/>
    <m/>
    <n v="0"/>
    <m/>
    <n v="1.434100812423488"/>
    <m/>
    <m/>
    <n v="0"/>
    <n v="0"/>
    <n v="0"/>
    <n v="0.08398538379661717"/>
    <m/>
    <n v="0.2473903713405988"/>
    <n v="1.98583983789552"/>
    <n v="1.678894193008762"/>
    <n v="2.196310687793165"/>
    <n v="1.992552784697788"/>
    <x v="0"/>
    <m/>
    <x v="3"/>
    <x v="0"/>
    <s v="AKTIVCO Coupure ENEO &amp; Baisse de tension"/>
    <x v="0"/>
    <s v="{05-25-2026 ticket}: INC-20260525-00018030...power Grid outage here the site is only on Grid ...Grid Outage"/>
  </r>
  <r>
    <s v="Kousseri-Sarra"/>
    <s v="EXN_010"/>
    <s v="EXTREME-NORD"/>
    <s v="IHS"/>
    <s v="Grid-Gen"/>
    <s v="EXTREME-NORD"/>
    <s v="Kousseri"/>
    <s v="Huawei"/>
    <n v="0.009541766899806813"/>
    <n v="0.01400053647915579"/>
    <n v="0.008114960634415139"/>
    <n v="0.01096857316519848"/>
    <n v="0.009274240725045872"/>
    <n v="0.05345172971723553"/>
    <n v="0.4422207668798315"/>
    <n v="0.1833981103377821"/>
    <n v="0.007544238128258469"/>
    <n v="0.008685683140571807"/>
    <n v="0.005047327163823042"/>
    <n v="0"/>
    <n v="0.1673822100087606"/>
    <n v="0.007669083676480239"/>
    <n v="0"/>
    <n v="0"/>
    <n v="0.07062691013688781"/>
    <n v="0.006242277411088569"/>
    <n v="0.006955680543784404"/>
    <n v="0.005885575844740649"/>
    <n v="0"/>
    <n v="0.1418780480148844"/>
    <n v="0.0002675261747609386"/>
    <n v="0"/>
    <m/>
    <n v="0"/>
    <m/>
    <n v="0"/>
    <m/>
    <n v="0.03124705721207763"/>
    <m/>
    <m/>
    <n v="3.456241992049835"/>
    <n v="6.182529898725291"/>
    <n v="15.55777067228258"/>
    <n v="8.300338438446152"/>
    <m/>
    <n v="0"/>
    <n v="3.17234791714127"/>
    <n v="4.035678706338763"/>
    <n v="0.3084869338341355"/>
    <n v="1.96870728498743"/>
    <x v="1"/>
    <m/>
    <x v="2"/>
    <x v="1"/>
    <s v="no root cause"/>
    <x v="1"/>
    <s v=""/>
  </r>
  <r>
    <s v="Bellare"/>
    <s v="EXN_046"/>
    <s v="Maroua"/>
    <s v="IHS"/>
    <s v="Solar-Grid-Gen"/>
    <s v="EXTREME-NORD"/>
    <s v="Maroua"/>
    <s v="Huawei"/>
    <n v="0"/>
    <n v="0.576037359495253"/>
    <n v="0.5480541216152588"/>
    <n v="0"/>
    <n v="0"/>
    <n v="0"/>
    <n v="0"/>
    <n v="0"/>
    <n v="0"/>
    <n v="0"/>
    <n v="0"/>
    <n v="0"/>
    <n v="0"/>
    <n v="0"/>
    <n v="0"/>
    <n v="0.3562556893899833"/>
    <n v="1.609223446421998"/>
    <n v="0.418232586542934"/>
    <n v="8.126767456261254"/>
    <n v="0.08514466388724806"/>
    <n v="0"/>
    <n v="2.46250709836117"/>
    <n v="0"/>
    <n v="0.2858963054278564"/>
    <m/>
    <n v="0"/>
    <m/>
    <n v="4.785740070141796"/>
    <m/>
    <n v="0"/>
    <m/>
    <m/>
    <n v="0"/>
    <n v="0.05377276112694866"/>
    <n v="5.909153818276247"/>
    <n v="13.85464553851949"/>
    <m/>
    <n v="1.344069337077273"/>
    <n v="3.310357541095644"/>
    <n v="4.22571112607145"/>
    <n v="0.05266850089851094"/>
    <n v="1.918804735855356"/>
    <x v="0"/>
    <m/>
    <x v="4"/>
    <x v="0"/>
    <s v="Defaut GE &amp; Power Cabinet"/>
    <x v="0"/>
    <s v="{hourly IHS}: 25/05/2026 05:37 0:46:18 46.1V DG stopped due to low fuel."/>
  </r>
  <r>
    <s v="Bengbis-MTN-IHS"/>
    <s v="SUD_052"/>
    <s v="CENTRE"/>
    <s v="IHS"/>
    <s v="Grid-Gen"/>
    <s v="SUD"/>
    <s v="Bengbis"/>
    <s v="NOKIA"/>
    <n v="0.3311287653817486"/>
    <n v="0.5785493088326872"/>
    <n v="0.673823824274924"/>
    <n v="0.3887982536832966"/>
    <n v="0.4101500653547645"/>
    <n v="0.3433530027949969"/>
    <n v="0.340871976805379"/>
    <n v="1.36470416069524"/>
    <n v="1.419421542615777"/>
    <n v="3.688479171723157"/>
    <n v="0.7161231281050702"/>
    <n v="0.1955437986719288"/>
    <n v="1.35089700169499"/>
    <n v="0.2586799759155102"/>
    <n v="0.4715951408685826"/>
    <n v="1.102903408069446"/>
    <n v="1.339735413046146"/>
    <n v="0.7848326213570069"/>
    <n v="0.7273323288617226"/>
    <n v="0.5555805246652001"/>
    <n v="0.3406678309405792"/>
    <n v="1.249418576446853"/>
    <n v="2.144222290708923"/>
    <n v="0.9091787873858913"/>
    <m/>
    <n v="1.162365559179644"/>
    <m/>
    <n v="0.7524441191326157"/>
    <m/>
    <n v="1.09088256528352"/>
    <m/>
    <m/>
    <n v="1.113978991704548"/>
    <n v="1.357231624875511"/>
    <n v="0.4221741388510784"/>
    <n v="0.6074092622555523"/>
    <m/>
    <n v="1.167323710951879"/>
    <n v="4.990328085720337"/>
    <n v="3.582140331371488"/>
    <n v="0"/>
    <n v="1.915184214956924"/>
    <x v="0"/>
    <m/>
    <x v="14"/>
    <x v="2"/>
    <s v="SAT"/>
    <x v="2"/>
    <s v="Impacts :Coupure franche (25 sites VSAT Nokia)  ,Indisponibilité de plusieurs sites VSAT dans plusieurs regions @~Supervision Reseau Orange Cameroun  ; Cause: A Determiner_x000a_Action: Sans action      ;      {05-25-2026 ticket}: INC-20260525-00028070...Grid Outage"/>
  </r>
  <r>
    <s v="Maroua-Douggoy-Lopere-IHS"/>
    <s v="EXN_115"/>
    <s v="Maroua"/>
    <s v="IHS"/>
    <s v="Grid-Gen"/>
    <s v="EXTREME-NORD"/>
    <s v="Maroua"/>
    <s v="Huawei"/>
    <n v="0"/>
    <n v="0"/>
    <n v="0"/>
    <n v="0"/>
    <n v="0"/>
    <n v="0"/>
    <n v="0"/>
    <n v="0"/>
    <n v="0"/>
    <n v="0.5637668256128846"/>
    <n v="0"/>
    <n v="2.682520624484567"/>
    <n v="0"/>
    <n v="0"/>
    <n v="0"/>
    <n v="0"/>
    <n v="0"/>
    <n v="0"/>
    <n v="0"/>
    <n v="0"/>
    <n v="0"/>
    <n v="0"/>
    <n v="0"/>
    <n v="0.01444641343709068"/>
    <m/>
    <n v="0.01532033227464308"/>
    <m/>
    <n v="0"/>
    <m/>
    <n v="0"/>
    <m/>
    <m/>
    <n v="0"/>
    <n v="0"/>
    <n v="0"/>
    <n v="0"/>
    <m/>
    <n v="0"/>
    <n v="3.044329940170018"/>
    <n v="3.888359751930393"/>
    <n v="0.3315721533838075"/>
    <n v="1.913008335402202"/>
    <x v="0"/>
    <m/>
    <x v="4"/>
    <x v="0"/>
    <s v="Defaut GE &amp; Power Cabinet"/>
    <x v="0"/>
    <s v="{hourly IHS}: 25/05/2026 07:34 1:26:00 0 V FME is informed and managing with L0."/>
  </r>
  <r>
    <s v="Abome-New"/>
    <s v="CTR_549"/>
    <s v="Yaounde"/>
    <s v="IHS"/>
    <s v="Grid-Gen"/>
    <s v="CENTRE"/>
    <s v="Yaounde"/>
    <s v="ZTE"/>
    <n v="0"/>
    <n v="0"/>
    <n v="0"/>
    <n v="0"/>
    <n v="3.344558731626302"/>
    <n v="0"/>
    <n v="0"/>
    <n v="0"/>
    <n v="0"/>
    <n v="0"/>
    <n v="0"/>
    <n v="46.83826865620532"/>
    <n v="0"/>
    <n v="0"/>
    <n v="0"/>
    <n v="0"/>
    <n v="0"/>
    <n v="0"/>
    <n v="2.244740792105765"/>
    <n v="0"/>
    <n v="0"/>
    <n v="0"/>
    <n v="0"/>
    <n v="0"/>
    <m/>
    <n v="0"/>
    <m/>
    <n v="0"/>
    <m/>
    <n v="0"/>
    <m/>
    <m/>
    <n v="0"/>
    <n v="0"/>
    <n v="0"/>
    <n v="0"/>
    <m/>
    <n v="0"/>
    <n v="0.1890919191555859"/>
    <n v="0.05418872466517775"/>
    <n v="3.580739854268311"/>
    <n v="1.912508953209316"/>
    <x v="0"/>
    <m/>
    <x v="5"/>
    <x v="2"/>
    <s v="IP &amp; VLAN"/>
    <x v="2"/>
    <s v="{05-25-2026 goupe whatsapp incident}:    impacted by    CTR_007_Z_Messamendongo(CTR-007)  ,Cause: Boucle etherneet  ,Action: Desactivation de la bouclee      ;      {05-25-2026 ticket}: INC-20260525-00024706...Others Transmission equipement fault"/>
  </r>
  <r>
    <s v="Awing"/>
    <s v="NRO_248"/>
    <s v="NORD-OUEST"/>
    <s v="IHS"/>
    <s v="Grid-Gen"/>
    <s v="NORD-OUEST"/>
    <s v="Awing"/>
    <s v="NOKIA"/>
    <n v="6.197648946065419"/>
    <n v="6.200563681301313"/>
    <n v="6.197540732837068"/>
    <n v="6.197612874989303"/>
    <n v="6.197576803913186"/>
    <n v="2.241031786720681"/>
    <n v="0"/>
    <n v="1.226431396692258"/>
    <n v="0"/>
    <n v="0.5726373170649867"/>
    <n v="0"/>
    <n v="0"/>
    <n v="0"/>
    <n v="0"/>
    <n v="0"/>
    <n v="0"/>
    <n v="0"/>
    <n v="0"/>
    <n v="0"/>
    <n v="0"/>
    <n v="0"/>
    <n v="2.964600223152499"/>
    <n v="0"/>
    <n v="0"/>
    <m/>
    <n v="0"/>
    <m/>
    <n v="0"/>
    <m/>
    <n v="0.01157496582798982"/>
    <m/>
    <m/>
    <n v="0"/>
    <n v="0"/>
    <n v="0.3281119358051323"/>
    <n v="1.534494468272109"/>
    <m/>
    <n v="0"/>
    <n v="6.651564292251678"/>
    <n v="2.857392702075066"/>
    <n v="0"/>
    <n v="1.909102453250693"/>
    <x v="1"/>
    <m/>
    <x v="4"/>
    <x v="0"/>
    <s v="Defaut GE &amp; Power Cabinet"/>
    <x v="0"/>
    <s v="{hourly IHS}: 25/05/2026 06:09 5:51:00 36v FME is informed and managing      ;      {05-25-2026 ticket}: INC-20260525-00008722...Power ...Grid Outage"/>
  </r>
  <r>
    <s v="Bfsam-Mairie-Rurale-MTN-IHS"/>
    <s v="OST_214"/>
    <s v="Bafoussam"/>
    <s v="IHS"/>
    <s v="Grid-Gen"/>
    <s v="OUEST"/>
    <s v="Bafoussam"/>
    <s v="Huawei"/>
    <n v="0.1145012027976817"/>
    <n v="0.1607832310313241"/>
    <n v="0.07854568490981158"/>
    <n v="0.05305935799425283"/>
    <n v="0"/>
    <n v="0.1033542788493093"/>
    <n v="0"/>
    <n v="0.06022905947784597"/>
    <n v="0.968640938496089"/>
    <n v="0"/>
    <n v="0.4525472772256037"/>
    <n v="5.785949097259675"/>
    <n v="0"/>
    <n v="0"/>
    <n v="0.02648509130133292"/>
    <n v="0"/>
    <n v="0"/>
    <n v="0"/>
    <n v="0"/>
    <n v="0.09176147794300193"/>
    <n v="0.6100497833653711"/>
    <n v="0"/>
    <n v="0"/>
    <n v="0"/>
    <m/>
    <n v="0"/>
    <m/>
    <n v="0.4910888814694963"/>
    <m/>
    <n v="0"/>
    <m/>
    <m/>
    <n v="0"/>
    <n v="0"/>
    <n v="0"/>
    <n v="0"/>
    <m/>
    <n v="0"/>
    <n v="3.280382600146278"/>
    <n v="4.286168742413579"/>
    <n v="0"/>
    <n v="1.907354615575588"/>
    <x v="0"/>
    <m/>
    <x v="4"/>
    <x v="0"/>
    <s v="Defaut GE &amp; Power Cabinet"/>
    <x v="0"/>
    <s v="{hourly IHS}: 25/05/2026 21:38 1:21:54 FME isinformed and managing ETA ASAP      ;      {05-25-2026 ocm ran 22H}: Power status check Ongoing"/>
  </r>
  <r>
    <s v="Mokolo3-IHS"/>
    <s v="EXN_156"/>
    <s v="Maroua"/>
    <s v="IHS"/>
    <s v="Grid-Gen"/>
    <s v="EXTREME-NORD"/>
    <s v="Maroua"/>
    <s v="NOKIA"/>
    <n v="0"/>
    <n v="1.012080981560346"/>
    <n v="0.2169741302293323"/>
    <n v="0"/>
    <n v="0"/>
    <n v="0.005408841257488311"/>
    <n v="0.2058171657780092"/>
    <n v="1.220805217698606"/>
    <n v="0.4863845097831785"/>
    <n v="0.7434498877451937"/>
    <n v="0"/>
    <n v="0.01034434542408982"/>
    <n v="1.672762580124284"/>
    <n v="1.463767062800124"/>
    <n v="0.02648509130133292"/>
    <n v="0.8058837124501264"/>
    <n v="0.8679330646732525"/>
    <n v="0"/>
    <n v="0"/>
    <n v="0"/>
    <n v="0"/>
    <n v="0"/>
    <n v="0.07419821967882061"/>
    <n v="0"/>
    <m/>
    <n v="0.08017331669622565"/>
    <m/>
    <n v="0"/>
    <m/>
    <n v="0.451313602594217"/>
    <m/>
    <m/>
    <n v="1.062845822168574"/>
    <n v="0"/>
    <n v="0"/>
    <n v="0.4724775261555133"/>
    <m/>
    <n v="0.6553509601826575"/>
    <n v="6.695902225739282"/>
    <n v="2.819039345453279"/>
    <n v="0"/>
    <n v="1.902558241867186"/>
    <x v="0"/>
    <m/>
    <x v="4"/>
    <x v="0"/>
    <s v="Defaut GE &amp; Power Cabinet"/>
    <x v="0"/>
    <s v="{05-25-2026  incident}:    impacted by   EXN_047_H_Hina  ,Cause: Probleme energie    Action: RCA attendu de IHS      ;      {hourly IHS}: 25/05/2026 07:55 1:05:00 25 FME is informed and managing      ;      {05-25-2026 ticket}: INC-20260525-00006125...Grid Outage"/>
  </r>
  <r>
    <s v="Maroua-Ouro-Bah-II-IHS"/>
    <s v="EXN_184"/>
    <s v="Maroua"/>
    <s v="IHS"/>
    <s v="Grid-Gen"/>
    <s v="EXTREME-NORD"/>
    <s v="Maroua"/>
    <s v="Huawei"/>
    <n v="1.479063044861643"/>
    <n v="0.74789617416168"/>
    <n v="0"/>
    <n v="0"/>
    <n v="0.8213231915943989"/>
    <n v="0"/>
    <n v="0"/>
    <n v="0"/>
    <n v="0"/>
    <n v="0"/>
    <n v="0.9081621879217995"/>
    <n v="22.30140996995145"/>
    <n v="0"/>
    <n v="0"/>
    <n v="0"/>
    <n v="0"/>
    <n v="0"/>
    <n v="0"/>
    <n v="0.1367772156161092"/>
    <n v="0"/>
    <n v="0"/>
    <n v="0"/>
    <n v="0"/>
    <n v="0"/>
    <m/>
    <n v="0"/>
    <m/>
    <n v="0"/>
    <m/>
    <n v="0"/>
    <m/>
    <m/>
    <n v="0"/>
    <n v="0"/>
    <n v="2.953203608107684"/>
    <n v="2.44661604358037"/>
    <m/>
    <n v="4.349993436691178"/>
    <n v="1.878429632826957"/>
    <n v="2.379469401008463"/>
    <n v="1.586553088754495"/>
    <n v="1.894424183795476"/>
    <x v="0"/>
    <m/>
    <x v="2"/>
    <x v="1"/>
    <s v="no root cause"/>
    <x v="1"/>
    <s v=""/>
  </r>
  <r>
    <s v="Nkolmesseng-Abom"/>
    <s v="CTR_711"/>
    <s v="Yaounde"/>
    <s v="CAMUSAT"/>
    <s v="Good Grid + GE"/>
    <s v="CENTRE"/>
    <s v="Yaounde"/>
    <s v="ZTE"/>
    <n v="1.176562281520291"/>
    <n v="2.719653257541384"/>
    <n v="1.576727933727701"/>
    <n v="0"/>
    <n v="1.113461774433345"/>
    <n v="0.021990651565349"/>
    <n v="0"/>
    <n v="1.567489363159291"/>
    <n v="4.126074028416276"/>
    <n v="1.044707547519784"/>
    <n v="5.54449780699877"/>
    <n v="0"/>
    <n v="2.094587267751608"/>
    <n v="2.534043597492248"/>
    <n v="0"/>
    <n v="1.983831431400579"/>
    <n v="0"/>
    <n v="2.178786672488036"/>
    <n v="0"/>
    <n v="0"/>
    <n v="0"/>
    <n v="0"/>
    <n v="0"/>
    <n v="2.527908330551062"/>
    <m/>
    <n v="0"/>
    <m/>
    <n v="1.11171393675824"/>
    <m/>
    <n v="1.560266156440745"/>
    <m/>
    <m/>
    <n v="1.151825027894062"/>
    <n v="1.565224308212982"/>
    <n v="0"/>
    <n v="2.138532900725671"/>
    <m/>
    <n v="2.214314148496289"/>
    <n v="0.6899232241845817"/>
    <n v="0.9935662045962231"/>
    <n v="2.794337575268076"/>
    <n v="1.889287681240066"/>
    <x v="0"/>
    <m/>
    <x v="5"/>
    <x v="2"/>
    <s v="IP &amp; VLAN"/>
    <x v="2"/>
    <s v="{05-25-2026 goupe whatsapp incident}:    impacted by    CTR_351_Z_Mimboman-Nodal(CTR-351)  ,Cause: Boucle ethernet  ,Action: Desactivation de la boucle      ;      {05-25-2026 ticket}: INC-20260525-00019099...power issue in site ...Grid Outage"/>
  </r>
  <r>
    <s v="Ministere-New"/>
    <s v="LIT_581"/>
    <s v="Douala"/>
    <s v="IHS"/>
    <s v="Grid-Gen"/>
    <s v="LITTORAL"/>
    <s v="Douala"/>
    <s v="ZTE"/>
    <n v="0.2506185205160476"/>
    <n v="0.2919067268208184"/>
    <n v="3.66660674080352"/>
    <n v="13.86855689960706"/>
    <n v="25.53082543596065"/>
    <n v="0.06186988668304691"/>
    <n v="0.6389416807207084"/>
    <n v="0.4605908975467496"/>
    <n v="0.2446437692797193"/>
    <n v="0"/>
    <n v="0.05277399674117477"/>
    <n v="0.004905214270416951"/>
    <n v="0"/>
    <n v="0"/>
    <n v="0.2579665727828145"/>
    <n v="0.05726843647715831"/>
    <n v="0"/>
    <n v="0"/>
    <n v="0"/>
    <n v="0"/>
    <n v="0"/>
    <n v="0.6414385916851439"/>
    <n v="0"/>
    <n v="0.06345720865329482"/>
    <m/>
    <n v="0"/>
    <m/>
    <n v="0"/>
    <m/>
    <n v="1.41175345929179"/>
    <m/>
    <m/>
    <n v="0"/>
    <n v="0"/>
    <n v="0"/>
    <n v="0.06042524533933762"/>
    <m/>
    <n v="0.2226887878710054"/>
    <n v="1.860194877082759"/>
    <n v="1.578326295174271"/>
    <n v="2.062279613104032"/>
    <n v="1.870953220729783"/>
    <x v="0"/>
    <m/>
    <x v="4"/>
    <x v="0"/>
    <s v="Defaut GE &amp; Power Cabinet"/>
    <x v="0"/>
    <s v="{05-25-2026 ticket}: INC-20260525-00020724...Grid Outage"/>
  </r>
  <r>
    <s v="Garoua-Ray-Re"/>
    <s v="NRD_062"/>
    <s v="Garoua"/>
    <s v="IHS"/>
    <s v="Grid-Gen"/>
    <s v="NORD"/>
    <s v="Garoua"/>
    <s v="Huawei"/>
    <n v="0"/>
    <n v="0.2261487930645801"/>
    <n v="2.288418898905069"/>
    <n v="1.589997231995845"/>
    <n v="0"/>
    <n v="0"/>
    <n v="0"/>
    <n v="0"/>
    <n v="0"/>
    <n v="0"/>
    <n v="0"/>
    <n v="0"/>
    <n v="4.795353177354873"/>
    <n v="5.388797573287905"/>
    <n v="0.2828643421138991"/>
    <n v="9.071134853167369"/>
    <n v="0"/>
    <n v="0"/>
    <n v="0"/>
    <n v="1.864639603005425"/>
    <n v="4.638190467221981"/>
    <n v="1.111553421053383"/>
    <n v="0"/>
    <n v="0"/>
    <m/>
    <n v="0"/>
    <m/>
    <n v="0"/>
    <m/>
    <n v="0"/>
    <m/>
    <m/>
    <n v="0"/>
    <n v="0"/>
    <n v="0"/>
    <n v="2.920761600648341"/>
    <m/>
    <n v="13.14079652886572"/>
    <n v="1.869686941716725"/>
    <n v="2.368844160878036"/>
    <n v="1.550642747232784"/>
    <n v="1.870881880416513"/>
    <x v="0"/>
    <m/>
    <x v="4"/>
    <x v="0"/>
    <s v="Defaut GE &amp; Power Cabinet"/>
    <x v="0"/>
    <s v="{05-25-2026 BOTX}: Power issue on site"/>
  </r>
  <r>
    <s v="Garoua-Roumde-Adja-II"/>
    <s v="NRD_138"/>
    <s v="Garoua"/>
    <s v="CAMUSAT"/>
    <s v="Medium Grid + GE"/>
    <s v="NORD"/>
    <s v="Garoua"/>
    <s v="Huawei"/>
    <n v="0.1427698019307543"/>
    <n v="5.087634440820357"/>
    <n v="12.82042501705033"/>
    <n v="13.6678587633014"/>
    <n v="6.441691421755372"/>
    <n v="0.09727251714307728"/>
    <n v="0"/>
    <n v="0"/>
    <n v="0"/>
    <n v="0"/>
    <n v="0"/>
    <n v="3.641833817020658"/>
    <n v="8.443750303196332"/>
    <n v="5.130509969095376"/>
    <n v="0.3039097345284262"/>
    <n v="8.452275470632047"/>
    <n v="0"/>
    <n v="0"/>
    <n v="0"/>
    <n v="1.849158755025925"/>
    <n v="2.201508562264398"/>
    <n v="1.0936291673444"/>
    <n v="0.6780005022358055"/>
    <n v="0"/>
    <m/>
    <n v="0"/>
    <m/>
    <n v="0"/>
    <m/>
    <n v="0"/>
    <m/>
    <m/>
    <n v="0"/>
    <n v="0"/>
    <n v="0"/>
    <n v="2.967507340918236"/>
    <m/>
    <n v="21.25208313714747"/>
    <n v="1.855323949178487"/>
    <n v="2.348762457031529"/>
    <n v="1.530806558582695"/>
    <n v="1.851744841381948"/>
    <x v="0"/>
    <m/>
    <x v="4"/>
    <x v="0"/>
    <s v="Defaut GE &amp; Power Cabinet"/>
    <x v="0"/>
    <s v="{05-25-2026 BOTX}: Impacted by power issue at garoua-ray-re-NRD_062"/>
  </r>
  <r>
    <s v="Garoua-Foulbere-IV"/>
    <s v="NRD_067"/>
    <s v="Garoua"/>
    <s v="IHS"/>
    <s v="Grid-Gen"/>
    <s v="NORD"/>
    <s v="Garoua"/>
    <s v="Huawei"/>
    <n v="3.292159271529793"/>
    <n v="1.005898417101129"/>
    <n v="5.438004554365598"/>
    <n v="3.167848775657544"/>
    <n v="0"/>
    <n v="0"/>
    <n v="0"/>
    <n v="1.282948523683557"/>
    <n v="0"/>
    <n v="0.1767456261253934"/>
    <n v="0"/>
    <n v="0"/>
    <n v="8.446033193220957"/>
    <n v="6.325977433632108"/>
    <n v="0.8559945838434166"/>
    <n v="8.151076668007866"/>
    <n v="0"/>
    <n v="0"/>
    <n v="0"/>
    <n v="1.866280430210625"/>
    <n v="0.4766067978757708"/>
    <n v="1.090294007699047"/>
    <n v="0"/>
    <n v="0"/>
    <m/>
    <n v="0.420979188603813"/>
    <m/>
    <n v="0"/>
    <m/>
    <n v="0"/>
    <m/>
    <m/>
    <n v="1.747748499713212"/>
    <n v="0"/>
    <n v="0"/>
    <n v="2.962085477109747"/>
    <m/>
    <n v="21.25577499835918"/>
    <n v="1.84845469187759"/>
    <n v="2.341802924746099"/>
    <n v="1.53149056508787"/>
    <n v="1.84878421838126"/>
    <x v="0"/>
    <m/>
    <x v="4"/>
    <x v="0"/>
    <s v="Defaut GE &amp; Power Cabinet"/>
    <x v="0"/>
    <s v="{05-25-2026 BOTX}: Impacted by power issue at garoua-ray-re-NRD_062"/>
  </r>
  <r>
    <s v="LELE-HIS"/>
    <s v="SUD_205"/>
    <s v="CENTRE"/>
    <s v="IHS"/>
    <s v="Grid-Gen"/>
    <s v="SUD"/>
    <s v="Mintom"/>
    <s v="NOKIA"/>
    <n v="0"/>
    <n v="0.7839804514282493"/>
    <n v="0.009057820106978422"/>
    <n v="0.04140345897859046"/>
    <n v="0.3480141530256979"/>
    <n v="0.01469631667054174"/>
    <n v="0.003031963313957322"/>
    <n v="0.1488031516364247"/>
    <n v="1.076042320465139"/>
    <n v="1.068119666893537"/>
    <n v="0.03997665271319868"/>
    <n v="0.03690717214838572"/>
    <n v="0"/>
    <n v="0.4722193686096912"/>
    <n v="0.0003567015663478598"/>
    <n v="0"/>
    <n v="0.0003567015663478598"/>
    <n v="0.2051390708066876"/>
    <n v="0.003584850741796653"/>
    <n v="0.2328726175902381"/>
    <n v="0.09944782686720227"/>
    <n v="1.205669129334281"/>
    <n v="0.4231015629235833"/>
    <n v="0.0004280418796172265"/>
    <m/>
    <n v="0.2616389871722193"/>
    <m/>
    <n v="1.022021327900055"/>
    <m/>
    <n v="3.076016094259143"/>
    <m/>
    <m/>
    <n v="0.04592532666729472"/>
    <n v="0.3485866057135034"/>
    <n v="1.362118436334478"/>
    <n v="2.224614830778597"/>
    <m/>
    <n v="5.013547525489893"/>
    <n v="3.03758557845641"/>
    <n v="1.409438103301134"/>
    <n v="1.78522277818271"/>
    <n v="1.837904820607648"/>
    <x v="0"/>
    <m/>
    <x v="4"/>
    <x v="0"/>
    <s v="Defaut GE &amp; Power Cabinet"/>
    <x v="0"/>
    <s v="{05-25-2026 ticket}: INC-20260525-00008913...Grid Outage"/>
  </r>
  <r>
    <s v="MELEN-MINTOM"/>
    <s v="SUD_163"/>
    <s v="CENTRE"/>
    <s v="CAMUSAT"/>
    <e v="#N/A"/>
    <s v="SUD"/>
    <s v="Melen-Mintom"/>
    <s v="NOKIA"/>
    <n v="0"/>
    <n v="0.7850319192100117"/>
    <n v="0.00812919327602714"/>
    <n v="0.04186997745121705"/>
    <n v="0.3444023301622387"/>
    <n v="0.01810321754864606"/>
    <n v="0.004102068013000902"/>
    <n v="0.09430794917253459"/>
    <n v="1.087738546920545"/>
    <n v="1.110982607075305"/>
    <n v="0.04113974153890867"/>
    <n v="0.06547257250316038"/>
    <n v="0.1484863162577956"/>
    <n v="3.436159693864448"/>
    <n v="3.081580501836299"/>
    <n v="3.667401206620698"/>
    <n v="3.210016419407721"/>
    <n v="3.234177431919939"/>
    <n v="3.085878755710792"/>
    <n v="3.236299806239709"/>
    <n v="1.134881703492536"/>
    <n v="4.010035388445585"/>
    <n v="3.407142021442045"/>
    <n v="3.082971637945057"/>
    <m/>
    <n v="3.262053659330029"/>
    <m/>
    <n v="3.848042992526389"/>
    <m/>
    <n v="5.691940399448683"/>
    <m/>
    <m/>
    <n v="0.04701326644465548"/>
    <n v="0.3694893175014912"/>
    <n v="1.376717452696977"/>
    <n v="2.212660444472295"/>
    <m/>
    <n v="6.584805569596281"/>
    <n v="3.0684347885168"/>
    <n v="1.398281601164186"/>
    <n v="1.765010385954775"/>
    <n v="1.828024187219811"/>
    <x v="2"/>
    <m/>
    <x v="9"/>
    <x v="5"/>
    <s v="EXCLU"/>
    <x v="4"/>
    <s v="{05-25-2026   groupe whatsapp   incident}:    impacted by  Mintom-MTN_G SUO_246  , Cause:  ODU en perte de rendement, Sans action      ;      {05-25-2026 ticket}: INC-20260525-00008837...Grid Outage"/>
  </r>
  <r>
    <s v="Ngoulmekong-Nord"/>
    <s v="CTR_379"/>
    <s v="Yaounde"/>
    <s v="IHS"/>
    <s v="Grid-Gen"/>
    <s v="CENTRE"/>
    <s v="Yaounde"/>
    <s v="ZTE"/>
    <n v="0.1041033521386396"/>
    <n v="1.877088487670967"/>
    <n v="0.1079200588985622"/>
    <n v="0"/>
    <n v="0"/>
    <n v="0"/>
    <n v="0"/>
    <n v="0"/>
    <n v="5.983668775486326"/>
    <n v="0"/>
    <n v="0.7676039357024026"/>
    <n v="0"/>
    <n v="2.117219982136386"/>
    <n v="0"/>
    <n v="0"/>
    <n v="0"/>
    <n v="0.1920659584000364"/>
    <n v="0"/>
    <n v="0"/>
    <n v="0"/>
    <n v="0"/>
    <n v="0.05830287101956706"/>
    <n v="0"/>
    <n v="0"/>
    <m/>
    <n v="0"/>
    <m/>
    <n v="0"/>
    <m/>
    <n v="0"/>
    <m/>
    <m/>
    <n v="0"/>
    <n v="0"/>
    <n v="0"/>
    <n v="0.002140209398087509"/>
    <m/>
    <n v="0"/>
    <n v="1.584550315935878"/>
    <n v="1.348342972551179"/>
    <n v="2.178116114755498"/>
    <n v="1.814790559108303"/>
    <x v="0"/>
    <m/>
    <x v="4"/>
    <x v="0"/>
    <s v="Defaut GE &amp; Power Cabinet"/>
    <x v="0"/>
    <s v="{05-25-2026 ticket}: INC-20260525-00017001...Grid Outage"/>
  </r>
  <r>
    <s v="Lele"/>
    <s v="SUD_159"/>
    <s v="CENTRE"/>
    <s v="ESCO"/>
    <s v="Hybrid Solar - S3"/>
    <s v="SUD"/>
    <s v="Lele"/>
    <s v="NOKIA"/>
    <n v="0"/>
    <n v="0.7837800559121969"/>
    <n v="0.01057801725715105"/>
    <n v="0.03999749468763177"/>
    <n v="0.3439328294503537"/>
    <n v="0.01621009327036894"/>
    <n v="0.004102068013000902"/>
    <n v="0.09994122210556526"/>
    <n v="1.07912037200363"/>
    <n v="1.073701285438351"/>
    <n v="0.03931635389597353"/>
    <n v="0.1580187938921278"/>
    <n v="0"/>
    <n v="0.4527969683220471"/>
    <n v="0.0008917539158698208"/>
    <n v="0"/>
    <n v="0"/>
    <n v="0.205477937294718"/>
    <n v="0.003406499958622552"/>
    <n v="0.2030523666435524"/>
    <n v="1.552258206276236"/>
    <n v="1.215514092565483"/>
    <n v="0.4335172486609424"/>
    <n v="0.0009630942291391874"/>
    <m/>
    <n v="0.2347988060485171"/>
    <m/>
    <n v="1.001969005097624"/>
    <m/>
    <n v="3.044875910659099"/>
    <m/>
    <m/>
    <n v="0.04637120362522924"/>
    <n v="0.3641744641629067"/>
    <n v="1.364750126912065"/>
    <n v="2.211475617849204"/>
    <m/>
    <n v="4.686563076809695"/>
    <n v="3.038709638742012"/>
    <n v="1.407844317281571"/>
    <n v="1.72277298426019"/>
    <n v="1.804963430955418"/>
    <x v="0"/>
    <m/>
    <x v="0"/>
    <x v="0"/>
    <s v="AKTIVCO Defaut GE &amp; Power Cabinet"/>
    <x v="0"/>
    <s v="{05-25-2026 ticket}: INC-20260525-00008848...Grid Outage"/>
  </r>
  <r>
    <s v="Djottin"/>
    <s v="NRO_098"/>
    <s v="NORD-OUEST"/>
    <s v="IHS"/>
    <s v="Gen Only"/>
    <s v="NORD-OUEST"/>
    <s v="Djottin"/>
    <s v="NOKIA"/>
    <n v="0.3450451846719088"/>
    <n v="1.227816071380236"/>
    <n v="0.4957568823631914"/>
    <n v="0.004904646537283843"/>
    <n v="2.069297702776022"/>
    <n v="0.003656191055066162"/>
    <n v="0.005618049669979733"/>
    <n v="0.001605157048565883"/>
    <n v="0.6781650446513821"/>
    <n v="3.342367893493236"/>
    <n v="2.543576310618118"/>
    <n v="0"/>
    <n v="0.004637120362523033"/>
    <n v="2.340211966338787"/>
    <n v="2.630388690562818"/>
    <n v="0"/>
    <n v="0.001515981656978832"/>
    <n v="0.08277259847103427"/>
    <n v="0.2000204033295952"/>
    <n v="0"/>
    <n v="0"/>
    <n v="0"/>
    <n v="0.08164898853703852"/>
    <n v="0"/>
    <m/>
    <n v="0.002586086356022241"/>
    <m/>
    <n v="0"/>
    <m/>
    <n v="0"/>
    <m/>
    <m/>
    <n v="0"/>
    <n v="0.001605157048565712"/>
    <n v="0"/>
    <n v="2.831068991790156"/>
    <m/>
    <n v="0"/>
    <n v="6.24715238060981"/>
    <n v="2.687654490991496"/>
    <n v="0"/>
    <n v="1.794369394434885"/>
    <x v="1"/>
    <m/>
    <x v="4"/>
    <x v="0"/>
    <s v="Defaut GE &amp; Power Cabinet"/>
    <x v="0"/>
    <s v="{05-25-2026 ticket}: INC-20260525-00002296...power issue at tadu...Grid Outage"/>
  </r>
  <r>
    <s v="Tadu-IHS"/>
    <s v="NRO_018"/>
    <s v="NORD-OUEST"/>
    <s v="IHS"/>
    <s v="Hybrid-Gen"/>
    <s v="NORD-OUEST"/>
    <s v="Tadu"/>
    <s v="NOKIA"/>
    <n v="0.3508145464145578"/>
    <n v="1.249643064109838"/>
    <n v="0.4934102111091214"/>
    <n v="0.003210314097131252"/>
    <n v="2.072917822754971"/>
    <n v="0.003477840271892232"/>
    <n v="0.009809293074567686"/>
    <n v="0.001337630873804731"/>
    <n v="0.692064430702189"/>
    <n v="3.346868765456831"/>
    <n v="2.539098485686106"/>
    <n v="0.04018243144909298"/>
    <n v="0.005350523495218753"/>
    <n v="1.282538316882257"/>
    <n v="0.007312382110132323"/>
    <n v="0"/>
    <n v="0.002229384789674552"/>
    <n v="0.07531753573436303"/>
    <n v="0.006331452802675624"/>
    <n v="0"/>
    <n v="0.05304152291593543"/>
    <n v="0"/>
    <n v="0"/>
    <n v="0"/>
    <m/>
    <n v="0"/>
    <m/>
    <n v="0"/>
    <m/>
    <n v="0"/>
    <m/>
    <m/>
    <n v="0"/>
    <n v="0"/>
    <n v="0.001872683223326521"/>
    <n v="0"/>
    <m/>
    <n v="0.001070104699043579"/>
    <n v="6.25489590702173"/>
    <n v="2.666404010730642"/>
    <n v="0"/>
    <n v="1.788341137963605"/>
    <x v="1"/>
    <m/>
    <x v="4"/>
    <x v="0"/>
    <s v="Defaut GE &amp; Power Cabinet"/>
    <x v="0"/>
    <s v="{hourly IHS}: 25/05/2026 03:17 3:06:44 1V Kelvin is informed and will manage in the morning, Insecurity area.      ;      {05-25-2026 ticket}: INC-20260525-00002285...generator issue on site ...Others Transmission equipement fault"/>
  </r>
  <r>
    <s v="Ekombitie"/>
    <s v="CTR_387"/>
    <s v="Yaounde"/>
    <s v="IHS"/>
    <s v="Grid-Gen"/>
    <s v="CENTRE"/>
    <s v="Yaounde"/>
    <s v="ZTE"/>
    <n v="0"/>
    <n v="0"/>
    <n v="0"/>
    <n v="0"/>
    <n v="0"/>
    <n v="0"/>
    <n v="0"/>
    <n v="0"/>
    <n v="0"/>
    <n v="0"/>
    <n v="0"/>
    <n v="0"/>
    <n v="0"/>
    <n v="0"/>
    <n v="0.3604647678728888"/>
    <n v="0"/>
    <n v="0"/>
    <n v="0"/>
    <n v="0"/>
    <n v="0"/>
    <n v="0"/>
    <n v="0"/>
    <n v="0"/>
    <n v="0"/>
    <m/>
    <n v="0"/>
    <m/>
    <n v="0"/>
    <m/>
    <n v="0"/>
    <m/>
    <m/>
    <n v="0"/>
    <n v="0"/>
    <n v="0"/>
    <n v="12.34462079769884"/>
    <m/>
    <n v="0"/>
    <n v="1.23796506120883"/>
    <n v="1.188964370594777"/>
    <n v="2.308521954967202"/>
    <n v="1.779798135449574"/>
    <x v="0"/>
    <m/>
    <x v="5"/>
    <x v="2"/>
    <s v="IP &amp; VLAN"/>
    <x v="2"/>
    <s v="{05-25-2026 goupe whatsapp incident}:    impacted by    CTR_007_Z_Messamendongo(CTR-007)  ,Cause: Boucle etherneet  ,Action: Desactivation de la bouclee      ;      {05-25-2026 ticket}: INC-20260525-00022823...Grid Outage"/>
  </r>
  <r>
    <s v="Mbalmayo-Haoussa"/>
    <s v="CTR_393"/>
    <s v="CENTRE"/>
    <s v="IHS"/>
    <s v="Grid-Gen"/>
    <s v="CENTRE"/>
    <s v="Mbalmayo"/>
    <s v="ZTE"/>
    <n v="0"/>
    <n v="0"/>
    <n v="0"/>
    <n v="0"/>
    <n v="0"/>
    <n v="0"/>
    <n v="0"/>
    <n v="0"/>
    <n v="0"/>
    <n v="0"/>
    <n v="0"/>
    <n v="0"/>
    <n v="0"/>
    <n v="0"/>
    <n v="0"/>
    <n v="0"/>
    <n v="0"/>
    <n v="0"/>
    <n v="0"/>
    <n v="0"/>
    <n v="0"/>
    <n v="0"/>
    <n v="0"/>
    <n v="0"/>
    <m/>
    <n v="0"/>
    <m/>
    <n v="0.0005528874278393026"/>
    <m/>
    <n v="0"/>
    <m/>
    <m/>
    <n v="1.519851868973527"/>
    <n v="1.540950766623006"/>
    <n v="1.540950766623006"/>
    <n v="1.540950766623006"/>
    <m/>
    <n v="1.540950766623006"/>
    <n v="0.09329700370490271"/>
    <n v="0.1179932916483912"/>
    <n v="3.294175328925048"/>
    <n v="1.770809255977605"/>
    <x v="0"/>
    <m/>
    <x v="2"/>
    <x v="1"/>
    <s v="no root cause"/>
    <x v="1"/>
    <s v=""/>
  </r>
  <r>
    <s v="Guidjiba-MTN"/>
    <s v="NRD_058"/>
    <s v="NORD"/>
    <s v="IHS"/>
    <s v="Solar-Gen"/>
    <s v="NORD"/>
    <s v="Guidjiba"/>
    <s v="NOKIA"/>
    <n v="0"/>
    <n v="0"/>
    <n v="0"/>
    <n v="0"/>
    <n v="0"/>
    <n v="0"/>
    <n v="0"/>
    <n v="0.4182473777471255"/>
    <n v="0.3549708086212327"/>
    <n v="0"/>
    <n v="0.0009809293074568711"/>
    <n v="0"/>
    <n v="0"/>
    <n v="0"/>
    <n v="0.4913491757563829"/>
    <n v="0.01865604929844917"/>
    <n v="0.5656023740128635"/>
    <n v="0"/>
    <n v="0"/>
    <n v="0"/>
    <n v="0"/>
    <n v="0.5498911346819506"/>
    <n v="0.01865607510300719"/>
    <n v="0"/>
    <m/>
    <n v="0.5890561780796592"/>
    <m/>
    <n v="0.3093672684935494"/>
    <m/>
    <n v="0"/>
    <m/>
    <m/>
    <n v="0.5700269381022905"/>
    <n v="1.493652138925272"/>
    <n v="0"/>
    <n v="0"/>
    <m/>
    <n v="0.5535455256110495"/>
    <n v="6.165970248871943"/>
    <n v="2.627508308130266"/>
    <n v="0"/>
    <n v="1.762584826214998"/>
    <x v="0"/>
    <m/>
    <x v="11"/>
    <x v="7"/>
    <s v="BSS Hardware issue"/>
    <x v="2"/>
    <s v="(05/25/2026 cell nokia): 25/05/2026 : Need BO RAN analysis       ;      (05/25/2026 cell nokia): 25/05/2026 : Need BO RAN analysis ||Closed after resEt but Check and clean jumport port 3 of FXDB"/>
  </r>
  <r>
    <s v="Batouri-Sambo"/>
    <s v="EST_139"/>
    <s v="CENTRE"/>
    <s v="CAMUSAT"/>
    <s v="Hybrid Solar - S3"/>
    <s v="EST"/>
    <s v="Batouri"/>
    <s v="ZTE"/>
    <n v="0"/>
    <n v="0"/>
    <n v="0"/>
    <n v="0"/>
    <n v="0"/>
    <n v="0"/>
    <n v="0"/>
    <n v="0"/>
    <n v="0"/>
    <n v="0.05239946009650962"/>
    <n v="0"/>
    <n v="0"/>
    <n v="0"/>
    <n v="0"/>
    <n v="0"/>
    <n v="0"/>
    <n v="0"/>
    <n v="0"/>
    <n v="0"/>
    <n v="0"/>
    <n v="0"/>
    <n v="0.7172020043774407"/>
    <n v="0"/>
    <n v="0"/>
    <m/>
    <n v="0"/>
    <m/>
    <n v="0"/>
    <m/>
    <n v="0"/>
    <m/>
    <m/>
    <n v="0.206387526288906"/>
    <n v="3.542421090479493"/>
    <n v="0"/>
    <n v="0.7299540853743793"/>
    <m/>
    <n v="0"/>
    <n v="1.111695622459624"/>
    <n v="1.900430449728163"/>
    <n v="1.846817563973758"/>
    <n v="1.759840682812405"/>
    <x v="0"/>
    <m/>
    <x v="0"/>
    <x v="0"/>
    <s v="AKTIVCO Defaut GE &amp; Power Cabinet"/>
    <x v="0"/>
    <s v="{05-25-2026 ticket}: INC-20260525-00026650...2026-05-25 23:42:39...low solar, gen fail , couvre feu /  fme  informe que le site sera managé le matin...user:OCM_NOC.CAMUSAT"/>
  </r>
  <r>
    <s v="Ngong-Town-IHS"/>
    <s v="NRD_088"/>
    <s v="NORD"/>
    <s v="IHS"/>
    <s v="Grid-Gen"/>
    <s v="NORD"/>
    <s v="Ngong"/>
    <s v="Huawei"/>
    <n v="0"/>
    <n v="0"/>
    <n v="0"/>
    <n v="8.917539158697954e-05"/>
    <n v="0"/>
    <n v="0"/>
    <n v="0"/>
    <n v="0"/>
    <n v="0"/>
    <n v="0"/>
    <n v="0"/>
    <n v="0"/>
    <n v="0"/>
    <n v="0"/>
    <n v="0"/>
    <n v="0"/>
    <n v="0"/>
    <n v="0.01551651813613444"/>
    <n v="0.01753188198600018"/>
    <n v="0.0331019053570868"/>
    <n v="0"/>
    <n v="0.2504401697328733"/>
    <n v="0"/>
    <n v="0"/>
    <m/>
    <n v="0"/>
    <m/>
    <n v="0"/>
    <m/>
    <n v="0"/>
    <m/>
    <m/>
    <n v="0"/>
    <n v="0"/>
    <n v="0"/>
    <n v="0"/>
    <m/>
    <n v="0.4819929915276244"/>
    <n v="2.820142360986216"/>
    <n v="3.595581260136478"/>
    <n v="0.2778776427275332"/>
    <n v="1.754704180256996"/>
    <x v="0"/>
    <m/>
    <x v="4"/>
    <x v="0"/>
    <s v="Defaut GE &amp; Power Cabinet"/>
    <x v="0"/>
    <s v="{05-25-2026 groupe whatsapp incident}:    impacted by NRD_088_H_Ngong-Town-IHS ,Cause: Probleme energie    Action: RCA attendu de IHS      ;      {hourly IHS}: 25/05/2026 16:49 0:30:05 FME Ayang is managing with level 0      ;      {05-25-2026 ocm ran 17H}: Power status check Ongoing"/>
  </r>
  <r>
    <s v="Makepe-Conteneur"/>
    <s v="LIT_730"/>
    <s v="Douala"/>
    <s v="CAMUSAT"/>
    <s v="Good Grid no GE - 8h"/>
    <s v="LITTORAL"/>
    <s v="Douala"/>
    <s v="ZTE"/>
    <n v="0"/>
    <n v="0"/>
    <n v="0"/>
    <n v="0.002140209398087501"/>
    <n v="0"/>
    <n v="6.323962069782242"/>
    <n v="0"/>
    <n v="0"/>
    <n v="0"/>
    <n v="0"/>
    <n v="0"/>
    <n v="0"/>
    <n v="0"/>
    <n v="0"/>
    <n v="0"/>
    <n v="0"/>
    <n v="0"/>
    <n v="0"/>
    <n v="0"/>
    <n v="0"/>
    <n v="0.3832044927275683"/>
    <n v="13.86855689960706"/>
    <n v="27.98122251614431"/>
    <n v="7.690646286165971"/>
    <m/>
    <n v="28.28759349148054"/>
    <m/>
    <n v="28.14291533616982"/>
    <m/>
    <n v="25.84932426455271"/>
    <m/>
    <m/>
    <n v="32.90538062910742"/>
    <n v="30.69791515068501"/>
    <n v="13.86855689960706"/>
    <n v="36.74714567406608"/>
    <m/>
    <n v="5.19077469872986"/>
    <n v="1.24046297295461"/>
    <n v="1.111081360438746"/>
    <n v="2.308179951714613"/>
    <n v="1.753830261419444"/>
    <x v="0"/>
    <m/>
    <x v="3"/>
    <x v="0"/>
    <s v="AKTIVCO Coupure ENEO &amp; Baisse de tension"/>
    <x v="0"/>
    <s v="{05-25-2026 ticket}: INC-20260525-00020989...Grid Outage"/>
  </r>
  <r>
    <s v="Pinyi-Ngali"/>
    <s v="NRO_091"/>
    <s v="NORD-OUEST"/>
    <s v="IHS"/>
    <s v="Solar+ Gen"/>
    <s v="NORD-OUEST"/>
    <s v="Pinyi-Ngali"/>
    <s v="NOKIA"/>
    <n v="0.03903784914452204"/>
    <n v="0.04546650156705871"/>
    <n v="3.818985200908827"/>
    <n v="0.0642594971921269"/>
    <n v="0.04631918334932946"/>
    <n v="0.03912401763999369"/>
    <n v="0.0232738157759291"/>
    <n v="0.06941164144596958"/>
    <n v="0.02488799351284068"/>
    <n v="0"/>
    <n v="0.08890501032056734"/>
    <n v="0"/>
    <n v="0"/>
    <n v="6.920117397619517"/>
    <n v="7.002461954210934"/>
    <n v="0.04933182662591708"/>
    <n v="0.06468782905719486"/>
    <n v="0.1297680298373727"/>
    <n v="0"/>
    <n v="0.07801063256028977"/>
    <n v="0"/>
    <n v="0.6439355026495792"/>
    <n v="1.029101853992061"/>
    <n v="0.01920837934783547"/>
    <m/>
    <n v="0"/>
    <m/>
    <n v="0"/>
    <m/>
    <n v="1.664637034754147"/>
    <m/>
    <m/>
    <n v="0"/>
    <n v="0"/>
    <n v="0"/>
    <n v="0"/>
    <m/>
    <n v="0.04048562778048877"/>
    <n v="6.044821529201586"/>
    <n v="2.589105388781787"/>
    <n v="0"/>
    <n v="1.732392497281934"/>
    <x v="1"/>
    <m/>
    <x v="4"/>
    <x v="0"/>
    <s v="Defaut GE &amp; Power Cabinet"/>
    <x v="0"/>
    <s v="{hourly IHS}: 25/05/2026 12:22 10:03:45 FME Roland is managing with level 0.      ;      {05-25-2026 ticket}: INC-20260525-00013088...Grid Outage"/>
  </r>
  <r>
    <s v="Salapoumbe-Ville-MTN-IHS"/>
    <s v="EST_103"/>
    <s v="CENTRE"/>
    <s v="IHS"/>
    <s v="Hybrid-Gen"/>
    <s v="EST"/>
    <s v="SALAPOUMBE"/>
    <s v="NOKIA"/>
    <n v="0.3814388199741464"/>
    <n v="0.7440437972451224"/>
    <n v="0.3770157205514321"/>
    <n v="0.4915169233491138"/>
    <n v="0.4493191280501551"/>
    <n v="0.2727340176296182"/>
    <n v="0.8885079316160293"/>
    <n v="1.551901504709887"/>
    <n v="1.190152611198146"/>
    <n v="0.4586468740101531"/>
    <n v="0.4015389532378515"/>
    <n v="0"/>
    <n v="1.78406071916743"/>
    <n v="1.899560686350886"/>
    <n v="1.971988939397831"/>
    <n v="3.252422717038635"/>
    <n v="1.303441028670245"/>
    <n v="1.897438312031116"/>
    <n v="1.818732111416447"/>
    <n v="1.809850242414384"/>
    <n v="0.0454277716486055"/>
    <n v="1.140196556831121"/>
    <n v="0.5407417395051265"/>
    <n v="0.4967782714527456"/>
    <m/>
    <n v="0.8168822570933675"/>
    <m/>
    <n v="3.223975767122388"/>
    <m/>
    <n v="3.213096369348778"/>
    <m/>
    <m/>
    <n v="0.4882174338603956"/>
    <n v="0.5703301344336863"/>
    <n v="0.08707085234552683"/>
    <n v="0.07824248857841586"/>
    <m/>
    <n v="1.417228828335231"/>
    <n v="12.12274038903477"/>
    <n v="0"/>
    <n v="0"/>
    <n v="1.731126206721399"/>
    <x v="0"/>
    <m/>
    <x v="14"/>
    <x v="2"/>
    <s v="SAT"/>
    <x v="2"/>
    <s v="Impacts :Coupure franche (25 sites VSAT Nokia)  ,Indisponibilité de plusieurs sites VSAT dans plusieurs regions @~Supervision Reseau Orange Cameroun  ; Cause: A Determiner_x000a_Action: Sans action      ;      {05-25-2026 ticket}: INC-20260525-00018461...Grid Outage"/>
  </r>
  <r>
    <s v="Martap"/>
    <s v="ADM_060"/>
    <s v="Ngaoundere"/>
    <s v="IHS"/>
    <s v="Solar-Gen"/>
    <s v="ADAMAOUA"/>
    <s v="Martap"/>
    <s v="NOKIA"/>
    <n v="9.251323624933224"/>
    <n v="9.485317435971899"/>
    <n v="9.82855717531409"/>
    <n v="4.331125829350218"/>
    <n v="0.1886198389199818"/>
    <n v="0.00775960622192517"/>
    <n v="0.1044213986664204"/>
    <n v="0.1581980211166961"/>
    <n v="0.06246057841784221"/>
    <n v="0.2146754054909752"/>
    <n v="0.2738031525676592"/>
    <n v="0"/>
    <n v="0.01596516682442076"/>
    <n v="0.01534083069162231"/>
    <n v="0.005636844788977805"/>
    <n v="0.07052968588811261"/>
    <n v="0.0814071945494176"/>
    <n v="0.495406072920636"/>
    <n v="0.2815003539713273"/>
    <n v="0.01382458579768285"/>
    <n v="0"/>
    <n v="0.01955006401979872"/>
    <n v="0.1751208067123842"/>
    <s v=""/>
    <m/>
    <n v="4.669852799543873"/>
    <m/>
    <n v="0.04056271285331368"/>
    <m/>
    <n v="1.52099417074675"/>
    <m/>
    <m/>
    <n v="0"/>
    <n v="0.2868643756397169"/>
    <n v="1.558646229837385"/>
    <n v="1.221151804487979"/>
    <m/>
    <n v="1.869651221556354"/>
    <n v="0.5770176132753019"/>
    <n v="0.1756058464939901"/>
    <n v="3.010723033180335"/>
    <n v="1.711408584372127"/>
    <x v="0"/>
    <m/>
    <x v="11"/>
    <x v="7"/>
    <s v="BSS Hardware issue"/>
    <x v="2"/>
    <s v="(05/25/2026 cell nokia): 25/05/2026 : Forte pluie dans la zone. Evidences partagees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cell nokia): 25/05/2026 : Forte pluie dans la zone. Evidences partagees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cell nokia): 25/05/2026 : Forte pluie dans la zone. Evidences partagees_x000a_22/05/2026 ; Feedback Warehouse ; La spare na pas pu ete transferer faute des agents de l'agence||ETD : demain matin_x000a_20/05/2026 : FRMF transfere sur ngaoundere || Expedition pour Ngaoudal || ETD 21052026_x000a_18/05/2026 ; La spare quitte  Maroua pour NDE aujourd'hui ETD : 20052026_x000a_17/05/2026 : Check breaker and  interconnection (sfp, optical fiber) between system and radio module, swap its if needed||FME  active ||Cmd de la radio FRMF en cour chez le warehouse de NDE.      ;      {05-25-2026 ticket}: INC-20260525-00017854...Others"/>
  </r>
  <r>
    <s v="Mambine"/>
    <s v="CTR_097"/>
    <s v="CENTRE"/>
    <s v="IHS"/>
    <s v="Grid-Gen"/>
    <s v="CENTRE"/>
    <s v="Mambine"/>
    <s v="NOKIA"/>
    <n v="0.0579250024615366"/>
    <n v="0.1950980482177138"/>
    <n v="0"/>
    <n v="0.001337630873804731"/>
    <n v="0.0836506024056391"/>
    <n v="0.480167266485184"/>
    <n v="0.466988206239877"/>
    <n v="0"/>
    <n v="0.02542403648380118"/>
    <n v="8.229160256236618"/>
    <n v="9.296743952169006"/>
    <n v="0"/>
    <n v="0"/>
    <n v="0"/>
    <n v="0.01685414900993909"/>
    <n v="0.04189459896756281"/>
    <n v="0.315930577314351"/>
    <n v="0.03952253355134933"/>
    <n v="0.008150630791049782"/>
    <n v="1.302281748579614"/>
    <n v="0"/>
    <n v="0.00240773557284831"/>
    <n v="0.6943017638179053"/>
    <n v="0.09418704859416782"/>
    <m/>
    <n v="0.0007134031326958908"/>
    <m/>
    <n v="1.28594481684088"/>
    <m/>
    <n v="0.001426806265391611"/>
    <m/>
    <m/>
    <n v="0.2497802718351297"/>
    <n v="1.031580929878179"/>
    <n v="0.5433813310961012"/>
    <n v="5.585357971423925"/>
    <m/>
    <n v="0.170503348714305"/>
    <n v="5.658894164478497"/>
    <n v="2.643294113446964"/>
    <n v="0"/>
    <n v="1.695473885164924"/>
    <x v="0"/>
    <m/>
    <x v="4"/>
    <x v="0"/>
    <s v="Defaut GE &amp; Power Cabinet"/>
    <x v="0"/>
    <s v="{05-25-2026 ticket}: INC-20260525-00020098...Grid Outage"/>
  </r>
  <r>
    <s v="Kika-IHS"/>
    <s v="EST_115"/>
    <s v="CENTRE"/>
    <s v="IHS"/>
    <s v="Hybrid-Gen"/>
    <s v="EST"/>
    <s v="Kika"/>
    <s v="NOKIA"/>
    <n v="1.582667014807395"/>
    <n v="1.592511978038598"/>
    <n v="1.611524171524942"/>
    <n v="1.591727234592632"/>
    <n v="1.581436394403495"/>
    <n v="1.609223446421998"/>
    <n v="1.605264059035536"/>
    <n v="1.589408674411371"/>
    <n v="1.599039616702765"/>
    <n v="1.602232095721579"/>
    <n v="2.185956373971629"/>
    <n v="0"/>
    <n v="1.910654105064306"/>
    <n v="4.524331327243724"/>
    <n v="3.671493552262487"/>
    <n v="1.721263408411879"/>
    <n v="1.684647992626265"/>
    <n v="4.621354153290357"/>
    <n v="3.796339100484257"/>
    <n v="1.662996207548946"/>
    <n v="0"/>
    <n v="2.627231881700639"/>
    <n v="3.157147728667106"/>
    <n v="3.141221003729672"/>
    <m/>
    <n v="3.130305935799425"/>
    <m/>
    <n v="3.44860857852999"/>
    <m/>
    <n v="1.64831793809373"/>
    <m/>
    <m/>
    <n v="1.677549631455941"/>
    <n v="1.747391798146864"/>
    <n v="1.66618868656776"/>
    <n v="1.752885002268622"/>
    <m/>
    <n v="3.167509909169513"/>
    <n v="11.84422322938024"/>
    <n v="0"/>
    <n v="0"/>
    <n v="1.691353982073606"/>
    <x v="0"/>
    <m/>
    <x v="14"/>
    <x v="2"/>
    <s v="SAT"/>
    <x v="2"/>
    <s v="Impacts :Coupure franche (25 sites VSAT Nokia)  ,Indisponibilité de plusieurs sites VSAT dans plusieurs regions @~Supervision Reseau Orange Cameroun  ; Cause: A Determiner_x000a_Action: Sans action      ;      {05-25-2026 ticket}: INC-20260525-00018483...Sans action...Grid Outage...A Determiner"/>
  </r>
  <r>
    <s v="Japoma-I"/>
    <s v="LIT_725"/>
    <s v="Douala"/>
    <s v="CAMUSAT"/>
    <s v="Good Grid no GE - 8h"/>
    <s v="LITTORAL"/>
    <s v="Douala"/>
    <s v="ZTE"/>
    <n v="0"/>
    <n v="9.916874266978283"/>
    <n v="0.001926188458278533"/>
    <n v="0"/>
    <n v="0"/>
    <n v="0"/>
    <n v="0"/>
    <n v="0"/>
    <n v="0"/>
    <n v="0"/>
    <n v="0"/>
    <n v="0.2579665727828145"/>
    <n v="0"/>
    <n v="0"/>
    <n v="0"/>
    <n v="7.438600959384532"/>
    <n v="0"/>
    <n v="0"/>
    <n v="0"/>
    <n v="0"/>
    <n v="0.6414385916851439"/>
    <n v="5.098781364768731"/>
    <n v="0"/>
    <n v="0"/>
    <m/>
    <n v="0"/>
    <m/>
    <n v="0"/>
    <m/>
    <n v="0"/>
    <m/>
    <m/>
    <n v="2.374794183196217"/>
    <n v="7.104228911089995"/>
    <n v="0"/>
    <n v="12.06592986391122"/>
    <m/>
    <n v="0"/>
    <n v="0.8457929171212866"/>
    <n v="0.7601296789307437"/>
    <n v="2.493203711364578"/>
    <n v="1.676140660268868"/>
    <x v="0"/>
    <m/>
    <x v="3"/>
    <x v="0"/>
    <s v="AKTIVCO Coupure ENEO &amp; Baisse de tension"/>
    <x v="0"/>
    <s v="{05-25-2026 ticket}: INC-20260525-00019538...Grid Outage"/>
  </r>
  <r>
    <s v="Mokolo"/>
    <s v="EXN_012"/>
    <s v="EXTREME-NORD"/>
    <s v="CAMUSAT"/>
    <s v="Medium Grid + GE"/>
    <s v="EXTREME-NORD"/>
    <s v="Mokolo"/>
    <s v="NOKIA"/>
    <n v="0"/>
    <n v="1.285773747232187"/>
    <n v="0.2367093956250069"/>
    <n v="0"/>
    <n v="0"/>
    <n v="0.001961972154968843"/>
    <n v="0.1919650531942835"/>
    <n v="1.641276982365359"/>
    <n v="0.4781926971657209"/>
    <n v="0.001605249944974445"/>
    <n v="0"/>
    <n v="0.0002675261747608899"/>
    <n v="2.172824117745978"/>
    <n v="2.054057871311999"/>
    <n v="0"/>
    <n v="0.9076410142957604"/>
    <n v="0.822577020617778"/>
    <n v="0"/>
    <n v="0"/>
    <n v="0"/>
    <n v="0.1512236290531996"/>
    <n v="0"/>
    <n v="0"/>
    <n v="0"/>
    <m/>
    <n v="0.05020865105670193"/>
    <m/>
    <n v="0.07505446457013198"/>
    <m/>
    <n v="0.4030964007551949"/>
    <m/>
    <m/>
    <n v="1.157585758190582"/>
    <n v="0"/>
    <n v="0"/>
    <n v="0.05632435328550852"/>
    <m/>
    <n v="0"/>
    <n v="1.264567821301392"/>
    <n v="4.121562422695613"/>
    <n v="0.1978146812967451"/>
    <n v="1.667394304419309"/>
    <x v="1"/>
    <m/>
    <x v="4"/>
    <x v="0"/>
    <s v="Defaut GE &amp; Power Cabinet"/>
    <x v="0"/>
    <s v="{05-25-2026  incident}:    impacted by   EXN_047_H_Hina  ,Cause: Probleme energie    Action: RCA attendu de IHS      ;      {05-25-2026 ticket}: INC-20260525-00020934...Others Transmission equipement fault"/>
  </r>
  <r>
    <s v="Dir"/>
    <s v="ADM_021"/>
    <s v="ADAMAOUA"/>
    <s v="IHS"/>
    <s v="Solar-Gen"/>
    <s v="ADAMAOUA"/>
    <s v="Dir"/>
    <s v="NOKIA"/>
    <n v="0.04034190680054899"/>
    <n v="0.081337371174915"/>
    <n v="0.09054351920832325"/>
    <n v="0.01819388565754686"/>
    <n v="0.1895702333857991"/>
    <n v="0.009632614620320862"/>
    <n v="0.1076929521466017"/>
    <n v="0.1816426628437785"/>
    <n v="3.592377473302923"/>
    <n v="2.316762544006239"/>
    <n v="0.2890511885681288"/>
    <n v="0"/>
    <n v="0.1136291761693412"/>
    <n v="0.02488425443582899"/>
    <n v="0.03690717214838572"/>
    <n v="0.1745465445552597"/>
    <n v="0.21898095591805"/>
    <n v="0.08936925786631081"/>
    <n v="0.09168291399979443"/>
    <n v="0.06261199503208598"/>
    <n v="0"/>
    <n v="0.09944782686720227"/>
    <n v="0.1077425783458122"/>
    <n v="0.03282224240998253"/>
    <m/>
    <n v="4.526969729691846"/>
    <m/>
    <n v="2.162106826605886"/>
    <m/>
    <n v="0.9492444268393166"/>
    <m/>
    <m/>
    <n v="0.232087874144273"/>
    <n v="0.04928732358377138"/>
    <n v="0.5000172412157339"/>
    <n v="1.852814363862773"/>
    <m/>
    <n v="1.945640132257215"/>
    <n v="0.2235631012473572"/>
    <n v="4.843281845447155"/>
    <n v="0"/>
    <n v="1.657870368197411"/>
    <x v="0"/>
    <m/>
    <x v="4"/>
    <x v="0"/>
    <s v="Defaut GE &amp; Power Cabinet"/>
    <x v="0"/>
    <s v="(05/25/2026 cell nokia): _x000a_21/05/2026 : Need BO RAN analysis ||Closed after reset but check and replace FXDB if needed      ;      {05-25-2026 ticket}: INC-20260525-00017976...Grid Outage"/>
  </r>
  <r>
    <s v="Ngo-Njo-II"/>
    <s v="LIT_585"/>
    <s v="Douala"/>
    <s v="CAMUSAT"/>
    <s v="Medium Grid + GE"/>
    <s v="LITTORAL"/>
    <s v="Douala"/>
    <s v="ZTE"/>
    <n v="3.314809820992887"/>
    <n v="35.62344656467855"/>
    <n v="35.84039245733136"/>
    <n v="3.093369488604098"/>
    <n v="7.288928982144946"/>
    <n v="20.36685685994184"/>
    <n v="5.789694463706331"/>
    <n v="5.13049213401706"/>
    <n v="19.9763934903391"/>
    <n v="25.62535135104286"/>
    <n v="1.31902888711965"/>
    <n v="0"/>
    <n v="13.37188563862422"/>
    <n v="0.8068054378440389"/>
    <n v="0.5412767918546494"/>
    <n v="7.982963219788091"/>
    <n v="8.395791777600854"/>
    <n v="45.48922333227748"/>
    <n v="3.420143793535425"/>
    <n v="0.7651070247379672"/>
    <n v="4.179846789543222"/>
    <n v="12.58179166916358"/>
    <n v="0.6351071388824694"/>
    <n v="4.355005093698367"/>
    <m/>
    <n v="1.072298413676795"/>
    <m/>
    <n v="22.48099137352932"/>
    <m/>
    <n v="0.2750704128891964"/>
    <m/>
    <m/>
    <n v="4.150561590946058"/>
    <n v="7.390036041126265"/>
    <n v="1.075259036677482"/>
    <n v="0.182274500403786"/>
    <m/>
    <n v="12.76724081350786"/>
    <n v="0.6984161241202356"/>
    <n v="0.5925696420739098"/>
    <n v="2.605278177237578"/>
    <n v="1.65728898248738"/>
    <x v="0"/>
    <m/>
    <x v="2"/>
    <x v="1"/>
    <s v="no root cause"/>
    <x v="1"/>
    <s v=""/>
  </r>
  <r>
    <s v="Bda-Titam-Naka"/>
    <s v="OST_113"/>
    <s v="NORD-OUEST"/>
    <s v="IHS"/>
    <s v="Grid-Gen"/>
    <s v="OUEST"/>
    <s v="Bamenda"/>
    <s v="Huawei"/>
    <n v="0"/>
    <n v="0"/>
    <n v="0"/>
    <n v="0"/>
    <n v="0.5628750716970148"/>
    <n v="0"/>
    <n v="0"/>
    <n v="0"/>
    <n v="0"/>
    <n v="0"/>
    <n v="1.038447435030377"/>
    <n v="0"/>
    <n v="0"/>
    <n v="1.090704214500347"/>
    <n v="0"/>
    <n v="0"/>
    <n v="0"/>
    <n v="3.527189933596436"/>
    <n v="0"/>
    <n v="0"/>
    <n v="0"/>
    <n v="0"/>
    <n v="0"/>
    <n v="0"/>
    <m/>
    <n v="0"/>
    <m/>
    <n v="0"/>
    <m/>
    <n v="0"/>
    <m/>
    <m/>
    <n v="0"/>
    <n v="0"/>
    <n v="0"/>
    <n v="0"/>
    <m/>
    <n v="0"/>
    <n v="2.167562917401053"/>
    <n v="3.730521809792902"/>
    <n v="0.1292772294781632"/>
    <n v="1.629323579685703"/>
    <x v="0"/>
    <m/>
    <x v="4"/>
    <x v="0"/>
    <s v="Defaut GE &amp; Power Cabinet"/>
    <x v="0"/>
    <s v="{hourly IHS}: 25/05/2026 08:53 3:07:00 36v FME Jeff is managing with level 0."/>
  </r>
  <r>
    <s v="Maroua-Doualare-II"/>
    <s v="EXN_111"/>
    <s v="Maroua"/>
    <s v="IHS"/>
    <s v="Grid-Gen"/>
    <s v="EXTREME-NORD"/>
    <s v="Maroua"/>
    <s v="Huawei"/>
    <n v="0"/>
    <n v="0"/>
    <n v="1.031723610504718"/>
    <n v="0"/>
    <n v="0"/>
    <n v="0"/>
    <n v="0.004815471145696896"/>
    <n v="0"/>
    <n v="0"/>
    <n v="0"/>
    <n v="0"/>
    <n v="0"/>
    <n v="0"/>
    <n v="0"/>
    <n v="0.1435723804550371"/>
    <n v="0"/>
    <n v="0"/>
    <n v="3.732935397065916"/>
    <n v="0"/>
    <n v="0"/>
    <n v="0"/>
    <n v="0"/>
    <n v="0"/>
    <n v="0"/>
    <m/>
    <n v="0"/>
    <m/>
    <n v="0"/>
    <m/>
    <n v="0"/>
    <m/>
    <m/>
    <n v="0"/>
    <n v="0"/>
    <n v="1.133330051678923"/>
    <n v="0"/>
    <m/>
    <n v="0"/>
    <n v="2.643415104972243"/>
    <n v="3.384670243547503"/>
    <n v="0.2185400784035617"/>
    <n v="1.627718422637137"/>
    <x v="0"/>
    <m/>
    <x v="4"/>
    <x v="0"/>
    <s v="Defaut GE &amp; Power Cabinet"/>
    <x v="0"/>
    <s v="{hourly IHS}: 25/05/2026 16:44 0:35:05 FME Romaric is managing with level 0"/>
  </r>
  <r>
    <s v="Micro_SNH"/>
    <s v="CTR_843"/>
    <s v="Yaounde"/>
    <s v="CAMUSAT"/>
    <s v="Good Grid no GE - 8h"/>
    <s v="CENTRE"/>
    <s v="Yaounde"/>
    <s v="ZTE"/>
    <n v="0.2993439544791726"/>
    <n v="0.6473420026082018"/>
    <n v="0"/>
    <n v="0.2143241361401467"/>
    <n v="0"/>
    <n v="0"/>
    <n v="0"/>
    <n v="0.8269055711077438"/>
    <n v="0.1798132595959857"/>
    <n v="0.1820783145422949"/>
    <n v="0.006260112489405916"/>
    <n v="0.06695288400350427"/>
    <n v="0.5049467373221126"/>
    <n v="0"/>
    <n v="0.3344255535294906"/>
    <n v="0.2093838194462281"/>
    <n v="0.2256315757933753"/>
    <n v="0"/>
    <n v="0.1848605867598087"/>
    <n v="0"/>
    <n v="0"/>
    <n v="0.512116438805706"/>
    <n v="0.3642458044761767"/>
    <n v="0.7914672704910778"/>
    <m/>
    <n v="0.2379021096757442"/>
    <m/>
    <n v="0.1924404950447019"/>
    <m/>
    <n v="0"/>
    <m/>
    <m/>
    <n v="0"/>
    <n v="0.3185523338270085"/>
    <n v="0.1551651813613439"/>
    <n v="2.419578064851198"/>
    <m/>
    <n v="0"/>
    <n v="0"/>
    <n v="3.013796236794952"/>
    <n v="1.18018482402975"/>
    <n v="1.627219040444251"/>
    <x v="0"/>
    <m/>
    <x v="2"/>
    <x v="1"/>
    <s v="no root cause"/>
    <x v="1"/>
    <s v=""/>
  </r>
  <r>
    <s v="Garoua-Boulai-new"/>
    <s v="EST_118"/>
    <s v="CENTRE"/>
    <s v="IHS"/>
    <s v="Grid-Gen"/>
    <s v="EST"/>
    <s v="Garoua-Boulai"/>
    <s v="ZTE"/>
    <n v="2.692811464673704"/>
    <n v="0"/>
    <n v="0"/>
    <n v="0.5325376034791243"/>
    <n v="0"/>
    <n v="0"/>
    <n v="0"/>
    <n v="8.684529069889332e-17"/>
    <n v="0"/>
    <n v="0"/>
    <n v="0"/>
    <n v="0"/>
    <n v="0"/>
    <n v="0"/>
    <n v="0"/>
    <n v="0"/>
    <n v="0"/>
    <n v="0"/>
    <n v="0"/>
    <n v="0"/>
    <n v="0.3762844823404193"/>
    <n v="0.07818898334346311"/>
    <n v="8.684529069889332e-17"/>
    <n v="0"/>
    <m/>
    <n v="0.02634241067479354"/>
    <m/>
    <n v="0"/>
    <m/>
    <n v="0"/>
    <m/>
    <m/>
    <n v="0"/>
    <n v="0"/>
    <n v="0"/>
    <n v="7.23710755824111e-17"/>
    <m/>
    <n v="0"/>
    <n v="1.363110439672434"/>
    <n v="1.155760495187191"/>
    <n v="1.988577912171377"/>
    <n v="1.619674802315992"/>
    <x v="0"/>
    <m/>
    <x v="2"/>
    <x v="1"/>
    <s v="no root cause"/>
    <x v="1"/>
    <s v="{05-25-2026  incident}:    impacted by   EST_055_Z_Gado-Badzere(EST-055)"/>
  </r>
  <r>
    <s v="Bertoua-Meteo-II"/>
    <s v="EST_124"/>
    <s v="CENTRE"/>
    <s v="CAMUSAT"/>
    <s v="Good Grid + GE"/>
    <s v="EST"/>
    <s v="Bertoua"/>
    <s v="ZTE"/>
    <n v="0"/>
    <n v="0.9076093004939594"/>
    <n v="0"/>
    <n v="0.1184070849491917"/>
    <n v="0"/>
    <n v="5.86898922190547"/>
    <n v="0"/>
    <n v="0"/>
    <n v="0.9055047612525078"/>
    <n v="0"/>
    <n v="1.938066620438143"/>
    <n v="0"/>
    <n v="1.312055371497547"/>
    <n v="0.2918710566641842"/>
    <n v="1.88261736194936"/>
    <n v="0.7378906952256209"/>
    <n v="0.674540497042231"/>
    <n v="0"/>
    <n v="3.193477783199641"/>
    <n v="2.748260723162487"/>
    <n v="0"/>
    <n v="0"/>
    <n v="0.6464859188489667"/>
    <n v="0.0005350523495218772"/>
    <m/>
    <n v="0"/>
    <m/>
    <n v="0"/>
    <m/>
    <n v="0"/>
    <m/>
    <m/>
    <n v="7.23710755824111e-17"/>
    <n v="0.2498159419917645"/>
    <n v="3.935399206124995"/>
    <n v="0"/>
    <m/>
    <n v="0.3047123130527089"/>
    <n v="1.877555363715933"/>
    <n v="0.7960961167722398"/>
    <n v="2.058004572446686"/>
    <n v="1.608599218680889"/>
    <x v="0"/>
    <m/>
    <x v="0"/>
    <x v="0"/>
    <s v="AKTIVCO Defaut GE &amp; Power Cabinet"/>
    <x v="0"/>
    <s v="{05-25-2026 ticket}: INC-20260525-00013956...Grid Outage"/>
  </r>
  <r>
    <s v="Ngd-Trouamala"/>
    <s v="ADM_058"/>
    <s v="Ngaoundere"/>
    <s v="IHS"/>
    <s v="Grid-Gen"/>
    <s v="ADAMAOUA"/>
    <s v="Ngaoundere"/>
    <s v="Huawei"/>
    <n v="1.797169501730716"/>
    <n v="0.8496631310407412"/>
    <n v="0"/>
    <n v="0"/>
    <n v="0"/>
    <n v="0"/>
    <n v="0.4631769839027716"/>
    <n v="0"/>
    <n v="0.2213333219188832"/>
    <n v="0.6770552430849834"/>
    <n v="0.9865116869701198"/>
    <n v="9.244420474099186"/>
    <n v="0.5058919964729349"/>
    <n v="0"/>
    <n v="0"/>
    <n v="0"/>
    <n v="0.3939412098746408"/>
    <n v="0.06563308820801694"/>
    <n v="0"/>
    <n v="0"/>
    <n v="9.244366968864234"/>
    <n v="0"/>
    <n v="0"/>
    <n v="0"/>
    <m/>
    <n v="0"/>
    <m/>
    <n v="0"/>
    <m/>
    <n v="0"/>
    <m/>
    <m/>
    <n v="0"/>
    <n v="0"/>
    <n v="4.916060987407007"/>
    <n v="10.36715648925757"/>
    <m/>
    <n v="0.9574761794693993"/>
    <n v="2.750200832104361"/>
    <n v="3.512970018122409"/>
    <n v="0"/>
    <n v="1.572072978286862"/>
    <x v="0"/>
    <m/>
    <x v="4"/>
    <x v="0"/>
    <s v="Defaut GE &amp; Power Cabinet"/>
    <x v="0"/>
    <s v=" {05-25-2026  incident}:    impacted by   ADM_115_H_Ngd-Aoudi  ,Cause: Power issue å ADM 058_H_Ngd-Trouamala    ;Action: En attente RCA HIS       ;      {hourly IHS}: 25/05/2026 22:02 0:57:12 FME Yannick is managing with level 0"/>
  </r>
  <r>
    <s v="Kong-Kong-IHS"/>
    <s v="NRD_070"/>
    <s v="NORD"/>
    <s v="IHS"/>
    <s v="Solar-Gen"/>
    <s v="NORD"/>
    <s v="KongKong"/>
    <s v="NOKIA"/>
    <n v="0"/>
    <n v="0.0009809860774845072"/>
    <n v="0.02548372677755864"/>
    <n v="0"/>
    <n v="0"/>
    <n v="0"/>
    <n v="0"/>
    <n v="0.1084337905057267"/>
    <n v="0"/>
    <n v="0"/>
    <n v="0"/>
    <n v="0"/>
    <n v="0.1179243654763329"/>
    <n v="0.01578486489584052"/>
    <n v="0.3013532404877876"/>
    <n v="0"/>
    <n v="0"/>
    <n v="0"/>
    <n v="0"/>
    <n v="0"/>
    <n v="0"/>
    <n v="0"/>
    <n v="0"/>
    <n v="0"/>
    <m/>
    <n v="0"/>
    <m/>
    <n v="0"/>
    <m/>
    <n v="0.07446315507595686"/>
    <m/>
    <m/>
    <n v="1.005185013968433"/>
    <n v="1.518068361141788"/>
    <n v="3.147536631542911"/>
    <n v="3.859336365556173"/>
    <m/>
    <n v="3.396861887047936"/>
    <n v="0"/>
    <n v="4.596479249375998"/>
    <n v="0"/>
    <n v="1.543091099882972"/>
    <x v="0"/>
    <m/>
    <x v="11"/>
    <x v="7"/>
    <s v="BSS Hardware issue"/>
    <x v="2"/>
    <s v="(05/25/2026 cell nokia): 25/05/2026 : FME presnetement sur le site de Sonahel || Intervention apres Sonahel || ETA : 15H _x000a_23/05/2026: Fme actuellement a l'agence pour recuperer la spare ET Interviendra sur site apres les site de Bodouba et So-Djay ||ETA: Demain matin_x000a_22/05/2026 : Reception de la FXDB prevu ce soiR_x000a_21/05/2026 : Cde FXDB en cours_x000a_19/05/2026 : Need BO RAN analysis||Site actually down but FME should check and replace FXDB if issue persist|| FME activer. ||Besoin de la FXDB      ;      (05/25/2026 cell nokia): 25/05/2026 : FME presnetement sur le site de Sonahel || Intervention apres Sonahel || ETA : 15H|| Intervention reporte a demain_x000a_23/05/2026: Fme actuellement a l'agence pour recuperer la spare ET Interviendra sur site apres les site de Bodouba et So-Djay ||ETA: Demain matin_x000a_22/05/2026 : Reception de la FXDB prevu ce soiR_x000a_21/05/2026 : Cde FXDB en cours_x000a_19/05/2026 : Need BO RAN analysis||Site actually down but FME should check and replace FXDB if issue persist|| FME activer. ||Besoin de la FXDB      ;      (05/25/2026 cell nokia): 25/05/2026 : FME presnetement sur le site de Sonahel || Intervention apres Sonahel || ETA : 15H||Escalade faite au RM || En attente du feedback du RM _x000a_23/05/2026: Fme actuellement a l'agence pour recuperer la spare ET Interviendra sur site apres les site de Bodouba et So-Djay ||ETA: Demain matin_x000a_22/05/2026 : Reception de la FXDB prevu ce soiR_x000a_21/05/2026 : Cde FXDB en cours_x000a_19/05/2026 : Need BO RAN analysis||Site actually down but FME should check and replace FXDB if issue persist|| FME activer. ||Besoin de la FXDB"/>
  </r>
  <r>
    <s v="CTR_1055_Z_Ndisamba"/>
    <s v="CTR_1055"/>
    <s v="Yaounde"/>
    <s v="IHS"/>
    <s v="Grid-Gen"/>
    <s v="CTR"/>
    <s v="Yaounde"/>
    <s v="ZTE"/>
    <n v="0"/>
    <n v="0"/>
    <n v="0"/>
    <n v="0.03679376656878774"/>
    <n v="0"/>
    <n v="0.3126489229039505"/>
    <n v="0.03782820111119665"/>
    <n v="0"/>
    <n v="0"/>
    <n v="0"/>
    <n v="0"/>
    <n v="0"/>
    <n v="6.237051733141571"/>
    <s v=""/>
    <n v="0"/>
    <n v="0"/>
    <n v="0"/>
    <n v="0"/>
    <n v="0"/>
    <n v="0"/>
    <n v="0"/>
    <n v="0"/>
    <n v="0.3750716970148361"/>
    <n v="0"/>
    <m/>
    <n v="0"/>
    <m/>
    <n v="0"/>
    <m/>
    <n v="0"/>
    <m/>
    <m/>
    <n v="0"/>
    <n v="0"/>
    <n v="0"/>
    <n v="0"/>
    <m/>
    <n v="0"/>
    <n v="0"/>
    <n v="0.6853279884125393"/>
    <n v="2.517314940672012"/>
    <n v="1.542823449846333"/>
    <x v="0"/>
    <m/>
    <x v="2"/>
    <x v="1"/>
    <s v="no root cause"/>
    <x v="1"/>
    <s v=""/>
  </r>
  <r>
    <s v="La-Falaise"/>
    <s v="LIT_041"/>
    <s v="Douala"/>
    <s v="IHS"/>
    <s v="Grid-Gen (LL)"/>
    <s v="LITTORAL"/>
    <s v="Douala"/>
    <s v="ZTE"/>
    <n v="1.540950766623006"/>
    <n v="1.540950766623006"/>
    <n v="1.540950766623006"/>
    <n v="1.540950766623006"/>
    <n v="1.540950766623006"/>
    <n v="1.540950766623006"/>
    <n v="1.540950766623006"/>
    <n v="1.540950766623006"/>
    <n v="1.540950766623006"/>
    <n v="1.540950766623006"/>
    <n v="1.540950766623006"/>
    <n v="57.19030099904972"/>
    <n v="1.540950766623006"/>
    <n v="1.540950766623006"/>
    <n v="1.540950766623006"/>
    <n v="1.540950766623006"/>
    <n v="1.540950766623006"/>
    <n v="1.031045877528658"/>
    <n v="0"/>
    <n v="0"/>
    <n v="0"/>
    <n v="0"/>
    <n v="0"/>
    <n v="0"/>
    <m/>
    <n v="0"/>
    <m/>
    <n v="0"/>
    <m/>
    <n v="0"/>
    <m/>
    <m/>
    <n v="3.081901533246013"/>
    <n v="4.236009451164702"/>
    <n v="3.081901533246013"/>
    <n v="3.087626593385897"/>
    <m/>
    <n v="3.081901533246013"/>
    <n v="0"/>
    <n v="0"/>
    <n v="2.958328134883894"/>
    <n v="1.542734274454746"/>
    <x v="2"/>
    <m/>
    <x v="9"/>
    <x v="5"/>
    <s v="EXCLU"/>
    <x v="4"/>
    <s v="(05/25/2026 cell zte): 25/05/2026 : Le FME ira ce jour recuperer ce jour recuperer la nouvelle F.O ||  Intervention prevue pour ce jour apres recuperation _x000a_24/05/2026 : Commande d'une nopuvelle fibre en cours _x000a_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_x000a_22/05/2026 : FME activer || ETA : 13H || Access issue _x000a_21/04/2026 : FME en route pour le site || ETA 13h || FME sur site || Intervention en cours || Le FME a remplacer la F.O mais les cellules restent down || Suite des checks demain avec l'assistance du BO_x000a_20/05/2026 : FME etait sur site apres avoir remplacer le power connector a constater que la fibre etait faulty || Commande de la fibre passe  _x000a_      ;      (05/25/2026 cell zte): 25/05/2026 : Le FME ira ce jour recuperer ce jour recuperer la nouvelle F.O ||  Intervention prevue pour ce jour apres recuperation _x000a_24/05/2026 : Commande d'une nopuvelle fibre en cours _x000a_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_x000a_22/05/2026 : FME activer || ETA : 13H || Access issue _x000a_21/04/2026 : FME en route pour le site || ETA 13h || FME sur site || Intervention en cours || Le FME a remplacer la F.O mais les cellules restent down || Suite des checks demain avec l'assistance du BO_x000a_20/05/2026 : FME etait sur site apres avoir remplacer le power connector a constater que la fibre etait faulty || Commande de la fibre passe  _x000a_      ;      (05/25/2026 cell zte): 25/05/2026 : Le FME ira ce jour recuperer ce jour recuperer la nouvelle F.O ||  Intervention prevue pour ce jour apres recuperation _x000a_24/05/2026 : Commande d'une nopuvelle fibre en cours _x000a_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_x000a_22/05/2026 : FME activer || ETA : 13H || Access issue _x000a_21/04/2026 : FME en route pour le site || ETA 13h || FME sur site || Intervention en cours || Le FME a remplacer la F.O mais les cellules restent down || Suite des checks demain avec l'assistance du BO_x000a_20/05/2026 : FME etait sur site apres avoir remplacer le power connector a constater que la fibre etait faulty || Commande de la fibre passe  _x000a_"/>
  </r>
  <r>
    <s v="Mabenanga-Kribi"/>
    <s v="SUD_090"/>
    <s v="CENTRE"/>
    <s v="CAMUSAT"/>
    <s v="HGB"/>
    <s v="SUD"/>
    <s v="Kribi"/>
    <s v="ZTE"/>
    <n v="0"/>
    <n v="0"/>
    <n v="0.5556161948218361"/>
    <n v="0"/>
    <n v="0"/>
    <n v="0"/>
    <n v="0"/>
    <n v="0"/>
    <n v="14.42494000279654"/>
    <n v="0"/>
    <n v="0"/>
    <n v="5.805773472774013"/>
    <n v="0"/>
    <n v="0"/>
    <n v="0.009220735490094041"/>
    <n v="0"/>
    <n v="0"/>
    <n v="1.912651633835852"/>
    <n v="0"/>
    <n v="0.5102972608173311"/>
    <n v="4.621675184700071"/>
    <n v="0"/>
    <n v="0.3936023433866098"/>
    <n v="0"/>
    <m/>
    <n v="0"/>
    <m/>
    <n v="0"/>
    <m/>
    <n v="0.4746092691042217"/>
    <m/>
    <m/>
    <n v="1.540950766623006"/>
    <n v="1.540950766623006"/>
    <n v="1.540950766623006"/>
    <n v="3.668907465906465"/>
    <m/>
    <n v="4.986473876604087"/>
    <n v="10.79097874177188"/>
    <n v="0"/>
    <n v="0"/>
    <n v="1.540950766623006"/>
    <x v="0"/>
    <m/>
    <x v="7"/>
    <x v="3"/>
    <s v="Sites strategiques, MLL, Pylone, etc."/>
    <x v="0"/>
    <s v="(05/25/2026 cell zte): 22/05/2026 : Rapport recu et transferer a Camusat || En attente du support de Camusat_x000a_20/05/2026 : En attente du RI pour  avoir le support de Camusat _x000a_19/05/2026 : FME activer pour investiguation || ETA : 11H ||FME dis qu'il a n'a pas pu intervenir sur le site a cause de la presence des guepes || RI est attendu pour interpeller Camusat _x000a_18/05/2026 : Feedback BO : RRU 52 link interrupted / FME Need to check RRU _x000a_17/05/2026 : Need BO RAN analysis      ;      (05/25/2026 cell zte): 22/05/2026 : Rapport recu et transferer a Camusat || En attente du support de Camusat_x000a_20/05/2026 : En attente du RI pour  avoir le support de Camusat _x000a_19/05/2026 : FME activer pour investiguation || ETA : 11H ||FME dis qu'il a n'a pas pu intervenir sur le site a cause de la presence des guepes || RI est attendu pour interpeller Camusat _x000a_18/05/2026 : Feedback BO : RRU 52 link interrupted / FME Need to check RRU _x000a_17/05/2026 : Need BO RAN analysis      ;      (05/25/2026 cell zte): 22/05/2026 : Rapport recu et transferer a Camusat || En attente du support de Camusat_x000a_20/05/2026 : En attente du RI pour  avoir le support de Camusat _x000a_19/05/2026 : FME activer pour investiguation || ETA : 11H ||FME dis qu'il a n'a pas pu intervenir sur le site a cause de la presence des guepes || RI est attendu pour interpeller Camusat _x000a_18/05/2026 : Feedback BO : RRU 52 link interrupted / FME Need to check RRU _x000a_17/05/2026 : Need BO RAN analysis"/>
  </r>
  <r>
    <s v="Wouri"/>
    <s v="LIT_087"/>
    <s v="Douala"/>
    <s v="IHS"/>
    <s v="Grid-Gen"/>
    <s v="LITTORAL"/>
    <s v="Douala"/>
    <s v="ZTE"/>
    <n v="1.540950766623006"/>
    <n v="1.540950766623006"/>
    <n v="1.540950766623006"/>
    <n v="1.540950766623006"/>
    <n v="1.540950766623006"/>
    <n v="1.540950766623006"/>
    <n v="1.540950766623006"/>
    <n v="1.540950766623006"/>
    <n v="2.314975330519672"/>
    <n v="14.73140015352435"/>
    <n v="1.540950766623006"/>
    <n v="2.0564380352307"/>
    <n v="1.540950766623006"/>
    <n v="1.540950766623006"/>
    <n v="1.540950766623006"/>
    <n v="1.540950766623006"/>
    <n v="1.540950766623006"/>
    <n v="1.540950766623006"/>
    <n v="1.540950766623006"/>
    <n v="1.117991884325963"/>
    <n v="0"/>
    <n v="0"/>
    <n v="0"/>
    <n v="0"/>
    <m/>
    <n v="0"/>
    <m/>
    <n v="0"/>
    <m/>
    <n v="0"/>
    <m/>
    <m/>
    <n v="1.540950766623006"/>
    <n v="9.24343954479173"/>
    <n v="1.163667519896813"/>
    <n v="1.540950766623006"/>
    <m/>
    <n v="1.540950766623006"/>
    <n v="0"/>
    <n v="4.590103736344441"/>
    <n v="0"/>
    <n v="1.540950766623006"/>
    <x v="2"/>
    <m/>
    <x v="9"/>
    <x v="5"/>
    <s v="EXCLU"/>
    <x v="4"/>
    <s v=""/>
  </r>
  <r>
    <s v="Mora-II"/>
    <s v="EXN_032"/>
    <s v="EXTREME-NORD"/>
    <s v="IHS"/>
    <s v="Grid-Gen"/>
    <s v="EXTREME-NORD"/>
    <s v="Mora"/>
    <s v="Huawei"/>
    <n v="0"/>
    <n v="0"/>
    <n v="0"/>
    <n v="0"/>
    <n v="0"/>
    <n v="0"/>
    <n v="0"/>
    <n v="0"/>
    <n v="0"/>
    <n v="0"/>
    <n v="0"/>
    <n v="0"/>
    <n v="7.600507800349854"/>
    <n v="28.45149786121742"/>
    <n v="27.73550864216554"/>
    <n v="27.73711379921413"/>
    <n v="16.16241549739894"/>
    <n v="0"/>
    <n v="0"/>
    <n v="0"/>
    <n v="0"/>
    <n v="8.692638821115592"/>
    <n v="7.436335904438224"/>
    <n v="0"/>
    <m/>
    <n v="0.001159280090630734"/>
    <m/>
    <n v="0"/>
    <m/>
    <n v="0"/>
    <m/>
    <m/>
    <n v="2.262540200266527"/>
    <n v="0"/>
    <n v="0.1411646448821886"/>
    <n v="1.540950766623006"/>
    <m/>
    <n v="1.412538202737756"/>
    <n v="10.79097874177188"/>
    <n v="0"/>
    <n v="0"/>
    <n v="1.540950766623006"/>
    <x v="1"/>
    <m/>
    <x v="2"/>
    <x v="1"/>
    <s v="no root cause"/>
    <x v="1"/>
    <s v=""/>
  </r>
  <r>
    <s v="Ntumansah"/>
    <s v="NRO_002"/>
    <s v="NORD-OUEST"/>
    <s v="IHS"/>
    <s v="Grid-Gen"/>
    <s v="NORD-OUEST"/>
    <s v="Bamenda"/>
    <s v="Huawei"/>
    <n v="0"/>
    <n v="0"/>
    <n v="0"/>
    <n v="0"/>
    <n v="0"/>
    <n v="0"/>
    <n v="0"/>
    <n v="0"/>
    <n v="0"/>
    <n v="0"/>
    <n v="0.0005350523495218773"/>
    <n v="0"/>
    <n v="0"/>
    <n v="0"/>
    <n v="0"/>
    <n v="0"/>
    <n v="0"/>
    <n v="1.769917502061735"/>
    <n v="1.540950766623006"/>
    <n v="1.540861591231419"/>
    <n v="0"/>
    <n v="1.540950766623006"/>
    <n v="1.540861591231419"/>
    <n v="1.540950766623006"/>
    <m/>
    <n v="1.540861591231419"/>
    <m/>
    <n v="1.540950766623006"/>
    <m/>
    <n v="2.904799205554272"/>
    <m/>
    <m/>
    <n v="1.540861591231419"/>
    <n v="1.540950766623006"/>
    <n v="1.540861591231419"/>
    <n v="1.540950766623006"/>
    <m/>
    <n v="1.155713074967255"/>
    <n v="10.79097874177188"/>
    <n v="0"/>
    <n v="0"/>
    <n v="1.540950766623006"/>
    <x v="0"/>
    <m/>
    <x v="2"/>
    <x v="1"/>
    <s v="no root cause"/>
    <x v="1"/>
    <s v=""/>
  </r>
  <r>
    <s v="Bsadi-Lycee-CAMTEL"/>
    <s v="LIT_643"/>
    <s v="Douala"/>
    <s v="CAMUSAT"/>
    <s v="Good Grid no GE - 12h"/>
    <s v="LITTORAL"/>
    <s v="Douala"/>
    <s v="ZTE"/>
    <n v="0"/>
    <n v="0"/>
    <n v="0"/>
    <n v="0"/>
    <n v="0"/>
    <n v="0"/>
    <n v="1.843469365042676"/>
    <n v="1.257961578960884"/>
    <n v="0.385326867047338"/>
    <n v="2.881774119446513"/>
    <n v="1.207577482714242"/>
    <n v="0"/>
    <n v="0.5819407704183112"/>
    <n v="0.5212301638258958"/>
    <n v="0.002978458079005126"/>
    <n v="2.068708569113069"/>
    <n v="0.002746602060878829"/>
    <n v="0.002764437139196342"/>
    <n v="0"/>
    <n v="0.6111902988588412"/>
    <n v="0.0002675261747609386"/>
    <n v="0.1024625249334396"/>
    <n v="16.00596619039873"/>
    <n v="29.58420368515522"/>
    <m/>
    <n v="2.455283891642625"/>
    <m/>
    <n v="5.708277331187417"/>
    <m/>
    <n v="8.259335593394457"/>
    <m/>
    <m/>
    <n v="0.01491012547334297"/>
    <n v="0"/>
    <n v="0.0933131297566149"/>
    <n v="0.9973910847437309"/>
    <m/>
    <n v="0.5171280958128953"/>
    <n v="0"/>
    <n v="1.346483555528355"/>
    <n v="2.081089791996358"/>
    <n v="1.537294575567941"/>
    <x v="0"/>
    <m/>
    <x v="3"/>
    <x v="0"/>
    <s v="AKTIVCO Coupure ENEO &amp; Baisse de tension"/>
    <x v="0"/>
    <s v="{05-25-2026 ticket}: INC-20260525-00020885...Grid Outage"/>
  </r>
  <r>
    <s v="Kaele-Guiedame"/>
    <s v="EXN_095"/>
    <s v="EXTREME-NORD"/>
    <s v="IHS"/>
    <s v="Grid-Gen"/>
    <s v="EXTREME-NORD"/>
    <s v="Kaele"/>
    <s v="NOKIA"/>
    <n v="0.01168265237731437"/>
    <n v="0"/>
    <n v="0.4207786043052857"/>
    <n v="3.957821382291834"/>
    <n v="0.09798257342134213"/>
    <n v="3.567015663476602e-05"/>
    <n v="7.134031326976364e-05"/>
    <n v="3.551909503948811"/>
    <n v="4.530522062934411"/>
    <n v="5.348943149302417"/>
    <n v="11.41426983564599"/>
    <n v="2.997541612804731"/>
    <n v="0.2536789178074909"/>
    <n v="0.02677149505855535"/>
    <n v="0.5140903643303044"/>
    <n v="5.350523495217798e-05"/>
    <n v="0.376008489174082"/>
    <n v="16.06229116062576"/>
    <n v="1.783507831746985e-05"/>
    <n v="0.09144947296768215"/>
    <n v="1.048756110297832"/>
    <n v="10.94648699478122"/>
    <n v="3.567015663488182e-05"/>
    <n v="3.644758168102418"/>
    <m/>
    <n v="1.540986436779641"/>
    <m/>
    <n v="0.4147725813493592"/>
    <m/>
    <n v="9.24507919062231"/>
    <m/>
    <m/>
    <n v="1.616589333767083"/>
    <n v="3.567015663488182e-05"/>
    <n v="5.631386924122882"/>
    <n v="1.505814613874997"/>
    <m/>
    <n v="0.4160275081022999"/>
    <n v="0"/>
    <n v="3.618110138986461"/>
    <n v="0.6025273406236351"/>
    <n v="1.528852419282597"/>
    <x v="1"/>
    <m/>
    <x v="4"/>
    <x v="0"/>
    <s v="Defaut GE &amp; Power Cabinet"/>
    <x v="0"/>
    <s v="(05/25/2026 cell nokia): 25/05/2026 : Check breaker and  interconnection (sfp, optical fiber) between system and radio module, swap its if needed||Escalade faite au RM || En attente du feedback du RM       ;      {05-25-2026 ticket}: INC-20260525-00026709...Grid Outage"/>
  </r>
  <r>
    <s v="Ngona-II"/>
    <s v="CTR_709"/>
    <s v="Yaounde"/>
    <s v="CAMUSAT"/>
    <s v="Good Grid + GE"/>
    <s v="CENTRE"/>
    <s v="Yaounde"/>
    <s v="ZTE"/>
    <n v="0"/>
    <n v="0"/>
    <n v="0"/>
    <n v="0.2524912037393737"/>
    <n v="0.02311426149934494"/>
    <n v="0"/>
    <n v="0"/>
    <n v="0"/>
    <n v="0"/>
    <n v="0"/>
    <n v="0.3258290457805062"/>
    <n v="0"/>
    <n v="0.3572544537757569"/>
    <n v="0"/>
    <n v="0"/>
    <n v="0"/>
    <n v="6.780290383611134"/>
    <n v="0"/>
    <n v="0"/>
    <n v="0"/>
    <n v="0"/>
    <n v="0"/>
    <n v="0"/>
    <n v="0"/>
    <m/>
    <n v="0"/>
    <m/>
    <n v="0"/>
    <m/>
    <n v="0"/>
    <m/>
    <m/>
    <n v="0"/>
    <n v="2.113599461237954"/>
    <n v="0"/>
    <n v="0"/>
    <m/>
    <n v="0"/>
    <n v="0.4251445791318458"/>
    <n v="0.4031216105483996"/>
    <n v="2.51266369643682"/>
    <n v="1.506368549765577"/>
    <x v="0"/>
    <m/>
    <x v="2"/>
    <x v="1"/>
    <s v="no root cause"/>
    <x v="1"/>
    <s v=""/>
  </r>
  <r>
    <s v="Kousseri-Papar-IHS"/>
    <s v="EXN_188"/>
    <s v="EXTREME-NORD"/>
    <s v="IHS"/>
    <s v="GenOnly"/>
    <s v="EXTREME-NORD"/>
    <s v="Kousseri"/>
    <s v="Huawei"/>
    <n v="0"/>
    <n v="0"/>
    <n v="0.0226683845414102"/>
    <n v="0"/>
    <n v="0.001337630873804693"/>
    <n v="0.1316050429040644"/>
    <n v="0.4052308144495524"/>
    <n v="0.1669006628941909"/>
    <n v="0"/>
    <n v="0"/>
    <n v="0"/>
    <n v="0"/>
    <n v="16.19291348132168"/>
    <n v="0"/>
    <n v="0"/>
    <n v="0"/>
    <n v="0"/>
    <n v="0"/>
    <n v="0"/>
    <n v="0"/>
    <n v="0"/>
    <n v="0"/>
    <n v="0"/>
    <n v="0"/>
    <m/>
    <n v="0"/>
    <m/>
    <n v="0"/>
    <m/>
    <n v="0.03659758070729639"/>
    <m/>
    <m/>
    <n v="24.27104467901139"/>
    <n v="18.49114167330132"/>
    <n v="18.49140919947608"/>
    <n v="18.49114167330132"/>
    <m/>
    <n v="0"/>
    <n v="2.392999452457746"/>
    <n v="3.065913039634696"/>
    <n v="0.2585544589563264"/>
    <n v="1.505815662337736"/>
    <x v="1"/>
    <m/>
    <x v="4"/>
    <x v="0"/>
    <s v="Defaut GE &amp; Power Cabinet"/>
    <x v="0"/>
    <s v="{hourly IHS}: 25/05/2026 10:29 1:31:00 44 Our FME YANICK is managing with level zero"/>
  </r>
  <r>
    <s v="Mora-Technical-School-MTN-IHS"/>
    <s v="EXN_134"/>
    <s v="EXTREME-NORD"/>
    <s v="IHS"/>
    <s v="Grid-Gen"/>
    <s v="EXTREME-NORD"/>
    <s v="Mora"/>
    <s v="Huawei"/>
    <n v="0"/>
    <n v="0"/>
    <n v="1.997475266313389"/>
    <n v="0"/>
    <n v="1.121327043971316"/>
    <n v="0"/>
    <n v="0"/>
    <n v="0"/>
    <n v="0"/>
    <n v="0"/>
    <n v="0"/>
    <n v="0"/>
    <n v="1.351684915518801"/>
    <n v="3.871478285435447"/>
    <n v="2.968773631478771"/>
    <n v="0.2719849443402876"/>
    <n v="0.04298253874492414"/>
    <n v="1.423560281137907"/>
    <n v="1.037252484783111"/>
    <n v="0"/>
    <n v="0"/>
    <n v="0"/>
    <n v="1.889269846161749"/>
    <n v="0.3166261453687296"/>
    <m/>
    <n v="3.717615064791273"/>
    <m/>
    <n v="0"/>
    <m/>
    <n v="2.553894039659507"/>
    <m/>
    <m/>
    <n v="2.513907794071905"/>
    <n v="0.8814452406023405"/>
    <n v="10.49870802692669"/>
    <n v="1.103884337376902"/>
    <m/>
    <n v="0"/>
    <n v="2.004574175988873"/>
    <n v="3.403795675782272"/>
    <n v="0.1325262603777467"/>
    <n v="1.498057403269669"/>
    <x v="1"/>
    <m/>
    <x v="4"/>
    <x v="0"/>
    <s v="Defaut GE &amp; Power Cabinet"/>
    <x v="0"/>
    <s v="{hourly IHS}: 25/05/2026 06:36 0:24:00 53 V Fme is informed and managing"/>
  </r>
  <r>
    <s v="Ouro-Kessoun"/>
    <s v="NRD_040"/>
    <s v="Garoua"/>
    <s v="IHS"/>
    <s v="Grid-Gen"/>
    <s v="NORD"/>
    <s v="Garoua"/>
    <s v="Huawei"/>
    <n v="4.262066500586418"/>
    <n v="6.134892404539527"/>
    <n v="6.044325876843792"/>
    <n v="0"/>
    <n v="2.660405127370995"/>
    <n v="2.233843559253837"/>
    <n v="3.221461021079636"/>
    <n v="2.97877911041483"/>
    <n v="0.6498032434160026"/>
    <n v="3.727977245293679"/>
    <n v="0.5226569700912871"/>
    <n v="0"/>
    <n v="7.616630711148779"/>
    <n v="3.733773645746833"/>
    <n v="3.168169807067256"/>
    <n v="1.406010564073589"/>
    <n v="3.946474789760096"/>
    <n v="1.182198166268588"/>
    <n v="4.698811898422808"/>
    <n v="5.123144081750292"/>
    <n v="0"/>
    <n v="0.9567627763367034"/>
    <n v="2.272242482871191"/>
    <n v="8.256089609140691"/>
    <m/>
    <n v="12.20900286217337"/>
    <m/>
    <n v="9.613249893702934"/>
    <m/>
    <n v="14.01580330619548"/>
    <m/>
    <m/>
    <n v="0.1896225526705533"/>
    <n v="3.194547887898686"/>
    <n v="0.1693083984670394"/>
    <n v="1.290938638769751"/>
    <m/>
    <n v="3.254901792924753"/>
    <n v="2.303699107546092"/>
    <n v="2.943457147131525"/>
    <n v="0.320628049301"/>
    <n v="1.484324392965274"/>
    <x v="0"/>
    <m/>
    <x v="2"/>
    <x v="1"/>
    <s v="no root cause"/>
    <x v="1"/>
    <s v=""/>
  </r>
  <r>
    <s v="Meiganga-Universite"/>
    <s v="ADM_171"/>
    <s v="ADAMAOUA"/>
    <s v="CAMUSAT"/>
    <s v="Hybrid Solar - S3"/>
    <s v="ADAMAOUA"/>
    <s v="Meiganga"/>
    <s v="Huawei"/>
    <n v="0"/>
    <n v="0.5363008050040948"/>
    <n v="0"/>
    <n v="0"/>
    <n v="0"/>
    <n v="0"/>
    <n v="0"/>
    <n v="0"/>
    <n v="0"/>
    <n v="0"/>
    <n v="0"/>
    <n v="0"/>
    <n v="5.940614896428134"/>
    <n v="0"/>
    <n v="0"/>
    <n v="0"/>
    <n v="0"/>
    <n v="0"/>
    <n v="0"/>
    <n v="8.917539158697954e-05"/>
    <n v="0"/>
    <n v="0"/>
    <n v="0"/>
    <n v="0"/>
    <m/>
    <n v="0.08289744401925618"/>
    <m/>
    <n v="0"/>
    <m/>
    <n v="2.241583983243587"/>
    <m/>
    <m/>
    <n v="0.01810260449215684"/>
    <n v="0"/>
    <n v="0.6075162727254568"/>
    <n v="1.818714276338131"/>
    <m/>
    <n v="0"/>
    <n v="1.809737059817992"/>
    <n v="1.155122980779366"/>
    <n v="1.597839196089891"/>
    <n v="1.479473251662943"/>
    <x v="0"/>
    <m/>
    <x v="2"/>
    <x v="1"/>
    <s v="no root cause"/>
    <x v="1"/>
    <s v=""/>
  </r>
  <r>
    <s v="Bamenda-Bayelle-MTN"/>
    <s v="NRO_112"/>
    <s v="NORD-OUEST"/>
    <s v="MTN sharing"/>
    <m/>
    <s v="NORD-OUEST"/>
    <s v="Bamenda"/>
    <s v="Huawei"/>
    <n v="5.859304774379128"/>
    <n v="4.363530261134084"/>
    <n v="18.49140919947608"/>
    <n v="9.096246643438263"/>
    <n v="5.808974183367435"/>
    <n v="4.622852299869019"/>
    <n v="8.075455935942106"/>
    <n v="9.682753193905825"/>
    <n v="4.622852299869019"/>
    <n v="0"/>
    <n v="5.166287136200071"/>
    <n v="4.621568174230167"/>
    <n v="0"/>
    <n v="0"/>
    <n v="0"/>
    <n v="0"/>
    <n v="4.206492396549413"/>
    <n v="1.278008206989639"/>
    <n v="0"/>
    <n v="0"/>
    <n v="10.55570893722908"/>
    <n v="0"/>
    <n v="0"/>
    <n v="0"/>
    <m/>
    <n v="0"/>
    <m/>
    <n v="0"/>
    <m/>
    <n v="0"/>
    <m/>
    <m/>
    <n v="0.001605157048565632"/>
    <n v="0"/>
    <n v="3.512993211255789"/>
    <n v="0"/>
    <m/>
    <n v="0"/>
    <n v="2.363648989444824"/>
    <n v="3.021818293093424"/>
    <n v="0.2046889466737584"/>
    <n v="1.458731055579811"/>
    <x v="0"/>
    <m/>
    <x v="2"/>
    <x v="1"/>
    <s v="no root cause"/>
    <x v="1"/>
    <s v=""/>
  </r>
  <r>
    <s v="Home-IHS"/>
    <s v="ADM_112"/>
    <s v="Ngaoundere"/>
    <s v="IHS"/>
    <s v="Hybrid-Gen"/>
    <s v="ADAMAOUA"/>
    <s v="Home"/>
    <s v="NOKIA"/>
    <n v="0.3144859359706421"/>
    <n v="0.2342637536989952"/>
    <n v="0.254667083294096"/>
    <n v="0.5151484021196633"/>
    <n v="0.3260787368769492"/>
    <n v="0.2965260121050242"/>
    <n v="0.333141427890638"/>
    <n v="0.3897678015483704"/>
    <n v="0.6110476182323009"/>
    <n v="0.1682739639246304"/>
    <n v="1.105721350443594"/>
    <n v="1.153323174472725"/>
    <n v="0.5081748864975616"/>
    <n v="0.4123291756198761"/>
    <n v="0.4120616494451151"/>
    <n v="0.2553269811918398"/>
    <n v="0.3473024800746504"/>
    <n v="0.6866683502980594"/>
    <n v="0.5053034388884607"/>
    <n v="0.3336051399268904"/>
    <n v="0"/>
    <n v="1.20663222356342"/>
    <n v="0.3915869795367445"/>
    <n v="0.3793699508893282"/>
    <m/>
    <n v="0.2719849443402877"/>
    <m/>
    <n v="0.6869358764728206"/>
    <m/>
    <n v="0.4128998981260327"/>
    <m/>
    <m/>
    <n v="0.495137444247545"/>
    <n v="0.6763240048739702"/>
    <n v="18.48985754766246"/>
    <n v="13.48900859793456"/>
    <m/>
    <n v="4.399485779021952"/>
    <n v="1.196249935054295"/>
    <n v="3.83002718361435"/>
    <n v="0"/>
    <n v="1.456608681260041"/>
    <x v="0"/>
    <m/>
    <x v="14"/>
    <x v="2"/>
    <s v="SAT"/>
    <x v="2"/>
    <s v="Impacts :Coupure franche (25 sites VSAT Nokia)  ,Indisponibilité de plusieurs sites VSAT dans plusieurs regions @~Supervision Reseau Orange Cameroun  ; Cause: A Determiner_x000a_Action: Sans action      ;      {05-25-2026 ticket}: INC-20260525-00028064...Grid Outage"/>
  </r>
  <r>
    <s v="Bankwop-IHS"/>
    <s v="OST_161"/>
    <s v="OUEST"/>
    <s v="IHS"/>
    <s v="Grid-Gen"/>
    <s v="OUEST"/>
    <s v="Bankwop"/>
    <s v="NOKIA"/>
    <n v="0.002853612530783563"/>
    <n v="0"/>
    <n v="0"/>
    <n v="0"/>
    <n v="0.004102068013000901"/>
    <n v="0.003745366446653384"/>
    <n v="0.005350523495218923"/>
    <n v="0.007044855935371173"/>
    <n v="0.003567015663479454"/>
    <n v="0"/>
    <n v="0"/>
    <n v="0"/>
    <n v="0.003477840271892574"/>
    <n v="0"/>
    <n v="0.01034434542408982"/>
    <n v="0.005707225061566614"/>
    <n v="0.002942787922370442"/>
    <n v="0"/>
    <n v="0"/>
    <n v="0"/>
    <n v="11.31040027622969"/>
    <n v="0"/>
    <n v="0"/>
    <n v="0.1307489591448292"/>
    <m/>
    <n v="0"/>
    <m/>
    <n v="0"/>
    <m/>
    <n v="0.002942787922370442"/>
    <m/>
    <m/>
    <n v="0"/>
    <n v="0"/>
    <n v="0"/>
    <n v="0.007847434459654457"/>
    <m/>
    <n v="0"/>
    <n v="2.579968146629418"/>
    <n v="3.156971347552455"/>
    <n v="0"/>
    <n v="1.428250906735382"/>
    <x v="0"/>
    <m/>
    <x v="4"/>
    <x v="0"/>
    <s v="Defaut GE &amp; Power Cabinet"/>
    <x v="0"/>
    <s v="{hourly IHS}: 25/05/2026 05:03 1:20:13 Herbert is going to site ETA ASAP.      ;      {05-25-2026 ticket}: INC-20260525-00003545...Low fuel // Fuel refuelling...Low fuel // Fuel refuelling...Others Transmission equipement fault"/>
  </r>
  <r>
    <s v="Etam-Bafia"/>
    <s v="CTR_721"/>
    <s v="Yaounde"/>
    <s v="CAMUSAT"/>
    <s v="Good Grid no GE - 8h"/>
    <s v="CENTRE"/>
    <s v="Yaounde"/>
    <s v="ZTE"/>
    <n v="0"/>
    <n v="0"/>
    <n v="0.154897655186584"/>
    <n v="0"/>
    <n v="5.448545085651181"/>
    <n v="18.44671449321269"/>
    <n v="0"/>
    <n v="0"/>
    <n v="0"/>
    <n v="0.0224543636016013"/>
    <n v="0.02755519600037631"/>
    <n v="0"/>
    <n v="0"/>
    <n v="0"/>
    <n v="0"/>
    <n v="0"/>
    <n v="0.003460005193574806"/>
    <n v="0"/>
    <n v="0"/>
    <n v="0"/>
    <n v="0"/>
    <n v="0"/>
    <n v="0.3292177106608105"/>
    <n v="0"/>
    <m/>
    <n v="0"/>
    <m/>
    <n v="0"/>
    <m/>
    <n v="0.09085188894881506"/>
    <m/>
    <m/>
    <n v="0"/>
    <n v="0"/>
    <n v="0"/>
    <n v="0"/>
    <m/>
    <n v="0.001676497361835078"/>
    <n v="0.8070752850616885"/>
    <n v="0.6854873670144952"/>
    <n v="2.051267108370707"/>
    <n v="1.415088618937143"/>
    <x v="0"/>
    <m/>
    <x v="3"/>
    <x v="0"/>
    <s v="AKTIVCO Coupure ENEO &amp; Baisse de tension"/>
    <x v="0"/>
    <s v="{05-25-2026 ticket}: INC-20260525-00022127...Grid Outage"/>
  </r>
  <r>
    <s v="Nkolmesseng-II"/>
    <s v="CTR_273"/>
    <s v="Yaounde"/>
    <s v="IHS"/>
    <s v="Grid-Gen"/>
    <s v="CENTRE"/>
    <s v="Yaounde"/>
    <s v="ZTE"/>
    <n v="0.3547932129679567"/>
    <n v="0.1385963936044835"/>
    <n v="0"/>
    <n v="0"/>
    <n v="0"/>
    <n v="0"/>
    <n v="0"/>
    <n v="0"/>
    <n v="3.207121618112448"/>
    <n v="0"/>
    <n v="0.8026855347527203"/>
    <n v="0.4715951408685826"/>
    <n v="0.3568799171310923"/>
    <n v="0"/>
    <n v="0"/>
    <n v="0"/>
    <n v="0"/>
    <n v="0"/>
    <n v="0"/>
    <n v="0"/>
    <n v="1.249418576446853"/>
    <n v="0"/>
    <n v="0"/>
    <n v="0"/>
    <m/>
    <n v="0"/>
    <m/>
    <n v="0"/>
    <m/>
    <n v="0"/>
    <m/>
    <m/>
    <n v="8.471983232172768"/>
    <n v="0"/>
    <n v="0"/>
    <n v="0"/>
    <m/>
    <n v="0"/>
    <n v="0.6859265653913329"/>
    <n v="0.7431824209227118"/>
    <n v="2.024522454018346"/>
    <n v="1.403210456777757"/>
    <x v="0"/>
    <m/>
    <x v="5"/>
    <x v="2"/>
    <s v="IP &amp; VLAN"/>
    <x v="2"/>
    <s v="{05-25-2026 goupe whatsapp incident}:    impacted by    CTR_351_Z_Mimboman-Nodal(CTR-351)  ,Cause: Boucle ethernet  ,Action: Desactivation de la boucle      ;      {05-25-2026 ticket}: INC-20260525-00019091...ENEO outage in site...Grid Outage"/>
  </r>
  <r>
    <s v="Edea-Centre"/>
    <s v="LIT_185"/>
    <s v="LITTORAL"/>
    <s v="CAMUSAT"/>
    <s v="Good Grid + GE"/>
    <s v="LITTORAL"/>
    <s v="Edea"/>
    <s v="ZTE"/>
    <n v="0"/>
    <n v="0"/>
    <n v="0"/>
    <n v="0"/>
    <n v="0"/>
    <n v="1.943934361204567"/>
    <n v="1.413412121575309"/>
    <n v="3.739980253001287"/>
    <n v="1.879567563557085"/>
    <n v="1.40649211118816"/>
    <n v="2.739039987672395"/>
    <n v="0.4351045706311905"/>
    <n v="1.467933955991588"/>
    <n v="0"/>
    <n v="0"/>
    <n v="3.431825769833321"/>
    <n v="0"/>
    <n v="0.8537473639754257"/>
    <n v="1.014013377735546"/>
    <n v="2.182728224796181"/>
    <n v="0"/>
    <n v="0"/>
    <n v="1.597434459654199"/>
    <n v="1.069123769736298"/>
    <m/>
    <n v="0"/>
    <m/>
    <n v="10.38383228748434"/>
    <m/>
    <n v="1.720514335122546"/>
    <m/>
    <m/>
    <n v="0.5416513284993127"/>
    <n v="0"/>
    <n v="0"/>
    <n v="1.749353656761776"/>
    <m/>
    <n v="1.533424363573065"/>
    <n v="0.3264770651735149"/>
    <n v="1.025548177388809"/>
    <n v="1.939158442172449"/>
    <n v="1.402158187157032"/>
    <x v="0"/>
    <m/>
    <x v="2"/>
    <x v="1"/>
    <s v="no root cause"/>
    <x v="1"/>
    <s v=""/>
  </r>
  <r>
    <s v="Deone-IHS"/>
    <s v="ADM_111"/>
    <s v="ADAMAOUA"/>
    <s v="IHS"/>
    <s v="Hybrid-Gen"/>
    <s v="ADAMAOUA"/>
    <s v="Deone"/>
    <s v="NOKIA"/>
    <n v="0"/>
    <n v="0.001783714280151696"/>
    <n v="0"/>
    <n v="0"/>
    <n v="0"/>
    <n v="0"/>
    <n v="0.1317545790331288"/>
    <n v="0"/>
    <n v="0"/>
    <n v="0"/>
    <n v="1.654609208161636"/>
    <n v="0"/>
    <n v="0"/>
    <n v="0"/>
    <n v="0"/>
    <n v="0"/>
    <n v="0"/>
    <n v="0.583909387243725"/>
    <n v="1.633229992133314"/>
    <n v="1.542167481349966"/>
    <n v="0"/>
    <n v="1.553115823003654"/>
    <n v="1.540950766623006"/>
    <n v="0.8496275134838739"/>
    <m/>
    <n v="0"/>
    <m/>
    <n v="0.005940103058481833"/>
    <m/>
    <n v="0.05562994213901378"/>
    <m/>
    <m/>
    <n v="0.06466466304657437"/>
    <n v="0.005886938562000292"/>
    <n v="3.246322534420069"/>
    <n v="0"/>
    <m/>
    <n v="0.07494779929309928"/>
    <n v="3.062190009152348"/>
    <n v="2.726321149647158"/>
    <n v="0.08833357197883031"/>
    <n v="1.398602852668701"/>
    <x v="0"/>
    <m/>
    <x v="4"/>
    <x v="0"/>
    <s v="Defaut GE &amp; Power Cabinet"/>
    <x v="0"/>
    <s v="{hourly IHS}: 25/05/2026 03:44 6:16:00 23 FME is informed and managing      ;      {05-25-2026 ticket}: INC-20260525-00011205...Auto TT closure RCA...Others Transmission equipement fault"/>
  </r>
  <r>
    <s v="Stade-Abega"/>
    <s v="CTR_274"/>
    <s v="Yaounde"/>
    <s v="IHS"/>
    <s v="Grid-Gen"/>
    <s v="CENTRE"/>
    <s v="Yaounde"/>
    <s v="ZTE"/>
    <n v="0.5219435669585913"/>
    <n v="0"/>
    <n v="0"/>
    <n v="0"/>
    <n v="0"/>
    <n v="0.3006102450397081"/>
    <n v="0"/>
    <n v="0"/>
    <n v="0.772241056064926"/>
    <n v="0"/>
    <n v="0.1079913992118318"/>
    <n v="0.004637120362523033"/>
    <n v="0"/>
    <n v="0"/>
    <n v="0"/>
    <n v="0"/>
    <n v="0.302411587949765"/>
    <n v="0"/>
    <n v="0"/>
    <n v="0"/>
    <n v="1.990466080534653"/>
    <n v="4.638190467221981"/>
    <n v="0"/>
    <n v="0"/>
    <m/>
    <n v="5.186850981500029"/>
    <m/>
    <n v="13.92571832561431"/>
    <m/>
    <n v="0"/>
    <m/>
    <m/>
    <n v="0"/>
    <n v="0"/>
    <n v="0"/>
    <n v="0"/>
    <m/>
    <n v="0.00221154971135721"/>
    <n v="1.247582021430084"/>
    <n v="0.2849689402980494"/>
    <n v="2.142479375835855"/>
    <n v="1.391100438600245"/>
    <x v="0"/>
    <m/>
    <x v="5"/>
    <x v="2"/>
    <s v="IP &amp; VLAN"/>
    <x v="2"/>
    <s v="{05-25-2026 goupe whatsapp incident}:    impacted by    CTR_351_Z_Mimboman-Nodal(CTR-351)  ,Cause: Boucle ethernet  ,Action: Desactivation de la boucle      ;      {05-25-2026 ticket}: INC-20260525-00018853...Grid Outage"/>
  </r>
  <r>
    <s v="Number49-MTN"/>
    <s v="NRO_261"/>
    <s v="NORD-OUEST"/>
    <s v="IHS"/>
    <s v="Grid-Gen"/>
    <s v="NORD-OUEST"/>
    <s v="Number49"/>
    <s v="NOKIA"/>
    <n v="1.446665961792609"/>
    <n v="0"/>
    <n v="0"/>
    <n v="0"/>
    <n v="0.02654625487687644"/>
    <n v="5.397500618577501"/>
    <n v="0.6932267060116686"/>
    <n v="0"/>
    <n v="0"/>
    <n v="1.832337212836384"/>
    <n v="6.017949016286708"/>
    <n v="0"/>
    <n v="0"/>
    <n v="4.473661869744002"/>
    <n v="0.6527460313383726"/>
    <n v="0.4476604657666373"/>
    <n v="0.388858212554183"/>
    <n v="0.09083405387049731"/>
    <n v="1.130833140714488"/>
    <n v="0.6352498195090073"/>
    <n v="0"/>
    <n v="1.446674542637252"/>
    <n v="0"/>
    <n v="0.5367466819620299"/>
    <m/>
    <n v="0.3396869016331224"/>
    <m/>
    <n v="0"/>
    <m/>
    <n v="2.572603036814455"/>
    <m/>
    <m/>
    <n v="0"/>
    <n v="0"/>
    <n v="0.9919157157002907"/>
    <n v="1.475888400921146"/>
    <m/>
    <n v="0"/>
    <n v="4.80910458856396"/>
    <n v="2.08945347164846"/>
    <n v="0"/>
    <n v="1.388193320834511"/>
    <x v="1"/>
    <m/>
    <x v="5"/>
    <x v="2"/>
    <s v="MPR ISSUE"/>
    <x v="2"/>
    <s v="{05-25-2026 groupe whatsapp incident}:    impacted by  NRO_017_H_Bali cause: Plantage du MPR a BALI   ,Action: Reset du MPR      ;      {05-25-2026 ticket}: INC-20260525-00010447...power instability ...Others Transmission equipement fault"/>
  </r>
  <r>
    <s v="Old-Airport-IHS"/>
    <s v="LIT_122"/>
    <s v="Douala"/>
    <s v="IHS"/>
    <s v="Grid-Lithium"/>
    <s v="LITTORAL"/>
    <s v="Douala"/>
    <s v="ZTE"/>
    <n v="3.092763095941307"/>
    <n v="0"/>
    <n v="23.05085779592674"/>
    <n v="52.20955218258553"/>
    <n v="30.27410018462874"/>
    <n v="0"/>
    <n v="62.76914916688783"/>
    <n v="0"/>
    <n v="2.107053987495471"/>
    <n v="17.99696732328291"/>
    <n v="13.86855689960706"/>
    <n v="0"/>
    <n v="0"/>
    <n v="0"/>
    <n v="0"/>
    <n v="0"/>
    <n v="0"/>
    <n v="0"/>
    <n v="0"/>
    <n v="17.23007679071321"/>
    <n v="0"/>
    <n v="0.001854848145009179"/>
    <n v="0"/>
    <n v="0"/>
    <m/>
    <n v="0"/>
    <m/>
    <n v="0"/>
    <m/>
    <n v="0"/>
    <m/>
    <m/>
    <n v="0"/>
    <n v="0"/>
    <n v="0"/>
    <n v="0"/>
    <m/>
    <n v="0"/>
    <n v="0.4377590334480375"/>
    <n v="0.408965492620134"/>
    <n v="2.270867396857292"/>
    <n v="1.384037747586558"/>
    <x v="0"/>
    <m/>
    <x v="2"/>
    <x v="1"/>
    <s v="no root cause"/>
    <x v="1"/>
    <s v=""/>
  </r>
  <r>
    <s v="Douala-Bali-III-MTN"/>
    <s v="LIT_746"/>
    <s v="Douala"/>
    <s v="MTN"/>
    <s v="MTN"/>
    <s v="LITTORAL"/>
    <s v="Douala"/>
    <s v="ZTE"/>
    <n v="0"/>
    <n v="0"/>
    <n v="1.226589676200585"/>
    <n v="1.123181892116325"/>
    <n v="1.914114110257881"/>
    <n v="0"/>
    <n v="0"/>
    <n v="0"/>
    <n v="1.137039747968941"/>
    <n v="0"/>
    <n v="1.110144449866309"/>
    <n v="0.4945667217413884"/>
    <n v="0"/>
    <n v="0"/>
    <n v="1.685432736072231"/>
    <n v="1.613949742176107"/>
    <n v="1.616500158375495"/>
    <n v="0"/>
    <n v="0"/>
    <n v="1.379596813085524"/>
    <n v="1.451418673469679"/>
    <n v="0.7843154040858031"/>
    <n v="0"/>
    <n v="3.638659173080161"/>
    <m/>
    <n v="0"/>
    <m/>
    <n v="2.958518461446268"/>
    <m/>
    <n v="1.070390060296833"/>
    <m/>
    <m/>
    <n v="0"/>
    <n v="0"/>
    <n v="0"/>
    <n v="0.776985186897354"/>
    <m/>
    <n v="0"/>
    <n v="0.4258939526555799"/>
    <n v="0.4411068440146751"/>
    <n v="2.21618107676851"/>
    <n v="1.364615347298912"/>
    <x v="0"/>
    <m/>
    <x v="2"/>
    <x v="1"/>
    <s v="no root cause"/>
    <x v="1"/>
    <s v=""/>
  </r>
  <r>
    <s v="CTR_702_Z_Hilton-Indoor-8F"/>
    <s v="CTR_702_indoor_8F"/>
    <s v="Yaounde"/>
    <e v="#N/A"/>
    <e v="#N/A"/>
    <s v="CTR"/>
    <s v="Yaounde"/>
    <s v="ZTE"/>
    <n v="0"/>
    <n v="0"/>
    <n v="0"/>
    <n v="0"/>
    <n v="0.06285081599050331"/>
    <n v="0"/>
    <n v="0"/>
    <n v="0.2531332665588001"/>
    <n v="0"/>
    <n v="0"/>
    <n v="0"/>
    <n v="0"/>
    <n v="0"/>
    <s v=""/>
    <n v="0"/>
    <n v="0"/>
    <n v="0"/>
    <n v="0"/>
    <n v="0"/>
    <n v="0"/>
    <n v="0"/>
    <n v="0"/>
    <n v="0"/>
    <n v="0.002586086356022412"/>
    <m/>
    <n v="0"/>
    <m/>
    <n v="2.442246449392609"/>
    <m/>
    <n v="0"/>
    <m/>
    <m/>
    <n v="0"/>
    <n v="0"/>
    <n v="0"/>
    <n v="0"/>
    <m/>
    <n v="0"/>
    <n v="0"/>
    <n v="0"/>
    <n v="2.585544589563264"/>
    <n v="1.348331920795131"/>
    <x v="0"/>
    <m/>
    <x v="2"/>
    <x v="1"/>
    <s v="no root cause"/>
    <x v="1"/>
    <s v=""/>
  </r>
  <r>
    <s v="Hopital-General-Garoua"/>
    <s v="NRD_189"/>
    <s v="Garoua"/>
    <s v="ESCO"/>
    <s v="Medium Grid + Solar + GE"/>
    <s v="NORD"/>
    <s v="Garoua"/>
    <s v="Huawei"/>
    <n v="0"/>
    <n v="0"/>
    <n v="5.074793184431831"/>
    <n v="1.182233836425222"/>
    <n v="0"/>
    <n v="0"/>
    <n v="0"/>
    <n v="0"/>
    <n v="0"/>
    <n v="0.5591297052503617"/>
    <n v="2.016148593311703"/>
    <n v="0"/>
    <n v="0"/>
    <n v="0"/>
    <n v="0"/>
    <n v="0"/>
    <n v="1.941687141336575"/>
    <n v="0"/>
    <n v="0"/>
    <n v="0"/>
    <n v="0"/>
    <n v="3.17753322318389"/>
    <n v="0"/>
    <n v="0"/>
    <m/>
    <n v="0.5739328202538004"/>
    <m/>
    <n v="0"/>
    <m/>
    <n v="0"/>
    <m/>
    <m/>
    <n v="0.01933322489605716"/>
    <n v="0.5038409624664343"/>
    <n v="0"/>
    <n v="0.5157726298607723"/>
    <m/>
    <n v="0.505446119515"/>
    <n v="1.699204465067204"/>
    <n v="2.197937173380118"/>
    <n v="0.6486091685326365"/>
    <n v="1.318761360944888"/>
    <x v="0"/>
    <m/>
    <x v="2"/>
    <x v="1"/>
    <s v="no root cause"/>
    <x v="1"/>
    <s v=""/>
  </r>
  <r>
    <s v="Guider-Ville"/>
    <s v="NRD_076"/>
    <s v="NORD"/>
    <s v="IHS"/>
    <s v="Grid-Gen"/>
    <s v="NORD"/>
    <s v="Guider"/>
    <s v="Huawei"/>
    <n v="6.233716573496217"/>
    <n v="3.346306569301408"/>
    <n v="0.005350523495218772"/>
    <n v="0.3440921659775192"/>
    <n v="0.0005350523495218772"/>
    <n v="0"/>
    <n v="0.0078474344596542"/>
    <n v="0.3373326712952261"/>
    <n v="1.084604617715797"/>
    <n v="0.04990254913207375"/>
    <n v="2.955611343680532"/>
    <n v="0"/>
    <n v="1.610079530181233"/>
    <n v="1.154268433623546"/>
    <n v="0.0309260258023645"/>
    <n v="0.9403188341280645"/>
    <n v="0.3183383128871996"/>
    <n v="3.763950598259867"/>
    <n v="0.4860237192273559"/>
    <n v="0.7123686981534274"/>
    <n v="0.04494616259592708"/>
    <n v="1.898579757043429"/>
    <n v="4.864071734111798"/>
    <n v="1.082589253865932"/>
    <m/>
    <n v="3.23094928274449"/>
    <m/>
    <n v="3.47518284522291"/>
    <m/>
    <n v="7.879056053510943"/>
    <m/>
    <m/>
    <n v="23.66927130150414"/>
    <n v="0.7014179600665461"/>
    <n v="2.297514788846941"/>
    <n v="8.426378936915189"/>
    <m/>
    <n v="8.719748140158034"/>
    <n v="1.120313417982567"/>
    <n v="1.913074485483372"/>
    <n v="0.9158847104299502"/>
    <n v="1.27984522005633"/>
    <x v="0"/>
    <m/>
    <x v="4"/>
    <x v="0"/>
    <s v="Defaut GE &amp; Power Cabinet"/>
    <x v="0"/>
    <s v="{05-25-2026 BOTX}: Power issue"/>
  </r>
  <r>
    <s v="Brazz-Tergal"/>
    <s v="LIT_340"/>
    <s v="Douala"/>
    <s v="IHS"/>
    <s v="Grid-Gen"/>
    <s v="LITTORAL"/>
    <s v="Douala"/>
    <s v="ZTE"/>
    <n v="0"/>
    <n v="0"/>
    <n v="0"/>
    <n v="0"/>
    <n v="0"/>
    <n v="0"/>
    <n v="2.66548812469145"/>
    <n v="10.69815770775012"/>
    <n v="52.75098949014502"/>
    <n v="0"/>
    <n v="0"/>
    <n v="0"/>
    <n v="0"/>
    <n v="0"/>
    <n v="0"/>
    <n v="0"/>
    <n v="0"/>
    <n v="0.001070104699043922"/>
    <n v="0"/>
    <n v="0"/>
    <n v="0"/>
    <n v="0"/>
    <n v="0"/>
    <n v="0"/>
    <m/>
    <n v="0"/>
    <m/>
    <n v="0"/>
    <m/>
    <n v="0"/>
    <m/>
    <m/>
    <n v="0"/>
    <n v="0"/>
    <n v="0"/>
    <n v="0"/>
    <m/>
    <n v="0.7726334277879058"/>
    <n v="0.1738546575063247"/>
    <n v="0.2113360261941919"/>
    <n v="2.269123180269097"/>
    <n v="1.279096146767001"/>
    <x v="0"/>
    <m/>
    <x v="2"/>
    <x v="1"/>
    <s v="no root cause"/>
    <x v="1"/>
    <s v=""/>
  </r>
  <r>
    <s v="NRD_259_H_GUIDER-KOLLAS"/>
    <s v="NRD_259"/>
    <s v="NORD"/>
    <s v="ESCO"/>
    <s v="Hybrid Solar - S3"/>
    <s v="NRD"/>
    <s v="Guider"/>
    <s v="Huawei"/>
    <n v="6.22979285626639"/>
    <n v="3.342828729029514"/>
    <n v="0"/>
    <n v="0"/>
    <n v="3.464214272057712"/>
    <n v="7.100465709565024"/>
    <n v="0"/>
    <n v="0"/>
    <n v="0"/>
    <n v="0"/>
    <n v="0"/>
    <n v="0"/>
    <n v="0"/>
    <n v="0"/>
    <n v="0"/>
    <n v="0"/>
    <n v="5.429443716773249"/>
    <n v="3.414793270040207"/>
    <n v="0"/>
    <n v="0"/>
    <n v="0"/>
    <n v="0"/>
    <n v="0"/>
    <n v="0"/>
    <m/>
    <n v="0.2982738497801292"/>
    <m/>
    <n v="0"/>
    <m/>
    <n v="1.632266367608073"/>
    <m/>
    <m/>
    <n v="3.767892150568011"/>
    <n v="0"/>
    <n v="2.823631764131803"/>
    <n v="0"/>
    <m/>
    <n v="4.179561428290143"/>
    <n v="1.11469311655456"/>
    <n v="1.955309815001819"/>
    <n v="0.8748443201194224"/>
    <n v="1.271819434813502"/>
    <x v="0"/>
    <m/>
    <x v="2"/>
    <x v="1"/>
    <s v="no root cause"/>
    <x v="1"/>
    <s v=""/>
  </r>
  <r>
    <s v="Olembe-MTN"/>
    <s v="CTR_778"/>
    <s v="Yaounde"/>
    <s v="MTN sharing"/>
    <s v="MTN"/>
    <s v="CENTRE"/>
    <s v="Yaounde"/>
    <s v="ZTE"/>
    <n v="20.07313095513265"/>
    <n v="7.885797713114918"/>
    <n v="2.437234792385421"/>
    <n v="2.76632765749801"/>
    <n v="3.964095847137684"/>
    <n v="10.50184700071055"/>
    <n v="5.031810645686909"/>
    <n v="5.675710478179853"/>
    <n v="4.437153464428293"/>
    <n v="3.492447201034149"/>
    <n v="2.28272950892182"/>
    <n v="0"/>
    <n v="3.569173707955586"/>
    <n v="1.140874289807182"/>
    <n v="2.044149666270015"/>
    <n v="4.710565215033974"/>
    <n v="1.187691370390346"/>
    <n v="0"/>
    <n v="0.01614074587724331"/>
    <n v="0.1064932526331707"/>
    <n v="1.555646871156541"/>
    <n v="2.644210876258799"/>
    <n v="0"/>
    <n v="0.0299807666515427"/>
    <m/>
    <n v="1.140232226987755"/>
    <m/>
    <n v="0.01367950506944263"/>
    <m/>
    <n v="1.181466928057575"/>
    <m/>
    <m/>
    <n v="0"/>
    <n v="0.1048167552713361"/>
    <n v="7.351619282430592"/>
    <n v="1.115869510006192"/>
    <m/>
    <n v="1.16766257743991"/>
    <n v="0.696043107961744"/>
    <n v="0.6990345481807886"/>
    <n v="1.782110548584161"/>
    <n v="1.263419112926009"/>
    <x v="0"/>
    <m/>
    <x v="2"/>
    <x v="1"/>
    <s v="no root cause"/>
    <x v="1"/>
    <s v=""/>
  </r>
  <r>
    <s v="NRD_256_H_GUIDER-OURO-ALHADJI"/>
    <s v="NRD_256"/>
    <s v="NORD"/>
    <s v="ESCO"/>
    <s v="Hybrid Solar - S3"/>
    <s v="NRD"/>
    <s v="Guider"/>
    <s v="Huawei"/>
    <n v="6.149356653054935"/>
    <n v="3.272201818892627"/>
    <n v="0"/>
    <n v="0"/>
    <n v="0"/>
    <n v="0"/>
    <n v="0"/>
    <n v="0"/>
    <n v="0"/>
    <n v="0"/>
    <n v="0"/>
    <n v="0"/>
    <n v="0"/>
    <n v="0"/>
    <n v="0"/>
    <n v="0"/>
    <n v="0"/>
    <n v="3.357168131996701"/>
    <n v="0"/>
    <n v="0"/>
    <n v="0"/>
    <n v="0"/>
    <n v="0"/>
    <n v="0"/>
    <m/>
    <n v="0.256414920969201"/>
    <m/>
    <n v="0"/>
    <m/>
    <n v="0"/>
    <m/>
    <m/>
    <n v="3.728137760998536"/>
    <n v="0"/>
    <n v="1.517586814027218"/>
    <n v="0"/>
    <m/>
    <n v="4.229392637108948"/>
    <n v="1.109072815126554"/>
    <n v="1.91477452390424"/>
    <n v="0.8767253380086547"/>
    <n v="1.258389620840503"/>
    <x v="0"/>
    <m/>
    <x v="2"/>
    <x v="1"/>
    <s v="no root cause"/>
    <x v="1"/>
    <s v=""/>
  </r>
  <r>
    <s v="NYANGOBE-MTN"/>
    <s v="LIT_685"/>
    <s v="Douala"/>
    <s v="MTN"/>
    <m/>
    <s v="LITTORAL"/>
    <s v="Douala"/>
    <s v="ZTE"/>
    <n v="0.1203689435641045"/>
    <n v="0.8580812880065517"/>
    <n v="0.0008025785242828159"/>
    <n v="0"/>
    <n v="0.4790145334486199"/>
    <n v="2.846068292655086"/>
    <n v="0"/>
    <n v="2.143401877106323"/>
    <n v="1.134970878884123"/>
    <n v="0.06771979237115235"/>
    <n v="0.5450221583013011"/>
    <n v="0.1213320377932444"/>
    <n v="1.240572377601425"/>
    <n v="1.336739119888823"/>
    <n v="0"/>
    <n v="1.011017084578222"/>
    <n v="0"/>
    <n v="3.438781450377105"/>
    <n v="1.188155082426598"/>
    <n v="2.081496320266642"/>
    <n v="0.1763532544024107"/>
    <n v="1.210324084775121"/>
    <n v="0.1100067630616983"/>
    <n v="0"/>
    <m/>
    <n v="3.224831850881624"/>
    <m/>
    <n v="0.05532441294056206"/>
    <m/>
    <n v="0.1090793389891936"/>
    <m/>
    <m/>
    <n v="8.419405421293087"/>
    <n v="8.805962908744323"/>
    <n v="0"/>
    <n v="0.4759468999780273"/>
    <m/>
    <n v="3.47504016459637"/>
    <n v="0.5931291440355863"/>
    <n v="0.6243922362645401"/>
    <n v="1.848390778935664"/>
    <n v="1.258229105135647"/>
    <x v="0"/>
    <m/>
    <x v="2"/>
    <x v="1"/>
    <s v="no root cause"/>
    <x v="1"/>
    <s v=""/>
  </r>
  <r>
    <s v="Palar"/>
    <s v="EXN_055"/>
    <s v="Maroua"/>
    <s v="IHS"/>
    <s v="Grid-Gen"/>
    <s v="EXTREME-NORD"/>
    <s v="Maroua"/>
    <s v="Huawei"/>
    <n v="0"/>
    <n v="0"/>
    <n v="0"/>
    <n v="0"/>
    <n v="0"/>
    <n v="0"/>
    <n v="0"/>
    <n v="0"/>
    <n v="0.9037212534207679"/>
    <n v="0"/>
    <n v="0"/>
    <n v="0"/>
    <n v="0"/>
    <n v="0.2079570131808362"/>
    <n v="0.2500477980098906"/>
    <n v="0"/>
    <n v="0"/>
    <n v="0"/>
    <n v="0"/>
    <n v="0"/>
    <n v="0"/>
    <n v="0"/>
    <n v="0"/>
    <n v="0"/>
    <m/>
    <n v="0"/>
    <m/>
    <n v="0"/>
    <m/>
    <n v="0"/>
    <m/>
    <m/>
    <n v="0"/>
    <n v="0"/>
    <n v="0"/>
    <n v="0"/>
    <m/>
    <n v="0"/>
    <n v="2.154448880735705"/>
    <n v="2.752999717793622"/>
    <n v="0.04907746674633973"/>
    <n v="1.257462196767999"/>
    <x v="0"/>
    <m/>
    <x v="4"/>
    <x v="0"/>
    <s v="Defaut GE &amp; Power Cabinet"/>
    <x v="0"/>
    <s v="{hourly IHS}: 25/05/2026 05:06 1:17:01 48.7V Gen stopped due to fuel shortage"/>
  </r>
  <r>
    <s v="Bafia-Dang"/>
    <s v="CTR_397"/>
    <s v="CENTRE"/>
    <s v="IHS"/>
    <s v="Grid-Gen"/>
    <s v="CENTRE"/>
    <s v="Bafia"/>
    <s v="ZTE"/>
    <n v="0"/>
    <n v="0"/>
    <n v="0"/>
    <n v="0"/>
    <n v="0.03563448647815722"/>
    <n v="0"/>
    <n v="0"/>
    <n v="0"/>
    <n v="0.984371477572032"/>
    <n v="0"/>
    <n v="0.3444488675438671"/>
    <n v="0"/>
    <n v="0"/>
    <n v="0"/>
    <n v="0"/>
    <n v="0"/>
    <n v="0"/>
    <n v="0"/>
    <n v="0"/>
    <n v="0"/>
    <n v="0"/>
    <n v="0"/>
    <n v="0"/>
    <n v="0"/>
    <m/>
    <n v="0"/>
    <m/>
    <n v="0"/>
    <m/>
    <n v="0"/>
    <m/>
    <m/>
    <n v="0.06839752534721379"/>
    <n v="0"/>
    <n v="0"/>
    <n v="0"/>
    <m/>
    <n v="1.139518823855059"/>
    <n v="1.005534373263951"/>
    <n v="0.4486507645072772"/>
    <n v="1.846817563973759"/>
    <n v="1.257301681063141"/>
    <x v="0"/>
    <m/>
    <x v="4"/>
    <x v="0"/>
    <s v="Defaut GE &amp; Power Cabinet"/>
    <x v="0"/>
    <s v="{hourly IHS}: 25/05/2026 07:29 0:31:00 44 FME is informed and managing with L0."/>
  </r>
  <r>
    <s v="Guider-CRTV"/>
    <s v="NRD_100"/>
    <s v="NORD"/>
    <s v="CAMUSAT"/>
    <s v="Medium Grid + Solar + GE"/>
    <s v="NORD"/>
    <s v="Guider"/>
    <s v="Huawei"/>
    <n v="6.196619610596035"/>
    <n v="3.331235928123208"/>
    <n v="0"/>
    <n v="0"/>
    <n v="1.119739722001067"/>
    <n v="0"/>
    <n v="0"/>
    <n v="0"/>
    <n v="0"/>
    <n v="0"/>
    <n v="0"/>
    <n v="0"/>
    <n v="0"/>
    <n v="0"/>
    <n v="0"/>
    <n v="0"/>
    <n v="0"/>
    <n v="3.30992300953392"/>
    <n v="0"/>
    <n v="0"/>
    <n v="0"/>
    <n v="0"/>
    <n v="0"/>
    <n v="0"/>
    <m/>
    <n v="0.2109889764947936"/>
    <m/>
    <n v="0"/>
    <m/>
    <n v="0"/>
    <m/>
    <m/>
    <n v="3.703008135649326"/>
    <n v="0"/>
    <n v="1.418512953974083"/>
    <n v="0"/>
    <m/>
    <n v="4.230391401494722"/>
    <n v="1.117191028300341"/>
    <n v="1.880508124483613"/>
    <n v="0.8878404437177559"/>
    <n v="1.253841675869567"/>
    <x v="0"/>
    <m/>
    <x v="2"/>
    <x v="1"/>
    <s v="no root cause"/>
    <x v="1"/>
    <s v=""/>
  </r>
  <r>
    <s v="Likok-MTN"/>
    <s v="ADM_065"/>
    <s v="ADAMAOUA"/>
    <s v="IHS"/>
    <s v="Hybrid-Gen"/>
    <s v="ADAMAOUA"/>
    <s v="Likok"/>
    <s v="NOKIA"/>
    <n v="0.007046079213012532"/>
    <n v="0.1045904995435087"/>
    <n v="0.3056636352942186"/>
    <n v="0.006778114264576207"/>
    <n v="0.08121656636046472"/>
    <n v="0.008205560602495589"/>
    <n v="0.04410188429504246"/>
    <n v="0.06030074938261727"/>
    <n v="0.02382926927192327"/>
    <n v="0.09113743654794283"/>
    <n v="0.1232126468394205"/>
    <n v="0"/>
    <n v="0.008829896735294211"/>
    <n v="0.01079209600980409"/>
    <n v="0.005619025195187258"/>
    <n v="0.03000351032495155"/>
    <n v="0.02961048825183058"/>
    <n v="0.195709009285403"/>
    <n v="0.1218775467548367"/>
    <n v="0.0105245233814617"/>
    <n v="0"/>
    <n v="0.01346780680869923"/>
    <n v="0.003656825920677375"/>
    <n v="0.008455251698939133"/>
    <m/>
    <n v="0.02452589587093473"/>
    <m/>
    <n v="0.02525860526616918"/>
    <m/>
    <n v="0.003210685704272814"/>
    <m/>
    <m/>
    <n v="0"/>
    <n v="0.937486281773113"/>
    <n v="0.0125759135320856"/>
    <n v="0.5226141398893197"/>
    <m/>
    <n v="0.1264612396671074"/>
    <n v="4.331753653945302"/>
    <n v="1.878017275197679"/>
    <n v="0"/>
    <n v="1.24904608164832"/>
    <x v="0"/>
    <m/>
    <x v="2"/>
    <x v="1"/>
    <s v="no root cause"/>
    <x v="1"/>
    <s v="{05-25-2026 ocm ran 22H}: Power status check Ongoing      ;      {05-25-2026 ticket}: INC-20260525-00020899"/>
  </r>
  <r>
    <s v="Guider"/>
    <s v="NRD_006"/>
    <s v="NORD"/>
    <s v="CAMUSAT"/>
    <s v="Good Grid + Solar + GE"/>
    <s v="NORD"/>
    <s v="Guider"/>
    <s v="Huawei"/>
    <n v="2.850437886842848"/>
    <n v="0.02755519600037667"/>
    <n v="0"/>
    <n v="0"/>
    <n v="0"/>
    <n v="0"/>
    <n v="0"/>
    <n v="0"/>
    <n v="0"/>
    <n v="0"/>
    <n v="0"/>
    <n v="0"/>
    <n v="0"/>
    <n v="0"/>
    <n v="0"/>
    <n v="0"/>
    <n v="8.917539158697954e-05"/>
    <n v="1.878747149954485"/>
    <n v="0"/>
    <n v="0"/>
    <n v="0"/>
    <n v="0"/>
    <n v="0"/>
    <n v="0"/>
    <m/>
    <n v="0.09559601978124208"/>
    <m/>
    <n v="8.917539158697954e-05"/>
    <m/>
    <n v="0"/>
    <m/>
    <m/>
    <n v="3.730081784535132"/>
    <n v="0"/>
    <n v="0.7396563679790431"/>
    <n v="0"/>
    <m/>
    <n v="4.232157074248144"/>
    <n v="1.112819682745225"/>
    <n v="1.879073717066006"/>
    <n v="0.8751863233720099"/>
    <n v="1.246136922036452"/>
    <x v="0"/>
    <m/>
    <x v="2"/>
    <x v="1"/>
    <s v="no root cause"/>
    <x v="1"/>
    <s v=""/>
  </r>
  <r>
    <s v="Sagamla-MTN-IHS"/>
    <s v="NRD_089"/>
    <s v="NORD"/>
    <s v="IHS"/>
    <s v="Grid-Gen"/>
    <s v="NORD"/>
    <s v="Guider"/>
    <s v="Huawei"/>
    <n v="6.22966801071817"/>
    <n v="3.338726661016514"/>
    <n v="10.01361173177184"/>
    <n v="4.676107843724764"/>
    <n v="2.92042273416031"/>
    <n v="2.8484403580713"/>
    <n v="0"/>
    <n v="0"/>
    <n v="0"/>
    <n v="0"/>
    <n v="0"/>
    <n v="0"/>
    <n v="0"/>
    <n v="0"/>
    <n v="0"/>
    <n v="0"/>
    <n v="0"/>
    <n v="3.510478465213037"/>
    <n v="0"/>
    <n v="0"/>
    <n v="0"/>
    <n v="0"/>
    <n v="0"/>
    <n v="0"/>
    <m/>
    <n v="0.3237245065390531"/>
    <m/>
    <n v="0"/>
    <m/>
    <n v="0"/>
    <m/>
    <m/>
    <n v="3.749967896859028"/>
    <n v="0"/>
    <n v="3.689631826911278"/>
    <n v="0"/>
    <m/>
    <n v="4.230641092591166"/>
    <n v="1.098456690206987"/>
    <n v="1.890283345403606"/>
    <n v="0.8700562745831937"/>
    <n v="1.245173827807313"/>
    <x v="0"/>
    <m/>
    <x v="2"/>
    <x v="1"/>
    <s v="no root cause"/>
    <x v="1"/>
    <s v=""/>
  </r>
  <r>
    <s v="Beka-Hossere-II"/>
    <s v="ADM_172"/>
    <s v="Ngaoundere"/>
    <s v="CAMUSAT"/>
    <s v="Hybrid Solar - S3"/>
    <s v="ADAMAOUA"/>
    <s v="Ngaoundere"/>
    <s v="Huawei"/>
    <n v="2.285743637157459"/>
    <n v="17.62462439325063"/>
    <n v="21.49314205568539"/>
    <n v="0"/>
    <n v="0"/>
    <n v="0"/>
    <n v="0.8263526836799047"/>
    <n v="3.225028036743115"/>
    <n v="0"/>
    <n v="2.304470469390725"/>
    <n v="0"/>
    <n v="0"/>
    <n v="1.322578067704811"/>
    <n v="0.9341478970302455"/>
    <n v="0.2484248058830076"/>
    <n v="0.2372778819346352"/>
    <n v="0.5101545801907926"/>
    <n v="0.1715556183350312"/>
    <n v="0.2583054392708449"/>
    <n v="3.103624658636601"/>
    <n v="0"/>
    <n v="0"/>
    <n v="0"/>
    <n v="0.8142248304240752"/>
    <m/>
    <n v="0"/>
    <m/>
    <n v="0"/>
    <m/>
    <n v="2.625698064965343"/>
    <m/>
    <m/>
    <n v="2.903194048505706"/>
    <n v="2.654305530586446"/>
    <n v="0.2401671646220533"/>
    <n v="3.138099865024127"/>
    <m/>
    <n v="5.143422565797171"/>
    <n v="1.081595785922968"/>
    <n v="1.386646963221369"/>
    <n v="1.196840382430773"/>
    <n v="1.244103723108269"/>
    <x v="0"/>
    <m/>
    <x v="11"/>
    <x v="7"/>
    <s v="BSS Hardware issue"/>
    <x v="2"/>
    <s v="{05-25-2026 BOTX}: Power issue and fan issue"/>
  </r>
  <r>
    <s v="Ngd-Bamyanga-Hossere-MTN"/>
    <s v="ADM_164"/>
    <s v="Ngaoundere"/>
    <s v="MTN sharing"/>
    <m/>
    <s v="ADAMAOUA"/>
    <s v="Ngaoundere"/>
    <s v="Huawei"/>
    <n v="5.822350492105481"/>
    <n v="3.437354644111713"/>
    <n v="0.1854848145009175"/>
    <n v="0"/>
    <n v="0"/>
    <n v="0"/>
    <n v="0.8756131699925521"/>
    <n v="3.720664863183547"/>
    <n v="0"/>
    <n v="5.737509024549628"/>
    <n v="5.710043003940839"/>
    <n v="42.7531618026841"/>
    <n v="1.27053530917465"/>
    <n v="0.8852441122839459"/>
    <n v="0.1897652332970925"/>
    <n v="0.2031415420351394"/>
    <n v="0.4013070972197254"/>
    <n v="0.1498146578661256"/>
    <n v="0.2468731540693942"/>
    <n v="2.836080648797345"/>
    <n v="0"/>
    <n v="0"/>
    <n v="1.868902186723282"/>
    <n v="0.78344148524825"/>
    <m/>
    <n v="0"/>
    <m/>
    <n v="0"/>
    <m/>
    <n v="3.237690942348466"/>
    <m/>
    <m/>
    <n v="2.281481053439602"/>
    <n v="2.599105963194106"/>
    <n v="0.3117571689880805"/>
    <n v="3.161178456366838"/>
    <m/>
    <n v="7.10144663887248"/>
    <n v="1.084093697668749"/>
    <n v="1.40757868627831"/>
    <n v="1.179740219801387"/>
    <n v="1.242569906372973"/>
    <x v="0"/>
    <m/>
    <x v="10"/>
    <x v="6"/>
    <s v="Projet OCM (HUAWEI)"/>
    <x v="5"/>
    <s v="{05-25-2026 BOTX}: No supervision"/>
  </r>
  <r>
    <s v="Denver-Total-IHS"/>
    <s v="LIT_588"/>
    <s v="Douala"/>
    <s v="IHS"/>
    <s v="Grid-Gen"/>
    <s v="LITTORAL"/>
    <s v="Douala"/>
    <s v="ZTE"/>
    <n v="0"/>
    <n v="0"/>
    <n v="0"/>
    <n v="0"/>
    <n v="0"/>
    <n v="0"/>
    <n v="0"/>
    <n v="0"/>
    <n v="0"/>
    <n v="0"/>
    <n v="0"/>
    <n v="0"/>
    <n v="0"/>
    <n v="0"/>
    <n v="0"/>
    <n v="0"/>
    <n v="0"/>
    <n v="0"/>
    <n v="0"/>
    <n v="0"/>
    <n v="0"/>
    <n v="0"/>
    <n v="0"/>
    <n v="0"/>
    <m/>
    <n v="0"/>
    <m/>
    <n v="0"/>
    <m/>
    <n v="0"/>
    <m/>
    <m/>
    <n v="0"/>
    <n v="0"/>
    <n v="0"/>
    <n v="0"/>
    <m/>
    <n v="0"/>
    <n v="0.7865924087462881"/>
    <n v="0.7223569502670756"/>
    <n v="1.662135807576385"/>
    <n v="1.221613689350033"/>
    <x v="0"/>
    <m/>
    <x v="4"/>
    <x v="0"/>
    <s v="Defaut GE &amp; Power Cabinet"/>
    <x v="0"/>
    <s v="{05-25-2026 ticket}: INC-20260525-00018272...Grid Outage"/>
  </r>
  <r>
    <s v="LIT_841_Z_PK12-BASSA-SODIKOMBO"/>
    <s v="LIT_841"/>
    <s v="Douala"/>
    <s v="ESCO"/>
    <s v="Medium Grid + GE"/>
    <s v="LIT"/>
    <s v="Douala"/>
    <s v="ZTE"/>
    <n v="0"/>
    <n v="8.085051208076868"/>
    <n v="0"/>
    <n v="3.954161708514896"/>
    <n v="30.64196651000334"/>
    <n v="10.50687649279605"/>
    <n v="0"/>
    <n v="0"/>
    <n v="7.236814883301522"/>
    <n v="0"/>
    <n v="0.1732677858535018"/>
    <n v="4.622852299869019"/>
    <n v="0"/>
    <n v="4.666994118704575"/>
    <n v="0"/>
    <n v="4.80872948609292"/>
    <n v="8.836175531413993"/>
    <n v="0"/>
    <n v="0.1737850031247061"/>
    <n v="0"/>
    <n v="4.622852299869019"/>
    <n v="0.4903041380235312"/>
    <n v="0"/>
    <n v="0"/>
    <m/>
    <n v="0.163636843562107"/>
    <m/>
    <n v="0.1768883067519328"/>
    <m/>
    <n v="0"/>
    <m/>
    <m/>
    <n v="0"/>
    <n v="0"/>
    <n v="0"/>
    <n v="0"/>
    <m/>
    <n v="0.3491216580630248"/>
    <n v="0.5797653161956604"/>
    <n v="0.4899298224139857"/>
    <n v="1.865217338962981"/>
    <n v="1.219955027066515"/>
    <x v="0"/>
    <m/>
    <x v="2"/>
    <x v="1"/>
    <s v="no root cause"/>
    <x v="1"/>
    <s v=""/>
  </r>
  <r>
    <s v="Ngomedzap"/>
    <s v="CTR_188"/>
    <s v="CENTRE"/>
    <s v="CAMUSAT"/>
    <s v="Bad Grid + Solar + GE"/>
    <s v="CENTRE"/>
    <s v="Ngomedzap"/>
    <s v="NOKIA"/>
    <n v="18.54234033867869"/>
    <n v="13.74584613085447"/>
    <n v="0"/>
    <n v="0"/>
    <n v="0.07544238128258468"/>
    <n v="5.444559800033906"/>
    <n v="18.54217801883617"/>
    <n v="18.54250265852122"/>
    <n v="18.54217801883617"/>
    <n v="8.082960091853217"/>
    <n v="0"/>
    <n v="14.8874927589582"/>
    <n v="0"/>
    <n v="0"/>
    <n v="0"/>
    <n v="8.111482794143246"/>
    <n v="18.49017857907218"/>
    <n v="18.48996455813237"/>
    <n v="18.49033909477703"/>
    <n v="18.49039260001198"/>
    <n v="15.03473916554663"/>
    <n v="4.179846789543222"/>
    <n v="0.4315553900460288"/>
    <n v="0"/>
    <m/>
    <n v="0.01876250238990038"/>
    <m/>
    <n v="0.1000726244389083"/>
    <m/>
    <n v="18.49017857907218"/>
    <m/>
    <m/>
    <n v="18.49028558954208"/>
    <n v="18.49012507383723"/>
    <n v="18.48991105289742"/>
    <n v="18.32573915698579"/>
    <m/>
    <n v="6.098722865711849"/>
    <n v="2.64641259906718"/>
    <n v="2.47398091196861"/>
    <n v="0"/>
    <n v="1.208451401551795"/>
    <x v="0"/>
    <m/>
    <x v="2"/>
    <x v="1"/>
    <s v="no root cause"/>
    <x v="1"/>
    <s v="{05-25-2026 ticket}: INC-20260525-00025415...2026-05-25 22:41:13...&quot;fme a  informé recemment  qu'il  a parlé avec le RM de HUAWEI Centre ( Alain Raoul). Il confirme qu'il y'a  un problème de transmission a NGOMEZAP &quot;&quot;le site U- Relay est hors service&quot;&quot;._x000a_Merci  passer ce down time en transmission.&quot;...user:OCM_NOC.CAMUSAT"/>
  </r>
  <r>
    <s v="Maroua-Loperey-II-IHS"/>
    <s v="EXN_146"/>
    <s v="Maroua"/>
    <s v="IHS"/>
    <s v="Grid-Gen"/>
    <s v="EXTREME-NORD"/>
    <s v="Maroua"/>
    <s v="Huawei"/>
    <n v="0"/>
    <n v="0"/>
    <n v="0"/>
    <n v="0"/>
    <n v="0.235244683006452"/>
    <n v="0"/>
    <n v="0.004815471145696896"/>
    <n v="0"/>
    <n v="0"/>
    <n v="8.917539158697954e-05"/>
    <n v="0"/>
    <n v="0"/>
    <n v="0"/>
    <n v="0"/>
    <n v="0"/>
    <n v="0"/>
    <n v="0"/>
    <n v="0"/>
    <n v="0"/>
    <n v="0.2174096046890561"/>
    <n v="0"/>
    <n v="0"/>
    <n v="0"/>
    <n v="0"/>
    <m/>
    <n v="0"/>
    <m/>
    <n v="0"/>
    <m/>
    <n v="0"/>
    <m/>
    <m/>
    <n v="0.0002675261747609386"/>
    <n v="0"/>
    <n v="0"/>
    <n v="0"/>
    <m/>
    <n v="0.1122718180080072"/>
    <n v="1.96398311011994"/>
    <n v="2.50681290397163"/>
    <n v="0.1368013010350934"/>
    <n v="1.193362925295278"/>
    <x v="0"/>
    <m/>
    <x v="2"/>
    <x v="1"/>
    <s v="no root cause"/>
    <x v="1"/>
    <s v=""/>
  </r>
  <r>
    <s v="Nkolmessing-Abom-II"/>
    <s v="CTR_875"/>
    <s v="CENTRE"/>
    <s v="CAMUSAT"/>
    <s v="Good Grid + GE"/>
    <s v="CENTRE"/>
    <s v="Ebolmadzom"/>
    <s v="ZTE"/>
    <n v="0.6094959664186875"/>
    <n v="0.9813930194930269"/>
    <n v="4.053413919351203"/>
    <n v="0"/>
    <n v="0.4842402113956162"/>
    <n v="0.02238302328833137"/>
    <n v="0"/>
    <n v="0.4917487793672394"/>
    <n v="1.484823775158162"/>
    <n v="0.4521905756592561"/>
    <n v="1.844914006386384"/>
    <n v="5.097978786244447"/>
    <n v="0.736981106231433"/>
    <n v="9.791012119292418"/>
    <n v="5.879583258426003"/>
    <n v="0.6718830703729382"/>
    <n v="0"/>
    <n v="0.9256583997511646"/>
    <n v="0"/>
    <n v="0"/>
    <n v="4.405638881041454"/>
    <n v="0"/>
    <n v="0"/>
    <n v="0.9014561984744591"/>
    <m/>
    <n v="0.03461788701406612"/>
    <m/>
    <n v="0.490625169433244"/>
    <m/>
    <n v="0.4908926956080051"/>
    <m/>
    <m/>
    <n v="0.4830809313049854"/>
    <n v="0.5113673655163757"/>
    <n v="14.61370647170786"/>
    <n v="0.9216633422080684"/>
    <m/>
    <n v="0.9653592840856884"/>
    <n v="0.6243530408578428"/>
    <n v="0.6677963421973331"/>
    <n v="1.660904595867069"/>
    <n v="1.179487234364343"/>
    <x v="0"/>
    <m/>
    <x v="5"/>
    <x v="2"/>
    <s v="IP &amp; VLAN"/>
    <x v="2"/>
    <s v="{05-25-2026 goupe whatsapp incident}:    impacted by    CTR_351_Z_Mimboman-Nodal(CTR-351)  ,Cause: Boucle ethernet  ,Action: Desactivation de la boucle      ;      {05-25-2026 ticket}: INC-20260525-00019120...Auto TT closure RCA...Grid Outage"/>
  </r>
  <r>
    <s v="MVAMEBOD"/>
    <s v="CTR_981"/>
    <s v="CENTRE"/>
    <m/>
    <m/>
    <s v="CENTRE"/>
    <s v="Mvamebod"/>
    <s v="NOKIA"/>
    <n v="1.908340281960808"/>
    <n v="4.673945758914162"/>
    <n v="10.18289729729051"/>
    <n v="0"/>
    <n v="0"/>
    <n v="0"/>
    <n v="0"/>
    <n v="0"/>
    <n v="0.836591596002469"/>
    <n v="0.0561697360987477"/>
    <n v="0"/>
    <n v="37.36538082886031"/>
    <n v="0"/>
    <n v="0"/>
    <n v="0"/>
    <n v="0"/>
    <n v="0"/>
    <n v="0"/>
    <n v="0"/>
    <n v="0"/>
    <n v="4.986045834724469"/>
    <n v="0.05703658045903203"/>
    <n v="0"/>
    <n v="0"/>
    <m/>
    <n v="0"/>
    <m/>
    <n v="0.1653846812372124"/>
    <m/>
    <n v="0"/>
    <m/>
    <m/>
    <n v="0"/>
    <n v="0"/>
    <n v="0"/>
    <n v="0"/>
    <m/>
    <n v="1.540629735213293"/>
    <n v="7.194235619022498"/>
    <n v="0"/>
    <n v="0.1885590330367692"/>
    <n v="1.12566755955793"/>
    <x v="0"/>
    <m/>
    <x v="11"/>
    <x v="7"/>
    <s v="BSS Hardware issue"/>
    <x v="2"/>
    <s v="(05/25/2026 cell nokia): 25/05/2026: Interventionn prevu pour ce jour ||ETA: 12H_x000a_23/05/2026 : FME activer || Tickets creer au FME pour la commande du materiel _x000a_22/05/2026 : Need BO RAN analysis ||FME should check and clean jumper pot of AHPMDA||ETA : 23052026      ;      (05/25/2026 cell nokia): 25/05/2026: Interventionn prevu pour ce jour ||ETA: 12H||intervention en cour|| Jumpeur fualty||cde e cour_x000a_23/05/2026 : FME activer || Tickets creer au FME pour la commande du materiel _x000a_22/05/2026 : Need BO RAN analysis ||FME should check and clean jumper pot of AHPMDA||ETA : 23052026"/>
  </r>
  <r>
    <s v="Kousseri-Michedire-MTN-IHS"/>
    <s v="EXN_182"/>
    <s v="EXTREME-NORD"/>
    <s v="IHS"/>
    <s v="Hybrid-Gen-Lithium"/>
    <s v="EXTREME-NORD"/>
    <s v="Kousseri"/>
    <s v="Huawei"/>
    <n v="0"/>
    <n v="0"/>
    <n v="0"/>
    <n v="0"/>
    <n v="0.00187268322332657"/>
    <n v="0.1231333807033013"/>
    <n v="0.436977253854517"/>
    <n v="0.1789036706017983"/>
    <n v="0"/>
    <n v="0"/>
    <n v="0"/>
    <n v="0.3059964386915615"/>
    <n v="0"/>
    <n v="0"/>
    <n v="0"/>
    <n v="0"/>
    <n v="0"/>
    <n v="0"/>
    <n v="0"/>
    <n v="0"/>
    <n v="0"/>
    <n v="0"/>
    <n v="0"/>
    <n v="0"/>
    <m/>
    <n v="0.8602036623263221"/>
    <m/>
    <n v="0"/>
    <m/>
    <n v="0.02327477720420166"/>
    <m/>
    <m/>
    <n v="1.591709399514315"/>
    <n v="6.678345075948897"/>
    <n v="6.299902549132073"/>
    <n v="3.708982886885653"/>
    <m/>
    <n v="0"/>
    <n v="1.790378243788193"/>
    <n v="2.315399203021988"/>
    <n v="0.04856446186745814"/>
    <n v="1.058297877197638"/>
    <x v="1"/>
    <m/>
    <x v="4"/>
    <x v="0"/>
    <s v="Defaut GE &amp; Power Cabinet"/>
    <x v="0"/>
    <s v="{hourly IHS}: 25/05/2026 06:50 0:10:00 53 V Our FME YANICK? is on way, ETA:07:30 AM"/>
  </r>
  <r>
    <s v="Andek"/>
    <s v="NRO_218"/>
    <s v="NORD-OUEST"/>
    <s v="IHS"/>
    <s v="solar + Gen"/>
    <s v="NORD-OUEST"/>
    <s v="Andek"/>
    <s v="NOKIA"/>
    <n v="1.082410903082758"/>
    <n v="0.001783507831739642"/>
    <n v="0"/>
    <n v="0.001426806265391782"/>
    <n v="0.02372065416213644"/>
    <n v="2.662955543570383"/>
    <n v="0.02505828503594118"/>
    <n v="0"/>
    <n v="0"/>
    <n v="0.7672650692143719"/>
    <n v="1.720371654496009"/>
    <n v="0"/>
    <n v="0.0470846067579252"/>
    <n v="3.362268964395477"/>
    <n v="0.4945667217413885"/>
    <n v="0.1696115947984351"/>
    <n v="0.2966865278098809"/>
    <n v="0.05412946269329671"/>
    <n v="0.8627719136040271"/>
    <n v="0.4798527821295369"/>
    <n v="13.86855689960706"/>
    <n v="1.451418673469679"/>
    <n v="0"/>
    <n v="0.5285425459360278"/>
    <m/>
    <n v="0.2652967899712643"/>
    <m/>
    <n v="0"/>
    <m/>
    <n v="1.912455447974364"/>
    <m/>
    <m/>
    <n v="0"/>
    <n v="0"/>
    <n v="0.75433463743426"/>
    <n v="1.118259410500723"/>
    <m/>
    <n v="2.346472078828192"/>
    <n v="0"/>
    <n v="3.147196126632462"/>
    <n v="0"/>
    <n v="1.056550039522533"/>
    <x v="1"/>
    <m/>
    <x v="5"/>
    <x v="2"/>
    <s v="MPR ISSUE"/>
    <x v="2"/>
    <s v="{05-25-2026 groupe whatsapp incident}:    impacted by  NRO_017_H_Bali cause: Plantage du MPR a BALI   ,Action: Reset du MPR      ;      {05-25-2026 ticket}: INC-20260525-00008736...power ...Others"/>
  </r>
  <r>
    <s v="PK12-Marche"/>
    <s v="LIT_249"/>
    <s v="Douala"/>
    <s v="IHS"/>
    <s v="Grid-Gen"/>
    <s v="LITTORAL"/>
    <s v="Douala"/>
    <s v="ZTE"/>
    <n v="0"/>
    <n v="1.030403814709231"/>
    <n v="0.5146311848484592"/>
    <n v="1.538685711676697"/>
    <n v="1.015582864627476"/>
    <n v="1.52654002334255"/>
    <n v="0.5070869467202002"/>
    <n v="0.506230862960965"/>
    <n v="1.046526725508158"/>
    <n v="1.036289390553972"/>
    <n v="0.5050715828703344"/>
    <n v="0"/>
    <n v="0.5147025251617288"/>
    <n v="0.5250468705858184"/>
    <n v="0"/>
    <n v="2.987857165278385"/>
    <n v="0.8933769079966783"/>
    <n v="0.7556187630731123"/>
    <n v="0"/>
    <n v="1.022895246737608"/>
    <n v="0"/>
    <n v="1.016064411742045"/>
    <n v="0"/>
    <n v="0"/>
    <m/>
    <n v="0.0003210314097131765"/>
    <m/>
    <n v="1.024910610587474"/>
    <m/>
    <n v="0"/>
    <m/>
    <m/>
    <n v="0"/>
    <n v="0.1985935970642032"/>
    <n v="0.5283106899179015"/>
    <n v="0.5053391090450958"/>
    <m/>
    <n v="1.922139895500709"/>
    <n v="0.4766015610949246"/>
    <n v="0.4029091057457907"/>
    <n v="1.633202332407462"/>
    <n v="1.055016222787238"/>
    <x v="0"/>
    <m/>
    <x v="2"/>
    <x v="1"/>
    <s v="no root cause"/>
    <x v="1"/>
    <s v="{05-25-2026 ticket}: INC-20260525-00026330...Others"/>
  </r>
  <r>
    <s v="Mogode"/>
    <s v="EXN_024"/>
    <s v="EXTREME-NORD"/>
    <s v="IHS"/>
    <s v="Solar-Grid-Gen"/>
    <s v="EXTREME-NORD"/>
    <s v="Mogode"/>
    <s v="NOKIA"/>
    <n v="0"/>
    <n v="0.3152070986469052"/>
    <n v="0.1947838110308735"/>
    <n v="0.05868764084207986"/>
    <n v="0"/>
    <n v="0.1340040477740176"/>
    <n v="0"/>
    <n v="0"/>
    <n v="0"/>
    <n v="0"/>
    <n v="0"/>
    <n v="0"/>
    <n v="0.4379389351344141"/>
    <n v="1.067946654567349"/>
    <n v="0"/>
    <n v="0"/>
    <n v="0"/>
    <n v="0"/>
    <n v="0"/>
    <n v="0"/>
    <m/>
    <n v="0"/>
    <n v="0"/>
    <n v="0.3967948224054241"/>
    <m/>
    <n v="0"/>
    <m/>
    <n v="0"/>
    <m/>
    <n v="0.4680994655183729"/>
    <m/>
    <m/>
    <n v="0"/>
    <n v="0.03609819851440932"/>
    <n v="0.07348052266767113"/>
    <n v="0.0614418448034289"/>
    <m/>
    <n v="0"/>
    <n v="7.369464127989001"/>
    <n v="0"/>
    <n v="0"/>
    <n v="1.052358796117945"/>
    <x v="1"/>
    <m/>
    <x v="4"/>
    <x v="0"/>
    <s v="Defaut GE &amp; Power Cabinet"/>
    <x v="0"/>
    <s v="{hourly IHS}: 25/05/2026 14:39 2:40:21 Fme is managing with level 0      ;      {05-25-2026 ocm ran 17H}: Power status check Ongoing      ;      {05-25-2026 ticket}: INC-20260525-00014145...Auto TT closure RCA...Others Transmission equipement fault"/>
  </r>
  <r>
    <s v="EST_074_N_Mazabe"/>
    <s v="EST_074"/>
    <s v="CENTRE"/>
    <s v="IHS"/>
    <s v="Solar Only"/>
    <s v="EST"/>
    <s v="Mazabe"/>
    <s v="NOKIA"/>
    <n v="0"/>
    <n v="0"/>
    <n v="0"/>
    <n v="0"/>
    <n v="0"/>
    <n v="0"/>
    <n v="0"/>
    <n v="0"/>
    <n v="0"/>
    <n v="0"/>
    <n v="0"/>
    <n v="13.92851843291014"/>
    <n v="0"/>
    <n v="0"/>
    <n v="0"/>
    <n v="0"/>
    <n v="0"/>
    <n v="0"/>
    <n v="0"/>
    <n v="0.2236697171784621"/>
    <n v="0"/>
    <n v="0"/>
    <n v="0"/>
    <n v="0"/>
    <m/>
    <n v="0"/>
    <m/>
    <n v="0.005974751236327935"/>
    <m/>
    <n v="0"/>
    <m/>
    <m/>
    <n v="0"/>
    <n v="0"/>
    <n v="0"/>
    <n v="0"/>
    <m/>
    <n v="0"/>
    <n v="3.671680475122798"/>
    <n v="1.572269908299928"/>
    <n v="0.000195430430050242"/>
    <n v="1.05224668991138"/>
    <x v="0"/>
    <m/>
    <x v="4"/>
    <x v="0"/>
    <s v="Defaut GE &amp; Power Cabinet"/>
    <x v="0"/>
    <s v="{hourly IHS}: 25/05/2026 21:21 1:38:50 FME Desire is managing with level 0      ;      {05-25-2026 ocm ran 22H}: Power status check Ongoing      ;      {05-25-2026 ticket}: INC-20260525-00024103...Auto TT closure RCA...Others Transmission equipement fault"/>
  </r>
  <r>
    <s v="Oyomabang-marche"/>
    <s v="CTR_718"/>
    <s v="Yaounde"/>
    <s v="CAMUSAT"/>
    <s v="Good Grid no GE - 8h"/>
    <s v="CENTRE"/>
    <s v="Yaounde"/>
    <s v="ZTE"/>
    <n v="0"/>
    <n v="0"/>
    <n v="0"/>
    <n v="5.996403021404948"/>
    <n v="34.24549057879823"/>
    <n v="38.76365096894413"/>
    <n v="40.27658282753051"/>
    <n v="39.47280935300043"/>
    <n v="26.30946928514153"/>
    <n v="0"/>
    <n v="0"/>
    <n v="5.776710526691265"/>
    <n v="30.55170317863901"/>
    <n v="13.86855689960706"/>
    <n v="13.86855689960706"/>
    <n v="13.86855689960706"/>
    <n v="13.86855689960706"/>
    <n v="12.15241215867227"/>
    <n v="0"/>
    <n v="0"/>
    <n v="0.4802986590874717"/>
    <n v="0"/>
    <n v="0"/>
    <n v="0"/>
    <m/>
    <n v="0"/>
    <m/>
    <n v="0"/>
    <m/>
    <n v="0"/>
    <m/>
    <m/>
    <n v="0"/>
    <n v="0"/>
    <n v="0"/>
    <n v="0"/>
    <m/>
    <n v="0"/>
    <n v="0.369815833962807"/>
    <n v="0.3500485360969148"/>
    <n v="1.662135807576387"/>
    <n v="1.037109804156573"/>
    <x v="0"/>
    <m/>
    <x v="2"/>
    <x v="1"/>
    <s v="no root cause"/>
    <x v="1"/>
    <s v=""/>
  </r>
  <r>
    <s v="Ngd-Bamyangal-New"/>
    <s v="ADM_131"/>
    <s v="Ngaoundere"/>
    <s v="IHS"/>
    <s v="Grid-Gen"/>
    <s v="ADAMAOUA"/>
    <s v="Ngaoundere"/>
    <s v="Huawei"/>
    <n v="3.441635062907888"/>
    <n v="1.488693987153036"/>
    <n v="0.2392040703929139"/>
    <n v="0"/>
    <n v="0"/>
    <n v="0"/>
    <n v="0.6624839840996709"/>
    <n v="1.931628157165564"/>
    <n v="0"/>
    <n v="1.796152902266624"/>
    <n v="0"/>
    <n v="0.2192109475991131"/>
    <n v="0.4914277479575269"/>
    <n v="0.3272558520458975"/>
    <n v="0.09968025271592572"/>
    <n v="0.1038893311988312"/>
    <n v="0.1920302882434017"/>
    <n v="0.05377276112694866"/>
    <n v="0.1022841741502655"/>
    <n v="1.13170705955204"/>
    <n v="1.734211675270308"/>
    <n v="0"/>
    <n v="0"/>
    <n v="0.3506376397200036"/>
    <m/>
    <n v="0"/>
    <m/>
    <n v="0"/>
    <m/>
    <n v="1.486304086658506"/>
    <m/>
    <m/>
    <n v="1.64612422346069"/>
    <n v="1.332351690622744"/>
    <n v="0.2493700650338296"/>
    <n v="1.625399862455876"/>
    <m/>
    <n v="1.612933142712016"/>
    <n v="1.041004720054035"/>
    <n v="1.300263760960997"/>
    <n v="0.8562051428533906"/>
    <n v="1.031670105269766"/>
    <x v="0"/>
    <m/>
    <x v="2"/>
    <x v="1"/>
    <s v="no root cause"/>
    <x v="1"/>
    <s v=""/>
  </r>
  <r>
    <s v="Bonga"/>
    <s v="EST_073"/>
    <s v="CENTRE"/>
    <s v="IHS"/>
    <s v="Hybrid-Gen"/>
    <s v="EST"/>
    <s v="Bonga"/>
    <s v="NOKIA"/>
    <n v="0.1562174509820707"/>
    <n v="0.1666153016411123"/>
    <n v="0.2646190569952032"/>
    <n v="0.358039197221723"/>
    <n v="0.09217168474430198"/>
    <n v="0"/>
    <n v="0.3146833261819872"/>
    <n v="2.586657078528563"/>
    <n v="3.412326152934926"/>
    <n v="0.291728376037645"/>
    <n v="0.2722346354367312"/>
    <n v="0"/>
    <n v="0.1611577676759894"/>
    <n v="0.2046218535354832"/>
    <n v="4.426612933142712"/>
    <n v="0.2688459705564258"/>
    <n v="0.2931016770680843"/>
    <n v="0.2948851848998241"/>
    <n v="0.25785956231291"/>
    <n v="0.2311961202284032"/>
    <n v="0"/>
    <n v="0.3015198340338953"/>
    <n v="0.1836834715908604"/>
    <n v="0.2091519634281019"/>
    <m/>
    <n v="0.3025542685763041"/>
    <m/>
    <n v="0.3524389826300605"/>
    <m/>
    <n v="0.3651018882354116"/>
    <m/>
    <m/>
    <n v="0.3202109961105263"/>
    <n v="0.1454807338349983"/>
    <n v="0.3462680455322417"/>
    <n v="0.416838848070404"/>
    <m/>
    <n v="1.435483855090834"/>
    <n v="1.80361717604083"/>
    <n v="0.7992836888113672"/>
    <n v="0.961952548553518"/>
    <n v="1.027532367100131"/>
    <x v="0"/>
    <m/>
    <x v="5"/>
    <x v="2"/>
    <s v="MPR ISSUE"/>
    <x v="2"/>
    <s v="(05/25/2026 cell nokia): 25/05/2026 : Check breaker and  interconnection (sfp, optical fiber) between system and radio module, swap its if needed||Escalade faite au RM || En attente du feedback du RM       ;      {05-25-2026 ticket}: INC-20260525-00021857...Others"/>
  </r>
  <r>
    <s v="Kouba-MTN-IHS"/>
    <s v="EST_094"/>
    <s v="CENTRE"/>
    <s v="IHS"/>
    <s v="Hybrid-Gen"/>
    <s v="EST"/>
    <s v="Kouba"/>
    <s v="NOKIA"/>
    <n v="0.0002675261747609805"/>
    <n v="0"/>
    <n v="0"/>
    <n v="0"/>
    <n v="0"/>
    <n v="0"/>
    <n v="0"/>
    <n v="0"/>
    <n v="0"/>
    <n v="0"/>
    <n v="0"/>
    <n v="0"/>
    <n v="0"/>
    <n v="1.008475450866752"/>
    <n v="0.2730852188546534"/>
    <n v="0"/>
    <n v="0"/>
    <n v="0"/>
    <n v="0.05300585275930114"/>
    <n v="0"/>
    <n v="0"/>
    <n v="0"/>
    <n v="0.4672612168374558"/>
    <n v="0.009809293074567601"/>
    <m/>
    <n v="0"/>
    <m/>
    <n v="0"/>
    <m/>
    <n v="0"/>
    <m/>
    <m/>
    <n v="0"/>
    <n v="0.9294037661978184"/>
    <n v="0.2391318714023823"/>
    <n v="0.5423647316320098"/>
    <m/>
    <n v="0.2163573350683296"/>
    <n v="1.751285924966728"/>
    <n v="0.7512044772211852"/>
    <n v="0.9815835352520539"/>
    <n v="1.014156058362084"/>
    <x v="0"/>
    <m/>
    <x v="2"/>
    <x v="1"/>
    <s v="no root cause"/>
    <x v="1"/>
    <s v="{05-25-2026 ticket}: INC-20260525-00013918...Auto TT closure RCA...Others Transmission equipement fault"/>
  </r>
  <r>
    <s v="Mehanda-III"/>
    <s v="CTR_866"/>
    <s v="Yaounde"/>
    <s v="CAMUSAT"/>
    <s v="Good Grid + GE"/>
    <s v="CENTRE"/>
    <s v="Binguela"/>
    <s v="ZTE"/>
    <n v="0"/>
    <n v="0"/>
    <n v="0"/>
    <n v="0"/>
    <n v="0"/>
    <n v="0"/>
    <n v="0"/>
    <n v="0"/>
    <n v="0"/>
    <n v="0"/>
    <n v="0"/>
    <n v="3.487530491716149"/>
    <n v="0"/>
    <n v="0"/>
    <n v="0"/>
    <n v="0"/>
    <n v="0"/>
    <n v="0"/>
    <n v="0"/>
    <n v="0"/>
    <n v="1.671432199593075"/>
    <n v="0"/>
    <n v="0"/>
    <n v="0"/>
    <m/>
    <n v="0"/>
    <m/>
    <n v="0.0008560837592350035"/>
    <m/>
    <n v="0"/>
    <m/>
    <m/>
    <n v="0"/>
    <n v="0"/>
    <n v="0"/>
    <n v="0"/>
    <m/>
    <n v="0"/>
    <n v="1.24945545523942"/>
    <n v="0.1347811710544656"/>
    <n v="1.497221839178579"/>
    <n v="1.00445377575742"/>
    <x v="0"/>
    <m/>
    <x v="5"/>
    <x v="2"/>
    <s v="IP &amp; VLAN"/>
    <x v="2"/>
    <s v="{05-25-2026 goupe whatsapp incident}:    impacted by    CTR_007_Z_Messamendongo(CTR-007)  ,Cause: Boucle etherneet  ,Action: Desactivation de la bouclee      ;      {05-25-2026 ticket}: INC-20260525-00024908...Others Transmission equipement fault"/>
  </r>
  <r>
    <s v="Bambui-II"/>
    <s v="NRO_140"/>
    <s v="NORD-OUEST"/>
    <s v="CAMUSAT"/>
    <s v="HGB"/>
    <s v="NORD-OUEST"/>
    <s v="Tubah"/>
    <s v="NOKIA"/>
    <n v="0"/>
    <n v="0"/>
    <n v="0"/>
    <n v="0"/>
    <n v="4.861845221929675"/>
    <n v="2.831723644649046"/>
    <n v="0.2389684251018191"/>
    <n v="0"/>
    <n v="1.117127649834734"/>
    <n v="0"/>
    <n v="0.7656663132540413"/>
    <n v="9.244848515978804"/>
    <n v="0.003477840271892233"/>
    <n v="0"/>
    <n v="0.004637120362523033"/>
    <n v="0"/>
    <n v="0"/>
    <n v="2.604188960514563"/>
    <n v="0.03911232675004916"/>
    <n v="0.03474273256228733"/>
    <n v="9.24500903168366"/>
    <n v="1.990466080534653"/>
    <n v="3.050493960329078"/>
    <n v="0.5905194430889785"/>
    <m/>
    <n v="0.2126119686216766"/>
    <m/>
    <n v="1.961537583503836"/>
    <m/>
    <n v="6.125332802561403"/>
    <m/>
    <m/>
    <n v="0"/>
    <n v="0"/>
    <n v="0.03379747341146521"/>
    <n v="0"/>
    <m/>
    <n v="0"/>
    <n v="3.397534661023385"/>
    <n v="1.477174009132606"/>
    <n v="0"/>
    <n v="0.9810719880833142"/>
    <x v="1"/>
    <m/>
    <x v="4"/>
    <x v="0"/>
    <s v="Defaut GE &amp; Power Cabinet"/>
    <x v="0"/>
    <s v="{05-25-2026 ticket}: INC-20260525-00018955...2026-05-25 18:02:37...Transmission issue impacted by NRO_061_H_Bambili-university-IHS/Main site up awaited...Auto TT closure RCA...Others Transmission equipement fault...user:OCM_NOC.CAMUSAT"/>
  </r>
  <r>
    <s v="Mayo-Nonde-IHS"/>
    <s v="NRD_106"/>
    <s v="NORD"/>
    <s v="IHS"/>
    <s v="Solar-Gen"/>
    <s v="NORD"/>
    <s v="Mayo-Nonde"/>
    <s v="NOKIA"/>
    <n v="0"/>
    <n v="0"/>
    <n v="0"/>
    <n v="0"/>
    <n v="0"/>
    <n v="0"/>
    <n v="0.03665916271822157"/>
    <n v="0"/>
    <n v="0"/>
    <n v="0"/>
    <n v="0"/>
    <n v="0"/>
    <n v="0.01779461844575409"/>
    <n v="1.479105932037063"/>
    <n v="0"/>
    <n v="0"/>
    <n v="0.03451191388739332"/>
    <n v="0"/>
    <n v="0"/>
    <n v="0"/>
    <n v="2.39840782688845"/>
    <n v="0"/>
    <n v="0"/>
    <n v="0"/>
    <m/>
    <n v="0"/>
    <m/>
    <n v="0.01671146838339996"/>
    <m/>
    <n v="0"/>
    <m/>
    <m/>
    <n v="1.710883392831155"/>
    <n v="2.168156965810868"/>
    <n v="3.116092518941925"/>
    <n v="3.631041152353919"/>
    <m/>
    <n v="4.293565501116761"/>
    <n v="3.378050949406296"/>
    <n v="1.456539081334369"/>
    <n v="0"/>
    <n v="0.9713623326003346"/>
    <x v="0"/>
    <m/>
    <x v="4"/>
    <x v="0"/>
    <s v="Defaut GE &amp; Power Cabinet"/>
    <x v="0"/>
    <s v="  {05-25-2026 groupe whatsapp incident}:    impacted by  Boula-Ibi-IHS_G_NRD_105 ,RCA: Power issue / En attente RCA IHS      ;      {05-25-2026 ticket}: INC-20260525-00005822...Others"/>
  </r>
  <r>
    <s v="Bsadi-Terminus"/>
    <s v="LIT_057"/>
    <s v="Douala"/>
    <s v="IHS"/>
    <s v="Grid-Gen"/>
    <s v="LITTORAL"/>
    <s v="Douala"/>
    <s v="ZTE"/>
    <n v="0"/>
    <n v="0"/>
    <n v="0"/>
    <n v="0"/>
    <n v="0"/>
    <n v="0"/>
    <n v="1.954653243273321"/>
    <n v="1.483914186163975"/>
    <n v="0.2874836273981043"/>
    <n v="3.472935625354918"/>
    <n v="1.20156706132128"/>
    <n v="0"/>
    <n v="0.3108119098372585"/>
    <n v="0.05116883969260869"/>
    <n v="0"/>
    <n v="1.378936915187782"/>
    <n v="0"/>
    <n v="0"/>
    <n v="0"/>
    <n v="0.4817076302745464"/>
    <n v="0.001427054017825446"/>
    <n v="0.04806553606538202"/>
    <n v="19.44735156221018"/>
    <n v="38.25115999349376"/>
    <m/>
    <n v="2.239176247670739"/>
    <m/>
    <n v="2.24629244391938"/>
    <m/>
    <n v="10.48451130458604"/>
    <m/>
    <m/>
    <n v="0"/>
    <n v="0"/>
    <n v="0.08871167955072712"/>
    <n v="0"/>
    <m/>
    <n v="0"/>
    <n v="0.5090744137900715"/>
    <n v="0.4929048896505053"/>
    <n v="1.394381461125448"/>
    <n v="0.9653236139290533"/>
    <x v="0"/>
    <m/>
    <x v="2"/>
    <x v="1"/>
    <s v="no root cause"/>
    <x v="1"/>
    <s v=""/>
  </r>
  <r>
    <s v="Nwa"/>
    <s v="NRO_012"/>
    <s v="NORD-OUEST"/>
    <s v="IHS"/>
    <s v="Solar-Gen"/>
    <s v="NORD-OUEST"/>
    <s v="Mwa"/>
    <s v="NOKIA"/>
    <n v="0.32636408450655"/>
    <n v="0.5433981015969589"/>
    <n v="0.4080087446701515"/>
    <n v="0.3312767027244088"/>
    <n v="0.2139999966313421"/>
    <n v="3.422403340704386"/>
    <n v="9.296635738940653"/>
    <n v="9.296581632326481"/>
    <n v="9.296148779413077"/>
    <n v="9.296527525712303"/>
    <n v="9.296635738940653"/>
    <n v="0"/>
    <n v="4.622852299869019"/>
    <n v="4.622852299869019"/>
    <n v="4.622852299869019"/>
    <n v="4.622852299869019"/>
    <n v="4.622852299869019"/>
    <n v="2.490543841476117"/>
    <n v="1.837030901770096"/>
    <n v="0.4390282878610177"/>
    <n v="0.176050058071015"/>
    <n v="0.4971884782540458"/>
    <n v="1.117884873856058"/>
    <n v="4.909604689056111"/>
    <m/>
    <n v="1.090882565283521"/>
    <m/>
    <n v="0.8781814212702571"/>
    <m/>
    <n v="0.7185753054078811"/>
    <m/>
    <m/>
    <n v="1.276189029001264"/>
    <n v="1.10479392637109"/>
    <n v="3.06274665913313"/>
    <n v="0.6642674919314105"/>
    <m/>
    <n v="3.089106904886241"/>
    <n v="0.9716876691086251"/>
    <n v="2.439023871939506"/>
    <n v="0"/>
    <n v="0.9575653548609863"/>
    <x v="1"/>
    <m/>
    <x v="14"/>
    <x v="2"/>
    <s v="SAT"/>
    <x v="2"/>
    <s v="Impacts :Coupure franche (25 sites VSAT Nokia)  ,Indisponibilité de plusieurs sites VSAT dans plusieurs regions @~Supervision Reseau Orange Cameroun  ; Cause: A Determiner_x000a_Action: Sans action      ;      {05-25-2026 ticket}: INC-20260525-00025223...Others"/>
  </r>
  <r>
    <s v="Koza-MTN"/>
    <s v="EXN_043"/>
    <s v="EXTREME-NORD"/>
    <s v="IHS"/>
    <s v="Grid-Gen"/>
    <s v="EXTREME-NORD"/>
    <s v="Koza"/>
    <s v="NOKIA"/>
    <n v="0"/>
    <n v="0.6514332843758743"/>
    <n v="0.8915765946322814"/>
    <n v="0.3284231836523058"/>
    <n v="0.07721369974361933"/>
    <n v="0.03453177187951365"/>
    <n v="0.8603048185933042"/>
    <n v="0.2278136112137372"/>
    <n v="0.03668623646052566"/>
    <n v="0.09183987220230239"/>
    <n v="0"/>
    <n v="0"/>
    <n v="0.4887860477652846"/>
    <n v="0.9776130522306234"/>
    <n v="0.2636663574436108"/>
    <n v="0.04405361885626086"/>
    <n v="0.3025027399704959"/>
    <n v="1.834159894902846"/>
    <n v="0.7433835907248648"/>
    <n v="0.1441637404145117"/>
    <n v="0"/>
    <n v="1.230103186629113"/>
    <n v="2.314737305147815"/>
    <n v="0.6944889758863013"/>
    <m/>
    <n v="0"/>
    <m/>
    <n v="0"/>
    <m/>
    <n v="0"/>
    <m/>
    <m/>
    <n v="0"/>
    <n v="1.173351967423159"/>
    <n v="6.258057380343662"/>
    <n v="2.079186790138923"/>
    <m/>
    <n v="2.59029196430835"/>
    <n v="4.392078222605901"/>
    <n v="0.9634994068939919"/>
    <n v="0"/>
    <n v="0.9506462280219031"/>
    <x v="1"/>
    <m/>
    <x v="4"/>
    <x v="0"/>
    <s v="Defaut GE &amp; Power Cabinet"/>
    <x v="0"/>
    <s v="{hourly IHS}: 25/05/2026 13:16 4:03:45 Fme is informed and managing      ;      {05-25-2026 ticket}: INC-20260525-00028189...Others"/>
  </r>
  <r>
    <s v="Garoua-Ouro-Lawan-II"/>
    <s v="NRD_146"/>
    <s v="Garoua"/>
    <s v="CAMUSAT"/>
    <s v="Hybrid Solar - S3"/>
    <s v="NORD"/>
    <s v="Garoua"/>
    <s v="Huawei"/>
    <n v="0"/>
    <n v="0"/>
    <n v="4.254129890735176"/>
    <n v="0"/>
    <n v="0"/>
    <n v="0"/>
    <n v="0"/>
    <n v="0"/>
    <n v="0.8792693610476182"/>
    <n v="7.667656870214849"/>
    <n v="0"/>
    <n v="5.430561544826884"/>
    <n v="0"/>
    <n v="3.455992300953392"/>
    <n v="0"/>
    <n v="0"/>
    <n v="1.633853689578322"/>
    <n v="0.8021326473248811"/>
    <n v="5.216938758621476"/>
    <n v="3.171255275616167"/>
    <n v="4.029835945815606"/>
    <n v="0"/>
    <n v="5.881027899769714"/>
    <n v="2.486013731583498"/>
    <m/>
    <n v="0"/>
    <m/>
    <n v="1.497486680763513"/>
    <m/>
    <n v="1.622813776099854"/>
    <m/>
    <m/>
    <n v="0.01952941075754852"/>
    <n v="0"/>
    <n v="0"/>
    <n v="8.067340975307692"/>
    <m/>
    <n v="13.38849009653771"/>
    <n v="1.480012709374962"/>
    <n v="1.96131307567551"/>
    <n v="0.1369723026613872"/>
    <n v="0.9412105880439341"/>
    <x v="0"/>
    <m/>
    <x v="2"/>
    <x v="1"/>
    <s v="no root cause"/>
    <x v="1"/>
    <s v=""/>
  </r>
  <r>
    <s v="Nkolndongo"/>
    <s v="CTR_109"/>
    <s v="Yaounde"/>
    <s v="IHS"/>
    <s v="Grid-Gen"/>
    <s v="CENTRE"/>
    <s v="Yaounde"/>
    <s v="ZTE"/>
    <n v="0"/>
    <n v="0"/>
    <n v="0.1759965528360626"/>
    <n v="0"/>
    <n v="0"/>
    <n v="0"/>
    <n v="0"/>
    <n v="0"/>
    <n v="0"/>
    <n v="0.02152693952909708"/>
    <n v="0"/>
    <n v="0"/>
    <n v="0"/>
    <n v="0"/>
    <n v="0"/>
    <n v="0"/>
    <n v="0"/>
    <n v="0"/>
    <n v="0"/>
    <n v="0"/>
    <n v="0"/>
    <n v="0"/>
    <n v="0.214413311531734"/>
    <n v="0"/>
    <m/>
    <n v="0"/>
    <m/>
    <n v="0"/>
    <m/>
    <n v="0"/>
    <m/>
    <m/>
    <n v="0"/>
    <n v="0"/>
    <n v="0"/>
    <n v="0"/>
    <m/>
    <n v="0.00151598165697849"/>
    <n v="0.8070752850616885"/>
    <n v="0.6853279884125393"/>
    <n v="1.132714772570573"/>
    <n v="0.9360205802535724"/>
    <x v="0"/>
    <m/>
    <x v="4"/>
    <x v="0"/>
    <s v="Defaut GE &amp; Power Cabinet"/>
    <x v="0"/>
    <s v="{05-25-2026 ticket}: INC-20260525-00022092...Grid Outage"/>
  </r>
  <r>
    <s v="Makepe-III-MTN"/>
    <s v="LIT_677"/>
    <s v="Douala"/>
    <s v="MTN"/>
    <s v="MTN"/>
    <s v="LITTORAL"/>
    <s v="Douala"/>
    <s v="ZTE"/>
    <n v="0.3562735244683012"/>
    <n v="8.88598890515448"/>
    <n v="31.42330345601013"/>
    <n v="18.5135782018246"/>
    <n v="3.262802732619359"/>
    <n v="4.962307345484016"/>
    <n v="0"/>
    <n v="0"/>
    <n v="0.6724537928790962"/>
    <n v="0"/>
    <n v="1.442483299232664"/>
    <n v="0"/>
    <n v="0"/>
    <n v="0"/>
    <n v="0"/>
    <n v="1.301711026073458"/>
    <n v="0"/>
    <n v="0"/>
    <n v="0.6756641069762275"/>
    <n v="0"/>
    <n v="1.210324084775121"/>
    <n v="15.68816292986106"/>
    <n v="6.418702005804249"/>
    <n v="0.6837612325323242"/>
    <m/>
    <n v="0"/>
    <m/>
    <n v="1.045795487297144"/>
    <m/>
    <n v="2.744907728438817"/>
    <m/>
    <m/>
    <n v="0"/>
    <n v="0"/>
    <n v="0"/>
    <n v="0.7104068395385131"/>
    <m/>
    <n v="1.612094894031099"/>
    <n v="0.3057443976835366"/>
    <n v="0.4663417893244392"/>
    <n v="1.40854039578258"/>
    <n v="0.9347542896930372"/>
    <x v="0"/>
    <m/>
    <x v="2"/>
    <x v="1"/>
    <s v="no root cause"/>
    <x v="1"/>
    <s v=""/>
  </r>
  <r>
    <s v="Maroua-Stade"/>
    <s v="EXN_066"/>
    <s v="Maroua"/>
    <s v="IHS"/>
    <s v="Grid-Gen"/>
    <s v="EXTREME-NORD"/>
    <s v="Maroua"/>
    <s v="Huawei"/>
    <n v="0"/>
    <n v="1.491404919057281"/>
    <n v="0"/>
    <n v="0"/>
    <n v="0"/>
    <n v="0"/>
    <n v="0.004904646537283876"/>
    <n v="0"/>
    <n v="0"/>
    <n v="0.4401518977950136"/>
    <n v="0"/>
    <n v="0"/>
    <n v="0"/>
    <n v="0"/>
    <n v="0.0005350523495218772"/>
    <n v="0"/>
    <n v="0"/>
    <n v="0.06483050968373411"/>
    <n v="0"/>
    <n v="0"/>
    <n v="0"/>
    <n v="0"/>
    <n v="0.1140553258397468"/>
    <n v="0.3390091686570614"/>
    <m/>
    <n v="0.2227066229493227"/>
    <m/>
    <n v="0"/>
    <m/>
    <n v="0.8551741702408163"/>
    <m/>
    <m/>
    <n v="0.2686141145382998"/>
    <n v="0"/>
    <n v="0"/>
    <n v="0"/>
    <m/>
    <n v="1.737136628114362"/>
    <n v="1.592418737935086"/>
    <n v="2.029686495914808"/>
    <n v="0.04907746674633973"/>
    <n v="0.9343797530483716"/>
    <x v="0"/>
    <m/>
    <x v="4"/>
    <x v="0"/>
    <s v="Defaut GE &amp; Power Cabinet"/>
    <x v="0"/>
    <s v="{05-25-2026 groupe whatsapp incident}:    impacted by EXN_066_H_Maroua-Stade   ,Cause:   Souci Energie   Action:   En Attente RCA IHS"/>
  </r>
  <r>
    <s v="H-Princes"/>
    <s v="CTR_044"/>
    <s v="Yaounde"/>
    <s v="IHS"/>
    <s v="Grid-Gen"/>
    <s v="CENTRE"/>
    <s v="Yaounde"/>
    <s v="ZTE"/>
    <n v="0"/>
    <n v="0"/>
    <n v="0"/>
    <n v="0"/>
    <n v="1.10457990543128"/>
    <n v="0"/>
    <n v="0"/>
    <n v="0"/>
    <n v="0"/>
    <n v="0"/>
    <n v="0"/>
    <n v="0"/>
    <n v="0"/>
    <n v="0"/>
    <n v="0"/>
    <n v="1.467630759660192"/>
    <n v="0"/>
    <n v="0"/>
    <n v="0"/>
    <n v="0.002158044476405014"/>
    <n v="0"/>
    <n v="0"/>
    <n v="0"/>
    <n v="0"/>
    <m/>
    <n v="0"/>
    <m/>
    <n v="0"/>
    <m/>
    <n v="0"/>
    <m/>
    <m/>
    <n v="0"/>
    <n v="0"/>
    <n v="0"/>
    <n v="0"/>
    <m/>
    <n v="0"/>
    <n v="0.5118221167104301"/>
    <n v="0.5380621602048201"/>
    <n v="1.296226527632768"/>
    <n v="0.9296891274508964"/>
    <x v="0"/>
    <m/>
    <x v="4"/>
    <x v="0"/>
    <s v="Defaut GE &amp; Power Cabinet"/>
    <x v="0"/>
    <s v="{05-25-2026 ticket}: INC-20260525-00021880...Grid Outage"/>
  </r>
  <r>
    <s v="IHS-Bamenda-Bujong"/>
    <s v="NRO_133"/>
    <s v="NORD-OUEST"/>
    <s v="IHS"/>
    <s v="Grid-Gen"/>
    <s v="NORD-OUEST"/>
    <s v="Bamenda"/>
    <s v="Huawei"/>
    <n v="0"/>
    <n v="0.2040511310293266"/>
    <n v="0"/>
    <n v="0"/>
    <n v="0.5768399380195359"/>
    <n v="0"/>
    <n v="0.5524950561162902"/>
    <n v="0.009327745959998057"/>
    <n v="0"/>
    <n v="0"/>
    <n v="0"/>
    <n v="0"/>
    <n v="0.6573831517008958"/>
    <n v="0"/>
    <n v="0"/>
    <n v="0"/>
    <n v="0.8293489768372272"/>
    <n v="0.2612125570365805"/>
    <n v="0"/>
    <n v="0"/>
    <n v="0"/>
    <n v="1.533584879277922"/>
    <n v="0"/>
    <n v="0"/>
    <m/>
    <n v="0"/>
    <m/>
    <n v="0.020046628028753"/>
    <m/>
    <n v="0.1288227706865507"/>
    <m/>
    <m/>
    <n v="1.387390742310228"/>
    <n v="0"/>
    <n v="1.536991379236544"/>
    <n v="2.460313383728131"/>
    <m/>
    <n v="0"/>
    <n v="0.5526629737539417"/>
    <n v="0.9047391971058546"/>
    <n v="1.042596915513706"/>
    <n v="0.9263539678055437"/>
    <x v="0"/>
    <m/>
    <x v="4"/>
    <x v="0"/>
    <s v="Defaut GE &amp; Power Cabinet"/>
    <x v="0"/>
    <s v="{hourly IHS}: 25/05/2026 16:44 5:40:57 Fme is managing with level 0"/>
  </r>
  <r>
    <s v="Odza-III"/>
    <s v="CTR_628"/>
    <s v="Yaounde"/>
    <s v="CAMUSAT"/>
    <s v="Bad Grid + GE"/>
    <s v="CENTRE"/>
    <s v="Yaounde"/>
    <s v="ZTE"/>
    <n v="5.53916511858187"/>
    <n v="0"/>
    <n v="0"/>
    <n v="0"/>
    <n v="0"/>
    <n v="0"/>
    <n v="0"/>
    <n v="0"/>
    <n v="0"/>
    <n v="0"/>
    <n v="0"/>
    <n v="27.73711379921413"/>
    <n v="0"/>
    <n v="0"/>
    <n v="0"/>
    <n v="0"/>
    <n v="0"/>
    <n v="0"/>
    <n v="0"/>
    <n v="0"/>
    <n v="0"/>
    <n v="0"/>
    <n v="0"/>
    <n v="0"/>
    <m/>
    <n v="0"/>
    <m/>
    <n v="0.001391136108756881"/>
    <m/>
    <n v="0"/>
    <m/>
    <m/>
    <n v="0"/>
    <n v="0"/>
    <n v="0"/>
    <n v="0"/>
    <m/>
    <n v="0"/>
    <n v="1.452036097822221"/>
    <n v="0.06821404163734147"/>
    <n v="1.332889276310173"/>
    <n v="0.9253373683414517"/>
    <x v="0"/>
    <m/>
    <x v="5"/>
    <x v="2"/>
    <s v="IP &amp; VLAN"/>
    <x v="2"/>
    <s v="{05-25-2026 goupe whatsapp incident}:    impacted by    CTR_007_Z_Messamendongo(CTR-007)  ,Cause: Boucle etherneet  ,Action: Desactivation de la bouclee      ;      {05-25-2026 ticket}: INC-20260525-00025612...Auto TT closure RCA...Others Transmission equipement fault"/>
  </r>
  <r>
    <s v="Mankouotmbou"/>
    <s v="OST_245"/>
    <s v="OUEST"/>
    <s v="CAMUSAT"/>
    <s v="Hybrid Solar - S3"/>
    <s v="OUEST"/>
    <s v="Mankouotmbou"/>
    <s v="NOKIA"/>
    <n v="0"/>
    <n v="0"/>
    <n v="0"/>
    <n v="0"/>
    <n v="0"/>
    <n v="0"/>
    <n v="0"/>
    <n v="0"/>
    <n v="0"/>
    <n v="0"/>
    <n v="0"/>
    <n v="0"/>
    <n v="0"/>
    <n v="0"/>
    <n v="0.08824796751447504"/>
    <n v="0"/>
    <n v="0.6149356653054935"/>
    <n v="1.661284040030477"/>
    <n v="0"/>
    <n v="0"/>
    <n v="0"/>
    <n v="0"/>
    <n v="0"/>
    <n v="0"/>
    <m/>
    <n v="0.037703355562975"/>
    <m/>
    <n v="0"/>
    <m/>
    <n v="0"/>
    <m/>
    <m/>
    <n v="0.157448071385971"/>
    <n v="0"/>
    <n v="0"/>
    <n v="0"/>
    <m/>
    <n v="0"/>
    <n v="3.221931465295013"/>
    <n v="1.374640441873986"/>
    <n v="0"/>
    <n v="0.921574166816481"/>
    <x v="0"/>
    <m/>
    <x v="4"/>
    <x v="0"/>
    <s v="Defaut GE &amp; Power Cabinet"/>
    <x v="0"/>
    <s v="{05-25-2026  incident}:   impacted by Massangam_G9U9U21L8_OST_057_MRBTS1   ,Cause: Power issue    Action: En attente RCA IHS      ;      {05-25-2026 ocm ran 22H}: Power status check Ongoing      ;      {05-25-2026 ticket}: INC-20260525-00024867...2026-05-25 21:48:14... Probable Défaut Radio sur ledit site Mankouotmbou_G9U9U21_OST_245_MRBTS1...user:OCM_NOC.CAMUSAT"/>
  </r>
  <r>
    <s v="Bekoko-IHS"/>
    <s v="LIT_477"/>
    <s v="LITTORAL"/>
    <s v="IHS"/>
    <s v="Grid-Gen"/>
    <s v="LITTORAL"/>
    <s v="Bekoko"/>
    <s v="ZTE"/>
    <n v="2.746423710095796"/>
    <n v="7.903097739082792"/>
    <n v="0"/>
    <n v="0"/>
    <n v="0.3744474692737271"/>
    <n v="0"/>
    <n v="0.7331287293148757"/>
    <n v="0"/>
    <n v="0.05810668515807555"/>
    <n v="2.199350517787994"/>
    <n v="0"/>
    <n v="13.86855689960706"/>
    <n v="0"/>
    <n v="0"/>
    <n v="1.323790853030394"/>
    <n v="0.5426679279634058"/>
    <n v="2.023746336674914"/>
    <n v="0.8274762936139005"/>
    <n v="0.8572608744039516"/>
    <n v="0.3698638541461566"/>
    <n v="37.72636281400439"/>
    <n v="0"/>
    <n v="0"/>
    <n v="0"/>
    <m/>
    <n v="1.929541453002429"/>
    <m/>
    <n v="0.6101380292381136"/>
    <m/>
    <n v="0"/>
    <m/>
    <m/>
    <n v="0"/>
    <n v="0"/>
    <n v="0"/>
    <n v="0.05273832658453983"/>
    <m/>
    <n v="8.511684116507295"/>
    <n v="0.3577009619957715"/>
    <n v="0.5728066954313161"/>
    <n v="1.284085412165904"/>
    <n v="0.9130133292241309"/>
    <x v="0"/>
    <m/>
    <x v="2"/>
    <x v="1"/>
    <s v="no root cause"/>
    <x v="1"/>
    <s v=""/>
  </r>
  <r>
    <s v="Bafia"/>
    <s v="CTR_022"/>
    <s v="CENTRE"/>
    <s v="IHS"/>
    <s v="Grid-Gen"/>
    <s v="CENTRE"/>
    <s v="Bafia"/>
    <s v="ZTE"/>
    <n v="0"/>
    <n v="0"/>
    <n v="0"/>
    <n v="0"/>
    <n v="0.1700753068346882"/>
    <n v="0"/>
    <n v="0"/>
    <n v="0"/>
    <n v="3.203804293545414"/>
    <n v="0"/>
    <n v="1.757201091221432"/>
    <n v="0"/>
    <n v="0"/>
    <n v="0"/>
    <n v="0"/>
    <n v="0"/>
    <n v="0"/>
    <n v="0"/>
    <n v="3.499099685246538"/>
    <n v="0"/>
    <n v="0"/>
    <n v="0"/>
    <n v="0"/>
    <n v="0"/>
    <m/>
    <n v="0"/>
    <m/>
    <n v="0"/>
    <m/>
    <n v="0"/>
    <m/>
    <m/>
    <n v="0.1011962343729049"/>
    <n v="0"/>
    <n v="0"/>
    <n v="0"/>
    <m/>
    <n v="0"/>
    <n v="0.5386746679775707"/>
    <n v="1.000791367884913"/>
    <n v="0.9234087819868819"/>
    <n v="0.8944470126957227"/>
    <x v="0"/>
    <m/>
    <x v="4"/>
    <x v="0"/>
    <s v="Defaut GE &amp; Power Cabinet"/>
    <x v="0"/>
    <s v="{05-25-2026 ticket}: INC-20260525-00007563...Grid Outage"/>
  </r>
  <r>
    <s v="Garoua-Sonayo"/>
    <s v="NRD_162"/>
    <s v="Garoua"/>
    <s v="CAMUSAT"/>
    <s v="Medium Grid + GE"/>
    <s v="NORD"/>
    <s v="Garoua"/>
    <s v="Huawei"/>
    <n v="0"/>
    <n v="0"/>
    <n v="4.793890700932847"/>
    <n v="0"/>
    <n v="0"/>
    <n v="0"/>
    <n v="0"/>
    <n v="0"/>
    <n v="0"/>
    <n v="0"/>
    <n v="0"/>
    <n v="0"/>
    <n v="4.775520570265928"/>
    <n v="0"/>
    <n v="0"/>
    <n v="0"/>
    <n v="1.782883603998482"/>
    <n v="0"/>
    <n v="0"/>
    <n v="0"/>
    <n v="13.19749424283672"/>
    <n v="13.84695861976469"/>
    <n v="0"/>
    <n v="0"/>
    <m/>
    <n v="0"/>
    <m/>
    <n v="0"/>
    <m/>
    <n v="0"/>
    <m/>
    <m/>
    <n v="0.01988611232389643"/>
    <n v="0"/>
    <n v="0"/>
    <n v="11.3746957335639"/>
    <m/>
    <n v="2.407699902691812"/>
    <n v="0.89924822848099"/>
    <n v="1.17116709337631"/>
    <n v="0.7127347783928364"/>
    <n v="0.893269897526774"/>
    <x v="0"/>
    <m/>
    <x v="2"/>
    <x v="1"/>
    <s v="no root cause"/>
    <x v="1"/>
    <s v=""/>
  </r>
  <r>
    <s v="Kumba-Market"/>
    <s v="SUO_112"/>
    <s v="SUD-OUEST"/>
    <s v="IHS"/>
    <s v="Grid-Gen"/>
    <s v="SUD-OUEST"/>
    <s v="Kumba"/>
    <s v="Huawei"/>
    <n v="0"/>
    <n v="0.2001095787211821"/>
    <n v="0.165598702177021"/>
    <n v="0.8371429060619291"/>
    <n v="3.01767741622507"/>
    <n v="1.988646902546278"/>
    <n v="0.001872683223326571"/>
    <n v="0"/>
    <n v="0.001337630873804693"/>
    <n v="0.003014128235639908"/>
    <n v="2.652093980875088"/>
    <n v="0"/>
    <n v="0.0005350523495218772"/>
    <n v="0.01326929826814255"/>
    <n v="0.0008917539158697954"/>
    <n v="0"/>
    <n v="0.4681708058316426"/>
    <n v="0.004547944970935957"/>
    <n v="0.001070104699043754"/>
    <n v="0.001337630873804693"/>
    <n v="2.834439821592144"/>
    <n v="2.916160150442453"/>
    <n v="28.83109966812486"/>
    <n v="31.55990232084307"/>
    <m/>
    <n v="24.76514768871653"/>
    <m/>
    <n v="10.63960514563412"/>
    <m/>
    <n v="22.69478045731995"/>
    <m/>
    <m/>
    <n v="38.24152905120237"/>
    <n v="12.55420080300656"/>
    <n v="23.11426149934509"/>
    <n v="34.29052415154965"/>
    <m/>
    <n v="0.0008025785242828158"/>
    <n v="1.112819682745225"/>
    <n v="1.903139885961423"/>
    <n v="0.1482584099967825"/>
    <n v="0.8751316228779824"/>
    <x v="0"/>
    <m/>
    <x v="4"/>
    <x v="0"/>
    <s v="Defaut GE &amp; Power Cabinet"/>
    <x v="0"/>
    <s v="{hourly IHS}: 25/05/2026 21:26 1:33:31 FME Marcel is managing with level 0"/>
  </r>
  <r>
    <s v="Ngd-Stade"/>
    <s v="ADM_057"/>
    <s v="Ngaoundere"/>
    <s v="IHS"/>
    <s v="Grid-Gen"/>
    <s v="ADAMAOUA"/>
    <s v="Ngaoundere"/>
    <s v="Huawei"/>
    <n v="0.3787278880699022"/>
    <n v="1.917823806547899"/>
    <n v="32.69615732536604"/>
    <n v="0"/>
    <n v="0"/>
    <n v="0"/>
    <n v="0"/>
    <n v="0"/>
    <n v="0"/>
    <n v="0"/>
    <n v="0.3150566584767987"/>
    <n v="0.3777647938407626"/>
    <n v="0"/>
    <n v="0.4191243404588038"/>
    <n v="1.790731038458136"/>
    <n v="0"/>
    <n v="0.6160236050828546"/>
    <n v="0"/>
    <n v="0"/>
    <n v="1.39265209041386"/>
    <n v="0.5633922889682197"/>
    <n v="0.7563856714407604"/>
    <n v="0"/>
    <n v="0"/>
    <m/>
    <n v="0.9490045172686363"/>
    <m/>
    <n v="0"/>
    <m/>
    <n v="0"/>
    <m/>
    <m/>
    <n v="0"/>
    <n v="0"/>
    <n v="0.336512257692626"/>
    <n v="2.945498854274569"/>
    <m/>
    <n v="3.565606692292107"/>
    <n v="1.751660611728595"/>
    <n v="1.496565072370636"/>
    <n v="0.2341012263963035"/>
    <n v="0.8746322406850953"/>
    <x v="0"/>
    <m/>
    <x v="2"/>
    <x v="1"/>
    <s v="no root cause"/>
    <x v="1"/>
    <s v=""/>
  </r>
  <r>
    <s v="Kousseri-Arazai-MTN-IHS"/>
    <s v="EXN_181"/>
    <s v="EXTREME-NORD"/>
    <s v="IHS"/>
    <s v="Grid-Gen"/>
    <s v="EXTREME-NORD"/>
    <s v="Kousseri"/>
    <s v="Huawei"/>
    <n v="0"/>
    <n v="0.02926736351884669"/>
    <n v="0.0196185861491355"/>
    <n v="0"/>
    <n v="0.001426806265391673"/>
    <n v="0.09263539678055432"/>
    <n v="0.4386715862946697"/>
    <n v="0.9931998413391434"/>
    <n v="8.917539158697954e-05"/>
    <n v="0"/>
    <n v="0.007044855935371382"/>
    <n v="0"/>
    <n v="0.6307375446947062"/>
    <n v="0"/>
    <n v="0"/>
    <n v="0.4091366966010621"/>
    <n v="0"/>
    <n v="0"/>
    <n v="0.4103138117700102"/>
    <n v="0"/>
    <n v="0"/>
    <n v="0.006509803585849506"/>
    <n v="0"/>
    <n v="0.03342293676679993"/>
    <m/>
    <n v="0.0021758795547223"/>
    <m/>
    <n v="0.01671146838339996"/>
    <m/>
    <n v="0.03228149175448659"/>
    <m/>
    <m/>
    <n v="3.958531302702656"/>
    <n v="5.368180222752994"/>
    <n v="5.606920581109656"/>
    <n v="1.963713463058559"/>
    <m/>
    <n v="1.214836359589422"/>
    <n v="0.9054930078454412"/>
    <n v="1.139928887392855"/>
    <n v="0.694266602753099"/>
    <n v="0.8740436831006213"/>
    <x v="1"/>
    <m/>
    <x v="2"/>
    <x v="1"/>
    <s v="no root cause"/>
    <x v="1"/>
    <s v=""/>
  </r>
  <r>
    <s v="Titi-Garage"/>
    <s v="CTR_542"/>
    <s v="Yaounde"/>
    <s v="IHS"/>
    <s v="Grid-Gen"/>
    <s v="CENTRE"/>
    <s v="Yaounde"/>
    <s v="ZTE"/>
    <n v="13.86855689960706"/>
    <n v="13.86855689960706"/>
    <n v="13.86855689960706"/>
    <n v="13.86855689960706"/>
    <n v="13.86855689960706"/>
    <n v="13.86855689960706"/>
    <n v="0"/>
    <n v="0"/>
    <n v="0"/>
    <n v="0"/>
    <n v="1.153983072370467"/>
    <n v="0"/>
    <n v="0.2942787922370324"/>
    <n v="0"/>
    <n v="0"/>
    <n v="0"/>
    <n v="0.05639451763960567"/>
    <n v="0"/>
    <n v="0"/>
    <n v="0"/>
    <n v="0.9350931561810676"/>
    <n v="0.03128272736871282"/>
    <n v="0"/>
    <n v="0"/>
    <m/>
    <n v="0"/>
    <m/>
    <n v="0"/>
    <m/>
    <n v="0"/>
    <m/>
    <m/>
    <n v="0"/>
    <n v="0"/>
    <n v="0"/>
    <n v="0.0008560837592350035"/>
    <m/>
    <n v="0"/>
    <n v="0.4482502627803157"/>
    <n v="0.3782585486431997"/>
    <n v="1.305152812525307"/>
    <n v="0.8716181124494551"/>
    <x v="0"/>
    <m/>
    <x v="2"/>
    <x v="1"/>
    <s v="no root cause"/>
    <x v="1"/>
    <s v="{05-25-2026 ticket}: INC-20260525-00016498...Others"/>
  </r>
  <r>
    <s v="Ebonji-IHS"/>
    <s v="SUO_101"/>
    <s v="SUD-OUEST"/>
    <s v="IHS"/>
    <s v="Grid-Gen"/>
    <s v="SUD-OUEST"/>
    <s v="Ebonji"/>
    <s v="NOKIA"/>
    <n v="0"/>
    <n v="0"/>
    <n v="0"/>
    <n v="0"/>
    <n v="0.01141445012313357"/>
    <n v="0"/>
    <n v="0.09021844589825227"/>
    <n v="0"/>
    <n v="0"/>
    <n v="0.1191485504994189"/>
    <n v="0"/>
    <n v="0"/>
    <n v="0"/>
    <n v="0"/>
    <n v="0"/>
    <n v="0"/>
    <n v="0.03342293676679985"/>
    <n v="0.01981477201062687"/>
    <n v="2.005982598670788"/>
    <n v="0.003121138705544201"/>
    <n v="0"/>
    <n v="0.5255105826220704"/>
    <n v="0"/>
    <n v="0"/>
    <m/>
    <n v="0"/>
    <m/>
    <n v="0.5375849306429474"/>
    <m/>
    <n v="0"/>
    <m/>
    <m/>
    <n v="0"/>
    <n v="0"/>
    <n v="0"/>
    <n v="0"/>
    <m/>
    <n v="0"/>
    <n v="2.956778133480411"/>
    <n v="1.290701044843613"/>
    <n v="0"/>
    <n v="0.8555308718071641"/>
    <x v="1"/>
    <m/>
    <x v="4"/>
    <x v="0"/>
    <s v="Defaut GE &amp; Power Cabinet"/>
    <x v="0"/>
    <s v="{hourly IHS}: 25/05/2026 09:13 0:47:00 30 v Kelvin is informed and will manage in the morning, Insecurity area.      ;      {05-25-2026 ticket}: INC-20260525-00007734...power issue...Grid Outage"/>
  </r>
  <r>
    <s v="Yagoua-Quinf"/>
    <s v="EXN_069"/>
    <s v="EXTREME-NORD"/>
    <s v="IHS"/>
    <s v="Grid-Gen"/>
    <s v="EXTREME-NORD"/>
    <s v="Yagoua"/>
    <s v="Huawei"/>
    <n v="0"/>
    <n v="0"/>
    <n v="0"/>
    <n v="0"/>
    <n v="0"/>
    <n v="0"/>
    <n v="4.503624801317227"/>
    <n v="2.845961282185182"/>
    <n v="2.5435318591571"/>
    <n v="0.5646764146070717"/>
    <n v="0"/>
    <n v="1.301550510368601"/>
    <n v="0"/>
    <n v="0.6641248113048714"/>
    <n v="0"/>
    <n v="0"/>
    <n v="0"/>
    <n v="0"/>
    <n v="0"/>
    <n v="0"/>
    <n v="1.231761848912631"/>
    <n v="0.3090819072404711"/>
    <n v="0"/>
    <n v="0"/>
    <m/>
    <n v="0"/>
    <m/>
    <n v="0"/>
    <m/>
    <n v="1.230174526942383"/>
    <m/>
    <m/>
    <n v="0.5443087551686058"/>
    <n v="0"/>
    <n v="0.5425252473368661"/>
    <n v="0.1660445791349559"/>
    <m/>
    <n v="0"/>
    <n v="1.163402395597281"/>
    <n v="1.973372723223545"/>
    <n v="0.03471333013765494"/>
    <n v="0.8467203431183705"/>
    <x v="1"/>
    <m/>
    <x v="2"/>
    <x v="1"/>
    <s v="no root cause"/>
    <x v="1"/>
    <s v=""/>
  </r>
  <r>
    <s v="Douche"/>
    <s v="LIT_580"/>
    <s v="Douala"/>
    <s v="IHS"/>
    <s v="Grid-Gen"/>
    <s v="LITTORAL"/>
    <s v="Douala"/>
    <s v="ZTE"/>
    <n v="0"/>
    <n v="0"/>
    <n v="0"/>
    <n v="0"/>
    <n v="0"/>
    <n v="0.2978101377438765"/>
    <n v="0.443130355874019"/>
    <n v="0"/>
    <n v="0.2947068341166502"/>
    <n v="1.191115705427286"/>
    <n v="0"/>
    <n v="0"/>
    <n v="0.6051977125441936"/>
    <n v="46.25295705598504"/>
    <n v="0.593462231011349"/>
    <n v="0.149868163101078"/>
    <n v="0"/>
    <n v="0"/>
    <n v="0"/>
    <n v="0"/>
    <n v="5.355695667930816"/>
    <n v="0.146301147437599"/>
    <n v="0"/>
    <n v="0.4178937200549032"/>
    <m/>
    <n v="0"/>
    <m/>
    <n v="0"/>
    <m/>
    <n v="0"/>
    <m/>
    <m/>
    <n v="0"/>
    <n v="0"/>
    <n v="0"/>
    <n v="0"/>
    <m/>
    <n v="0"/>
    <n v="0.4656107494134903"/>
    <n v="0.3987652620949235"/>
    <n v="1.233639932409212"/>
    <n v="0.8436883798044131"/>
    <x v="0"/>
    <m/>
    <x v="2"/>
    <x v="1"/>
    <s v="no root cause"/>
    <x v="1"/>
    <s v=""/>
  </r>
  <r>
    <s v="Maroua-Ouro-Bah"/>
    <s v="EXN_083"/>
    <s v="Maroua"/>
    <s v="IHS"/>
    <s v="Grid-Gen"/>
    <s v="EXTREME-NORD"/>
    <s v="Maroua"/>
    <s v="Huawei"/>
    <n v="0.2712715412075918"/>
    <n v="0.6946763004625706"/>
    <n v="0"/>
    <n v="0"/>
    <n v="0"/>
    <n v="0"/>
    <n v="0"/>
    <n v="0"/>
    <n v="0"/>
    <n v="0.5222110931333522"/>
    <n v="0"/>
    <n v="0"/>
    <n v="0"/>
    <n v="0"/>
    <n v="0.6769660676933965"/>
    <n v="0"/>
    <n v="0"/>
    <n v="0"/>
    <n v="1.647247833394686"/>
    <n v="0"/>
    <n v="0"/>
    <n v="0"/>
    <n v="0"/>
    <n v="0"/>
    <m/>
    <n v="0"/>
    <m/>
    <n v="0"/>
    <m/>
    <n v="0"/>
    <m/>
    <m/>
    <n v="0"/>
    <n v="0"/>
    <n v="1.505548136162976"/>
    <n v="0"/>
    <m/>
    <n v="1.299374630813879"/>
    <n v="0.8343025230906962"/>
    <n v="1.081915076280724"/>
    <n v="0.6588692661102683"/>
    <n v="0.8259424768786044"/>
    <x v="0"/>
    <m/>
    <x v="4"/>
    <x v="0"/>
    <s v="Defaut GE &amp; Power Cabinet"/>
    <x v="0"/>
    <s v="{hourly IHS}: 25/05/2026 21:39 1:20:53 FME Alban is managing with level 0"/>
  </r>
  <r>
    <s v="CTR_547_N_Elig-Mfomo-New"/>
    <s v="CTR_547"/>
    <s v="CENTRE"/>
    <s v="IHS"/>
    <s v="Grid-Gen"/>
    <s v="CENTRE"/>
    <s v="Elig-Mfomo"/>
    <s v="NOKIA"/>
    <n v="0.0003031963313956559"/>
    <n v="0.0002675261747610057"/>
    <n v="0.0002318560181260081"/>
    <n v="0.0002675261747609478"/>
    <n v="0.0002675261747609478"/>
    <n v="0.0002675261747609478"/>
    <n v="0.0002318560181262397"/>
    <n v="0.04318436667232998"/>
    <n v="0.1651701698522115"/>
    <n v="0.0002675261747608899"/>
    <n v="0.0003031963313957717"/>
    <n v="0"/>
    <n v="0.0002496910964435937"/>
    <n v="0.0002675261747609478"/>
    <n v="0.000267526174760832"/>
    <n v="0.01214568833414638"/>
    <n v="0.0002496910964435358"/>
    <n v="0.007187536561910767"/>
    <n v="0.0002675261747607162"/>
    <n v="0.02172312539058805"/>
    <n v="0"/>
    <n v="0.1512236290531996"/>
    <n v="0.000303196331395598"/>
    <n v="0.002621756512657182"/>
    <m/>
    <n v="0.003156808862179161"/>
    <m/>
    <n v="0.4897155804390567"/>
    <m/>
    <n v="0.09541766899806794"/>
    <m/>
    <m/>
    <n v="0.002800107295830894"/>
    <n v="0.0002853612530784755"/>
    <n v="0.007232234279425306"/>
    <n v="12.11880674650627"/>
    <m/>
    <n v="0.09408003812426381"/>
    <n v="1.032262028943803"/>
    <n v="1.071289836150298"/>
    <n v="0.6082869850525425"/>
    <n v="0.8242659795167694"/>
    <x v="0"/>
    <m/>
    <x v="4"/>
    <x v="0"/>
    <s v="Defaut GE &amp; Power Cabinet"/>
    <x v="0"/>
    <s v="{05-25-2026 ticket}: INC-20260525-00017692...Grid Outage"/>
  </r>
  <r>
    <s v="C-Supreme"/>
    <s v="CTR_240"/>
    <s v="Yaounde"/>
    <s v="IHS"/>
    <s v="GridOnly"/>
    <s v="CENTRE"/>
    <s v="Yaounde"/>
    <s v="ZTE"/>
    <n v="0"/>
    <n v="0"/>
    <n v="4.323829376799559"/>
    <n v="0"/>
    <n v="0"/>
    <n v="0"/>
    <n v="0"/>
    <n v="0"/>
    <n v="0"/>
    <n v="0.02502261487930626"/>
    <n v="0"/>
    <n v="14.53084469784523"/>
    <n v="0"/>
    <n v="0"/>
    <n v="0"/>
    <n v="0"/>
    <n v="0"/>
    <n v="0"/>
    <n v="0"/>
    <n v="0"/>
    <n v="0"/>
    <n v="0"/>
    <n v="0.1848962569164432"/>
    <n v="0"/>
    <m/>
    <n v="0"/>
    <m/>
    <n v="0"/>
    <m/>
    <n v="0"/>
    <m/>
    <m/>
    <n v="0"/>
    <n v="0"/>
    <n v="0.1079735641335147"/>
    <n v="0"/>
    <m/>
    <n v="0"/>
    <n v="0.8073250762362665"/>
    <n v="0.6856467456164512"/>
    <n v="0.902888586831616"/>
    <n v="0.8163115345872106"/>
    <x v="0"/>
    <m/>
    <x v="1"/>
    <x v="0"/>
    <s v="Coupure ENEO &amp; Baisse de tension"/>
    <x v="0"/>
    <s v="{05-25-2026 ticket}: INC-20260525-00022081...Grid Outage"/>
  </r>
  <r>
    <s v="Acropole-IHS"/>
    <s v="CTR_129"/>
    <s v="Yaounde"/>
    <s v="IHS"/>
    <s v="Grid-Gen"/>
    <s v="CENTRE"/>
    <s v="Yaounde"/>
    <s v="ZTE"/>
    <n v="0"/>
    <n v="0"/>
    <n v="0"/>
    <n v="0"/>
    <n v="0"/>
    <n v="0"/>
    <n v="0"/>
    <n v="0"/>
    <n v="0"/>
    <n v="0.01653311760022603"/>
    <n v="0"/>
    <n v="0"/>
    <n v="0"/>
    <n v="0"/>
    <n v="0"/>
    <n v="0"/>
    <n v="0"/>
    <n v="0"/>
    <n v="0"/>
    <n v="0"/>
    <n v="0"/>
    <n v="0"/>
    <n v="0.1870364663145306"/>
    <n v="0"/>
    <m/>
    <n v="0"/>
    <m/>
    <n v="0"/>
    <m/>
    <n v="0"/>
    <m/>
    <m/>
    <n v="0"/>
    <n v="0"/>
    <n v="0.1090436688325585"/>
    <n v="0"/>
    <m/>
    <n v="0.00133763087380456"/>
    <n v="0.8067005982998212"/>
    <n v="0.6856467456164512"/>
    <n v="0.9020677790254059"/>
    <n v="0.8157943173160065"/>
    <x v="0"/>
    <m/>
    <x v="2"/>
    <x v="1"/>
    <s v="no root cause"/>
    <x v="1"/>
    <s v="{05-25-2026 ticket}: INC-20260525-00022102...Others"/>
  </r>
  <r>
    <s v="Olezoa"/>
    <s v="CTR_035"/>
    <s v="Yaounde"/>
    <s v="IHS"/>
    <s v="GridOnly"/>
    <s v="CENTRE"/>
    <s v="Yaounde"/>
    <s v="ZTE"/>
    <n v="0"/>
    <n v="0"/>
    <n v="0"/>
    <n v="0.008435992044128442"/>
    <n v="0"/>
    <n v="0"/>
    <n v="0.01672930346171712"/>
    <n v="0"/>
    <n v="0"/>
    <n v="0.00807929047778024"/>
    <n v="0"/>
    <n v="0"/>
    <n v="0"/>
    <n v="0"/>
    <n v="0"/>
    <n v="0"/>
    <n v="0"/>
    <n v="0"/>
    <n v="0"/>
    <n v="0"/>
    <n v="0"/>
    <n v="0"/>
    <n v="0.1873931678808786"/>
    <n v="0"/>
    <m/>
    <n v="0"/>
    <m/>
    <n v="0"/>
    <m/>
    <n v="0"/>
    <m/>
    <m/>
    <n v="0"/>
    <n v="0"/>
    <n v="0"/>
    <n v="0"/>
    <m/>
    <n v="0"/>
    <n v="0.8069503894743995"/>
    <n v="0.6856467456164512"/>
    <n v="0.9017599760980762"/>
    <n v="0.8156694717677844"/>
    <x v="0"/>
    <m/>
    <x v="1"/>
    <x v="0"/>
    <s v="Coupure ENEO &amp; Baisse de tension"/>
    <x v="0"/>
    <s v="{05-25-2026 ticket}: INC-20260525-00022088...Grid Outage"/>
  </r>
  <r>
    <s v="Nkolmessing-Abom-MTN"/>
    <s v="CTR_832"/>
    <s v="Yaounde"/>
    <s v="MTN"/>
    <m/>
    <s v="CENTRE"/>
    <s v="Yaounde"/>
    <s v="ZTE"/>
    <n v="1.307222065273533"/>
    <n v="1.335829530894636"/>
    <n v="2.161005099405592"/>
    <n v="11.42054971991793"/>
    <n v="32.35996609908313"/>
    <n v="32.35996609908313"/>
    <n v="32.35996609908313"/>
    <n v="32.35996609908313"/>
    <n v="32.35996609908313"/>
    <n v="32.35996609908313"/>
    <n v="32.35996609908313"/>
    <n v="0"/>
    <n v="0.6985465124574454"/>
    <n v="0.9653236139290525"/>
    <n v="0.7930189223046916"/>
    <n v="2.233932734645425"/>
    <n v="0.994216440803234"/>
    <n v="1.68215108166183"/>
    <n v="0.891932266652969"/>
    <n v="0.8607565497541615"/>
    <n v="0"/>
    <n v="0.165937568665052"/>
    <n v="0"/>
    <n v="1.491743785545311"/>
    <m/>
    <n v="1.191597252541854"/>
    <m/>
    <n v="0.369970864616061"/>
    <m/>
    <n v="0.4796030910330936"/>
    <m/>
    <m/>
    <n v="0.4846682532752349"/>
    <n v="0.651586751247742"/>
    <n v="0.7853855087848459"/>
    <n v="0.0008025785242828159"/>
    <m/>
    <n v="0.4793712350149678"/>
    <n v="0.4000405660867515"/>
    <n v="0.4270815270425113"/>
    <n v="1.148788925442197"/>
    <n v="0.7995822311254934"/>
    <x v="0"/>
    <m/>
    <x v="2"/>
    <x v="1"/>
    <s v="no root cause"/>
    <x v="1"/>
    <s v=""/>
  </r>
  <r>
    <s v="Pangari-MTN"/>
    <s v="OST_115"/>
    <s v="OUEST"/>
    <s v="IHS"/>
    <s v="Solar-Gen"/>
    <s v="OUEST"/>
    <s v="Pangari"/>
    <s v="NOKIA"/>
    <n v="0"/>
    <n v="0"/>
    <n v="0"/>
    <n v="0.03846122861697062"/>
    <n v="0"/>
    <n v="0"/>
    <n v="3.583279761006922"/>
    <n v="5.591857164252111"/>
    <n v="3.683221575260489"/>
    <n v="0.0007134857120608155"/>
    <n v="0"/>
    <n v="0.3820958606258671"/>
    <n v="0"/>
    <n v="0"/>
    <n v="0"/>
    <n v="0.3066397544634274"/>
    <n v="0.7992420186427754"/>
    <n v="0"/>
    <n v="0"/>
    <n v="0.0007135270089128087"/>
    <n v="0"/>
    <n v="0.0454277716486055"/>
    <n v="0.0008919087611408398"/>
    <n v="0.00374601679679139"/>
    <m/>
    <n v="0.04822537045249089"/>
    <m/>
    <n v="0.04054049565382598"/>
    <m/>
    <n v="0"/>
    <m/>
    <m/>
    <n v="0"/>
    <n v="0"/>
    <n v="0"/>
    <n v="0"/>
    <m/>
    <n v="1.167428098342893"/>
    <n v="1.361486797037676"/>
    <n v="0.5993329105911015"/>
    <n v="0.7708753313327511"/>
    <n v="0.7976258248131419"/>
    <x v="0"/>
    <m/>
    <x v="4"/>
    <x v="0"/>
    <s v="Defaut GE &amp; Power Cabinet"/>
    <x v="0"/>
    <s v="{05-25-2026 ticket}: INC-20260525-00018845...Grid Outage"/>
  </r>
  <r>
    <s v="GOUZOUGOUI-IHS"/>
    <s v="EXN_100"/>
    <s v="EXTREME-NORD"/>
    <s v="IHS"/>
    <s v="Grid-Gen"/>
    <s v="EXTREME-NORD"/>
    <s v="Kaele"/>
    <s v="NOKIA"/>
    <n v="3.567015663470812e-05"/>
    <n v="0.000142680626539122"/>
    <n v="3.567015663476602e-05"/>
    <n v="8.91753915868282e-05"/>
    <n v="0.000107010469904356"/>
    <n v="5.350523495212009e-05"/>
    <n v="3.567015663482392e-05"/>
    <n v="0.1843163697023213"/>
    <n v="1.783507831735406e-05"/>
    <n v="1.214781678238916"/>
    <n v="0.9941439062167018"/>
    <n v="0.008418156965811441"/>
    <n v="0.2718054920270992"/>
    <n v="1.086906199530068"/>
    <n v="2.333981590678653"/>
    <n v="1.301800201465044"/>
    <n v="0.5844198463044293"/>
    <n v="8.91753915868861e-05"/>
    <n v="0.000107010469904356"/>
    <n v="0.0009095889941876311"/>
    <n v="0"/>
    <n v="13.86916329226985"/>
    <n v="5.715295412313392"/>
    <n v="0.3691326159351427"/>
    <m/>
    <n v="0.004637120362523028"/>
    <m/>
    <n v="0.4632126540594066"/>
    <m/>
    <n v="0.0001426806265388532"/>
    <m/>
    <m/>
    <n v="1.321811159337163"/>
    <n v="3.567015663476602e-05"/>
    <n v="8.9175391586944e-05"/>
    <n v="1.235591177928467"/>
    <m/>
    <n v="1.783507831729616e-05"/>
    <n v="0"/>
    <n v="2.037372481875743"/>
    <n v="0.2077691640182114"/>
    <n v="0.7923186830857423"/>
    <x v="1"/>
    <m/>
    <x v="4"/>
    <x v="0"/>
    <s v="Defaut GE &amp; Power Cabinet"/>
    <x v="0"/>
    <s v="{hourly IHS}: 25/05/2026 11:51 1:09:00 0 V Our THEO is managing with level zero      ;      {05-25-2026 ticket}: INC-20260525-00011020...2026-05-25 11:29:27...Chute de tension sur le site a 45.9V...Gen starter faulty // Gen starter replaced and Gen manually started...GE start system...Gen starter faulty // Gen starter replaced and Gen manually started...user:ABANDA_x0009_Jean Roland"/>
  </r>
  <r>
    <s v="DEENA-IHS"/>
    <s v="ADM_082"/>
    <s v="ADAMAOUA"/>
    <s v="IHS"/>
    <s v="Solar-Gen"/>
    <s v="ADAMAOUA"/>
    <s v="Deena"/>
    <s v="NOKIA"/>
    <n v="0"/>
    <n v="0.06462111081410866"/>
    <n v="0"/>
    <n v="0"/>
    <n v="0"/>
    <n v="0"/>
    <n v="0"/>
    <n v="0"/>
    <n v="0"/>
    <n v="0"/>
    <n v="0.06060317856077341"/>
    <n v="0"/>
    <n v="0"/>
    <n v="0"/>
    <n v="0"/>
    <n v="0"/>
    <n v="0"/>
    <n v="0"/>
    <n v="0.00535114284045526"/>
    <n v="0"/>
    <n v="0"/>
    <n v="0.04416321535510619"/>
    <n v="0"/>
    <n v="0"/>
    <m/>
    <n v="0"/>
    <m/>
    <n v="0"/>
    <m/>
    <n v="0.04417950186420695"/>
    <m/>
    <m/>
    <n v="0"/>
    <n v="0"/>
    <n v="0.06342664839060409"/>
    <n v="0"/>
    <m/>
    <n v="0.06356761519957727"/>
    <n v="1.469646375629973"/>
    <n v="1.085062566128182"/>
    <n v="0.4168335642539291"/>
    <n v="0.791507319671978"/>
    <x v="0"/>
    <m/>
    <x v="4"/>
    <x v="0"/>
    <s v="Defaut GE &amp; Power Cabinet"/>
    <x v="0"/>
    <s v="{hourly IHS}: 25/05/2026 09:23 0:37:00 44 Our FME YANICK is managing with level zero      ;      {05-25-2026 ticket}: INC-20260525-00008101...Grid Outage"/>
  </r>
  <r>
    <s v="Chapelle-Essos"/>
    <s v="CTR_207"/>
    <s v="Yaounde"/>
    <s v="IHS"/>
    <s v="Grid-Gen"/>
    <s v="CENTRE"/>
    <s v="Yaounde"/>
    <s v="ZTE"/>
    <n v="0.1804553224154121"/>
    <n v="0.07249959336021429"/>
    <n v="0"/>
    <n v="0"/>
    <n v="0"/>
    <n v="0"/>
    <n v="0"/>
    <n v="0"/>
    <n v="0"/>
    <n v="0"/>
    <n v="0.523477383693887"/>
    <n v="0"/>
    <n v="0.4375301412823561"/>
    <n v="0"/>
    <n v="0"/>
    <n v="0"/>
    <n v="0"/>
    <n v="0"/>
    <n v="17.98430441767755"/>
    <n v="0"/>
    <n v="0"/>
    <n v="0"/>
    <n v="0"/>
    <n v="0"/>
    <m/>
    <n v="0"/>
    <m/>
    <n v="0"/>
    <m/>
    <n v="0"/>
    <m/>
    <m/>
    <n v="0"/>
    <n v="0"/>
    <n v="0"/>
    <n v="0"/>
    <m/>
    <n v="0"/>
    <n v="0.5871341558457129"/>
    <n v="0.5029988677744108"/>
    <n v="1.028061777278727"/>
    <n v="0.7888276789001033"/>
    <x v="0"/>
    <m/>
    <x v="4"/>
    <x v="0"/>
    <s v="Defaut GE &amp; Power Cabinet"/>
    <x v="0"/>
    <s v="(05/25/2026 cell zte): 25/05/2026 : Need BO RAN analysis || Cell was down due to power "/>
  </r>
  <r>
    <s v="Mvog-Manga"/>
    <s v="CTR_378"/>
    <s v="Yaounde"/>
    <s v="IHS"/>
    <s v="Grid-Gen"/>
    <s v="CENTRE"/>
    <s v="Yaounde"/>
    <s v="ZTE"/>
    <n v="0"/>
    <n v="0"/>
    <n v="0"/>
    <n v="0.6156847385948243"/>
    <n v="0"/>
    <n v="0"/>
    <n v="0"/>
    <n v="0"/>
    <n v="0"/>
    <n v="0"/>
    <n v="0"/>
    <n v="0"/>
    <n v="0"/>
    <n v="0"/>
    <n v="0"/>
    <n v="1.084140905679545"/>
    <n v="0.6563665522368056"/>
    <n v="0"/>
    <n v="0"/>
    <n v="0"/>
    <n v="0"/>
    <n v="0"/>
    <n v="0"/>
    <n v="0"/>
    <m/>
    <n v="0"/>
    <m/>
    <n v="0"/>
    <m/>
    <n v="0"/>
    <m/>
    <m/>
    <n v="0"/>
    <n v="0"/>
    <n v="0"/>
    <n v="0.1324254565066646"/>
    <m/>
    <n v="1.46613261308153"/>
    <n v="0.6167344100332123"/>
    <n v="0.5326432877383036"/>
    <n v="0.984969367452674"/>
    <n v="0.7805343674825157"/>
    <x v="0"/>
    <m/>
    <x v="4"/>
    <x v="0"/>
    <s v="Defaut GE &amp; Power Cabinet"/>
    <x v="0"/>
    <s v="{05-25-2026 ticket}: INC-20260525-00027040...2026-05-26 01:00:17...Site is impacted by Odza...Site is impacted by Odza...Others...Site is impacted by Odza...user:OCM_NOC.IHS , Odza-CTR_099"/>
  </r>
  <r>
    <s v="TCHEVI-IHS"/>
    <s v="EXN_227"/>
    <s v="EXTREME-NORD"/>
    <s v="IHS"/>
    <s v="Grid-Gen"/>
    <s v="EXTREME-NORD"/>
    <s v="Tchevi"/>
    <s v="NOKIA"/>
    <n v="9.296527525712303"/>
    <n v="9.296852165397356"/>
    <n v="9.296635738940653"/>
    <n v="9.29690627201153"/>
    <n v="9.29679805878318"/>
    <n v="9.29679805878318"/>
    <n v="9.29690627201153"/>
    <n v="9.296852165397356"/>
    <n v="9.296635738940653"/>
    <n v="9.296960378625705"/>
    <n v="9.297122698468232"/>
    <n v="0"/>
    <n v="9.296960378625705"/>
    <n v="9.244902021213758"/>
    <n v="9.244848515978804"/>
    <n v="9.24500903168366"/>
    <n v="9.244902021213758"/>
    <n v="9.24452748456909"/>
    <n v="9.244580989804041"/>
    <n v="9.244634495038994"/>
    <n v="0"/>
    <n v="9.24500903168366"/>
    <n v="6.252268136010537"/>
    <n v="2.860829864384486"/>
    <m/>
    <n v="0.1204092998284751"/>
    <m/>
    <n v="0.3635145662651634"/>
    <m/>
    <n v="1.551164723679813"/>
    <m/>
    <m/>
    <n v="0.6390665262689301"/>
    <n v="0.3030001455342392"/>
    <n v="0.4453909992730898"/>
    <n v="1.213854788227404"/>
    <m/>
    <n v="3.478986842721919"/>
    <n v="2.426221678676626"/>
    <n v="1.224629794811498"/>
    <n v="0"/>
    <n v="0.7575865784121981"/>
    <x v="2"/>
    <s v="site vandalise"/>
    <x v="9"/>
    <x v="5"/>
    <s v="EXCLU"/>
    <x v="4"/>
    <s v="{05-25-2026 ticket}: INC-20260525-00002004...Others Transmission equipement fault"/>
  </r>
  <r>
    <s v="Laore-MTN-IHS"/>
    <s v="ADM_093"/>
    <s v="ADAMAOUA"/>
    <s v="IHS"/>
    <s v="Solar-Gen"/>
    <s v="ADAMAOUA"/>
    <s v="Laore"/>
    <s v="NOKIA"/>
    <n v="0"/>
    <n v="0"/>
    <n v="0"/>
    <n v="0"/>
    <n v="0"/>
    <n v="0"/>
    <n v="0"/>
    <n v="0"/>
    <n v="0.001872899994159084"/>
    <n v="0"/>
    <n v="0"/>
    <n v="1.012336880373709"/>
    <n v="0"/>
    <n v="0.1282990397236277"/>
    <n v="0"/>
    <n v="0"/>
    <n v="0"/>
    <n v="0"/>
    <n v="0"/>
    <n v="0"/>
    <n v="0"/>
    <n v="0"/>
    <n v="0"/>
    <n v="0"/>
    <m/>
    <n v="0"/>
    <m/>
    <n v="0"/>
    <m/>
    <n v="0.09724688495590647"/>
    <m/>
    <m/>
    <n v="0.0005350523495219609"/>
    <n v="0"/>
    <n v="0.1389447226157665"/>
    <n v="2.690049597475058"/>
    <m/>
    <n v="0.8965941443655908"/>
    <n v="1.962234571897894"/>
    <n v="1.271343560242565"/>
    <n v="0.05242083724442951"/>
    <n v="0.7343484791624669"/>
    <x v="0"/>
    <m/>
    <x v="4"/>
    <x v="0"/>
    <s v="Defaut GE &amp; Power Cabinet"/>
    <x v="0"/>
    <s v="{hourly IHS}: 25/05/2026 12:01 1:59:00 1.7 V Fme is on site      ;      {05-25-2026 ticket}: INC-20260525-00012255...Auto TT closure RCA...Others Transmission equipement fault"/>
  </r>
  <r>
    <s v="MUTENGUENE BAGDAD-MTN"/>
    <s v="SUO_225"/>
    <s v="SUD-OUEST"/>
    <s v="MTN sharing"/>
    <e v="#N/A"/>
    <s v="SUD-OUEST"/>
    <s v="Mutengene"/>
    <s v="Huawei"/>
    <n v="15.51484163877261"/>
    <n v="18.15541415905466"/>
    <n v="16.70829373945947"/>
    <n v="17.42843853175928"/>
    <n v="21.32597386661644"/>
    <n v="35.0092599726624"/>
    <n v="11.53706628656548"/>
    <n v="12.27825647127981"/>
    <n v="11.32017389914762"/>
    <n v="1.413697482828387"/>
    <n v="0"/>
    <n v="0.01007681924932866"/>
    <n v="0"/>
    <n v="0"/>
    <n v="17.37355999577666"/>
    <n v="19.83852833494562"/>
    <n v="1.238895880239589"/>
    <n v="2.041313888817549"/>
    <n v="0"/>
    <n v="0"/>
    <n v="0"/>
    <n v="0"/>
    <n v="0"/>
    <n v="0"/>
    <m/>
    <n v="0"/>
    <m/>
    <n v="0"/>
    <m/>
    <n v="0"/>
    <m/>
    <m/>
    <n v="0"/>
    <n v="0"/>
    <n v="0"/>
    <n v="0"/>
    <m/>
    <n v="0"/>
    <n v="1.592418737935086"/>
    <n v="1.358330698273781"/>
    <n v="0.082080780621056"/>
    <n v="0.7262087189277266"/>
    <x v="1"/>
    <m/>
    <x v="2"/>
    <x v="1"/>
    <s v="no root cause"/>
    <x v="1"/>
    <s v=""/>
  </r>
  <r>
    <s v="H-Franco"/>
    <s v="CTR_102"/>
    <s v="Yaounde"/>
    <s v="IHS"/>
    <s v="Grid-Gen"/>
    <s v="CENTRE"/>
    <s v="Yaounde"/>
    <s v="ZTE"/>
    <n v="6.248269997403212"/>
    <n v="5.464650161371788"/>
    <n v="0"/>
    <n v="0"/>
    <n v="0"/>
    <n v="0"/>
    <n v="10.85364392052118"/>
    <n v="7.449533862393097"/>
    <n v="4.639545933174102"/>
    <n v="10.37202546563822"/>
    <n v="9.33883937871148"/>
    <n v="0"/>
    <n v="0.6576506778756575"/>
    <n v="6.374185650324026"/>
    <n v="9.245704599738039"/>
    <n v="9.272332371665911"/>
    <n v="16.75819628859155"/>
    <n v="0"/>
    <n v="0"/>
    <n v="0"/>
    <n v="0"/>
    <n v="0.1335847365972951"/>
    <n v="0"/>
    <n v="0"/>
    <m/>
    <n v="2.538520202149912"/>
    <m/>
    <n v="0"/>
    <m/>
    <n v="0"/>
    <m/>
    <m/>
    <n v="0"/>
    <n v="0"/>
    <n v="0"/>
    <n v="0"/>
    <m/>
    <n v="0"/>
    <n v="0.3462105679651811"/>
    <n v="0.294850413619347"/>
    <n v="1.105320312038294"/>
    <n v="0.7248354178972861"/>
    <x v="0"/>
    <m/>
    <x v="11"/>
    <x v="7"/>
    <s v="BSS Hardware issue"/>
    <x v="2"/>
    <s v="05-25-2026: hardware issue,  site with GPS issue (alarm : TDD down 09Apr 02pm)"/>
  </r>
  <r>
    <s v="Oku"/>
    <s v="NRO_013"/>
    <s v="NORD-OUEST"/>
    <s v="IHS"/>
    <s v="Grid-Gen"/>
    <s v="NORD-OUEST"/>
    <s v="Oku"/>
    <s v="NOKIA"/>
    <n v="6.15700091864775"/>
    <n v="7.195702155172366"/>
    <n v="4.588727569118602"/>
    <n v="2.014846632594533"/>
    <n v="8.982542980424379"/>
    <n v="2.053038299592133"/>
    <n v="1.986435352834921"/>
    <n v="7.539608602011572"/>
    <n v="8.269062262023926"/>
    <n v="6.041878831699593"/>
    <n v="10.48674875836684"/>
    <n v="0"/>
    <n v="2.490777503578123"/>
    <n v="5.821440903111294"/>
    <n v="2.681291269667338"/>
    <n v="2.131006497675733"/>
    <n v="2.139562806952783"/>
    <n v="2.168870368943564"/>
    <n v="4.138720592775908"/>
    <n v="1.627272545679202"/>
    <n v="0"/>
    <n v="0.01993961755884858"/>
    <n v="0.747575142751967"/>
    <n v="0.7673542446059587"/>
    <m/>
    <n v="0.5537613466768256"/>
    <m/>
    <n v="0.1508669274868519"/>
    <m/>
    <n v="0"/>
    <m/>
    <m/>
    <n v="0.5267412030259708"/>
    <n v="1.035433306794737"/>
    <n v="0.3672064274768641"/>
    <n v="3.667052617761455"/>
    <m/>
    <n v="6.27377301611588"/>
    <n v="1.888671070984657"/>
    <n v="0.9010203630602052"/>
    <n v="0.286667126319038"/>
    <n v="0.7216786090351079"/>
    <x v="1"/>
    <m/>
    <x v="2"/>
    <x v="1"/>
    <s v="no root cause"/>
    <x v="1"/>
    <s v="{05-25-2026 ticket}: INC-20260525-00023471...Others Transmission equipement fault"/>
  </r>
  <r>
    <s v="Mbangue-III-MTN"/>
    <s v="LIT_678"/>
    <s v="Douala"/>
    <s v="MTN"/>
    <m/>
    <s v="LITTORAL"/>
    <s v="Douala"/>
    <s v="ZTE"/>
    <n v="0.913031164302449"/>
    <n v="2.743944634209678"/>
    <n v="0"/>
    <n v="0"/>
    <n v="0.3764985032802271"/>
    <n v="0.9882416895669072"/>
    <n v="0.6682982196311432"/>
    <n v="2.492273844072904"/>
    <n v="0.4239219765261832"/>
    <n v="0"/>
    <n v="0.7180045829017245"/>
    <n v="0"/>
    <n v="0.7203588132396211"/>
    <n v="0"/>
    <n v="0.3408996869587045"/>
    <n v="1.963196245787355"/>
    <n v="0"/>
    <n v="0"/>
    <n v="0.74234946480497"/>
    <n v="1.870418168380261"/>
    <n v="0.002853612530783221"/>
    <n v="0.3408105115671177"/>
    <n v="0"/>
    <n v="0"/>
    <m/>
    <n v="0.2421111881586488"/>
    <m/>
    <n v="0.9170440569238634"/>
    <m/>
    <n v="1.104847431606041"/>
    <m/>
    <m/>
    <n v="3.268385112132703"/>
    <n v="1.643538137104668"/>
    <n v="36.49016003059072"/>
    <n v="15.93207546092977"/>
    <m/>
    <n v="1.583844129976343"/>
    <n v="0.2589085524501517"/>
    <n v="0.4453038138661937"/>
    <n v="1.01961429693981"/>
    <n v="0.7181829336848986"/>
    <x v="0"/>
    <m/>
    <x v="2"/>
    <x v="1"/>
    <s v="no root cause"/>
    <x v="1"/>
    <s v=""/>
  </r>
  <r>
    <s v="Boadibo"/>
    <s v="LIT_682"/>
    <s v="Douala"/>
    <s v="CAMUSAT"/>
    <s v="Good Grid + GE"/>
    <s v="LITTORAL"/>
    <s v="Douala"/>
    <s v="ZTE"/>
    <n v="0"/>
    <n v="0"/>
    <n v="0"/>
    <n v="0"/>
    <n v="15.18170021088197"/>
    <n v="0"/>
    <n v="0"/>
    <n v="0"/>
    <n v="7.174927161540152"/>
    <n v="0"/>
    <n v="0"/>
    <n v="0"/>
    <n v="0"/>
    <n v="0.001391136108756585"/>
    <n v="0"/>
    <n v="0"/>
    <n v="0"/>
    <n v="0"/>
    <n v="0"/>
    <n v="0"/>
    <n v="0"/>
    <n v="0"/>
    <n v="0"/>
    <n v="0"/>
    <m/>
    <n v="0"/>
    <m/>
    <n v="0"/>
    <m/>
    <n v="0"/>
    <m/>
    <m/>
    <n v="0"/>
    <n v="0"/>
    <n v="0"/>
    <n v="0"/>
    <m/>
    <n v="0"/>
    <n v="0.5516638090556295"/>
    <n v="0.4682543325479164"/>
    <n v="0.9200229497862618"/>
    <n v="0.7157573630337328"/>
    <x v="0"/>
    <m/>
    <x v="0"/>
    <x v="0"/>
    <s v="AKTIVCO Defaut GE &amp; Power Cabinet"/>
    <x v="0"/>
    <s v="{05-25-2026 ticket}: INC-20260525-00016478...Grid Outage"/>
  </r>
  <r>
    <s v="Ngona"/>
    <s v="CTR_590"/>
    <s v="Yaounde"/>
    <s v="IHS"/>
    <s v="Grid-Gen"/>
    <s v="CENTRE"/>
    <s v="Yaounde"/>
    <s v="ZTE"/>
    <n v="36.98281839895216"/>
    <n v="36.98281839895216"/>
    <n v="36.98281839895216"/>
    <n v="36.98281839895216"/>
    <n v="36.98281839895216"/>
    <n v="36.98281839895216"/>
    <n v="36.98281839895216"/>
    <n v="36.98281839895216"/>
    <n v="36.98281839895216"/>
    <n v="36.98281839895216"/>
    <n v="36.98281839895216"/>
    <n v="0"/>
    <n v="0"/>
    <n v="0"/>
    <n v="0"/>
    <n v="0"/>
    <n v="0"/>
    <n v="0"/>
    <n v="0"/>
    <n v="0"/>
    <n v="13.86855689960706"/>
    <n v="1.835532755191435"/>
    <n v="0"/>
    <n v="0"/>
    <m/>
    <n v="0"/>
    <m/>
    <n v="0"/>
    <m/>
    <n v="1.836852550986922"/>
    <m/>
    <m/>
    <n v="0"/>
    <n v="5.348650811995444"/>
    <n v="0"/>
    <n v="0"/>
    <m/>
    <n v="0"/>
    <n v="0.4516224436371193"/>
    <n v="0.4854672215592076"/>
    <n v="0.9234087819868819"/>
    <n v="0.7090157034297581"/>
    <x v="2"/>
    <m/>
    <x v="9"/>
    <x v="5"/>
    <s v="EXCLU"/>
    <x v="4"/>
    <s v="{05-25-2026 ticket}: INC-20260525-00021677...Grid Outage"/>
  </r>
  <r>
    <s v="Mabanda-New"/>
    <s v="LIT_791"/>
    <s v="Douala"/>
    <s v="CAMUSAT"/>
    <s v="Good Grid no GE - 8h"/>
    <s v="LITTORAL"/>
    <s v="Douala"/>
    <s v="ZTE"/>
    <n v="11.80380771788045"/>
    <n v="11.4958672556523"/>
    <n v="34.0139555920818"/>
    <n v="0"/>
    <n v="9.960837735030662"/>
    <n v="0.3234034751293398"/>
    <n v="26.66313888817548"/>
    <n v="6.713961727348737"/>
    <n v="3.926196305713218"/>
    <n v="0.8113533828149739"/>
    <n v="1.064647165078632"/>
    <n v="13.21429488661171"/>
    <n v="0"/>
    <n v="0.281366195535238"/>
    <n v="2.152515602126512"/>
    <n v="1.563458635459561"/>
    <n v="17.97046439690326"/>
    <n v="29.52766648688908"/>
    <n v="1.948250450157377"/>
    <n v="1.784417420733779"/>
    <n v="3.275982855495915"/>
    <n v="2.76632765749801"/>
    <n v="4.550566727448613"/>
    <n v="0"/>
    <m/>
    <n v="3.890044601963857"/>
    <m/>
    <n v="2.041153373112692"/>
    <m/>
    <n v="2.321716990123647"/>
    <m/>
    <m/>
    <n v="13.86855689960706"/>
    <n v="13.86855689960706"/>
    <n v="8.544268804593175"/>
    <n v="3.054506852950492"/>
    <m/>
    <n v="0.7617540300142969"/>
    <n v="0.506826293218869"/>
    <n v="0.4885485411970303"/>
    <n v="0.8750153217457156"/>
    <n v="0.6926966067693392"/>
    <x v="0"/>
    <m/>
    <x v="2"/>
    <x v="1"/>
    <s v="no root cause"/>
    <x v="1"/>
    <s v=""/>
  </r>
  <r>
    <s v="Banguem-VSAT"/>
    <s v="SUO_013"/>
    <s v="SUD-OUEST"/>
    <s v="IHS"/>
    <s v="Grid-Gen"/>
    <s v="SUD-OUEST"/>
    <s v="Banguem"/>
    <s v="NOKIA"/>
    <n v="0.3025372742611724"/>
    <n v="0.3795948822884396"/>
    <n v="0.4119456027171761"/>
    <n v="0.3337736954297096"/>
    <n v="0.2559375523698154"/>
    <n v="0.2897822389158183"/>
    <n v="0.3047406226390475"/>
    <n v="0.3170939055240238"/>
    <n v="0.3390801061046378"/>
    <n v="0.3581777655042545"/>
    <n v="0.3408406428070256"/>
    <n v="3.490649977416361"/>
    <n v="0.3200647402942369"/>
    <n v="0.2445189237314979"/>
    <n v="0.5050180776353826"/>
    <n v="0.8599539712298785"/>
    <n v="0.5844198463044291"/>
    <n v="0.5693135349695946"/>
    <n v="0.4740028764414309"/>
    <n v="0.3997911155627467"/>
    <n v="0.001070104699043579"/>
    <n v="0.4526364526171908"/>
    <n v="0.8744182197452866"/>
    <n v="0.8901130886645948"/>
    <m/>
    <n v="0.9225729312022556"/>
    <m/>
    <n v="0.695104342342188"/>
    <m/>
    <n v="0.6305770289898498"/>
    <m/>
    <m/>
    <n v="0.107081810217645"/>
    <n v="0.725869852439696"/>
    <n v="0.5052320985751914"/>
    <n v="0.5487496896696374"/>
    <m/>
    <n v="0.761415163526266"/>
    <n v="1.022894859897126"/>
    <n v="1.624067953935759"/>
    <n v="0"/>
    <n v="0.6912876355822655"/>
    <x v="1"/>
    <m/>
    <x v="14"/>
    <x v="2"/>
    <s v="SAT"/>
    <x v="2"/>
    <s v="Impacts :Coupure franche (25 sites VSAT Nokia)  ,Indisponibilité de plusieurs sites VSAT dans plusieurs regions @~Supervision Reseau Orange Cameroun  ; Cause: A Determiner_x000a_Action: Sans action"/>
  </r>
  <r>
    <s v="Minisite-Dubai"/>
    <s v="LIT_662"/>
    <s v="Douala"/>
    <s v="CAMUSAT"/>
    <s v="Good Grid no GE - 8h"/>
    <s v="LITTORAL"/>
    <s v="Douala"/>
    <s v="ZTE"/>
    <n v="0"/>
    <n v="0"/>
    <n v="0"/>
    <n v="0"/>
    <n v="0"/>
    <n v="0"/>
    <n v="0"/>
    <n v="0"/>
    <n v="0"/>
    <n v="0"/>
    <n v="0"/>
    <n v="0"/>
    <n v="0"/>
    <n v="0"/>
    <n v="0"/>
    <n v="0.4789788632919846"/>
    <n v="0"/>
    <n v="1.198428087537418"/>
    <n v="0"/>
    <n v="0"/>
    <n v="0"/>
    <n v="0"/>
    <n v="0.9999415009431188"/>
    <n v="0"/>
    <m/>
    <n v="0"/>
    <m/>
    <n v="0"/>
    <m/>
    <n v="0.7170593237509025"/>
    <m/>
    <m/>
    <n v="0.01826312019701347"/>
    <n v="0.009309910881680579"/>
    <n v="0"/>
    <n v="0.9949833491708827"/>
    <m/>
    <n v="0.2764972191545888"/>
    <n v="0"/>
    <n v="1.342180333275532"/>
    <n v="0.4443648260872419"/>
    <n v="0.6823165911886152"/>
    <x v="0"/>
    <m/>
    <x v="3"/>
    <x v="0"/>
    <s v="AKTIVCO Coupure ENEO &amp; Baisse de tension"/>
    <x v="0"/>
    <s v="{05-25-2026 ticket}: INC-20260525-00020990...Grid Outage"/>
  </r>
  <r>
    <s v="Ebogo"/>
    <s v="CTR_313"/>
    <s v="Yaounde"/>
    <s v="IHS"/>
    <s v="Grid-Gen"/>
    <s v="CENTRE"/>
    <s v="Yaounde"/>
    <s v="ZTE"/>
    <n v="0"/>
    <n v="0"/>
    <n v="0"/>
    <n v="0"/>
    <n v="0"/>
    <n v="0"/>
    <n v="0.8131368906467141"/>
    <n v="0.67564627189791"/>
    <n v="2.676581543404874"/>
    <n v="0"/>
    <n v="0"/>
    <n v="0"/>
    <n v="0.6941412481130491"/>
    <n v="0"/>
    <n v="0"/>
    <n v="0"/>
    <n v="0"/>
    <n v="0.389357594747069"/>
    <n v="0"/>
    <n v="0.03647273515907455"/>
    <n v="0"/>
    <n v="3.198846141773178"/>
    <n v="0"/>
    <n v="0"/>
    <m/>
    <n v="0"/>
    <m/>
    <n v="0.8551206650058645"/>
    <m/>
    <n v="0"/>
    <m/>
    <m/>
    <n v="0.3867180031560948"/>
    <n v="0"/>
    <n v="0"/>
    <n v="0"/>
    <m/>
    <n v="0.4728792665074357"/>
    <n v="0.1789753765851748"/>
    <n v="0.2280707793996149"/>
    <n v="1.108090538384258"/>
    <n v="0.6799801959290377"/>
    <x v="0"/>
    <m/>
    <x v="2"/>
    <x v="1"/>
    <s v="no root cause"/>
    <x v="1"/>
    <s v=""/>
  </r>
  <r>
    <s v="LIT_838_Z_Logpom-Bagam"/>
    <s v="LIT_838"/>
    <s v="Douala"/>
    <s v="ESCO"/>
    <s v="Good Grid + Solar + GE"/>
    <s v="LIT"/>
    <s v="Douala"/>
    <s v="ZTE"/>
    <n v="0"/>
    <n v="4.471218464014519"/>
    <n v="0"/>
    <n v="1.870881880416514"/>
    <n v="15.39060248321362"/>
    <n v="5.113156437892549"/>
    <n v="0"/>
    <n v="0"/>
    <n v="3.705719067553569"/>
    <n v="0"/>
    <n v="0.09443673969061184"/>
    <n v="1.540950766623006"/>
    <n v="0"/>
    <n v="2.281195692186524"/>
    <n v="0"/>
    <n v="2.589813887390742"/>
    <n v="4.632768603413491"/>
    <n v="0"/>
    <n v="0.09461509047378508"/>
    <n v="0"/>
    <n v="0"/>
    <n v="0.268061227110461"/>
    <n v="0"/>
    <n v="0"/>
    <m/>
    <n v="0.08983528948472343"/>
    <m/>
    <n v="0.09641643338384188"/>
    <m/>
    <n v="0"/>
    <m/>
    <m/>
    <n v="0"/>
    <n v="0"/>
    <n v="0"/>
    <n v="0"/>
    <m/>
    <n v="0.1904964715081053"/>
    <n v="0.5818885411795738"/>
    <n v="0.4889735508022471"/>
    <n v="0.828434478743266"/>
    <n v="0.6792667927963398"/>
    <x v="0"/>
    <m/>
    <x v="2"/>
    <x v="1"/>
    <s v="no root cause"/>
    <x v="1"/>
    <s v=""/>
  </r>
  <r>
    <s v="Nassarao"/>
    <s v="NRD_037"/>
    <s v="Garoua"/>
    <s v="IHS"/>
    <s v="Grid-Gen"/>
    <s v="NORD"/>
    <s v="Garoua"/>
    <s v="Huawei"/>
    <n v="0"/>
    <n v="0"/>
    <n v="4.328109795595734"/>
    <n v="0"/>
    <n v="0"/>
    <n v="0"/>
    <n v="0"/>
    <n v="0"/>
    <n v="0"/>
    <n v="0"/>
    <n v="0"/>
    <n v="0"/>
    <n v="1.969438523198443"/>
    <n v="0"/>
    <n v="0"/>
    <n v="0"/>
    <n v="1.633960700048226"/>
    <n v="0"/>
    <n v="0"/>
    <n v="0"/>
    <n v="0"/>
    <n v="12.41294698273279"/>
    <n v="0"/>
    <n v="0"/>
    <m/>
    <n v="0"/>
    <m/>
    <n v="0"/>
    <m/>
    <n v="0"/>
    <m/>
    <m/>
    <n v="0.01926188458278758"/>
    <n v="0"/>
    <n v="0"/>
    <n v="8.999312992783214"/>
    <m/>
    <n v="0.894179486520961"/>
    <n v="0.7037866343736636"/>
    <n v="0.911167467384763"/>
    <n v="0.5164249114074776"/>
    <n v="0.6756997771328614"/>
    <x v="0"/>
    <m/>
    <x v="2"/>
    <x v="1"/>
    <s v="no root cause"/>
    <x v="1"/>
    <s v=""/>
  </r>
  <r>
    <s v="Garoua-Bockle-II"/>
    <s v="NRD_186"/>
    <s v="Garoua"/>
    <s v="CAMUSAT"/>
    <s v="Medium Grid + GE"/>
    <s v="NORD"/>
    <s v="Garoua"/>
    <s v="Huawei"/>
    <n v="0"/>
    <n v="0"/>
    <n v="0"/>
    <n v="0"/>
    <n v="2.987750154808479"/>
    <n v="5.120504490159317"/>
    <n v="0"/>
    <n v="3.813906652626892"/>
    <n v="4.137131776973058"/>
    <n v="7.953214309154676"/>
    <n v="3.075249049033624"/>
    <n v="0"/>
    <n v="0.7946240793532573"/>
    <n v="3.001179968781479"/>
    <n v="0.1837191417474953"/>
    <n v="1.474336749107533"/>
    <n v="0.6435788010832313"/>
    <n v="2.653431611748893"/>
    <n v="7.232748485445149"/>
    <n v="2.648223768880213"/>
    <n v="0"/>
    <n v="0.1261831790955761"/>
    <n v="0.4101176259085189"/>
    <n v="0.3865753225295563"/>
    <m/>
    <n v="0.3640139484580505"/>
    <m/>
    <n v="0.6620381071417361"/>
    <m/>
    <n v="1.075009345581038"/>
    <m/>
    <m/>
    <n v="0.2687924653214737"/>
    <n v="1.041746924519095"/>
    <n v="1.073100992201077"/>
    <n v="1.932930117882733"/>
    <m/>
    <n v="0.5170389204213074"/>
    <n v="0.6944194653269866"/>
    <n v="1.189973768407166"/>
    <n v="0.332427161515277"/>
    <n v="0.6720079159211606"/>
    <x v="0"/>
    <m/>
    <x v="2"/>
    <x v="1"/>
    <s v="no root cause"/>
    <x v="1"/>
    <s v=""/>
  </r>
  <r>
    <s v="Messondo"/>
    <s v="LIT_134"/>
    <s v="LITTORAL"/>
    <s v="CAMUSAT"/>
    <s v="HGB"/>
    <s v="LITTORAL"/>
    <s v="Messondo"/>
    <s v="NOKIA"/>
    <n v="0.2758570558371745"/>
    <n v="0.037700206593451"/>
    <n v="0.00704886513019177"/>
    <n v="0.05502325623837601"/>
    <n v="0.001337630873804731"/>
    <n v="1.062894421005399"/>
    <n v="0.06627444844524422"/>
    <n v="0.03764509184193741"/>
    <n v="0.01989414822943683"/>
    <n v="0.9815903847584317"/>
    <n v="0.9824520697131489"/>
    <n v="0"/>
    <n v="5.781319331628817"/>
    <n v="0.4868084626733212"/>
    <n v="0.8626649031341227"/>
    <n v="0.3780144849372061"/>
    <n v="4.462425770404042"/>
    <n v="0.07954444929558596"/>
    <n v="0.1324611266632994"/>
    <n v="4.562783756096029"/>
    <n v="0"/>
    <n v="0.1000012841256388"/>
    <n v="0.04678141042652943"/>
    <n v="0"/>
    <m/>
    <n v="0.6127597857507714"/>
    <m/>
    <n v="0.3604112626379367"/>
    <m/>
    <n v="0.6435788010832313"/>
    <m/>
    <m/>
    <n v="0"/>
    <n v="0.03638355976748779"/>
    <n v="0"/>
    <n v="0"/>
    <m/>
    <n v="0.2063875262889054"/>
    <n v="2.268603447517875"/>
    <n v="0.9910692731655734"/>
    <n v="0"/>
    <n v="0.6566697485681998"/>
    <x v="0"/>
    <m/>
    <x v="0"/>
    <x v="0"/>
    <s v="AKTIVCO Defaut GE &amp; Power Cabinet"/>
    <x v="0"/>
    <s v="{05-25-2026 ticket}: INC-20260525-00025656...2026-05-25 22:56:38...investigation ongoing, loss com / fme  is informed...Auto TT closure RCA...Others...user:OCM_NOC.CAMUSAT"/>
  </r>
  <r>
    <s v="Mbalam"/>
    <s v="SUD_222"/>
    <s v="CENTRE"/>
    <s v="IHS"/>
    <s v="Solar-Gen"/>
    <s v="SUD"/>
    <s v="Mbalam"/>
    <s v="NOKIA"/>
    <n v="0"/>
    <n v="0.2913280462575648"/>
    <n v="0.001875695958075079"/>
    <n v="0.01011793685077038"/>
    <n v="0.09750011874378725"/>
    <n v="0.002903721627404689"/>
    <n v="0"/>
    <n v="0.02322977301923751"/>
    <n v="0.393787937967416"/>
    <n v="0.3659049961291077"/>
    <n v="0.008657058268038824"/>
    <n v="0"/>
    <n v="0"/>
    <n v="0.1644037519297555"/>
    <n v="0"/>
    <n v="0"/>
    <n v="0"/>
    <n v="0.07412258548709739"/>
    <n v="0.001159280090630734"/>
    <n v="0.05140069571073501"/>
    <n v="0.003567015663479283"/>
    <n v="0.4269539398401406"/>
    <n v="0.1093647002422717"/>
    <n v="0.0002675261747609386"/>
    <m/>
    <n v="0.08164898853703846"/>
    <m/>
    <n v="0.3572187836191226"/>
    <m/>
    <n v="1.048131882556723"/>
    <m/>
    <m/>
    <n v="0.01319795795487297"/>
    <n v="0.0984674673903428"/>
    <n v="0.5006841536042553"/>
    <n v="0.8186657649251069"/>
    <m/>
    <n v="1.806836114178745"/>
    <n v="4.540579075892554"/>
    <n v="0"/>
    <n v="0"/>
    <n v="0.6483942722289281"/>
    <x v="0"/>
    <m/>
    <x v="4"/>
    <x v="0"/>
    <s v="Defaut GE &amp; Power Cabinet"/>
    <x v="0"/>
    <s v="{05-25-2026 ticket}: INC-20260525-00008849...Grid Outage"/>
  </r>
  <r>
    <s v="Kambolepi-IHS"/>
    <s v="EST_028"/>
    <s v="CENTRE"/>
    <s v="IHS"/>
    <s v="Solar-Gen"/>
    <s v="EST"/>
    <s v="Kambolepi"/>
    <s v="NOKIA"/>
    <n v="0.001337630873804693"/>
    <n v="0"/>
    <n v="0"/>
    <n v="0"/>
    <n v="0"/>
    <n v="0"/>
    <n v="0.3189090353933562"/>
    <n v="0"/>
    <n v="0"/>
    <n v="0"/>
    <n v="0"/>
    <n v="0"/>
    <n v="0"/>
    <n v="0"/>
    <n v="0"/>
    <n v="0.7569028887119648"/>
    <n v="0.03599118804450479"/>
    <n v="0"/>
    <n v="0"/>
    <n v="1.279595528959887"/>
    <n v="0"/>
    <n v="0.3934082362223932"/>
    <n v="0.02430921174661071"/>
    <n v="0.003656191055066162"/>
    <m/>
    <n v="0"/>
    <m/>
    <n v="0"/>
    <m/>
    <n v="0"/>
    <m/>
    <m/>
    <n v="0"/>
    <n v="0.7669797079612936"/>
    <n v="0"/>
    <n v="0.2522757721107396"/>
    <m/>
    <n v="0"/>
    <n v="1.130055273791111"/>
    <n v="0.4829171639279048"/>
    <n v="0.6211121070245826"/>
    <n v="0.647395507843154"/>
    <x v="0"/>
    <m/>
    <x v="5"/>
    <x v="2"/>
    <s v="MPR ISSUE"/>
    <x v="2"/>
    <s v="(05/25/2026 cell nokia): 25/05/2026 : Check breaker and  interconnection (sfp, optical fiber) between system and radio module, swap its if needed "/>
  </r>
  <r>
    <s v="Bamenda-Blue-moon-IHS"/>
    <s v="NRO_128"/>
    <s v="NORD-OUEST"/>
    <s v="IHS"/>
    <s v="Grid-Gen"/>
    <s v="NORD-OUEST"/>
    <s v="Bamenda"/>
    <s v="Huawei"/>
    <n v="8.547996335961509"/>
    <n v="4.554543949913391"/>
    <n v="0"/>
    <n v="0"/>
    <n v="10.45536878661542"/>
    <n v="23.11399397317033"/>
    <n v="0"/>
    <n v="1.699575953177925"/>
    <n v="15.00044230994227"/>
    <n v="0.8597756204467043"/>
    <n v="1.044190330248578"/>
    <n v="13.86598864832935"/>
    <n v="0.2959731246771851"/>
    <n v="0.03977222464779287"/>
    <n v="0"/>
    <n v="0"/>
    <n v="0"/>
    <n v="2.46052740466794"/>
    <n v="0"/>
    <n v="0"/>
    <n v="0.01637260189536946"/>
    <n v="0"/>
    <n v="0"/>
    <n v="0"/>
    <m/>
    <n v="0"/>
    <m/>
    <n v="0"/>
    <m/>
    <n v="0"/>
    <m/>
    <m/>
    <n v="0.1054766531690794"/>
    <n v="0"/>
    <n v="0"/>
    <n v="0"/>
    <m/>
    <n v="0"/>
    <n v="0.4327632099564764"/>
    <n v="0.7652829203940008"/>
    <n v="0.6186838839312098"/>
    <n v="0.6413494162935568"/>
    <x v="0"/>
    <m/>
    <x v="4"/>
    <x v="0"/>
    <s v="Defaut GE &amp; Power Cabinet"/>
    <x v="0"/>
    <s v="{hourly IHS}: 25/05/2026 09:47 1:13:00 30 v FME is informed and managing"/>
  </r>
  <r>
    <s v="Mbatu-IHS"/>
    <s v="NRO_065"/>
    <s v="NORD-OUEST"/>
    <s v="IHS"/>
    <s v="Grid-Gen"/>
    <s v="NORD-OUEST"/>
    <s v="Bamenda"/>
    <s v="Huawei"/>
    <n v="8.566812343586363"/>
    <n v="4.575410991544747"/>
    <n v="5.83537009927718"/>
    <n v="24.0826170765881"/>
    <n v="8.556378822770686"/>
    <n v="1.650725673666579"/>
    <n v="0"/>
    <n v="1.706906170366375"/>
    <n v="18.70844426752047"/>
    <n v="9.308519745571909"/>
    <n v="0.9598482448856129"/>
    <n v="1.546212114726638"/>
    <n v="0.3097953103731669"/>
    <n v="0.03905882151509703"/>
    <n v="0"/>
    <n v="0"/>
    <n v="0"/>
    <n v="2.573369945182104"/>
    <n v="0"/>
    <n v="0"/>
    <m/>
    <n v="0.8245156706132128"/>
    <n v="0"/>
    <n v="0"/>
    <m/>
    <n v="0"/>
    <m/>
    <n v="0"/>
    <m/>
    <n v="0"/>
    <m/>
    <m/>
    <n v="0.1079022238202452"/>
    <n v="0"/>
    <n v="0"/>
    <n v="0"/>
    <m/>
    <n v="0"/>
    <n v="0.4327632099564764"/>
    <n v="0.7583765143092234"/>
    <n v="0.6173158709208588"/>
    <n v="0.6383174529795995"/>
    <x v="1"/>
    <m/>
    <x v="2"/>
    <x v="1"/>
    <s v="no root cause"/>
    <x v="1"/>
    <s v=""/>
  </r>
  <r>
    <s v="Mabanda3"/>
    <s v="LIT_488"/>
    <s v="Douala"/>
    <s v="IHS"/>
    <s v="Grid-Gen"/>
    <s v="LITTORAL"/>
    <s v="Douala"/>
    <s v="ZTE"/>
    <n v="0"/>
    <n v="0"/>
    <n v="0"/>
    <n v="0"/>
    <n v="0"/>
    <n v="0"/>
    <n v="0"/>
    <n v="4.988203879200874"/>
    <n v="0"/>
    <n v="0"/>
    <n v="0"/>
    <n v="0"/>
    <n v="0"/>
    <n v="0"/>
    <n v="0"/>
    <n v="0"/>
    <n v="0"/>
    <n v="0"/>
    <n v="0"/>
    <n v="0"/>
    <n v="0"/>
    <n v="0"/>
    <n v="0"/>
    <n v="0.5282393496046319"/>
    <m/>
    <n v="0"/>
    <m/>
    <n v="0"/>
    <m/>
    <n v="0"/>
    <m/>
    <m/>
    <n v="8.5954554793641"/>
    <n v="15.96801314373932"/>
    <n v="31.95906920866471"/>
    <n v="6.967540870865473"/>
    <m/>
    <n v="0"/>
    <n v="0.3091165785403402"/>
    <n v="0.2709436233258857"/>
    <n v="0.9450575878756837"/>
    <n v="0.6279374373988745"/>
    <x v="0"/>
    <m/>
    <x v="2"/>
    <x v="1"/>
    <s v="no root cause"/>
    <x v="1"/>
    <s v=""/>
  </r>
  <r>
    <s v="Madison"/>
    <s v="CTR_071"/>
    <s v="Yaounde"/>
    <s v="IHS"/>
    <s v="Grid-Gen"/>
    <s v="CENTRE"/>
    <s v="Yaounde"/>
    <s v="ZTE"/>
    <n v="0"/>
    <n v="0"/>
    <n v="0"/>
    <n v="0"/>
    <n v="0"/>
    <n v="0"/>
    <n v="0"/>
    <n v="0"/>
    <n v="0"/>
    <n v="0"/>
    <n v="0"/>
    <n v="0"/>
    <n v="0"/>
    <n v="0"/>
    <n v="0"/>
    <n v="0"/>
    <n v="0"/>
    <n v="0"/>
    <n v="0"/>
    <n v="0"/>
    <n v="0"/>
    <n v="0"/>
    <n v="0"/>
    <n v="0"/>
    <m/>
    <n v="0"/>
    <m/>
    <n v="0"/>
    <m/>
    <n v="0"/>
    <m/>
    <m/>
    <n v="0"/>
    <n v="0"/>
    <n v="0"/>
    <n v="0"/>
    <m/>
    <n v="0"/>
    <n v="0.2607819862594871"/>
    <n v="0.4036528725549203"/>
    <n v="0.8676280514898209"/>
    <n v="0.6252086704163137"/>
    <x v="0"/>
    <m/>
    <x v="5"/>
    <x v="2"/>
    <s v="IP &amp; VLAN"/>
    <x v="2"/>
    <s v="{05-25-2026 goupe whatsapp incident}:    impacted by    CTR_351_Z_Mimboman-Nodal(CTR-351)  ,Cause: Boucle ethernet  ,Action: Desactivation de la boucle      ;      {05-25-2026 ticket}: INC-20260525-00019098...power issues responsabilité ihs ...Grid Outage"/>
  </r>
  <r>
    <s v="Mobil-Essos"/>
    <s v="CTR_068"/>
    <s v="Yaounde"/>
    <s v="IHS"/>
    <s v="Grid-Gen"/>
    <s v="CENTRE"/>
    <s v="Yaounde"/>
    <s v="ZTE"/>
    <n v="0"/>
    <n v="0"/>
    <n v="0"/>
    <n v="0"/>
    <n v="0.0009452591508220167"/>
    <n v="0"/>
    <n v="0"/>
    <n v="0"/>
    <n v="6.717867609500253"/>
    <n v="0"/>
    <n v="0"/>
    <n v="10.21946420571122"/>
    <n v="0"/>
    <n v="0"/>
    <n v="0"/>
    <n v="0"/>
    <n v="0"/>
    <n v="0"/>
    <n v="0"/>
    <n v="0.0008204136026002829"/>
    <n v="9.245704599738039"/>
    <n v="0"/>
    <n v="0"/>
    <n v="0"/>
    <m/>
    <n v="0"/>
    <m/>
    <n v="0"/>
    <m/>
    <n v="0"/>
    <m/>
    <m/>
    <n v="0"/>
    <n v="0"/>
    <n v="0"/>
    <n v="0"/>
    <m/>
    <n v="0"/>
    <n v="0.2634047935925566"/>
    <n v="0.3850587023266726"/>
    <n v="0.8709796833651811"/>
    <n v="0.6210887673249953"/>
    <x v="0"/>
    <m/>
    <x v="5"/>
    <x v="2"/>
    <s v="IP &amp; VLAN"/>
    <x v="2"/>
    <s v="{05-25-2026 goupe whatsapp incident}:    impacted by    CTR_351_Z_Mimboman-Nodal(CTR-351)  ,Cause: Boucle ethernet  ,Action: Desactivation de la boucle      ;      {05-25-2026 ticket}: INC-20260525-00019084...power issues responsabilité ihs ...Grid Outage"/>
  </r>
  <r>
    <s v="ZI-Bassa"/>
    <s v="LIT_083"/>
    <s v="Douala"/>
    <s v="IHS"/>
    <s v="Grid-Gen"/>
    <s v="LITTORAL"/>
    <s v="Douala"/>
    <s v="ZTE"/>
    <n v="0"/>
    <n v="28.87436756812288"/>
    <n v="45.91935191605813"/>
    <n v="0"/>
    <n v="0"/>
    <n v="0"/>
    <n v="0"/>
    <n v="0"/>
    <n v="0"/>
    <n v="0"/>
    <n v="8.684720046342669"/>
    <n v="0"/>
    <n v="0"/>
    <n v="0.001480311500343807"/>
    <n v="0.002603921434339924"/>
    <n v="0"/>
    <n v="0"/>
    <n v="0"/>
    <n v="9.566646834059577"/>
    <n v="0"/>
    <n v="0"/>
    <n v="0"/>
    <n v="7.933863249180299"/>
    <n v="4.509706563023459"/>
    <m/>
    <n v="0"/>
    <m/>
    <n v="0.8336115605550848"/>
    <m/>
    <n v="2.602173596664697"/>
    <m/>
    <m/>
    <n v="2.076680849120945"/>
    <n v="8.591282071037829"/>
    <n v="0"/>
    <n v="0"/>
    <m/>
    <n v="0"/>
    <n v="0.08168171408702324"/>
    <n v="0.07267664249211946"/>
    <n v="1.108090538384252"/>
    <n v="0.6139190658413993"/>
    <x v="0"/>
    <m/>
    <x v="2"/>
    <x v="1"/>
    <s v="no root cause"/>
    <x v="1"/>
    <s v="{05-25-2026 ticket}: INC-20260525-00027521...2026-05-26 01:04:29...ACTIVE// No power issue SITE on Gen with Ubaie = 53.9 V ,The fme TX Bruno (698756768) from Huawei is informed...ACTIVE// No power issue SITE on Gen with Ubaie = 53.9 V ,The fme TX Bruno (698756768) from Huawei is informed...Others Transmission equipement fault...ACTIVE// No power issue SITE on Gen with Ubaie = 53.9 V ,The fme TX Bruno (698756768) from Huawei is informed...user:OCM_NOC.IHS"/>
  </r>
  <r>
    <s v="Nomayos"/>
    <s v="CTR_062"/>
    <s v="CENTRE"/>
    <s v="IHS"/>
    <s v="Grid-Gen"/>
    <s v="CENTRE"/>
    <s v="Nomayos"/>
    <s v="ZTE"/>
    <n v="0"/>
    <n v="0"/>
    <n v="0"/>
    <n v="0"/>
    <n v="0.2240085836664926"/>
    <n v="0.7996000662038109"/>
    <n v="0.1888556443029056"/>
    <n v="0"/>
    <n v="0"/>
    <n v="0"/>
    <n v="0"/>
    <n v="0"/>
    <n v="0"/>
    <n v="0"/>
    <n v="0"/>
    <n v="0"/>
    <n v="0"/>
    <n v="0"/>
    <n v="0"/>
    <n v="0"/>
    <n v="5.930841273510201"/>
    <n v="0"/>
    <n v="0"/>
    <n v="0"/>
    <m/>
    <n v="0"/>
    <m/>
    <n v="0.009862798309519936"/>
    <m/>
    <n v="0.2227779632625924"/>
    <m/>
    <m/>
    <n v="0"/>
    <n v="0"/>
    <n v="0"/>
    <n v="0"/>
    <m/>
    <n v="1.162597415197769"/>
    <n v="2.244498599171093"/>
    <n v="0.8695696522741423"/>
    <n v="0"/>
    <n v="0.6124387543410583"/>
    <x v="0"/>
    <m/>
    <x v="5"/>
    <x v="2"/>
    <s v="IP &amp; VLAN"/>
    <x v="2"/>
    <s v="{05-25-2026 goupe whatsapp incident}:    impacted by    CTR_007_Z_Messamendongo(CTR-007)  ,Cause: Boucle etherneet  ,Action: Desactivation de la bouclee"/>
  </r>
  <r>
    <s v="PK14-Market-IHS"/>
    <s v="LIT_578"/>
    <s v="Douala"/>
    <s v="IHS"/>
    <s v="Grid-Gen"/>
    <s v="LITTORAL"/>
    <s v="Douala"/>
    <s v="ZTE"/>
    <n v="0"/>
    <n v="0"/>
    <n v="0"/>
    <n v="4.484630442909202"/>
    <n v="0.9630050537477916"/>
    <n v="1.271926445283407"/>
    <n v="0"/>
    <n v="0"/>
    <n v="0"/>
    <n v="0"/>
    <n v="0"/>
    <n v="0.3511726920695257"/>
    <n v="0"/>
    <n v="0"/>
    <n v="0"/>
    <n v="0"/>
    <n v="0"/>
    <n v="0"/>
    <n v="0"/>
    <n v="0"/>
    <n v="0"/>
    <n v="0"/>
    <n v="0"/>
    <n v="0"/>
    <m/>
    <n v="0"/>
    <m/>
    <n v="0.05450399933796164"/>
    <m/>
    <n v="0"/>
    <m/>
    <m/>
    <n v="0"/>
    <n v="0"/>
    <n v="0"/>
    <n v="0"/>
    <m/>
    <n v="0.1937424557618714"/>
    <n v="0.6058684939390669"/>
    <n v="0.5034238773796296"/>
    <n v="0.6813388798052828"/>
    <n v="0.6108335972924928"/>
    <x v="0"/>
    <m/>
    <x v="2"/>
    <x v="1"/>
    <s v="no root cause"/>
    <x v="1"/>
    <s v=""/>
  </r>
  <r>
    <s v="Bamenda-Abangoh-IHS"/>
    <s v="NRO_064"/>
    <s v="NORD-OUEST"/>
    <s v="IHS"/>
    <s v="Grid-Gen"/>
    <s v="NORD-OUEST"/>
    <s v="Bamenda"/>
    <s v="Huawei"/>
    <n v="9.476900719966443"/>
    <n v="5.545193375053148"/>
    <n v="0"/>
    <n v="0"/>
    <n v="7.3343014213844"/>
    <n v="0"/>
    <n v="0"/>
    <n v="1.708939369294558"/>
    <n v="14.99070435718098"/>
    <n v="6.159005430424645"/>
    <n v="1.037198979548159"/>
    <n v="5.603068204193098"/>
    <n v="0.310972425542115"/>
    <n v="0.03763201524970537"/>
    <n v="0"/>
    <n v="0"/>
    <n v="0"/>
    <n v="2.536647518926585"/>
    <n v="1.477065516090094"/>
    <n v="0"/>
    <n v="0"/>
    <n v="0"/>
    <n v="0.8428858012801307"/>
    <n v="0"/>
    <m/>
    <n v="0"/>
    <m/>
    <n v="0"/>
    <m/>
    <n v="0"/>
    <m/>
    <m/>
    <n v="2.11472307117195"/>
    <n v="0"/>
    <n v="0"/>
    <n v="0"/>
    <m/>
    <n v="0"/>
    <n v="0.4302652982106959"/>
    <n v="0.7257039009081605"/>
    <n v="0.5861935749353751"/>
    <n v="0.6107622569792229"/>
    <x v="0"/>
    <m/>
    <x v="2"/>
    <x v="1"/>
    <s v="no root cause"/>
    <x v="1"/>
    <s v=""/>
  </r>
  <r>
    <s v="Ngd-Bamyanga2-IHS"/>
    <s v="ADM_136"/>
    <s v="Ngaoundere"/>
    <s v="IHS"/>
    <s v="Grid-Gen"/>
    <s v="ADAMAOUA"/>
    <s v="Ngaoundere"/>
    <s v="Huawei"/>
    <n v="0"/>
    <n v="0"/>
    <n v="0"/>
    <n v="0"/>
    <n v="0.005082997320457835"/>
    <n v="0"/>
    <n v="0"/>
    <n v="0"/>
    <n v="0"/>
    <n v="0"/>
    <n v="0"/>
    <n v="0"/>
    <n v="0"/>
    <n v="0"/>
    <n v="0"/>
    <n v="0"/>
    <n v="0"/>
    <n v="0"/>
    <n v="0"/>
    <n v="0"/>
    <n v="0"/>
    <n v="0"/>
    <n v="0"/>
    <n v="0"/>
    <m/>
    <n v="0.02056384529995748"/>
    <m/>
    <n v="1.848249166031738"/>
    <m/>
    <n v="0"/>
    <m/>
    <m/>
    <n v="0"/>
    <n v="0"/>
    <n v="0.01622992126883028"/>
    <n v="1.096447109718548"/>
    <m/>
    <n v="0"/>
    <n v="0.7593651707172804"/>
    <n v="0.9775220919992792"/>
    <n v="0.3170370151488288"/>
    <n v="0.6019338932121119"/>
    <x v="0"/>
    <m/>
    <x v="2"/>
    <x v="1"/>
    <s v="no root cause"/>
    <x v="1"/>
    <s v=""/>
  </r>
  <r>
    <s v="Garoua-Djalingo-IHS"/>
    <s v="NRD_095"/>
    <s v="Garoua"/>
    <s v="IHS"/>
    <s v="Grid-Gen"/>
    <s v="NORD"/>
    <s v="Garoua"/>
    <s v="Huawei"/>
    <n v="0"/>
    <n v="0"/>
    <n v="0"/>
    <n v="0"/>
    <n v="0"/>
    <n v="0"/>
    <n v="0"/>
    <n v="0"/>
    <n v="0"/>
    <n v="0"/>
    <n v="0"/>
    <n v="0"/>
    <n v="0.1720193303712835"/>
    <n v="1.205116241906442"/>
    <n v="5.08103546184292"/>
    <n v="0.1686306654909783"/>
    <n v="0"/>
    <n v="0"/>
    <n v="0"/>
    <n v="0"/>
    <n v="0"/>
    <n v="0.1577512677173668"/>
    <n v="0"/>
    <n v="0.1561282755904837"/>
    <m/>
    <n v="0.3195154280561476"/>
    <m/>
    <n v="0.1920837934783539"/>
    <m/>
    <n v="0"/>
    <m/>
    <m/>
    <n v="0.1788858355234809"/>
    <n v="0"/>
    <n v="0"/>
    <n v="0"/>
    <m/>
    <n v="0.1539702311140788"/>
    <n v="0.4852193566178674"/>
    <n v="0.84066899911938"/>
    <n v="0.4186119811673857"/>
    <n v="0.5698129171624818"/>
    <x v="0"/>
    <m/>
    <x v="2"/>
    <x v="1"/>
    <s v="no root cause"/>
    <x v="1"/>
    <s v=""/>
  </r>
  <r>
    <s v="Kousseri-MTN-IHS"/>
    <s v="EXN_138"/>
    <s v="EXTREME-NORD"/>
    <s v="IHS"/>
    <s v="Grid-Gen"/>
    <s v="EXTREME-NORD"/>
    <s v="Kousseri"/>
    <s v="Huawei"/>
    <n v="0"/>
    <n v="0.07456846244503226"/>
    <n v="0.2420220127670625"/>
    <n v="0"/>
    <n v="0.00196185861491355"/>
    <n v="0.05671554904931899"/>
    <n v="0.4713276146938216"/>
    <n v="0.1934035892738412"/>
    <n v="0"/>
    <n v="0"/>
    <n v="0"/>
    <n v="0"/>
    <n v="0"/>
    <n v="0"/>
    <n v="0"/>
    <n v="0"/>
    <n v="0"/>
    <n v="0"/>
    <n v="0"/>
    <n v="0"/>
    <n v="0"/>
    <n v="0"/>
    <n v="0"/>
    <n v="0"/>
    <m/>
    <n v="0"/>
    <m/>
    <n v="0"/>
    <m/>
    <n v="0.02518313058416302"/>
    <m/>
    <m/>
    <n v="1.753045517973479"/>
    <n v="7.120030790479206"/>
    <n v="0.6068207046710783"/>
    <n v="0"/>
    <m/>
    <n v="0"/>
    <n v="0.9248518238752403"/>
    <n v="1.199695863126507"/>
    <n v="0.05130048788815998"/>
    <n v="0.561573110979845"/>
    <x v="1"/>
    <m/>
    <x v="2"/>
    <x v="1"/>
    <s v="no root cause"/>
    <x v="1"/>
    <s v=""/>
  </r>
  <r>
    <s v="Crf-Cornier"/>
    <s v="CTR_477"/>
    <s v="Yaounde"/>
    <s v="IHS"/>
    <s v="Grid-Gen"/>
    <s v="CENTRE"/>
    <s v="Yaounde"/>
    <s v="ZTE"/>
    <n v="0"/>
    <n v="0"/>
    <n v="0"/>
    <n v="0"/>
    <n v="0"/>
    <n v="0"/>
    <n v="0"/>
    <n v="0"/>
    <n v="0"/>
    <n v="0"/>
    <n v="0"/>
    <n v="2.587941204167415"/>
    <n v="0"/>
    <n v="0"/>
    <n v="0"/>
    <n v="0"/>
    <n v="0"/>
    <n v="0"/>
    <n v="0"/>
    <n v="0"/>
    <n v="0"/>
    <n v="0"/>
    <n v="0"/>
    <n v="0"/>
    <m/>
    <n v="0"/>
    <m/>
    <n v="0"/>
    <m/>
    <n v="0"/>
    <m/>
    <m/>
    <n v="0"/>
    <n v="0"/>
    <n v="0"/>
    <n v="0"/>
    <m/>
    <n v="0"/>
    <n v="0.274645396448569"/>
    <n v="0.3474453522649625"/>
    <n v="0.7774417937824358"/>
    <n v="0.5612877497267672"/>
    <x v="0"/>
    <m/>
    <x v="5"/>
    <x v="2"/>
    <s v="IP &amp; VLAN"/>
    <x v="2"/>
    <s v="{05-25-2026 goupe whatsapp incident}:    impacted by    CTR_351_Z_Mimboman-Nodal(CTR-351)  ,Cause: Boucle ethernet  ,Action: Desactivation de la boucle      ;      {05-25-2026 ticket}: INC-20260525-00019106...power ...Grid Outage"/>
  </r>
  <r>
    <s v="CTR_943_Z_Mimboman"/>
    <s v="CTR_943"/>
    <s v="Yaounde"/>
    <s v="ESCO"/>
    <s v="Good Grid + GE"/>
    <s v="CENTRE"/>
    <s v="Yaoundé"/>
    <s v="ZTE"/>
    <n v="0"/>
    <n v="0"/>
    <n v="0"/>
    <n v="0"/>
    <n v="7.232855495915054"/>
    <n v="5.473763886391978"/>
    <n v="6.893346945065105"/>
    <n v="2.92604078383029"/>
    <n v="0"/>
    <n v="0"/>
    <n v="0"/>
    <n v="0"/>
    <n v="2.768860238619081"/>
    <n v="19.80935014681837"/>
    <n v="0"/>
    <n v="0"/>
    <n v="0"/>
    <n v="0"/>
    <n v="0"/>
    <n v="0.4964750751213499"/>
    <n v="0"/>
    <n v="13.86855689960706"/>
    <n v="13.86855689960706"/>
    <n v="36.28774972676661"/>
    <m/>
    <n v="0.2030702017218691"/>
    <m/>
    <n v="0.7319694492242457"/>
    <m/>
    <n v="0"/>
    <m/>
    <m/>
    <n v="13.86855689960706"/>
    <n v="13.86855689960706"/>
    <n v="48.10664592090357"/>
    <n v="0"/>
    <m/>
    <n v="0"/>
    <n v="0.4726049023016758"/>
    <n v="0.04111967930475259"/>
    <n v="0.9168423195371946"/>
    <n v="0.5594150665034396"/>
    <x v="0"/>
    <m/>
    <x v="2"/>
    <x v="1"/>
    <s v="no root cause"/>
    <x v="1"/>
    <s v=""/>
  </r>
  <r>
    <s v="Djerkoka-MTN-IHS"/>
    <s v="ADM_095"/>
    <s v="ADAMAOUA"/>
    <s v="IHS"/>
    <s v="Hybrid-Gen"/>
    <s v="ADAMAOUA"/>
    <s v="Djerkoka"/>
    <s v="NOKIA"/>
    <n v="0"/>
    <n v="0"/>
    <n v="0"/>
    <n v="0"/>
    <n v="0"/>
    <n v="0"/>
    <n v="0"/>
    <n v="0"/>
    <n v="0"/>
    <n v="0"/>
    <n v="0"/>
    <n v="0"/>
    <n v="0"/>
    <n v="0"/>
    <n v="0"/>
    <n v="0"/>
    <n v="0"/>
    <n v="0"/>
    <n v="0"/>
    <n v="0"/>
    <n v="0"/>
    <n v="0"/>
    <n v="0"/>
    <n v="0"/>
    <m/>
    <n v="0"/>
    <m/>
    <n v="0"/>
    <m/>
    <n v="0"/>
    <m/>
    <m/>
    <n v="0"/>
    <n v="0"/>
    <n v="0"/>
    <n v="0"/>
    <m/>
    <n v="0"/>
    <n v="1.640378643454072"/>
    <n v="0.9615967353246562"/>
    <n v="0"/>
    <n v="0.5570650337417651"/>
    <x v="0"/>
    <m/>
    <x v="4"/>
    <x v="0"/>
    <s v="Defaut GE &amp; Power Cabinet"/>
    <x v="0"/>
    <s v="{hourly IHS}: 25/05/2026 12:54 1:06:00 44 Ourt FME BASSIROU is managing with level zero      ;      {05-25-2026 ticket}: INC-20260525-00012091...Auto TT closure RCA...Others Transmission equipement fault"/>
  </r>
  <r>
    <s v="CNPS-Indoor"/>
    <s v="LIT_708"/>
    <s v="Douala"/>
    <s v="CAMUSAT"/>
    <s v="Good Grid no GE - 8h"/>
    <s v="LITTORAL"/>
    <s v="Douala"/>
    <s v="ZTE"/>
    <n v="0.1288584408431854"/>
    <n v="0.1319082392354601"/>
    <n v="0.7364817240385466"/>
    <n v="3.081901533246013"/>
    <n v="4.874487419849158"/>
    <n v="0.07410475040878012"/>
    <n v="0.09723684698644261"/>
    <n v="0.1811687255481075"/>
    <n v="0.09192199364785862"/>
    <n v="0"/>
    <n v="0.04672790519157735"/>
    <n v="2.676456697856652"/>
    <n v="0"/>
    <n v="0"/>
    <n v="0.09359849100969385"/>
    <n v="0.04794069051716034"/>
    <n v="0"/>
    <n v="0"/>
    <n v="0"/>
    <n v="0"/>
    <n v="0"/>
    <n v="0.3487114512617249"/>
    <n v="0"/>
    <n v="0.07515702002950647"/>
    <m/>
    <n v="0"/>
    <m/>
    <n v="0"/>
    <m/>
    <n v="0.2941717817671282"/>
    <m/>
    <m/>
    <n v="0"/>
    <n v="0"/>
    <n v="0"/>
    <n v="0.042215630377276"/>
    <m/>
    <n v="0.08987095964135809"/>
    <n v="1.394334336494691"/>
    <n v="0"/>
    <n v="0.6771664401237124"/>
    <n v="0.552245365019847"/>
    <x v="0"/>
    <m/>
    <x v="3"/>
    <x v="0"/>
    <s v="AKTIVCO Coupure ENEO &amp; Baisse de tension"/>
    <x v="0"/>
    <s v="{05-25-2026 ticket}: INC-20260525-00018068...Grid Outage"/>
  </r>
  <r>
    <s v="Mabanda-CIMAF"/>
    <s v="LIT_695"/>
    <s v="Douala"/>
    <s v="CAMUSAT"/>
    <s v="Good Grid no GE - 8h"/>
    <s v="LITTORAL"/>
    <s v="Douala"/>
    <s v="ZTE"/>
    <n v="13.86855689960706"/>
    <n v="13.86855689960706"/>
    <n v="13.86855689960706"/>
    <n v="13.86855689960706"/>
    <n v="17.11263279999315"/>
    <n v="0.5537078414418737"/>
    <n v="0.4780157690628455"/>
    <n v="6.023886877092054"/>
    <n v="3.831206678594767"/>
    <n v="1.413965009003148"/>
    <n v="1.692263571067794"/>
    <n v="24.264392194799"/>
    <n v="0"/>
    <n v="0.3471062942131591"/>
    <n v="2.024085203162944"/>
    <n v="1.382075888971643"/>
    <n v="15.17479803557314"/>
    <n v="25.83664352386904"/>
    <n v="1.481060573633192"/>
    <n v="0"/>
    <n v="0"/>
    <n v="2.583500269666384"/>
    <n v="4.094274083776357"/>
    <n v="0"/>
    <m/>
    <n v="4.207134459368838"/>
    <m/>
    <n v="2.400601541521489"/>
    <m/>
    <n v="1.989395975835609"/>
    <m/>
    <m/>
    <n v="13.86855689960706"/>
    <n v="13.86855689960706"/>
    <n v="8.189172395293822"/>
    <n v="3.203251406117574"/>
    <m/>
    <n v="0.9758284750579996"/>
    <n v="0.3203571813963527"/>
    <n v="0.330551220457583"/>
    <n v="0.7387270255895055"/>
    <n v="0.5419545248307104"/>
    <x v="0"/>
    <m/>
    <x v="2"/>
    <x v="1"/>
    <s v="no root cause"/>
    <x v="1"/>
    <s v=""/>
  </r>
  <r>
    <s v="CTR_944_Z_Mimboman-Camtel"/>
    <s v="CTR_944"/>
    <s v="Yaounde"/>
    <s v="ESCO"/>
    <s v="Bad Grid + GE"/>
    <s v="CTR"/>
    <s v="Yaoundé"/>
    <s v="ZTE"/>
    <n v="0"/>
    <n v="0"/>
    <n v="0"/>
    <n v="0"/>
    <n v="0"/>
    <n v="0"/>
    <n v="0"/>
    <n v="0"/>
    <n v="0"/>
    <n v="0"/>
    <n v="0"/>
    <n v="0"/>
    <n v="0"/>
    <n v="0"/>
    <n v="0"/>
    <n v="0"/>
    <n v="0"/>
    <n v="0"/>
    <n v="0"/>
    <n v="0"/>
    <n v="0"/>
    <n v="0"/>
    <n v="0"/>
    <n v="0"/>
    <m/>
    <n v="0"/>
    <m/>
    <n v="0.002514746042753074"/>
    <m/>
    <n v="0"/>
    <m/>
    <m/>
    <n v="0"/>
    <n v="0"/>
    <n v="0"/>
    <n v="0"/>
    <m/>
    <n v="0"/>
    <n v="0.4420054834158643"/>
    <n v="0.004462600854777977"/>
    <n v="0.9071294271637035"/>
    <n v="0.5376741060345337"/>
    <x v="0"/>
    <m/>
    <x v="5"/>
    <x v="2"/>
    <s v="IP &amp; VLAN"/>
    <x v="2"/>
    <s v="{05-25-2026 goupe whatsapp incident}:    impacted by    CTR_007_Z_Messamendongo(CTR-007)  ,Cause: Boucle etherneet  ,Action: Desactivation de la bouclee"/>
  </r>
  <r>
    <s v="Gueme"/>
    <s v="EXN_049"/>
    <s v="EXTREME-NORD"/>
    <s v="IHS"/>
    <s v="Solar-Gen"/>
    <s v="EXTREME-NORD"/>
    <s v="Gueme"/>
    <s v="NOKIA"/>
    <n v="0"/>
    <n v="0"/>
    <n v="0"/>
    <n v="0.005645123412283649"/>
    <n v="0.1503442452549409"/>
    <n v="0"/>
    <n v="4.312745737796805"/>
    <n v="4.164686947672692"/>
    <n v="4.749016382741499"/>
    <n v="0.5989799869745557"/>
    <n v="0"/>
    <n v="0.01000547893605912"/>
    <n v="0.2760158744459711"/>
    <n v="0.9517059056151445"/>
    <n v="7.528387754137263"/>
    <n v="3.185135857026935"/>
    <n v="3.04281914391199"/>
    <n v="1.434720064013629"/>
    <n v="0.7957834812414019"/>
    <n v="0.3219766688639483"/>
    <n v="0"/>
    <n v="0.5038587975447518"/>
    <n v="0"/>
    <n v="0"/>
    <m/>
    <n v="0.1420920689546932"/>
    <m/>
    <n v="0"/>
    <m/>
    <n v="0"/>
    <m/>
    <m/>
    <n v="1.359104308098838"/>
    <n v="0"/>
    <n v="6.602453375380338"/>
    <n v="1.037383463913655"/>
    <m/>
    <n v="0"/>
    <n v="0"/>
    <n v="1.595811019753492"/>
    <n v="0"/>
    <n v="0.5357321654418612"/>
    <x v="1"/>
    <m/>
    <x v="4"/>
    <x v="0"/>
    <s v="Defaut GE &amp; Power Cabinet"/>
    <x v="0"/>
    <s v="{05-25-2026 ticket}: INC-20260525-00011763...Grid Outage"/>
  </r>
  <r>
    <s v="Maroua-Titouare-II"/>
    <s v="EXN_086"/>
    <s v="Maroua"/>
    <s v="IHS"/>
    <s v="Grid-Gen"/>
    <s v="EXTREME-NORD"/>
    <s v="Maroua"/>
    <s v="Huawei"/>
    <n v="0"/>
    <n v="0"/>
    <n v="0"/>
    <n v="0.6440425131194837"/>
    <n v="0"/>
    <n v="0"/>
    <n v="0.2586264706805581"/>
    <n v="0.8806426620780579"/>
    <n v="0"/>
    <n v="0"/>
    <n v="0"/>
    <n v="0"/>
    <n v="0"/>
    <n v="0.4782476250809712"/>
    <n v="0"/>
    <n v="0"/>
    <n v="0"/>
    <n v="1.146652855182018"/>
    <n v="0"/>
    <n v="0.3771227310213364"/>
    <n v="0"/>
    <n v="0.964806396657849"/>
    <n v="0.7530148416387726"/>
    <n v="0"/>
    <m/>
    <n v="0"/>
    <m/>
    <n v="0"/>
    <m/>
    <n v="0"/>
    <m/>
    <m/>
    <n v="0.02924952844052929"/>
    <n v="0"/>
    <n v="0"/>
    <n v="0.3024829282630346"/>
    <m/>
    <n v="0"/>
    <n v="0.8823873241969713"/>
    <n v="1.133978752919816"/>
    <n v="0.05027447813039681"/>
    <n v="0.5329121401237896"/>
    <x v="0"/>
    <m/>
    <x v="2"/>
    <x v="1"/>
    <s v="no root cause"/>
    <x v="1"/>
    <s v=""/>
  </r>
  <r>
    <s v="Akonolinga-Town-IHS"/>
    <s v="CTR_784"/>
    <s v="CENTRE"/>
    <m/>
    <m/>
    <s v="CENTRE"/>
    <s v="Akonolinga"/>
    <s v="NOKIA"/>
    <n v="0.0002853612530783598"/>
    <n v="0.5476795849705935"/>
    <n v="0.1878212097604965"/>
    <n v="0.02304292118607557"/>
    <n v="0.0002675261747610057"/>
    <n v="0.0002675261747608899"/>
    <n v="7.233101876900009"/>
    <n v="0.0002318560181261818"/>
    <n v="0.1049237657412398"/>
    <n v="0.0002318560181261818"/>
    <n v="0.1079022238202446"/>
    <n v="0.0002318560181261239"/>
    <n v="0.0007134031326957258"/>
    <n v="0.7224967663226723"/>
    <n v="0.0004637120362522767"/>
    <n v="0.0003388664880306245"/>
    <n v="0.0004280418796176554"/>
    <n v="1.686515116994344"/>
    <n v="0.0002675261747610057"/>
    <n v="0.0004637120362522478"/>
    <n v="0.0002496910964435358"/>
    <n v="0.1023376793852177"/>
    <n v="0.5768577730978526"/>
    <n v="0.0002675261747609478"/>
    <m/>
    <n v="0.0002496910964437095"/>
    <m/>
    <n v="0.0002853612530784755"/>
    <m/>
    <n v="0.002300725102944201"/>
    <m/>
    <m/>
    <n v="0.0002853612530783018"/>
    <n v="0.0004637120362524214"/>
    <n v="0.02749000438304622"/>
    <n v="0.0003108316795038227"/>
    <m/>
    <n v="1.540950766623006"/>
    <n v="0"/>
    <n v="0.05073552162278828"/>
    <n v="0.969023455359652"/>
    <n v="0.522367144623706"/>
    <x v="0"/>
    <m/>
    <x v="2"/>
    <x v="1"/>
    <s v="no root cause"/>
    <x v="1"/>
    <s v=""/>
  </r>
  <r>
    <s v="Logpom-Sodikombo"/>
    <s v="LIT_275"/>
    <s v="Douala"/>
    <s v="IHS"/>
    <s v="Grid-Gen"/>
    <s v="LITTORAL"/>
    <s v="Douala"/>
    <s v="ZTE"/>
    <n v="12.11558272194685"/>
    <n v="4.102442549645724"/>
    <n v="0.004975986850553551"/>
    <n v="0"/>
    <n v="0"/>
    <n v="0.002728766982561658"/>
    <n v="0"/>
    <n v="0"/>
    <n v="0"/>
    <n v="0"/>
    <n v="0"/>
    <n v="0"/>
    <n v="0"/>
    <n v="0"/>
    <n v="0"/>
    <n v="0"/>
    <n v="0"/>
    <n v="0"/>
    <n v="0"/>
    <n v="0"/>
    <n v="3.166243618608978"/>
    <n v="0"/>
    <n v="0"/>
    <n v="0"/>
    <m/>
    <n v="0"/>
    <m/>
    <n v="0.7056627087060848"/>
    <m/>
    <n v="0"/>
    <m/>
    <m/>
    <n v="0"/>
    <n v="0"/>
    <n v="0"/>
    <n v="0"/>
    <m/>
    <n v="1.298197515644933"/>
    <n v="0.2154448880735705"/>
    <n v="0.4503508029281469"/>
    <n v="0.645599539909865"/>
    <n v="0.5186262423915562"/>
    <x v="0"/>
    <m/>
    <x v="2"/>
    <x v="1"/>
    <s v="no root cause"/>
    <x v="1"/>
    <s v=""/>
  </r>
  <r>
    <s v="NRD_255_H_Garoua-Universite"/>
    <s v="NRD_255"/>
    <s v=""/>
    <s v="ESCO"/>
    <s v="Hybrid Solar - S1"/>
    <s v="NRD"/>
    <s v="Garoua"/>
    <s v="Huawei"/>
    <n v="0"/>
    <n v="0"/>
    <n v="9.06769268305211"/>
    <n v="1.236951856702993"/>
    <n v="0"/>
    <n v="0"/>
    <n v="0"/>
    <n v="0"/>
    <n v="0"/>
    <n v="0.5585946529008399"/>
    <n v="2.029328716188258"/>
    <n v="0"/>
    <n v="0"/>
    <s v=""/>
    <n v="0"/>
    <n v="8.917539158697954e-05"/>
    <n v="1.870953220729783"/>
    <n v="0"/>
    <n v="0"/>
    <n v="0"/>
    <n v="8.031724323907852"/>
    <n v="3.166243618608978"/>
    <n v="0"/>
    <n v="0"/>
    <m/>
    <n v="0.5775890113088666"/>
    <m/>
    <n v="0"/>
    <m/>
    <n v="0"/>
    <m/>
    <m/>
    <n v="0.02209766203525353"/>
    <n v="0.5141674728122065"/>
    <n v="0"/>
    <n v="0.5128476770167193"/>
    <m/>
    <n v="0.5099048890943489"/>
    <n v="0.3990414013884392"/>
    <n v="0.5309963755180866"/>
    <n v="0.5431011651093206"/>
    <n v="0.518465726686699"/>
    <x v="2"/>
    <s v=" not accepted"/>
    <x v="9"/>
    <x v="5"/>
    <s v="EXCLU"/>
    <x v="4"/>
    <s v=""/>
  </r>
  <r>
    <s v="Ngog-Mapubi-NEW"/>
    <s v="CTR_546"/>
    <s v="CENTRE"/>
    <s v="IHS"/>
    <s v="Grid-Gen"/>
    <s v="CENTRE"/>
    <s v="Ngog-Mapubi"/>
    <s v="NOKIA"/>
    <n v="0.0004637120362522478"/>
    <n v="0.000285361253078186"/>
    <n v="0.120346963056192"/>
    <n v="0.0002853612530784755"/>
    <n v="0.0002318560181263555"/>
    <n v="0.0002853612530784176"/>
    <n v="0.000303196331395598"/>
    <n v="0.09864165522802112"/>
    <n v="0.1676416107522714"/>
    <n v="0.0002853612530784176"/>
    <n v="0.0002853612530783018"/>
    <n v="0"/>
    <n v="0.000285361253078186"/>
    <n v="0.0003210314097131258"/>
    <n v="0.0002675261747610057"/>
    <n v="0.2118628953323463"/>
    <n v="0.0003031963313958296"/>
    <n v="0.0002496910964435937"/>
    <n v="0.0002140209398087698"/>
    <n v="0.0002496910964435358"/>
    <n v="0"/>
    <n v="1.22930060810483"/>
    <n v="0.000142680626539122"/>
    <n v="0.0001783507831740038"/>
    <m/>
    <n v="0.0001961858614914157"/>
    <m/>
    <n v="0.01908353379961374"/>
    <m/>
    <n v="0.1150362551472036"/>
    <m/>
    <m/>
    <n v="0.000142680626539122"/>
    <n v="0.0001605157048565339"/>
    <n v="0.0001961858614912421"/>
    <n v="0.000160515704856476"/>
    <m/>
    <n v="0.02702014365085477"/>
    <n v="0.6244779364451318"/>
    <n v="0.8239873721146096"/>
    <n v="0.2870775302221439"/>
    <n v="0.5155051036860114"/>
    <x v="0"/>
    <m/>
    <x v="4"/>
    <x v="0"/>
    <s v="Defaut GE &amp; Power Cabinet"/>
    <x v="0"/>
    <s v="{05-25-2026 ticket}: INC-20260525-00000047...Grid Outage"/>
  </r>
  <r>
    <s v="Foubarka"/>
    <s v="NRD_153"/>
    <s v="NORD"/>
    <s v="CAMUSAT"/>
    <s v="Hybrid Solar - S3"/>
    <s v="NORD"/>
    <s v="Foubarka"/>
    <s v="NOKIA"/>
    <n v="0.04759578493615511"/>
    <n v="0.05318680173426352"/>
    <n v="0.07336856882162904"/>
    <n v="0.03744177700926792"/>
    <n v="0.03114737422688135"/>
    <n v="0.05196038514629137"/>
    <n v="0.105111115804438"/>
    <n v="0.03928140189122616"/>
    <n v="0.03421341569681177"/>
    <n v="0.05973370204946788"/>
    <n v="0.0805647485069363"/>
    <n v="0"/>
    <n v="0.03993068126132907"/>
    <n v="0.05109749937933927"/>
    <n v="0.06547257250316038"/>
    <n v="1.417656870214848"/>
    <n v="1.542199222105224"/>
    <n v="0.1756398512697149"/>
    <n v="0.102034483053822"/>
    <n v="0.05766080820014096"/>
    <n v="1.961359232720662"/>
    <n v="1.134881703492536"/>
    <n v="0.08658930523095713"/>
    <n v="0.09684447526345978"/>
    <m/>
    <n v="0.06957464051616144"/>
    <m/>
    <n v="0.2207269292560917"/>
    <m/>
    <n v="1.452898984970023"/>
    <m/>
    <m/>
    <n v="0.8529091152945071"/>
    <n v="0.06823700964235674"/>
    <n v="3.092014022651976"/>
    <n v="2.603297206598694"/>
    <m/>
    <n v="0.1217779147511793"/>
    <n v="3.547534261357506"/>
    <n v="0"/>
    <n v="0"/>
    <n v="0.5065875645273135"/>
    <x v="0"/>
    <m/>
    <x v="14"/>
    <x v="2"/>
    <s v="SAT"/>
    <x v="2"/>
    <s v="Impacts :Coupure franche (25 sites VSAT Nokia)  ,Indisponibilité de plusieurs sites VSAT dans plusieurs regions @~Supervision Reseau Orange Cameroun  ; Cause: A Determiner_x000a_Action: Sans action      ;      {05-25-2026 ticket}: INC-20260525-00018534...Others Transmission equipement fault"/>
  </r>
  <r>
    <s v="Nkong-CRTV"/>
    <s v="LIT_116"/>
    <s v="LITTORAL"/>
    <s v="CAMUSAT"/>
    <s v="Good Grid + GE"/>
    <s v="LITTORAL"/>
    <s v="Nkongsamba"/>
    <s v="ZTE"/>
    <n v="0"/>
    <n v="5.536971403948832"/>
    <n v="0.7958368646788414"/>
    <n v="0"/>
    <n v="0.7646254776233987"/>
    <n v="0.5669949747883326"/>
    <n v="0.474413083242731"/>
    <n v="0.05960483173673684"/>
    <n v="6.973640467650021"/>
    <n v="3.729742918047101"/>
    <n v="9.38678006922864"/>
    <n v="2.968773631478771"/>
    <n v="1.412502532581121"/>
    <n v="0.3768552048465756"/>
    <n v="0.4091545316793793"/>
    <n v="0"/>
    <n v="2.055332260375022"/>
    <n v="0"/>
    <n v="0"/>
    <n v="0"/>
    <n v="0"/>
    <n v="0"/>
    <n v="0.767782286485578"/>
    <n v="0.1397556736951142"/>
    <m/>
    <n v="0.2889282687418127"/>
    <m/>
    <n v="0.8200569010338651"/>
    <m/>
    <n v="0"/>
    <m/>
    <m/>
    <n v="0"/>
    <n v="0"/>
    <n v="0"/>
    <n v="0"/>
    <m/>
    <n v="7.176389637962179"/>
    <n v="0.2268103865168719"/>
    <n v="0.5282869392848286"/>
    <n v="0.5601671274134475"/>
    <n v="0.5018612687732031"/>
    <x v="0"/>
    <m/>
    <x v="2"/>
    <x v="1"/>
    <s v="no root cause"/>
    <x v="1"/>
    <s v=""/>
  </r>
  <r>
    <s v="Kontcha"/>
    <s v="ADM_130"/>
    <s v="Ngaoundere"/>
    <s v="CAMUSAT"/>
    <s v="Hybrid Solar - S3"/>
    <s v="ADAMAOUA"/>
    <s v="Kontcha"/>
    <s v="NOKIA"/>
    <n v="0.06199473223126817"/>
    <n v="0.09127993082843225"/>
    <n v="0.06465215890056017"/>
    <n v="0.1183714147925566"/>
    <n v="0.1098105772002066"/>
    <n v="0.04565780049253353"/>
    <n v="1.039767230825864"/>
    <n v="0.3223155353519788"/>
    <n v="0.2401849997003707"/>
    <n v="0.4590035755765011"/>
    <n v="0.3400971084344225"/>
    <n v="0"/>
    <n v="0.5020396195563774"/>
    <n v="0.2111494921996502"/>
    <n v="0.1809725396866163"/>
    <n v="0.1693975738586263"/>
    <n v="0.1576977624824146"/>
    <n v="0.1944023536596154"/>
    <n v="0.3751252022497882"/>
    <n v="0.3055148915769919"/>
    <n v="5.355499482069326"/>
    <n v="0.02678828763272866"/>
    <n v="0.3643349798677636"/>
    <n v="2.40176082161212"/>
    <m/>
    <n v="0.2193536282256523"/>
    <m/>
    <n v="0.06679236829864767"/>
    <m/>
    <n v="0.07651248598162844"/>
    <m/>
    <m/>
    <n v="3.107084663830176"/>
    <n v="0.1101494436882371"/>
    <n v="0.6466464345538233"/>
    <n v="0.1129138808274335"/>
    <m/>
    <n v="0.1864657438083742"/>
    <n v="3.506568508726704"/>
    <n v="0"/>
    <n v="0"/>
    <n v="0.5007376588392074"/>
    <x v="0"/>
    <m/>
    <x v="14"/>
    <x v="2"/>
    <s v="SAT"/>
    <x v="2"/>
    <s v="Impacts :Coupure franche (25 sites VSAT Nokia)  ,Indisponibilité de plusieurs sites VSAT dans plusieurs regions @~Supervision Reseau Orange Cameroun  ; Cause: A Determiner_x000a_Action: Sans action      ;      {05-25-2026 ocm ran 17H}: Power status check Ongoing      ;      {05-25-2026 ticket}: INC-20260525-00018274...2026-05-25 17:38:33...The technician is managing with the level 0...Grid Outage...user:OCM_NOC.CAMUSAT"/>
  </r>
  <r>
    <s v="Mimboman3-IHS"/>
    <s v="CTR_625"/>
    <s v="Yaounde"/>
    <s v="IHS"/>
    <s v="Grid-Gen"/>
    <s v="CENTRE"/>
    <s v="Yaounde"/>
    <s v="ZTE"/>
    <n v="0"/>
    <n v="0"/>
    <n v="0"/>
    <n v="0"/>
    <n v="0"/>
    <n v="0"/>
    <n v="0"/>
    <n v="0"/>
    <n v="0"/>
    <n v="0"/>
    <n v="0"/>
    <n v="0"/>
    <n v="0"/>
    <n v="0"/>
    <n v="0"/>
    <n v="0"/>
    <n v="0"/>
    <n v="0"/>
    <n v="0"/>
    <n v="0"/>
    <n v="0"/>
    <n v="0"/>
    <n v="0"/>
    <n v="0"/>
    <m/>
    <n v="0"/>
    <m/>
    <n v="0"/>
    <m/>
    <n v="0"/>
    <m/>
    <m/>
    <n v="3.743368917881592"/>
    <n v="0"/>
    <n v="0"/>
    <n v="0"/>
    <m/>
    <n v="0"/>
    <n v="0.05170677313765693"/>
    <n v="0.1727132783200907"/>
    <n v="0.8207394055600425"/>
    <n v="0.4933717714941232"/>
    <x v="0"/>
    <m/>
    <x v="5"/>
    <x v="2"/>
    <s v="IP &amp; VLAN"/>
    <x v="2"/>
    <s v="{05-25-2026 goupe whatsapp incident}:    impacted by    CTR_351_Z_Mimboman-Nodal(CTR-351)  ,Cause: Boucle ethernet  ,Action: Desactivation de la boucle      ;      {05-25-2026 ticket}: INC-20260525-00019066...Grid Outage"/>
  </r>
  <r>
    <s v="Makalingai-MTN"/>
    <s v="EXN_029"/>
    <s v="EXTREME-NORD"/>
    <s v="IHS"/>
    <s v="Grid-Gen"/>
    <s v="EXTREME-NORD"/>
    <s v="Makalingai"/>
    <s v="NOKIA"/>
    <n v="0"/>
    <n v="0"/>
    <n v="0"/>
    <n v="0.01714046503166406"/>
    <n v="0"/>
    <n v="0"/>
    <n v="0"/>
    <n v="0"/>
    <n v="0"/>
    <n v="0.005707555359909158"/>
    <n v="0"/>
    <n v="0"/>
    <n v="0.8317615017804213"/>
    <n v="0.4458853960253685"/>
    <n v="0"/>
    <n v="0"/>
    <n v="0"/>
    <n v="0"/>
    <n v="0"/>
    <n v="0"/>
    <n v="0"/>
    <n v="0"/>
    <n v="0.003656402652441632"/>
    <n v="0"/>
    <m/>
    <n v="0"/>
    <m/>
    <n v="0.01419516416199214"/>
    <m/>
    <n v="0"/>
    <m/>
    <m/>
    <n v="0"/>
    <n v="0"/>
    <n v="0"/>
    <n v="0"/>
    <m/>
    <n v="0"/>
    <n v="1.693833954813776"/>
    <n v="0.7307931812421762"/>
    <n v="0.01072453792568735"/>
    <n v="0.4928077558869315"/>
    <x v="1"/>
    <m/>
    <x v="4"/>
    <x v="0"/>
    <s v="Defaut GE &amp; Power Cabinet"/>
    <x v="0"/>
    <s v="{05-25-2026 ticket}: INC-20260525-00010790...Grid Outage"/>
  </r>
  <r>
    <s v="Salack"/>
    <s v="EXN_008"/>
    <s v="EXTREME-NORD"/>
    <s v="IHS"/>
    <s v="Grid-Gen"/>
    <s v="EXTREME-NORD"/>
    <s v="Salak"/>
    <s v="NOKIA"/>
    <n v="1.169395482655028"/>
    <n v="0.8805929653299386"/>
    <n v="2.03096724806867"/>
    <n v="0.2782353919374839"/>
    <n v="0"/>
    <n v="0"/>
    <n v="0"/>
    <n v="0.001426806265391782"/>
    <n v="0.4472767974995949"/>
    <n v="2.106141334985957"/>
    <n v="0"/>
    <n v="0.0002675261747609386"/>
    <n v="0.001516069392475761"/>
    <n v="0.2234245934887871"/>
    <n v="0.002140457136181933"/>
    <n v="0"/>
    <n v="0.2233532583364292"/>
    <n v="1.961362880452983"/>
    <n v="0"/>
    <n v="0.001516069392475761"/>
    <n v="0.001605157048565632"/>
    <n v="0.5094233419797792"/>
    <n v="0.1696151042183251"/>
    <n v="0.4494175466344227"/>
    <m/>
    <n v="1.063757122521049"/>
    <m/>
    <n v="0.9041436686460089"/>
    <m/>
    <n v="0"/>
    <m/>
    <m/>
    <n v="0.002051034006500622"/>
    <n v="0.001515981656978832"/>
    <n v="0"/>
    <n v="0"/>
    <m/>
    <n v="1.513392226351911"/>
    <n v="0"/>
    <n v="0.8311642578639369"/>
    <n v="0.4058894601711218"/>
    <n v="0.4906981374980328"/>
    <x v="1"/>
    <m/>
    <x v="4"/>
    <x v="0"/>
    <s v="Defaut GE &amp; Power Cabinet"/>
    <x v="0"/>
    <s v="{05-25-2026 groupe whatsapp incident}:    impacted by EXN_066_H_Maroua-Stade   ,Cause:   Souci Energie   Action:   En Attente RCA IHS"/>
  </r>
  <r>
    <s v="Kye-Ossi-MTN-IHS"/>
    <s v="SUD_026"/>
    <s v="CENTRE"/>
    <s v="IHS"/>
    <s v="Grid-Gen-Lithium"/>
    <s v="SUD"/>
    <s v="Kye-Ossi"/>
    <s v="ZTE"/>
    <n v="0.8473267357811626"/>
    <n v="1.120221269115637"/>
    <n v="0"/>
    <n v="0"/>
    <n v="0"/>
    <n v="0"/>
    <n v="0"/>
    <n v="0"/>
    <n v="0"/>
    <n v="0"/>
    <n v="0"/>
    <n v="0.5373174044681864"/>
    <n v="1.53681302845337"/>
    <n v="0"/>
    <n v="2.974623537166877"/>
    <n v="0"/>
    <n v="0"/>
    <n v="0"/>
    <n v="0"/>
    <n v="0"/>
    <n v="0.1585538462416496"/>
    <n v="0.9524466873838948"/>
    <n v="0"/>
    <n v="0"/>
    <m/>
    <n v="0"/>
    <m/>
    <n v="0"/>
    <m/>
    <n v="0"/>
    <m/>
    <m/>
    <n v="0"/>
    <n v="0"/>
    <n v="0.9368944990911245"/>
    <n v="1.027710717883305"/>
    <m/>
    <n v="1.132188606666609"/>
    <n v="0.2040793896302691"/>
    <n v="0.4497132885203196"/>
    <n v="0.5872537850183972"/>
    <n v="0.4863625857153862"/>
    <x v="0"/>
    <m/>
    <x v="2"/>
    <x v="1"/>
    <s v="no root cause"/>
    <x v="1"/>
    <s v=""/>
  </r>
  <r>
    <s v="Baikwa-Bere"/>
    <s v="NRD_056"/>
    <s v="NORD"/>
    <s v="IHS"/>
    <s v="Solar-Gen"/>
    <s v="NORD"/>
    <s v="Baikwa-Bere"/>
    <s v="NOKIA"/>
    <n v="0"/>
    <n v="0"/>
    <n v="0"/>
    <n v="0"/>
    <n v="0.01973087863590515"/>
    <n v="0"/>
    <n v="0.03929943742928458"/>
    <n v="0"/>
    <n v="0"/>
    <n v="0"/>
    <n v="0"/>
    <n v="0"/>
    <n v="0.007268321837540928"/>
    <n v="0.7394423470392343"/>
    <n v="0"/>
    <n v="0"/>
    <n v="0.01933322489605716"/>
    <n v="0"/>
    <n v="0"/>
    <n v="0.01933322489605716"/>
    <n v="0.008204136026002146"/>
    <n v="0"/>
    <n v="0"/>
    <n v="0"/>
    <m/>
    <n v="0"/>
    <m/>
    <n v="0.01507064117819954"/>
    <m/>
    <n v="0"/>
    <m/>
    <m/>
    <n v="0.8295451626987185"/>
    <n v="1.081590489480157"/>
    <n v="1.555825221939715"/>
    <n v="1.823797273658588"/>
    <m/>
    <n v="2.171991507649109"/>
    <n v="3.40577776978446"/>
    <n v="0"/>
    <n v="0"/>
    <n v="0.486344750637069"/>
    <x v="0"/>
    <m/>
    <x v="4"/>
    <x v="0"/>
    <s v="Defaut GE &amp; Power Cabinet"/>
    <x v="0"/>
    <s v="{05-25-2026  incident}:    impacted by  Boula-1bVIHS G NRD_105   ,Cause:   Souci Energie   Action:   En Attente RCA IHS"/>
  </r>
  <r>
    <s v="Nkolfon-Cimencam-IHS"/>
    <s v="CTR_911"/>
    <s v="CENTRE"/>
    <s v="IHS"/>
    <s v="Gen-Lithium"/>
    <s v="CENTRE"/>
    <s v="Mbankomo"/>
    <s v="ZTE"/>
    <n v="0"/>
    <n v="0"/>
    <n v="0"/>
    <n v="0"/>
    <n v="0"/>
    <n v="0"/>
    <n v="0"/>
    <n v="1.93733538222713"/>
    <n v="1.476922835463555"/>
    <n v="4.102799251212071"/>
    <n v="13.86855689960706"/>
    <n v="0.3344255535294906"/>
    <n v="13.86855689960706"/>
    <n v="13.86855689960706"/>
    <n v="13.86855689960706"/>
    <n v="13.86855689960706"/>
    <n v="13.86855689960706"/>
    <n v="24.32574486421084"/>
    <n v="0"/>
    <n v="0"/>
    <n v="0.512116438805706"/>
    <n v="0"/>
    <n v="0"/>
    <n v="6.151541424504944e-17"/>
    <m/>
    <n v="0.4236901205080575"/>
    <m/>
    <n v="0"/>
    <m/>
    <n v="0"/>
    <m/>
    <m/>
    <n v="0"/>
    <n v="0"/>
    <n v="1.054713026455842"/>
    <n v="10.97296059446456"/>
    <m/>
    <n v="0.001480311500343751"/>
    <n v="0.2049536587412923"/>
    <n v="0.209954744977236"/>
    <n v="0.7387270255895052"/>
    <n v="0.4849892846849473"/>
    <x v="0"/>
    <m/>
    <x v="2"/>
    <x v="1"/>
    <s v="no root cause"/>
    <x v="1"/>
    <s v=""/>
  </r>
  <r>
    <s v="Biteng-Maetur"/>
    <s v="CTR_395"/>
    <s v="Yaounde"/>
    <s v="IHS"/>
    <s v="Grid-Gen"/>
    <s v="CENTRE"/>
    <s v="Yaounde"/>
    <s v="ZTE"/>
    <n v="0.09923437575799167"/>
    <n v="1.54797778748006"/>
    <n v="0"/>
    <n v="0"/>
    <n v="0.04269717749184579"/>
    <n v="0"/>
    <n v="0"/>
    <n v="0.6817280336041408"/>
    <n v="0"/>
    <n v="0"/>
    <n v="0.7022027035125115"/>
    <n v="0"/>
    <n v="0.3398652524162953"/>
    <n v="4.129908570254514"/>
    <n v="0"/>
    <n v="0"/>
    <n v="0"/>
    <n v="0"/>
    <n v="0.04087799950347166"/>
    <n v="0"/>
    <n v="1.453202181301418"/>
    <n v="0"/>
    <n v="0"/>
    <n v="0"/>
    <m/>
    <n v="0.03920150214163657"/>
    <m/>
    <n v="0.001284125638852506"/>
    <m/>
    <n v="0.04071748379861472"/>
    <m/>
    <m/>
    <n v="0.038470263930623"/>
    <n v="0.0408423293468368"/>
    <n v="0"/>
    <n v="0.2341745783074081"/>
    <m/>
    <n v="0.3040167449983305"/>
    <n v="0.132639113700946"/>
    <n v="0.1106087497577445"/>
    <n v="0.8079484839132616"/>
    <n v="0.4774093764000537"/>
    <x v="0"/>
    <m/>
    <x v="5"/>
    <x v="2"/>
    <s v="IP &amp; VLAN"/>
    <x v="2"/>
    <s v="{05-25-2026 goupe whatsapp incident}:    impacted by    CTR_007_Z_Messamendongo(CTR-007)  ,Cause: Boucle etherneet  ,Action: Desactivation de la bouclee      ;      {05-25-2026 ticket}: INC-20260525-00023366...Grid Outage"/>
  </r>
  <r>
    <s v="Dschang-Lycee-Technique-IHS"/>
    <s v="OST_267"/>
    <s v="OUEST"/>
    <s v="IHS"/>
    <s v="Grid-Gen"/>
    <s v="OUEST"/>
    <s v="Dschang"/>
    <s v="Huawei"/>
    <n v="0"/>
    <n v="0"/>
    <n v="0"/>
    <n v="0"/>
    <n v="0"/>
    <n v="0"/>
    <n v="0"/>
    <n v="0"/>
    <n v="0"/>
    <n v="0"/>
    <n v="0"/>
    <n v="0"/>
    <n v="0"/>
    <n v="0"/>
    <n v="0"/>
    <n v="0"/>
    <n v="0"/>
    <n v="0"/>
    <n v="0"/>
    <n v="0"/>
    <m/>
    <n v="0"/>
    <n v="0"/>
    <n v="0"/>
    <m/>
    <n v="0"/>
    <m/>
    <n v="0"/>
    <m/>
    <n v="0"/>
    <m/>
    <m/>
    <n v="0"/>
    <n v="0"/>
    <n v="0"/>
    <n v="0"/>
    <m/>
    <n v="0"/>
    <n v="0.1217731976068007"/>
    <n v="0.9207301835021471"/>
    <n v="0.2812976752534108"/>
    <n v="0.4731824628388308"/>
    <x v="0"/>
    <m/>
    <x v="2"/>
    <x v="1"/>
    <s v="no root cause"/>
    <x v="1"/>
    <s v=""/>
  </r>
  <r>
    <s v="Zouvoul-IHS"/>
    <s v="EXN_172"/>
    <s v="EXTREME-NORD"/>
    <s v="IHS"/>
    <s v="Hybrid-Gen"/>
    <s v="EXTREME-NORD"/>
    <s v="Zouvoul"/>
    <s v="NOKIA"/>
    <n v="4.673675225843285"/>
    <n v="4.673999865528336"/>
    <n v="4.673783439071634"/>
    <n v="4.674053972142511"/>
    <n v="4.673945758914162"/>
    <n v="4.675461828306637"/>
    <n v="4.679136969462969"/>
    <n v="4.673999865528336"/>
    <n v="4.673783439071634"/>
    <n v="4.675534967596665"/>
    <n v="4.674270398599213"/>
    <n v="0"/>
    <n v="3.116072052504458"/>
    <n v="3.081366480896491"/>
    <n v="3.081330810739856"/>
    <n v="3.081437821209761"/>
    <n v="3.081366480896491"/>
    <n v="3.081116789800047"/>
    <n v="3.081152459956682"/>
    <n v="3.081188130113317"/>
    <n v="0"/>
    <n v="3.082240399734044"/>
    <n v="3.081188130113317"/>
    <n v="3.08150916152303"/>
    <m/>
    <n v="3.117716476159278"/>
    <m/>
    <n v="3.081330810739856"/>
    <m/>
    <n v="0"/>
    <m/>
    <m/>
    <n v="0.7548696897837817"/>
    <n v="0"/>
    <n v="0"/>
    <n v="0.008079290477780346"/>
    <m/>
    <n v="0"/>
    <n v="2.015440092083018"/>
    <n v="0.5384652047902179"/>
    <n v="0"/>
    <n v="0.4685736387224442"/>
    <x v="1"/>
    <m/>
    <x v="2"/>
    <x v="1"/>
    <s v="no root cause"/>
    <x v="1"/>
    <s v="{05-25-2026 ticket}: INC-20260525-00007306...Others"/>
  </r>
  <r>
    <s v="LIMBE-MOTOWOH-MTN"/>
    <s v="SUO_224"/>
    <s v="SUD-OUEST"/>
    <s v="MTN sharing"/>
    <m/>
    <s v="SUD-OUEST"/>
    <s v="Limbe"/>
    <s v="Huawei"/>
    <n v="2.292075089960135"/>
    <n v="0.6559920155921389"/>
    <n v="0.6690651279987901"/>
    <n v="0.3604290977162538"/>
    <n v="0.7899156186774647"/>
    <n v="0"/>
    <n v="0"/>
    <n v="1.375708766012333"/>
    <n v="0.8904162849959905"/>
    <n v="1.730698164841781"/>
    <n v="5.093288160646971"/>
    <n v="0.009951973701107071"/>
    <n v="0.6747010127470874"/>
    <n v="0.178439958565546"/>
    <n v="0.0005350523495218772"/>
    <n v="0.6888085596961474"/>
    <n v="0.5695810611443557"/>
    <n v="1.275618306495107"/>
    <n v="0.3953858512183498"/>
    <n v="4.40415856954111"/>
    <n v="0.002746602060879171"/>
    <n v="0.6248162986933308"/>
    <n v="0.2585016251323363"/>
    <n v="0.4928723893012359"/>
    <m/>
    <n v="3.276803269098516"/>
    <m/>
    <n v="3.928122494171497"/>
    <m/>
    <n v="0.9988535611657579"/>
    <m/>
    <m/>
    <n v="0.3900531628014485"/>
    <n v="1.951496434411143"/>
    <n v="5.963069260029735"/>
    <n v="0.7142235462984367"/>
    <m/>
    <n v="2.97398147434745"/>
    <n v="0.5183166872494595"/>
    <n v="0.4594885094403133"/>
    <n v="0.451273291789514"/>
    <n v="0.463605025782389"/>
    <x v="0"/>
    <m/>
    <x v="2"/>
    <x v="1"/>
    <s v="no root cause"/>
    <x v="1"/>
    <s v=""/>
  </r>
  <r>
    <s v="Mayo-Darle-MTN"/>
    <s v="ADM_068"/>
    <s v="ADAMAOUA"/>
    <s v="IHS"/>
    <s v="Hybrid-Gen"/>
    <s v="ADAMAOUA"/>
    <s v="Mayo-Darle"/>
    <s v="NOKIA"/>
    <n v="0.0001783507831741196"/>
    <n v="0.0001426806265391799"/>
    <n v="0.0002140209398088277"/>
    <n v="0.02632457559647648"/>
    <n v="0.0001961858614914157"/>
    <n v="0.0001783507831740038"/>
    <n v="5.397321382562825"/>
    <n v="8.623519277190534"/>
    <n v="7.210479270392011"/>
    <n v="8.318568031641574"/>
    <n v="0.0001961858614913"/>
    <n v="0"/>
    <n v="0.0001783507831741196"/>
    <n v="0.0001783507831740038"/>
    <n v="0.09547981459914399"/>
    <n v="0.0001426806265390641"/>
    <n v="1.028645538857319"/>
    <n v="0.0001783507831740038"/>
    <n v="0.000178350783173888"/>
    <n v="0.0001961858614914737"/>
    <n v="4.621675184700071"/>
    <n v="0.6900605611350713"/>
    <n v="0.1188517262418632"/>
    <n v="0.0002140209398085961"/>
    <m/>
    <n v="0.01180752377071742"/>
    <m/>
    <n v="0.02823292897643777"/>
    <m/>
    <n v="0.0001605157048565918"/>
    <m/>
    <m/>
    <n v="0.489180528089535"/>
    <n v="0.6660995012354702"/>
    <n v="15.40873187180263"/>
    <n v="4.311312255758298"/>
    <m/>
    <n v="1.166984570737719"/>
    <n v="0.05420468488343744"/>
    <n v="0.02709828282443858"/>
    <n v="0.8305631575370209"/>
    <n v="0.4499668138037737"/>
    <x v="0"/>
    <m/>
    <x v="4"/>
    <x v="0"/>
    <s v="Defaut GE &amp; Power Cabinet"/>
    <x v="0"/>
    <s v="{05-25-2026 ticket}: INC-20260525-00018860...problème d'énergie survenu à Mayo Djinga-OST_093 cet après midi qui a impacté mayo Darle....Grid Outage"/>
  </r>
  <r>
    <s v="Garoua-H-Plateau"/>
    <s v="NRD_175"/>
    <s v="Garoua"/>
    <s v="CAMUSAT"/>
    <s v="Good Grid + GE"/>
    <s v="NORD"/>
    <s v="Garoua"/>
    <s v="Huawei"/>
    <n v="0"/>
    <n v="0"/>
    <n v="0"/>
    <n v="0"/>
    <n v="3.047479832093439"/>
    <n v="0"/>
    <n v="0"/>
    <n v="0"/>
    <n v="0"/>
    <n v="0"/>
    <n v="0"/>
    <n v="0"/>
    <n v="0"/>
    <n v="0"/>
    <n v="1.468718699437553"/>
    <n v="1.376332993753442"/>
    <n v="0"/>
    <n v="0"/>
    <n v="0"/>
    <n v="0"/>
    <n v="0"/>
    <n v="0"/>
    <n v="0"/>
    <n v="0"/>
    <m/>
    <n v="0"/>
    <m/>
    <n v="0"/>
    <m/>
    <n v="0"/>
    <m/>
    <m/>
    <n v="0"/>
    <n v="0"/>
    <n v="0"/>
    <n v="0"/>
    <m/>
    <n v="1.314088570425731"/>
    <n v="0.4477506804311596"/>
    <n v="0.510649040668319"/>
    <n v="0.4028798315483501"/>
    <n v="0.4454667511335976"/>
    <x v="0"/>
    <m/>
    <x v="2"/>
    <x v="1"/>
    <s v="no root cause"/>
    <x v="1"/>
    <s v=""/>
  </r>
  <r>
    <s v="Mvangan-IHS"/>
    <s v="SUD_066"/>
    <s v="CENTRE"/>
    <s v="IHS"/>
    <s v="Grid-Hybrid-Gen"/>
    <s v="SUD"/>
    <s v="Mvangan"/>
    <s v="NOKIA"/>
    <n v="0.2687475526084302"/>
    <n v="0.09113357380916702"/>
    <n v="1.185800556264618"/>
    <n v="0.5511840786031968"/>
    <n v="0.02880275427928751"/>
    <n v="0.05145539008065576"/>
    <n v="0.1774696944947959"/>
    <n v="0.1228039786397424"/>
    <n v="0.1226416587972167"/>
    <n v="0.2138293392205589"/>
    <n v="0.7284373466412918"/>
    <n v="0"/>
    <n v="0.03338378094612472"/>
    <n v="0.04207294975073694"/>
    <n v="0.2971145696894984"/>
    <n v="0.3402219539826443"/>
    <n v="0.7159357138169066"/>
    <n v="1.897812848675781"/>
    <n v="1.776106274237871"/>
    <n v="1.291455856040955"/>
    <n v="0.000802578524282816"/>
    <n v="0.3631221945421807"/>
    <n v="0.4644967796982591"/>
    <n v="0.3390626738920136"/>
    <m/>
    <n v="0.197220296033764"/>
    <m/>
    <n v="0.6366587906960818"/>
    <m/>
    <n v="0.1258264775292281"/>
    <m/>
    <m/>
    <n v="0.6996344522348066"/>
    <n v="0.5186619125481904"/>
    <n v="0.2554161565834268"/>
    <n v="0.7862415925440812"/>
    <m/>
    <n v="0.1370982470258224"/>
    <n v="3.104779404417906"/>
    <n v="0"/>
    <n v="0"/>
    <n v="0.4433622118921449"/>
    <x v="0"/>
    <m/>
    <x v="14"/>
    <x v="2"/>
    <s v="SAT"/>
    <x v="2"/>
    <s v="Impacts :Coupure franche (25 sites VSAT Nokia)  ,Indisponibilité de plusieurs sites VSAT dans plusieurs regions @~Supervision Reseau Orange Cameroun  ; Cause: A Determiner_x000a_Action: Sans action      ;      {05-25-2026 ticket}: INC-20260525-00025441...Grid Outage"/>
  </r>
  <r>
    <s v="NRD_190_H_Garoua-Military"/>
    <s v="NRD_190"/>
    <s v="Garoua"/>
    <s v="CAMUSAT"/>
    <s v="Medium Grid + GE"/>
    <s v="NORD"/>
    <s v="Garoua"/>
    <s v="Huawei"/>
    <n v="0"/>
    <n v="0"/>
    <n v="0"/>
    <n v="0"/>
    <n v="0.04726295754109916"/>
    <n v="0"/>
    <n v="0"/>
    <n v="0"/>
    <n v="0"/>
    <n v="0"/>
    <n v="0"/>
    <n v="0.5955132650178493"/>
    <n v="0"/>
    <n v="0"/>
    <n v="0.04958151772236062"/>
    <n v="0.04503357275142467"/>
    <n v="0"/>
    <n v="0"/>
    <n v="0"/>
    <n v="0"/>
    <n v="7.318125005350523"/>
    <n v="0"/>
    <n v="0"/>
    <n v="0"/>
    <m/>
    <n v="0"/>
    <m/>
    <n v="0"/>
    <m/>
    <n v="0"/>
    <m/>
    <m/>
    <n v="0"/>
    <n v="0"/>
    <n v="0"/>
    <n v="0"/>
    <m/>
    <n v="0.04913564076442573"/>
    <n v="0.4390079893209277"/>
    <n v="0.5052301682018013"/>
    <n v="0.4021958250431746"/>
    <n v="0.4420424160966576"/>
    <x v="0"/>
    <m/>
    <x v="2"/>
    <x v="1"/>
    <s v="no root cause"/>
    <x v="1"/>
    <s v=""/>
  </r>
  <r>
    <s v="Ngd-Universite"/>
    <s v="ADM_003"/>
    <s v="Ngaoundere"/>
    <s v="IHS"/>
    <s v="Grid-Gen"/>
    <s v="ADAMAOUA"/>
    <s v="Ngaoundere"/>
    <s v="Huawei"/>
    <n v="0"/>
    <n v="0.004226913561222831"/>
    <n v="0"/>
    <n v="0"/>
    <n v="0"/>
    <n v="0"/>
    <n v="0"/>
    <n v="0"/>
    <n v="0.05284533705444407"/>
    <n v="0"/>
    <n v="0"/>
    <n v="36.98281839895216"/>
    <n v="0"/>
    <n v="0"/>
    <n v="0"/>
    <n v="0.8407099217254081"/>
    <n v="0.6654089369437239"/>
    <n v="0.001337630873804693"/>
    <n v="0.8276368093187572"/>
    <n v="0.8538187042886943"/>
    <n v="36.98258654293404"/>
    <n v="0.0005350523495218772"/>
    <n v="0"/>
    <n v="0.0005350523495218772"/>
    <m/>
    <n v="0.0002675261747609386"/>
    <m/>
    <n v="0.8022931630297375"/>
    <m/>
    <n v="0.001070104699043754"/>
    <m/>
    <m/>
    <n v="0.005618049669979711"/>
    <n v="0.003388664880305222"/>
    <n v="0.003816706759922724"/>
    <n v="0.005154337633727417"/>
    <m/>
    <n v="0.001070104699043754"/>
    <n v="0.719398582784792"/>
    <n v="0.9316210546358348"/>
    <n v="0.04856446186745813"/>
    <n v="0.4408117956927572"/>
    <x v="0"/>
    <m/>
    <x v="2"/>
    <x v="1"/>
    <s v="no root cause"/>
    <x v="1"/>
    <s v=""/>
  </r>
  <r>
    <s v="Djangane"/>
    <s v="EST_008"/>
    <s v="CENTRE"/>
    <s v="IHS"/>
    <s v="Grid-Gen"/>
    <s v="EST"/>
    <s v="Djangane"/>
    <s v="NOKIA"/>
    <n v="0.1125750143394031"/>
    <n v="0.04817254653528623"/>
    <n v="0"/>
    <n v="0.343681959176219"/>
    <n v="0.2026064896856176"/>
    <n v="0.1531854876681134"/>
    <n v="0.04408831360060265"/>
    <n v="4.106277091483963"/>
    <n v="0.04389212773911127"/>
    <n v="0.1179077027563042"/>
    <n v="0"/>
    <n v="0"/>
    <n v="0"/>
    <n v="0.09020982612938848"/>
    <n v="0"/>
    <n v="0"/>
    <n v="0.07371237868579737"/>
    <n v="2.332204016174276"/>
    <n v="0.1682382937679957"/>
    <n v="0"/>
    <n v="3.971105032916419"/>
    <n v="0.04997388944534315"/>
    <n v="0"/>
    <n v="0"/>
    <m/>
    <n v="0"/>
    <m/>
    <n v="0"/>
    <m/>
    <n v="0.03513510428527003"/>
    <m/>
    <m/>
    <n v="0"/>
    <n v="0"/>
    <n v="1.383324344453861"/>
    <n v="0.1827025422834035"/>
    <m/>
    <n v="2.177377701300962"/>
    <n v="1.498622151881027"/>
    <n v="0.6672650801908123"/>
    <n v="0"/>
    <n v="0.4380116883969261"/>
    <x v="0"/>
    <m/>
    <x v="4"/>
    <x v="0"/>
    <s v="Defaut GE &amp; Power Cabinet"/>
    <x v="0"/>
    <s v="{hourly IHS}: 25/05/2026 08:06 1:54:00 55 Magloire is on his way, ETA 11 AM      ;      {05-25-2026 ticket}: INC-20260525-00020252...Others"/>
  </r>
  <r>
    <s v="Nkor"/>
    <s v="NRO_238"/>
    <s v="NORD-OUEST"/>
    <s v="IHS"/>
    <s v="Solar-Gen"/>
    <s v="NORD-OUEST"/>
    <s v="Nkor"/>
    <s v="NOKIA"/>
    <n v="2.10313757828824"/>
    <n v="2.736851642635718"/>
    <n v="1.346652757124119"/>
    <n v="0.06061322986734664"/>
    <n v="3.390137988878366"/>
    <n v="1.645391992682027"/>
    <n v="3.394105655446754"/>
    <n v="2.720582468235659"/>
    <n v="2.977403220923656"/>
    <n v="2.366261736931071"/>
    <n v="3.813860344480506"/>
    <n v="0"/>
    <n v="0.4427778659084433"/>
    <n v="1.909619670521897"/>
    <n v="0.3886441916143742"/>
    <n v="0.1225091529621926"/>
    <n v="0.08714219265879633"/>
    <n v="1.074474293231517"/>
    <n v="1.252218683742684"/>
    <n v="0.01574837415426049"/>
    <n v="0"/>
    <n v="0.004476604657666361"/>
    <n v="0.4691874052957341"/>
    <n v="0.4117941232703541"/>
    <m/>
    <n v="0.3248124463164143"/>
    <m/>
    <n v="0.1196377053530918"/>
    <m/>
    <n v="0"/>
    <m/>
    <m/>
    <n v="0.2063518561322706"/>
    <n v="0.5555270194302478"/>
    <n v="1.241642482300468"/>
    <n v="1.754507994395505"/>
    <m/>
    <n v="3.153919579491657"/>
    <n v="1.973225383579328"/>
    <n v="0.4582134806246619"/>
    <n v="0"/>
    <n v="0.4356039528240775"/>
    <x v="1"/>
    <m/>
    <x v="2"/>
    <x v="1"/>
    <s v="no root cause"/>
    <x v="1"/>
    <s v="{05-25-2026 ticket}: INC-20260525-00023460...Others Transmission equipement fault"/>
  </r>
  <r>
    <s v="Bibemire"/>
    <s v="NRD_039"/>
    <s v="Garoua"/>
    <s v="IHS"/>
    <s v="Grid-Gen"/>
    <s v="NORD"/>
    <s v="Garoua"/>
    <s v="Huawei"/>
    <n v="0"/>
    <n v="0"/>
    <n v="0.04984904389712155"/>
    <n v="2.758230531941911"/>
    <n v="0"/>
    <n v="0"/>
    <n v="0"/>
    <n v="0"/>
    <n v="0"/>
    <n v="0"/>
    <n v="0"/>
    <n v="0"/>
    <n v="0"/>
    <n v="0"/>
    <n v="0"/>
    <n v="0.7245500566442087"/>
    <n v="0"/>
    <n v="0.466208947216729"/>
    <n v="0"/>
    <n v="0"/>
    <n v="0"/>
    <n v="0"/>
    <n v="0"/>
    <n v="0"/>
    <m/>
    <n v="0"/>
    <m/>
    <n v="0"/>
    <m/>
    <n v="0"/>
    <m/>
    <m/>
    <n v="0"/>
    <n v="0"/>
    <n v="0"/>
    <n v="0.5577742392982397"/>
    <m/>
    <n v="7.103087466077681"/>
    <n v="0.6950439432634318"/>
    <n v="0.8853481338678255"/>
    <n v="0.0707946732856608"/>
    <n v="0.4333924031127205"/>
    <x v="0"/>
    <m/>
    <x v="10"/>
    <x v="6"/>
    <s v="Projet OCM (HUAWEI)"/>
    <x v="5"/>
    <s v="{05-25-2026 BOTX}: No supervision"/>
  </r>
  <r>
    <s v="Oku-Marche"/>
    <s v="NRO_110"/>
    <s v="NORD-OUEST"/>
    <s v="IHS"/>
    <s v="Grid-Gen"/>
    <s v="NORD-OUEST"/>
    <s v="Oku"/>
    <s v="NOKIA"/>
    <n v="2.085110076135366"/>
    <n v="2.929668227401525"/>
    <n v="13.96976989864219"/>
    <n v="13.96998632509889"/>
    <n v="13.96987811187054"/>
    <n v="13.97009453832724"/>
    <n v="13.96987811187054"/>
    <n v="13.97020275155559"/>
    <n v="13.96987811187054"/>
    <n v="13.97009453832724"/>
    <n v="13.97009453832724"/>
    <n v="0.2311782851500855"/>
    <n v="13.96998632509889"/>
    <n v="13.86577462738954"/>
    <n v="13.86598864832935"/>
    <n v="13.86588163785945"/>
    <n v="13.86609565879926"/>
    <n v="11.06151175831043"/>
    <n v="1.255143636586737"/>
    <n v="0.03160375877842553"/>
    <n v="17.50304266436094"/>
    <n v="0.01637260189536946"/>
    <n v="7.877040689661076"/>
    <n v="0.8327733118741671"/>
    <m/>
    <n v="0.3600188909149539"/>
    <m/>
    <n v="0.7379085303039382"/>
    <m/>
    <n v="4.767245093926657"/>
    <m/>
    <m/>
    <n v="9.243457379870046"/>
    <n v="13.86609565879926"/>
    <n v="13.86620266926916"/>
    <n v="13.86598864832935"/>
    <m/>
    <n v="3.404395419381166"/>
    <n v="1.865440491748898"/>
    <n v="0.4964643450941993"/>
    <n v="0"/>
    <n v="0.4330535366246901"/>
    <x v="1"/>
    <m/>
    <x v="2"/>
    <x v="1"/>
    <s v="no root cause"/>
    <x v="1"/>
    <s v="{05-25-2026 ticket}: INC-20260525-00023488...Auto TT closure RCA...Others Transmission equipement fault"/>
  </r>
  <r>
    <s v="Ntam"/>
    <s v="SUD_120"/>
    <s v="CENTRE"/>
    <s v="ESCO"/>
    <s v="Hybrid Solar - S3"/>
    <s v="SUD"/>
    <s v="Ntam"/>
    <s v="NOKIA"/>
    <n v="0"/>
    <n v="0.1971667907988118"/>
    <n v="0.00221154971135721"/>
    <n v="0.01316228779823818"/>
    <n v="0.08396754871829983"/>
    <n v="0.003138973783861714"/>
    <n v="0.02625323528320666"/>
    <n v="0.01687198408825654"/>
    <n v="0.270558138074896"/>
    <n v="0.2679332804826036"/>
    <n v="0.01291259670179472"/>
    <n v="3.496591628519493"/>
    <n v="0"/>
    <n v="0.1123596929401851"/>
    <n v="0"/>
    <n v="0"/>
    <n v="0"/>
    <n v="0.05352307003050522"/>
    <n v="0.0002496910964434677"/>
    <n v="0.05382626636190071"/>
    <n v="0"/>
    <n v="0.2705945591821967"/>
    <n v="0.1345462735778981"/>
    <n v="0.0003210314097131765"/>
    <m/>
    <n v="0.06702422431677392"/>
    <m/>
    <n v="0.2462489263282854"/>
    <m/>
    <n v="0.7082949886415565"/>
    <m/>
    <m/>
    <n v="0.01169981137621172"/>
    <n v="0.08307483328815596"/>
    <n v="0.3401862838260097"/>
    <n v="0.5549791203418291"/>
    <m/>
    <n v="1.264828084113083"/>
    <n v="0"/>
    <n v="0"/>
    <n v="0.8286184404928166"/>
    <n v="0.4321150360298621"/>
    <x v="0"/>
    <m/>
    <x v="0"/>
    <x v="0"/>
    <s v="AKTIVCO Defaut GE &amp; Power Cabinet"/>
    <x v="0"/>
    <s v="{05-25-2026 ticket}: INC-20260525-00008939...Grid Outage"/>
  </r>
  <r>
    <s v="Mayo-Djinga-FH"/>
    <s v="OST_093"/>
    <s v="OUEST"/>
    <s v="IHS"/>
    <s v="Solar-Gen"/>
    <s v="OUEST"/>
    <s v="Mayo-Djinga"/>
    <s v="NOKIA"/>
    <n v="0"/>
    <n v="0.0003567428560302366"/>
    <n v="0"/>
    <n v="0.01516327900725447"/>
    <n v="0.007080641161440489"/>
    <n v="0"/>
    <n v="3.581979737795312"/>
    <n v="5.591431096004432"/>
    <n v="3.51070927158865"/>
    <n v="0"/>
    <n v="0"/>
    <n v="0.0003567015663478598"/>
    <n v="0"/>
    <n v="0"/>
    <n v="0"/>
    <n v="0"/>
    <n v="1.582789581033228"/>
    <n v="0"/>
    <n v="0"/>
    <n v="0"/>
    <n v="1.205669129334281"/>
    <n v="0.04494616259592708"/>
    <n v="0.0008919087611408398"/>
    <n v="0"/>
    <m/>
    <n v="0.01653455241668939"/>
    <m/>
    <n v="0.0391672255924411"/>
    <m/>
    <n v="0"/>
    <m/>
    <m/>
    <n v="8.91753915870505e-05"/>
    <n v="0"/>
    <n v="0"/>
    <n v="0"/>
    <m/>
    <n v="1.166519299165697"/>
    <n v="1.39820609970065"/>
    <n v="0.6025557257642643"/>
    <n v="0.05050421515437351"/>
    <n v="0.4282859791460127"/>
    <x v="0"/>
    <m/>
    <x v="2"/>
    <x v="1"/>
    <s v="no root cause"/>
    <x v="1"/>
    <s v="{05-25-2026 ticket}: INC-20260525-00018849...Auto TT closure RCA...Others Transmission equipement fault"/>
  </r>
  <r>
    <s v="Bokova-IHS"/>
    <s v="SUO_254"/>
    <s v="SUD-OUEST"/>
    <s v="IHS"/>
    <s v="Grid-Gen"/>
    <s v="SUD-OUEST"/>
    <s v="Buea"/>
    <s v="Huawei"/>
    <n v="0"/>
    <n v="0"/>
    <n v="0"/>
    <n v="0"/>
    <n v="0"/>
    <n v="0"/>
    <n v="0.007223206718545342"/>
    <n v="0"/>
    <n v="0.8262991784449523"/>
    <n v="0.5496771137421419"/>
    <n v="0"/>
    <n v="0.009220735490094041"/>
    <n v="0.008275476339271701"/>
    <n v="0"/>
    <n v="0"/>
    <n v="0"/>
    <n v="10.91991907154863"/>
    <n v="0"/>
    <n v="0"/>
    <n v="0"/>
    <n v="0"/>
    <n v="0"/>
    <n v="8.917539158697954e-05"/>
    <n v="0"/>
    <m/>
    <n v="0"/>
    <m/>
    <n v="0.01712167518470007"/>
    <m/>
    <n v="0"/>
    <m/>
    <m/>
    <n v="0"/>
    <n v="0"/>
    <n v="0.05958699665841972"/>
    <n v="0.01168197629789432"/>
    <m/>
    <n v="0"/>
    <n v="0.2885088066376509"/>
    <n v="0.6183889755908484"/>
    <n v="0.338583220061856"/>
    <n v="0.4253666178698923"/>
    <x v="0"/>
    <m/>
    <x v="2"/>
    <x v="1"/>
    <s v="no root cause"/>
    <x v="1"/>
    <s v=""/>
  </r>
  <r>
    <s v="Song-Bong"/>
    <s v="CTR_311"/>
    <s v="CENTRE"/>
    <s v="IHS"/>
    <s v="Solar-Gen"/>
    <s v="CENTRE"/>
    <s v="Song-Bong"/>
    <s v="NOKIA"/>
    <n v="0.002128193490892877"/>
    <n v="0"/>
    <n v="0"/>
    <n v="0"/>
    <n v="0"/>
    <n v="0"/>
    <n v="0.866668152279646"/>
    <n v="0"/>
    <n v="0.4448727908671714"/>
    <n v="0"/>
    <n v="0"/>
    <n v="0"/>
    <n v="0.2619386611427703"/>
    <n v="3.808966335932975"/>
    <n v="0.002051034006500451"/>
    <n v="0"/>
    <n v="0"/>
    <n v="0"/>
    <n v="0"/>
    <n v="0"/>
    <n v="0.0005350523495218772"/>
    <n v="0"/>
    <n v="0"/>
    <n v="0.01849497621513965"/>
    <m/>
    <n v="0"/>
    <m/>
    <n v="0.003121138705544201"/>
    <m/>
    <n v="0"/>
    <m/>
    <m/>
    <n v="0"/>
    <n v="0"/>
    <n v="0"/>
    <n v="0.1548441499516313"/>
    <m/>
    <n v="0.05236378993987462"/>
    <n v="1.453909531631556"/>
    <n v="0.6462802309332192"/>
    <n v="0"/>
    <n v="0.424581874423927"/>
    <x v="0"/>
    <m/>
    <x v="4"/>
    <x v="0"/>
    <s v="Defaut GE &amp; Power Cabinet"/>
    <x v="0"/>
    <s v="(05/25/2026 cell nokia): 24/05/2026 : Need BO RAN analysis       ;      (05/25/2026 cell nokia): 24/05/2026 : Need BO RAN analysis || Check power      ;      (05/25/2026 cell nokia): 24/05/2026 : Need BO RAN analysis || Check power      ;      {05-25-2026 ticket}: INC-20260525-00000034...Others Transmission equipement fault"/>
  </r>
  <r>
    <s v="Djaba-IHS"/>
    <s v="NRD_128"/>
    <s v="NORD"/>
    <s v="IHS"/>
    <s v="Hybrid-Gen"/>
    <s v="NORD"/>
    <s v="Djaba"/>
    <s v="NOKIA"/>
    <n v="0.2992340686571534"/>
    <n v="0.06326866750891708"/>
    <n v="0.2471770490905668"/>
    <n v="0.3698126929717987"/>
    <n v="0.1412002274593249"/>
    <n v="0.09437997065968159"/>
    <n v="0"/>
    <n v="1.302213310067062"/>
    <n v="1.779638623989632"/>
    <n v="0.2425779868856712"/>
    <n v="0.3452860672170139"/>
    <n v="0"/>
    <n v="0"/>
    <n v="0"/>
    <n v="0"/>
    <n v="0.04811904130033415"/>
    <n v="0.1351918547922701"/>
    <n v="0.6544565432364005"/>
    <n v="0.4347040622149746"/>
    <n v="0.6157168766235577"/>
    <n v="0"/>
    <n v="9.620405721151476"/>
    <n v="23.04990738206318"/>
    <n v="25.36265310136851"/>
    <m/>
    <n v="25.54895431748554"/>
    <m/>
    <n v="13.86609565879926"/>
    <m/>
    <n v="0"/>
    <m/>
    <m/>
    <n v="0.06516937617176463"/>
    <n v="3.689480794110442"/>
    <n v="11.25175809370936"/>
    <n v="0"/>
    <m/>
    <n v="0.08760590469504846"/>
    <n v="2.877844122313745"/>
    <n v="0.02786291050506454"/>
    <n v="0.00769152106450581"/>
    <n v="0.4243208152494001"/>
    <x v="0"/>
    <m/>
    <x v="4"/>
    <x v="0"/>
    <s v="Defaut GE &amp; Power Cabinet"/>
    <x v="0"/>
    <s v="{hourly IHS}: 25/05/2026 06:57 0:03:00 53 V Our FME PARFAIT is managing with level zero      ;      {05-25-2026 ticket}: INC-20260525-00010551...Others Transmission equipement fault"/>
  </r>
  <r>
    <s v="Djoungolo"/>
    <s v="CTR_029"/>
    <s v="Yaounde"/>
    <s v="IHS"/>
    <s v="Grid-Gen"/>
    <s v="CENTRE"/>
    <s v="Yaounde"/>
    <s v="ZTE"/>
    <n v="0"/>
    <n v="0.04893945490293466"/>
    <n v="0"/>
    <n v="0.00895320931533289"/>
    <n v="0"/>
    <n v="0"/>
    <n v="0.007865269537971798"/>
    <n v="0"/>
    <n v="0"/>
    <n v="2.162128709339589"/>
    <n v="0.08079290477780315"/>
    <n v="0"/>
    <n v="4.844042941161363"/>
    <n v="0"/>
    <n v="0"/>
    <n v="0.01234187419563761"/>
    <n v="0"/>
    <n v="0"/>
    <n v="0"/>
    <n v="0"/>
    <n v="0"/>
    <n v="0.07490732893306307"/>
    <n v="0"/>
    <n v="0"/>
    <m/>
    <n v="0"/>
    <m/>
    <n v="0"/>
    <m/>
    <n v="0"/>
    <m/>
    <m/>
    <n v="0"/>
    <n v="0"/>
    <n v="0"/>
    <n v="2.341121555332974"/>
    <m/>
    <n v="0"/>
    <n v="0.3469599414889153"/>
    <n v="0.2945316564154352"/>
    <n v="0.5176903234420521"/>
    <n v="0.4183931022477907"/>
    <x v="0"/>
    <m/>
    <x v="2"/>
    <x v="1"/>
    <s v="no root cause"/>
    <x v="1"/>
    <s v=""/>
  </r>
  <r>
    <s v="ODING-IHS"/>
    <s v="SUD_204"/>
    <s v="CENTRE"/>
    <s v="IHS"/>
    <s v=""/>
    <s v="SUD"/>
    <s v="Meyomessi"/>
    <s v="NOKIA"/>
    <n v="0.537868535435812"/>
    <n v="0.3593220247377864"/>
    <n v="0.5008552819981196"/>
    <n v="0.4543873458436877"/>
    <n v="0.4128515016951598"/>
    <n v="0.5697606828033634"/>
    <n v="0.5331124694686659"/>
    <n v="0.5458996659520814"/>
    <n v="1.016316118787576"/>
    <n v="0.5754959839059393"/>
    <n v="0.5618070105196028"/>
    <n v="0"/>
    <n v="0.4611506726155931"/>
    <n v="0.452921813870269"/>
    <n v="0.515041391649759"/>
    <n v="0.5063378734308698"/>
    <n v="0.4719875125915653"/>
    <n v="0.6925895962994353"/>
    <n v="0.5075506587564529"/>
    <n v="0.462147254737835"/>
    <n v="0.4995962138268933"/>
    <n v="0.2647617376217422"/>
    <n v="0.5585768178225227"/>
    <n v="0.4687058581811643"/>
    <m/>
    <n v="0.4372626151075955"/>
    <m/>
    <n v="0.6160949453961242"/>
    <m/>
    <n v="0.5033415802735474"/>
    <m/>
    <m/>
    <n v="0.4492477877368855"/>
    <n v="0.4269182696835058"/>
    <n v="0.4284877565754367"/>
    <n v="0.4006115291653469"/>
    <m/>
    <n v="0.3032320015523652"/>
    <n v="2.77468036721301"/>
    <n v="0.04090717450214369"/>
    <n v="0.004924846837262819"/>
    <n v="0.412525361481367"/>
    <x v="0"/>
    <m/>
    <x v="2"/>
    <x v="1"/>
    <s v="no root cause"/>
    <x v="1"/>
    <s v=""/>
  </r>
  <r>
    <s v="Bomkoul"/>
    <s v="LIT_392"/>
    <s v="Douala"/>
    <s v="IHS"/>
    <s v="Grid-Gen"/>
    <s v="LITTORAL"/>
    <s v="Douala"/>
    <s v="ZTE"/>
    <n v="0"/>
    <n v="0"/>
    <n v="0"/>
    <n v="0"/>
    <n v="0"/>
    <n v="0"/>
    <n v="0"/>
    <n v="0"/>
    <n v="0"/>
    <n v="0"/>
    <n v="0"/>
    <n v="0"/>
    <n v="0"/>
    <n v="0"/>
    <n v="0"/>
    <n v="0"/>
    <n v="0"/>
    <n v="0"/>
    <n v="0"/>
    <n v="0"/>
    <n v="0"/>
    <n v="0"/>
    <n v="0"/>
    <n v="0"/>
    <m/>
    <n v="0"/>
    <m/>
    <n v="0"/>
    <m/>
    <n v="0"/>
    <m/>
    <m/>
    <n v="0"/>
    <n v="0"/>
    <n v="0"/>
    <n v="0"/>
    <m/>
    <n v="0.09074487847891076"/>
    <n v="0.1558696929367049"/>
    <n v="0.1297341819925129"/>
    <n v="0.6569540478957768"/>
    <n v="0.4084054583900487"/>
    <x v="0"/>
    <m/>
    <x v="2"/>
    <x v="1"/>
    <s v="no root cause"/>
    <x v="1"/>
    <s v=""/>
  </r>
  <r>
    <s v="Baba-MTN"/>
    <s v="NRO_259"/>
    <s v="NORD-OUEST"/>
    <s v="IHS"/>
    <s v="Grid-Gen"/>
    <s v="NORD-OUEST"/>
    <s v="Baba"/>
    <s v="NOKIA"/>
    <n v="0.2539779902839738"/>
    <n v="1.21303190079543"/>
    <n v="0.3295908090554898"/>
    <n v="0.06889763153062126"/>
    <n v="3.219538111987023"/>
    <n v="3.564292840225251"/>
    <n v="0.07463993704686615"/>
    <n v="0.1364415428604573"/>
    <n v="0.4546199881310893"/>
    <n v="0.008787310390634824"/>
    <n v="0.5218433215183935"/>
    <n v="27.73711379921413"/>
    <n v="2.37689225907068"/>
    <n v="0.01123609933995945"/>
    <n v="0.01193166739433785"/>
    <n v="0.0200466280287529"/>
    <n v="0.01924404950447016"/>
    <n v="0.2524376985044217"/>
    <n v="0.273804122328662"/>
    <n v="0.007562073206575816"/>
    <n v="0"/>
    <n v="0.06686370861191736"/>
    <n v="0.001426806265391782"/>
    <n v="0.0006420628194262528"/>
    <m/>
    <n v="0.02648509130133306"/>
    <m/>
    <n v="0.01546301290118216"/>
    <m/>
    <n v="0.05803534484480637"/>
    <m/>
    <m/>
    <n v="0.007241041796862738"/>
    <n v="0.5542607288697127"/>
    <n v="0.0195472458358659"/>
    <n v="0.01043352081567657"/>
    <m/>
    <n v="0.02616405989161978"/>
    <n v="1.32764009288235"/>
    <n v="0.6441551829071337"/>
    <n v="0"/>
    <n v="0.4058372071123438"/>
    <x v="1"/>
    <m/>
    <x v="4"/>
    <x v="0"/>
    <s v="Defaut GE &amp; Power Cabinet"/>
    <x v="0"/>
    <s v="{hourly IHS}: 25/05/2026 18:46 3:38:57 Fme is managing with level 0      ;      {05-25-2026 ticket}: INC-20260525-00019318...Others"/>
  </r>
  <r>
    <s v="Kousseri"/>
    <s v="EXN_003"/>
    <s v="EXTREME-NORD"/>
    <s v="IHS"/>
    <s v="Grid-Gen"/>
    <s v="EXTREME-NORD"/>
    <s v="Kousseri"/>
    <s v="Huawei"/>
    <n v="0"/>
    <n v="0"/>
    <n v="0"/>
    <n v="0"/>
    <n v="0.0005350523495218772"/>
    <n v="0.02281106516794937"/>
    <n v="0.4370842643244215"/>
    <n v="0.1805801679636336"/>
    <n v="0"/>
    <n v="0"/>
    <n v="0"/>
    <n v="0"/>
    <n v="0"/>
    <n v="0"/>
    <n v="0"/>
    <n v="0"/>
    <n v="0.005796400453153669"/>
    <n v="0"/>
    <n v="0"/>
    <n v="0"/>
    <n v="0"/>
    <n v="0.7730079644325732"/>
    <n v="0.08844415337596631"/>
    <n v="0.06682803845528247"/>
    <m/>
    <n v="0"/>
    <m/>
    <n v="0"/>
    <m/>
    <n v="0.02930303367548147"/>
    <m/>
    <m/>
    <n v="1.559089041271798"/>
    <n v="5.750635642191232"/>
    <n v="0.1521867232823393"/>
    <n v="0"/>
    <m/>
    <n v="0"/>
    <n v="0.7075335019923344"/>
    <n v="0.9042610612999855"/>
    <n v="0"/>
    <n v="0.4046065867084436"/>
    <x v="1"/>
    <m/>
    <x v="2"/>
    <x v="1"/>
    <s v="no root cause"/>
    <x v="1"/>
    <s v=""/>
  </r>
  <r>
    <s v="Soulede"/>
    <s v="EXN_052"/>
    <s v="EXTREME-NORD"/>
    <s v="IHS"/>
    <s v="Solar-Grid-Gen"/>
    <s v="EXTREME-NORD"/>
    <s v="Soulede"/>
    <s v="NOKIA"/>
    <n v="0"/>
    <n v="0"/>
    <n v="0"/>
    <n v="0"/>
    <n v="0"/>
    <n v="0.004815749834923679"/>
    <n v="0"/>
    <n v="0"/>
    <n v="0"/>
    <n v="0.002942958232453008"/>
    <n v="0"/>
    <n v="0"/>
    <n v="0"/>
    <n v="1.689687742539673"/>
    <n v="0.05491754028111692"/>
    <n v="0"/>
    <n v="0"/>
    <n v="0"/>
    <n v="0"/>
    <n v="0"/>
    <n v="0"/>
    <n v="0"/>
    <n v="0"/>
    <n v="0"/>
    <m/>
    <n v="9.281555181842469"/>
    <m/>
    <n v="0"/>
    <m/>
    <n v="6.148500532137136"/>
    <m/>
    <m/>
    <n v="0.9069315675178997"/>
    <n v="0"/>
    <n v="0"/>
    <n v="0"/>
    <m/>
    <n v="0"/>
    <n v="1.524725329624434"/>
    <n v="0.5565291583796292"/>
    <n v="0"/>
    <n v="0.4045638935832996"/>
    <x v="1"/>
    <m/>
    <x v="4"/>
    <x v="0"/>
    <s v="Defaut GE &amp; Power Cabinet"/>
    <x v="0"/>
    <s v="{05-25-2026  incident}:    impacted by   EXN_047_H_Hina  ,Cause: Probleme energie    Action: RCA attendu de IHS"/>
  </r>
  <r>
    <s v="Nkoabang-Nord"/>
    <s v="CTR_708"/>
    <s v="Yaounde"/>
    <s v="CAMUSAT"/>
    <s v="Good Grid + GE"/>
    <s v="CENTRE"/>
    <s v="Yaounde"/>
    <s v="ZTE"/>
    <n v="0"/>
    <n v="0"/>
    <n v="0"/>
    <n v="0"/>
    <n v="0"/>
    <n v="0"/>
    <n v="0"/>
    <n v="0"/>
    <n v="0.1170159488404346"/>
    <n v="0"/>
    <n v="0"/>
    <n v="0"/>
    <n v="0"/>
    <n v="0"/>
    <n v="0"/>
    <n v="0"/>
    <n v="0"/>
    <n v="0"/>
    <n v="0"/>
    <n v="0"/>
    <n v="0.006509803585849506"/>
    <n v="0"/>
    <n v="0.0167293034617173"/>
    <n v="0"/>
    <m/>
    <n v="0"/>
    <m/>
    <n v="0"/>
    <m/>
    <n v="0"/>
    <m/>
    <m/>
    <n v="0"/>
    <n v="0"/>
    <n v="0"/>
    <n v="0"/>
    <m/>
    <n v="0"/>
    <n v="0.04820969669356418"/>
    <n v="0.01020023052520943"/>
    <n v="0.7507997404058515"/>
    <n v="0.4018421495692472"/>
    <x v="0"/>
    <m/>
    <x v="2"/>
    <x v="1"/>
    <s v="no root cause"/>
    <x v="1"/>
    <s v=""/>
  </r>
  <r>
    <s v="Nkong-Q3"/>
    <s v="LIT_169"/>
    <s v="LITTORAL"/>
    <s v="IHS"/>
    <s v="Grid-Gen"/>
    <s v="LITTORAL"/>
    <s v="Nkongsamba"/>
    <s v="ZTE"/>
    <n v="0"/>
    <n v="5.227532795142013"/>
    <n v="0.4394206595840001"/>
    <n v="0"/>
    <n v="0.2545422377458744"/>
    <n v="0.2765507243895403"/>
    <n v="0.2308572537403729"/>
    <n v="0.5377097761911696"/>
    <n v="9.628391875194401"/>
    <n v="8.147117280621401"/>
    <n v="23.77931373472248"/>
    <n v="9.139229182183186"/>
    <n v="1.780903910305251"/>
    <n v="0.8178275162441888"/>
    <n v="0.8638955235380222"/>
    <n v="0.1176580116598603"/>
    <n v="0.7030052820367937"/>
    <n v="0"/>
    <n v="0"/>
    <n v="0"/>
    <n v="0.8053786315786469"/>
    <n v="0.1210110063835304"/>
    <n v="0.2685071040683962"/>
    <n v="0.1388995899358815"/>
    <m/>
    <n v="0"/>
    <m/>
    <n v="0.4055875160159005"/>
    <m/>
    <n v="0"/>
    <m/>
    <m/>
    <n v="0"/>
    <n v="0.1252200848664372"/>
    <n v="0.2420041776887451"/>
    <n v="0"/>
    <m/>
    <n v="7.179029229553154"/>
    <n v="0.2480426363560064"/>
    <n v="0.4252221100196878"/>
    <n v="0.4273330641083728"/>
    <n v="0.4010217359666474"/>
    <x v="0"/>
    <m/>
    <x v="2"/>
    <x v="1"/>
    <s v="no root cause"/>
    <x v="1"/>
    <s v=""/>
  </r>
  <r>
    <s v="Bda-Nitop-II"/>
    <s v="NRO_226"/>
    <s v="NORD-OUEST"/>
    <s v="IHS"/>
    <s v="Grid-Gen"/>
    <s v="NORD-OUEST"/>
    <s v="Bamenda"/>
    <s v="Huawei"/>
    <n v="8.550671597709119"/>
    <n v="4.559359421059089"/>
    <n v="0"/>
    <n v="0"/>
    <n v="7.385470261077012"/>
    <n v="0"/>
    <n v="0"/>
    <n v="1.703767196582513"/>
    <n v="14.99958622618304"/>
    <n v="0.8694600679730504"/>
    <n v="1.049201987255767"/>
    <n v="13.85325440241073"/>
    <n v="0.349888566430673"/>
    <n v="0.04615718268542061"/>
    <n v="0"/>
    <n v="0"/>
    <n v="0"/>
    <n v="2.590206259113725"/>
    <n v="0"/>
    <n v="0"/>
    <n v="11.76913632563143"/>
    <n v="0"/>
    <n v="0"/>
    <n v="0"/>
    <m/>
    <n v="0"/>
    <m/>
    <n v="0"/>
    <m/>
    <n v="0"/>
    <m/>
    <m/>
    <n v="0.1072066557658668"/>
    <n v="0"/>
    <n v="0"/>
    <n v="0"/>
    <m/>
    <n v="0"/>
    <n v="0.4159023056724578"/>
    <n v="0.7133786223568653"/>
    <n v="0.1954548588538896"/>
    <n v="0.4008077150268383"/>
    <x v="0"/>
    <m/>
    <x v="4"/>
    <x v="0"/>
    <s v="Defaut GE &amp; Power Cabinet"/>
    <x v="0"/>
    <s v="{hourly IHS}: 25/05/2026 08:50 3:10:00 36v FME Roland is managing with level 0."/>
  </r>
  <r>
    <s v="Kotto-Village"/>
    <s v="LIT_726"/>
    <s v="Douala"/>
    <s v="CAMUSAT"/>
    <s v="Good Grid no GE - 8h"/>
    <s v="LITTORAL"/>
    <s v="Douala"/>
    <s v="ZTE"/>
    <n v="0"/>
    <n v="0"/>
    <n v="0"/>
    <n v="0"/>
    <n v="0"/>
    <n v="2.122891537041318"/>
    <n v="0"/>
    <n v="0"/>
    <n v="0"/>
    <n v="0"/>
    <n v="3.442705167606932"/>
    <n v="0"/>
    <n v="0"/>
    <n v="0"/>
    <n v="0.6734882274215056"/>
    <n v="2.064017943515593"/>
    <n v="3.927908473231687"/>
    <n v="0"/>
    <n v="0.3807432519197668"/>
    <n v="0"/>
    <n v="0"/>
    <n v="0.6681912091612384"/>
    <n v="7.642669925492177"/>
    <n v="0.6703135834810091"/>
    <m/>
    <n v="0.4773380360867835"/>
    <m/>
    <n v="0"/>
    <m/>
    <n v="9.302990871293513"/>
    <m/>
    <m/>
    <n v="0"/>
    <n v="0"/>
    <n v="0"/>
    <n v="0"/>
    <m/>
    <n v="0.668084198691334"/>
    <n v="0.1833467221402907"/>
    <n v="0.195451292199204"/>
    <n v="0.5907080178695321"/>
    <n v="0.3998446207976983"/>
    <x v="0"/>
    <m/>
    <x v="2"/>
    <x v="1"/>
    <s v="no root cause"/>
    <x v="1"/>
    <s v=""/>
  </r>
  <r>
    <s v="Sodecoton"/>
    <s v="EXN_001"/>
    <s v="Maroua"/>
    <s v="IHS"/>
    <s v="Grid-Gen"/>
    <s v="EXTREME-NORD"/>
    <s v="Maroua"/>
    <s v="Huawei"/>
    <n v="0"/>
    <n v="0.002051034006500529"/>
    <n v="0"/>
    <n v="0"/>
    <n v="0.005439698886805751"/>
    <n v="0"/>
    <n v="0"/>
    <n v="0"/>
    <n v="0"/>
    <n v="0"/>
    <n v="0.005528874278392731"/>
    <n v="0"/>
    <n v="0"/>
    <n v="0"/>
    <n v="0"/>
    <n v="0"/>
    <n v="0"/>
    <n v="0"/>
    <n v="0"/>
    <n v="0"/>
    <n v="0"/>
    <n v="0"/>
    <n v="0"/>
    <n v="0"/>
    <m/>
    <n v="0"/>
    <m/>
    <n v="0.341737935639623"/>
    <m/>
    <n v="0"/>
    <m/>
    <m/>
    <n v="0"/>
    <n v="0"/>
    <n v="0"/>
    <n v="0"/>
    <m/>
    <n v="1.855026495792348"/>
    <n v="0.653203921521608"/>
    <n v="0.8319563022124301"/>
    <n v="0.04839346024116428"/>
    <n v="0.3978114218695158"/>
    <x v="0"/>
    <m/>
    <x v="2"/>
    <x v="1"/>
    <s v="no root cause"/>
    <x v="1"/>
    <s v=""/>
  </r>
  <r>
    <s v="Nkoabang-South-MTN"/>
    <s v="CTR_698"/>
    <s v="Yaounde"/>
    <s v="MTN sharing"/>
    <m/>
    <s v="CENTRE"/>
    <s v="Yaounde"/>
    <s v="ZTE"/>
    <n v="1.183999509178645"/>
    <n v="2.018948700607534"/>
    <n v="1.027318346160322"/>
    <n v="0"/>
    <n v="0.7925552102684394"/>
    <n v="0"/>
    <n v="0"/>
    <n v="1.052430136431215"/>
    <n v="2.82755548136163"/>
    <n v="0.6681020337696502"/>
    <n v="8.150398935031806"/>
    <n v="0.02042461153029842"/>
    <n v="4.113304112341019"/>
    <n v="15.77653574292375"/>
    <n v="0.3482120690688365"/>
    <n v="13.56090179863198"/>
    <n v="9.222857864413456"/>
    <n v="23.01110340635728"/>
    <n v="0"/>
    <n v="0"/>
    <n v="0.04989336990440695"/>
    <n v="0.9422450225863436"/>
    <n v="0.09636292814889033"/>
    <n v="0.9792171399383048"/>
    <m/>
    <n v="0"/>
    <m/>
    <n v="0.7903971657920348"/>
    <m/>
    <n v="0.572880550633074"/>
    <m/>
    <m/>
    <n v="4.174282245108196"/>
    <n v="2.252909257975134"/>
    <n v="0.3511726920695245"/>
    <n v="0"/>
    <m/>
    <n v="0"/>
    <n v="0.1203993461466214"/>
    <n v="0.265843508063281"/>
    <n v="0.5521300509776367"/>
    <n v="0.3943692517542578"/>
    <x v="0"/>
    <m/>
    <x v="2"/>
    <x v="1"/>
    <s v="no root cause"/>
    <x v="1"/>
    <s v=""/>
  </r>
  <r>
    <s v="Bata"/>
    <s v="ADM_027"/>
    <s v="ADAMAOUA"/>
    <s v="IHS"/>
    <s v="Solar-Grid-Gen"/>
    <s v="ADAMAOUA"/>
    <s v="Bata"/>
    <s v="NOKIA"/>
    <n v="0"/>
    <n v="0"/>
    <n v="0"/>
    <n v="0"/>
    <n v="0"/>
    <n v="0"/>
    <n v="0"/>
    <n v="0"/>
    <n v="0"/>
    <n v="0.03481471593712884"/>
    <n v="0.04447986819721109"/>
    <n v="0"/>
    <n v="0"/>
    <n v="0"/>
    <n v="0"/>
    <n v="0.1500599234847229"/>
    <n v="0"/>
    <n v="0"/>
    <n v="0"/>
    <n v="0"/>
    <n v="0"/>
    <n v="0"/>
    <n v="0"/>
    <n v="0"/>
    <m/>
    <n v="0"/>
    <m/>
    <n v="0.1581396165602083"/>
    <m/>
    <n v="0"/>
    <m/>
    <m/>
    <n v="0"/>
    <n v="0"/>
    <n v="0"/>
    <n v="0"/>
    <m/>
    <n v="0"/>
    <n v="1.352244523578289"/>
    <n v="0.5836926496931607"/>
    <n v="0"/>
    <n v="0.3890527477650851"/>
    <x v="0"/>
    <m/>
    <x v="2"/>
    <x v="1"/>
    <s v="no root cause"/>
    <x v="1"/>
    <s v="{05-25-2026 ticket}: INC-20260525-00021659...Others"/>
  </r>
  <r>
    <s v="Djamboutou"/>
    <s v="NRD_003"/>
    <s v="Garoua"/>
    <s v="IHS"/>
    <s v="Grid-Gen"/>
    <s v="NORD"/>
    <s v="Garoua"/>
    <s v="Huawei"/>
    <n v="1.520351251166414"/>
    <n v="0.09862798309519938"/>
    <n v="0"/>
    <n v="0"/>
    <n v="0"/>
    <n v="0"/>
    <n v="0"/>
    <n v="0"/>
    <n v="0"/>
    <n v="0"/>
    <n v="0"/>
    <n v="0.7668548624130721"/>
    <n v="0"/>
    <n v="0"/>
    <n v="0"/>
    <n v="0"/>
    <n v="0"/>
    <n v="0"/>
    <n v="0"/>
    <n v="0"/>
    <n v="0"/>
    <n v="0"/>
    <n v="0.0002675261747609386"/>
    <n v="0"/>
    <m/>
    <n v="0"/>
    <m/>
    <n v="0"/>
    <m/>
    <n v="0"/>
    <m/>
    <m/>
    <n v="0"/>
    <n v="0"/>
    <n v="0"/>
    <n v="1.559517083151416"/>
    <m/>
    <n v="0"/>
    <n v="0.4952110036009896"/>
    <n v="0.6235422170541055"/>
    <n v="0.2089639873311051"/>
    <n v="0.3890187282590395"/>
    <x v="0"/>
    <m/>
    <x v="2"/>
    <x v="1"/>
    <s v="no root cause"/>
    <x v="1"/>
    <s v=""/>
  </r>
  <r>
    <s v="Ngola-MTN"/>
    <s v="EST_043"/>
    <s v="CENTRE"/>
    <s v="IHS"/>
    <s v="Solar-Gen"/>
    <s v="EST"/>
    <s v="Ngola"/>
    <s v="NOKIA"/>
    <n v="0.1073136662357712"/>
    <n v="0.08109610110919918"/>
    <n v="0.09873499356510373"/>
    <n v="0.1215282236547357"/>
    <n v="0.1457482600097594"/>
    <n v="0.1641718959116293"/>
    <n v="0.07763609591562437"/>
    <n v="0.1422882548161846"/>
    <n v="0.2641375098806334"/>
    <n v="0.2453928425690503"/>
    <n v="0.1555397180060097"/>
    <n v="0.1015413256408308"/>
    <n v="0.1607653959530067"/>
    <n v="0.2330866385300471"/>
    <n v="0.1955437986719288"/>
    <n v="0.1598023017238673"/>
    <n v="0.2806171222459072"/>
    <n v="0.2804566065410506"/>
    <n v="0.3760169561656579"/>
    <n v="0.2525625440526434"/>
    <n v="0.2451057501458418"/>
    <n v="0.3406678309405792"/>
    <n v="0.3305375064562984"/>
    <n v="0.2159292931887123"/>
    <m/>
    <n v="0.259750080614554"/>
    <m/>
    <n v="0.278084541124837"/>
    <m/>
    <n v="0.4310381727748243"/>
    <m/>
    <m/>
    <n v="0.3667962206755642"/>
    <n v="0.3041415905465524"/>
    <n v="0.3547040375763698"/>
    <n v="0.219745999948635"/>
    <m/>
    <n v="0.1349402025494174"/>
    <n v="2.71173299121934"/>
    <n v="0"/>
    <n v="0"/>
    <n v="0.3872352204272999"/>
    <x v="0"/>
    <m/>
    <x v="14"/>
    <x v="2"/>
    <s v="SAT"/>
    <x v="2"/>
    <s v="Impacts :Coupure franche (25 sites VSAT Nokia)  ,Indisponibilité de plusieurs sites VSAT dans plusieurs regions @~Supervision Reseau Orange Cameroun  ; Cause: A Determiner_x000a_Action: Sans action      ;      {05-25-2026 ticket}: INC-20260525-00026784...No power issue on site Ubaie = 47.9V site on Battery (Threshold 47.1V). VSAT issue. TX FME Hugues (651514691 / Huawei) is informed....No power issue on site Ubaie = 47.9V site on Battery (Threshold 47.1V). VSAT issue. TX FME Hugues (651514691 / Huawei) is informed....Others Transmission equipement fault...No power issue on site Ubaie = 47.9V site on Battery (Threshold 47.1V). VSAT issue. TX FME Hugues (651514691 / Huawei) is informed."/>
  </r>
  <r>
    <s v="Sapeur-Mimboman-IHS"/>
    <s v="CTR_133"/>
    <s v="Yaounde"/>
    <s v="IHS"/>
    <s v="Grid-Gen"/>
    <s v="CENTRE"/>
    <s v="Yaounde"/>
    <s v="ZTE"/>
    <n v="0"/>
    <n v="0"/>
    <n v="0"/>
    <n v="5.1502177306361"/>
    <n v="7.631398155995584"/>
    <n v="14.17416096657563"/>
    <n v="1.890357785939111"/>
    <n v="3.607108919536689"/>
    <n v="6.1574181084544"/>
    <n v="0"/>
    <n v="2.160862418779054"/>
    <n v="0"/>
    <n v="8.270714373360958"/>
    <n v="0"/>
    <n v="0"/>
    <n v="0"/>
    <n v="5.905765153395942"/>
    <n v="5.008607208795979"/>
    <n v="2.505953349142348"/>
    <n v="5.204579049347521"/>
    <n v="0"/>
    <n v="11.31040027622969"/>
    <n v="2.102381196976313"/>
    <n v="5.02638878187842"/>
    <m/>
    <n v="0"/>
    <m/>
    <n v="0.5378346217393903"/>
    <m/>
    <n v="0"/>
    <m/>
    <m/>
    <n v="0"/>
    <n v="0"/>
    <n v="0"/>
    <n v="10.20130809598411"/>
    <m/>
    <n v="0"/>
    <n v="0.1237715270034251"/>
    <n v="0.1256965907429507"/>
    <n v="0.604866952526665"/>
    <n v="0.3753035530329619"/>
    <x v="0"/>
    <m/>
    <x v="2"/>
    <x v="1"/>
    <s v="no root cause"/>
    <x v="1"/>
    <s v=""/>
  </r>
  <r>
    <s v="Cite-Berges-IHS"/>
    <s v="LIT_157"/>
    <s v="Douala"/>
    <s v="IHS"/>
    <s v="Grid-Gen"/>
    <s v="LITTORAL"/>
    <s v="Douala"/>
    <s v="ZTE"/>
    <n v="0"/>
    <n v="1.405243655705941"/>
    <n v="0"/>
    <n v="0"/>
    <n v="0"/>
    <n v="0"/>
    <n v="0"/>
    <n v="1.974057808482647"/>
    <n v="0"/>
    <n v="0.04150222724458017"/>
    <n v="0"/>
    <n v="0.008614342827302028"/>
    <n v="0"/>
    <n v="3.317930959698429"/>
    <n v="0"/>
    <n v="0.06417061178599057"/>
    <n v="0"/>
    <n v="0"/>
    <n v="0"/>
    <n v="0"/>
    <n v="0"/>
    <n v="0"/>
    <n v="0"/>
    <n v="0"/>
    <m/>
    <n v="0.0005528874278393026"/>
    <m/>
    <n v="0"/>
    <m/>
    <n v="0"/>
    <m/>
    <m/>
    <n v="0"/>
    <n v="0"/>
    <n v="0"/>
    <n v="0"/>
    <m/>
    <n v="0"/>
    <n v="0.0843045214200928"/>
    <n v="0.07522670012342333"/>
    <n v="0.6463861473908136"/>
    <n v="0.3743761289604564"/>
    <x v="0"/>
    <m/>
    <x v="4"/>
    <x v="0"/>
    <s v="Defaut GE &amp; Power Cabinet"/>
    <x v="0"/>
    <s v="{05-25-2026 ticket}: INC-20260525-00027516...Grid Outage"/>
  </r>
  <r>
    <s v="Ngd-Crf-Texaco"/>
    <s v="ADM_071"/>
    <s v="Ngaoundere"/>
    <s v="IHS"/>
    <s v="Grid-Gen"/>
    <s v="ADAMAOUA"/>
    <s v="Ngaoundere"/>
    <s v="Huawei"/>
    <n v="2.944731945906919"/>
    <n v="2.30696738035516"/>
    <n v="1.540950766623006"/>
    <n v="1.540950766623006"/>
    <n v="1.540950766623006"/>
    <n v="1.540950766623006"/>
    <n v="1.540950766623006"/>
    <n v="1.540861591231419"/>
    <n v="1.540950766623006"/>
    <n v="0"/>
    <n v="0"/>
    <n v="0"/>
    <n v="0"/>
    <n v="0"/>
    <n v="0"/>
    <n v="0"/>
    <n v="0"/>
    <n v="0"/>
    <n v="0"/>
    <n v="0"/>
    <n v="0.8804108060599317"/>
    <n v="0"/>
    <n v="0"/>
    <n v="0"/>
    <m/>
    <n v="0"/>
    <m/>
    <n v="0"/>
    <m/>
    <n v="0"/>
    <m/>
    <m/>
    <n v="0"/>
    <n v="0"/>
    <n v="0"/>
    <n v="2.608398038997469"/>
    <m/>
    <n v="1.906748222912797"/>
    <n v="0.4839704007449772"/>
    <n v="0.6144045105419382"/>
    <n v="0.1657005758787568"/>
    <n v="0.3617845636683759"/>
    <x v="0"/>
    <m/>
    <x v="2"/>
    <x v="1"/>
    <s v="no root cause"/>
    <x v="1"/>
    <s v=""/>
  </r>
  <r>
    <s v="Garoua-Djamboutou-Village"/>
    <s v="NRD_060"/>
    <s v="Garoua"/>
    <s v="IHS"/>
    <s v="Grid-Gen"/>
    <s v="NORD"/>
    <s v="Garoua"/>
    <s v="Huawei"/>
    <n v="14.98792208496346"/>
    <n v="11.24460667231682"/>
    <n v="2.576098712164665"/>
    <n v="19.57014607642545"/>
    <n v="14.59357066828752"/>
    <n v="7.976185890027481"/>
    <n v="12.92442135871907"/>
    <n v="1.537972308544001"/>
    <n v="1.022378029466403"/>
    <n v="0.7332357397847805"/>
    <n v="0.8403175500024255"/>
    <n v="0.1211893571667051"/>
    <n v="16.32503574149695"/>
    <n v="21.86027714284899"/>
    <n v="21.89890792248447"/>
    <n v="18.94376029084019"/>
    <n v="24.68920592524106"/>
    <n v="23.16304043854317"/>
    <n v="17.68752871447609"/>
    <n v="20.34991353554032"/>
    <n v="0.3514402182442863"/>
    <n v="5.607901510417112"/>
    <n v="12.96367636609566"/>
    <n v="22.9330035984054"/>
    <m/>
    <n v="23.33580884220379"/>
    <m/>
    <n v="13.07304106633793"/>
    <m/>
    <n v="1.723938670159488"/>
    <m/>
    <m/>
    <n v="1.359532349978455"/>
    <n v="10.33986881943196"/>
    <n v="11.50626510631133"/>
    <n v="3.157557935468406"/>
    <m/>
    <n v="0"/>
    <n v="0.350332122345719"/>
    <n v="0.4225657999870797"/>
    <n v="0.3067769175711968"/>
    <n v="0.3518682601239038"/>
    <x v="0"/>
    <m/>
    <x v="2"/>
    <x v="1"/>
    <s v="no root cause"/>
    <x v="1"/>
    <s v=""/>
  </r>
  <r>
    <s v="Hikoa-Malep-Camrail"/>
    <s v="LIT_402"/>
    <s v="CENTRE"/>
    <s v="CAMUSAT"/>
    <s v="Hybrid Solar - S3"/>
    <s v="LITTORAL"/>
    <s v="Messondo"/>
    <s v="NOKIA"/>
    <n v="0.001478914120789966"/>
    <n v="0"/>
    <n v="0.00286765055128786"/>
    <n v="0"/>
    <n v="0.002051034006500622"/>
    <n v="0"/>
    <n v="0.8725637569500708"/>
    <n v="0"/>
    <n v="0.006156108915616928"/>
    <n v="0.04170103659860466"/>
    <n v="0.01038844072848048"/>
    <n v="0"/>
    <n v="0.001515981656978832"/>
    <n v="0.009220735490093813"/>
    <n v="0.002675261747609462"/>
    <n v="0.001515981656978832"/>
    <n v="0.120458118955692"/>
    <n v="0.003210314097131252"/>
    <n v="0"/>
    <n v="0.08011517180174223"/>
    <n v="2.040511310293267"/>
    <n v="0.03324458598362594"/>
    <n v="0"/>
    <n v="0"/>
    <m/>
    <n v="0"/>
    <m/>
    <n v="0.001248455482217681"/>
    <m/>
    <n v="0.008114960634415027"/>
    <m/>
    <m/>
    <n v="0.007490732893306254"/>
    <n v="0.003031963313957151"/>
    <n v="0"/>
    <n v="0"/>
    <m/>
    <n v="0.02131291858928811"/>
    <n v="1.194751188006826"/>
    <n v="0.5299338515050438"/>
    <n v="0"/>
    <n v="0.3485152654002333"/>
    <x v="0"/>
    <m/>
    <x v="0"/>
    <x v="0"/>
    <s v="AKTIVCO Defaut GE &amp; Power Cabinet"/>
    <x v="0"/>
    <s v="{05-25-2026 ticket}: INC-20260525-00000320...Grid Outage"/>
  </r>
  <r>
    <s v="Garoua-Djamboutou-II"/>
    <s v="NRD_149"/>
    <s v="Garoua"/>
    <s v="CAMUSAT"/>
    <s v="Good Grid + GE"/>
    <s v="NORD"/>
    <s v="Garoua"/>
    <s v="Huawei"/>
    <n v="0.0005350523495218772"/>
    <n v="0.003834541838240121"/>
    <n v="2.267123815394098"/>
    <n v="0.8433673483947003"/>
    <n v="7.362338164499348"/>
    <n v="4.121222887113942"/>
    <n v="0.1412894904304104"/>
    <n v="0"/>
    <n v="8.614717363946889"/>
    <n v="0.7962114013235054"/>
    <n v="1.237718765070641"/>
    <n v="0"/>
    <n v="6.749489203356989"/>
    <n v="6.163803066492026"/>
    <n v="6.163803066492026"/>
    <n v="2.086632822822051"/>
    <n v="1.749246646291873"/>
    <n v="0.06438463272579922"/>
    <n v="0.4908748605296876"/>
    <n v="0.3980432778876418"/>
    <n v="0"/>
    <n v="4.38841019538685"/>
    <n v="4.361782423458979"/>
    <n v="5.830697308758023"/>
    <m/>
    <n v="0.958046901975556"/>
    <m/>
    <n v="0.02632457559647635"/>
    <m/>
    <n v="0"/>
    <m/>
    <m/>
    <n v="0"/>
    <n v="1.251309094748497"/>
    <n v="0.0002675261747609386"/>
    <n v="0"/>
    <m/>
    <n v="1.701841008124235"/>
    <n v="0.3434628650448225"/>
    <n v="0.4191657231453431"/>
    <n v="0.2879667386788716"/>
    <n v="0.339936592729566"/>
    <x v="0"/>
    <m/>
    <x v="2"/>
    <x v="1"/>
    <s v="no root cause"/>
    <x v="1"/>
    <s v=""/>
  </r>
  <r>
    <s v="Mindourou"/>
    <s v="EST_012"/>
    <s v="CENTRE"/>
    <s v="IHS"/>
    <s v="Solar-Gen"/>
    <s v="EST"/>
    <s v="Mindourou"/>
    <s v="NOKIA"/>
    <n v="5.245635399634168"/>
    <n v="0.02049250498668768"/>
    <n v="0.4717378214951219"/>
    <n v="3.160964435427029"/>
    <n v="1.480561191440304"/>
    <n v="2.013901373443711"/>
    <n v="1.338932834521863"/>
    <n v="0.1647069482611513"/>
    <n v="0.2115061937659981"/>
    <n v="0.07888455139784215"/>
    <n v="0.2180159973518477"/>
    <n v="0"/>
    <n v="0.2343529290905821"/>
    <n v="0.2160719738152516"/>
    <n v="0.1213320377932444"/>
    <n v="0.1337274172238344"/>
    <n v="0.1614252938507504"/>
    <n v="0.392639249157471"/>
    <n v="0.2687389600865215"/>
    <n v="0.1752653146250495"/>
    <n v="0"/>
    <n v="0.1763532544024107"/>
    <n v="0.2388473688265659"/>
    <n v="0.1762640790108239"/>
    <m/>
    <n v="0.1189956425336655"/>
    <m/>
    <n v="0.2901767242240315"/>
    <m/>
    <n v="0.2008943221671475"/>
    <m/>
    <m/>
    <n v="0.2439660363036586"/>
    <n v="0.2418614970622059"/>
    <n v="0.2032663875833611"/>
    <n v="1.297751638686996"/>
    <m/>
    <n v="1.310450214448982"/>
    <n v="0.7804725249691258"/>
    <n v="0.6651400321647267"/>
    <n v="0"/>
    <n v="0.3347465849392037"/>
    <x v="0"/>
    <m/>
    <x v="14"/>
    <x v="2"/>
    <s v="SAT"/>
    <x v="2"/>
    <s v="Impacts :Coupure franche (25 sites VSAT Nokia)  ,Indisponibilité de plusieurs sites VSAT dans plusieurs regions @~Supervision Reseau Orange Cameroun  ; Cause: A Determiner_x000a_Action: Sans action      ;      {05-25-2026 ticket}: INC-20260525-00018484...Others Transmission equipement fault"/>
  </r>
  <r>
    <s v="Limbe-Coconut-Island-MTN"/>
    <s v="SUO_219"/>
    <s v="SUD-OUEST"/>
    <s v="MTN sharing"/>
    <m/>
    <s v="SUD-OUEST"/>
    <s v="Limbe"/>
    <s v="Huawei"/>
    <n v="13.85329007256737"/>
    <n v="13.85776667722503"/>
    <n v="13.86534658550993"/>
    <n v="13.86418730541929"/>
    <n v="13.86498988394358"/>
    <n v="13.86855689960706"/>
    <n v="14.65508385340422"/>
    <n v="15.0157448071386"/>
    <n v="10.11691250538619"/>
    <n v="7.269827613267015"/>
    <n v="1.270018091903445"/>
    <n v="0"/>
    <n v="0.9762030117026649"/>
    <n v="0.3147891323020377"/>
    <n v="0"/>
    <n v="0.7073213709896042"/>
    <n v="0.7646789828583496"/>
    <n v="1.649994435455565"/>
    <n v="0.4938176484520579"/>
    <n v="1.241321450890755"/>
    <n v="0.9083048685483387"/>
    <n v="0.8804108060599317"/>
    <n v="0.3133444909583288"/>
    <n v="0.4894837244209307"/>
    <m/>
    <n v="1.255357657526545"/>
    <m/>
    <n v="1.139500988776742"/>
    <m/>
    <n v="1.116261881729175"/>
    <m/>
    <m/>
    <n v="0.4946558971329756"/>
    <n v="0.2865918734822348"/>
    <n v="0.18717914694107"/>
    <n v="1.316567646311849"/>
    <m/>
    <n v="1.096340099248644"/>
    <n v="0.4009148351977747"/>
    <n v="0.3455328090414843"/>
    <n v="0.3054089045608459"/>
    <n v="0.3325172001495292"/>
    <x v="0"/>
    <m/>
    <x v="2"/>
    <x v="1"/>
    <s v="no root cause"/>
    <x v="1"/>
    <s v=""/>
  </r>
  <r>
    <s v="Badjonre-IHS"/>
    <s v="EXN_152"/>
    <s v="EXTREME-NORD"/>
    <s v="IHS"/>
    <s v="Solar-Gen"/>
    <s v="EXTREME-NORD"/>
    <s v="Badjonre"/>
    <s v="NOKIA"/>
    <n v="2.490179071244379"/>
    <n v="4.827425489764222"/>
    <n v="4.865360867351755"/>
    <n v="4.888332815707372"/>
    <n v="2.743943917878188"/>
    <n v="0.233270249033867"/>
    <n v="0"/>
    <n v="0"/>
    <n v="0.5369831154686111"/>
    <n v="1.23076134282946"/>
    <n v="1.927135548814205"/>
    <n v="0"/>
    <n v="4.676031985559953"/>
    <n v="4.623387460597685"/>
    <n v="2.876817902095898"/>
    <n v="2.166497117549864"/>
    <n v="1.842460908464911"/>
    <n v="3.844175605614525"/>
    <n v="0.09925795493092232"/>
    <n v="1.80343842905714"/>
    <n v="0"/>
    <n v="3.732632200734519"/>
    <n v="9.24452748456909"/>
    <n v="9.24452748456909"/>
    <m/>
    <n v="9.244580989804041"/>
    <m/>
    <n v="4.621514668995214"/>
    <m/>
    <n v="9.24452748456909"/>
    <m/>
    <m/>
    <n v="9.24452748456909"/>
    <n v="9.244634495038994"/>
    <n v="9.244688000273946"/>
    <n v="9.24447397933414"/>
    <m/>
    <n v="5.398410990155676"/>
    <n v="0"/>
    <n v="0.9807664213544578"/>
    <n v="0"/>
    <n v="0.3292545998247665"/>
    <x v="1"/>
    <m/>
    <x v="11"/>
    <x v="7"/>
    <s v="BSS Hardware issue"/>
    <x v="2"/>
    <s v="(05/25/2026 cell nokia): 25/05/2026 : Closed afted reset || check statut of carte ABIA_x000a_24/05/2026 : Need BO RAN analysis       ;      (05/25/2026 cell nokia): 25/05/2026 : Closed afted reset || check statut of carte ABIA||Escalade faite au RM || En attente du feedback du RM _x000a_24/05/2026 : Need BO RAN analysis       ;      {05-25-2026 ocm ran 17H}: 24/05/2026 FME herman sur site travaux en cours _x000a_23/05/2026 FME activé escalade RM sayaka : Remplacement système module avec le soft SRAN24 après intervention sur Guidiguis, ETA 15h_x000a_22.05.26: Soft reçu, FME sera sur le site ce 23.05.26_x000a_22.05.26: Nouvelle copie du soft SRAN24 ce jour à Garoua et expédition vers Kaélé, ETD ce jour 14H_x000a_21.05.26: Nouvelle copie du soft SRAN24 ce jour à Garoua et expédition vers Kaélé, ETD 18H_x000a_20.05.26: Software arrivé et en attente de l'ETA du FME, escalade faite à M. Mickael et M. Théo_x000a_19.05.2026: FSMF en défaut et problématique de SRAN24 mis à disposition par Nokia  et expédié vers Garoua, ETD 17/05/2026 dépassé, soft pas encore reçu, Point en escalade au niveau du SPM_x000a_18.05.2026: FSMF en défaut et problématique de SRAN24 mis à disposition par Nokia  et expédié vers Garoua, ETD 17/05/2026 dépassé, soft pas encore reçu, Point en escalade au niveau du SPM_x000a_16.05.26: FSMF en défaut et problématique de SRAN24 mis à disposition par Nokia  et expédié vers Maroua, nouvel ETD 17/05/26_x000a_15/05/2026 SRAN24 mis à disposition par Nokia  et expédié vers Maroua, nouvel ETD 15/05/2025_x000a_13.05.2026: SRAN24 mis à disposition par Nokia  et expédié vers Maroua, ETD 15/05/2025_x000a_12.05.2026: SRAN24 mis à disposition par Nokia  et expédié vers Maroua, ETD 14/05/2025_x000a_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05-25-2026 ticket}: INC-20260525-00025908...Others Transmission equipement fault"/>
  </r>
  <r>
    <s v="Guider-Djamboutou"/>
    <s v="NRD_178"/>
    <s v="NORD"/>
    <s v="CAMUSAT"/>
    <s v="Hybrid Solar - S3"/>
    <s v="NORD"/>
    <s v="Guider"/>
    <s v="NOKIA"/>
    <n v="1.732482951027946"/>
    <n v="0"/>
    <n v="0"/>
    <n v="0"/>
    <n v="0"/>
    <n v="0"/>
    <n v="0"/>
    <n v="0"/>
    <n v="0"/>
    <n v="0"/>
    <n v="0"/>
    <n v="0"/>
    <n v="0"/>
    <n v="0"/>
    <n v="0"/>
    <n v="0"/>
    <n v="0"/>
    <n v="0.9662164217030726"/>
    <n v="0"/>
    <n v="0"/>
    <n v="0"/>
    <n v="0"/>
    <n v="0"/>
    <n v="0"/>
    <m/>
    <n v="0.1076908359564627"/>
    <m/>
    <n v="0"/>
    <m/>
    <n v="0"/>
    <m/>
    <m/>
    <n v="1.057584474064942"/>
    <n v="0"/>
    <n v="0.4577444532358507"/>
    <n v="0"/>
    <m/>
    <n v="1.992816844739842"/>
    <n v="0"/>
    <n v="0.4941022599456371"/>
    <n v="0.3112067691805733"/>
    <n v="0.328166597084284"/>
    <x v="0"/>
    <m/>
    <x v="2"/>
    <x v="1"/>
    <s v="no root cause"/>
    <x v="1"/>
    <s v=""/>
  </r>
  <r>
    <s v="PK13-II"/>
    <s v="LIT_448"/>
    <s v="Douala"/>
    <s v="IHS"/>
    <s v="Grid-Gen"/>
    <s v="LITTORAL"/>
    <s v="Douala"/>
    <s v="ZTE"/>
    <n v="0"/>
    <n v="0"/>
    <n v="0"/>
    <n v="0"/>
    <n v="0"/>
    <n v="0"/>
    <n v="0"/>
    <n v="0"/>
    <n v="0"/>
    <n v="0"/>
    <n v="0"/>
    <n v="0"/>
    <n v="0"/>
    <n v="0"/>
    <n v="0"/>
    <n v="0"/>
    <n v="0"/>
    <n v="0"/>
    <n v="0"/>
    <n v="0"/>
    <n v="0"/>
    <n v="0"/>
    <n v="0"/>
    <n v="0"/>
    <m/>
    <n v="0"/>
    <m/>
    <n v="0"/>
    <m/>
    <n v="0"/>
    <m/>
    <m/>
    <n v="0"/>
    <n v="5.722474053528064"/>
    <n v="0"/>
    <n v="0"/>
    <m/>
    <n v="7.967375361338688"/>
    <n v="0.1288922460822752"/>
    <n v="0.1080586921264406"/>
    <n v="0.5217943624731047"/>
    <n v="0.3267921400096447"/>
    <x v="0"/>
    <m/>
    <x v="2"/>
    <x v="1"/>
    <s v="no root cause"/>
    <x v="1"/>
    <s v=""/>
  </r>
  <r>
    <s v="Mfou-EPC-MTN-IHS"/>
    <s v="CTR_464"/>
    <s v="CENTRE"/>
    <s v="IHS"/>
    <s v="Grid-Gen"/>
    <s v="CENTRE"/>
    <s v="Mfou"/>
    <s v="ZTE"/>
    <n v="0"/>
    <n v="0.08460961153772618"/>
    <n v="0"/>
    <n v="0"/>
    <n v="0"/>
    <n v="0"/>
    <n v="0"/>
    <n v="0.4168057802775424"/>
    <n v="0.1034077840842615"/>
    <n v="0"/>
    <n v="0"/>
    <n v="0.0002496910964435937"/>
    <n v="0.2470158346959334"/>
    <n v="0"/>
    <n v="0"/>
    <n v="0"/>
    <n v="0"/>
    <n v="0"/>
    <n v="0"/>
    <n v="1.525095381998841"/>
    <n v="0.000285361253078244"/>
    <n v="0"/>
    <n v="0"/>
    <n v="0"/>
    <m/>
    <n v="0"/>
    <m/>
    <n v="0"/>
    <m/>
    <n v="0"/>
    <m/>
    <m/>
    <n v="0"/>
    <n v="0"/>
    <n v="0"/>
    <n v="0.4732181329954656"/>
    <m/>
    <n v="0"/>
    <n v="2.270351985739921"/>
    <n v="0"/>
    <n v="0"/>
    <n v="0.3242060536536228"/>
    <x v="0"/>
    <m/>
    <x v="5"/>
    <x v="2"/>
    <s v="IP &amp; VLAN"/>
    <x v="2"/>
    <s v="{05-25-2026 goupe whatsapp incident}:    impacted by    CTR_007_Z_Messamendongo(CTR-007)  ,Cause: Boucle etherneet  ,Action: Desactivation de la bouclee      ;      {hourly IHS}: 25/05/2026 20:12 2:47:12 Fme ANtoine is informed ETA 10:25 PM"/>
  </r>
  <r>
    <s v="Emombo-2eme-Crf"/>
    <s v="CTR_558"/>
    <s v="Yaounde"/>
    <s v="CAMUSAT"/>
    <s v="Good Grid no GE - 8h"/>
    <s v="CENTRE"/>
    <s v="Yaounde"/>
    <s v="ZTE"/>
    <n v="12.41166285709394"/>
    <n v="6.512032970639181"/>
    <n v="23.23031435395639"/>
    <n v="31.49621325617164"/>
    <n v="13.86855689960706"/>
    <n v="13.86855689960706"/>
    <n v="13.86855689960706"/>
    <n v="13.15741882185753"/>
    <n v="0"/>
    <n v="0"/>
    <n v="0"/>
    <n v="9.245116042153564"/>
    <n v="0"/>
    <n v="0"/>
    <n v="0"/>
    <n v="0"/>
    <n v="0"/>
    <n v="0"/>
    <n v="0"/>
    <n v="0"/>
    <n v="0"/>
    <n v="0"/>
    <n v="0.1069569646694231"/>
    <n v="0"/>
    <m/>
    <n v="0"/>
    <m/>
    <n v="0"/>
    <m/>
    <n v="0"/>
    <m/>
    <m/>
    <n v="0"/>
    <n v="0"/>
    <n v="0"/>
    <n v="0"/>
    <m/>
    <n v="0"/>
    <n v="0"/>
    <n v="0"/>
    <n v="0.6131434312392885"/>
    <n v="0.3197472840742738"/>
    <x v="0"/>
    <m/>
    <x v="2"/>
    <x v="1"/>
    <s v="no root cause"/>
    <x v="1"/>
    <s v=""/>
  </r>
  <r>
    <s v="ADM_098_N_Maakola-MTN-IHS"/>
    <s v="ADM_098"/>
    <s v="ADAMAOUA"/>
    <s v="IHS"/>
    <s v="Solar-Gen"/>
    <s v="ADAMAOUA"/>
    <s v="Maakola"/>
    <s v="NOKIA"/>
    <n v="0.0294115954685801"/>
    <n v="0.002568499015799673"/>
    <n v="0.2134188912961192"/>
    <n v="0"/>
    <n v="0"/>
    <n v="0.003424892479915739"/>
    <n v="0.02486579491924264"/>
    <n v="0.08703594736679909"/>
    <n v="0.01585717040292941"/>
    <n v="0.08913175865539168"/>
    <n v="0"/>
    <n v="1.323237965602554"/>
    <n v="0"/>
    <n v="0.03342368002410096"/>
    <n v="0"/>
    <n v="0.0007135270089128087"/>
    <n v="0.5676075643588713"/>
    <n v="0"/>
    <n v="0.2320405830065237"/>
    <n v="0.007241475363621157"/>
    <n v="7.080115885204875"/>
    <n v="0.0001783817522280311"/>
    <n v="0"/>
    <n v="0"/>
    <m/>
    <n v="0.1591473585880128"/>
    <m/>
    <n v="0"/>
    <m/>
    <n v="0"/>
    <m/>
    <m/>
    <n v="0.01027300511081984"/>
    <n v="0"/>
    <n v="0.08878578613278237"/>
    <n v="0.4490072114122317"/>
    <m/>
    <n v="0.04837094147185981"/>
    <n v="0.8908802241326251"/>
    <n v="0.3878773816047083"/>
    <n v="0.114913092869478"/>
    <n v="0.3173583875732504"/>
    <x v="0"/>
    <m/>
    <x v="2"/>
    <x v="1"/>
    <s v="no root cause"/>
    <x v="1"/>
    <s v="{05-25-2026 ticket}: INC-20260525-00026634...Auto TT closure RCA...Others Transmission equipement fault"/>
  </r>
  <r>
    <s v="Ngousso-IHS"/>
    <s v="CTR_130"/>
    <s v="Yaounde"/>
    <s v="IHS"/>
    <s v="Grid-Gen"/>
    <s v="CENTRE"/>
    <s v="Yaounde"/>
    <s v="ZTE"/>
    <n v="0"/>
    <n v="0"/>
    <n v="0"/>
    <n v="0"/>
    <n v="5.348365450742368"/>
    <n v="1.530463740572378"/>
    <n v="0"/>
    <n v="3.605503762488123"/>
    <n v="20.04131317541441"/>
    <n v="0"/>
    <n v="0"/>
    <n v="18.49055311571684"/>
    <n v="0.6812999917245242"/>
    <n v="14.30621188643764"/>
    <n v="0"/>
    <n v="0.5774641657606422"/>
    <n v="0"/>
    <n v="0"/>
    <n v="0"/>
    <n v="0.2241869344496661"/>
    <n v="18.4907136314217"/>
    <n v="0"/>
    <n v="0"/>
    <n v="0"/>
    <m/>
    <n v="1.070229544591978"/>
    <m/>
    <n v="0"/>
    <m/>
    <n v="0"/>
    <m/>
    <m/>
    <n v="0"/>
    <n v="5.586945293394173"/>
    <n v="8.160814620769161"/>
    <n v="50.62363918352438"/>
    <m/>
    <n v="0.4677070937953903"/>
    <n v="0.08642774640400624"/>
    <n v="0.3111070310188997"/>
    <n v="0.3611212344073874"/>
    <n v="0.3051046847756912"/>
    <x v="0"/>
    <m/>
    <x v="2"/>
    <x v="1"/>
    <s v="no root cause"/>
    <x v="1"/>
    <s v=""/>
  </r>
  <r>
    <s v="Bonabappe-II"/>
    <s v="LIT_362"/>
    <s v="Douala"/>
    <s v="IHS"/>
    <s v="Grid-Gen"/>
    <s v="LITTORAL"/>
    <s v="Douala"/>
    <s v="ZTE"/>
    <n v="0"/>
    <n v="1.444784024335607"/>
    <n v="0"/>
    <n v="0"/>
    <n v="0"/>
    <n v="0"/>
    <n v="0"/>
    <n v="1.540843756153102"/>
    <n v="0"/>
    <n v="0"/>
    <n v="0"/>
    <n v="0"/>
    <n v="0.4448960286274407"/>
    <n v="1.962019130618406"/>
    <n v="0"/>
    <n v="0"/>
    <n v="0.2945284833334758"/>
    <n v="3.234480628251335"/>
    <n v="5.624327617547434"/>
    <n v="1.35264800974794"/>
    <n v="0"/>
    <n v="3.02679114124526"/>
    <n v="4.075226220133378"/>
    <n v="5.609363986839139"/>
    <m/>
    <n v="7.109936136151562"/>
    <m/>
    <n v="3.35854143302714"/>
    <m/>
    <n v="6.627247576569558"/>
    <m/>
    <m/>
    <n v="7.94262027263414"/>
    <n v="3.540316551238039"/>
    <n v="5.605208413591185"/>
    <n v="1.29368524083063"/>
    <m/>
    <n v="1.195360454066826"/>
    <n v="0.1870935897589615"/>
    <n v="0.1867917214929064"/>
    <n v="0.4116009144893373"/>
    <n v="0.304070250233283"/>
    <x v="0"/>
    <m/>
    <x v="2"/>
    <x v="1"/>
    <s v="no root cause"/>
    <x v="1"/>
    <s v=""/>
  </r>
  <r>
    <s v="SongLoulou-IHS"/>
    <s v="LIT_200"/>
    <s v="LITTORAL"/>
    <s v="IHS"/>
    <s v="Grid-Gen"/>
    <s v="LITTORAL"/>
    <s v="Songloulou"/>
    <s v="NOKIA"/>
    <n v="0"/>
    <n v="0"/>
    <n v="0"/>
    <n v="0"/>
    <n v="0"/>
    <n v="0.9942693388203304"/>
    <n v="0"/>
    <n v="0"/>
    <n v="0.006240278652311687"/>
    <n v="1.94552604344397"/>
    <n v="9.29723091169658"/>
    <n v="0"/>
    <n v="9.297122698468232"/>
    <n v="9.244955526448708"/>
    <n v="9.245116042153564"/>
    <n v="9.245116042153564"/>
    <n v="9.245223052623469"/>
    <n v="9.245330063093373"/>
    <n v="6.277130668701561"/>
    <n v="0.3783711865035543"/>
    <n v="0"/>
    <n v="0"/>
    <n v="0.002586236022458952"/>
    <n v="0"/>
    <m/>
    <n v="0"/>
    <m/>
    <n v="0"/>
    <m/>
    <n v="0"/>
    <m/>
    <m/>
    <n v="0"/>
    <n v="0"/>
    <n v="0"/>
    <n v="0.001961972154968843"/>
    <m/>
    <n v="0"/>
    <n v="0.4457523510345351"/>
    <n v="0.7156513377922288"/>
    <n v="0"/>
    <n v="0.3039058029459671"/>
    <x v="0"/>
    <m/>
    <x v="4"/>
    <x v="0"/>
    <s v="Defaut GE &amp; Power Cabinet"/>
    <x v="0"/>
    <s v="{05-25-2026 ticket}: INC-20260525-00020511...Grid Outage"/>
  </r>
  <r>
    <s v="Bassamba-IHS"/>
    <s v="OST_143"/>
    <s v="OUEST"/>
    <s v="IHS"/>
    <s v="Grid-Gen"/>
    <s v="OUEST"/>
    <s v="Bassamba"/>
    <s v="NOKIA"/>
    <n v="0.0001070104699040665"/>
    <n v="0.673871835356003"/>
    <n v="8.9175391586944e-05"/>
    <n v="5.350523495223587e-05"/>
    <n v="0.06449164319570401"/>
    <n v="8.91753915870598e-05"/>
    <n v="0.0001426806265392957"/>
    <n v="0.0001605157048564181"/>
    <n v="5.350523495206218e-05"/>
    <n v="8.9175391586944e-05"/>
    <n v="8.91753915870598e-05"/>
    <n v="0"/>
    <n v="0.00012484554822171"/>
    <n v="0.0001070104699044138"/>
    <n v="0.0001070104699045297"/>
    <n v="5.350523495212009e-05"/>
    <n v="5.350523495235167e-05"/>
    <n v="7.134031326935835e-05"/>
    <n v="0.0001070104699041823"/>
    <n v="0.0001070104699044138"/>
    <n v="0"/>
    <n v="0.0001070104699045297"/>
    <n v="0.0001248455482215363"/>
    <n v="5.350523495212009e-05"/>
    <m/>
    <n v="5.350523495217798e-05"/>
    <m/>
    <n v="7.134031326958995e-05"/>
    <m/>
    <n v="1.57155563709475"/>
    <m/>
    <m/>
    <n v="0.0001248455482216521"/>
    <n v="0.03533129014676112"/>
    <n v="0.06254761965910761"/>
    <n v="0.003477840271892038"/>
    <m/>
    <n v="3.567015663476602e-05"/>
    <n v="0.6261015790798892"/>
    <n v="0.2560682871432894"/>
    <n v="0.2464548767576019"/>
    <n v="0.3038957234959211"/>
    <x v="0"/>
    <m/>
    <x v="2"/>
    <x v="1"/>
    <s v="no root cause"/>
    <x v="1"/>
    <s v=""/>
  </r>
  <r>
    <s v="Garoua-Camp-Chinois-II"/>
    <s v="NRD_163"/>
    <s v="Garoua"/>
    <s v="CAMUSAT"/>
    <s v="Medium Grid + GE"/>
    <s v="NORD"/>
    <s v="Garoua"/>
    <s v="Huawei"/>
    <n v="0"/>
    <n v="0"/>
    <n v="2.916837883418513"/>
    <n v="0"/>
    <n v="0"/>
    <n v="0"/>
    <n v="0"/>
    <n v="0"/>
    <n v="1.965158104402268"/>
    <n v="0"/>
    <n v="0"/>
    <n v="4.426612933142712"/>
    <n v="0"/>
    <n v="0"/>
    <n v="0"/>
    <n v="0"/>
    <n v="0"/>
    <n v="0"/>
    <n v="0"/>
    <n v="0.588646759865652"/>
    <n v="0.3015198340338953"/>
    <n v="0"/>
    <n v="0"/>
    <n v="0"/>
    <m/>
    <n v="0"/>
    <m/>
    <n v="0"/>
    <m/>
    <n v="0"/>
    <m/>
    <m/>
    <n v="0"/>
    <n v="0"/>
    <n v="0"/>
    <n v="0"/>
    <m/>
    <n v="0"/>
    <n v="0.241672961404266"/>
    <n v="0.3275230270204106"/>
    <n v="0.2958328134883893"/>
    <n v="0.2987375618163814"/>
    <x v="0"/>
    <m/>
    <x v="2"/>
    <x v="1"/>
    <s v="no root cause"/>
    <x v="1"/>
    <s v=""/>
  </r>
  <r>
    <s v="Ngouetou"/>
    <s v="CTR_300"/>
    <s v="CENTRE"/>
    <s v="IHS"/>
    <s v="Hybrid-Gen"/>
    <s v="CENTRE"/>
    <s v="Ngouetou"/>
    <s v="NOKIA"/>
    <n v="0.1882334678682729"/>
    <n v="0.1353015613988748"/>
    <n v="0.03240755757705407"/>
    <n v="0.06666413245072866"/>
    <n v="0.1497896668927749"/>
    <n v="0"/>
    <n v="0.08805861480007743"/>
    <n v="0.2630587542733485"/>
    <n v="0.5077450541037528"/>
    <n v="0.001785518267783007"/>
    <n v="2.316311912385705"/>
    <n v="0.0005350523495218772"/>
    <n v="0.05115144801928722"/>
    <n v="0.08425290997137841"/>
    <n v="0.7029296700239995"/>
    <n v="0.4223524896342529"/>
    <n v="3.544838268152627"/>
    <n v="0.0954355040763851"/>
    <n v="0.1183000744792872"/>
    <n v="0.007044855935371345"/>
    <n v="0.001694332440152611"/>
    <n v="1.670031830224664"/>
    <n v="0.001872683223326521"/>
    <n v="1.967119963017182"/>
    <m/>
    <n v="0.001337630873804731"/>
    <m/>
    <n v="0.3342758861851546"/>
    <m/>
    <n v="0.004030727699731193"/>
    <m/>
    <m/>
    <n v="0.07021637140880548"/>
    <n v="3.706022263884965"/>
    <n v="0"/>
    <n v="0.003317324567035302"/>
    <m/>
    <n v="0.1100621128591031"/>
    <n v="0.463987106778733"/>
    <n v="0.2271145077878763"/>
    <n v="0.2507567847973253"/>
    <n v="0.2732690699791398"/>
    <x v="0"/>
    <m/>
    <x v="2"/>
    <x v="1"/>
    <s v="no root cause"/>
    <x v="1"/>
    <s v="{05-25-2026 ticket}: INC-20260525-00019698...Others"/>
  </r>
  <r>
    <s v="Maroua-Marche-Abattoir"/>
    <s v="EXN_085"/>
    <s v="Maroua"/>
    <s v="IHS"/>
    <s v="Grid-Gen"/>
    <s v="EXTREME-NORD"/>
    <s v="Maroua"/>
    <s v="Huawei"/>
    <n v="1.92891722526132"/>
    <n v="3.309477132575985"/>
    <n v="1.229996176159209"/>
    <n v="0.005671554904931898"/>
    <n v="3.929121258557271"/>
    <n v="2.400030819015333"/>
    <n v="0.787311697243125"/>
    <n v="0.03388664880305222"/>
    <n v="0.04173408326270642"/>
    <n v="0.6424195209926006"/>
    <n v="0.1378294852368356"/>
    <n v="0"/>
    <n v="0"/>
    <n v="0.05823153070629764"/>
    <n v="1.044582701971561"/>
    <n v="1.198784789103766"/>
    <n v="1.429089155416299"/>
    <n v="1.299856177928449"/>
    <n v="0.01926188458278758"/>
    <n v="1.14759811433284"/>
    <n v="0.2949030199781416"/>
    <n v="0"/>
    <n v="0"/>
    <n v="0"/>
    <m/>
    <n v="0.4591284211247229"/>
    <m/>
    <n v="0"/>
    <m/>
    <n v="1.413144595400547"/>
    <m/>
    <m/>
    <n v="0.7982089300950538"/>
    <n v="0.5165930434633725"/>
    <n v="4.274622395721864"/>
    <n v="4.01233973398624"/>
    <m/>
    <n v="0"/>
    <n v="0.2728968582265227"/>
    <n v="0.243264872786125"/>
    <n v="0.2807846703745291"/>
    <n v="0.2670624627246863"/>
    <x v="0"/>
    <m/>
    <x v="2"/>
    <x v="1"/>
    <s v="no root cause"/>
    <x v="1"/>
    <s v=""/>
  </r>
  <r>
    <s v="Darassalam-IHS"/>
    <s v="ADM_153"/>
    <s v="ADAMAOUA"/>
    <s v="IHS"/>
    <s v="Hybrid-Gen"/>
    <s v="ADAMAOUA"/>
    <s v="Darra Salam"/>
    <s v="NOKIA"/>
    <n v="0.2764908184881061"/>
    <n v="2.271908522053402"/>
    <n v="0.4462161109108759"/>
    <n v="0.3792259360615406"/>
    <n v="0.3299686539119208"/>
    <n v="0"/>
    <n v="0.5659495897577941"/>
    <n v="0.2247585513500261"/>
    <n v="0.2176151035186159"/>
    <n v="0.1835508438942771"/>
    <n v="0"/>
    <n v="0"/>
    <n v="1.063719741006127"/>
    <n v="2.126519056946"/>
    <n v="0.1015413256408308"/>
    <n v="1.819021947697859"/>
    <n v="3.775947300668038"/>
    <n v="4.578228933918895"/>
    <n v="4.303555586194343"/>
    <n v="4.692631673705634"/>
    <n v="0"/>
    <n v="0.2451057501458418"/>
    <n v="0.5115584012241524"/>
    <n v="0.07134585673028623"/>
    <m/>
    <n v="2.255692077280939"/>
    <m/>
    <n v="0.3603800086684313"/>
    <m/>
    <n v="0.107265074473026"/>
    <m/>
    <m/>
    <n v="0.4246353796588792"/>
    <n v="0"/>
    <n v="0.03453029104424292"/>
    <n v="0"/>
    <m/>
    <n v="0.0832410278535019"/>
    <n v="0.5219386592808413"/>
    <n v="0.2547843655237788"/>
    <n v="0.1970964744663107"/>
    <n v="0.2628503988249555"/>
    <x v="0"/>
    <m/>
    <x v="2"/>
    <x v="1"/>
    <s v="no root cause"/>
    <x v="1"/>
    <s v="{05-25-2026 ticket}: INC-20260525-00027270...Others"/>
  </r>
  <r>
    <s v="Mvengue"/>
    <s v="SUD_226"/>
    <s v="CENTRE"/>
    <s v="IHS"/>
    <s v="Grid-Gen"/>
    <s v="SUD"/>
    <s v="Mvengue"/>
    <s v="NOKIA"/>
    <n v="0.00617213985626513"/>
    <n v="0.01795432850876895"/>
    <n v="0.0187158303020426"/>
    <n v="0.007053876623717043"/>
    <n v="0.009744172851902841"/>
    <n v="0.02200932351443007"/>
    <n v="0.03726431759076754"/>
    <n v="0.008260253076220754"/>
    <n v="0.01544840269462087"/>
    <n v="0.04563783625929681"/>
    <n v="0.0914019212850027"/>
    <n v="0"/>
    <n v="0.01210483541741154"/>
    <n v="0.006242277411088807"/>
    <n v="0"/>
    <n v="0.03786387126783136"/>
    <n v="0.007793929224702165"/>
    <n v="0.2666522559233863"/>
    <n v="0.1110590326824243"/>
    <n v="0.007615578441528024"/>
    <n v="0"/>
    <n v="0.01392919616588616"/>
    <n v="0.00799011508619338"/>
    <n v="0.007669083676480292"/>
    <m/>
    <n v="0.001783507831739641"/>
    <m/>
    <n v="0"/>
    <m/>
    <n v="0.021794465703858"/>
    <m/>
    <m/>
    <n v="0"/>
    <n v="0.01289476162347735"/>
    <n v="0.0227397248546798"/>
    <n v="0"/>
    <m/>
    <n v="0.0319069551098214"/>
    <n v="0.8629036125798832"/>
    <n v="0.4122593170605655"/>
    <n v="0"/>
    <n v="0.2616227638378805"/>
    <x v="0"/>
    <m/>
    <x v="14"/>
    <x v="2"/>
    <s v="SAT"/>
    <x v="2"/>
    <s v="Impacts :Coupure franche (25 sites VSAT Nokia)  ,Indisponibilité de plusieurs sites VSAT dans plusieurs regions @~Supervision Reseau Orange Cameroun  ; Cause: A Determiner_x000a_Action: Sans action"/>
  </r>
  <r>
    <s v="Kousseri-Crtv"/>
    <s v="EXN_031"/>
    <s v="EXTREME-NORD"/>
    <s v="CAMUSAT"/>
    <s v="Bad Grid + Solar + GE"/>
    <s v="EXTREME-NORD"/>
    <s v="Kousseri"/>
    <s v="Huawei"/>
    <n v="0"/>
    <n v="0"/>
    <n v="0"/>
    <n v="0"/>
    <n v="0.600952963904655"/>
    <n v="0.05277399674117449"/>
    <n v="0.4077277254139878"/>
    <n v="0.166454785936256"/>
    <n v="0"/>
    <n v="0"/>
    <n v="0"/>
    <n v="0"/>
    <n v="0"/>
    <n v="0"/>
    <n v="0"/>
    <n v="0"/>
    <n v="0"/>
    <n v="0"/>
    <n v="0"/>
    <n v="0"/>
    <n v="0"/>
    <n v="0"/>
    <n v="0"/>
    <n v="0"/>
    <m/>
    <n v="0"/>
    <m/>
    <n v="0"/>
    <m/>
    <n v="0.03344077184511732"/>
    <m/>
    <m/>
    <n v="1.610525407139168"/>
    <n v="6.311673700821554"/>
    <n v="0.1522758986739263"/>
    <n v="0.8903271096044036"/>
    <m/>
    <n v="0"/>
    <n v="0.4365100775751471"/>
    <n v="0.5657409107445829"/>
    <n v="0.0159031512453296"/>
    <n v="0.2605526591388368"/>
    <x v="1"/>
    <m/>
    <x v="2"/>
    <x v="1"/>
    <s v="no root cause"/>
    <x v="1"/>
    <s v=""/>
  </r>
  <r>
    <s v="Kumba-Pulletin-IHS"/>
    <s v="SUO_115"/>
    <s v="SUD-OUEST"/>
    <s v="IHS"/>
    <s v="Grid-Gen"/>
    <s v="SUD-OUEST"/>
    <s v="Kumba"/>
    <s v="Huawei"/>
    <n v="0"/>
    <n v="0"/>
    <n v="0"/>
    <n v="0.2151802198993817"/>
    <n v="0"/>
    <n v="0.208527735686993"/>
    <n v="0.2205307433946004"/>
    <n v="8.917539158697954e-05"/>
    <n v="0.4273106414064887"/>
    <n v="0"/>
    <n v="0"/>
    <n v="0"/>
    <n v="8.917539158697954e-05"/>
    <n v="0"/>
    <n v="0.2142527958268771"/>
    <n v="0"/>
    <n v="0.1490120793418428"/>
    <n v="0"/>
    <n v="0.426026515767636"/>
    <n v="0"/>
    <n v="0.009454232868092832"/>
    <n v="2.703708697525632"/>
    <n v="0"/>
    <n v="1.46490199267763"/>
    <m/>
    <n v="0"/>
    <m/>
    <n v="0"/>
    <m/>
    <n v="8.917539158697954e-05"/>
    <m/>
    <m/>
    <n v="0"/>
    <n v="0"/>
    <n v="0"/>
    <n v="0"/>
    <m/>
    <n v="0"/>
    <n v="0.3578258575830605"/>
    <n v="0.6177514611830226"/>
    <n v="0"/>
    <n v="0.2584837900540188"/>
    <x v="0"/>
    <m/>
    <x v="2"/>
    <x v="1"/>
    <s v="no root cause"/>
    <x v="1"/>
    <s v=""/>
  </r>
  <r>
    <s v="New-Town-Aeroport-IHS"/>
    <s v="LIT_428"/>
    <s v="Douala"/>
    <s v="IHS"/>
    <s v="Grid-Gen"/>
    <s v="LITTORAL"/>
    <s v="Douala"/>
    <s v="ZTE"/>
    <n v="2.123194733372713"/>
    <n v="1.258924673190024"/>
    <n v="0.9454375016051568"/>
    <n v="0.1802591365539203"/>
    <n v="0.2619616303259106"/>
    <n v="0.9395697608387336"/>
    <n v="0.3437176293328536"/>
    <n v="0.3937806941697844"/>
    <n v="0.8181485476539027"/>
    <n v="1.35114986316928"/>
    <n v="1.928756709556463"/>
    <n v="0"/>
    <n v="2.783235311742901"/>
    <n v="1.645464325562946"/>
    <n v="1.301550510368601"/>
    <n v="1.910012042244881"/>
    <n v="0.4184822776393773"/>
    <n v="0.4737888555016231"/>
    <n v="0.3083685041077756"/>
    <n v="0.6654624421786767"/>
    <n v="0.02946354938033807"/>
    <n v="1.231761848912631"/>
    <n v="0.414380209626376"/>
    <n v="0.2807598028724466"/>
    <m/>
    <n v="14.75688648043991"/>
    <m/>
    <n v="0.09646993861879398"/>
    <m/>
    <n v="0.000535052349522303"/>
    <m/>
    <m/>
    <n v="0.8228213381730596"/>
    <n v="0.000535052349522303"/>
    <n v="0.7672472341360549"/>
    <n v="1.452667128951897"/>
    <m/>
    <n v="0.09233220044915857"/>
    <n v="0.06057435983517778"/>
    <n v="0.004781358058692874"/>
    <n v="0.4728878973530585"/>
    <n v="0.2568607979271358"/>
    <x v="0"/>
    <m/>
    <x v="2"/>
    <x v="1"/>
    <s v="no root cause"/>
    <x v="1"/>
    <s v=""/>
  </r>
  <r>
    <s v="Garoua-Roum-Adja-Camp-Sic"/>
    <s v="NRD_084"/>
    <s v="Garoua"/>
    <s v="IHS"/>
    <s v="Grid-Gen"/>
    <s v="NORD"/>
    <s v="Garoua"/>
    <s v="Huawei"/>
    <n v="0"/>
    <n v="0"/>
    <n v="3.469065413360043"/>
    <n v="0"/>
    <n v="0"/>
    <n v="0.02916035304894231"/>
    <n v="0"/>
    <n v="0"/>
    <n v="0"/>
    <n v="0"/>
    <n v="0"/>
    <n v="0"/>
    <n v="2.926718516806351"/>
    <n v="0"/>
    <n v="0"/>
    <n v="0"/>
    <n v="0"/>
    <n v="0"/>
    <n v="0"/>
    <n v="0"/>
    <n v="0"/>
    <n v="0"/>
    <n v="0"/>
    <n v="0"/>
    <m/>
    <n v="0"/>
    <m/>
    <n v="0"/>
    <m/>
    <n v="0"/>
    <m/>
    <m/>
    <n v="0"/>
    <n v="4.087318403232572"/>
    <n v="1.136647376245959"/>
    <n v="0.05716142600725389"/>
    <m/>
    <n v="0.2473903713405986"/>
    <n v="0.2772682037816386"/>
    <n v="0.5249399886437432"/>
    <n v="0.06583562612313866"/>
    <n v="0.250154808479795"/>
    <x v="0"/>
    <m/>
    <x v="4"/>
    <x v="0"/>
    <s v="Defaut GE &amp; Power Cabinet"/>
    <x v="0"/>
    <s v="{hourly IHS}: 25/05/2026 10:11 0:49:00 32 FME is informed and managing"/>
  </r>
  <r>
    <s v="Mbong"/>
    <s v="ADM_042"/>
    <s v="ADAMAOUA"/>
    <s v="IHS"/>
    <s v="Hybrid-Gen"/>
    <s v="ADAMAOUA"/>
    <s v="Mbong"/>
    <s v="NOKIA"/>
    <n v="0.001605435770053306"/>
    <n v="0.001337785710113901"/>
    <n v="0.02399493183571807"/>
    <n v="0.009293139012685209"/>
    <n v="0.1347215945932929"/>
    <n v="0.08551160929454395"/>
    <n v="0.03128819194060482"/>
    <n v="0.1527536183020294"/>
    <n v="1.806600641799779"/>
    <n v="1.320603706894802"/>
    <n v="0.02547480949432041"/>
    <n v="0"/>
    <n v="0"/>
    <n v="0"/>
    <n v="0.02593342715113487"/>
    <n v="0.05161727159751583"/>
    <n v="0.7554202607263664"/>
    <n v="0.0251842609546417"/>
    <n v="0.0008918571400757628"/>
    <n v="0.02495238945198822"/>
    <n v="0.3714690111947219"/>
    <n v="0.1415100613251837"/>
    <n v="0.0007135270089128087"/>
    <n v="0"/>
    <m/>
    <n v="0.007402414262629292"/>
    <m/>
    <n v="0"/>
    <m/>
    <n v="0"/>
    <m/>
    <m/>
    <n v="0.0002140209398091265"/>
    <n v="0"/>
    <n v="0"/>
    <n v="0.001070290513369213"/>
    <m/>
    <n v="0.1053755517293656"/>
    <n v="0.4467515157328473"/>
    <n v="0.2236871944670692"/>
    <n v="0.2077498122150406"/>
    <n v="0.2472295964240276"/>
    <x v="0"/>
    <m/>
    <x v="2"/>
    <x v="1"/>
    <s v="no root cause"/>
    <x v="1"/>
    <s v="{05-25-2026 ticket}: INC-20260525-00018046...Others"/>
  </r>
  <r>
    <s v="Wadjiri-IHS"/>
    <s v="ADM_103"/>
    <s v="ADAMAOUA"/>
    <s v="IHS"/>
    <s v="Hybrid-Gen"/>
    <s v="ADAMAOUA"/>
    <s v="Wadjiri"/>
    <s v="NOKIA"/>
    <n v="0.3710885307173384"/>
    <n v="0.007063269069242474"/>
    <n v="0.002746911733496825"/>
    <n v="0.3142641271409347"/>
    <n v="0.3128722500749628"/>
    <n v="0"/>
    <n v="0.03546876072524605"/>
    <n v="0.0779972188795456"/>
    <n v="0.01601773771988905"/>
    <n v="0.3355030638083693"/>
    <n v="0.1143140479775951"/>
    <n v="13.86855689960706"/>
    <n v="0.002033539587779078"/>
    <n v="0.01701562475547623"/>
    <n v="0.004423532989472854"/>
    <n v="0.2892258782558308"/>
    <n v="0.8126848570408031"/>
    <n v="0.2371122749172674"/>
    <n v="0.1279352179958659"/>
    <n v="0"/>
    <n v="13.8682893734323"/>
    <n v="0.008241199790076342"/>
    <n v="0"/>
    <n v="0.003960037736600174"/>
    <m/>
    <n v="0.07016538645380301"/>
    <m/>
    <n v="2.046609188295307"/>
    <m/>
    <n v="0"/>
    <m/>
    <m/>
    <n v="0.009880633387837536"/>
    <n v="0"/>
    <n v="0.0008027178850268243"/>
    <n v="0.02775294579910569"/>
    <m/>
    <n v="0.03768747153507219"/>
    <n v="0.6213555467629062"/>
    <n v="0.1636476387074993"/>
    <n v="0.1783888965497612"/>
    <n v="0.236695682961252"/>
    <x v="0"/>
    <m/>
    <x v="2"/>
    <x v="1"/>
    <s v="no root cause"/>
    <x v="1"/>
    <s v="{05-25-2026 ticket}: INC-20260525-00011115...Others"/>
  </r>
  <r>
    <s v="Matafal"/>
    <s v="EXN_207"/>
    <s v="EXTREME-NORD"/>
    <s v="IHS"/>
    <s v="Hybrid-Gen"/>
    <s v="EXTREME-NORD"/>
    <s v="Matafal"/>
    <s v="NOKIA"/>
    <n v="0"/>
    <n v="0.00276459712745598"/>
    <n v="0.04178228118004919"/>
    <n v="0"/>
    <n v="0"/>
    <n v="0"/>
    <n v="0"/>
    <n v="0.120418147672575"/>
    <n v="0.475521417365977"/>
    <n v="0"/>
    <n v="0"/>
    <n v="0.001605157048565632"/>
    <n v="0.1261515297495296"/>
    <n v="0.02084986198880939"/>
    <n v="0.3093968504865127"/>
    <n v="0"/>
    <n v="0"/>
    <n v="0"/>
    <n v="0.01623086055474183"/>
    <n v="0"/>
    <n v="0.002318560181261468"/>
    <n v="0.4624992509267106"/>
    <n v="0"/>
    <n v="0"/>
    <m/>
    <n v="0.001783611049971644"/>
    <m/>
    <n v="0"/>
    <m/>
    <n v="0.3853887587636455"/>
    <m/>
    <m/>
    <n v="0.7497866924633239"/>
    <n v="1.122076117260646"/>
    <n v="3.161578877047556"/>
    <n v="9.763370113799256"/>
    <m/>
    <n v="1.736851279247471"/>
    <n v="0"/>
    <n v="0.6784608451081492"/>
    <n v="0"/>
    <n v="0.2277671310813797"/>
    <x v="1"/>
    <m/>
    <x v="4"/>
    <x v="0"/>
    <s v="Defaut GE &amp; Power Cabinet"/>
    <x v="0"/>
    <s v="{05-25-2026 ticket}: INC-20260525-00026164...Low Oil Pressure // Oil added and Manual start of GEN...Low Oil Pressure // Oil added and Manual start of GEN...Grid Outage...Low Oil Pressure // Oil added and Manual start of GEN"/>
  </r>
  <r>
    <s v="Danfili-MTN-IHS"/>
    <s v="ADM_122"/>
    <s v="ADAMAOUA"/>
    <s v="IHS"/>
    <s v="Gen-Solar AER"/>
    <s v="ADAMAOUA"/>
    <s v="Danfili"/>
    <s v="NOKIA"/>
    <n v="0.00419197117736181"/>
    <n v="0.003121499990265597"/>
    <n v="0.03910013292099938"/>
    <n v="0.03756302844833302"/>
    <n v="0.01443096297594704"/>
    <n v="0.09719097130275636"/>
    <n v="0.09068218349070362"/>
    <n v="0.2317873517349057"/>
    <n v="0.5204413463269666"/>
    <n v="0.1480850991334241"/>
    <n v="0.001694528566143795"/>
    <n v="0.006759450920801898"/>
    <n v="0"/>
    <n v="0.001751080416617"/>
    <n v="0"/>
    <n v="9.621006672450209"/>
    <n v="18.49017857907218"/>
    <n v="1.92685953600507"/>
    <n v="2.159314041237255"/>
    <n v="0.2654484237513742"/>
    <n v="0.006705989447340821"/>
    <n v="0.05713275485686965"/>
    <n v="0.1040449723745558"/>
    <n v="0.05154922948851928"/>
    <m/>
    <n v="0.1229659407187043"/>
    <m/>
    <n v="0.2375176226739625"/>
    <m/>
    <n v="0.0541869936722839"/>
    <m/>
    <m/>
    <n v="0.0293743739887509"/>
    <n v="0.05096264405342782"/>
    <n v="0.2177522977910755"/>
    <n v="0.004620013056979551"/>
    <m/>
    <n v="0.2478541989879613"/>
    <n v="0.4212728159258859"/>
    <n v="0.3666344363115897"/>
    <n v="0.08495360794279347"/>
    <n v="0.2275434627424223"/>
    <x v="0"/>
    <m/>
    <x v="4"/>
    <x v="0"/>
    <s v="Defaut GE &amp; Power Cabinet"/>
    <x v="0"/>
    <s v="{05-25-2026 ticket}: INC-20260525-00018079...Grid Outage"/>
  </r>
  <r>
    <s v="Towe-South-IHS"/>
    <s v="SUO_193"/>
    <s v="SUD-OUEST"/>
    <s v="IHS"/>
    <s v="Grid-Gen"/>
    <s v="SUD-OUEST"/>
    <s v="Limbe"/>
    <s v="Huawei"/>
    <n v="0"/>
    <n v="0.04646037901681634"/>
    <n v="0"/>
    <n v="0"/>
    <n v="3.817598513838595"/>
    <n v="0"/>
    <n v="0"/>
    <n v="0"/>
    <n v="0"/>
    <n v="0"/>
    <n v="0"/>
    <n v="0"/>
    <n v="0"/>
    <n v="0"/>
    <n v="0"/>
    <n v="0"/>
    <n v="0"/>
    <n v="0"/>
    <n v="0"/>
    <n v="0"/>
    <n v="0"/>
    <n v="0"/>
    <n v="0"/>
    <n v="0.7640547551172409"/>
    <m/>
    <n v="0.3076015957401274"/>
    <m/>
    <n v="0"/>
    <m/>
    <n v="0"/>
    <m/>
    <m/>
    <n v="0"/>
    <n v="0"/>
    <n v="1.151182965074636"/>
    <n v="1.077862958111822"/>
    <m/>
    <n v="2.23676851209789"/>
    <n v="0.4159023056724578"/>
    <n v="0.3538204963432174"/>
    <n v="0.09405089446162671"/>
    <n v="0.2272188977636239"/>
    <x v="0"/>
    <m/>
    <x v="2"/>
    <x v="1"/>
    <s v="no root cause"/>
    <x v="1"/>
    <s v=""/>
  </r>
  <r>
    <s v="Kuruda"/>
    <s v="EXN_208"/>
    <s v="EXTREME-NORD"/>
    <s v="IHS"/>
    <s v="Hybrid-Gen"/>
    <s v="EXTREME-NORD"/>
    <s v="Kuruda"/>
    <s v="NOKIA"/>
    <n v="0.3677094293299569"/>
    <n v="13.74518317220038"/>
    <n v="13.84499072984165"/>
    <n v="0.6845444992372736"/>
    <n v="0.1240684766859229"/>
    <n v="0"/>
    <n v="4.705303248035218"/>
    <n v="3.642302166877908"/>
    <n v="3.552923250267462"/>
    <n v="1.11421638506894"/>
    <n v="0"/>
    <n v="0"/>
    <n v="1.655580783767151"/>
    <n v="1.487809976668936"/>
    <n v="3.484587579924731"/>
    <n v="0"/>
    <n v="2.098284013250052"/>
    <n v="3.24616631008376"/>
    <n v="0"/>
    <n v="2.535837872017771"/>
    <n v="0"/>
    <n v="0.738015540773843"/>
    <n v="2.415534436936824"/>
    <n v="0.1441631211051191"/>
    <m/>
    <n v="0"/>
    <m/>
    <n v="0"/>
    <m/>
    <n v="1.322456191745125"/>
    <m/>
    <m/>
    <n v="0.8359836259712985"/>
    <n v="0"/>
    <n v="19.75181932030567"/>
    <n v="0.03620939988707843"/>
    <m/>
    <n v="1.432126833923766"/>
    <n v="0"/>
    <n v="0.660662537895053"/>
    <n v="0"/>
    <n v="0.2217920340639745"/>
    <x v="1"/>
    <m/>
    <x v="11"/>
    <x v="7"/>
    <s v="BSS Hardware issue"/>
    <x v="2"/>
    <s v="(05/25/2026 cell nokia): 25/05/2026 ;Check and clean jumper, port 5 of ARGA_x000a_23/05/2026 : Need BO RAN analysis       ;      (05/25/2026 cell nokia): 25/05/2026 ;Check and clean jumper, port 5 of ARGA_x000a_23/05/2026 : Need BO RAN analysis       ;      {05-25-2026 ticket}: INC-20260525-00013507...Grid Outage"/>
  </r>
  <r>
    <s v="Elobi-Mokolo-MTN-IHS"/>
    <s v="CTR_470"/>
    <s v="Yaounde"/>
    <s v="IHS"/>
    <s v="Grid-Gen"/>
    <s v="CENTRE"/>
    <s v="Yaounde"/>
    <s v="ZTE"/>
    <n v="4.749802387332243"/>
    <n v="23.13534256191626"/>
    <n v="9.877904620854771"/>
    <n v="0"/>
    <n v="2.475437530141282"/>
    <n v="1.505048753970087"/>
    <n v="0"/>
    <n v="0.0316215938567429"/>
    <n v="0.0319069551098215"/>
    <n v="0"/>
    <n v="0.01232403911732045"/>
    <n v="0"/>
    <n v="0.5893244928417125"/>
    <n v="0"/>
    <n v="0.03923717229827111"/>
    <n v="0.002764437139196366"/>
    <n v="0"/>
    <n v="0"/>
    <n v="0.07902723202438176"/>
    <n v="0.4996853892184805"/>
    <n v="0"/>
    <n v="0.09716550667317349"/>
    <n v="0.3888760476325009"/>
    <n v="0.001605157048565732"/>
    <m/>
    <n v="0.1976661729916989"/>
    <m/>
    <n v="0.01232403911732042"/>
    <m/>
    <n v="0.03484974303219161"/>
    <m/>
    <m/>
    <n v="0.06513370601512995"/>
    <n v="0.1595347755491061"/>
    <n v="0.1388995899358791"/>
    <n v="0.02687746302431567"/>
    <m/>
    <n v="0.03627654929758344"/>
    <n v="0.1498747047468316"/>
    <n v="0.07937054377428947"/>
    <n v="0.3319825572869133"/>
    <n v="0.221172806214027"/>
    <x v="0"/>
    <m/>
    <x v="2"/>
    <x v="1"/>
    <s v="no root cause"/>
    <x v="1"/>
    <s v=""/>
  </r>
  <r>
    <s v="Bourha"/>
    <s v="EXN_019"/>
    <s v="EXTREME-NORD"/>
    <s v="IHS"/>
    <s v="Grid-Gen"/>
    <s v="EXTREME-NORD"/>
    <s v="Bourrah"/>
    <s v="NOKIA"/>
    <n v="0"/>
    <n v="0"/>
    <n v="0.3588313343235729"/>
    <n v="0"/>
    <n v="0.01159347182481586"/>
    <n v="0.001516069392475761"/>
    <n v="0.4921328232530207"/>
    <n v="0"/>
    <n v="0"/>
    <n v="0.001694430497472959"/>
    <n v="0"/>
    <n v="0"/>
    <n v="0"/>
    <n v="0"/>
    <n v="1.315074452430593"/>
    <n v="0"/>
    <n v="0"/>
    <n v="0"/>
    <n v="0"/>
    <n v="0.2404596634158784"/>
    <n v="0"/>
    <n v="0.005885575844740715"/>
    <n v="0.001516069392475761"/>
    <n v="0.3335627667782658"/>
    <m/>
    <n v="0.04387683182930248"/>
    <m/>
    <n v="0.4299680680757804"/>
    <m/>
    <n v="0"/>
    <m/>
    <m/>
    <n v="0.5382626636190084"/>
    <n v="0"/>
    <n v="0.307985133014628"/>
    <n v="0.1747935118755289"/>
    <m/>
    <n v="0.01632004110724034"/>
    <n v="0.7418797884968167"/>
    <n v="0.3410899471882787"/>
    <n v="0"/>
    <n v="0.2204481946135117"/>
    <x v="1"/>
    <m/>
    <x v="4"/>
    <x v="0"/>
    <s v="Defaut GE &amp; Power Cabinet"/>
    <x v="0"/>
    <s v="{05-25-2026 ticket}: INC-20260525-00020777...Grid Outage"/>
  </r>
  <r>
    <s v="Garoua-Katasko-MTN-IHS"/>
    <s v="NRD_116"/>
    <s v="Garoua"/>
    <s v="IHS"/>
    <s v="Grid-Gen"/>
    <s v="NORD"/>
    <s v="Garoua"/>
    <s v="Huawei"/>
    <n v="0"/>
    <n v="0"/>
    <n v="4.539205782560433"/>
    <n v="0.5857039719432816"/>
    <n v="0"/>
    <n v="0"/>
    <n v="0"/>
    <n v="0"/>
    <n v="0"/>
    <n v="0.2476400624370421"/>
    <n v="0.9693721767071025"/>
    <n v="0"/>
    <n v="0"/>
    <n v="0"/>
    <n v="0"/>
    <n v="0"/>
    <n v="1.723403617809967"/>
    <n v="0"/>
    <n v="0"/>
    <n v="0"/>
    <n v="0"/>
    <n v="1.436544218152971"/>
    <n v="0"/>
    <n v="0"/>
    <m/>
    <n v="0.2954380723276632"/>
    <m/>
    <n v="0"/>
    <m/>
    <n v="0"/>
    <m/>
    <m/>
    <n v="0.01908353379961362"/>
    <n v="0.4785151512557322"/>
    <n v="0"/>
    <n v="0.2090271178798801"/>
    <m/>
    <n v="0.2085812409219451"/>
    <n v="0.3353446518710358"/>
    <n v="0.4231501881942531"/>
    <n v="0.03505533339024266"/>
    <n v="0.2082245393555972"/>
    <x v="0"/>
    <m/>
    <x v="2"/>
    <x v="1"/>
    <s v="no root cause"/>
    <x v="1"/>
    <s v=""/>
  </r>
  <r>
    <s v="Mberem-Ngop"/>
    <s v="ADM_133"/>
    <s v="ADAMAOUA"/>
    <s v="CAMUSAT"/>
    <s v="Hybrid Solar - S3"/>
    <s v="ADAMAOUA"/>
    <s v="Nganha"/>
    <s v="NOKIA"/>
    <n v="4.626491492010231"/>
    <n v="0.1859953449080555"/>
    <n v="0.01956673250147965"/>
    <n v="0.01013138769360314"/>
    <n v="0.02889641928446929"/>
    <n v="0.01635674883652121"/>
    <n v="0.03246134436293703"/>
    <n v="0.007901280314772096"/>
    <n v="0.01879968994236391"/>
    <n v="0.005511514031423023"/>
    <n v="0.09538816132653322"/>
    <n v="0"/>
    <n v="0.006350170499037589"/>
    <n v="0.009917433914950546"/>
    <n v="0"/>
    <n v="0.03232134273343924"/>
    <n v="0.008026714314454425"/>
    <n v="0.2698698198761073"/>
    <n v="0.1135452413611788"/>
    <n v="0.005493900925477639"/>
    <n v="0"/>
    <n v="0.0186935776628588"/>
    <n v="0.006796062941499694"/>
    <n v="0.008115874221514196"/>
    <m/>
    <n v="0"/>
    <m/>
    <n v="0"/>
    <m/>
    <n v="0.02249181953700062"/>
    <m/>
    <m/>
    <n v="0"/>
    <n v="0.02818250017893548"/>
    <n v="0.02111922573666033"/>
    <n v="0"/>
    <m/>
    <n v="0.0215643025627103"/>
    <n v="0.648582784791914"/>
    <n v="0.3342218267246224"/>
    <n v="0"/>
    <n v="0.2048196838537528"/>
    <x v="0"/>
    <m/>
    <x v="14"/>
    <x v="2"/>
    <s v="SAT"/>
    <x v="2"/>
    <s v="Impacts :Coupure franche (25 sites VSAT Nokia)  ,Indisponibilité de plusieurs sites VSAT dans plusieurs regions @~Supervision Reseau Orange Cameroun  ; Cause: A Determiner_x000a_Action: Sans action"/>
  </r>
  <r>
    <s v="Hile-Alifa-IHS"/>
    <s v="EXN_224"/>
    <s v="EXTREME-NORD"/>
    <s v="IHS"/>
    <s v="Hybrid-Gen"/>
    <s v="EXTREME-NORD"/>
    <s v="Hile-Alifa"/>
    <s v="NOKIA"/>
    <n v="1.540793794034445"/>
    <n v="3.384666208075746"/>
    <n v="1.434166226524025"/>
    <n v="0.03792388546116732"/>
    <n v="0.05455660059993729"/>
    <n v="0.05059229598712031"/>
    <n v="0.1475263826754466"/>
    <n v="0.08647416349116947"/>
    <n v="0.06611806649271693"/>
    <n v="0.0523489843166678"/>
    <n v="2.827425894843222"/>
    <n v="0.007972280007876057"/>
    <n v="0.002326584409535434"/>
    <n v="0.5120995719144052"/>
    <n v="0.4353780879388693"/>
    <n v="0.01810365215721232"/>
    <n v="0.06128459595561697"/>
    <n v="0.0126276896089373"/>
    <n v="0.02372202696462314"/>
    <n v="0.001872791602470158"/>
    <n v="0"/>
    <n v="4.241038943250208"/>
    <n v="0.006064277569903556"/>
    <n v="0.8161870647533538"/>
    <m/>
    <n v="3.503646295605733"/>
    <m/>
    <n v="0.004458769579348976"/>
    <m/>
    <n v="5.833263709332826"/>
    <m/>
    <m/>
    <n v="3.710124331897966"/>
    <n v="8.48512768489269"/>
    <n v="0.2502700918909987"/>
    <n v="3.627375621572691"/>
    <m/>
    <n v="7.506590694269259"/>
    <n v="0.6378417642850577"/>
    <n v="0.3296671530067394"/>
    <n v="0"/>
    <n v="0.2017568106176817"/>
    <x v="1"/>
    <m/>
    <x v="2"/>
    <x v="1"/>
    <s v="no root cause"/>
    <x v="1"/>
    <s v="{05-25-2026 ticket}: INC-20260525-00009566...Others"/>
  </r>
  <r>
    <s v="Buea-Bakwere-Town-MTN"/>
    <s v="SUO_222"/>
    <s v="SUD-OUEST"/>
    <s v="MTN sharing"/>
    <s v="MTN"/>
    <s v="SUD-OUEST"/>
    <s v="Buea"/>
    <s v="Huawei"/>
    <n v="0.008560837592350037"/>
    <n v="0.002140209398087509"/>
    <n v="1.045581466357335"/>
    <n v="0"/>
    <n v="0.6761278190124789"/>
    <n v="6.864061746467943"/>
    <n v="0"/>
    <n v="0.7961222259319183"/>
    <n v="0.5677440480776639"/>
    <n v="1.478795518686882"/>
    <n v="0.5326446139490287"/>
    <n v="0"/>
    <n v="8.406082617789991"/>
    <n v="0.208937942488293"/>
    <n v="0.1580187938921278"/>
    <n v="1.890750157662092"/>
    <n v="1.436776074171097"/>
    <n v="0.9885092157416683"/>
    <n v="1.145493575091387"/>
    <n v="1.051805908690106"/>
    <n v="0.0005350523495219609"/>
    <n v="1.552258206276236"/>
    <n v="0.2099010367174325"/>
    <n v="0.2183548638398781"/>
    <m/>
    <n v="0.2942787922370324"/>
    <m/>
    <n v="0.7026307453921291"/>
    <m/>
    <n v="0.638156937274743"/>
    <m/>
    <m/>
    <n v="0.578783961556132"/>
    <n v="0.8723315155821511"/>
    <n v="0.1116475902668984"/>
    <n v="1.067001395416527"/>
    <m/>
    <n v="0"/>
    <n v="0"/>
    <n v="0.3904775747931903"/>
    <n v="0.1320132554988651"/>
    <n v="0.1999312279380081"/>
    <x v="0"/>
    <m/>
    <x v="2"/>
    <x v="1"/>
    <s v="no root cause"/>
    <x v="1"/>
    <s v=""/>
  </r>
  <r>
    <s v="Ngousso-Savana"/>
    <s v="CTR_272"/>
    <s v="Yaounde"/>
    <s v="IHS"/>
    <s v="Grid-Gen"/>
    <s v="CENTRE"/>
    <s v="Yaounde"/>
    <s v="ZTE"/>
    <n v="0"/>
    <n v="0"/>
    <n v="0"/>
    <n v="0"/>
    <n v="0.8726168768352289"/>
    <n v="0"/>
    <n v="0"/>
    <n v="0"/>
    <n v="0"/>
    <n v="0"/>
    <n v="0.2314636464031645"/>
    <n v="0"/>
    <n v="0"/>
    <n v="0"/>
    <n v="0"/>
    <n v="0"/>
    <n v="0"/>
    <n v="0"/>
    <n v="0"/>
    <n v="0"/>
    <n v="0"/>
    <n v="0"/>
    <n v="0"/>
    <n v="0"/>
    <m/>
    <n v="0"/>
    <m/>
    <n v="0"/>
    <m/>
    <n v="0"/>
    <m/>
    <m/>
    <n v="0"/>
    <n v="0"/>
    <n v="0"/>
    <n v="0.0008560837592350035"/>
    <m/>
    <n v="0"/>
    <n v="0.08318046113449157"/>
    <n v="0.08144246559972101"/>
    <n v="0.3037330886231658"/>
    <n v="0.197612667756746"/>
    <x v="0"/>
    <m/>
    <x v="2"/>
    <x v="1"/>
    <s v="no root cause"/>
    <x v="1"/>
    <s v=""/>
  </r>
  <r>
    <s v="Kousseri-Ngueli-MTN-IHS"/>
    <s v="EXN_141"/>
    <s v="EXTREME-NORD"/>
    <s v="IHS"/>
    <s v="Grid-Gen"/>
    <s v="EXTREME-NORD"/>
    <s v="Kousseri"/>
    <s v="Huawei"/>
    <n v="0"/>
    <n v="0"/>
    <n v="0"/>
    <n v="0"/>
    <n v="0.000802578524282816"/>
    <n v="0.1239537943059016"/>
    <n v="0.4372982852642302"/>
    <n v="0.1821853250121992"/>
    <n v="0"/>
    <n v="0"/>
    <n v="0"/>
    <n v="0"/>
    <n v="0"/>
    <n v="1.302941646477358"/>
    <n v="0"/>
    <n v="0"/>
    <n v="0"/>
    <n v="0"/>
    <n v="0"/>
    <n v="7.234888694843238"/>
    <n v="0"/>
    <n v="5.319579634338091"/>
    <n v="33.87559105449544"/>
    <n v="0"/>
    <m/>
    <n v="0"/>
    <m/>
    <n v="0"/>
    <m/>
    <n v="1.102814232677858"/>
    <m/>
    <m/>
    <n v="1.264560557938322"/>
    <n v="6.302292449626605"/>
    <n v="0.1502070295891083"/>
    <n v="7.056448736277692"/>
    <m/>
    <n v="0"/>
    <n v="0.4177757394817933"/>
    <n v="0.3825617708960223"/>
    <n v="0.008208078062105601"/>
    <n v="0.1923691547314322"/>
    <x v="1"/>
    <m/>
    <x v="2"/>
    <x v="1"/>
    <s v="no root cause"/>
    <x v="1"/>
    <s v=""/>
  </r>
  <r>
    <s v="Ngd-Lamidat-IHS"/>
    <s v="ADM_072"/>
    <s v="Ngaoundere"/>
    <s v="IHS"/>
    <s v="Grid-Gen"/>
    <s v="ADAMAOUA"/>
    <s v="Ngaoundere"/>
    <s v="Huawei"/>
    <n v="0"/>
    <n v="0"/>
    <n v="0"/>
    <n v="0"/>
    <n v="0"/>
    <n v="0"/>
    <n v="0"/>
    <n v="0"/>
    <n v="0"/>
    <n v="0"/>
    <n v="0"/>
    <n v="0"/>
    <n v="0"/>
    <n v="0.7000268239577893"/>
    <n v="0"/>
    <n v="0"/>
    <n v="0"/>
    <n v="0"/>
    <n v="0"/>
    <n v="0"/>
    <n v="0"/>
    <n v="0.6646241934977584"/>
    <n v="0"/>
    <n v="0"/>
    <m/>
    <n v="0"/>
    <m/>
    <n v="0"/>
    <m/>
    <n v="0"/>
    <m/>
    <m/>
    <n v="0"/>
    <n v="0"/>
    <n v="0"/>
    <n v="0"/>
    <m/>
    <n v="0"/>
    <n v="0.2885088066376509"/>
    <n v="0.3703427447460313"/>
    <n v="0.04856446186745814"/>
    <n v="0.1908531730744536"/>
    <x v="0"/>
    <m/>
    <x v="2"/>
    <x v="1"/>
    <s v="no root cause"/>
    <x v="1"/>
    <s v=""/>
  </r>
  <r>
    <s v="Simbock-II"/>
    <s v="CTR_716"/>
    <s v="Yaounde"/>
    <s v="CAMUSAT"/>
    <s v="Good Grid + GE"/>
    <s v="CENTRE"/>
    <s v="Yaounde"/>
    <s v="ZTE"/>
    <n v="0"/>
    <n v="2.042169972576784"/>
    <n v="0"/>
    <n v="0"/>
    <n v="0"/>
    <n v="0"/>
    <n v="0"/>
    <n v="0.4175726886451903"/>
    <n v="0.1591602389044415"/>
    <n v="1.423827807312666"/>
    <n v="0.02197281648703165"/>
    <n v="0"/>
    <n v="0.01264507052703425"/>
    <n v="0"/>
    <n v="0"/>
    <n v="0.08211270057329019"/>
    <n v="0.08189867963348202"/>
    <n v="0"/>
    <n v="0"/>
    <n v="2.46634164019941"/>
    <n v="0.0003567015663479182"/>
    <n v="0.02389900494531038"/>
    <n v="0"/>
    <n v="0"/>
    <m/>
    <n v="0"/>
    <m/>
    <n v="0.03142540799525156"/>
    <m/>
    <n v="0.01590888985911718"/>
    <m/>
    <m/>
    <n v="0"/>
    <n v="0"/>
    <n v="0"/>
    <n v="0"/>
    <m/>
    <n v="0.03930851261154052"/>
    <n v="0.1111570726872335"/>
    <n v="0.05307307445148325"/>
    <n v="0.2995606489415954"/>
    <n v="0.1899079139236317"/>
    <x v="0"/>
    <m/>
    <x v="2"/>
    <x v="1"/>
    <s v="no root cause"/>
    <x v="1"/>
    <s v=""/>
  </r>
  <r>
    <s v="Sofavinc"/>
    <s v="CTR_261"/>
    <s v="Yaounde"/>
    <s v="IHS"/>
    <s v="Grid-Gen"/>
    <s v="CENTRE"/>
    <s v="Yaounde"/>
    <s v="ZTE"/>
    <n v="0"/>
    <n v="0"/>
    <n v="0"/>
    <n v="0"/>
    <n v="0"/>
    <n v="0"/>
    <n v="0"/>
    <n v="0"/>
    <n v="0"/>
    <n v="0"/>
    <n v="0"/>
    <n v="0"/>
    <n v="0"/>
    <n v="0"/>
    <n v="0"/>
    <n v="0"/>
    <n v="0"/>
    <n v="0"/>
    <n v="0"/>
    <n v="0"/>
    <n v="0"/>
    <n v="0"/>
    <n v="0"/>
    <n v="0"/>
    <m/>
    <n v="0"/>
    <m/>
    <n v="0"/>
    <m/>
    <n v="0"/>
    <m/>
    <m/>
    <n v="0"/>
    <n v="0"/>
    <n v="0"/>
    <n v="0"/>
    <m/>
    <n v="0"/>
    <n v="0.09179825665743438"/>
    <n v="0.07044534206473048"/>
    <n v="0.2918655757583719"/>
    <n v="0.1889626547728097"/>
    <x v="0"/>
    <m/>
    <x v="4"/>
    <x v="0"/>
    <s v="Defaut GE &amp; Power Cabinet"/>
    <x v="0"/>
    <s v="{05-25-2026 ticket}: INC-20260525-00023847...Grid Outage"/>
  </r>
  <r>
    <s v="Mbakaou-MTN-IHS"/>
    <s v="ADM_109"/>
    <s v="ADAMAOUA"/>
    <s v="IHS"/>
    <s v="Grid-Gen"/>
    <s v="ADAMAOUA"/>
    <s v="Mbakaou"/>
    <s v="NOKIA"/>
    <n v="0.1169747389833835"/>
    <n v="0.3775486344734285"/>
    <n v="3.732737393539924"/>
    <n v="0.2157131562714037"/>
    <n v="0"/>
    <n v="0"/>
    <n v="0.1007443730970407"/>
    <n v="0.1456111527381632"/>
    <n v="5.986931171523768"/>
    <n v="2.776066276646577"/>
    <n v="0.1922653261310078"/>
    <n v="0"/>
    <n v="0"/>
    <n v="0"/>
    <n v="0.01744396084110889"/>
    <n v="0.1943582630171418"/>
    <n v="8.425339327443821"/>
    <n v="2.670629446031698"/>
    <n v="1.618530497993171"/>
    <n v="0.00133786314171126"/>
    <n v="0"/>
    <n v="0.03454934940020204"/>
    <n v="0.002140581026737913"/>
    <n v="0"/>
    <m/>
    <n v="0.02056584784955398"/>
    <m/>
    <n v="0"/>
    <m/>
    <n v="0.001979848529540253"/>
    <m/>
    <m/>
    <n v="0.01079022238202413"/>
    <n v="0"/>
    <n v="0.001694626646167493"/>
    <n v="0"/>
    <m/>
    <n v="0.02529223139890734"/>
    <n v="0.3368433989185041"/>
    <n v="0.1495733013734562"/>
    <n v="0.173806052965087"/>
    <n v="0.1889525566830167"/>
    <x v="0"/>
    <m/>
    <x v="2"/>
    <x v="1"/>
    <s v="no root cause"/>
    <x v="1"/>
    <s v="{05-25-2026 ticket}: INC-20260525-00017973...Others"/>
  </r>
  <r>
    <s v="Nkolafeme"/>
    <s v="CTR_246"/>
    <s v="Yaounde"/>
    <s v="IHS"/>
    <s v="Grid-Gen"/>
    <s v="CENTRE"/>
    <s v="Yaounde"/>
    <s v="ZTE"/>
    <n v="0"/>
    <n v="0"/>
    <n v="0"/>
    <n v="0"/>
    <n v="10.57436442914908"/>
    <n v="10.77879009682307"/>
    <n v="0"/>
    <n v="0.2049785551018309"/>
    <n v="0"/>
    <n v="3.933062810865415"/>
    <n v="0"/>
    <n v="0"/>
    <n v="0"/>
    <n v="0.4729506068207046"/>
    <n v="0"/>
    <n v="0"/>
    <n v="0"/>
    <n v="0"/>
    <n v="0"/>
    <n v="0"/>
    <n v="0"/>
    <n v="0"/>
    <n v="0.4963145594164927"/>
    <n v="0"/>
    <m/>
    <n v="0"/>
    <m/>
    <n v="0"/>
    <m/>
    <n v="0"/>
    <m/>
    <m/>
    <n v="0"/>
    <n v="0"/>
    <n v="0.01016599464091555"/>
    <n v="0"/>
    <m/>
    <n v="0"/>
    <n v="0.09104888313370023"/>
    <n v="0.07777675775472417"/>
    <n v="0.28718013119792"/>
    <n v="0.1888734793812224"/>
    <x v="0"/>
    <m/>
    <x v="2"/>
    <x v="1"/>
    <s v="no root cause"/>
    <x v="1"/>
    <s v=""/>
  </r>
  <r>
    <s v="Mokolo-Djimeta-IHS"/>
    <s v="EXN_140"/>
    <s v="EXTREME-NORD"/>
    <m/>
    <m/>
    <s v="EXTREME-NORD"/>
    <s v="Mokolo"/>
    <s v="NOKIA"/>
    <n v="0"/>
    <n v="0.816684653573386"/>
    <n v="0.1673904093960317"/>
    <n v="0"/>
    <n v="0"/>
    <n v="0.005083291492419221"/>
    <n v="0.1491164410184703"/>
    <n v="1.065450134791341"/>
    <n v="0.4563220119974213"/>
    <n v="0"/>
    <n v="0"/>
    <n v="0"/>
    <n v="1.722409938834429"/>
    <n v="1.54865081370474"/>
    <n v="0"/>
    <n v="0.5956079687779456"/>
    <n v="0.5110134725181216"/>
    <n v="0"/>
    <n v="0"/>
    <n v="0"/>
    <n v="0.01881600762485267"/>
    <n v="0"/>
    <n v="0"/>
    <n v="0"/>
    <m/>
    <n v="0.08552414984614057"/>
    <m/>
    <n v="0"/>
    <m/>
    <n v="0.3012284716728051"/>
    <m/>
    <m/>
    <n v="0.8240876287335951"/>
    <n v="0"/>
    <n v="0.4810486004421334"/>
    <n v="0.03544111863749007"/>
    <m/>
    <n v="0"/>
    <n v="0"/>
    <n v="0.5599825612717222"/>
    <n v="0"/>
    <n v="0.1879926046670119"/>
    <x v="1"/>
    <m/>
    <x v="4"/>
    <x v="0"/>
    <s v="Defaut GE &amp; Power Cabinet"/>
    <x v="0"/>
    <s v="{05-25-2026  incident}:    impacted by   EXN_047_H_Hina  ,Cause: Probleme energie    Action: RCA attendu de IHS      ;      {05-25-2026 ticket}: INC-20260525-00020909...Grid Outage"/>
  </r>
  <r>
    <s v="Bamenkombo"/>
    <s v="OST_155"/>
    <s v="OUEST"/>
    <s v="IHS"/>
    <s v="Grid-Gen"/>
    <s v="OUEST"/>
    <s v="Bamenkombo"/>
    <s v="NOKIA"/>
    <n v="0.105759690646131"/>
    <n v="0.1490436507779477"/>
    <n v="3.376845980273158"/>
    <n v="10.86851927388414"/>
    <n v="4.382863454890762"/>
    <n v="1.622906738228616"/>
    <n v="0.0002675261747608899"/>
    <n v="0.000285361253078186"/>
    <n v="0.2400447051286128"/>
    <n v="0.152980798810423"/>
    <n v="0.1138650116970775"/>
    <n v="0.001248455482217681"/>
    <n v="0.160237676926826"/>
    <n v="0.0002853612530783018"/>
    <n v="0.1955616337502464"/>
    <n v="0.1045492290965748"/>
    <n v="0.000267526174760832"/>
    <n v="0.05304152291593531"/>
    <n v="0.000285361253078186"/>
    <n v="0.05131152031914787"/>
    <n v="0"/>
    <n v="0.1517586814027218"/>
    <n v="0.0002496910964433043"/>
    <n v="0.1112017133089637"/>
    <m/>
    <n v="0.1992713300402646"/>
    <m/>
    <n v="0.1178541975213524"/>
    <m/>
    <n v="0.07223206718545326"/>
    <m/>
    <m/>
    <n v="0.0003031963313957717"/>
    <n v="0.0002496910964434779"/>
    <n v="0.0002185318825809571"/>
    <n v="0.0002765549741591343"/>
    <m/>
    <n v="0.05400461714507482"/>
    <n v="0.2008321043607544"/>
    <n v="0.3376170051443158"/>
    <n v="0.08710822843409584"/>
    <n v="0.1874466731158309"/>
    <x v="0"/>
    <m/>
    <x v="2"/>
    <x v="1"/>
    <s v="no root cause"/>
    <x v="1"/>
    <s v=""/>
  </r>
  <r>
    <s v="Bariki-IHS"/>
    <s v="EXN_167"/>
    <s v="EXTREME-NORD"/>
    <s v="IHS"/>
    <s v="Solar-Gen"/>
    <s v="EXTREME-NORD"/>
    <s v="Bariki"/>
    <s v="NOKIA"/>
    <n v="0.4425830748685767"/>
    <n v="0"/>
    <n v="0.4867514153342073"/>
    <n v="0"/>
    <n v="0"/>
    <n v="0.002586236022458953"/>
    <n v="0"/>
    <n v="0"/>
    <n v="0"/>
    <n v="0.0009809860774845072"/>
    <n v="0"/>
    <n v="0"/>
    <n v="0"/>
    <n v="0"/>
    <n v="0.3820958606258671"/>
    <n v="0.00276459712745598"/>
    <n v="0"/>
    <n v="0"/>
    <n v="0"/>
    <n v="0"/>
    <n v="0"/>
    <n v="0"/>
    <n v="0"/>
    <n v="0"/>
    <m/>
    <n v="0.03879354033688343"/>
    <m/>
    <n v="0"/>
    <m/>
    <n v="0.0007134444199886235"/>
    <m/>
    <m/>
    <n v="0.672614308583952"/>
    <n v="1.230816589761809"/>
    <n v="0.8267254821295423"/>
    <n v="2.922033622216795"/>
    <m/>
    <n v="2.092523184896212"/>
    <n v="0.8707720345790918"/>
    <n v="0.1875463416782904"/>
    <n v="0"/>
    <n v="0.1873076360928836"/>
    <x v="1"/>
    <m/>
    <x v="4"/>
    <x v="0"/>
    <s v="Defaut GE &amp; Power Cabinet"/>
    <x v="0"/>
    <s v="  {05-25-2026 groupe whatsapp incident}:    impacted by   Bariki-IHS_GD_EXN_167   ,RCA: Power issue / En attente RCA IHS"/>
  </r>
  <r>
    <s v="Nsimalen"/>
    <s v="CTR_010"/>
    <s v="Yaounde"/>
    <s v="IHS"/>
    <s v="Grid-Gen"/>
    <s v="CENTRE"/>
    <s v="Yaounde"/>
    <s v="ZTE"/>
    <n v="0"/>
    <n v="0"/>
    <n v="0"/>
    <n v="0.01112908887005542"/>
    <n v="0"/>
    <n v="0"/>
    <n v="0.01139661504481589"/>
    <n v="0"/>
    <n v="0"/>
    <n v="0"/>
    <n v="0"/>
    <n v="0"/>
    <n v="0.1485483673055907"/>
    <n v="0"/>
    <n v="0"/>
    <n v="0"/>
    <n v="10.03915156392235"/>
    <n v="0"/>
    <n v="0"/>
    <n v="0.440116227638379"/>
    <n v="1.99788547311469"/>
    <n v="0"/>
    <n v="0"/>
    <n v="0"/>
    <m/>
    <n v="5.335934401155143"/>
    <m/>
    <n v="1.008448833300517"/>
    <m/>
    <n v="0"/>
    <m/>
    <m/>
    <n v="0"/>
    <n v="0"/>
    <n v="0"/>
    <n v="0"/>
    <m/>
    <n v="0"/>
    <n v="1.096957943159519"/>
    <n v="0.05068239542213528"/>
    <n v="0.02578704524511476"/>
    <n v="0.1871078066277999"/>
    <x v="0"/>
    <m/>
    <x v="5"/>
    <x v="2"/>
    <s v="IP &amp; VLAN"/>
    <x v="2"/>
    <s v="{05-25-2026 goupe whatsapp incident}:    impacted by    CTR_007_Z_Messamendongo(CTR-007)  ,Cause: Boucle etherneet  ,Action: Desactivation de la bouclee      ;      {05-25-2026 ticket}: INC-20260525-00021848...Grid Outage"/>
  </r>
  <r>
    <s v="Mansouen"/>
    <s v="OST_293"/>
    <s v="OUEST"/>
    <s v="CAMUSAT"/>
    <s v="Hybrid Solar - S3"/>
    <s v="OUEST"/>
    <s v="Mansouen"/>
    <s v="NOKIA"/>
    <n v="0"/>
    <n v="0.01765373815400654"/>
    <n v="0.01528708515080016"/>
    <n v="0.002140209398087672"/>
    <n v="0.007700154936338217"/>
    <n v="0.01462177484004905"/>
    <n v="0.0254340477935856"/>
    <n v="0.009974625651842144"/>
    <n v="0.01095355036188846"/>
    <n v="0.005941692894959323"/>
    <n v="0.09706306396066806"/>
    <n v="56.22554810762686"/>
    <n v="4.678255232695516"/>
    <n v="4.626811687255481"/>
    <n v="4.621354153290357"/>
    <n v="4.937373905996296"/>
    <n v="4.626740346942211"/>
    <n v="4.766977567751895"/>
    <n v="4.681012490262047"/>
    <n v="4.624939004032154"/>
    <n v="0"/>
    <n v="4.630396537997277"/>
    <n v="4.626758182020529"/>
    <n v="4.626544161080721"/>
    <m/>
    <n v="4.621514668995214"/>
    <m/>
    <n v="4.623761888863206"/>
    <m/>
    <n v="4.634980153124849"/>
    <m/>
    <m/>
    <n v="4.621300648055405"/>
    <n v="2.552128366906084"/>
    <n v="0.02004662802875307"/>
    <n v="0"/>
    <m/>
    <n v="0.02249003375823627"/>
    <n v="0.5912557102262509"/>
    <n v="0.2988348786682578"/>
    <n v="0"/>
    <n v="0.1847535762899042"/>
    <x v="0"/>
    <m/>
    <x v="14"/>
    <x v="2"/>
    <s v="SAT"/>
    <x v="2"/>
    <s v="Impacts :Coupure franche (25 sites VSAT Nokia)  ,Indisponibilité de plusieurs sites VSAT dans plusieurs regions @~Supervision Reseau Orange Cameroun  ; Cause: A Determiner_x000a_Action: Sans action      ;      {05-25-2026 ticket}: INC-20260525-00018519...Grid Outage"/>
  </r>
  <r>
    <s v="Ebal-IHS"/>
    <s v="NRO_101"/>
    <s v="NORD-OUEST"/>
    <s v="IHS"/>
    <s v="Gen Only"/>
    <s v="NORD-OUEST"/>
    <s v="Ebal"/>
    <s v="NOKIA"/>
    <n v="0.3197623730487604"/>
    <n v="1.387917198245419"/>
    <n v="0.5616777062018017"/>
    <n v="0.003121138705544201"/>
    <n v="4.105378006190963"/>
    <n v="9.296473419098129"/>
    <n v="9.296365205869778"/>
    <n v="6.096271373475337"/>
    <n v="1.026059937754652"/>
    <n v="0"/>
    <n v="0.7767701850671606"/>
    <n v="0.003745366446653041"/>
    <n v="0.01402258705066797"/>
    <n v="0.008917539158697864"/>
    <n v="0.006331452802675454"/>
    <n v="0"/>
    <n v="0.01316228779823822"/>
    <n v="0.08357517699531707"/>
    <n v="0.1878212097604963"/>
    <n v="0"/>
    <n v="0"/>
    <n v="0.3817063461489072"/>
    <n v="0"/>
    <n v="0"/>
    <m/>
    <n v="3.466390151612433"/>
    <m/>
    <n v="0.08084641001275567"/>
    <m/>
    <n v="0.1998242174681037"/>
    <m/>
    <m/>
    <n v="0.06780896776273924"/>
    <n v="0.04308954921482848"/>
    <n v="0.01628342650378246"/>
    <n v="0.2060129896442401"/>
    <m/>
    <n v="2.45230543356362"/>
    <n v="0.4974591241721921"/>
    <n v="0.3296480750464959"/>
    <n v="0"/>
    <n v="0.1817037778976295"/>
    <x v="1"/>
    <m/>
    <x v="2"/>
    <x v="1"/>
    <s v="no root cause"/>
    <x v="1"/>
    <s v="{05-25-2026 ticket}: INC-20260525-00015918...Others"/>
  </r>
  <r>
    <s v="Sibongo"/>
    <s v="LIT_507"/>
    <s v="LITTORAL"/>
    <s v="IHS"/>
    <s v="Grid-Gen"/>
    <s v="LITTORAL"/>
    <s v="Sibongo"/>
    <s v="NOKIA"/>
    <n v="0"/>
    <n v="0"/>
    <n v="0"/>
    <n v="0"/>
    <n v="0"/>
    <n v="0"/>
    <n v="0"/>
    <n v="0"/>
    <n v="0"/>
    <n v="0"/>
    <n v="0"/>
    <n v="0"/>
    <n v="0"/>
    <n v="0"/>
    <n v="0.02769787662691565"/>
    <n v="0.001070166629983192"/>
    <n v="0"/>
    <n v="0"/>
    <n v="0"/>
    <n v="0"/>
    <n v="0"/>
    <n v="0"/>
    <n v="0.05473750684780107"/>
    <n v="0"/>
    <m/>
    <n v="0"/>
    <m/>
    <n v="0"/>
    <m/>
    <n v="0.001016656234119299"/>
    <m/>
    <m/>
    <n v="0"/>
    <n v="0"/>
    <n v="0"/>
    <n v="0.01239595229177799"/>
    <m/>
    <n v="0.5306470851774805"/>
    <n v="0.6238534585086868"/>
    <n v="0.2725531820990444"/>
    <n v="0"/>
    <n v="0.180585463058938"/>
    <x v="0"/>
    <m/>
    <x v="2"/>
    <x v="1"/>
    <s v="no root cause"/>
    <x v="1"/>
    <s v=""/>
  </r>
  <r>
    <s v="Activa-Akwa"/>
    <s v="LIT_367"/>
    <s v="Douala"/>
    <s v="IHS"/>
    <s v="Grid-Gen (LL)"/>
    <s v="LITTORAL"/>
    <s v="Douala"/>
    <s v="ZTE"/>
    <n v="0.3335159645353032"/>
    <n v="0.5036447766049432"/>
    <n v="0"/>
    <n v="0"/>
    <n v="0.3006280801180254"/>
    <n v="0.2362612824705437"/>
    <n v="0.2763902086846842"/>
    <n v="1.319064557276284"/>
    <n v="0.1245780220470105"/>
    <n v="0.11649873156923"/>
    <n v="0.933166967722789"/>
    <n v="13.42421375840746"/>
    <n v="0.5841701552079867"/>
    <n v="0.1197803859796314"/>
    <n v="0.1576620923257798"/>
    <n v="0.6321108457251456"/>
    <n v="0.1200657472327093"/>
    <n v="0.1201192524676615"/>
    <n v="0.1159458441413906"/>
    <n v="0"/>
    <n v="8.164729212076693"/>
    <n v="0.8105508042906918"/>
    <n v="1.558446978452372"/>
    <n v="0"/>
    <m/>
    <n v="0"/>
    <m/>
    <n v="0.5853829405335692"/>
    <m/>
    <n v="2.868486986100053"/>
    <m/>
    <m/>
    <n v="0.1129673860623856"/>
    <n v="0"/>
    <n v="0"/>
    <n v="0.9403366692063824"/>
    <m/>
    <n v="0.6793916383445621"/>
    <n v="0.08293066995991351"/>
    <n v="0.1647974744229223"/>
    <n v="0.2169326631163989"/>
    <n v="0.1802948067105551"/>
    <x v="0"/>
    <m/>
    <x v="2"/>
    <x v="1"/>
    <s v="no root cause"/>
    <x v="1"/>
    <s v=""/>
  </r>
  <r>
    <s v="Ngd-Mbiassoro"/>
    <s v="ADM_166"/>
    <s v="Ngaoundere"/>
    <s v="CAMUSAT"/>
    <s v="Hybrid Solar - S3"/>
    <s v="ADAMAOUA"/>
    <s v="Ngaoundere"/>
    <s v="Huawei"/>
    <n v="0"/>
    <n v="0"/>
    <n v="0"/>
    <n v="0"/>
    <n v="0"/>
    <n v="0"/>
    <n v="0"/>
    <n v="0"/>
    <n v="0.1656700424902906"/>
    <n v="3.501971132855639"/>
    <n v="0.6122604035578841"/>
    <n v="0.004013326188172748"/>
    <n v="0.1912812149540711"/>
    <n v="1.248009605259779"/>
    <n v="0.7847434459654198"/>
    <n v="1.791997329018671"/>
    <n v="0.3757494299908971"/>
    <n v="5.816554091652327"/>
    <n v="14.29535032374234"/>
    <n v="0.04690625597475125"/>
    <n v="0.008241199790076342"/>
    <n v="5.788196317127667"/>
    <n v="27.20696609622953"/>
    <n v="0.339847417337979"/>
    <m/>
    <n v="0"/>
    <m/>
    <n v="0"/>
    <m/>
    <n v="0"/>
    <m/>
    <m/>
    <n v="7.726494793583938"/>
    <n v="0.5484999985731938"/>
    <n v="0.1853064637177435"/>
    <n v="0.2238837381182708"/>
    <m/>
    <n v="0"/>
    <n v="0.184845469187759"/>
    <n v="0.2367303501059124"/>
    <n v="0.1402213335609707"/>
    <n v="0.1789928459933853"/>
    <x v="0"/>
    <m/>
    <x v="2"/>
    <x v="1"/>
    <s v="no root cause"/>
    <x v="1"/>
    <s v=""/>
  </r>
  <r>
    <s v="Bfsam-Tougang-II"/>
    <s v="OST_231"/>
    <s v="Bafoussam"/>
    <s v="CAMUSAT"/>
    <s v="Good Grid + GE"/>
    <s v="OUEST"/>
    <s v="Bafoussam"/>
    <s v="Huawei"/>
    <n v="0.4680994655183729"/>
    <n v="0.7980305793118798"/>
    <n v="0.436567047053217"/>
    <n v="0"/>
    <n v="0"/>
    <n v="0"/>
    <n v="0"/>
    <n v="0.1358141213869698"/>
    <n v="0.3535804276423739"/>
    <n v="0.1468718699437553"/>
    <n v="0.5646942496853892"/>
    <n v="0"/>
    <n v="0"/>
    <n v="0.2435023242674064"/>
    <n v="0.1507955871735824"/>
    <n v="0.1453023830518244"/>
    <n v="1.798810328935916"/>
    <n v="0"/>
    <n v="0.2935297189477019"/>
    <n v="0.1452488778168722"/>
    <n v="0"/>
    <n v="0"/>
    <n v="4.592764522747572"/>
    <n v="17.76826811401894"/>
    <m/>
    <n v="15.55645087648709"/>
    <m/>
    <n v="15.64334337804944"/>
    <m/>
    <n v="15.40950766623006"/>
    <m/>
    <m/>
    <n v="1.475264173180037"/>
    <n v="0.2791011405889286"/>
    <n v="0"/>
    <n v="0.2171064083576604"/>
    <m/>
    <n v="0.07740423989749823"/>
    <n v="0.170482476649521"/>
    <n v="0.2172861606672311"/>
    <n v="0.1532174571593046"/>
    <n v="0.1771915030833283"/>
    <x v="0"/>
    <m/>
    <x v="2"/>
    <x v="1"/>
    <s v="no root cause"/>
    <x v="1"/>
    <s v=""/>
  </r>
  <r>
    <s v="Ako"/>
    <s v="NRO_231"/>
    <s v="NORD-OUEST"/>
    <s v="IHS"/>
    <s v="Grid-Gen"/>
    <s v="NORD-OUEST"/>
    <s v="Ako"/>
    <s v="NOKIA"/>
    <n v="0"/>
    <n v="0.00252497532817799"/>
    <n v="0.003138183622164073"/>
    <n v="0.0005591016798108406"/>
    <n v="0.001965873648367149"/>
    <n v="0.03522340582808296"/>
    <n v="0.02847811459423604"/>
    <n v="0.7513605155135362"/>
    <n v="0.003264432388572973"/>
    <n v="0.1468273153335501"/>
    <n v="1.048351720721443"/>
    <n v="0.8908621619539255"/>
    <n v="0.007250286299482515"/>
    <n v="0.009541766899806813"/>
    <n v="0"/>
    <n v="0.009684447526345979"/>
    <n v="0.001783507831739591"/>
    <n v="0.240648711736623"/>
    <n v="0.03433252576098712"/>
    <n v="0.004280418796175018"/>
    <n v="0"/>
    <n v="0.002336395259578864"/>
    <n v="0.0009809293074567748"/>
    <n v="0.01514198149146913"/>
    <m/>
    <n v="0"/>
    <m/>
    <n v="0"/>
    <m/>
    <n v="0.00972011768298077"/>
    <m/>
    <m/>
    <n v="0"/>
    <n v="0.002229384789674489"/>
    <n v="0.05892709876067609"/>
    <n v="0.2763367034497322"/>
    <m/>
    <n v="2.064749181726607"/>
    <n v="1.231970073018956"/>
    <n v="0"/>
    <n v="0"/>
    <n v="0.1759252125227933"/>
    <x v="1"/>
    <m/>
    <x v="14"/>
    <x v="2"/>
    <s v="SAT"/>
    <x v="2"/>
    <s v="Impacts :Coupure franche (25 sites VSAT Nokia)  ,Indisponibilité de plusieurs sites VSAT dans plusieurs regions @~Supervision Reseau Orange Cameroun  ; Cause: A Determiner_x000a_Action: Sans action      ;      {05-25-2026 ticket}: INC-20260525-00018479...Others Transmission equipement fault"/>
  </r>
  <r>
    <s v="Kanje-I"/>
    <s v="ADM_041"/>
    <s v="ADAMAOUA"/>
    <s v="IHS"/>
    <s v="Hybrid-Gen"/>
    <s v="ADAMAOUA"/>
    <s v="Kanje-I"/>
    <s v="NOKIA"/>
    <n v="0.001605435770053306"/>
    <n v="0"/>
    <n v="0.02515401146660729"/>
    <n v="0.007313228548621903"/>
    <n v="0.002943298911764566"/>
    <n v="0.08658913481126652"/>
    <n v="0.03440713672663248"/>
    <n v="0.1367705666427117"/>
    <n v="0.02500764943391707"/>
    <n v="0"/>
    <n v="0"/>
    <n v="0"/>
    <n v="0"/>
    <n v="0"/>
    <n v="0"/>
    <n v="0.001070290513369213"/>
    <n v="0.7284520583732265"/>
    <n v="0"/>
    <n v="0"/>
    <n v="0"/>
    <n v="0"/>
    <n v="0.002140581026737913"/>
    <n v="0.002586535407308504"/>
    <n v="0"/>
    <m/>
    <n v="0.009721242826826515"/>
    <m/>
    <n v="0"/>
    <m/>
    <n v="0"/>
    <m/>
    <m/>
    <n v="0"/>
    <n v="0"/>
    <n v="0"/>
    <n v="0.0005351452566846066"/>
    <m/>
    <n v="0.02880559209766737"/>
    <n v="0.3119891770479879"/>
    <n v="0.1349639809031066"/>
    <n v="0.1639563592905588"/>
    <n v="0.1753623561564046"/>
    <x v="0"/>
    <m/>
    <x v="2"/>
    <x v="1"/>
    <s v="no root cause"/>
    <x v="1"/>
    <s v="{05-25-2026 ticket}: INC-20260525-00017972...Others"/>
  </r>
  <r>
    <s v="Makor"/>
    <s v="ADM_015"/>
    <s v="ADAMAOUA"/>
    <s v="CAMUSAT"/>
    <s v="Hybrid Solar - S3"/>
    <s v="ADAMAOUA"/>
    <s v="Makor"/>
    <s v="NOKIA"/>
    <n v="0.02485297144449479"/>
    <n v="0.04978129209249819"/>
    <n v="0.005261957126447531"/>
    <n v="0.04643492659630045"/>
    <n v="0.01293267703654201"/>
    <n v="0"/>
    <n v="0.0469621335820996"/>
    <n v="0.08742646524820839"/>
    <n v="0.09641770771054552"/>
    <n v="0.01853274182315652"/>
    <n v="0.2080299851509208"/>
    <n v="5.350523495200429e-05"/>
    <n v="0.001427054017825275"/>
    <n v="1.129407031252815"/>
    <n v="3.496591628519493"/>
    <n v="0.004191971177361981"/>
    <n v="0.04633683416887124"/>
    <n v="1.587561258839371"/>
    <n v="4.692791817308646"/>
    <n v="2.22380841815766"/>
    <n v="0.000178350783173888"/>
    <n v="0"/>
    <n v="0.001516244893939291"/>
    <n v="0.00133786314171126"/>
    <m/>
    <n v="0.01241463900295029"/>
    <m/>
    <n v="0.03287121067849332"/>
    <m/>
    <n v="0.001694528566144138"/>
    <m/>
    <m/>
    <n v="0.009185065333458892"/>
    <n v="0.0214563218689195"/>
    <n v="0.00330006241622097"/>
    <n v="0.009220735490093685"/>
    <m/>
    <n v="0.2048497027495643"/>
    <n v="0.2669018700366493"/>
    <n v="0.1368237207974409"/>
    <n v="0.1658031768545329"/>
    <n v="0.1705113232457628"/>
    <x v="0"/>
    <m/>
    <x v="2"/>
    <x v="1"/>
    <s v="no root cause"/>
    <x v="1"/>
    <s v="{05-25-2026 ticket}: INC-20260525-00017995...Others"/>
  </r>
  <r>
    <s v="Koweit-City-II-HIS"/>
    <s v="CTR_604"/>
    <s v="Yaounde"/>
    <s v="IHS"/>
    <s v="Grid-Gen"/>
    <s v="CENTRE"/>
    <s v="Yaounde"/>
    <s v="ZTE"/>
    <n v="0"/>
    <n v="0"/>
    <n v="0.1720371654496005"/>
    <n v="0.2844159939275124"/>
    <n v="4.740795672781958"/>
    <n v="4.360391287350221"/>
    <n v="2.602102256351428"/>
    <n v="3.589238171062656"/>
    <n v="9.104379439150993"/>
    <n v="11.07189177389116"/>
    <n v="6.052619188261379"/>
    <n v="0"/>
    <n v="0"/>
    <n v="0"/>
    <n v="0"/>
    <n v="4.720749044753204"/>
    <n v="11.97407921057663"/>
    <n v="0"/>
    <n v="0"/>
    <n v="0"/>
    <n v="9.410340207685921"/>
    <n v="0"/>
    <n v="0"/>
    <n v="0.05420080300656607"/>
    <m/>
    <n v="0"/>
    <m/>
    <n v="0.2007159713839738"/>
    <m/>
    <n v="0"/>
    <m/>
    <m/>
    <n v="0"/>
    <n v="1.019203385525907"/>
    <n v="0"/>
    <n v="0.5948355320417883"/>
    <m/>
    <n v="0"/>
    <n v="0.06469591421571566"/>
    <n v="0.05195742423778877"/>
    <n v="0.2723029897103523"/>
    <n v="0.1686841707259303"/>
    <x v="0"/>
    <m/>
    <x v="5"/>
    <x v="2"/>
    <s v="IP &amp; VLAN"/>
    <x v="2"/>
    <s v="{05-25-2026 goupe whatsapp incident}:    impacted by    CTR_007_Z_Messamendongo(CTR-007)  ,Cause: Boucle etherneet  ,Action: Desactivation de la bouclee      ;      {05-25-2026 ticket}: INC-20260525-00022732...Auto TT closure RCA...Others"/>
  </r>
  <r>
    <s v="Mbantinbang-FH"/>
    <s v="ADM_055"/>
    <s v="ADAMAOUA"/>
    <s v="IHS"/>
    <s v="Solar-Gen"/>
    <s v="ADAMAOUA"/>
    <s v="Mbantinbang"/>
    <s v="NOKIA"/>
    <n v="0.002140581026737913"/>
    <n v="0"/>
    <n v="0"/>
    <n v="0"/>
    <n v="0"/>
    <n v="0"/>
    <n v="0.04252084135927191"/>
    <n v="0.1563746544911283"/>
    <n v="0.4906753068881366"/>
    <n v="0.0004459285700377957"/>
    <n v="0"/>
    <n v="0.001426806265391673"/>
    <n v="0"/>
    <n v="0"/>
    <n v="0"/>
    <n v="0.00133786314171126"/>
    <n v="0.7839037014791844"/>
    <n v="0"/>
    <n v="0"/>
    <n v="0"/>
    <n v="0.001070104699043754"/>
    <n v="0"/>
    <n v="0.002318962778966116"/>
    <n v="0"/>
    <m/>
    <n v="0.004816028556409563"/>
    <m/>
    <n v="0"/>
    <m/>
    <n v="0"/>
    <m/>
    <m/>
    <n v="0"/>
    <n v="0"/>
    <n v="0"/>
    <n v="0"/>
    <m/>
    <n v="0.01908534542834358"/>
    <n v="0.2661524965129152"/>
    <n v="0.1299135937110173"/>
    <n v="0.1649823690483228"/>
    <n v="0.1676564615318091"/>
    <x v="0"/>
    <m/>
    <x v="2"/>
    <x v="1"/>
    <s v="no root cause"/>
    <x v="1"/>
    <s v="{05-25-2026 ticket}: INC-20260525-00017985...Others"/>
  </r>
  <r>
    <s v="Ngoum-II-MTN"/>
    <s v="CTR_367"/>
    <s v="CENTRE"/>
    <s v="IHS"/>
    <s v="Solar-Gen"/>
    <s v="CENTRE"/>
    <s v="Ngoum-II"/>
    <s v="NOKIA"/>
    <n v="0.07561616236214738"/>
    <n v="0.02803015129802558"/>
    <n v="0.001337630873804731"/>
    <n v="0"/>
    <n v="0.01439471233980749"/>
    <n v="0.2240086167225849"/>
    <n v="0.06151901012645462"/>
    <n v="0.189517163394477"/>
    <n v="1.014280181865995"/>
    <n v="0"/>
    <n v="0.04145275455898167"/>
    <n v="0.009185065333458845"/>
    <n v="0"/>
    <n v="0"/>
    <n v="0"/>
    <n v="0"/>
    <n v="0.7838338569712325"/>
    <n v="0.2976317869607031"/>
    <n v="0"/>
    <n v="0.001337630873804731"/>
    <n v="0"/>
    <n v="0.003317324567035302"/>
    <n v="0.0008917539158696494"/>
    <n v="0"/>
    <m/>
    <n v="0"/>
    <m/>
    <n v="1.101119900237706"/>
    <m/>
    <n v="1.078774825504554"/>
    <m/>
    <m/>
    <n v="0.006331452802675454"/>
    <n v="0.2832210436802474"/>
    <n v="0"/>
    <n v="0"/>
    <m/>
    <n v="0.02850045515119913"/>
    <n v="0.2241875791838023"/>
    <n v="0.1333467636368583"/>
    <n v="0.1699072158855869"/>
    <n v="0.1653846812372128"/>
    <x v="0"/>
    <m/>
    <x v="2"/>
    <x v="1"/>
    <s v="no root cause"/>
    <x v="1"/>
    <s v=""/>
  </r>
  <r>
    <s v="Stade-Omnisport-Roumde-Adja"/>
    <s v="NRD_174"/>
    <s v="Garoua"/>
    <s v="CAMUSAT"/>
    <s v="Medium Grid + GE"/>
    <s v="NORD"/>
    <s v="Garoua"/>
    <s v="Huawei"/>
    <n v="0"/>
    <n v="0"/>
    <n v="0"/>
    <n v="1.556752646012219"/>
    <n v="0"/>
    <n v="8.122308686681905"/>
    <n v="4.191510930762799"/>
    <n v="0"/>
    <n v="0.8666956308338541"/>
    <n v="0"/>
    <n v="1.449207123758322"/>
    <n v="0"/>
    <n v="0"/>
    <n v="1.972399146199131"/>
    <n v="0.3333376137521295"/>
    <n v="0"/>
    <n v="0"/>
    <n v="0.5596647575998835"/>
    <n v="1.32785725088676"/>
    <n v="1.594456001575194"/>
    <n v="0.1969527698590033"/>
    <n v="0"/>
    <n v="5.075328236781353"/>
    <n v="1.867386205066303"/>
    <m/>
    <n v="4.330624541638486"/>
    <m/>
    <n v="0"/>
    <m/>
    <n v="5.238055491349273"/>
    <m/>
    <m/>
    <n v="0"/>
    <n v="0"/>
    <n v="0"/>
    <n v="0.6299171310921061"/>
    <m/>
    <n v="0"/>
    <n v="0.2285589247389183"/>
    <n v="0.2770531364008827"/>
    <n v="0.07592472207447684"/>
    <n v="0.1652420006106731"/>
    <x v="0"/>
    <m/>
    <x v="2"/>
    <x v="1"/>
    <s v="no root cause"/>
    <x v="1"/>
    <s v=""/>
  </r>
  <r>
    <s v="Minkwele-II"/>
    <s v="LIT_621"/>
    <s v="Douala"/>
    <s v="IHS"/>
    <s v="Grid-Gen"/>
    <s v="LITTORAL"/>
    <s v="Douala"/>
    <s v="ZTE"/>
    <n v="0"/>
    <n v="7.02482714242095"/>
    <n v="0"/>
    <n v="7.091833531659406"/>
    <n v="10.87914808251506"/>
    <n v="0"/>
    <n v="6.384904532392782"/>
    <n v="0"/>
    <n v="0.1323006109584432"/>
    <n v="0"/>
    <n v="0"/>
    <n v="0.006349287880993121"/>
    <n v="0"/>
    <n v="0"/>
    <n v="0"/>
    <n v="0"/>
    <n v="0"/>
    <n v="0"/>
    <n v="0"/>
    <n v="0"/>
    <n v="0.02056831908674675"/>
    <n v="0"/>
    <n v="0"/>
    <n v="0"/>
    <m/>
    <n v="0"/>
    <m/>
    <n v="0"/>
    <m/>
    <n v="0"/>
    <m/>
    <m/>
    <n v="0"/>
    <n v="0"/>
    <n v="3.082989473023374"/>
    <n v="7.8558347815417"/>
    <m/>
    <n v="0"/>
    <n v="0.07980828027768785"/>
    <n v="0.06731089622625487"/>
    <n v="0.2451821317801465"/>
    <n v="0.1618533357303681"/>
    <x v="0"/>
    <m/>
    <x v="2"/>
    <x v="1"/>
    <s v="no root cause"/>
    <x v="1"/>
    <s v=""/>
  </r>
  <r>
    <s v="Pang-Camtel"/>
    <s v="ADM_038"/>
    <s v="ADAMAOUA"/>
    <s v="CAMUSAT"/>
    <s v="Hybrid Solar - S3"/>
    <s v="ADAMAOUA"/>
    <s v="Pang"/>
    <s v="NOKIA"/>
    <n v="0.309783438584947"/>
    <n v="0.009632057112818955"/>
    <n v="0.003299871418280715"/>
    <n v="0.2301174714854306"/>
    <n v="0.2156035140347553"/>
    <n v="0"/>
    <n v="0.05520059360548436"/>
    <n v="0.1020659908324137"/>
    <n v="0.02702327134429744"/>
    <n v="0.2179792865938391"/>
    <n v="0.1051534813151164"/>
    <n v="0"/>
    <n v="0.003300062416221141"/>
    <n v="0.01232568047719357"/>
    <n v="0.004923240357429286"/>
    <n v="0.1868953217530804"/>
    <n v="0.5837504656822875"/>
    <n v="0.1730565087718951"/>
    <n v="0.1013456452176763"/>
    <n v="0"/>
    <n v="0"/>
    <n v="0.01382458579768268"/>
    <n v="0.002051390150623897"/>
    <n v="0.005708216071301272"/>
    <m/>
    <n v="0.0399358577236715"/>
    <m/>
    <n v="5.70657505518486"/>
    <m/>
    <n v="0"/>
    <m/>
    <m/>
    <n v="0.003638355976748765"/>
    <n v="0"/>
    <n v="0.001427054017825275"/>
    <n v="0.01995974434717727"/>
    <m/>
    <n v="0.03396204076767879"/>
    <n v="0.5271842739469803"/>
    <n v="0.2550451067586122"/>
    <n v="0"/>
    <n v="0.1609034496110608"/>
    <x v="0"/>
    <m/>
    <x v="11"/>
    <x v="7"/>
    <s v="BSS Hardware issue"/>
    <x v="2"/>
    <s v="(05/25/2026 cell nokia): _x000a_25/05/2026; Relance faite au PM _x000a_22/05/2026 : Check breaker and  interconnection (sfp, optical fiber) between system and radio module, swap its if needed || FME activer || En attente d'un ETA pour intervention       ;      (05/25/2026 cell nokia): _x000a_25/05/2026; Relance faite au PM _x000a_22/05/2026 : Check breaker and  interconnection (sfp, optical fiber) between system and radio module, swap its if needed || FME activer || En attente d'un ETA pour intervention "/>
  </r>
  <r>
    <s v="Fougerole-MTN-IHS"/>
    <s v="CTR_473"/>
    <s v="Yaounde"/>
    <s v="IHS"/>
    <s v="Grid-Gen"/>
    <s v="CENTRE"/>
    <s v="Yaounde"/>
    <s v="ZTE"/>
    <n v="0"/>
    <n v="50.46570956502384"/>
    <n v="24.76650315466866"/>
    <n v="0"/>
    <n v="3.669603033960843"/>
    <n v="0.6298636258571536"/>
    <n v="0"/>
    <n v="0"/>
    <n v="4.184983292098632"/>
    <n v="0"/>
    <n v="0.1846465658200002"/>
    <n v="0"/>
    <n v="0"/>
    <n v="0"/>
    <n v="0"/>
    <n v="0"/>
    <n v="0"/>
    <n v="0"/>
    <n v="0"/>
    <n v="0"/>
    <n v="0.1117010955018508"/>
    <n v="0"/>
    <n v="0"/>
    <n v="0"/>
    <m/>
    <n v="0"/>
    <m/>
    <n v="0"/>
    <m/>
    <n v="0"/>
    <m/>
    <m/>
    <n v="0"/>
    <n v="0"/>
    <n v="0"/>
    <n v="0.001551651813613444"/>
    <m/>
    <n v="0"/>
    <n v="0.08205640084889032"/>
    <n v="0.06980782765690373"/>
    <n v="0.2311257980987907"/>
    <n v="0.1556823986325487"/>
    <x v="0"/>
    <m/>
    <x v="2"/>
    <x v="1"/>
    <s v="no root cause"/>
    <x v="1"/>
    <s v=""/>
  </r>
  <r>
    <s v="Gor-IHS"/>
    <s v="NRD_091"/>
    <s v="NORD"/>
    <s v="IHS"/>
    <s v="Hybrid-Gen"/>
    <s v="NORD"/>
    <s v="Gor"/>
    <s v="NOKIA"/>
    <n v="1.129669619283303"/>
    <n v="0.001337708287478733"/>
    <n v="1.420431316717618"/>
    <n v="1.705800464709601"/>
    <n v="0.1292145878593319"/>
    <n v="0.04894702591711682"/>
    <n v="0.4585826782377502"/>
    <n v="1.27406708090172"/>
    <n v="1.124330287048397"/>
    <n v="0.5258497200927641"/>
    <n v="0.1824411155341606"/>
    <n v="0"/>
    <n v="0"/>
    <n v="0"/>
    <n v="0"/>
    <n v="0"/>
    <n v="1.004500775147206"/>
    <n v="0.1454110088870605"/>
    <n v="0"/>
    <n v="0.02966111836613905"/>
    <n v="0"/>
    <n v="0.007669083676480393"/>
    <n v="0.1171267267758092"/>
    <n v="0.02876892577278285"/>
    <m/>
    <n v="0.02755679072206214"/>
    <m/>
    <n v="0"/>
    <m/>
    <n v="0.2198968915855343"/>
    <m/>
    <m/>
    <n v="0.10793789397688"/>
    <n v="0"/>
    <n v="0"/>
    <n v="0.8426326273989756"/>
    <m/>
    <n v="0.6808745003674205"/>
    <n v="0.4475008892565815"/>
    <n v="0.27335012122799"/>
    <n v="0"/>
    <n v="0.1556698741322711"/>
    <x v="0"/>
    <m/>
    <x v="4"/>
    <x v="0"/>
    <s v="Defaut GE &amp; Power Cabinet"/>
    <x v="0"/>
    <s v="{05-25-2026 ticket}: INC-20260525-00007716...Grid Outage"/>
  </r>
  <r>
    <s v="Memve-ele-CAMTEL"/>
    <s v="SUD_257"/>
    <s v="CENTRE"/>
    <s v="CAMUSAT"/>
    <s v="Hybrid Solar - S3"/>
    <s v="SUD"/>
    <s v="Memve-ele"/>
    <s v="NOKIA"/>
    <n v="0.05288019758727049"/>
    <n v="0.04636936834818295"/>
    <n v="0.08781503480641882"/>
    <n v="0.02779276414801631"/>
    <n v="0.02986685102473394"/>
    <n v="0.06721845034370977"/>
    <n v="0.05630694981836919"/>
    <n v="0.06835468924138989"/>
    <n v="0.04274422519844169"/>
    <n v="0.05262770005445268"/>
    <n v="0.06685773958254149"/>
    <n v="0"/>
    <n v="0.03744177700926792"/>
    <n v="0.04169841310607163"/>
    <n v="0.07182186038415332"/>
    <n v="0.1370982470258224"/>
    <n v="0.1080805746034192"/>
    <n v="0.1724295371725836"/>
    <n v="0.1033721139276267"/>
    <n v="0.07790362209038533"/>
    <n v="0.3051046847756915"/>
    <n v="0.04275068272679799"/>
    <n v="0.09830695168548624"/>
    <n v="0.088836525098949"/>
    <m/>
    <n v="0.06554391281642995"/>
    <m/>
    <n v="0.05543142341046647"/>
    <m/>
    <n v="0.09614890720908134"/>
    <m/>
    <m/>
    <n v="0.08439559059791743"/>
    <n v="0.06065710135746348"/>
    <n v="0.03900531628014485"/>
    <n v="0.05785699406163232"/>
    <m/>
    <n v="0.06449164319570361"/>
    <n v="1.070979661003401"/>
    <n v="0"/>
    <n v="0"/>
    <n v="0.1529357965716699"/>
    <x v="0"/>
    <m/>
    <x v="14"/>
    <x v="2"/>
    <s v="SAT"/>
    <x v="2"/>
    <s v="Impacts :Coupure franche (25 sites VSAT Nokia)  ,Indisponibilité de plusieurs sites VSAT dans plusieurs regions @~Supervision Reseau Orange Cameroun  ; Cause: A Determiner_x000a_Action: Sans action"/>
  </r>
  <r>
    <s v="Bomono-ba-mbengue-IHS"/>
    <s v="LIT_790"/>
    <s v="Douala"/>
    <s v="IHS"/>
    <s v="Grid-Gen"/>
    <s v="LITTORAL"/>
    <s v="Dibombari"/>
    <s v="ZTE"/>
    <n v="0"/>
    <n v="2.760335071183365"/>
    <n v="0"/>
    <n v="0"/>
    <n v="0.2838274363430387"/>
    <n v="0"/>
    <n v="0.5581131057862699"/>
    <n v="1.188797145246024"/>
    <n v="0.03440386607425684"/>
    <n v="1.66611734625449"/>
    <n v="0"/>
    <n v="4.120723504921056"/>
    <n v="0"/>
    <n v="0.0006063926627914986"/>
    <n v="0.908358373783291"/>
    <n v="0"/>
    <n v="0"/>
    <n v="0"/>
    <n v="0"/>
    <n v="0"/>
    <n v="13.739930314782"/>
    <n v="0"/>
    <n v="0"/>
    <n v="0"/>
    <m/>
    <n v="1.469021895768949"/>
    <m/>
    <n v="0"/>
    <m/>
    <n v="0"/>
    <m/>
    <m/>
    <n v="0"/>
    <n v="0"/>
    <n v="0"/>
    <n v="0.03518860952022221"/>
    <m/>
    <n v="0"/>
    <n v="0.1181512255754189"/>
    <n v="0.1022148100547062"/>
    <n v="0.1872125804665248"/>
    <n v="0.1488158934803508"/>
    <x v="0"/>
    <m/>
    <x v="2"/>
    <x v="1"/>
    <s v="no root cause"/>
    <x v="1"/>
    <s v=""/>
  </r>
  <r>
    <s v="Sangmelima-Akon-MTN"/>
    <s v="SUD_258"/>
    <s v="CENTRE"/>
    <s v="IHS"/>
    <s v="Grid-Gen"/>
    <s v="SUD"/>
    <s v="Sangmelima"/>
    <s v="ZTE"/>
    <n v="0"/>
    <n v="0.1322827758801261"/>
    <n v="0"/>
    <n v="0"/>
    <n v="0"/>
    <n v="0"/>
    <n v="0"/>
    <n v="0"/>
    <n v="0"/>
    <n v="0"/>
    <n v="0"/>
    <n v="0"/>
    <n v="0"/>
    <n v="0"/>
    <n v="0.01202084278592455"/>
    <n v="0"/>
    <n v="0"/>
    <n v="0"/>
    <n v="0"/>
    <n v="0"/>
    <n v="0"/>
    <n v="0"/>
    <n v="0"/>
    <n v="0"/>
    <m/>
    <n v="0"/>
    <m/>
    <n v="0"/>
    <m/>
    <n v="0"/>
    <m/>
    <m/>
    <n v="0"/>
    <n v="0"/>
    <n v="0"/>
    <n v="0"/>
    <m/>
    <n v="0.03456438177911278"/>
    <n v="0.02185672777557962"/>
    <n v="0.03952589328519035"/>
    <n v="0.2494229721122336"/>
    <n v="0.1464616631424557"/>
    <x v="0"/>
    <m/>
    <x v="2"/>
    <x v="1"/>
    <s v="no root cause"/>
    <x v="1"/>
    <s v=""/>
  </r>
  <r>
    <s v="SUD_172_Z_Ebolowa-EPC-ELAT"/>
    <s v="SUD_172"/>
    <s v="CENTRE"/>
    <s v="ESCO"/>
    <s v="Hybrid Solar - S1"/>
    <s v="SUD"/>
    <s v="Ebolowa"/>
    <s v="ZTE"/>
    <n v="0"/>
    <n v="0"/>
    <n v="0"/>
    <n v="0"/>
    <n v="0"/>
    <n v="0"/>
    <n v="0"/>
    <n v="0"/>
    <n v="0"/>
    <n v="6.097403069916363"/>
    <n v="0"/>
    <n v="0"/>
    <n v="0"/>
    <n v="0"/>
    <n v="0"/>
    <n v="0"/>
    <n v="0"/>
    <n v="0"/>
    <n v="0"/>
    <n v="0"/>
    <n v="9.620405721151476"/>
    <n v="0"/>
    <n v="0"/>
    <n v="0"/>
    <m/>
    <n v="0.4364957067399479"/>
    <m/>
    <n v="0"/>
    <m/>
    <n v="0"/>
    <m/>
    <m/>
    <n v="13.7471000162656"/>
    <n v="0"/>
    <n v="0"/>
    <n v="0"/>
    <m/>
    <n v="0"/>
    <n v="0.0007493735237341583"/>
    <n v="0.006003260673691314"/>
    <n v="0.2732605988175986"/>
    <n v="0.1446246500757633"/>
    <x v="0"/>
    <m/>
    <x v="2"/>
    <x v="1"/>
    <s v="no root cause"/>
    <x v="1"/>
    <s v=""/>
  </r>
  <r>
    <s v="Yingui-IHS"/>
    <s v="LIT_180"/>
    <s v="LITTORAL"/>
    <s v="IHS"/>
    <s v="Solar-Gen"/>
    <s v="LITTORAL"/>
    <s v="Yingui"/>
    <s v="NOKIA"/>
    <n v="0"/>
    <n v="0.04025377176236256"/>
    <n v="0.005921246001375441"/>
    <n v="0"/>
    <n v="0.1380613412549617"/>
    <n v="0.01007681924932869"/>
    <n v="0.08271909323608222"/>
    <n v="0.07533537081268032"/>
    <n v="0.006795164838927841"/>
    <n v="0.128252048180394"/>
    <n v="0.04203727959410216"/>
    <n v="0"/>
    <n v="0.0723212425770404"/>
    <n v="0.00401289262141408"/>
    <n v="0.005974751236327629"/>
    <n v="0.01781724323907851"/>
    <n v="0.01565919876267361"/>
    <n v="0.1343694800432608"/>
    <n v="0.05334471924733115"/>
    <n v="0.002407735572848447"/>
    <n v="0.4903041380235312"/>
    <n v="0.02275755993299718"/>
    <n v="0.005368358573536168"/>
    <n v="0.003923717229827099"/>
    <m/>
    <n v="0"/>
    <m/>
    <n v="0"/>
    <m/>
    <n v="0.01353682444290349"/>
    <m/>
    <m/>
    <n v="0"/>
    <n v="0.004868976380649083"/>
    <n v="0.0170146647147957"/>
    <n v="0"/>
    <m/>
    <n v="0.01075455222538973"/>
    <n v="1.011404465866536"/>
    <n v="0"/>
    <n v="0"/>
    <n v="0.1444284642142721"/>
    <x v="0"/>
    <m/>
    <x v="14"/>
    <x v="2"/>
    <s v="SAT"/>
    <x v="2"/>
    <s v="Impacts :Coupure franche (25 sites VSAT Nokia)  ,Indisponibilité de plusieurs sites VSAT dans plusieurs regions @~Supervision Reseau Orange Cameroun  ; Cause: A Determiner_x000a_Action: Sans action      ;      {05-25-2026 ticket}: INC-20260525-00018465...Grid Outage"/>
  </r>
  <r>
    <s v="Garoua-Kolbives"/>
    <s v="NRD_049"/>
    <s v="Garoua"/>
    <s v="IHS"/>
    <s v="Grid-Gen"/>
    <s v="NORD"/>
    <s v="Garoua"/>
    <s v="Huawei"/>
    <n v="0"/>
    <n v="0.7093902400744222"/>
    <n v="0"/>
    <n v="0"/>
    <n v="4.919984704636835"/>
    <n v="0"/>
    <n v="0"/>
    <n v="0"/>
    <n v="0.01070104699043755"/>
    <n v="0.006598978977436487"/>
    <n v="0"/>
    <n v="0"/>
    <n v="0"/>
    <n v="2.016879831522716"/>
    <n v="1.365845967702813"/>
    <n v="0"/>
    <n v="6.240190706925432"/>
    <n v="0"/>
    <n v="0"/>
    <n v="0"/>
    <n v="0.453278515436617"/>
    <n v="2.534988856643067"/>
    <n v="0"/>
    <n v="0"/>
    <m/>
    <n v="0.8578672670667432"/>
    <m/>
    <n v="0"/>
    <m/>
    <n v="0"/>
    <m/>
    <m/>
    <n v="1.181752289310653"/>
    <n v="0"/>
    <n v="12.14401183678478"/>
    <n v="9.002041759765776"/>
    <m/>
    <n v="4.9220000684867"/>
    <n v="0.1217731976068007"/>
    <n v="0.1561910299172761"/>
    <n v="0.1368013010350934"/>
    <n v="0.1411646448821886"/>
    <x v="0"/>
    <m/>
    <x v="2"/>
    <x v="1"/>
    <s v="no root cause"/>
    <x v="1"/>
    <s v=""/>
  </r>
  <r>
    <s v="Deng-Deng-IHS"/>
    <s v="EST_093"/>
    <s v="CENTRE"/>
    <s v="IHS"/>
    <s v="Hybrid-Gen"/>
    <s v="EST"/>
    <s v="Deng-Deng"/>
    <s v="NOKIA"/>
    <n v="0.05245296533146145"/>
    <n v="0"/>
    <n v="0.001515981656978832"/>
    <n v="0"/>
    <n v="0"/>
    <n v="0"/>
    <n v="0.01772806784749165"/>
    <n v="0"/>
    <n v="0"/>
    <n v="0"/>
    <n v="0.9660370170617493"/>
    <n v="0"/>
    <n v="0.003834541838240092"/>
    <n v="0.001426806265391782"/>
    <n v="0.06695288400350427"/>
    <n v="0"/>
    <n v="0.017977758943935"/>
    <n v="0.001783507831739642"/>
    <n v="0.007490732893306254"/>
    <n v="0.06855804105206983"/>
    <n v="0"/>
    <n v="0"/>
    <n v="0"/>
    <n v="0.001783507831739641"/>
    <m/>
    <n v="0"/>
    <m/>
    <n v="0.003477840271892233"/>
    <m/>
    <n v="0"/>
    <m/>
    <m/>
    <n v="0.00115928009063063"/>
    <n v="0"/>
    <n v="0"/>
    <n v="0"/>
    <m/>
    <n v="0.8518746807520983"/>
    <n v="0.4706065729050514"/>
    <n v="0.2191455776900564"/>
    <n v="0"/>
    <n v="0.1407722731592061"/>
    <x v="0"/>
    <m/>
    <x v="4"/>
    <x v="0"/>
    <s v="Defaut GE &amp; Power Cabinet"/>
    <x v="0"/>
    <s v="{05-25-2026 ticket}: INC-20260525-00019857...Grid Outage"/>
  </r>
  <r>
    <s v="Dschang-Foto-II"/>
    <s v="OST_123"/>
    <s v="OUEST"/>
    <s v="IHS"/>
    <s v="Grid-Gen"/>
    <s v="OUEST"/>
    <s v="Dschang"/>
    <s v="Huawei"/>
    <n v="2.761405175882408"/>
    <n v="0.02532581121070219"/>
    <n v="2.454088941395359"/>
    <n v="0"/>
    <n v="0"/>
    <n v="0.0002675261747609386"/>
    <n v="0"/>
    <n v="0"/>
    <n v="0"/>
    <n v="0"/>
    <n v="0"/>
    <n v="0"/>
    <n v="20.5055245938596"/>
    <n v="21.5706533060528"/>
    <n v="0"/>
    <n v="0.00543969888680575"/>
    <n v="0.03807789220764025"/>
    <n v="0"/>
    <n v="0"/>
    <n v="0"/>
    <n v="0"/>
    <n v="0"/>
    <n v="0"/>
    <n v="0"/>
    <m/>
    <n v="0.1596239509406934"/>
    <m/>
    <n v="0.338545456620809"/>
    <m/>
    <n v="0"/>
    <m/>
    <m/>
    <n v="0.7933934589493571"/>
    <n v="0.002407735572848446"/>
    <n v="0"/>
    <n v="0"/>
    <m/>
    <n v="3.117964061603787"/>
    <n v="0.1311403666534777"/>
    <n v="0.1710132398992217"/>
    <n v="0.1234631741841718"/>
    <n v="0.1405225820627624"/>
    <x v="0"/>
    <m/>
    <x v="2"/>
    <x v="1"/>
    <s v="no root cause"/>
    <x v="1"/>
    <s v=""/>
  </r>
  <r>
    <s v="Ebolowa-Elat"/>
    <s v="SUD_217"/>
    <s v="CENTRE"/>
    <s v="IHS"/>
    <s v="Grid-Gen"/>
    <s v="SUD"/>
    <s v="Ebolowa"/>
    <s v="ZTE"/>
    <n v="0"/>
    <n v="0"/>
    <n v="0"/>
    <n v="0"/>
    <n v="0"/>
    <n v="0"/>
    <n v="0"/>
    <n v="0"/>
    <n v="0"/>
    <n v="0"/>
    <n v="0"/>
    <n v="0"/>
    <n v="0"/>
    <n v="0"/>
    <n v="0.005421863808488462"/>
    <n v="0"/>
    <n v="0"/>
    <n v="0"/>
    <n v="0"/>
    <n v="0"/>
    <n v="0"/>
    <n v="0"/>
    <n v="0"/>
    <n v="0"/>
    <m/>
    <n v="0"/>
    <m/>
    <n v="0"/>
    <m/>
    <n v="0"/>
    <m/>
    <m/>
    <n v="0"/>
    <n v="0"/>
    <n v="0"/>
    <n v="0"/>
    <m/>
    <n v="0"/>
    <n v="0.001498747047468317"/>
    <n v="0.005737629670431448"/>
    <n v="0.2648473188039407"/>
    <n v="0.1402550558880017"/>
    <x v="0"/>
    <m/>
    <x v="2"/>
    <x v="1"/>
    <s v="no root cause"/>
    <x v="1"/>
    <s v=""/>
  </r>
  <r>
    <s v="Mbamti-New"/>
    <s v="ADM_154"/>
    <s v="ADAMAOUA"/>
    <s v="IHS"/>
    <s v="Solar-Gen"/>
    <s v="ADAMAOUA"/>
    <s v="Mbamti"/>
    <s v="NOKIA"/>
    <n v="0.002318962778966286"/>
    <n v="0.07770562580225295"/>
    <n v="0.03415592978931586"/>
    <n v="0"/>
    <n v="0"/>
    <n v="0"/>
    <n v="0.04484624271283374"/>
    <n v="0.19942687465054"/>
    <n v="0.0370120093786229"/>
    <n v="0.001516157138129019"/>
    <n v="0.005725735430973044"/>
    <n v="0"/>
    <n v="0"/>
    <n v="0.002961072051973705"/>
    <n v="0"/>
    <n v="0"/>
    <n v="0.5446972155000421"/>
    <n v="0"/>
    <n v="0"/>
    <n v="0"/>
    <n v="0.8858148347901026"/>
    <n v="0.001427054017825446"/>
    <n v="0.004013589425133779"/>
    <n v="0"/>
    <m/>
    <n v="0.01061309996690228"/>
    <m/>
    <n v="0"/>
    <m/>
    <n v="0.00142697142412146"/>
    <m/>
    <m/>
    <n v="0.423868471291231"/>
    <n v="0"/>
    <n v="0.06952424767115724"/>
    <n v="0"/>
    <m/>
    <n v="0.02741513726867049"/>
    <n v="0.3218559284438209"/>
    <n v="0.1458567431413494"/>
    <n v="0.07982355915397732"/>
    <n v="0.1365538606033628"/>
    <x v="0"/>
    <m/>
    <x v="2"/>
    <x v="1"/>
    <s v="no root cause"/>
    <x v="1"/>
    <s v=""/>
  </r>
  <r>
    <s v="Feu-Rouge-Bessengue"/>
    <s v="LIT_417"/>
    <s v="Douala"/>
    <s v="IHS"/>
    <s v="Grid-Gen"/>
    <s v="LITTORAL"/>
    <s v="Douala"/>
    <s v="ZTE"/>
    <n v="0.2647439025434247"/>
    <n v="0"/>
    <n v="0"/>
    <n v="0"/>
    <n v="0.1317655586089212"/>
    <n v="0"/>
    <n v="0.1338879329286913"/>
    <n v="0.131569372747429"/>
    <n v="0.06686370861191679"/>
    <n v="0"/>
    <n v="0.2229919842024011"/>
    <n v="0"/>
    <n v="0.2204772381596478"/>
    <n v="0"/>
    <n v="0.1334598910490739"/>
    <n v="0.411847628505306"/>
    <n v="0"/>
    <n v="0"/>
    <n v="0"/>
    <n v="0"/>
    <n v="0.4735034942485448"/>
    <n v="0.5417940091258533"/>
    <n v="0.7855638595680207"/>
    <n v="0"/>
    <m/>
    <n v="0"/>
    <m/>
    <n v="0.2170707382010255"/>
    <m/>
    <n v="3.46162818570169"/>
    <m/>
    <m/>
    <n v="0"/>
    <n v="0"/>
    <n v="0"/>
    <n v="0.4816362899612764"/>
    <m/>
    <n v="0.2686497846949349"/>
    <n v="0.0497084437410325"/>
    <n v="0.04335097973214159"/>
    <n v="0.2182664758014914"/>
    <n v="0.1354752548989392"/>
    <x v="0"/>
    <m/>
    <x v="2"/>
    <x v="1"/>
    <s v="no root cause"/>
    <x v="1"/>
    <s v=""/>
  </r>
  <r>
    <s v="Garoua-Rte-Gashiga"/>
    <s v="NRD_159"/>
    <s v="Garoua"/>
    <s v="CAMUSAT"/>
    <s v="Medium Grid + Solar + GE"/>
    <s v="NORD"/>
    <s v="Garoua"/>
    <s v="Huawei"/>
    <n v="0.002407735572848448"/>
    <n v="0"/>
    <n v="0"/>
    <n v="0"/>
    <n v="0"/>
    <n v="0"/>
    <n v="0"/>
    <n v="0"/>
    <n v="0"/>
    <n v="0"/>
    <n v="0"/>
    <n v="0"/>
    <n v="2.826592387132491"/>
    <n v="6.074788190609902"/>
    <n v="0.2782272217513762"/>
    <n v="0.008560837592350034"/>
    <n v="0"/>
    <n v="0"/>
    <n v="4.549122086104904"/>
    <n v="0.9972484041171923"/>
    <n v="0"/>
    <n v="6.20782003977936"/>
    <n v="0"/>
    <n v="0"/>
    <m/>
    <n v="0"/>
    <m/>
    <n v="0"/>
    <m/>
    <n v="0"/>
    <m/>
    <m/>
    <n v="0"/>
    <n v="0.2466056278946332"/>
    <n v="0"/>
    <n v="0.08790910102644443"/>
    <m/>
    <n v="8.917539158697954e-05"/>
    <n v="0.1711069545859661"/>
    <n v="0.2938941420076094"/>
    <n v="0.01710016262938667"/>
    <n v="0.1320152497053645"/>
    <x v="0"/>
    <m/>
    <x v="2"/>
    <x v="1"/>
    <s v="no root cause"/>
    <x v="1"/>
    <s v=""/>
  </r>
  <r>
    <s v="Gashiga"/>
    <s v="NRD_022"/>
    <s v="NORD"/>
    <s v="IHS"/>
    <s v="Grid-Gen"/>
    <s v="NORD"/>
    <s v="Garoua"/>
    <s v="Huawei"/>
    <n v="0.002764437139196366"/>
    <n v="8.917539158697954e-05"/>
    <n v="0"/>
    <n v="0"/>
    <n v="0"/>
    <n v="0"/>
    <n v="0"/>
    <n v="0"/>
    <n v="0"/>
    <n v="0.3966878119355198"/>
    <n v="0"/>
    <n v="0"/>
    <n v="0"/>
    <n v="0.8177026706959674"/>
    <n v="0.2632457559647636"/>
    <n v="0.008917539158697951"/>
    <n v="0"/>
    <n v="0"/>
    <n v="0"/>
    <n v="0"/>
    <n v="0"/>
    <n v="0"/>
    <n v="0"/>
    <n v="0"/>
    <m/>
    <n v="0"/>
    <m/>
    <n v="0"/>
    <m/>
    <n v="0"/>
    <m/>
    <m/>
    <n v="0"/>
    <n v="0.2466591331295854"/>
    <n v="0"/>
    <n v="0.08728487328533557"/>
    <m/>
    <n v="2.720116969577636"/>
    <n v="0.1673600869672953"/>
    <n v="0.2916628415802197"/>
    <n v="0.0164161561242112"/>
    <n v="0.1303744225001641"/>
    <x v="0"/>
    <m/>
    <x v="2"/>
    <x v="1"/>
    <s v="no root cause"/>
    <x v="1"/>
    <s v=""/>
  </r>
  <r>
    <s v="Mombal-MTN"/>
    <s v="EST_061"/>
    <s v="CENTRE"/>
    <s v="IHS"/>
    <s v="Grid-Gen"/>
    <s v="EST"/>
    <s v="Mombal"/>
    <s v="NOKIA"/>
    <n v="0"/>
    <n v="0"/>
    <n v="0"/>
    <n v="0"/>
    <n v="0"/>
    <n v="0"/>
    <n v="0"/>
    <n v="0"/>
    <n v="0"/>
    <n v="0"/>
    <n v="0"/>
    <n v="0"/>
    <n v="0"/>
    <n v="0"/>
    <n v="0"/>
    <n v="0"/>
    <n v="0"/>
    <n v="0"/>
    <n v="0"/>
    <n v="0"/>
    <n v="0.3453584565380544"/>
    <n v="0"/>
    <n v="0"/>
    <n v="0"/>
    <m/>
    <n v="0"/>
    <m/>
    <n v="0"/>
    <m/>
    <n v="0"/>
    <m/>
    <m/>
    <n v="0"/>
    <n v="0"/>
    <n v="0"/>
    <n v="0"/>
    <m/>
    <n v="0"/>
    <n v="0.9078660240039327"/>
    <n v="0"/>
    <n v="0"/>
    <n v="0.1296431842891508"/>
    <x v="0"/>
    <m/>
    <x v="2"/>
    <x v="1"/>
    <s v="no root cause"/>
    <x v="1"/>
    <s v="{05-25-2026 ticket}: INC-20260525-00021568...Others Transmission equipement fault"/>
  </r>
  <r>
    <s v="Moude-IHS"/>
    <s v="EXN_185"/>
    <s v="EXTREME-NORD"/>
    <s v="IHS"/>
    <s v="Solar Gen"/>
    <s v="EXTREME-NORD"/>
    <s v="Moude"/>
    <s v="NOKIA"/>
    <n v="0"/>
    <n v="0"/>
    <n v="0.4083459218469665"/>
    <n v="0"/>
    <n v="0"/>
    <n v="0.002675416574957466"/>
    <n v="0"/>
    <n v="0"/>
    <n v="0"/>
    <n v="0.001159347182481706"/>
    <n v="0"/>
    <n v="0"/>
    <n v="0"/>
    <n v="0"/>
    <n v="0"/>
    <n v="0"/>
    <n v="0"/>
    <n v="0"/>
    <n v="0"/>
    <n v="0.2185039388358934"/>
    <n v="0"/>
    <n v="0"/>
    <n v="0"/>
    <n v="0"/>
    <m/>
    <n v="0.1712464105738004"/>
    <m/>
    <n v="0"/>
    <m/>
    <n v="0.005546812574942181"/>
    <m/>
    <m/>
    <n v="0.5976178042593023"/>
    <n v="0"/>
    <n v="0"/>
    <n v="0.1662682721828693"/>
    <m/>
    <n v="0.003834763757439172"/>
    <n v="0.4422552745904424"/>
    <n v="0.1979065503545701"/>
    <n v="0"/>
    <n v="0.129593523933343"/>
    <x v="1"/>
    <m/>
    <x v="2"/>
    <x v="1"/>
    <s v="no root cause"/>
    <x v="1"/>
    <s v=""/>
  </r>
  <r>
    <s v="Wakwa-IHS"/>
    <s v="ADM_078"/>
    <s v="ADAMAOUA"/>
    <s v="IHS"/>
    <s v="Grid-Gen"/>
    <s v="ADAMAOUA"/>
    <s v="Wakwa"/>
    <s v="NOKIA"/>
    <n v="0"/>
    <n v="0.1131790385135256"/>
    <n v="2.369127628714229"/>
    <n v="5.070859270055983"/>
    <n v="0.08248601305582942"/>
    <n v="0.0824658151543818"/>
    <n v="0.1183576415343322"/>
    <n v="0.07903896112818151"/>
    <n v="0"/>
    <n v="0.1191384460248275"/>
    <n v="1.431100743890617"/>
    <n v="0"/>
    <n v="4.180279466739235"/>
    <n v="1.953973713174351"/>
    <n v="0.1508632565389753"/>
    <n v="0.06879386093190701"/>
    <n v="0"/>
    <n v="0.03233691707079956"/>
    <n v="0"/>
    <n v="0.1564529897894885"/>
    <n v="0"/>
    <n v="0.04131302883068116"/>
    <n v="0.08264526968740628"/>
    <n v="0.04798707179368761"/>
    <m/>
    <n v="0.206534653781611"/>
    <m/>
    <n v="0.3789802871143984"/>
    <m/>
    <n v="0.1820526402311125"/>
    <m/>
    <m/>
    <n v="0.07797404475250196"/>
    <n v="0.1096797313729845"/>
    <n v="0.3233796270397565"/>
    <n v="0.7907852856974724"/>
    <m/>
    <n v="0.177241483173695"/>
    <n v="0.2957527507004145"/>
    <n v="0.1365580436696791"/>
    <n v="0.0790454524306637"/>
    <n v="0.1292988748175806"/>
    <x v="0"/>
    <m/>
    <x v="2"/>
    <x v="1"/>
    <s v="no root cause"/>
    <x v="1"/>
    <s v=""/>
  </r>
  <r>
    <s v="Dabanga"/>
    <s v="EXN_807"/>
    <s v="EXTREME-NORD"/>
    <s v="IHS"/>
    <s v="Solar-Grid-Gen"/>
    <s v="EXTREME-NORD"/>
    <s v="Dabanga"/>
    <s v="NOKIA"/>
    <n v="0.005350833149914932"/>
    <n v="0.04249810627900131"/>
    <n v="0"/>
    <n v="0"/>
    <n v="0.02461383248960879"/>
    <n v="2.694663892024306"/>
    <n v="9.031225163738725"/>
    <n v="9.132152820982887"/>
    <n v="7.414109539464391"/>
    <n v="6.202311113284388"/>
    <n v="6.778678323351874"/>
    <n v="0"/>
    <n v="0.001783611049971644"/>
    <n v="0"/>
    <n v="0"/>
    <n v="0.001694430497472959"/>
    <n v="0.4198527876488221"/>
    <n v="0.00347797445559387"/>
    <n v="0.02006562431218117"/>
    <n v="0.001961972154968843"/>
    <n v="0"/>
    <n v="0.0796336246871728"/>
    <n v="0.07045263647388011"/>
    <n v="0.02675416574957466"/>
    <m/>
    <n v="0.1819266859272183"/>
    <m/>
    <n v="0"/>
    <m/>
    <n v="0.1106905188215997"/>
    <m/>
    <m/>
    <n v="1.944861785277071"/>
    <n v="8.960129325719896"/>
    <n v="5.155327246784737"/>
    <n v="6.721627842297051"/>
    <m/>
    <n v="0.009899041327342557"/>
    <n v="0.4156525144978798"/>
    <n v="0.2050790025150708"/>
    <n v="0"/>
    <n v="0.1282025271691992"/>
    <x v="1"/>
    <m/>
    <x v="2"/>
    <x v="1"/>
    <s v="no root cause"/>
    <x v="1"/>
    <s v="{05-25-2026 ticket}: INC-20260525-00011414...Others"/>
  </r>
  <r>
    <s v="Ebolowa-Si"/>
    <s v="SUD_227"/>
    <s v="CENTRE"/>
    <s v="IHS"/>
    <s v="Grid-Gen"/>
    <s v="SUD"/>
    <s v="Ebolowa"/>
    <s v="ZTE"/>
    <n v="1.693529861628328"/>
    <n v="0.7462731820347983"/>
    <n v="0"/>
    <n v="0"/>
    <n v="0"/>
    <n v="0"/>
    <n v="3.741193038326869"/>
    <n v="1.382129394206596"/>
    <n v="0"/>
    <n v="0"/>
    <n v="2.907831168868227"/>
    <n v="0.09013848581611915"/>
    <n v="0"/>
    <n v="0"/>
    <n v="1.334795096352227"/>
    <n v="0"/>
    <n v="0"/>
    <n v="0"/>
    <n v="0"/>
    <n v="0"/>
    <n v="0"/>
    <n v="0.5804069536830154"/>
    <n v="0"/>
    <n v="2.769948178396441"/>
    <m/>
    <n v="0"/>
    <m/>
    <n v="0"/>
    <m/>
    <n v="0.8297413485602112"/>
    <m/>
    <m/>
    <n v="0"/>
    <n v="0"/>
    <n v="13.84701212499964"/>
    <n v="0"/>
    <m/>
    <n v="0"/>
    <n v="0"/>
    <n v="0.004462600854777976"/>
    <n v="0.2412490943753874"/>
    <n v="0.1273067890295716"/>
    <x v="0"/>
    <m/>
    <x v="2"/>
    <x v="1"/>
    <s v="no root cause"/>
    <x v="1"/>
    <s v=""/>
  </r>
  <r>
    <s v="Mbalmayo-mbokoulo-IHS"/>
    <s v="CTR_136"/>
    <s v="CENTRE"/>
    <s v="IHS"/>
    <s v="Grid-Gen"/>
    <s v="CENTRE"/>
    <s v="Mbalmayo"/>
    <s v="ZTE"/>
    <n v="0"/>
    <n v="0"/>
    <n v="0.06752360650966119"/>
    <n v="0"/>
    <n v="0"/>
    <n v="0"/>
    <n v="0"/>
    <n v="0"/>
    <n v="0"/>
    <n v="0"/>
    <n v="0"/>
    <n v="0"/>
    <n v="0"/>
    <n v="0"/>
    <n v="0"/>
    <n v="0"/>
    <n v="0"/>
    <n v="0"/>
    <n v="0"/>
    <n v="0"/>
    <n v="0"/>
    <n v="0"/>
    <n v="0"/>
    <n v="0"/>
    <m/>
    <n v="0"/>
    <m/>
    <n v="0.2686854548515694"/>
    <m/>
    <n v="0"/>
    <m/>
    <m/>
    <n v="0"/>
    <n v="0"/>
    <n v="0"/>
    <n v="0"/>
    <m/>
    <n v="0"/>
    <n v="0.002997494094936633"/>
    <n v="0.001912543223477149"/>
    <n v="0.2381026644515799"/>
    <n v="0.1252379199447541"/>
    <x v="0"/>
    <m/>
    <x v="2"/>
    <x v="1"/>
    <s v="no root cause"/>
    <x v="1"/>
    <s v=""/>
  </r>
  <r>
    <s v="Leboudi"/>
    <s v="CTR_593"/>
    <s v="CENTRE"/>
    <s v="IHS"/>
    <s v="Grid-Gen"/>
    <s v="CENTRE"/>
    <s v="Leboudi"/>
    <s v="ZTE"/>
    <n v="0"/>
    <n v="0"/>
    <n v="0"/>
    <n v="0"/>
    <n v="0.4308241518350168"/>
    <n v="5.987788678577647"/>
    <n v="0"/>
    <n v="0.137847320315153"/>
    <n v="0"/>
    <n v="0"/>
    <n v="0.7428666820761752"/>
    <n v="0"/>
    <n v="0"/>
    <n v="5.254499433557911"/>
    <n v="0"/>
    <n v="0.3931386313503571"/>
    <n v="0"/>
    <n v="3.25465210182831"/>
    <n v="0"/>
    <n v="0.001444641343708952"/>
    <n v="0"/>
    <n v="0"/>
    <n v="0.3394728806933132"/>
    <n v="0"/>
    <m/>
    <n v="0"/>
    <m/>
    <n v="0"/>
    <m/>
    <n v="0"/>
    <m/>
    <m/>
    <n v="0"/>
    <n v="0"/>
    <n v="0.0004280418796172265"/>
    <n v="0"/>
    <m/>
    <n v="0"/>
    <n v="0.09092398754641121"/>
    <n v="0.07724549574820443"/>
    <n v="0.1631013511590898"/>
    <n v="0.123971629384219"/>
    <x v="0"/>
    <m/>
    <x v="2"/>
    <x v="1"/>
    <s v="no root cause"/>
    <x v="1"/>
    <s v=""/>
  </r>
  <r>
    <s v="Mfou"/>
    <s v="CTR_036"/>
    <s v="CENTRE"/>
    <s v="IHS"/>
    <s v="Grid-Gen"/>
    <s v="CENTRE"/>
    <s v="Mfou"/>
    <s v="ZTE"/>
    <n v="0"/>
    <n v="0"/>
    <n v="0"/>
    <n v="0"/>
    <n v="0.2505650152810951"/>
    <n v="0.0514185307890524"/>
    <n v="0"/>
    <n v="0"/>
    <n v="0"/>
    <n v="0"/>
    <n v="0"/>
    <n v="0"/>
    <n v="0.5818159248700893"/>
    <n v="0"/>
    <n v="0.03813139744259245"/>
    <n v="0"/>
    <n v="0"/>
    <n v="0"/>
    <n v="0"/>
    <n v="0"/>
    <n v="0"/>
    <n v="0"/>
    <n v="0"/>
    <n v="0"/>
    <m/>
    <n v="0"/>
    <m/>
    <n v="0"/>
    <m/>
    <n v="0"/>
    <m/>
    <m/>
    <n v="0"/>
    <n v="0.1942775081113936"/>
    <n v="0.1093468651639543"/>
    <n v="0.4310738429314591"/>
    <m/>
    <n v="0"/>
    <n v="0.8582824758501892"/>
    <n v="0"/>
    <n v="0"/>
    <n v="0.1225626581971447"/>
    <x v="0"/>
    <m/>
    <x v="5"/>
    <x v="2"/>
    <s v="IP &amp; VLAN"/>
    <x v="2"/>
    <s v="{05-25-2026 goupe whatsapp incident}:    impacted by    CTR_007_Z_Messamendongo(CTR-007)  ,Cause: Boucle etherneet  ,Action: Desactivation de la bouclee"/>
  </r>
  <r>
    <s v="Mayo-Tolere-I"/>
    <s v="ADM_043"/>
    <s v="ADAMAOUA"/>
    <s v="IHS"/>
    <s v="Solar-Gen"/>
    <s v="ADAMAOUA"/>
    <s v="Mayo-Tolere"/>
    <s v="NOKIA"/>
    <n v="0.002051390150623897"/>
    <n v="0"/>
    <n v="0.01504524237772487"/>
    <n v="0"/>
    <n v="0"/>
    <n v="0"/>
    <n v="0.040397043315758"/>
    <n v="0.1242120245042009"/>
    <n v="0.02474009229189354"/>
    <n v="0"/>
    <n v="0"/>
    <n v="0.8145815319904237"/>
    <n v="0"/>
    <n v="0.3165898131291074"/>
    <n v="0"/>
    <n v="0.001159481389483228"/>
    <n v="0.5443226014327417"/>
    <n v="0"/>
    <n v="0"/>
    <n v="0"/>
    <n v="0"/>
    <n v="0.001070290513369213"/>
    <n v="0.001962199274509882"/>
    <n v="0"/>
    <m/>
    <n v="0.06557489794975956"/>
    <m/>
    <n v="0"/>
    <m/>
    <n v="0"/>
    <m/>
    <m/>
    <n v="0.2203767703697262"/>
    <n v="0"/>
    <n v="0"/>
    <n v="0"/>
    <m/>
    <n v="0.03083904908636623"/>
    <n v="0.2631550024179786"/>
    <n v="0.1285877298368183"/>
    <n v="0.08002876110552933"/>
    <n v="0.1224809773166755"/>
    <x v="0"/>
    <m/>
    <x v="2"/>
    <x v="1"/>
    <s v="no root cause"/>
    <x v="1"/>
    <s v=""/>
  </r>
  <r>
    <s v="CTR_302_N_Doume-Centre"/>
    <s v="CTR_302"/>
    <s v="CENTRE"/>
    <s v="IHS"/>
    <s v="Hybrid-Gen"/>
    <s v="CENTRE"/>
    <s v="Doume"/>
    <s v="NOKIA"/>
    <n v="0.002140209398087672"/>
    <n v="0"/>
    <n v="0"/>
    <n v="0"/>
    <n v="0"/>
    <n v="0"/>
    <n v="0.05992487252501184"/>
    <n v="0.1740541621705609"/>
    <n v="0.400251657221153"/>
    <n v="0.001070104699043579"/>
    <n v="0"/>
    <n v="0.001248599996106341"/>
    <n v="0"/>
    <n v="0"/>
    <n v="0"/>
    <n v="0"/>
    <n v="0.5848478881840466"/>
    <n v="0"/>
    <n v="0"/>
    <n v="0"/>
    <n v="0.006866505152197415"/>
    <n v="0.001248455482217681"/>
    <n v="0.002318560181261431"/>
    <n v="0"/>
    <m/>
    <n v="0"/>
    <m/>
    <n v="0"/>
    <m/>
    <n v="0"/>
    <m/>
    <m/>
    <n v="0.007758259068067234"/>
    <n v="0"/>
    <n v="0"/>
    <n v="0"/>
    <m/>
    <n v="0.026128389734985"/>
    <n v="0.2246871615329585"/>
    <n v="0.138393752698811"/>
    <n v="0.08279898745149041"/>
    <n v="0.1217244095162272"/>
    <x v="0"/>
    <m/>
    <x v="2"/>
    <x v="1"/>
    <s v="no root cause"/>
    <x v="1"/>
    <s v=""/>
  </r>
  <r>
    <s v="Ebolowa-Ville"/>
    <s v="CTR_392"/>
    <s v="CENTRE"/>
    <s v="IHS"/>
    <s v="Grid-Gen"/>
    <s v="CENTRE"/>
    <s v="Ebolowa"/>
    <s v="ZTE"/>
    <n v="0"/>
    <n v="0"/>
    <n v="0"/>
    <n v="0"/>
    <n v="0"/>
    <n v="0"/>
    <n v="0"/>
    <n v="0"/>
    <n v="0"/>
    <n v="0"/>
    <n v="0"/>
    <n v="0"/>
    <n v="0"/>
    <n v="0"/>
    <n v="0"/>
    <n v="0"/>
    <n v="0"/>
    <n v="0"/>
    <n v="0"/>
    <n v="0"/>
    <m/>
    <n v="0"/>
    <n v="0"/>
    <n v="0"/>
    <m/>
    <n v="0"/>
    <m/>
    <n v="0"/>
    <m/>
    <n v="0"/>
    <m/>
    <m/>
    <n v="0"/>
    <n v="0"/>
    <n v="0"/>
    <n v="0"/>
    <m/>
    <n v="0"/>
    <n v="0.0007493735237341583"/>
    <n v="0.00510011526260777"/>
    <n v="0.229005377932746"/>
    <n v="0.1212428624016582"/>
    <x v="0"/>
    <m/>
    <x v="2"/>
    <x v="1"/>
    <s v="no root cause"/>
    <x v="1"/>
    <s v=""/>
  </r>
  <r>
    <s v="Ebolowa-Agence-New"/>
    <s v="SUD_083"/>
    <s v="CENTRE"/>
    <s v="CAMUSAT"/>
    <s v="Good Grid + GE"/>
    <s v="SUD"/>
    <s v="Ebolowa"/>
    <s v="ZTE"/>
    <n v="0"/>
    <n v="0"/>
    <n v="0"/>
    <n v="0"/>
    <n v="0"/>
    <n v="0"/>
    <n v="0"/>
    <n v="0"/>
    <n v="0"/>
    <n v="0"/>
    <n v="0"/>
    <n v="0"/>
    <n v="0"/>
    <n v="0"/>
    <n v="0.005368358573536438"/>
    <n v="0"/>
    <n v="0"/>
    <n v="0"/>
    <n v="0"/>
    <n v="0"/>
    <n v="0"/>
    <n v="0"/>
    <n v="0"/>
    <n v="0"/>
    <m/>
    <n v="0.392193372199535"/>
    <m/>
    <n v="0"/>
    <m/>
    <n v="0"/>
    <m/>
    <m/>
    <n v="0"/>
    <n v="0"/>
    <n v="0"/>
    <n v="0"/>
    <m/>
    <n v="0"/>
    <n v="0"/>
    <n v="0.00510011526260777"/>
    <n v="0.2284239724033469"/>
    <n v="0.1208326556003581"/>
    <x v="0"/>
    <m/>
    <x v="2"/>
    <x v="1"/>
    <s v="no root cause"/>
    <x v="1"/>
    <s v=""/>
  </r>
  <r>
    <s v="Mbam"/>
    <s v="CTR_303"/>
    <s v="CENTRE"/>
    <s v="IHS"/>
    <s v="Hybrid-Gen"/>
    <s v="CENTRE"/>
    <s v="Mbam"/>
    <s v="NOKIA"/>
    <n v="0.001248455482217681"/>
    <n v="0"/>
    <n v="0"/>
    <n v="0"/>
    <n v="4.492435266345611"/>
    <n v="9.296635738940653"/>
    <n v="9.296473419098129"/>
    <n v="9.29679805878318"/>
    <n v="9.296473419098129"/>
    <n v="9.296743952169006"/>
    <n v="9.296743952169006"/>
    <n v="0"/>
    <n v="4.622852299869019"/>
    <n v="4.622852299869019"/>
    <n v="4.622852299869019"/>
    <n v="4.622852299869019"/>
    <n v="4.622852299869019"/>
    <n v="4.622852299869019"/>
    <n v="4.622852299869019"/>
    <n v="2.423834404456683"/>
    <n v="3.198846141773178"/>
    <n v="0"/>
    <n v="0.002229384789674381"/>
    <n v="0"/>
    <m/>
    <n v="0"/>
    <m/>
    <n v="0"/>
    <m/>
    <n v="0"/>
    <m/>
    <m/>
    <n v="0.005582379513344707"/>
    <n v="0"/>
    <n v="0"/>
    <n v="0"/>
    <m/>
    <n v="0.02512962534921099"/>
    <n v="0.2248120571202475"/>
    <n v="0.1328155016303371"/>
    <n v="0.07992616012975333"/>
    <n v="0.1183714147925567"/>
    <x v="0"/>
    <m/>
    <x v="2"/>
    <x v="1"/>
    <s v="no root cause"/>
    <x v="1"/>
    <s v="{05-25-2026 ticket}: INC-20260525-00017967...Others"/>
  </r>
  <r>
    <s v="Febadi-MTN"/>
    <s v="ADM_063"/>
    <s v="ADAMAOUA"/>
    <s v="IHS"/>
    <s v="Solar-Gen"/>
    <s v="ADAMAOUA"/>
    <s v="Febadi"/>
    <s v="NOKIA"/>
    <n v="0.001962199274509711"/>
    <n v="0"/>
    <n v="0.01651545249536507"/>
    <n v="0.006242999980530853"/>
    <n v="0.004316615426731629"/>
    <n v="0.05624192442170461"/>
    <n v="0.02253121330334481"/>
    <n v="0.2923540485262955"/>
    <n v="0.01366317706453341"/>
    <n v="0.0007134857120608155"/>
    <n v="0.0009810428540834928"/>
    <n v="0"/>
    <n v="0"/>
    <n v="0"/>
    <n v="0"/>
    <n v="3.281208180395694"/>
    <n v="6.162982652889426"/>
    <n v="0.0399128461241758"/>
    <n v="0.1555091574475735"/>
    <n v="0.1581575353842979"/>
    <n v="0"/>
    <n v="0.00178381752228168"/>
    <n v="0.06272847206728777"/>
    <n v="0.03031764802914119"/>
    <m/>
    <n v="0.03051739454706873"/>
    <m/>
    <n v="0.1103165139980221"/>
    <m/>
    <n v="0.03161648740152576"/>
    <m/>
    <m/>
    <n v="0.05468252468891774"/>
    <n v="0"/>
    <n v="0.1093874008795522"/>
    <n v="0.00178381752228168"/>
    <m/>
    <n v="0.1124913564725185"/>
    <n v="0.2043291808048471"/>
    <n v="0.09112461004485402"/>
    <n v="0.1108090538384259"/>
    <n v="0.1175554245004348"/>
    <x v="0"/>
    <m/>
    <x v="2"/>
    <x v="1"/>
    <s v="no root cause"/>
    <x v="1"/>
    <s v=""/>
  </r>
  <r>
    <s v="International-Airport-IHS"/>
    <s v="LIT_125"/>
    <s v="Douala"/>
    <s v="IHS"/>
    <s v="Grid-Gen (LL)"/>
    <s v="LITTORAL"/>
    <s v="Douala"/>
    <s v="ZTE"/>
    <n v="0"/>
    <n v="0.4385824109030825"/>
    <n v="0"/>
    <n v="0.03625871421926578"/>
    <n v="0"/>
    <n v="0"/>
    <n v="0.03720397337008832"/>
    <n v="0"/>
    <n v="0"/>
    <n v="0"/>
    <n v="0"/>
    <n v="0"/>
    <n v="0"/>
    <n v="0"/>
    <n v="0"/>
    <n v="0.04053913301544083"/>
    <n v="0"/>
    <n v="0"/>
    <n v="0"/>
    <n v="0.07711887864441992"/>
    <n v="0"/>
    <n v="0.0794731089823162"/>
    <n v="0.07892022155447662"/>
    <n v="21.77855681399868"/>
    <m/>
    <n v="0"/>
    <m/>
    <n v="0"/>
    <m/>
    <n v="0"/>
    <m/>
    <m/>
    <n v="0"/>
    <n v="0.03806005712932311"/>
    <n v="0"/>
    <n v="0.03773902571960976"/>
    <m/>
    <n v="0.07660166137321529"/>
    <n v="0.006744361713607424"/>
    <n v="0.005418872466516551"/>
    <n v="0.2174114676700217"/>
    <n v="0.1161598650811989"/>
    <x v="0"/>
    <m/>
    <x v="2"/>
    <x v="1"/>
    <s v="no root cause"/>
    <x v="1"/>
    <s v=""/>
  </r>
  <r>
    <s v="Banguem-Street-II"/>
    <s v="SUO_150"/>
    <s v="SUD-OUEST"/>
    <s v="IHS"/>
    <s v="Grid-Gen"/>
    <s v="SUD-OUEST"/>
    <s v="Banguem"/>
    <s v="NOKIA"/>
    <n v="0.04205887475222195"/>
    <n v="0.06074369218073907"/>
    <n v="0.06447704855883081"/>
    <n v="0.03289682141854754"/>
    <n v="0.0266384897122778"/>
    <n v="0.04312297149766838"/>
    <n v="0.04810078000179072"/>
    <n v="0.05060771979191029"/>
    <n v="0.03663017779663927"/>
    <n v="0.04952558750840545"/>
    <n v="0.0611404740180242"/>
    <n v="8.55011871028128"/>
    <n v="0.04182441275746257"/>
    <n v="0.02596787403012844"/>
    <n v="0.08268342307944744"/>
    <n v="0.1309629800846382"/>
    <n v="0.086268273821244"/>
    <n v="0.1529001264150351"/>
    <n v="0.09534632868479852"/>
    <n v="0.06081761706232004"/>
    <n v="0"/>
    <n v="0.04048562778048871"/>
    <n v="0.07809980795187668"/>
    <n v="0.09479344125695925"/>
    <m/>
    <n v="0.06260112489405964"/>
    <m/>
    <n v="0.04970636327058239"/>
    <m/>
    <n v="0.06340370341834246"/>
    <m/>
    <m/>
    <n v="0.08264775292281264"/>
    <n v="0.07157216928770978"/>
    <n v="0.06527638664166903"/>
    <n v="0.05186440774698729"/>
    <m/>
    <n v="0.07242825304694478"/>
    <n v="0.8094483012201799"/>
    <n v="0"/>
    <n v="0"/>
    <n v="0.1155891425750429"/>
    <x v="1"/>
    <m/>
    <x v="14"/>
    <x v="2"/>
    <s v="SAT"/>
    <x v="2"/>
    <s v="Impacts :Coupure franche (25 sites VSAT Nokia)  ,Indisponibilité de plusieurs sites VSAT dans plusieurs regions @~Supervision Reseau Orange Cameroun  ; Cause: A Determiner_x000a_Action: Sans action      ;      {05-25-2026 ticket}: INC-20260525-00023796...Others"/>
  </r>
  <r>
    <s v="Ebolowa-Angale"/>
    <s v="SUD_264"/>
    <s v="CENTRE"/>
    <s v="IHS"/>
    <s v="Grid-Gen"/>
    <s v="SUD"/>
    <s v="Ebolowa"/>
    <s v="ZTE"/>
    <n v="0"/>
    <n v="0"/>
    <n v="0"/>
    <n v="0"/>
    <n v="0"/>
    <n v="0"/>
    <n v="8.549958194576423"/>
    <n v="6.219091809275953"/>
    <n v="0"/>
    <n v="4.612721975384736"/>
    <n v="1.329034366055709"/>
    <n v="0.1507955871735824"/>
    <n v="0.8498771519805511"/>
    <n v="0.8651083088636073"/>
    <n v="1.512735672724887"/>
    <n v="0"/>
    <n v="0"/>
    <n v="0"/>
    <n v="0"/>
    <n v="0"/>
    <n v="0"/>
    <n v="1.458980746676255"/>
    <n v="0"/>
    <n v="0"/>
    <m/>
    <n v="0"/>
    <m/>
    <n v="0"/>
    <m/>
    <n v="0.5409735955232532"/>
    <m/>
    <m/>
    <n v="0.6874709288223422"/>
    <n v="0"/>
    <n v="1.897812848675781"/>
    <n v="0"/>
    <m/>
    <n v="0"/>
    <n v="0"/>
    <n v="0.005737629670431448"/>
    <n v="0.2124182201822418"/>
    <n v="0.1126998598876253"/>
    <x v="0"/>
    <m/>
    <x v="2"/>
    <x v="1"/>
    <s v="no root cause"/>
    <x v="1"/>
    <s v=""/>
  </r>
  <r>
    <s v="Dibi-MTN"/>
    <s v="ADM_032"/>
    <s v="ADAMAOUA"/>
    <s v="IHS"/>
    <s v="Grid-Gen"/>
    <s v="ADAMAOUA"/>
    <s v="Dibi"/>
    <s v="NOKIA"/>
    <n v="0"/>
    <n v="0"/>
    <n v="0"/>
    <n v="0"/>
    <n v="0"/>
    <n v="0"/>
    <n v="0"/>
    <n v="0"/>
    <n v="0.001783714280151525"/>
    <n v="0"/>
    <n v="0"/>
    <n v="0"/>
    <n v="0"/>
    <n v="0"/>
    <n v="0"/>
    <n v="0"/>
    <n v="0"/>
    <n v="0"/>
    <n v="0"/>
    <n v="0"/>
    <n v="0"/>
    <n v="0"/>
    <n v="0"/>
    <n v="0"/>
    <m/>
    <n v="0"/>
    <m/>
    <n v="0"/>
    <m/>
    <n v="0.001070228568091052"/>
    <m/>
    <m/>
    <n v="0"/>
    <n v="0"/>
    <n v="0"/>
    <n v="0"/>
    <m/>
    <n v="1.929007259431392"/>
    <n v="0.3899240235163403"/>
    <n v="0.1684392990011211"/>
    <n v="0"/>
    <n v="0.1122281299632383"/>
    <x v="0"/>
    <m/>
    <x v="4"/>
    <x v="0"/>
    <s v="Defaut GE &amp; Power Cabinet"/>
    <x v="0"/>
    <s v="{05-25-2026 ticket}: INC-20260525-00027032...Gen only, low fuel. // Refuelling done....Gen only, low fuel. // Refuelling done....Grid Outage...Gen only, low fuel. // Refuelling done."/>
  </r>
  <r>
    <s v="CTR_922_Z_Ekong"/>
    <s v="CTR_922"/>
    <s v="CENTRE"/>
    <s v="CAMUSAT"/>
    <s v="Good Grid Solar + GE"/>
    <s v="CENTRE"/>
    <s v="Leboudi"/>
    <s v="ZTE"/>
    <n v="0"/>
    <n v="0"/>
    <n v="0"/>
    <n v="0"/>
    <n v="0.3836325346071847"/>
    <n v="5.317546435409907"/>
    <n v="0"/>
    <n v="0.1187281163589042"/>
    <n v="0"/>
    <n v="0"/>
    <n v="0.4303426047204456"/>
    <n v="15.98978977436485"/>
    <n v="0"/>
    <n v="4.63770892010741"/>
    <n v="0"/>
    <n v="0.1948125604609151"/>
    <n v="0"/>
    <n v="9.745942876384358"/>
    <n v="0"/>
    <n v="0"/>
    <n v="0"/>
    <n v="0"/>
    <n v="0.2944214728635718"/>
    <n v="0"/>
    <m/>
    <n v="0"/>
    <m/>
    <n v="0"/>
    <m/>
    <n v="0"/>
    <m/>
    <m/>
    <n v="0"/>
    <n v="0"/>
    <n v="0"/>
    <n v="0"/>
    <m/>
    <n v="0"/>
    <n v="0.09117377872098925"/>
    <n v="0.07873302936646273"/>
    <n v="0.1383061153464797"/>
    <n v="0.1115762499536287"/>
    <x v="0"/>
    <m/>
    <x v="2"/>
    <x v="1"/>
    <s v="no root cause"/>
    <x v="1"/>
    <s v=""/>
  </r>
  <r>
    <s v="CTR_406_N_Mbimbim-MTN"/>
    <s v="CTR_406"/>
    <s v="CENTRE"/>
    <s v="IHS"/>
    <s v="Solar-Gen"/>
    <s v="CENTRE"/>
    <s v="Mbimbim"/>
    <s v="NOKIA"/>
    <n v="0.001248455482217681"/>
    <n v="0"/>
    <n v="0.003299489488718302"/>
    <n v="0.03770619703114816"/>
    <n v="0.09748861858252846"/>
    <n v="0"/>
    <n v="0.06550422778040998"/>
    <n v="0.1401116084542976"/>
    <n v="0.3411755059388689"/>
    <n v="0"/>
    <n v="1.508699081091177"/>
    <n v="0"/>
    <n v="0.001230620403900168"/>
    <n v="0"/>
    <n v="0.00124845548221768"/>
    <n v="0.003388664880305182"/>
    <n v="2.364829620028063"/>
    <n v="0"/>
    <n v="0"/>
    <n v="0"/>
    <n v="0.001248455482217681"/>
    <n v="0"/>
    <n v="0.001426806265391782"/>
    <n v="0"/>
    <m/>
    <n v="0"/>
    <m/>
    <n v="0"/>
    <m/>
    <n v="0"/>
    <m/>
    <m/>
    <n v="0.006242277411088574"/>
    <n v="2.313263163001201"/>
    <n v="0"/>
    <n v="0"/>
    <m/>
    <n v="0.8157078389876735"/>
    <n v="0.1499996003341207"/>
    <n v="0.09243958913471412"/>
    <n v="0.1116298616446366"/>
    <n v="0.1106666609594417"/>
    <x v="0"/>
    <m/>
    <x v="4"/>
    <x v="0"/>
    <s v="Defaut GE &amp; Power Cabinet"/>
    <x v="0"/>
    <s v="{05-25-2026 ticket}: INC-20260525-00017951...Grid Outage"/>
  </r>
  <r>
    <s v="Bfsam-Djeleng"/>
    <s v="OST_016"/>
    <s v="Bafoussam"/>
    <s v="IHS"/>
    <s v="Grid-Gen"/>
    <s v="OUEST"/>
    <s v="Bafoussam"/>
    <s v="Huawei"/>
    <n v="0.6239602149340958"/>
    <n v="0.3026612790462086"/>
    <n v="0.1630126158209986"/>
    <n v="0.1496719772395864"/>
    <n v="0"/>
    <n v="0.09572086532946382"/>
    <n v="0"/>
    <n v="0.1508847625651693"/>
    <n v="0.06402793115945131"/>
    <n v="0"/>
    <n v="0"/>
    <n v="45.74831351499432"/>
    <n v="0"/>
    <n v="0"/>
    <n v="0.5373174044681864"/>
    <n v="0.09645210354047706"/>
    <n v="0.07205371640227946"/>
    <n v="0.5403136976255091"/>
    <n v="0"/>
    <n v="0"/>
    <n v="3.157326079450282"/>
    <n v="0.1585538462416496"/>
    <n v="0"/>
    <n v="0"/>
    <m/>
    <n v="0.2127903194048506"/>
    <m/>
    <n v="0.2904442503987923"/>
    <m/>
    <n v="0"/>
    <m/>
    <m/>
    <n v="0.1189599723770307"/>
    <n v="0.1433226893585935"/>
    <n v="0"/>
    <n v="0"/>
    <m/>
    <n v="0.09408003812426341"/>
    <n v="0.1592418737935086"/>
    <n v="0.2069265515400648"/>
    <n v="0.03300331387471626"/>
    <n v="0.1094182054772239"/>
    <x v="0"/>
    <m/>
    <x v="2"/>
    <x v="1"/>
    <s v="no root cause"/>
    <x v="1"/>
    <s v=""/>
  </r>
  <r>
    <s v="Ebolowa-Mekalat"/>
    <s v="SUD_223"/>
    <s v="CENTRE"/>
    <s v="IHS"/>
    <s v="Grid-Gen"/>
    <s v="SUD"/>
    <s v="Ebolowa"/>
    <s v="ZTE"/>
    <n v="0"/>
    <n v="0"/>
    <n v="0"/>
    <n v="0"/>
    <n v="0"/>
    <n v="0"/>
    <n v="0"/>
    <n v="0"/>
    <n v="0"/>
    <n v="0"/>
    <n v="0"/>
    <n v="0.02769787662691565"/>
    <n v="0"/>
    <n v="0"/>
    <n v="0.002960623000687784"/>
    <n v="0"/>
    <n v="0"/>
    <n v="0"/>
    <n v="0"/>
    <n v="0"/>
    <n v="0"/>
    <n v="0"/>
    <n v="0"/>
    <n v="0"/>
    <m/>
    <n v="0"/>
    <m/>
    <n v="0"/>
    <m/>
    <n v="0"/>
    <m/>
    <m/>
    <n v="0"/>
    <n v="0"/>
    <n v="0.6739341043794406"/>
    <n v="0"/>
    <m/>
    <n v="0.7396563679790437"/>
    <n v="0"/>
    <n v="0.004303222252823586"/>
    <n v="0.2068093668398021"/>
    <n v="0.1092933599290022"/>
    <x v="0"/>
    <m/>
    <x v="2"/>
    <x v="1"/>
    <s v="no root cause"/>
    <x v="1"/>
    <s v=""/>
  </r>
  <r>
    <s v="Bagodo"/>
    <s v="ADM_052"/>
    <s v="ADAMAOUA"/>
    <s v="IHS"/>
    <s v="Gen-Solar AER"/>
    <s v="ADAMAOUA"/>
    <s v="Bagodo"/>
    <s v="NOKIA"/>
    <n v="0.006956888336898517"/>
    <n v="0.06599170152320159"/>
    <n v="0.02869275795055808"/>
    <n v="0.006599742836561089"/>
    <n v="0.146764323881293"/>
    <n v="0.002140581026738084"/>
    <n v="0.02442012928250398"/>
    <n v="0.04758664620209652"/>
    <n v="2.328912776455343"/>
    <n v="1.495818799681446"/>
    <n v="0.1659584392268431"/>
    <n v="0"/>
    <n v="0.4562397423338616"/>
    <n v="1.553312008865145"/>
    <n v="1.545945455685395"/>
    <n v="1.590326334565512"/>
    <n v="0.9034447895769633"/>
    <n v="0.02616846431211454"/>
    <n v="0.02252827419760105"/>
    <n v="0.01678512126391819"/>
    <n v="2.745799482354687"/>
    <n v="0.193969607580664"/>
    <n v="0.02586532310402991"/>
    <n v="0.004548734681818215"/>
    <m/>
    <n v="3.204278720254252"/>
    <m/>
    <n v="1.457140227912627"/>
    <m/>
    <n v="0.6024985247465966"/>
    <m/>
    <m/>
    <n v="0.313005624470298"/>
    <n v="0.03314026506090102"/>
    <n v="0.1267110045981379"/>
    <n v="0.1802851578480041"/>
    <m/>
    <n v="0.2768111034643111"/>
    <n v="0.1997080440751532"/>
    <n v="0.1147725191931929"/>
    <n v="0.07982263528088318"/>
    <n v="0.1086753397143539"/>
    <x v="0"/>
    <m/>
    <x v="2"/>
    <x v="1"/>
    <s v="no root cause"/>
    <x v="1"/>
    <s v="{05-25-2026 ticket}: INC-20260525-00017977...Others"/>
  </r>
  <r>
    <s v="Binka-IHS"/>
    <s v="NRO_023"/>
    <s v="NORD-OUEST"/>
    <s v="IHS"/>
    <s v="Gen Only"/>
    <s v="NORD-OUEST"/>
    <s v="Binka"/>
    <s v="NOKIA"/>
    <n v="0.4571538907294815"/>
    <n v="1.298356026752377"/>
    <n v="0.5355772582192612"/>
    <n v="0.1098352084476078"/>
    <n v="2.207177094703526"/>
    <n v="0.0384086040712546"/>
    <n v="0.2052720670869035"/>
    <n v="0.7480646479236338"/>
    <n v="0.7596294253366312"/>
    <n v="4.106224627471939"/>
    <n v="2.64683260357829"/>
    <n v="13.86855689960706"/>
    <n v="0.5260626117708244"/>
    <n v="1.235435875046014"/>
    <n v="0.1159458441413908"/>
    <n v="0.03600902312282234"/>
    <n v="0.005618049669979733"/>
    <n v="0.1093468651639541"/>
    <n v="0.07483598861979306"/>
    <n v="0.0200822981853879"/>
    <n v="2.047413485602097"/>
    <n v="0.9663580484714628"/>
    <n v="0.1258086424509106"/>
    <n v="0.03483190795387409"/>
    <m/>
    <n v="0.03682943672542237"/>
    <m/>
    <n v="0.1599449823504066"/>
    <m/>
    <n v="0.02238302328833171"/>
    <m/>
    <m/>
    <n v="0.1090258337542411"/>
    <n v="0.7612546478214096"/>
    <n v="3.438014542009457"/>
    <n v="5.163558369217511"/>
    <m/>
    <n v="6.720846067579252"/>
    <n v="0.3413396400609091"/>
    <n v="0.1758477241585658"/>
    <n v="0"/>
    <n v="0.1077773782720234"/>
    <x v="1"/>
    <m/>
    <x v="2"/>
    <x v="1"/>
    <s v="no root cause"/>
    <x v="1"/>
    <s v="{05-25-2026 ticket}: INC-20260525-00019059...Others"/>
  </r>
  <r>
    <s v="Ebolowa"/>
    <s v="SUD_007"/>
    <s v="CENTRE"/>
    <m/>
    <m/>
    <s v="SUD"/>
    <s v="Ebolowa"/>
    <s v="ZTE"/>
    <n v="0.260106782180903"/>
    <n v="0.6464859188489658"/>
    <n v="0.4871473291613519"/>
    <n v="0.3698103489112053"/>
    <n v="0"/>
    <n v="0.3485866057135031"/>
    <n v="0.5034842609000862"/>
    <n v="0.616077110317807"/>
    <n v="0.500273946802955"/>
    <n v="0.4600201750405918"/>
    <n v="0.01886951285980567"/>
    <n v="0.5282036794479972"/>
    <n v="0"/>
    <n v="0"/>
    <n v="0"/>
    <n v="0.3421481424409226"/>
    <n v="0.08971044393650233"/>
    <n v="0.0903525067559276"/>
    <n v="0.5776960217787701"/>
    <n v="0.3905882151509708"/>
    <n v="0.1380970114115965"/>
    <n v="0.03920150214163576"/>
    <n v="0.1678815922016486"/>
    <n v="0.03629438437590174"/>
    <m/>
    <n v="0.4267934241352853"/>
    <m/>
    <n v="0"/>
    <m/>
    <n v="0.06008637885130688"/>
    <m/>
    <m/>
    <n v="0"/>
    <n v="0"/>
    <n v="0"/>
    <n v="0"/>
    <m/>
    <n v="0"/>
    <n v="0"/>
    <n v="0.002550057631300827"/>
    <n v="0.205030949926346"/>
    <n v="0.1077773782720228"/>
    <x v="0"/>
    <m/>
    <x v="2"/>
    <x v="1"/>
    <s v="no root cause"/>
    <x v="1"/>
    <s v=""/>
  </r>
  <r>
    <s v="Garoua-Sabongari-Lainde-IHS"/>
    <s v="NRD_083"/>
    <s v="Garoua"/>
    <s v="IHS"/>
    <s v="Grid-Gen"/>
    <s v="NORD"/>
    <s v="Garoua"/>
    <s v="Huawei"/>
    <n v="3.910965148830162"/>
    <n v="17.69355697094737"/>
    <n v="13.9381137050449"/>
    <n v="0"/>
    <n v="0"/>
    <n v="0"/>
    <n v="0"/>
    <n v="0.5416513284993137"/>
    <n v="0.8795368872223791"/>
    <n v="7.612653488683998"/>
    <n v="2.841859214172182"/>
    <n v="0.04895728998125177"/>
    <n v="0"/>
    <n v="3.889670065319191"/>
    <n v="0"/>
    <n v="0"/>
    <n v="1.648496288876904"/>
    <n v="0.8032919274155117"/>
    <n v="5.163879400627224"/>
    <n v="3.139598011602789"/>
    <n v="1.209039959136269"/>
    <n v="0"/>
    <n v="8.917539158697954e-05"/>
    <n v="0"/>
    <m/>
    <n v="0"/>
    <m/>
    <n v="1.50017977758944"/>
    <m/>
    <n v="1.976679564995306"/>
    <m/>
    <m/>
    <n v="0.01970776154072248"/>
    <n v="0"/>
    <n v="0"/>
    <n v="7.758383913615443"/>
    <m/>
    <n v="0"/>
    <n v="0.1273934990348069"/>
    <n v="0.164425591018357"/>
    <n v="0.06258659522355522"/>
    <n v="0.1060295405969187"/>
    <x v="0"/>
    <m/>
    <x v="2"/>
    <x v="1"/>
    <s v="no root cause"/>
    <x v="1"/>
    <s v=""/>
  </r>
  <r>
    <s v="Minkwele-IHS"/>
    <s v="LIT_479"/>
    <s v="LITTORAL"/>
    <s v="IHS"/>
    <s v="Grid-Gen"/>
    <s v="LITTORAL"/>
    <s v="Minkwele"/>
    <s v="ZTE"/>
    <n v="0"/>
    <n v="0"/>
    <n v="0"/>
    <n v="0"/>
    <n v="1.788234127493701"/>
    <n v="0"/>
    <n v="1.822406137549832"/>
    <n v="0"/>
    <n v="0.09117292035852798"/>
    <n v="4.857472755134367"/>
    <n v="0"/>
    <n v="0"/>
    <n v="0"/>
    <n v="0"/>
    <n v="1.153323174472725"/>
    <n v="0"/>
    <n v="0"/>
    <n v="0"/>
    <n v="0"/>
    <n v="0"/>
    <n v="0.5833854117620203"/>
    <n v="0"/>
    <n v="0"/>
    <n v="0"/>
    <m/>
    <n v="4.267381353925"/>
    <m/>
    <n v="0"/>
    <m/>
    <n v="0"/>
    <m/>
    <m/>
    <n v="0"/>
    <n v="5.350523495219609e-05"/>
    <n v="0"/>
    <n v="0"/>
    <m/>
    <n v="0"/>
    <n v="0.04845948786814223"/>
    <n v="0.0449447657517069"/>
    <n v="0.1603311248131294"/>
    <n v="0.1056193337956188"/>
    <x v="0"/>
    <m/>
    <x v="2"/>
    <x v="1"/>
    <s v="no root cause"/>
    <x v="1"/>
    <s v=""/>
  </r>
  <r>
    <s v="Dobiri-MTN"/>
    <s v="ADM_045"/>
    <s v="ADAMAOUA"/>
    <s v="IHS"/>
    <s v="Solar-Gen"/>
    <s v="ADAMAOUA"/>
    <s v="Dobiri"/>
    <s v="NOKIA"/>
    <n v="0.03155393052641171"/>
    <n v="0.036155822395182"/>
    <n v="0.04955593934510939"/>
    <n v="0.01284274281709194"/>
    <n v="0.1722889565952717"/>
    <n v="0.00178381752228168"/>
    <n v="0.05095261374297189"/>
    <n v="0.09803937638128793"/>
    <n v="2.492828369589819"/>
    <n v="2.72646484844405"/>
    <n v="0.5972694592868788"/>
    <n v="0.05972967728495895"/>
    <n v="0.0550127870407541"/>
    <n v="0.01346782229322644"/>
    <n v="0.01983586276452369"/>
    <n v="0.09464922415363432"/>
    <n v="0.1369611879024615"/>
    <n v="6.16408842444235"/>
    <n v="6.164017087431835"/>
    <n v="4.07293510782486"/>
    <n v="0.05594864068167092"/>
    <n v="0.03348196997792824"/>
    <n v="0.07345617727661388"/>
    <n v="0.003567635044563359"/>
    <m/>
    <n v="3.039203710720021"/>
    <m/>
    <n v="1.556194332806083"/>
    <m/>
    <n v="0.7605518005034266"/>
    <m/>
    <m/>
    <n v="0.3142344097814769"/>
    <n v="0.04461104368253939"/>
    <n v="0.1976330278312091"/>
    <n v="0.2372425107936219"/>
    <m/>
    <n v="0.3487820587272614"/>
    <n v="0.1475016885883401"/>
    <n v="0.1679006562308064"/>
    <n v="0.05273690154902821"/>
    <n v="0.104931105123888"/>
    <x v="0"/>
    <m/>
    <x v="4"/>
    <x v="0"/>
    <s v="Defaut GE &amp; Power Cabinet"/>
    <x v="0"/>
    <s v="{05-25-2026 ticket}: INC-20260525-00017949...Grid Outage"/>
  </r>
  <r>
    <s v="Libong"/>
    <s v="ADM_149"/>
    <s v="ADAMAOUA"/>
    <s v="CAMUSAT"/>
    <s v="Hybrid Solar - S3"/>
    <s v="ADAMAOUA"/>
    <s v="Libong"/>
    <s v="NOKIA"/>
    <n v="0.005351452566844867"/>
    <n v="0.19645188146117"/>
    <n v="0.4217379005128559"/>
    <n v="0.009988799968849365"/>
    <n v="0.5334095928928945"/>
    <n v="0.008205560602495589"/>
    <n v="0.1552354615440762"/>
    <n v="0.1242870795870143"/>
    <n v="0.4573576447732628"/>
    <n v="0.2549806174562837"/>
    <n v="0.1933277741484367"/>
    <n v="0"/>
    <n v="0.01837332047950106"/>
    <n v="0.01195157739928698"/>
    <n v="0.09790615947666474"/>
    <n v="0.05426322732912976"/>
    <n v="0.05893594042565196"/>
    <n v="0.3428999317163077"/>
    <n v="0.2034982663108125"/>
    <n v="0.3083272037770857"/>
    <n v="0.007669083676480393"/>
    <n v="0.02827308964593246"/>
    <n v="0.4049816095672599"/>
    <n v="0.01168400477094476"/>
    <m/>
    <n v="0.0881666784522286"/>
    <m/>
    <n v="0.7165532429515906"/>
    <m/>
    <n v="0.7216679872643078"/>
    <m/>
    <m/>
    <n v="0"/>
    <n v="0.01213066127927348"/>
    <n v="0.01748141171836039"/>
    <n v="0.7386164023635531"/>
    <m/>
    <n v="0.204661366951745"/>
    <n v="0.3137377152700342"/>
    <n v="0.1771963880160749"/>
    <n v="0"/>
    <n v="0.1042885879763559"/>
    <x v="0"/>
    <m/>
    <x v="2"/>
    <x v="1"/>
    <s v="no root cause"/>
    <x v="1"/>
    <s v=""/>
  </r>
  <r>
    <s v="kalat-IHS"/>
    <s v="SUD_082"/>
    <s v="CENTRE"/>
    <s v="IHS"/>
    <s v="Grid-Gen"/>
    <s v="SUD"/>
    <s v="Ebolowa"/>
    <s v="ZTE"/>
    <n v="0"/>
    <n v="0"/>
    <n v="0"/>
    <n v="0"/>
    <n v="0"/>
    <n v="0"/>
    <n v="0"/>
    <n v="0"/>
    <n v="0"/>
    <n v="0"/>
    <n v="0"/>
    <n v="0"/>
    <n v="0"/>
    <n v="0"/>
    <n v="0"/>
    <n v="0"/>
    <n v="0"/>
    <n v="0"/>
    <n v="0"/>
    <n v="0"/>
    <n v="5.350523495219608e-05"/>
    <n v="0"/>
    <n v="0"/>
    <n v="0"/>
    <m/>
    <n v="0"/>
    <m/>
    <n v="0"/>
    <m/>
    <n v="0"/>
    <m/>
    <m/>
    <n v="0"/>
    <n v="0"/>
    <n v="0"/>
    <n v="0"/>
    <m/>
    <n v="0"/>
    <n v="0.0003746867618670791"/>
    <n v="0.00510011526260777"/>
    <n v="0.1960704647085483"/>
    <n v="0.1040141767470543"/>
    <x v="0"/>
    <m/>
    <x v="2"/>
    <x v="1"/>
    <s v="no root cause"/>
    <x v="1"/>
    <s v=""/>
  </r>
  <r>
    <s v="Gra-Plateau-MTN"/>
    <s v="NRD_035"/>
    <s v="Garoua"/>
    <s v="IHS"/>
    <s v="Grid-Gen"/>
    <s v="NORD"/>
    <s v="Garoua"/>
    <s v="Huawei"/>
    <n v="0"/>
    <n v="0"/>
    <n v="0"/>
    <n v="0"/>
    <n v="0"/>
    <n v="0"/>
    <n v="0"/>
    <n v="0"/>
    <n v="0"/>
    <n v="0"/>
    <n v="0"/>
    <n v="0"/>
    <n v="0"/>
    <n v="0"/>
    <n v="0"/>
    <n v="0"/>
    <n v="0"/>
    <n v="0"/>
    <n v="0"/>
    <n v="0"/>
    <m/>
    <n v="0"/>
    <n v="0"/>
    <n v="0"/>
    <m/>
    <n v="0"/>
    <m/>
    <n v="0"/>
    <m/>
    <n v="0"/>
    <m/>
    <m/>
    <n v="0.0531485333858398"/>
    <n v="0"/>
    <n v="5.101831163161002"/>
    <n v="0"/>
    <m/>
    <n v="6.299438837095821"/>
    <n v="0.1636132193486246"/>
    <n v="0.2111235213915834"/>
    <n v="0.01863917726603147"/>
    <n v="0.1039606715121007"/>
    <x v="0"/>
    <m/>
    <x v="2"/>
    <x v="1"/>
    <s v="no root cause"/>
    <x v="1"/>
    <s v=""/>
  </r>
  <r>
    <s v="Sanguere-MTN-IHS"/>
    <s v="NRD_087"/>
    <s v="NORD"/>
    <s v="IHS"/>
    <s v="Solar-Grid-Gen"/>
    <s v="NORD"/>
    <s v="Sanguere"/>
    <s v="NOKIA"/>
    <n v="0"/>
    <n v="0"/>
    <n v="0.02120273579532687"/>
    <n v="0"/>
    <n v="0.02113227718212987"/>
    <n v="0.01075551174067819"/>
    <n v="0.02060055278709687"/>
    <n v="0"/>
    <n v="0.01986510492152231"/>
    <n v="0"/>
    <n v="0"/>
    <n v="0"/>
    <n v="2.820061149726445"/>
    <n v="6.465638106298617"/>
    <n v="6.395403660449326"/>
    <n v="0.08033128807166179"/>
    <n v="0"/>
    <n v="0.02202701844505031"/>
    <n v="0.01091541887223541"/>
    <n v="0.03233605497631733"/>
    <n v="0"/>
    <n v="1.027318196297856"/>
    <n v="0.02177735831407648"/>
    <n v="0.07943956512126175"/>
    <m/>
    <n v="0.07426705074281965"/>
    <m/>
    <n v="0.0365082199486382"/>
    <m/>
    <n v="0"/>
    <m/>
    <m/>
    <n v="0.0687363918352437"/>
    <n v="0.01355465952122078"/>
    <n v="4.2850729434171"/>
    <n v="6.162982652889426"/>
    <m/>
    <n v="0.02611130814976141"/>
    <n v="0"/>
    <n v="0.1511527881231543"/>
    <n v="0.1006857575618289"/>
    <n v="0.103250204938107"/>
    <x v="0"/>
    <m/>
    <x v="2"/>
    <x v="1"/>
    <s v="no root cause"/>
    <x v="1"/>
    <s v=""/>
  </r>
  <r>
    <s v="Lokomo-MTN"/>
    <s v="EST_042"/>
    <s v="CENTRE"/>
    <s v="IHS"/>
    <s v="Grid-Gen"/>
    <s v="EST"/>
    <s v="Lokomo"/>
    <s v="NOKIA"/>
    <n v="0"/>
    <n v="0.01423239249728193"/>
    <n v="0.009327745959998059"/>
    <n v="0.0006242277411088568"/>
    <n v="0.004815471145696895"/>
    <n v="0.00936341611663285"/>
    <n v="0.007829599381336804"/>
    <n v="0.004851141302331687"/>
    <n v="0.007401557501719302"/>
    <n v="0.005047327163823042"/>
    <n v="0.05102615906606969"/>
    <n v="0.7764858047044658"/>
    <n v="0.0047976360673795"/>
    <n v="0.005172172712044813"/>
    <n v="0"/>
    <n v="0.02234735313169707"/>
    <n v="0.004993821928870853"/>
    <n v="0.1293934931927073"/>
    <n v="0.05480719566935763"/>
    <n v="0.01084372761697671"/>
    <n v="0"/>
    <n v="0.00972011768298077"/>
    <n v="0.002211549711357092"/>
    <n v="0.004993821928870854"/>
    <m/>
    <n v="0"/>
    <m/>
    <n v="0.002461240807800635"/>
    <m/>
    <n v="0.01182465692443349"/>
    <m/>
    <m/>
    <n v="0"/>
    <n v="0.002710931904244178"/>
    <n v="0.01410754694906016"/>
    <n v="0"/>
    <m/>
    <n v="0.7770386921323049"/>
    <n v="0.7221462857051505"/>
    <n v="0"/>
    <n v="0"/>
    <n v="0.1031224228311831"/>
    <x v="0"/>
    <m/>
    <x v="14"/>
    <x v="2"/>
    <s v="SAT"/>
    <x v="2"/>
    <s v="Impacts :Coupure franche (25 sites VSAT Nokia)  ,Indisponibilité de plusieurs sites VSAT dans plusieurs regions @~Supervision Reseau Orange Cameroun  ; Cause: A Determiner_x000a_Action: Sans action      ;      {05-25-2026 ticket}: INC-20260525-00018462...Others Transmission equipement fault"/>
  </r>
  <r>
    <s v="Ngd-Gadamadanga"/>
    <s v="ADM_087"/>
    <s v="Ngaoundere"/>
    <s v="IHS"/>
    <s v="Grid-Gen"/>
    <s v="ADAMAOUA"/>
    <s v="Ngaoundere"/>
    <s v="Huawei"/>
    <n v="0"/>
    <n v="0"/>
    <n v="0"/>
    <n v="0"/>
    <n v="0"/>
    <n v="0"/>
    <n v="0"/>
    <n v="0"/>
    <n v="0"/>
    <n v="0"/>
    <n v="0"/>
    <n v="0.2782272217513762"/>
    <n v="0"/>
    <n v="0"/>
    <n v="0"/>
    <n v="0"/>
    <n v="0"/>
    <n v="0"/>
    <n v="0"/>
    <n v="0"/>
    <m/>
    <n v="0"/>
    <n v="0"/>
    <n v="0"/>
    <m/>
    <n v="0"/>
    <m/>
    <n v="0"/>
    <m/>
    <n v="0"/>
    <m/>
    <m/>
    <n v="0"/>
    <n v="0.4738423607365745"/>
    <n v="1.297680298373726"/>
    <n v="2.486673629481242"/>
    <m/>
    <n v="0.1299463806205466"/>
    <n v="0.07556183030986095"/>
    <n v="0.1030117030644893"/>
    <n v="0.1082440294440176"/>
    <n v="0.1018204621140132"/>
    <x v="0"/>
    <m/>
    <x v="2"/>
    <x v="1"/>
    <s v="no root cause"/>
    <x v="1"/>
    <s v=""/>
  </r>
  <r>
    <s v="Fochieya-IHS"/>
    <s v="OST_195"/>
    <s v="OUEST"/>
    <s v="IHS"/>
    <s v="Grid-Gen"/>
    <s v="OUEST"/>
    <s v=" Fochieya"/>
    <s v="NOKIA"/>
    <n v="0"/>
    <n v="0"/>
    <n v="0"/>
    <n v="0"/>
    <n v="0.0006598978977432756"/>
    <n v="1.057718001660783"/>
    <n v="0.0002496910964435937"/>
    <n v="0.0002318560181262397"/>
    <n v="0.0002853612530784176"/>
    <n v="0.0002853612530785913"/>
    <n v="0.5805749564618882"/>
    <n v="0.3688491354270987"/>
    <n v="0.5802077956583509"/>
    <n v="0.000231856018126066"/>
    <n v="0.000231856018126066"/>
    <n v="0.0002318560181262397"/>
    <n v="0.000231856018126066"/>
    <n v="1.19903448020021"/>
    <n v="0.0002496910964436516"/>
    <n v="0.0003210314097131258"/>
    <n v="11.98800840674251"/>
    <n v="0.0002496910964435358"/>
    <n v="0.009381251194950235"/>
    <n v="0.000231856018126066"/>
    <m/>
    <n v="0.7141165358285321"/>
    <m/>
    <n v="0.0002853612530783018"/>
    <m/>
    <n v="0.000303196331395598"/>
    <m/>
    <m/>
    <n v="0.0002318560181261239"/>
    <n v="0.0002675261747610057"/>
    <n v="0.1560613960594093"/>
    <n v="0.6633934659607732"/>
    <m/>
    <n v="0.0003210314097131258"/>
    <n v="0.2219394586125999"/>
    <n v="0"/>
    <n v="0.1327998629798169"/>
    <n v="0.1009465432764609"/>
    <x v="0"/>
    <m/>
    <x v="4"/>
    <x v="0"/>
    <s v="Defaut GE &amp; Power Cabinet"/>
    <x v="0"/>
    <s v="{05-25-2026 groupe whatsapp incident}:    impacted by OST_005_H_Foumbot ,Cause: Probleme energie    Action: RCA attendu de IHS"/>
  </r>
  <r>
    <s v="Nyazoro-MTN-IHS"/>
    <s v="CTR_169"/>
    <s v="CENTRE"/>
    <s v="IHS"/>
    <s v="Solar-Gen"/>
    <s v="CENTRE"/>
    <s v="Nyazoro"/>
    <s v="NOKIA"/>
    <n v="0.1866271660880222"/>
    <n v="0.005351142840454917"/>
    <n v="0.001783714280151525"/>
    <n v="0.1528188802178679"/>
    <n v="0.1549654965989413"/>
    <n v="0"/>
    <n v="0.03243826459358006"/>
    <n v="0.06916118425826592"/>
    <n v="0.1443707646777259"/>
    <n v="0.1424905609196999"/>
    <n v="0.06407917391715431"/>
    <n v="0.0004637120362523346"/>
    <n v="0.0007135270089128087"/>
    <n v="0.00768790976453239"/>
    <n v="0.003763758967946228"/>
    <n v="0.121522652321884"/>
    <n v="0.324449247442494"/>
    <n v="0.1163331555209163"/>
    <n v="0.0620881294928818"/>
    <n v="0"/>
    <n v="0.1023376793852177"/>
    <n v="0.00731365184135475"/>
    <n v="0.00133786314171126"/>
    <n v="0.003835207672905577"/>
    <m/>
    <n v="0.02638023821733448"/>
    <m/>
    <n v="2.028631259021573"/>
    <m/>
    <n v="0"/>
    <m/>
    <m/>
    <n v="0.002639591590974595"/>
    <n v="0"/>
    <n v="0.0008919087611408398"/>
    <n v="0.01305685675009832"/>
    <m/>
    <n v="0.02242094381152372"/>
    <n v="0.3256027960624918"/>
    <n v="0.1609956649332857"/>
    <n v="0"/>
    <n v="0.100544150818209"/>
    <x v="0"/>
    <m/>
    <x v="4"/>
    <x v="0"/>
    <s v="Defaut GE &amp; Power Cabinet"/>
    <x v="0"/>
    <s v="{05-25-2026 ticket}: INC-20260525-00018081...Grid Outage"/>
  </r>
  <r>
    <s v="Doualayel-MTN"/>
    <s v="ADM_067"/>
    <s v="ADAMAOUA"/>
    <s v="IHS"/>
    <s v="Hybrid-Gen"/>
    <s v="ADAMAOUA"/>
    <s v="Doualayel"/>
    <s v="NOKIA"/>
    <n v="0.1910844633825159"/>
    <n v="0.005529514268470035"/>
    <n v="0.001783714280151525"/>
    <n v="0.1507307257082298"/>
    <n v="0.1554835931317453"/>
    <n v="0"/>
    <n v="0.08775591105426675"/>
    <n v="0.1953014053142171"/>
    <n v="0.01364541424315997"/>
    <n v="0.1440568567668662"/>
    <n v="0.06799026967685208"/>
    <n v="0"/>
    <n v="0.0007135270089128087"/>
    <n v="0.008026791737089948"/>
    <n v="0.002943236973656251"/>
    <n v="0.122271772064796"/>
    <n v="0.3301923129904936"/>
    <n v="0.1167435636210687"/>
    <n v="0.05932377493305006"/>
    <n v="0.0002675726283422178"/>
    <n v="0"/>
    <n v="0.008205560602495589"/>
    <n v="0.00267572628342252"/>
    <n v="0.002854108035650722"/>
    <m/>
    <n v="0.02605934099908923"/>
    <m/>
    <n v="2.030825345283263"/>
    <m/>
    <n v="0"/>
    <m/>
    <m/>
    <n v="0.002764437139196366"/>
    <n v="0.2023981715110682"/>
    <n v="0.0008919087611408398"/>
    <n v="0.1443343523554446"/>
    <m/>
    <n v="0.228913078046744"/>
    <n v="0.3227301975548441"/>
    <n v="0.1615270345654237"/>
    <n v="0"/>
    <n v="0.1003123309312437"/>
    <x v="0"/>
    <m/>
    <x v="2"/>
    <x v="1"/>
    <s v="no root cause"/>
    <x v="1"/>
    <s v="{05-25-2026 ticket}: INC-20260525-00018896...Others"/>
  </r>
  <r>
    <s v="Koba-MTN"/>
    <s v="ADM_064"/>
    <s v="ADAMAOUA"/>
    <s v="IHS"/>
    <s v="Hybrid-Gen"/>
    <s v="ADAMAOUA"/>
    <s v="Koba"/>
    <s v="NOKIA"/>
    <n v="0.1836749858486555"/>
    <n v="0.004994399984424682"/>
    <n v="0.001962085708166644"/>
    <n v="0.1513639534928435"/>
    <n v="0.1466783033025274"/>
    <n v="0"/>
    <n v="0.02834627878768273"/>
    <n v="0.05711452903081455"/>
    <n v="0.01195088567701601"/>
    <n v="0.1422891940722041"/>
    <n v="0.06762622305695502"/>
    <n v="17.37355999577666"/>
    <n v="0.0009810996372548553"/>
    <n v="0.007598718888418204"/>
    <n v="0.003478366745813821"/>
    <n v="0.1217366268081115"/>
    <n v="0.3245562269433441"/>
    <n v="0.1144959566398992"/>
    <n v="0.06265889328872078"/>
    <n v="0"/>
    <n v="0"/>
    <n v="0.008473133230837808"/>
    <n v="0.0008919087611408398"/>
    <n v="0.002854108035650551"/>
    <m/>
    <n v="0.0358154178664817"/>
    <m/>
    <n v="2.029433992391128"/>
    <m/>
    <n v="0"/>
    <m/>
    <m/>
    <n v="0.002425570651165843"/>
    <n v="0"/>
    <n v="0.0008919087611408398"/>
    <n v="0.01360977514699166"/>
    <m/>
    <n v="0.02370521396964168"/>
    <n v="0.3236044666658673"/>
    <n v="0.1607299878055239"/>
    <n v="0"/>
    <n v="0.1001695986890167"/>
    <x v="0"/>
    <m/>
    <x v="2"/>
    <x v="1"/>
    <s v="no root cause"/>
    <x v="1"/>
    <s v=""/>
  </r>
  <r>
    <s v="Ndogpassi-III"/>
    <s v="LIT_283"/>
    <s v="Douala"/>
    <s v="IHS"/>
    <s v="Grid-Gen"/>
    <s v="LITTORAL"/>
    <s v="Douala"/>
    <s v="ZTE"/>
    <n v="0"/>
    <n v="0"/>
    <n v="0"/>
    <n v="0"/>
    <n v="2.143294866636418"/>
    <n v="0"/>
    <n v="0"/>
    <n v="0.8292419663673225"/>
    <n v="0"/>
    <n v="0"/>
    <n v="0"/>
    <n v="0"/>
    <n v="0"/>
    <n v="7.866410982983911"/>
    <n v="0"/>
    <n v="0"/>
    <n v="0"/>
    <n v="0"/>
    <n v="0"/>
    <n v="0"/>
    <n v="0"/>
    <n v="0"/>
    <n v="0"/>
    <n v="0"/>
    <m/>
    <n v="0"/>
    <m/>
    <n v="0"/>
    <m/>
    <n v="5.574710429668441"/>
    <m/>
    <m/>
    <n v="1.370162056655623"/>
    <n v="5.264219551240893"/>
    <n v="0"/>
    <n v="9.008515893194987"/>
    <m/>
    <n v="0"/>
    <n v="0.01985839837895519"/>
    <n v="0.01593786019564087"/>
    <n v="0.1757896718300951"/>
    <n v="0.09985860349909992"/>
    <x v="0"/>
    <m/>
    <x v="2"/>
    <x v="1"/>
    <s v="no root cause"/>
    <x v="1"/>
    <s v=""/>
  </r>
  <r>
    <s v="Wada-MTN-IHS"/>
    <s v="ADM_099"/>
    <s v="ADAMAOUA"/>
    <s v="IHS"/>
    <s v="Solar-Gen"/>
    <s v="ADAMAOUA"/>
    <s v="Wada"/>
    <s v="NOKIA"/>
    <n v="0.001427054017825275"/>
    <n v="0.01043485060297535"/>
    <n v="0"/>
    <n v="0"/>
    <n v="0"/>
    <n v="0"/>
    <n v="0.02360108223207785"/>
    <n v="0.07286524744874956"/>
    <n v="0.01448375582586303"/>
    <n v="0.00124859999610617"/>
    <n v="0.01907193409908615"/>
    <n v="0"/>
    <n v="0"/>
    <n v="0"/>
    <n v="0"/>
    <n v="0.03276579511488083"/>
    <n v="0.3889879543098745"/>
    <n v="0"/>
    <n v="0.001105898724725735"/>
    <n v="0"/>
    <n v="0"/>
    <n v="0"/>
    <n v="0.001248672265597244"/>
    <n v="0"/>
    <m/>
    <n v="0.01890664880016522"/>
    <m/>
    <n v="0"/>
    <m/>
    <n v="0.002211776804610111"/>
    <m/>
    <m/>
    <n v="0"/>
    <n v="0"/>
    <n v="0"/>
    <n v="0"/>
    <m/>
    <n v="0.1026872148401445"/>
    <n v="0.2013316867099105"/>
    <n v="0.1102496267266433"/>
    <n v="0.0651858199432219"/>
    <n v="0.0997558768337454"/>
    <x v="0"/>
    <m/>
    <x v="2"/>
    <x v="1"/>
    <s v="no root cause"/>
    <x v="1"/>
    <s v=""/>
  </r>
  <r>
    <s v="Ndogp-ZR"/>
    <s v="LIT_251"/>
    <s v="Douala"/>
    <s v="IHS"/>
    <s v="Grid-Gen"/>
    <s v="LITTORAL"/>
    <s v="Douala"/>
    <s v="ZTE"/>
    <n v="0"/>
    <n v="0"/>
    <n v="0"/>
    <n v="0"/>
    <n v="0"/>
    <n v="0"/>
    <n v="0"/>
    <n v="0"/>
    <n v="0"/>
    <n v="0"/>
    <n v="0"/>
    <n v="0"/>
    <n v="0"/>
    <n v="0"/>
    <n v="0"/>
    <n v="0"/>
    <n v="0"/>
    <n v="0"/>
    <n v="0"/>
    <n v="0"/>
    <n v="0"/>
    <n v="0"/>
    <n v="0"/>
    <n v="0"/>
    <m/>
    <n v="0.0005528874278391315"/>
    <m/>
    <n v="0"/>
    <m/>
    <n v="0"/>
    <m/>
    <m/>
    <n v="0.8007950164510756"/>
    <n v="2.980740969029744"/>
    <n v="0"/>
    <n v="1.298554217211281"/>
    <m/>
    <n v="0"/>
    <n v="0.01948371161708811"/>
    <n v="0.01593786019564087"/>
    <n v="0.1755160692280255"/>
    <n v="0.09966241763760883"/>
    <x v="0"/>
    <m/>
    <x v="2"/>
    <x v="1"/>
    <s v="no root cause"/>
    <x v="1"/>
    <s v=""/>
  </r>
  <r>
    <s v="Biteng-OKUI"/>
    <s v="CTR_705"/>
    <s v="Yaounde"/>
    <s v="CAMUSAT"/>
    <s v="Good Grid + GE"/>
    <s v="CENTRE"/>
    <s v="Yaounde"/>
    <s v="ZTE"/>
    <n v="0"/>
    <n v="0"/>
    <n v="0"/>
    <n v="31.51502926379651"/>
    <n v="32.34320112546479"/>
    <n v="10.18589858831788"/>
    <n v="0"/>
    <n v="8.35480676762748"/>
    <n v="0"/>
    <n v="0"/>
    <n v="12.07998390562532"/>
    <n v="0"/>
    <n v="0"/>
    <n v="10.60161642881806"/>
    <n v="0"/>
    <n v="0.6807114341400502"/>
    <n v="0"/>
    <n v="0"/>
    <n v="0"/>
    <n v="0"/>
    <n v="0"/>
    <n v="9.710165709279661"/>
    <n v="0"/>
    <n v="1.85686350885904"/>
    <m/>
    <n v="0"/>
    <m/>
    <n v="0.003174643940496622"/>
    <m/>
    <n v="0"/>
    <m/>
    <m/>
    <n v="0"/>
    <n v="0"/>
    <n v="0"/>
    <n v="6.458545570765305"/>
    <m/>
    <n v="0.002033198928183109"/>
    <n v="0"/>
    <n v="0"/>
    <n v="0.1886831944526531"/>
    <n v="0.09839612707707351"/>
    <x v="0"/>
    <m/>
    <x v="5"/>
    <x v="2"/>
    <s v="IP &amp; VLAN"/>
    <x v="2"/>
    <s v="{05-25-2026 goupe whatsapp incident}:    impacted by    CTR_007_Z_Messamendongo(CTR-007)  ,Cause: Boucle etherneet  ,Action: Desactivation de la bouclee      ;      {05-25-2026 ticket}: INC-20260525-00023622...Grid Outage"/>
  </r>
  <r>
    <s v="Ebolowa-SIM"/>
    <s v="SUD_097"/>
    <s v="CENTRE"/>
    <s v="CAMUSAT"/>
    <s v="Good Grid + GE"/>
    <s v="SUD"/>
    <s v="Ebolowa"/>
    <s v="ZTE"/>
    <n v="0"/>
    <n v="0"/>
    <n v="0"/>
    <n v="0"/>
    <n v="0"/>
    <n v="0"/>
    <n v="0"/>
    <n v="0"/>
    <n v="0"/>
    <n v="0"/>
    <n v="0"/>
    <n v="0.9698893939783072"/>
    <n v="0"/>
    <n v="0"/>
    <n v="0"/>
    <n v="0"/>
    <n v="0"/>
    <n v="0"/>
    <n v="0"/>
    <n v="0"/>
    <n v="0"/>
    <n v="0"/>
    <n v="0"/>
    <n v="0"/>
    <m/>
    <n v="0"/>
    <m/>
    <n v="0"/>
    <m/>
    <n v="0"/>
    <m/>
    <m/>
    <n v="0"/>
    <n v="0"/>
    <n v="0"/>
    <n v="0"/>
    <m/>
    <n v="0"/>
    <n v="0.001124060285601237"/>
    <n v="0.009562716117385748"/>
    <n v="0.1792781050064899"/>
    <n v="0.09686231034177768"/>
    <x v="0"/>
    <m/>
    <x v="2"/>
    <x v="1"/>
    <s v="no root cause"/>
    <x v="1"/>
    <s v=""/>
  </r>
  <r>
    <s v="Abome-II"/>
    <s v="CTR_662"/>
    <s v="Yaounde"/>
    <s v="CAMUSAT"/>
    <s v="Good Grid no GE - 12h"/>
    <s v="CENTRE"/>
    <s v="Yaounde"/>
    <s v="ZTE"/>
    <n v="0"/>
    <n v="0"/>
    <n v="0"/>
    <n v="0"/>
    <n v="0"/>
    <n v="0"/>
    <n v="0"/>
    <n v="6.200382812121005"/>
    <n v="0"/>
    <n v="0"/>
    <n v="0"/>
    <n v="18.49140919947608"/>
    <n v="3.473595523252661"/>
    <n v="0"/>
    <n v="0"/>
    <n v="7.774346308709509"/>
    <n v="0"/>
    <n v="0"/>
    <n v="0"/>
    <n v="3.599368495546936"/>
    <n v="0"/>
    <n v="0.001212785325582997"/>
    <n v="0"/>
    <n v="0"/>
    <m/>
    <n v="0"/>
    <m/>
    <n v="0"/>
    <m/>
    <n v="0"/>
    <m/>
    <m/>
    <n v="0"/>
    <n v="0"/>
    <n v="0"/>
    <n v="0"/>
    <m/>
    <n v="1.662800021687456"/>
    <n v="0.01198997637974653"/>
    <n v="0"/>
    <n v="0.1819115300514156"/>
    <n v="0.09657694908869896"/>
    <x v="0"/>
    <m/>
    <x v="5"/>
    <x v="2"/>
    <s v="IP &amp; VLAN"/>
    <x v="2"/>
    <s v="{05-25-2026 goupe whatsapp incident}:    impacted by    CTR_351_Z_Mimboman-Nodal(CTR-351)  ,Cause: Boucle ethernet  ,Action: Desactivation de la boucle      ;      {05-25-2026 ticket}: INC-20260525-00025461...Auto TT closure RCA...Others"/>
  </r>
  <r>
    <s v="Ebolowa-Si-MTN"/>
    <s v="SUD_263"/>
    <s v="CENTRE"/>
    <s v="IHS"/>
    <s v="Grid-Gen"/>
    <s v="SUD"/>
    <s v="Ebolowa"/>
    <s v="ZTE"/>
    <n v="0"/>
    <n v="0"/>
    <n v="0"/>
    <n v="0"/>
    <n v="0"/>
    <n v="0"/>
    <n v="0"/>
    <n v="0"/>
    <n v="0"/>
    <n v="0"/>
    <n v="0"/>
    <n v="0"/>
    <n v="0"/>
    <n v="0"/>
    <n v="0"/>
    <n v="0"/>
    <n v="0"/>
    <n v="0"/>
    <n v="0"/>
    <n v="0"/>
    <n v="0"/>
    <n v="0"/>
    <n v="0"/>
    <n v="0"/>
    <m/>
    <n v="0"/>
    <m/>
    <n v="0"/>
    <m/>
    <n v="0"/>
    <m/>
    <m/>
    <n v="0"/>
    <n v="0"/>
    <n v="0"/>
    <n v="0"/>
    <m/>
    <n v="0"/>
    <n v="0.0003746867618670791"/>
    <n v="0.007012658486078804"/>
    <n v="0.1803383150895123"/>
    <n v="0.0964521035404763"/>
    <x v="0"/>
    <m/>
    <x v="2"/>
    <x v="1"/>
    <s v="no root cause"/>
    <x v="1"/>
    <s v=""/>
  </r>
  <r>
    <s v="Ebolowa-Elat-II"/>
    <s v="SUD_100"/>
    <s v="CENTRE"/>
    <s v="CAMUSAT"/>
    <s v="Medium Grid + GE"/>
    <s v="SUD"/>
    <s v="Ebolowa"/>
    <s v="ZTE"/>
    <n v="0"/>
    <n v="0"/>
    <n v="0"/>
    <n v="0"/>
    <n v="0"/>
    <n v="0"/>
    <n v="0"/>
    <n v="3.592626835942963"/>
    <n v="0"/>
    <n v="3.729671577733833"/>
    <n v="0"/>
    <n v="0.008025785242828045"/>
    <n v="0"/>
    <n v="0"/>
    <n v="0"/>
    <n v="0"/>
    <n v="0"/>
    <n v="0"/>
    <n v="0"/>
    <n v="0"/>
    <n v="0"/>
    <n v="0"/>
    <n v="0"/>
    <n v="0"/>
    <m/>
    <n v="0"/>
    <m/>
    <n v="0"/>
    <m/>
    <n v="0"/>
    <m/>
    <m/>
    <n v="0"/>
    <n v="0"/>
    <n v="0"/>
    <n v="0"/>
    <m/>
    <n v="0"/>
    <n v="0.0003746867618670791"/>
    <n v="0.007012658486078804"/>
    <n v="0.1782862955739852"/>
    <n v="0.0953819988414322"/>
    <x v="0"/>
    <m/>
    <x v="2"/>
    <x v="1"/>
    <s v="no root cause"/>
    <x v="1"/>
    <s v=""/>
  </r>
  <r>
    <s v="Mbalmayo-Oyack"/>
    <s v="CTR_493"/>
    <s v="CENTRE"/>
    <s v="IHS"/>
    <s v="Grid-Gen"/>
    <s v="CENTRE"/>
    <s v="Mbalmayo"/>
    <s v="ZTE"/>
    <n v="0"/>
    <n v="0"/>
    <n v="0"/>
    <n v="0"/>
    <n v="0"/>
    <n v="0"/>
    <n v="0"/>
    <n v="0"/>
    <n v="0"/>
    <n v="0"/>
    <n v="0"/>
    <n v="0"/>
    <n v="0"/>
    <n v="0"/>
    <n v="0"/>
    <n v="0"/>
    <n v="0"/>
    <n v="0"/>
    <n v="0"/>
    <n v="0"/>
    <n v="0"/>
    <n v="0"/>
    <n v="0"/>
    <n v="0"/>
    <m/>
    <n v="0"/>
    <m/>
    <n v="0"/>
    <m/>
    <n v="0"/>
    <m/>
    <m/>
    <n v="0.1116475902668988"/>
    <n v="0"/>
    <n v="0"/>
    <n v="0"/>
    <m/>
    <n v="0"/>
    <n v="0"/>
    <n v="0.001275028815653472"/>
    <n v="0.1798595105358892"/>
    <n v="0.09422271875080344"/>
    <x v="0"/>
    <m/>
    <x v="2"/>
    <x v="1"/>
    <s v="no root cause"/>
    <x v="1"/>
    <s v=""/>
  </r>
  <r>
    <s v="Sole"/>
    <s v="LIT_212"/>
    <s v="LITTORAL"/>
    <s v="IHS"/>
    <s v="Grid-Gen"/>
    <s v="LITTORAL"/>
    <s v="Sole"/>
    <s v="NOKIA"/>
    <n v="0"/>
    <n v="0"/>
    <n v="0"/>
    <n v="0.03588864607523538"/>
    <n v="0.01494241116891324"/>
    <n v="0.1121176858754859"/>
    <n v="0"/>
    <n v="0.276698683140523"/>
    <n v="0"/>
    <n v="0.08791770855013881"/>
    <n v="0.2531513390748691"/>
    <n v="0"/>
    <n v="0"/>
    <n v="0"/>
    <n v="0"/>
    <n v="0.03729442866775227"/>
    <n v="0"/>
    <n v="0.007900939694606349"/>
    <n v="0"/>
    <n v="0"/>
    <n v="0"/>
    <n v="0.05407595745834436"/>
    <n v="0.166388689109175"/>
    <n v="0"/>
    <m/>
    <n v="0.1605207109408179"/>
    <m/>
    <n v="0.1257194670593238"/>
    <m/>
    <n v="0.05101002708858134"/>
    <m/>
    <m/>
    <n v="0"/>
    <n v="0.03939891113917742"/>
    <n v="0"/>
    <n v="0"/>
    <m/>
    <n v="0.01845930605850474"/>
    <n v="0.2916311963198766"/>
    <n v="0.1554031301441918"/>
    <n v="0"/>
    <n v="0.09381553108279003"/>
    <x v="0"/>
    <m/>
    <x v="2"/>
    <x v="1"/>
    <s v="no root cause"/>
    <x v="1"/>
    <s v="{05-25-2026 ticket}: INC-20260525-00018417...Others"/>
  </r>
  <r>
    <s v="Mbalmayo"/>
    <s v="CTR_021"/>
    <s v="CENTRE"/>
    <m/>
    <m/>
    <s v="CENTRE"/>
    <s v="Mbalmayo"/>
    <s v="ZTE"/>
    <n v="0"/>
    <n v="0"/>
    <n v="0"/>
    <n v="0"/>
    <n v="0"/>
    <n v="0"/>
    <n v="0"/>
    <n v="0"/>
    <n v="0"/>
    <n v="0"/>
    <n v="0"/>
    <n v="0"/>
    <n v="0"/>
    <n v="0"/>
    <n v="0"/>
    <n v="0"/>
    <n v="0"/>
    <n v="0"/>
    <n v="0"/>
    <n v="0"/>
    <n v="0"/>
    <n v="0"/>
    <n v="0"/>
    <n v="0"/>
    <m/>
    <n v="0"/>
    <m/>
    <n v="0"/>
    <m/>
    <n v="0"/>
    <m/>
    <m/>
    <n v="0"/>
    <n v="0"/>
    <n v="0"/>
    <n v="0"/>
    <m/>
    <n v="0"/>
    <n v="0"/>
    <n v="0"/>
    <n v="0.1765762793110468"/>
    <n v="0.09208250935271509"/>
    <x v="0"/>
    <m/>
    <x v="2"/>
    <x v="1"/>
    <s v="no root cause"/>
    <x v="1"/>
    <s v=""/>
  </r>
  <r>
    <s v="CTR_984_Z_Mbalmayo-Ngalan-II"/>
    <s v="CTR_984"/>
    <s v="CENTRE"/>
    <s v="ESCO"/>
    <s v="Hybrid Solar - S1"/>
    <s v="CTR"/>
    <s v="Mbalmayo"/>
    <s v="ZTE"/>
    <n v="0"/>
    <n v="0"/>
    <n v="0"/>
    <n v="0"/>
    <n v="0"/>
    <n v="0"/>
    <n v="0"/>
    <n v="0"/>
    <n v="0"/>
    <n v="0"/>
    <n v="0"/>
    <n v="0"/>
    <n v="0"/>
    <s v=""/>
    <n v="0"/>
    <n v="0"/>
    <n v="0"/>
    <n v="0"/>
    <n v="0"/>
    <n v="0"/>
    <n v="0"/>
    <n v="0"/>
    <n v="0"/>
    <n v="0"/>
    <m/>
    <n v="0"/>
    <m/>
    <n v="15.4503499955769"/>
    <m/>
    <n v="0"/>
    <m/>
    <m/>
    <n v="0"/>
    <n v="0"/>
    <n v="0"/>
    <n v="6.233342036851552"/>
    <m/>
    <n v="0"/>
    <n v="0.002622807333069554"/>
    <n v="0"/>
    <n v="0.1756186702038005"/>
    <n v="0.09195766380449297"/>
    <x v="0"/>
    <m/>
    <x v="2"/>
    <x v="1"/>
    <s v="no root cause"/>
    <x v="1"/>
    <s v=""/>
  </r>
  <r>
    <s v="Doualare"/>
    <s v="EXN_030"/>
    <s v="Maroua"/>
    <s v="IHS"/>
    <s v="Solar-Grid-Gen"/>
    <s v="EXTREME-NORD"/>
    <s v="Maroua"/>
    <s v="Huawei"/>
    <n v="0"/>
    <n v="0"/>
    <n v="0"/>
    <n v="0"/>
    <n v="0"/>
    <n v="0"/>
    <n v="0.003210314097131264"/>
    <n v="0"/>
    <n v="0"/>
    <n v="0"/>
    <n v="0"/>
    <n v="0"/>
    <n v="0"/>
    <n v="0"/>
    <n v="0.001159280090630734"/>
    <n v="0"/>
    <n v="0"/>
    <n v="0.411972474053528"/>
    <n v="0"/>
    <n v="0"/>
    <n v="0"/>
    <n v="0"/>
    <n v="0"/>
    <n v="0"/>
    <m/>
    <n v="0"/>
    <m/>
    <n v="0"/>
    <m/>
    <n v="0"/>
    <m/>
    <m/>
    <n v="0"/>
    <n v="0"/>
    <n v="1.388906723967206"/>
    <n v="0"/>
    <m/>
    <n v="0"/>
    <n v="0.1336382783992582"/>
    <n v="0.1141682052014376"/>
    <n v="0.06600662774943251"/>
    <n v="0.09183281825627151"/>
    <x v="0"/>
    <m/>
    <x v="2"/>
    <x v="1"/>
    <s v="no root cause"/>
    <x v="1"/>
    <s v=""/>
  </r>
  <r>
    <s v="Garoua-Lainde-II"/>
    <s v="NRD_145"/>
    <s v="Garoua"/>
    <s v="CAMUSAT"/>
    <s v="Medium Grid + GE"/>
    <s v="NORD"/>
    <s v="Garoua"/>
    <s v="Huawei"/>
    <n v="0"/>
    <n v="0"/>
    <n v="5.080571749806668"/>
    <n v="0"/>
    <n v="0"/>
    <n v="0"/>
    <n v="2.063607736714293"/>
    <n v="0.7379263653822558"/>
    <n v="0.8515893194990197"/>
    <n v="1.096857316519848"/>
    <n v="0.04594316174561186"/>
    <n v="0"/>
    <n v="0"/>
    <n v="0"/>
    <n v="0"/>
    <n v="0"/>
    <n v="1.992178248053123"/>
    <n v="5.286495564059322"/>
    <n v="0"/>
    <n v="2.125584633867244"/>
    <n v="0.1934570945087933"/>
    <n v="0"/>
    <n v="0"/>
    <n v="0"/>
    <m/>
    <n v="0"/>
    <m/>
    <n v="0"/>
    <m/>
    <n v="0"/>
    <m/>
    <m/>
    <n v="3.580570323000402"/>
    <n v="0"/>
    <n v="17.60821612119863"/>
    <n v="12.67547933556486"/>
    <m/>
    <n v="4.477942288540176"/>
    <n v="0.1517481385561671"/>
    <n v="0.1954512921992037"/>
    <n v="0.004788045536228268"/>
    <n v="0.08978178424977101"/>
    <x v="0"/>
    <m/>
    <x v="2"/>
    <x v="1"/>
    <s v="no root cause"/>
    <x v="1"/>
    <s v=""/>
  </r>
  <r>
    <s v="Poumpoumrey-II"/>
    <s v="NRD_148"/>
    <s v="Garoua"/>
    <s v="CAMUSAT"/>
    <s v="Good Grid + GE"/>
    <s v="NORD"/>
    <s v="Garoua"/>
    <s v="Huawei"/>
    <n v="0"/>
    <n v="1.847357412115868"/>
    <n v="5.065768634803229"/>
    <n v="0"/>
    <n v="0"/>
    <n v="0"/>
    <n v="0"/>
    <n v="0.08100692571761221"/>
    <n v="6.153369545676348"/>
    <n v="5.285799996004942"/>
    <n v="0"/>
    <n v="0"/>
    <n v="1.125482617219269"/>
    <n v="0"/>
    <n v="0"/>
    <n v="0"/>
    <n v="3.486401109484552"/>
    <n v="5.292488150373967"/>
    <n v="0"/>
    <n v="0"/>
    <n v="0.782014678982858"/>
    <n v="0"/>
    <n v="0"/>
    <n v="0"/>
    <m/>
    <n v="0"/>
    <m/>
    <n v="0"/>
    <m/>
    <n v="0"/>
    <m/>
    <m/>
    <n v="3.600706126420742"/>
    <n v="0"/>
    <n v="17.61258571538639"/>
    <n v="9.232328290999991"/>
    <m/>
    <n v="4.541988054777947"/>
    <n v="0.1523726164926122"/>
    <n v="0.1934324965744226"/>
    <n v="0.004788045536228268"/>
    <n v="0.08919322666529694"/>
    <x v="0"/>
    <m/>
    <x v="2"/>
    <x v="1"/>
    <s v="no root cause"/>
    <x v="1"/>
    <s v=""/>
  </r>
  <r>
    <s v="Ndogbessol-IHS"/>
    <s v="LIT_499"/>
    <s v="LITTORAL"/>
    <s v="IHS"/>
    <s v="Hybrid-Gen"/>
    <s v="LITTORAL"/>
    <s v="Ndogbessol"/>
    <s v="NOKIA"/>
    <n v="2.666391982094016"/>
    <n v="0"/>
    <n v="0"/>
    <n v="0"/>
    <n v="0"/>
    <n v="0"/>
    <n v="0.04968790735093116"/>
    <n v="0"/>
    <n v="0.00975722608960209"/>
    <n v="0.02907328735016372"/>
    <n v="0"/>
    <n v="0"/>
    <n v="0"/>
    <n v="0"/>
    <n v="0"/>
    <n v="0"/>
    <n v="0"/>
    <n v="0.1897830683754099"/>
    <n v="0"/>
    <n v="0"/>
    <n v="2.227833137860875"/>
    <n v="0.191816267303593"/>
    <n v="0"/>
    <n v="0"/>
    <m/>
    <n v="0"/>
    <m/>
    <n v="0"/>
    <m/>
    <n v="0.01603373540733892"/>
    <m/>
    <m/>
    <n v="0.305158190010644"/>
    <n v="0.6241564007955872"/>
    <n v="0"/>
    <n v="0"/>
    <m/>
    <n v="0.2088309320183887"/>
    <n v="0.6231040849849525"/>
    <n v="0"/>
    <n v="0"/>
    <n v="0.08897920572548818"/>
    <x v="0"/>
    <m/>
    <x v="2"/>
    <x v="1"/>
    <s v="no root cause"/>
    <x v="1"/>
    <s v="{05-25-2026 ticket}: INC-20260525-00000189...Others"/>
  </r>
  <r>
    <s v="Meidjamba-MTN"/>
    <s v="ADM_054"/>
    <s v="ADAMAOUA"/>
    <s v="IHS"/>
    <s v="Hybrid-Gen"/>
    <s v="ADAMAOUA"/>
    <s v="Meidjamba"/>
    <s v="NOKIA"/>
    <n v="0.001427054017825275"/>
    <n v="0"/>
    <n v="0"/>
    <n v="0"/>
    <n v="0"/>
    <n v="0"/>
    <n v="0.02634682133886511"/>
    <n v="0.09184228741679763"/>
    <n v="0.07836171581726668"/>
    <n v="0.0008918571400759337"/>
    <n v="0"/>
    <n v="0"/>
    <n v="0"/>
    <n v="0"/>
    <n v="0"/>
    <n v="0.001248672265597244"/>
    <n v="0.3888629229473278"/>
    <n v="0"/>
    <n v="0"/>
    <n v="0"/>
    <n v="1.783507831741196e-05"/>
    <n v="0"/>
    <n v="0.00133786314171126"/>
    <n v="0"/>
    <m/>
    <n v="0.006510557122553529"/>
    <m/>
    <n v="0"/>
    <m/>
    <n v="0"/>
    <m/>
    <m/>
    <n v="0"/>
    <n v="0"/>
    <n v="0"/>
    <n v="0"/>
    <m/>
    <n v="0.0147160764765919"/>
    <n v="0.198958670551419"/>
    <n v="0.09218462764854279"/>
    <n v="0.05519932496766027"/>
    <n v="0.0881445389245198"/>
    <x v="0"/>
    <m/>
    <x v="2"/>
    <x v="1"/>
    <s v="no root cause"/>
    <x v="1"/>
    <s v="{05-25-2026 ticket}: INC-20260525-00017893...Others"/>
  </r>
  <r>
    <s v="Poumpoumrey"/>
    <s v="NRD_038"/>
    <s v="Garoua"/>
    <s v="IHS"/>
    <s v="Grid-Gen"/>
    <s v="NORD"/>
    <s v="Garoua"/>
    <s v="Huawei"/>
    <n v="0"/>
    <n v="0"/>
    <n v="4.627382409761638"/>
    <n v="0"/>
    <n v="0"/>
    <n v="0"/>
    <n v="0"/>
    <n v="0"/>
    <n v="0"/>
    <n v="0"/>
    <n v="0"/>
    <n v="1.073297178062568"/>
    <n v="0"/>
    <n v="0"/>
    <n v="0"/>
    <n v="0"/>
    <n v="1.835229558860039"/>
    <n v="2.246738320877314"/>
    <n v="0"/>
    <n v="0"/>
    <n v="0"/>
    <n v="0"/>
    <n v="0"/>
    <n v="0"/>
    <m/>
    <n v="0"/>
    <m/>
    <n v="0"/>
    <m/>
    <n v="0"/>
    <m/>
    <m/>
    <n v="1.554220064891149"/>
    <n v="0"/>
    <n v="8.521778770834938"/>
    <n v="5.197694709117005"/>
    <m/>
    <n v="0.7508567971623676"/>
    <n v="0.1461278371281609"/>
    <n v="0.192423098762032"/>
    <n v="0.002907027646995733"/>
    <n v="0.08698167695393984"/>
    <x v="0"/>
    <m/>
    <x v="2"/>
    <x v="1"/>
    <s v="no root cause"/>
    <x v="1"/>
    <s v=""/>
  </r>
  <r>
    <s v="Ebolowa-NewBell"/>
    <s v="SUD_262"/>
    <s v="CENTRE"/>
    <s v="IHS"/>
    <s v="Grid-Gen"/>
    <s v="SUD"/>
    <s v="Ebolowa"/>
    <s v="ZTE"/>
    <n v="0"/>
    <n v="0"/>
    <n v="0"/>
    <n v="0"/>
    <n v="0"/>
    <n v="0"/>
    <n v="0"/>
    <n v="0"/>
    <n v="0"/>
    <n v="0"/>
    <n v="0"/>
    <n v="0"/>
    <n v="0"/>
    <n v="0"/>
    <n v="0"/>
    <n v="0"/>
    <n v="0"/>
    <n v="0"/>
    <n v="0"/>
    <n v="0"/>
    <n v="0"/>
    <n v="0"/>
    <n v="0"/>
    <n v="0"/>
    <m/>
    <n v="0"/>
    <m/>
    <n v="0"/>
    <m/>
    <n v="0"/>
    <m/>
    <m/>
    <n v="0"/>
    <n v="0"/>
    <n v="0"/>
    <n v="0"/>
    <m/>
    <n v="0"/>
    <n v="0.0003746867618670791"/>
    <n v="0.00510011526260777"/>
    <n v="0.1620069407508091"/>
    <n v="0.08625043874292743"/>
    <x v="0"/>
    <m/>
    <x v="2"/>
    <x v="1"/>
    <s v="no root cause"/>
    <x v="1"/>
    <s v=""/>
  </r>
  <r>
    <s v="Lewa-MTN"/>
    <s v="ADM_066"/>
    <s v="ADAMAOUA"/>
    <s v="IHS"/>
    <s v="Hybrid-Gen"/>
    <s v="ADAMAOUA"/>
    <s v="Lewa"/>
    <s v="NOKIA"/>
    <n v="0.001873008398395695"/>
    <n v="0.1337040477871455"/>
    <n v="0.5225340432262614"/>
    <n v="0.4933235333341953"/>
    <n v="0.1152657216594793"/>
    <n v="0.007581224469696968"/>
    <n v="0.05738216293392742"/>
    <n v="0.0835610028984014"/>
    <n v="0.03933754974965761"/>
    <n v="0.1374027588499241"/>
    <n v="0.1771796408425533"/>
    <n v="0"/>
    <n v="0.009989378124777269"/>
    <n v="0.007046079213012532"/>
    <n v="0.002622205563943016"/>
    <n v="0.03558584338471526"/>
    <n v="0.04229095024268599"/>
    <n v="0.3152865603476045"/>
    <n v="0.1693002974313506"/>
    <n v="0.005708216071301443"/>
    <n v="11.2489941015829"/>
    <n v="0.01221884033708742"/>
    <n v="0.002390272123181551"/>
    <n v="0.005619025195187258"/>
    <m/>
    <n v="0.02065502324114137"/>
    <m/>
    <n v="0.02345645716070276"/>
    <m/>
    <n v="0.002408014278204782"/>
    <m/>
    <m/>
    <n v="0"/>
    <n v="0.005886938562000462"/>
    <n v="0.007046079213012532"/>
    <n v="0.01366296367878465"/>
    <m/>
    <n v="0.1764698889028151"/>
    <n v="0.1493751223976755"/>
    <n v="0.1041424356430828"/>
    <n v="0.05615693407490564"/>
    <n v="0.08557776909072222"/>
    <x v="0"/>
    <m/>
    <x v="4"/>
    <x v="0"/>
    <s v="Defaut GE &amp; Power Cabinet"/>
    <x v="0"/>
    <s v="{05-25-2026 ticket}: INC-20260525-00018071...Grid Outage"/>
  </r>
  <r>
    <s v="Sangmelima-CRTV"/>
    <s v="SUD_018"/>
    <s v="CENTRE"/>
    <s v="CAMUSAT"/>
    <s v="Medium Grid + Solar + GE"/>
    <s v="SUD"/>
    <s v="Sangmelima"/>
    <s v="ZTE"/>
    <n v="0"/>
    <n v="0"/>
    <n v="0"/>
    <n v="0"/>
    <n v="0"/>
    <n v="0"/>
    <n v="0"/>
    <n v="0"/>
    <n v="0"/>
    <n v="0"/>
    <n v="0"/>
    <n v="0"/>
    <n v="0"/>
    <n v="0"/>
    <n v="0.01105774855678554"/>
    <n v="0"/>
    <n v="0"/>
    <n v="0"/>
    <n v="0"/>
    <n v="0"/>
    <n v="0"/>
    <n v="0"/>
    <n v="0"/>
    <n v="0"/>
    <m/>
    <n v="0"/>
    <m/>
    <n v="0"/>
    <m/>
    <n v="0"/>
    <m/>
    <m/>
    <n v="0"/>
    <n v="0"/>
    <n v="0"/>
    <n v="0"/>
    <m/>
    <n v="0"/>
    <n v="0.001873433809335395"/>
    <n v="0.004462600854777976"/>
    <n v="0.160502126439423"/>
    <n v="0.0854656952969606"/>
    <x v="0"/>
    <m/>
    <x v="2"/>
    <x v="1"/>
    <s v="no root cause"/>
    <x v="1"/>
    <s v=""/>
  </r>
  <r>
    <s v="Mazavou"/>
    <s v="EXN_215"/>
    <s v="EXTREME-NORD"/>
    <s v="CAMUSAT"/>
    <s v="Hybrid Solar - S3"/>
    <s v="EXTREME-NORD"/>
    <s v="Kalfou"/>
    <s v="NOKIA"/>
    <n v="0"/>
    <n v="0"/>
    <n v="0.3541891966288916"/>
    <n v="0"/>
    <n v="0"/>
    <n v="0.001605249944974445"/>
    <n v="0.4909985947913838"/>
    <n v="0"/>
    <n v="0"/>
    <n v="0"/>
    <n v="0"/>
    <n v="0"/>
    <n v="0"/>
    <n v="0"/>
    <n v="1.314557245481809"/>
    <n v="0"/>
    <n v="0"/>
    <n v="0"/>
    <n v="0"/>
    <n v="0.2448649535648332"/>
    <n v="0"/>
    <n v="0.009862798309519975"/>
    <n v="0"/>
    <n v="0"/>
    <m/>
    <n v="0.05823490078157414"/>
    <m/>
    <n v="0.3213346060445221"/>
    <m/>
    <n v="0.001783611049971644"/>
    <m/>
    <m/>
    <n v="0.5105826220704099"/>
    <n v="0"/>
    <n v="0.3098043574512067"/>
    <n v="0.1719399199895868"/>
    <m/>
    <n v="0.0200653094965733"/>
    <n v="0.2847619390189801"/>
    <n v="0.1330888345337441"/>
    <n v="0"/>
    <n v="0.08534343536545246"/>
    <x v="1"/>
    <m/>
    <x v="2"/>
    <x v="1"/>
    <s v="no root cause"/>
    <x v="1"/>
    <s v=""/>
  </r>
  <r>
    <s v="Guili-Centre-IHS"/>
    <s v="EXN_173"/>
    <s v="EXTREME-NORD"/>
    <s v="IHS"/>
    <s v="Grid-Gen"/>
    <s v="EXTREME-NORD"/>
    <s v="Guili"/>
    <s v="NOKIA"/>
    <n v="0"/>
    <n v="0"/>
    <n v="0.3827434508929153"/>
    <n v="0"/>
    <n v="0"/>
    <n v="0.007556154482008911"/>
    <n v="0.4912230337990924"/>
    <n v="0.0176417280854449"/>
    <n v="0"/>
    <n v="0.001783611049971644"/>
    <n v="0"/>
    <n v="0"/>
    <n v="0"/>
    <n v="0"/>
    <n v="1.314396647197587"/>
    <n v="0"/>
    <n v="0.001872791602470329"/>
    <n v="0"/>
    <n v="0"/>
    <n v="0.2783424122661713"/>
    <n v="2.964600223152499"/>
    <n v="0.00586774076642321"/>
    <n v="0.02921474079977848"/>
    <n v="0.02775222825137094"/>
    <m/>
    <n v="0.04931684553171593"/>
    <m/>
    <n v="0.4313592041845374"/>
    <m/>
    <n v="0.001605249944974275"/>
    <m/>
    <m/>
    <n v="0.5126871613118628"/>
    <n v="0"/>
    <n v="0.3086272113167892"/>
    <n v="0.1663752723303531"/>
    <m/>
    <n v="0.017247403248806"/>
    <n v="0.2932548389546339"/>
    <n v="0.1267133215021873"/>
    <n v="0"/>
    <n v="0.08441588743106933"/>
    <x v="1"/>
    <m/>
    <x v="4"/>
    <x v="0"/>
    <s v="Defaut GE &amp; Power Cabinet"/>
    <x v="0"/>
    <s v="{05-25-2026 ticket}: INC-20260525-00024844...Grid Outage"/>
  </r>
  <r>
    <s v="Dogba-Ngd-IHS"/>
    <s v="ADM_128"/>
    <s v="Ngaoundere"/>
    <s v="IHS"/>
    <s v="Hybrid-Gen"/>
    <s v="ADAMAOUA"/>
    <s v="Dogba"/>
    <s v="NOKIA"/>
    <n v="0.04471254134171154"/>
    <n v="0.00845382712244566"/>
    <n v="0.004405264344396789"/>
    <n v="0.0004637120362522936"/>
    <n v="0.002425570651165844"/>
    <n v="0.5073723079732788"/>
    <n v="1.548691190612756"/>
    <n v="1.551937174866522"/>
    <n v="0.4643362639934025"/>
    <n v="0.5163076822102942"/>
    <n v="0.03665108594224858"/>
    <n v="0.001605342852136578"/>
    <n v="0.001801342910056987"/>
    <n v="0.663340067858906"/>
    <n v="1.560176981049159"/>
    <n v="1.556877491560441"/>
    <n v="2.35114486934735"/>
    <n v="1.625399862455876"/>
    <n v="1.574748240034471"/>
    <n v="1.541931695930463"/>
    <n v="0.01373301030439483"/>
    <n v="1.543679533605568"/>
    <n v="1.561068734965029"/>
    <n v="1.541218292797767"/>
    <m/>
    <n v="1.540504889665071"/>
    <m/>
    <n v="0"/>
    <m/>
    <n v="0.005956916158010233"/>
    <m/>
    <m/>
    <n v="0"/>
    <n v="0.004316088952809809"/>
    <n v="1.544339431503311"/>
    <n v="0.744739365299501"/>
    <m/>
    <n v="0.007847434459654199"/>
    <n v="0.5772674044498799"/>
    <n v="0"/>
    <n v="0"/>
    <n v="0.08243373198300388"/>
    <x v="0"/>
    <m/>
    <x v="14"/>
    <x v="2"/>
    <s v="SAT"/>
    <x v="2"/>
    <s v="Impacts :Coupure franche (25 sites VSAT Nokia)  ,Indisponibilité de plusieurs sites VSAT dans plusieurs regions @~Supervision Reseau Orange Cameroun  ; Cause: A Determiner_x000a_Action: Sans action      ;      {05-25-2026 ticket}: INC-20260525-00018482...Others Transmission equipement fault"/>
  </r>
  <r>
    <s v="Sangmelima-Chateau"/>
    <s v="SUD_260"/>
    <s v="CENTRE"/>
    <s v="CAMUSAT"/>
    <s v="Good Grid + GE"/>
    <s v="SUD"/>
    <s v="Sangmelima"/>
    <s v="ZTE"/>
    <n v="0"/>
    <n v="0"/>
    <n v="0"/>
    <n v="0"/>
    <n v="0"/>
    <n v="0"/>
    <n v="0.3455189722429114"/>
    <n v="1.95754252596074"/>
    <n v="0"/>
    <n v="0"/>
    <n v="0"/>
    <n v="0"/>
    <n v="0"/>
    <n v="3.360913498443354"/>
    <n v="0.05917678985712061"/>
    <n v="0"/>
    <n v="3.181528280726986"/>
    <n v="0"/>
    <n v="4.008754883244443"/>
    <n v="0.1029084018913735"/>
    <n v="0"/>
    <n v="22.03327740252773"/>
    <n v="2.422039305658999"/>
    <n v="0"/>
    <m/>
    <n v="0"/>
    <m/>
    <n v="0.1045670641748913"/>
    <m/>
    <n v="4.583989664215414"/>
    <m/>
    <m/>
    <n v="0"/>
    <n v="0"/>
    <n v="0.1039071662771487"/>
    <n v="0"/>
    <m/>
    <n v="0"/>
    <n v="0.0003746867618670791"/>
    <n v="0.003187572039130622"/>
    <n v="0.1556114799274192"/>
    <n v="0.08227321627814843"/>
    <x v="0"/>
    <m/>
    <x v="2"/>
    <x v="1"/>
    <s v="no root cause"/>
    <x v="1"/>
    <s v=""/>
  </r>
  <r>
    <s v="Boukoula-IHS"/>
    <s v="NRD_014"/>
    <s v="EXTREME-NORD"/>
    <s v="IHS"/>
    <s v="Grid-Gen"/>
    <s v="NORD"/>
    <s v="Boukoula"/>
    <s v="NOKIA"/>
    <n v="0"/>
    <n v="0.7138660972937735"/>
    <n v="0.4901488381643631"/>
    <n v="0"/>
    <n v="0.07881149493289966"/>
    <n v="0"/>
    <n v="0.4907881762882803"/>
    <n v="0"/>
    <n v="0"/>
    <n v="0"/>
    <n v="0"/>
    <n v="0"/>
    <n v="0.002051152707467356"/>
    <n v="0.003299680442447576"/>
    <n v="1.313629842054145"/>
    <n v="0"/>
    <n v="0"/>
    <n v="0"/>
    <n v="0.001605249944974446"/>
    <n v="0.2462917495084019"/>
    <n v="3.209743374625107"/>
    <n v="0.009862798309520126"/>
    <n v="0"/>
    <n v="0.04348337631488321"/>
    <m/>
    <n v="0.04842504000673028"/>
    <m/>
    <n v="0.429896727762511"/>
    <m/>
    <n v="0.7113200422030055"/>
    <m/>
    <m/>
    <n v="0.5310572919787808"/>
    <n v="0"/>
    <n v="0.310500033884729"/>
    <n v="0.1760956480738489"/>
    <m/>
    <n v="0.02570127681945598"/>
    <n v="0.2517895039746771"/>
    <n v="0.1360109446732078"/>
    <n v="0"/>
    <n v="0.08161596076714445"/>
    <x v="0"/>
    <m/>
    <x v="4"/>
    <x v="0"/>
    <s v="Defaut GE &amp; Power Cabinet"/>
    <x v="0"/>
    <s v="{05-25-2026 ticket}: INC-20260525-00022021...Grid Outage"/>
  </r>
  <r>
    <s v="Odza-II-IHS"/>
    <s v="CTR_158"/>
    <s v="Yaounde"/>
    <s v="IHS"/>
    <s v="Grid-Gen"/>
    <s v="CENTRE"/>
    <s v="Yaounde"/>
    <s v="ZTE"/>
    <n v="0"/>
    <n v="0"/>
    <n v="0"/>
    <n v="0"/>
    <n v="0"/>
    <n v="0"/>
    <n v="0"/>
    <n v="0"/>
    <n v="0"/>
    <n v="0"/>
    <n v="0"/>
    <n v="0"/>
    <n v="0"/>
    <n v="0"/>
    <n v="0"/>
    <n v="0"/>
    <n v="0"/>
    <n v="0"/>
    <n v="0"/>
    <n v="0"/>
    <n v="0.03781036603287932"/>
    <n v="0"/>
    <n v="0"/>
    <n v="0"/>
    <m/>
    <n v="0"/>
    <m/>
    <n v="0.0008560837592350035"/>
    <m/>
    <n v="0"/>
    <m/>
    <m/>
    <n v="0"/>
    <n v="0"/>
    <n v="0"/>
    <n v="0"/>
    <m/>
    <n v="0"/>
    <n v="0"/>
    <n v="0"/>
    <n v="0.1535252600866338"/>
    <n v="0.08006166656679037"/>
    <x v="0"/>
    <m/>
    <x v="2"/>
    <x v="1"/>
    <s v="no root cause"/>
    <x v="1"/>
    <s v=""/>
  </r>
  <r>
    <s v="Foreke"/>
    <s v="OST_251"/>
    <s v="OUEST"/>
    <s v="CAMUSAT"/>
    <s v="Medium Grid + GE"/>
    <s v="OUEST"/>
    <s v="Dschang"/>
    <s v="NOKIA"/>
    <n v="0.05525333147336596"/>
    <n v="0.04103851520832789"/>
    <n v="0.9849675241767343"/>
    <n v="0"/>
    <n v="0.05525353193310686"/>
    <n v="0"/>
    <n v="0"/>
    <n v="1.188817874340214"/>
    <n v="0"/>
    <n v="0.05473771788008992"/>
    <n v="0"/>
    <n v="0"/>
    <n v="0.05919629283833076"/>
    <n v="0"/>
    <n v="0.05972967728495895"/>
    <n v="0"/>
    <n v="0.00240773557284831"/>
    <n v="0.05833854117620183"/>
    <n v="0"/>
    <n v="0.05523523754897483"/>
    <n v="0"/>
    <n v="0.05594864068167092"/>
    <n v="0"/>
    <n v="4.773968918452315"/>
    <m/>
    <n v="11.93280883935018"/>
    <m/>
    <n v="0.1097570719652546"/>
    <m/>
    <n v="1.268965822282719"/>
    <m/>
    <m/>
    <n v="2.220449415437473"/>
    <n v="1.021254419532407"/>
    <n v="0.07606611794545022"/>
    <n v="0.05890926368235866"/>
    <m/>
    <n v="0.00379887168160558"/>
    <n v="0"/>
    <n v="0"/>
    <n v="0.1524992503288704"/>
    <n v="0.07952661421726841"/>
    <x v="0"/>
    <m/>
    <x v="2"/>
    <x v="1"/>
    <s v="no root cause"/>
    <x v="1"/>
    <s v=""/>
  </r>
  <r>
    <s v="Canal-Olympia-1"/>
    <s v="LIT_674"/>
    <s v="Douala"/>
    <s v="CAMUSAT"/>
    <s v="Good Grid no GE - 8h"/>
    <s v="LITTORAL"/>
    <s v="Douala"/>
    <s v="ZTE"/>
    <n v="0"/>
    <n v="0"/>
    <n v="0"/>
    <n v="0"/>
    <n v="0.07722588911432432"/>
    <n v="0.07743991005413293"/>
    <n v="0"/>
    <n v="0.1321936004885388"/>
    <n v="0.07940176866904648"/>
    <n v="0.07899156186774661"/>
    <n v="0.1007503574149696"/>
    <n v="0.000107010469904356"/>
    <n v="0.07160783944434458"/>
    <n v="0.079366098512412"/>
    <n v="0.07112629232977483"/>
    <n v="0.3268991504795499"/>
    <n v="0"/>
    <n v="0.1232760613298406"/>
    <n v="0.1492974405949213"/>
    <n v="0.07034154888380972"/>
    <n v="0.0001070104699045297"/>
    <n v="0.1178720325996693"/>
    <n v="0.2351555076148648"/>
    <n v="0.1390601056407359"/>
    <m/>
    <n v="0.01605157048565626"/>
    <m/>
    <n v="0"/>
    <m/>
    <n v="3.585260948597878"/>
    <m/>
    <m/>
    <n v="3.135602954059693"/>
    <n v="3.144895029863056"/>
    <n v="3.560149158326984"/>
    <n v="3.145109050802864"/>
    <m/>
    <n v="0.009238570568411042"/>
    <n v="0"/>
    <n v="0.13961565531381"/>
    <n v="0.06244979392251983"/>
    <n v="0.07943743882568119"/>
    <x v="0"/>
    <m/>
    <x v="2"/>
    <x v="1"/>
    <s v="no root cause"/>
    <x v="1"/>
    <s v=""/>
  </r>
  <r>
    <s v="Mayo-Baleo-IHS"/>
    <s v="ADM_075"/>
    <s v="ADAMAOUA"/>
    <s v="IHS"/>
    <s v="Hybrid-Gen"/>
    <s v="ADAMAOUA"/>
    <s v="Mayo-Baleo"/>
    <s v="NOKIA"/>
    <n v="0"/>
    <n v="0.004119903091318455"/>
    <n v="0.004833306224014291"/>
    <n v="0.000196185861491355"/>
    <n v="0.002175879554722301"/>
    <n v="0.01100424332183327"/>
    <n v="0.008739188375523996"/>
    <n v="0.006973515622101799"/>
    <n v="0.002068869084817925"/>
    <n v="0.4891805280895349"/>
    <n v="0.03590201265291797"/>
    <n v="0"/>
    <n v="0.002051034006500529"/>
    <n v="0.002407735572848447"/>
    <n v="0.01945807044427893"/>
    <n v="0.0165509526785434"/>
    <n v="1.199194995905066"/>
    <n v="0.1305884434399729"/>
    <n v="0.05134719047578281"/>
    <n v="0.002158044476404905"/>
    <n v="0"/>
    <n v="0.005707225061566692"/>
    <n v="0.03376180325483046"/>
    <n v="0.001391136108756881"/>
    <m/>
    <n v="0"/>
    <m/>
    <n v="0"/>
    <m/>
    <n v="0.01314445271992078"/>
    <m/>
    <m/>
    <n v="0"/>
    <n v="0.003192479018813868"/>
    <n v="0.009506096743172017"/>
    <n v="0"/>
    <m/>
    <n v="0.005457533965123148"/>
    <n v="0.5481667326115367"/>
    <n v="0"/>
    <n v="0"/>
    <n v="0.07827815873505063"/>
    <x v="0"/>
    <m/>
    <x v="14"/>
    <x v="2"/>
    <s v="SAT"/>
    <x v="2"/>
    <s v="Impacts :Coupure franche (25 sites VSAT Nokia)  ,Indisponibilité de plusieurs sites VSAT dans plusieurs regions @~Supervision Reseau Orange Cameroun  ; Cause: A Determiner_x000a_Action: Sans action      ;      {05-25-2026 ticket}: INC-20260525-00018473...Others Transmission equipement fault"/>
  </r>
  <r>
    <s v="Malende-IHS"/>
    <s v="LIT_462"/>
    <s v="LITTORAL"/>
    <s v="IHS"/>
    <s v="Grid -Gen"/>
    <s v="LITTORAL"/>
    <s v="Malende"/>
    <s v="NOKIA"/>
    <n v="0.07388739171697266"/>
    <n v="0.05646613431484842"/>
    <n v="0.02072579341616743"/>
    <n v="0.03796573400943492"/>
    <n v="0.1085236256628692"/>
    <n v="0.01016599464091572"/>
    <n v="0.01319795795487304"/>
    <n v="0.02096125770963183"/>
    <n v="0.002853612530783393"/>
    <n v="0.01928395850883246"/>
    <n v="0.006063926627914645"/>
    <n v="0"/>
    <n v="0.001426806265391782"/>
    <n v="0"/>
    <n v="0.009185065333458845"/>
    <n v="0.01230620403900322"/>
    <n v="0.01473177469016902"/>
    <n v="0.005707225061566614"/>
    <n v="0"/>
    <n v="0"/>
    <n v="0.05830287101956706"/>
    <n v="0"/>
    <n v="0.02971324047678154"/>
    <n v="0.3092245878670102"/>
    <m/>
    <n v="0.0574646223386496"/>
    <m/>
    <n v="0.002764437139196341"/>
    <m/>
    <n v="0.001515981656978832"/>
    <m/>
    <m/>
    <n v="0.03527778491180917"/>
    <n v="0.01904786364297869"/>
    <n v="0.04997388944534346"/>
    <n v="0.01203867786424224"/>
    <m/>
    <n v="0.2794043369203243"/>
    <n v="0.1985839837895519"/>
    <n v="0.1476908378129344"/>
    <n v="0"/>
    <n v="0.07793929224702006"/>
    <x v="0"/>
    <m/>
    <x v="2"/>
    <x v="1"/>
    <s v="no root cause"/>
    <x v="1"/>
    <s v="{05-25-2026 ticket}: INC-20260525-00003585...Others"/>
  </r>
  <r>
    <s v="Batchenga-Nachtigal-IHS"/>
    <s v="CTR_699"/>
    <s v="CENTRE"/>
    <s v="IHS"/>
    <s v="Grid-Gen"/>
    <s v="CENTRE"/>
    <s v="Batchenga"/>
    <s v="NOKIA"/>
    <n v="1.851168770891287"/>
    <n v="0.01075455222538936"/>
    <n v="0"/>
    <n v="0.1354671650777723"/>
    <n v="0"/>
    <n v="0.1998411453211666"/>
    <n v="0.2393814350975804"/>
    <n v="0.1482991995013555"/>
    <n v="4.024200061067309"/>
    <n v="18.49140919947607"/>
    <n v="18.49140919947607"/>
    <n v="3.047800863503152"/>
    <n v="18.49140919947607"/>
    <n v="18.49140919947607"/>
    <n v="18.49140919947607"/>
    <n v="18.49140919947607"/>
    <n v="18.49140919947607"/>
    <n v="10.11405336734788"/>
    <n v="0.1710612387826087"/>
    <n v="0.0369771071847637"/>
    <n v="0"/>
    <n v="0.3169816449390236"/>
    <n v="0.06345720865329464"/>
    <n v="0"/>
    <m/>
    <n v="0"/>
    <m/>
    <n v="0.003031963313957664"/>
    <m/>
    <n v="5.155764439992809"/>
    <m/>
    <m/>
    <n v="0.9047282990642184"/>
    <n v="3.099279794512845"/>
    <n v="5.350461568572049e-05"/>
    <n v="1.20067530740541"/>
    <m/>
    <n v="0.3444639555882936"/>
    <n v="0"/>
    <n v="0.1426438487509822"/>
    <n v="0.05581428482365125"/>
    <n v="0.07699369621528473"/>
    <x v="0"/>
    <m/>
    <x v="2"/>
    <x v="1"/>
    <s v="no root cause"/>
    <x v="1"/>
    <s v=""/>
  </r>
  <r>
    <s v="Sangmelima-Ville"/>
    <s v="SUD_228"/>
    <s v="CENTRE"/>
    <s v="IHS"/>
    <s v="Grid-Gen"/>
    <s v="SUD"/>
    <s v="Sangmelima"/>
    <s v="ZTE"/>
    <n v="0"/>
    <n v="0"/>
    <n v="0"/>
    <n v="0"/>
    <n v="0"/>
    <n v="0"/>
    <n v="0"/>
    <n v="0"/>
    <n v="0"/>
    <n v="0"/>
    <n v="0"/>
    <n v="0.009666612448028607"/>
    <n v="0"/>
    <n v="0"/>
    <n v="0.009934138622789589"/>
    <n v="0"/>
    <n v="3.585457134459368"/>
    <n v="0"/>
    <n v="0"/>
    <n v="0"/>
    <n v="1.773092146002231"/>
    <n v="0"/>
    <n v="0"/>
    <n v="0"/>
    <m/>
    <n v="0"/>
    <m/>
    <n v="0"/>
    <m/>
    <n v="0"/>
    <m/>
    <m/>
    <n v="0"/>
    <n v="0"/>
    <n v="0"/>
    <n v="0"/>
    <m/>
    <n v="0"/>
    <n v="0.001124060285601237"/>
    <n v="0.003187572039130622"/>
    <n v="0.1322868581009352"/>
    <n v="0.07021670333558849"/>
    <x v="0"/>
    <m/>
    <x v="2"/>
    <x v="1"/>
    <s v="no root cause"/>
    <x v="1"/>
    <s v=""/>
  </r>
  <r>
    <s v="Dourbeye"/>
    <s v="NRD_057"/>
    <s v="NORD"/>
    <s v="IHS"/>
    <s v="Grid-Gen"/>
    <s v="NORD"/>
    <s v="Dourbeye"/>
    <s v="NOKIA"/>
    <n v="0.2744085600381382"/>
    <n v="1.791310010154574"/>
    <n v="1.941061927363893"/>
    <n v="0.1523851416313173"/>
    <n v="0.191899385353005"/>
    <n v="0.005885916464906358"/>
    <n v="1.783370505255133"/>
    <n v="0.1305094685043404"/>
    <n v="0"/>
    <n v="0.8367811240941989"/>
    <n v="0.1777265554328502"/>
    <n v="0"/>
    <n v="1.741528139220104"/>
    <n v="1.749493914433416"/>
    <n v="1.309517866084168"/>
    <n v="0"/>
    <n v="0"/>
    <n v="0"/>
    <n v="0"/>
    <n v="0.6635218959108804"/>
    <n v="0"/>
    <n v="0.5907869692637395"/>
    <n v="0.008115430277370913"/>
    <n v="0.05760730296518875"/>
    <m/>
    <n v="0.0009630830823445085"/>
    <m/>
    <n v="0.8659337698105033"/>
    <m/>
    <n v="0.3819535180696956"/>
    <m/>
    <m/>
    <n v="1.282609657195527"/>
    <n v="0.07332000696281475"/>
    <n v="0.7858021640032773"/>
    <n v="0.1595507536754488"/>
    <m/>
    <n v="0.01839790171222595"/>
    <n v="0"/>
    <n v="0"/>
    <n v="0.1339531278497681"/>
    <n v="0.06985502354097932"/>
    <x v="0"/>
    <m/>
    <x v="4"/>
    <x v="0"/>
    <s v="Defaut GE &amp; Power Cabinet"/>
    <x v="0"/>
    <s v="{05-25-2026 ocm ran 17H}: 25.05.26: BO TRANS analysis ongoing      ;      {05-25-2026 ticket}: INC-20260525-00009936...2026-05-25 18:51:32...Checking...Grid Outage...user:ndzie mbene lionnel"/>
  </r>
  <r>
    <s v="Mbalmayo-Ngalan"/>
    <s v="CTR_252"/>
    <s v="CENTRE"/>
    <s v="IHS"/>
    <s v="Grid-Gen"/>
    <s v="CENTRE"/>
    <s v="Mbalmayo"/>
    <s v="ZTE"/>
    <n v="18.4688834955612"/>
    <n v="18.49140919947608"/>
    <n v="32.76717660722591"/>
    <n v="0"/>
    <n v="0"/>
    <n v="0"/>
    <n v="0"/>
    <n v="0"/>
    <n v="0"/>
    <n v="0"/>
    <n v="0"/>
    <n v="0"/>
    <n v="0"/>
    <n v="0"/>
    <n v="0"/>
    <n v="0"/>
    <n v="0"/>
    <n v="0"/>
    <n v="0"/>
    <n v="0"/>
    <n v="0"/>
    <n v="0.4735034942485448"/>
    <n v="0"/>
    <n v="0"/>
    <m/>
    <n v="0"/>
    <m/>
    <n v="0.4841867061606643"/>
    <m/>
    <n v="0"/>
    <m/>
    <m/>
    <n v="0"/>
    <n v="0"/>
    <n v="0"/>
    <n v="0"/>
    <m/>
    <n v="0"/>
    <n v="0"/>
    <n v="0.001912543223475621"/>
    <n v="0.1287300242740228"/>
    <n v="0.067773297606104"/>
    <x v="0"/>
    <m/>
    <x v="2"/>
    <x v="1"/>
    <s v="no root cause"/>
    <x v="1"/>
    <s v=""/>
  </r>
  <r>
    <s v="Ndjeleng-II"/>
    <s v="OST_165"/>
    <s v="OUEST"/>
    <s v="IHS"/>
    <s v="Grid-Gen"/>
    <s v="OUEST"/>
    <s v="Bandjoun"/>
    <s v="Huawei"/>
    <n v="0"/>
    <n v="0"/>
    <n v="0"/>
    <n v="0"/>
    <n v="0"/>
    <n v="0"/>
    <n v="6.592968556043524"/>
    <n v="0"/>
    <n v="0"/>
    <n v="0"/>
    <n v="0"/>
    <n v="0"/>
    <n v="0"/>
    <n v="0"/>
    <n v="0.03349427708006951"/>
    <n v="0"/>
    <n v="0"/>
    <n v="0"/>
    <n v="0"/>
    <n v="0.1114692394837244"/>
    <n v="0"/>
    <n v="0"/>
    <n v="11.76660374451036"/>
    <n v="23.11399397317033"/>
    <m/>
    <n v="23.11426149934509"/>
    <m/>
    <n v="0.3793521158110109"/>
    <m/>
    <n v="0"/>
    <m/>
    <m/>
    <n v="0"/>
    <n v="0"/>
    <n v="0"/>
    <n v="0"/>
    <m/>
    <n v="1.770827091055922"/>
    <n v="0.08118213173786715"/>
    <n v="0.1407844317281571"/>
    <n v="0.01316712522462773"/>
    <n v="0.06572226359960391"/>
    <x v="0"/>
    <m/>
    <x v="2"/>
    <x v="1"/>
    <s v="no root cause"/>
    <x v="1"/>
    <s v=""/>
  </r>
  <r>
    <s v="Sambo-Labo-IHS"/>
    <s v="ADM_144"/>
    <s v="ADAMAOUA"/>
    <s v="IHS"/>
    <s v="Hybrid-Gen"/>
    <s v="ADAMAOUA"/>
    <s v="Sambo Lambo"/>
    <s v="NOKIA"/>
    <n v="0.004018523496023715"/>
    <n v="0.09603129133601417"/>
    <n v="0.03284514216190244"/>
    <n v="0.0008026714260683747"/>
    <n v="0.0008919087611408398"/>
    <n v="0"/>
    <n v="0.03334112569206991"/>
    <n v="0.07859345192651561"/>
    <n v="0.01587505709334964"/>
    <n v="0.001872899994159084"/>
    <n v="0.001516157138128848"/>
    <n v="0"/>
    <n v="0"/>
    <n v="0.002764917159536535"/>
    <n v="0.0008027178850268243"/>
    <n v="0.001605435770053649"/>
    <n v="0.2416150917824138"/>
    <n v="0"/>
    <n v="0"/>
    <n v="0"/>
    <n v="0"/>
    <n v="0.001873008398395695"/>
    <n v="0.003300062416221141"/>
    <n v="0"/>
    <m/>
    <n v="0.00624299998053068"/>
    <m/>
    <n v="0"/>
    <m/>
    <n v="0.0008918571400759337"/>
    <m/>
    <m/>
    <n v="0.1381683517248661"/>
    <n v="0.0008027643493636839"/>
    <n v="0.02110103451421956"/>
    <n v="0.001070290513368871"/>
    <m/>
    <n v="0.01182596787185001"/>
    <n v="0.2216896674380218"/>
    <n v="0.09883189152747193"/>
    <n v="0"/>
    <n v="0.06483626992781649"/>
    <x v="0"/>
    <m/>
    <x v="2"/>
    <x v="1"/>
    <s v="no root cause"/>
    <x v="1"/>
    <s v="{05-25-2026 ticket}: INC-20260525-00018051...Others"/>
  </r>
  <r>
    <s v="Awae-Yde"/>
    <s v="CTR_236"/>
    <s v="Yaounde"/>
    <s v="IHS"/>
    <s v="Grid-Gen"/>
    <s v="CENTRE"/>
    <s v="Yaounde"/>
    <s v="ZTE"/>
    <n v="0"/>
    <n v="0"/>
    <n v="0.09210034443103239"/>
    <n v="0"/>
    <n v="0"/>
    <n v="0"/>
    <n v="0"/>
    <n v="12.52864313577774"/>
    <n v="46.61681048873823"/>
    <n v="0"/>
    <n v="0.4970279625491892"/>
    <n v="0"/>
    <n v="0.3803687152751028"/>
    <n v="0"/>
    <n v="0"/>
    <n v="0"/>
    <n v="3.083881226939246"/>
    <n v="0"/>
    <n v="0"/>
    <n v="0"/>
    <n v="11.95351536527667"/>
    <n v="0.4886989809749654"/>
    <n v="0"/>
    <n v="0"/>
    <m/>
    <n v="0"/>
    <m/>
    <n v="0"/>
    <m/>
    <n v="0"/>
    <m/>
    <m/>
    <n v="0"/>
    <n v="0"/>
    <n v="0"/>
    <n v="0"/>
    <m/>
    <n v="0.620000827547634"/>
    <n v="0.02772682037816385"/>
    <n v="0.02358803308954641"/>
    <n v="0.1011645621154516"/>
    <n v="0.06463432382224234"/>
    <x v="0"/>
    <m/>
    <x v="2"/>
    <x v="1"/>
    <s v="no root cause"/>
    <x v="1"/>
    <s v=""/>
  </r>
  <r>
    <s v="Mimboman-Nodal"/>
    <s v="CTR_351"/>
    <s v="Yaounde"/>
    <s v="IHS"/>
    <s v="GridOnly"/>
    <s v="CENTRE"/>
    <s v="Yaounde"/>
    <s v="ZTE"/>
    <n v="0"/>
    <n v="0"/>
    <n v="0"/>
    <n v="0"/>
    <n v="0"/>
    <n v="0"/>
    <n v="0"/>
    <n v="0"/>
    <n v="0"/>
    <n v="0"/>
    <n v="0"/>
    <n v="0.4427736543076715"/>
    <n v="0"/>
    <n v="0"/>
    <n v="0"/>
    <n v="0"/>
    <n v="0"/>
    <n v="0"/>
    <n v="0"/>
    <n v="0"/>
    <n v="0"/>
    <n v="0"/>
    <n v="0"/>
    <n v="0"/>
    <m/>
    <n v="0"/>
    <m/>
    <n v="0"/>
    <m/>
    <n v="0"/>
    <m/>
    <m/>
    <n v="0"/>
    <n v="0"/>
    <n v="0"/>
    <n v="0"/>
    <m/>
    <n v="0"/>
    <n v="0.07081579799287796"/>
    <n v="0.12070272788165"/>
    <n v="0.02010979125215859"/>
    <n v="0.06112081339371565"/>
    <x v="0"/>
    <m/>
    <x v="5"/>
    <x v="2"/>
    <s v="IP &amp; VLAN"/>
    <x v="2"/>
    <s v="{05-25-2026 goupe whatsapp incident}:    impacted by    CTR_351_Z_Mimboman-Nodal(CTR-351)  ,Cause: Boucle ethernet  ,Action: Desactivation de la boucle      ;      {05-25-2026 ticket}: INC-20260525-00019122...2026-05-25 18:42:14...Le BO IP a detecté une boucle sur les VLAN 1304 à 1306 , Pont de troubleshooting en cours avec le BO IP et BO TX...Desactivation de la boucle...Others...Boucle ethernet...user:KOUAMEBOZOMABILEVICTORINE "/>
  </r>
  <r>
    <s v="Japoma-Stade-Camtel"/>
    <s v="LIT_733"/>
    <s v="Douala"/>
    <s v="CAMUSAT"/>
    <s v="Good Grid no GE - 8h"/>
    <s v="LITTORAL"/>
    <s v="Douala"/>
    <s v="ZTE"/>
    <n v="0"/>
    <n v="0.2911754886098051"/>
    <n v="0"/>
    <n v="0.33929452991014"/>
    <n v="0"/>
    <n v="0"/>
    <n v="0"/>
    <n v="0"/>
    <n v="0"/>
    <n v="0"/>
    <n v="0"/>
    <n v="0"/>
    <n v="0"/>
    <n v="0"/>
    <n v="0"/>
    <n v="0"/>
    <n v="0"/>
    <n v="0"/>
    <n v="0"/>
    <n v="0"/>
    <n v="1.277134288152086"/>
    <n v="0"/>
    <n v="0"/>
    <n v="0"/>
    <m/>
    <n v="0"/>
    <m/>
    <n v="0"/>
    <m/>
    <n v="0"/>
    <m/>
    <m/>
    <n v="0.3477661921109023"/>
    <n v="1.646570100418625"/>
    <n v="0"/>
    <n v="0.1075811924105317"/>
    <m/>
    <n v="0"/>
    <n v="0.01898412926793201"/>
    <n v="0.01530034578781414"/>
    <n v="0.09223827722291135"/>
    <n v="0.05594864068167055"/>
    <x v="0"/>
    <m/>
    <x v="2"/>
    <x v="1"/>
    <s v="no root cause"/>
    <x v="1"/>
    <s v=""/>
  </r>
  <r>
    <s v="Zamengoue"/>
    <s v="CTR_100"/>
    <s v="CENTRE"/>
    <s v="CAMUSAT"/>
    <s v="Good grid 100%"/>
    <s v="CENTRE"/>
    <s v="Zamengoue"/>
    <s v="ZTE"/>
    <n v="0"/>
    <n v="0"/>
    <n v="0"/>
    <n v="0"/>
    <n v="0"/>
    <n v="0"/>
    <n v="0"/>
    <n v="0.08443126075455207"/>
    <n v="0"/>
    <n v="0"/>
    <n v="0"/>
    <n v="0"/>
    <n v="0"/>
    <n v="0"/>
    <n v="0"/>
    <n v="0"/>
    <n v="0"/>
    <n v="0"/>
    <n v="0"/>
    <n v="3.143878430398964"/>
    <n v="0"/>
    <n v="0"/>
    <n v="0"/>
    <n v="0"/>
    <m/>
    <n v="0"/>
    <m/>
    <n v="0"/>
    <m/>
    <n v="0"/>
    <m/>
    <m/>
    <n v="0"/>
    <n v="0"/>
    <n v="0"/>
    <n v="0"/>
    <m/>
    <n v="0"/>
    <n v="0.03871763205959818"/>
    <n v="0.03155696318736685"/>
    <n v="0.07599312272499423"/>
    <n v="0.05575245482017914"/>
    <x v="0"/>
    <m/>
    <x v="2"/>
    <x v="1"/>
    <s v="no root cause"/>
    <x v="1"/>
    <s v=""/>
  </r>
  <r>
    <s v="Dschang-II"/>
    <s v="OST_020"/>
    <s v="OUEST"/>
    <s v="IHS"/>
    <s v="Grid-Gen"/>
    <s v="OUEST"/>
    <s v="Dschang"/>
    <s v="Huawei"/>
    <n v="0"/>
    <n v="0"/>
    <n v="0"/>
    <n v="0"/>
    <n v="0"/>
    <n v="0"/>
    <n v="0"/>
    <n v="0"/>
    <n v="0.1445533097624938"/>
    <n v="0"/>
    <n v="0.04986687897543895"/>
    <n v="0"/>
    <n v="0"/>
    <n v="0"/>
    <n v="0"/>
    <n v="0"/>
    <n v="0"/>
    <n v="0"/>
    <n v="0"/>
    <n v="0.05323770877742678"/>
    <n v="0"/>
    <n v="0"/>
    <n v="0"/>
    <n v="0.05582379513344918"/>
    <m/>
    <n v="0.1530428070415742"/>
    <m/>
    <n v="0"/>
    <m/>
    <n v="0.05430781347647053"/>
    <m/>
    <m/>
    <n v="0"/>
    <n v="0"/>
    <n v="0"/>
    <n v="0"/>
    <m/>
    <n v="0"/>
    <n v="0.04870927904272029"/>
    <n v="0.05982010193430372"/>
    <n v="0.04805145698857655"/>
    <n v="0.05209626376511345"/>
    <x v="0"/>
    <m/>
    <x v="2"/>
    <x v="1"/>
    <s v="no root cause"/>
    <x v="1"/>
    <s v=""/>
  </r>
  <r>
    <s v="Omeng"/>
    <s v="LIT_136"/>
    <s v="LITTORAL"/>
    <s v="IHS"/>
    <s v="Grid-Gen"/>
    <s v="LITTORAL"/>
    <s v="Omeng"/>
    <s v="NOKIA"/>
    <n v="0.0008917539158698208"/>
    <n v="0.002853612530783221"/>
    <n v="0"/>
    <n v="0.05356043144456664"/>
    <n v="0.04744039360506637"/>
    <n v="0"/>
    <n v="0"/>
    <n v="0.03750783530567223"/>
    <n v="0.1266182409585513"/>
    <n v="0.02886271716018634"/>
    <n v="0"/>
    <n v="0"/>
    <n v="0"/>
    <n v="0.5390630291443959"/>
    <n v="1.696508319707334"/>
    <n v="0.06187185815127866"/>
    <n v="0"/>
    <n v="0"/>
    <n v="0.0191555037440986"/>
    <n v="0"/>
    <n v="0"/>
    <n v="0.1193701791783309"/>
    <n v="0"/>
    <n v="0"/>
    <m/>
    <n v="0.01838856441098119"/>
    <m/>
    <n v="0.01828095527533085"/>
    <m/>
    <n v="0"/>
    <m/>
    <m/>
    <n v="0"/>
    <n v="1.59753422730076"/>
    <n v="9.245116042153564"/>
    <n v="9.245223052623469"/>
    <m/>
    <n v="0.1365631946763004"/>
    <n v="0.1431303430332242"/>
    <n v="0.08952282881810769"/>
    <n v="0"/>
    <n v="0.05049284594375812"/>
    <x v="0"/>
    <m/>
    <x v="4"/>
    <x v="0"/>
    <s v="Defaut GE &amp; Power Cabinet"/>
    <x v="0"/>
    <s v="{05-25-2026 ticket}: INC-20260525-00016038...Grid Outage"/>
  </r>
  <r>
    <s v="EXN_360_H_Maroua-Cge-Protestant"/>
    <s v="EXN_360"/>
    <s v="Maroua"/>
    <s v="ESCO"/>
    <s v="Hybrid Solar - S1"/>
    <s v="EXN"/>
    <s v="Maroua"/>
    <s v="Huawei"/>
    <n v="0.4771775203819275"/>
    <n v="0.7969426395345186"/>
    <n v="0"/>
    <n v="2.229188603812998"/>
    <n v="0.2345312798737562"/>
    <n v="0"/>
    <n v="0"/>
    <n v="0"/>
    <n v="0"/>
    <n v="0"/>
    <n v="0"/>
    <n v="0"/>
    <n v="0.07198237608900988"/>
    <s v=""/>
    <n v="0"/>
    <n v="0.122848019450223"/>
    <n v="0"/>
    <n v="0.01086156269529411"/>
    <n v="0"/>
    <n v="0.006937845465467008"/>
    <n v="2.036551922906805"/>
    <n v="0.03781036603287932"/>
    <n v="0"/>
    <n v="0.005600214591662314"/>
    <m/>
    <n v="0"/>
    <m/>
    <n v="0.004102068013001059"/>
    <m/>
    <n v="0"/>
    <m/>
    <m/>
    <n v="0"/>
    <n v="0"/>
    <n v="0"/>
    <n v="0.1016064411742045"/>
    <m/>
    <n v="0"/>
    <n v="0.07556183030986095"/>
    <n v="0.1158682436223059"/>
    <n v="0"/>
    <n v="0.04968852819226501"/>
    <x v="0"/>
    <m/>
    <x v="2"/>
    <x v="1"/>
    <s v="no root cause"/>
    <x v="1"/>
    <s v=""/>
  </r>
  <r>
    <s v="Muyengue-IHS"/>
    <s v="LIT_175"/>
    <s v="LITTORAL"/>
    <s v="IHS"/>
    <s v="Gen only"/>
    <s v="LITTORAL"/>
    <s v="Muyengue"/>
    <s v="NOKIA"/>
    <n v="0.03058715931433403"/>
    <n v="0.0335299472367043"/>
    <n v="0.0104335208156767"/>
    <n v="0"/>
    <n v="0.05742895218201484"/>
    <n v="0.001337630873804731"/>
    <n v="0.001605157048565883"/>
    <n v="0.01007681924932867"/>
    <n v="0.00240773557284831"/>
    <n v="0.01034434542408965"/>
    <n v="0"/>
    <n v="0.7141878761418017"/>
    <n v="0"/>
    <n v="0"/>
    <n v="0.001872683223326521"/>
    <n v="0.2893741456997486"/>
    <n v="0.005082997320457773"/>
    <n v="0"/>
    <n v="0"/>
    <n v="0"/>
    <n v="7.126843790396453"/>
    <n v="0"/>
    <n v="0.01631909666041741"/>
    <n v="0.1533816735296047"/>
    <m/>
    <n v="0.03335159645353036"/>
    <m/>
    <n v="0.1873574977242441"/>
    <m/>
    <n v="0.001605157048565883"/>
    <m/>
    <m/>
    <n v="0.02220467250515813"/>
    <n v="0.0102551700325026"/>
    <n v="0.01935105997437456"/>
    <n v="0.004726295754110084"/>
    <m/>
    <n v="0.1515981656978651"/>
    <n v="0"/>
    <n v="0.1362687046727255"/>
    <n v="0"/>
    <n v="0.04574697588412047"/>
    <x v="0"/>
    <m/>
    <x v="2"/>
    <x v="1"/>
    <s v="no root cause"/>
    <x v="1"/>
    <s v=""/>
  </r>
  <r>
    <s v="Meyomessala"/>
    <s v="SUD_003"/>
    <s v="CENTRE"/>
    <s v="CAMUSAT"/>
    <s v="Good Grid + Solar + GE"/>
    <s v="SUD"/>
    <s v="Meyomessala"/>
    <s v="NOKIA"/>
    <n v="3.081901533246013"/>
    <n v="3.081901533246013"/>
    <n v="1.791160036984235"/>
    <n v="0.0001783507831738301"/>
    <n v="0.0002496910964435937"/>
    <n v="0.0001961858614913289"/>
    <n v="0.0001783507831740038"/>
    <n v="0.0007490732893306654"/>
    <n v="1.018154517882145"/>
    <n v="0.0001783507831740617"/>
    <n v="0.0001783507831740617"/>
    <n v="6.247520924113881"/>
    <n v="0.0006063926627913697"/>
    <n v="0.000285361253078215"/>
    <n v="0.0002853612530782729"/>
    <n v="0.0001523013426784612"/>
    <n v="0.0002675261747608899"/>
    <n v="1.977928020477524"/>
    <n v="3.081901533246013"/>
    <n v="2.033127175815686"/>
    <n v="0"/>
    <n v="0.6960852716496447"/>
    <n v="3.172218369845306"/>
    <n v="1.551348617282048"/>
    <m/>
    <n v="0.00668815436902362"/>
    <m/>
    <n v="0.0001700734622465348"/>
    <m/>
    <n v="0.003977222464779279"/>
    <m/>
    <m/>
    <n v="3.214120708241833"/>
    <n v="0.0001961858614912421"/>
    <n v="0.0002327795400397705"/>
    <n v="0.02879479473475264"/>
    <m/>
    <n v="0.0002140209398088277"/>
    <n v="0"/>
    <n v="0.1208621064836059"/>
    <n v="0.007011066678048176"/>
    <n v="0.04423099422714145"/>
    <x v="0"/>
    <m/>
    <x v="2"/>
    <x v="1"/>
    <s v="no root cause"/>
    <x v="1"/>
    <s v=""/>
  </r>
  <r>
    <s v="Bonakanda"/>
    <s v="SUO_132"/>
    <s v="SUD-OUEST"/>
    <s v="IHS"/>
    <s v="Grid-Gen"/>
    <s v="SUD-OUEST"/>
    <s v="Buea"/>
    <s v="Huawei"/>
    <n v="0"/>
    <n v="0"/>
    <n v="0"/>
    <n v="0"/>
    <n v="0"/>
    <n v="0"/>
    <n v="0.007044855935371384"/>
    <n v="0"/>
    <n v="0"/>
    <n v="0"/>
    <n v="0"/>
    <n v="0"/>
    <n v="0"/>
    <n v="0"/>
    <n v="0"/>
    <n v="0"/>
    <n v="11.04704750979502"/>
    <n v="0"/>
    <n v="8.917539158697954e-05"/>
    <n v="0"/>
    <n v="0"/>
    <n v="0"/>
    <n v="0"/>
    <n v="0.3287896687811936"/>
    <m/>
    <n v="0.8900595834296429"/>
    <m/>
    <n v="1.708689678198115"/>
    <m/>
    <n v="0"/>
    <m/>
    <m/>
    <n v="1.661337545265428"/>
    <n v="0"/>
    <n v="0"/>
    <n v="0"/>
    <m/>
    <n v="0"/>
    <n v="0"/>
    <n v="0.1265997361540371"/>
    <n v="0"/>
    <n v="0.04250099163035444"/>
    <x v="1"/>
    <m/>
    <x v="4"/>
    <x v="0"/>
    <s v="Defaut GE &amp; Power Cabinet"/>
    <x v="0"/>
    <s v="{hourly IHS}: 25/05/2026 16:15 6:09:57 Fme is managing with level 0"/>
  </r>
  <r>
    <s v="Yde-University"/>
    <s v="CTR_447"/>
    <s v="Yaounde"/>
    <s v="IHS"/>
    <s v="Grid-Gen"/>
    <s v="CENTRE"/>
    <s v="Yaounde"/>
    <s v="ZTE"/>
    <n v="0"/>
    <n v="0"/>
    <n v="0.01453558882867794"/>
    <n v="0"/>
    <n v="0"/>
    <n v="0"/>
    <n v="0"/>
    <n v="0"/>
    <n v="0"/>
    <n v="0"/>
    <n v="0"/>
    <n v="0"/>
    <n v="19.65814435284348"/>
    <n v="0"/>
    <n v="0"/>
    <n v="0"/>
    <n v="0"/>
    <n v="0"/>
    <n v="0"/>
    <n v="0"/>
    <n v="0"/>
    <n v="0"/>
    <n v="7.453297063918067"/>
    <n v="1.315854243179152"/>
    <m/>
    <n v="0"/>
    <m/>
    <n v="5.298944448724863"/>
    <m/>
    <n v="0"/>
    <m/>
    <m/>
    <n v="3.510371454743133"/>
    <n v="5.441535899872444"/>
    <n v="0.2688281354781087"/>
    <n v="0"/>
    <m/>
    <n v="0"/>
    <n v="0"/>
    <n v="0.0006375144078267358"/>
    <n v="0.07746373671112158"/>
    <n v="0.04061047332871084"/>
    <x v="0"/>
    <m/>
    <x v="2"/>
    <x v="1"/>
    <s v="no root cause"/>
    <x v="1"/>
    <s v=""/>
  </r>
  <r>
    <s v="H-Paradis"/>
    <s v="CTR_093"/>
    <s v="Yaounde"/>
    <s v="IHS"/>
    <s v="GridOnly"/>
    <s v="CENTRE"/>
    <s v="Yaounde"/>
    <s v="ZTE"/>
    <n v="47.72647339148998"/>
    <n v="8.78577360008903"/>
    <n v="4.937463081387882"/>
    <n v="12.55585946529008"/>
    <n v="0.4393493192707303"/>
    <n v="9.058329266935479"/>
    <n v="9.245704599738039"/>
    <n v="7.416093090547979"/>
    <n v="3.392338906438606"/>
    <n v="9.245704599738039"/>
    <n v="9.245704599738039"/>
    <n v="0"/>
    <n v="0"/>
    <n v="6.193980019005059"/>
    <n v="9.245704599738039"/>
    <n v="9.245704599738039"/>
    <n v="4.665032260089661"/>
    <n v="0"/>
    <n v="0"/>
    <n v="0"/>
    <n v="0"/>
    <n v="5.237948480879368"/>
    <n v="9.147683009305631"/>
    <n v="8.13022746145483"/>
    <m/>
    <n v="9.245704599738039"/>
    <m/>
    <n v="6.869501445354746"/>
    <m/>
    <n v="9.067817528600331"/>
    <m/>
    <m/>
    <n v="0"/>
    <n v="0"/>
    <n v="0"/>
    <n v="0"/>
    <m/>
    <n v="4.094024392679915"/>
    <n v="0"/>
    <n v="0"/>
    <n v="0.07756633768689791"/>
    <n v="0.0404499576238539"/>
    <x v="0"/>
    <m/>
    <x v="11"/>
    <x v="7"/>
    <s v="BSS Hardware issue"/>
    <x v="2"/>
    <s v="05-25-2026: hardware issue,  site with GPS issue (alarm : TDD down 09Apr 02pm)"/>
  </r>
  <r>
    <s v="Sangmelima-II"/>
    <s v="SUD_224"/>
    <s v="CENTRE"/>
    <s v="IHS"/>
    <s v="Grid-Gen"/>
    <s v="SUD"/>
    <s v="Sangmelima"/>
    <s v="ZTE"/>
    <n v="8.684529069889332e-17"/>
    <n v="0"/>
    <n v="0"/>
    <n v="0"/>
    <n v="0"/>
    <n v="0"/>
    <n v="0"/>
    <n v="0"/>
    <n v="0"/>
    <n v="0"/>
    <n v="0"/>
    <n v="0.01243104958722529"/>
    <n v="5.789686046592889e-17"/>
    <n v="0"/>
    <n v="0.00952393182148977"/>
    <n v="0"/>
    <n v="8.684529069889332e-17"/>
    <n v="0"/>
    <n v="0"/>
    <n v="0"/>
    <n v="0"/>
    <n v="0"/>
    <n v="0"/>
    <n v="0"/>
    <m/>
    <n v="0"/>
    <m/>
    <n v="0"/>
    <m/>
    <n v="0"/>
    <m/>
    <m/>
    <n v="0"/>
    <n v="0"/>
    <n v="0"/>
    <n v="0"/>
    <m/>
    <n v="0"/>
    <n v="0.001124060285601237"/>
    <n v="0.002390679029347966"/>
    <n v="0.07407790451050374"/>
    <n v="0.03959387386461991"/>
    <x v="0"/>
    <m/>
    <x v="2"/>
    <x v="1"/>
    <s v="no root cause"/>
    <x v="1"/>
    <s v=""/>
  </r>
  <r>
    <s v="Mvolye-New"/>
    <s v="CTR_310"/>
    <s v="Yaounde"/>
    <s v="IHS"/>
    <s v="GridOnly"/>
    <s v="CENTRE"/>
    <s v="Yaounde"/>
    <s v="ZTE"/>
    <n v="0.5041798289544649"/>
    <n v="0.6522109789888514"/>
    <n v="2.740930505974037"/>
    <n v="0.6250838248680916"/>
    <n v="1.975752140922802"/>
    <n v="0.8674090339665499"/>
    <n v="0.09529282344984634"/>
    <n v="3.374325477338036"/>
    <n v="2.247879765889628"/>
    <n v="19.20288614371363"/>
    <n v="0.3642279693978587"/>
    <n v="0"/>
    <n v="18.98882953374824"/>
    <n v="0.03861294455716206"/>
    <n v="0.06272597044228156"/>
    <n v="0.03820273775586235"/>
    <n v="1.59427765079202"/>
    <n v="0"/>
    <n v="1.997760627566467"/>
    <n v="0"/>
    <n v="0.4269539398401406"/>
    <n v="2.344207023881884"/>
    <n v="0.1154464619485031"/>
    <n v="1.361387198123465"/>
    <m/>
    <n v="0"/>
    <m/>
    <n v="7.551818036543363"/>
    <m/>
    <n v="2.406647633071087"/>
    <m/>
    <m/>
    <n v="3.510264444273228"/>
    <n v="9.056117717224119"/>
    <n v="0"/>
    <n v="0"/>
    <m/>
    <n v="6.514030499410729"/>
    <n v="0"/>
    <n v="0"/>
    <n v="0.07394110320946781"/>
    <n v="0.03855943932220987"/>
    <x v="0"/>
    <m/>
    <x v="2"/>
    <x v="1"/>
    <s v="no root cause"/>
    <x v="1"/>
    <s v=""/>
  </r>
  <r>
    <s v="Muea"/>
    <s v="SUO_038"/>
    <s v="SUD-OUEST"/>
    <s v="IHS"/>
    <s v="Grid-Gen"/>
    <s v="SUD-OUEST"/>
    <s v="Buea"/>
    <s v="Huawei"/>
    <n v="0"/>
    <n v="0"/>
    <n v="0"/>
    <n v="0"/>
    <n v="0"/>
    <n v="0"/>
    <n v="0.006955680543784405"/>
    <n v="0"/>
    <n v="0"/>
    <n v="0"/>
    <n v="0"/>
    <n v="0"/>
    <n v="0"/>
    <n v="0"/>
    <n v="0"/>
    <n v="0"/>
    <n v="11.08425148316511"/>
    <n v="0"/>
    <n v="0"/>
    <n v="0"/>
    <n v="0"/>
    <n v="0"/>
    <n v="0"/>
    <n v="0.2588939968553189"/>
    <m/>
    <n v="0.2344599395604866"/>
    <m/>
    <n v="0.6612176935391361"/>
    <m/>
    <n v="0"/>
    <m/>
    <m/>
    <n v="1.132152936509975"/>
    <n v="0"/>
    <n v="8.917539158697954e-05"/>
    <n v="0"/>
    <m/>
    <n v="0"/>
    <n v="0"/>
    <n v="0.1141150790007854"/>
    <n v="0"/>
    <n v="0.0383097482257664"/>
    <x v="0"/>
    <m/>
    <x v="4"/>
    <x v="0"/>
    <s v="Defaut GE &amp; Power Cabinet"/>
    <x v="0"/>
    <s v="{hourly IHS}: 25/05/2026 21:28 0:57:29 Fme is managing with level 0"/>
  </r>
  <r>
    <s v="Garage-Japonais"/>
    <s v="CTR_583"/>
    <s v="Yaounde"/>
    <s v="CAMUSAT"/>
    <s v="Good Grid no GE - 8h"/>
    <s v="CENTRE"/>
    <s v="Yaounde"/>
    <s v="ZTE"/>
    <n v="1.521439190943775"/>
    <n v="0.1356001004471616"/>
    <n v="0.0001070104699043754"/>
    <n v="17.19997117851344"/>
    <n v="13.86855689960706"/>
    <n v="13.86855689960706"/>
    <n v="36.98281839895216"/>
    <n v="14.89974545776226"/>
    <n v="0"/>
    <n v="0"/>
    <n v="0.0004280418796175018"/>
    <n v="0"/>
    <n v="0"/>
    <n v="0"/>
    <n v="0"/>
    <n v="0"/>
    <n v="0"/>
    <n v="0"/>
    <n v="1.786290103957105"/>
    <n v="0.2356370547294346"/>
    <n v="0"/>
    <n v="0"/>
    <n v="0.1329248386995522"/>
    <n v="0"/>
    <m/>
    <n v="0"/>
    <m/>
    <n v="0"/>
    <m/>
    <n v="0"/>
    <m/>
    <m/>
    <n v="0"/>
    <n v="0"/>
    <n v="0"/>
    <n v="0"/>
    <m/>
    <n v="0"/>
    <n v="0.2230635188982011"/>
    <n v="0.0188066750308566"/>
    <n v="0"/>
    <n v="0.03816706759922755"/>
    <x v="0"/>
    <m/>
    <x v="2"/>
    <x v="1"/>
    <s v="no root cause"/>
    <x v="1"/>
    <s v=""/>
  </r>
  <r>
    <s v="Awae-Escalier-IHS"/>
    <s v="CTR_168"/>
    <s v="Yaounde"/>
    <s v="IHS"/>
    <s v="Grid-Gen"/>
    <s v="CENTRE"/>
    <s v="Yaounde"/>
    <s v="ZTE"/>
    <n v="0"/>
    <n v="0"/>
    <n v="0.05366575065704438"/>
    <n v="0"/>
    <n v="0"/>
    <n v="0"/>
    <n v="0"/>
    <n v="7.701079806981649"/>
    <n v="26.2053837680812"/>
    <n v="0"/>
    <n v="0.3193192421946562"/>
    <n v="0"/>
    <n v="0.2310356045235464"/>
    <n v="0"/>
    <n v="0"/>
    <n v="0"/>
    <n v="1.807906218877789"/>
    <n v="0"/>
    <n v="0"/>
    <n v="0"/>
    <n v="10.88515850390802"/>
    <n v="3.971105032916419"/>
    <n v="0"/>
    <n v="0"/>
    <m/>
    <n v="0"/>
    <m/>
    <n v="0"/>
    <m/>
    <n v="0"/>
    <m/>
    <m/>
    <n v="0"/>
    <n v="0"/>
    <n v="0"/>
    <n v="0"/>
    <m/>
    <n v="1.046152188863493"/>
    <n v="0.0269774468544297"/>
    <n v="0.02364115929019889"/>
    <n v="0.04859866219271707"/>
    <n v="0.03713263305681801"/>
    <x v="0"/>
    <m/>
    <x v="2"/>
    <x v="1"/>
    <s v="no root cause"/>
    <x v="1"/>
    <s v=""/>
  </r>
  <r>
    <s v="Mini_SS_AFD"/>
    <s v="CTR_737"/>
    <s v="Yaounde"/>
    <s v="CAMUSAT"/>
    <s v="Good Grid no GE - 8h"/>
    <s v="CENTRE"/>
    <s v="Yaounde"/>
    <s v="ZTE"/>
    <n v="0"/>
    <n v="0"/>
    <n v="0"/>
    <n v="0"/>
    <n v="0"/>
    <n v="0"/>
    <n v="0"/>
    <n v="0"/>
    <n v="0"/>
    <n v="0"/>
    <n v="0"/>
    <n v="0"/>
    <n v="0.03311974043540424"/>
    <n v="0.04975986850553465"/>
    <n v="0"/>
    <n v="0.06461648874392543"/>
    <n v="0.08987095964135805"/>
    <n v="0"/>
    <n v="0"/>
    <n v="0"/>
    <n v="0"/>
    <n v="0"/>
    <n v="0"/>
    <n v="0.005600214591662392"/>
    <m/>
    <n v="0"/>
    <m/>
    <n v="0"/>
    <m/>
    <n v="0"/>
    <m/>
    <m/>
    <n v="0"/>
    <n v="0"/>
    <n v="0"/>
    <n v="0"/>
    <m/>
    <n v="0"/>
    <n v="0"/>
    <n v="0.04871672599800769"/>
    <n v="0.03885156949396647"/>
    <n v="0.03661541578561382"/>
    <x v="0"/>
    <m/>
    <x v="2"/>
    <x v="1"/>
    <s v="no root cause"/>
    <x v="1"/>
    <s v=""/>
  </r>
  <r>
    <s v="Sangmelima-Stade"/>
    <s v="SUD_103"/>
    <s v="CENTRE"/>
    <s v="CAMUSAT"/>
    <s v="Bad Grid + GE"/>
    <s v="SUD"/>
    <s v="Sangmelima"/>
    <s v="ZTE"/>
    <n v="0"/>
    <n v="0"/>
    <n v="0"/>
    <n v="0"/>
    <n v="0"/>
    <n v="0"/>
    <n v="0"/>
    <n v="7.23710755824111e-17"/>
    <n v="0"/>
    <n v="0"/>
    <n v="0"/>
    <n v="0.09359849100969385"/>
    <n v="0"/>
    <n v="0"/>
    <n v="0.008382486809176319"/>
    <n v="0"/>
    <n v="0"/>
    <n v="1.389156415063649"/>
    <n v="2.894843023296444e-17"/>
    <n v="0"/>
    <n v="0.3487114512617249"/>
    <n v="0"/>
    <n v="0"/>
    <n v="0"/>
    <m/>
    <n v="0"/>
    <m/>
    <n v="3.271113879115266"/>
    <m/>
    <n v="0"/>
    <m/>
    <m/>
    <n v="0"/>
    <n v="5.789686046592889e-17"/>
    <n v="0"/>
    <n v="0"/>
    <m/>
    <n v="1.157937209318578e-16"/>
    <n v="0.0003746867618670791"/>
    <n v="0.001434407417607862"/>
    <n v="0.06915305767323957"/>
    <n v="0.03659758070729641"/>
    <x v="0"/>
    <m/>
    <x v="2"/>
    <x v="1"/>
    <s v="no root cause"/>
    <x v="1"/>
    <s v=""/>
  </r>
  <r>
    <s v="Makak-Camrail"/>
    <s v="CTR_144"/>
    <s v="CENTRE"/>
    <s v="CAMUSAT"/>
    <s v="Good Grid + GE"/>
    <s v="CENTRE"/>
    <s v="Makak"/>
    <s v="NOKIA"/>
    <n v="0"/>
    <n v="2.755713238308858"/>
    <n v="13.86855689960706"/>
    <n v="15.27716894262008"/>
    <n v="13.86855689960706"/>
    <n v="16.47585739038308"/>
    <n v="11.79763678078263"/>
    <n v="0"/>
    <n v="3.299575123951879"/>
    <n v="9.030226395460529"/>
    <n v="0"/>
    <n v="7.528387754137263"/>
    <n v="0"/>
    <n v="0"/>
    <n v="0"/>
    <n v="0"/>
    <n v="0"/>
    <n v="0"/>
    <n v="0"/>
    <n v="0"/>
    <n v="0.5038587975447518"/>
    <n v="0"/>
    <n v="0"/>
    <n v="0"/>
    <m/>
    <n v="0"/>
    <m/>
    <n v="9.495110334928505"/>
    <m/>
    <n v="12.84626804553224"/>
    <m/>
    <m/>
    <n v="0"/>
    <n v="0"/>
    <n v="0"/>
    <n v="6.918030693456382"/>
    <m/>
    <n v="0.1132705823937813"/>
    <n v="0"/>
    <n v="0.107739934922529"/>
    <n v="0"/>
    <n v="0.03616953882767884"/>
    <x v="0"/>
    <m/>
    <x v="2"/>
    <x v="1"/>
    <s v="no root cause"/>
    <x v="1"/>
    <s v=""/>
  </r>
  <r>
    <s v="Nkoulou"/>
    <s v="CTR_659"/>
    <s v="CENTRE"/>
    <s v="CAMUSAT"/>
    <s v="Good Grid + GE"/>
    <s v="CENTRE"/>
    <s v="Nkoulou"/>
    <s v="ZTE"/>
    <n v="0"/>
    <n v="0"/>
    <n v="0.0528453370544447"/>
    <n v="0"/>
    <n v="0"/>
    <n v="0"/>
    <n v="0"/>
    <n v="7.699884856734386"/>
    <n v="26.05669272014907"/>
    <n v="0"/>
    <n v="0.3155382055913687"/>
    <n v="0"/>
    <n v="0.2438411907554368"/>
    <n v="0"/>
    <n v="0"/>
    <n v="4.520746476501928"/>
    <n v="1.792871247856224"/>
    <n v="8.415071497261957"/>
    <n v="0"/>
    <n v="0.003085468548909519"/>
    <n v="0.09736169253466347"/>
    <n v="0.2949030199781416"/>
    <n v="0"/>
    <n v="0"/>
    <m/>
    <n v="0"/>
    <m/>
    <n v="0"/>
    <m/>
    <n v="0"/>
    <m/>
    <m/>
    <n v="0"/>
    <n v="0"/>
    <n v="0"/>
    <n v="0"/>
    <m/>
    <n v="1.996208975752854"/>
    <n v="0.02672765567985164"/>
    <n v="0.02358803308954641"/>
    <n v="0.04661504332770769"/>
    <n v="0.03604469327945645"/>
    <x v="0"/>
    <m/>
    <x v="2"/>
    <x v="1"/>
    <s v="no root cause"/>
    <x v="1"/>
    <s v=""/>
  </r>
  <r>
    <s v="Gaba"/>
    <s v="NRD_155"/>
    <s v="NORD"/>
    <s v="CAMUSAT"/>
    <s v="Hybrid Solar - S3"/>
    <s v="NORD"/>
    <s v="Gaba"/>
    <s v="NOKIA"/>
    <n v="0"/>
    <n v="0"/>
    <n v="0"/>
    <n v="0"/>
    <n v="0"/>
    <n v="0"/>
    <n v="0"/>
    <n v="0.8542657139414759"/>
    <n v="0.7273870096081657"/>
    <n v="0.003319710256092934"/>
    <n v="0.001694332440152762"/>
    <n v="0"/>
    <n v="0"/>
    <n v="0"/>
    <n v="0"/>
    <n v="0"/>
    <n v="0.00178358008450218"/>
    <n v="0"/>
    <n v="0"/>
    <n v="0"/>
    <n v="0"/>
    <n v="0"/>
    <n v="0"/>
    <n v="0"/>
    <m/>
    <n v="0"/>
    <m/>
    <n v="0"/>
    <m/>
    <n v="0"/>
    <m/>
    <m/>
    <n v="0"/>
    <n v="0"/>
    <n v="0"/>
    <n v="0.394321240111551"/>
    <m/>
    <n v="0.7462719258689128"/>
    <n v="0.07893401116666467"/>
    <n v="0.06747417958397409"/>
    <n v="0"/>
    <n v="0.03392362983123415"/>
    <x v="0"/>
    <m/>
    <x v="2"/>
    <x v="1"/>
    <s v="no root cause"/>
    <x v="1"/>
    <s v=""/>
  </r>
  <r>
    <s v="Memve-Ele-IHS"/>
    <s v="SUD_056"/>
    <s v="CENTRE"/>
    <s v="IHS"/>
    <s v="Hybrid-Gen"/>
    <s v="SUD"/>
    <s v="Memve-Ele"/>
    <s v="NOKIA"/>
    <n v="0.7536131010854697"/>
    <n v="1.306031303272507"/>
    <n v="0.1644826960897062"/>
    <n v="1.713300824427593"/>
    <n v="0"/>
    <n v="0.1648504171031769"/>
    <n v="0"/>
    <n v="0"/>
    <n v="0"/>
    <n v="4.34962914879405"/>
    <n v="0"/>
    <n v="0"/>
    <n v="0"/>
    <n v="0"/>
    <n v="0"/>
    <n v="0"/>
    <n v="0"/>
    <n v="0"/>
    <n v="0"/>
    <n v="0.0006598978977436485"/>
    <n v="0"/>
    <n v="0"/>
    <n v="0"/>
    <n v="0"/>
    <m/>
    <n v="0"/>
    <m/>
    <n v="0"/>
    <m/>
    <n v="0"/>
    <m/>
    <m/>
    <n v="0"/>
    <n v="0"/>
    <n v="0"/>
    <n v="0"/>
    <m/>
    <n v="0"/>
    <n v="0"/>
    <n v="0.0998772572260138"/>
    <n v="0"/>
    <n v="0.03352994723670447"/>
    <x v="0"/>
    <m/>
    <x v="2"/>
    <x v="1"/>
    <s v="no root cause"/>
    <x v="1"/>
    <s v="{05-25-2026 ticket}: INC-20260525-00021766...Others"/>
  </r>
  <r>
    <s v="Nkolmesseng-Crf-Safari"/>
    <s v="CTR_559"/>
    <s v="Yaounde"/>
    <s v="CAMUSAT"/>
    <s v="Good Grid no GE - 8h"/>
    <s v="CENTRE"/>
    <s v="Yaounde"/>
    <s v="ZTE"/>
    <n v="0"/>
    <n v="0"/>
    <n v="0"/>
    <n v="0"/>
    <n v="0"/>
    <n v="0"/>
    <n v="0"/>
    <n v="0"/>
    <n v="0"/>
    <n v="0"/>
    <n v="2.446598208502053"/>
    <n v="0"/>
    <n v="0"/>
    <n v="0"/>
    <n v="0"/>
    <n v="0"/>
    <n v="0"/>
    <n v="0"/>
    <n v="0"/>
    <n v="0"/>
    <n v="1.016064411742045"/>
    <n v="0"/>
    <n v="0"/>
    <n v="0"/>
    <m/>
    <n v="0"/>
    <m/>
    <n v="0"/>
    <m/>
    <n v="0"/>
    <m/>
    <m/>
    <n v="20.87838474116307"/>
    <n v="0"/>
    <n v="24.1722205100547"/>
    <n v="30.27818441756339"/>
    <m/>
    <n v="0"/>
    <n v="0"/>
    <n v="0"/>
    <n v="0.06405720920968253"/>
    <n v="0.03340510168848257"/>
    <x v="0"/>
    <m/>
    <x v="2"/>
    <x v="1"/>
    <s v="no root cause"/>
    <x v="1"/>
    <s v=""/>
  </r>
  <r>
    <s v="Indoor-Agence-Garoua"/>
    <s v="NRD_188"/>
    <s v="Garoua"/>
    <m/>
    <m/>
    <s v="NORD"/>
    <s v="Garoua"/>
    <s v="Huawei"/>
    <n v="0.1587143619465062"/>
    <n v="0.04658522456503811"/>
    <n v="0.1138948101348903"/>
    <n v="0.04061047332871048"/>
    <n v="0.02031415420351394"/>
    <n v="0.03609819851440932"/>
    <n v="0.01935105997437456"/>
    <n v="0.03021262266966867"/>
    <n v="0.02780488709682022"/>
    <n v="0.02639591590974594"/>
    <n v="0.02682395778936345"/>
    <n v="2.260025454223775"/>
    <n v="0.02750169076542449"/>
    <n v="0.03959387386461891"/>
    <n v="0.04018243144909298"/>
    <n v="0.02496910964435427"/>
    <n v="0.006598978977436486"/>
    <n v="0.02584302848190667"/>
    <n v="0.0575537977302366"/>
    <n v="0.04155573247953247"/>
    <n v="0"/>
    <n v="0.05304152291593543"/>
    <n v="0.01908353379961362"/>
    <n v="0.01355465952122089"/>
    <m/>
    <n v="0.006991350700419196"/>
    <m/>
    <n v="0.06026472963448078"/>
    <m/>
    <n v="0.01754971706431757"/>
    <m/>
    <m/>
    <n v="0.01977910185399206"/>
    <n v="0.01944023536596154"/>
    <n v="0.006598978977436486"/>
    <n v="0.02837560960297689"/>
    <m/>
    <n v="0.03682943672542256"/>
    <n v="0"/>
    <n v="0.08415190183298142"/>
    <n v="0.008379079688399469"/>
    <n v="0.03262035824251712"/>
    <x v="0"/>
    <m/>
    <x v="2"/>
    <x v="1"/>
    <s v="no root cause"/>
    <x v="1"/>
    <s v="(05/2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05/2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05/2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r>
  <r>
    <s v="Dschang-Foreke"/>
    <s v="OST_122"/>
    <s v="OUEST"/>
    <s v="IHS"/>
    <s v="GridOnly"/>
    <s v="OUEST"/>
    <s v="Dschang"/>
    <s v="Huawei"/>
    <n v="0"/>
    <n v="0"/>
    <n v="4.023629338561151"/>
    <n v="0"/>
    <n v="0"/>
    <n v="0"/>
    <n v="0"/>
    <n v="0"/>
    <n v="1.659892903921719"/>
    <n v="0"/>
    <n v="0"/>
    <n v="0.003085468548909492"/>
    <n v="0"/>
    <n v="0"/>
    <n v="0"/>
    <n v="0"/>
    <n v="0"/>
    <n v="0"/>
    <n v="0"/>
    <n v="0"/>
    <n v="1.164363087951192"/>
    <n v="0"/>
    <n v="0"/>
    <n v="0.9400869781099381"/>
    <m/>
    <n v="0"/>
    <m/>
    <n v="0"/>
    <m/>
    <n v="2.061039485436589"/>
    <m/>
    <m/>
    <n v="0.5969222362049236"/>
    <n v="0"/>
    <n v="9.205040621174374"/>
    <n v="18.49114167330132"/>
    <m/>
    <n v="0"/>
    <n v="0.02997494094936633"/>
    <n v="0.01561910299172761"/>
    <n v="0.0425794049471728"/>
    <n v="0.03172860432664731"/>
    <x v="0"/>
    <m/>
    <x v="2"/>
    <x v="1"/>
    <s v="no root cause"/>
    <x v="1"/>
    <s v=""/>
  </r>
  <r>
    <s v="Great-Soppo-IHS"/>
    <s v="SUO_181"/>
    <s v="SUD-OUEST"/>
    <s v="IHS"/>
    <s v="Grid-Gen"/>
    <s v="SUD-OUEST"/>
    <s v="Buea"/>
    <s v="Huawei"/>
    <n v="0"/>
    <n v="0"/>
    <n v="0"/>
    <n v="0"/>
    <n v="0"/>
    <n v="0"/>
    <n v="0"/>
    <n v="0"/>
    <n v="0"/>
    <n v="0"/>
    <n v="0"/>
    <n v="0.007900939694606481"/>
    <n v="0"/>
    <n v="0"/>
    <n v="0"/>
    <n v="0"/>
    <n v="1.70824380124018"/>
    <n v="0"/>
    <n v="0"/>
    <n v="0"/>
    <n v="0"/>
    <n v="0"/>
    <n v="0"/>
    <n v="0"/>
    <m/>
    <n v="0"/>
    <m/>
    <n v="0"/>
    <m/>
    <n v="0"/>
    <m/>
    <m/>
    <n v="0"/>
    <n v="0"/>
    <n v="0"/>
    <n v="0"/>
    <m/>
    <n v="4.809318043677394"/>
    <n v="0.02060777190268935"/>
    <n v="0.03506329243040893"/>
    <n v="0.03249030899583467"/>
    <n v="0.03165726401337773"/>
    <x v="0"/>
    <m/>
    <x v="2"/>
    <x v="1"/>
    <s v="no root cause"/>
    <x v="1"/>
    <s v=""/>
  </r>
  <r>
    <s v="Mandama-IHS"/>
    <s v="NRD_123"/>
    <s v="NORD"/>
    <s v="IHS"/>
    <s v="Grid-Hybrid-Gen"/>
    <s v="NORD"/>
    <s v="Mandama"/>
    <s v="NOKIA"/>
    <n v="1.144752750077983"/>
    <n v="4.930696744023875"/>
    <n v="0.02821253463055289"/>
    <n v="0"/>
    <n v="0.03150206265902698"/>
    <n v="0.0040131248624362"/>
    <n v="0.07927305405320226"/>
    <n v="0.06104417160147003"/>
    <n v="0"/>
    <n v="2.466064293551905"/>
    <n v="0.0305421200975704"/>
    <n v="13.66819762978943"/>
    <n v="2.839351151377721"/>
    <n v="0"/>
    <n v="0.02834177683720938"/>
    <n v="0.1160563124220693"/>
    <n v="0.1194454469453303"/>
    <n v="0.05721677884855997"/>
    <n v="0.02900077146908593"/>
    <n v="0.02901862719104947"/>
    <n v="0"/>
    <n v="0.09347364546147195"/>
    <n v="0"/>
    <n v="0"/>
    <m/>
    <n v="0.3663813184768876"/>
    <m/>
    <n v="0.6984038318309063"/>
    <m/>
    <n v="1.075400568485098"/>
    <m/>
    <m/>
    <n v="0.7257093367348394"/>
    <n v="5.847658468237866"/>
    <n v="0"/>
    <n v="0.08645219871154344"/>
    <m/>
    <n v="2.377468742027666"/>
    <n v="0"/>
    <n v="0.09403881721546038"/>
    <n v="0"/>
    <n v="0.03156991558449834"/>
    <x v="0"/>
    <m/>
    <x v="4"/>
    <x v="0"/>
    <s v="Defaut GE &amp; Power Cabinet"/>
    <x v="0"/>
    <s v="{05-25-2026 ticket}: INC-20260525-00021506...Grid Outage"/>
  </r>
  <r>
    <s v="Madingring"/>
    <s v="NRD_036"/>
    <s v="NORD"/>
    <s v="IHS"/>
    <s v="Solar-Gen"/>
    <s v="NORD"/>
    <s v="Madingring"/>
    <s v="NOKIA"/>
    <n v="1.118062274587154"/>
    <n v="0"/>
    <n v="1.420467387793735"/>
    <n v="1.60828542034792"/>
    <n v="0"/>
    <n v="0"/>
    <n v="4.242518995904478"/>
    <n v="9.296148779413077"/>
    <n v="9.296202886027253"/>
    <n v="4.189635263231413"/>
    <n v="0.001248455482217681"/>
    <n v="8.401261058957488"/>
    <n v="0"/>
    <n v="0"/>
    <n v="0"/>
    <n v="0"/>
    <n v="0"/>
    <n v="0"/>
    <n v="0"/>
    <n v="0"/>
    <n v="7.441480638568241"/>
    <n v="0"/>
    <n v="0"/>
    <n v="0"/>
    <m/>
    <n v="0"/>
    <m/>
    <n v="0"/>
    <m/>
    <n v="0"/>
    <m/>
    <m/>
    <n v="0"/>
    <n v="0"/>
    <n v="0"/>
    <n v="0.7689329019363534"/>
    <m/>
    <n v="0.6012025528150489"/>
    <n v="0.07506224796070485"/>
    <n v="0.06189560568136178"/>
    <n v="0"/>
    <n v="0.03149795080092457"/>
    <x v="0"/>
    <m/>
    <x v="2"/>
    <x v="1"/>
    <s v="no root cause"/>
    <x v="1"/>
    <s v=""/>
  </r>
  <r>
    <s v="Bsadi-BlocJ"/>
    <s v="LIT_247"/>
    <s v="Douala"/>
    <s v="IHS"/>
    <s v="Grid-Gen"/>
    <s v="LITTORAL"/>
    <s v="Douala"/>
    <s v="ZTE"/>
    <n v="0"/>
    <n v="0"/>
    <n v="0"/>
    <n v="5.036215910031305"/>
    <n v="2.798145437216244"/>
    <n v="0"/>
    <n v="0"/>
    <n v="0"/>
    <n v="0"/>
    <n v="0"/>
    <n v="0"/>
    <n v="0"/>
    <n v="0"/>
    <n v="0"/>
    <n v="0"/>
    <n v="0"/>
    <n v="0"/>
    <n v="0"/>
    <n v="0"/>
    <n v="0"/>
    <n v="0"/>
    <n v="0"/>
    <n v="0"/>
    <n v="0"/>
    <m/>
    <n v="0"/>
    <m/>
    <n v="0"/>
    <m/>
    <n v="0"/>
    <m/>
    <m/>
    <n v="0"/>
    <n v="0"/>
    <n v="0"/>
    <n v="0"/>
    <m/>
    <n v="0"/>
    <n v="0.005745197015295214"/>
    <n v="0.004781358058692874"/>
    <n v="0.05174509211652385"/>
    <n v="0.02941004414538599"/>
    <x v="0"/>
    <m/>
    <x v="2"/>
    <x v="1"/>
    <s v="no root cause"/>
    <x v="1"/>
    <s v=""/>
  </r>
  <r>
    <s v="Foyemtcha"/>
    <s v="OST_156"/>
    <s v="OUEST"/>
    <s v="IHS"/>
    <s v="Grid-Gen"/>
    <s v="OUEST"/>
    <s v="Foyemtcha"/>
    <s v="NOKIA"/>
    <n v="0.00383454183823992"/>
    <n v="0"/>
    <n v="0"/>
    <n v="0"/>
    <n v="0"/>
    <n v="0"/>
    <n v="0.1567454093922141"/>
    <n v="0.006688154369023484"/>
    <n v="0.004726295754110254"/>
    <n v="0"/>
    <n v="0.1278425536923483"/>
    <n v="10.25156734668253"/>
    <n v="0.004904646537284356"/>
    <n v="0"/>
    <n v="0.04144872200962824"/>
    <n v="0.0009809293074567"/>
    <n v="0.4277386832861059"/>
    <n v="0"/>
    <n v="0"/>
    <n v="0.08332548589887384"/>
    <n v="0"/>
    <n v="0"/>
    <n v="0.01194950247265519"/>
    <n v="0.0615310201950158"/>
    <m/>
    <n v="0"/>
    <m/>
    <n v="3.081901533246013"/>
    <m/>
    <n v="0"/>
    <m/>
    <m/>
    <n v="0"/>
    <n v="0"/>
    <n v="0.4775520570265928"/>
    <n v="0.7922163437804088"/>
    <m/>
    <n v="0.08316497019401729"/>
    <n v="0.08417962583280376"/>
    <n v="0.05046989061952791"/>
    <n v="0"/>
    <n v="0.02896416718745093"/>
    <x v="0"/>
    <m/>
    <x v="2"/>
    <x v="1"/>
    <s v="no root cause"/>
    <x v="1"/>
    <s v=""/>
  </r>
  <r>
    <s v="Mvog-Ebanda"/>
    <s v="CTR_341"/>
    <s v="Yaounde"/>
    <s v="IHS"/>
    <s v="Grid-Gen"/>
    <s v="CENTRE"/>
    <s v="Yaounde"/>
    <s v="ZTE"/>
    <n v="60.09707989829727"/>
    <n v="60.09707989829727"/>
    <n v="60.09707989829727"/>
    <n v="41.18697440024198"/>
    <n v="0"/>
    <n v="0"/>
    <n v="0"/>
    <n v="0"/>
    <n v="0"/>
    <n v="0"/>
    <n v="2.26690979445429"/>
    <n v="0"/>
    <n v="0"/>
    <n v="0"/>
    <n v="0"/>
    <n v="0"/>
    <n v="0"/>
    <n v="0"/>
    <n v="0"/>
    <n v="0.0007134031326957197"/>
    <n v="0"/>
    <n v="0"/>
    <n v="0"/>
    <n v="0"/>
    <m/>
    <n v="0"/>
    <m/>
    <n v="0"/>
    <m/>
    <n v="0"/>
    <m/>
    <m/>
    <n v="0"/>
    <n v="0"/>
    <n v="0"/>
    <n v="0"/>
    <m/>
    <n v="0"/>
    <n v="0"/>
    <n v="0"/>
    <n v="0.05495992269084828"/>
    <n v="0.02866097085605497"/>
    <x v="0"/>
    <m/>
    <x v="11"/>
    <x v="7"/>
    <s v="BSS Hardware issue"/>
    <x v="2"/>
    <s v="05-25-2026: hardware issue,  site with GPS issue (alarm : TDD down 09Apr 02pm)"/>
  </r>
  <r>
    <s v="Muyengue-Bafia-IHS"/>
    <s v="LIT_176"/>
    <s v="LITTORAL"/>
    <s v="IHS"/>
    <s v="Solar-Gen"/>
    <s v="LITTORAL"/>
    <s v="Muyengue"/>
    <s v="NOKIA"/>
    <n v="0.01855856866210823"/>
    <n v="0.01112792698204157"/>
    <n v="0"/>
    <n v="0"/>
    <n v="0.04090460031648344"/>
    <n v="0"/>
    <n v="0"/>
    <n v="0"/>
    <n v="0"/>
    <n v="0"/>
    <n v="0"/>
    <n v="0"/>
    <n v="0"/>
    <n v="0"/>
    <n v="0"/>
    <n v="0"/>
    <n v="0.001622992126883028"/>
    <n v="0"/>
    <n v="0"/>
    <n v="0"/>
    <n v="0"/>
    <n v="0"/>
    <n v="0.01216352341246401"/>
    <n v="0.1535778593910961"/>
    <m/>
    <n v="0"/>
    <m/>
    <n v="0"/>
    <m/>
    <n v="0"/>
    <m/>
    <m/>
    <n v="0.004102068013001059"/>
    <n v="0"/>
    <n v="0"/>
    <n v="1.783507831739591e-05"/>
    <m/>
    <n v="0.0727492844566579"/>
    <n v="0.194337533821725"/>
    <n v="0"/>
    <n v="0"/>
    <n v="0.02775138186186803"/>
    <x v="0"/>
    <m/>
    <x v="2"/>
    <x v="1"/>
    <s v="no root cause"/>
    <x v="1"/>
    <s v="{05-25-2026 ticket}: INC-20260525-00019645...Others"/>
  </r>
  <r>
    <s v="Emombo-1er-Crf-MTN"/>
    <s v="CTR_376"/>
    <s v="Yaounde"/>
    <s v="IHS"/>
    <s v="Grid-Gen"/>
    <s v="CENTRE"/>
    <s v="Yaounde"/>
    <s v="ZTE"/>
    <n v="1.523383214480371"/>
    <n v="0.1347083465312913"/>
    <n v="0"/>
    <n v="17.20039922039306"/>
    <n v="13.86855689960706"/>
    <n v="13.86855689960706"/>
    <n v="36.98281839895216"/>
    <n v="14.89812246563537"/>
    <n v="0.00039237172298271"/>
    <n v="0"/>
    <n v="0"/>
    <n v="0"/>
    <n v="0"/>
    <n v="0"/>
    <n v="0"/>
    <n v="0"/>
    <n v="0.000374536644665314"/>
    <n v="0"/>
    <n v="0"/>
    <n v="0"/>
    <n v="0"/>
    <n v="0"/>
    <n v="0.1387390742310224"/>
    <n v="0"/>
    <m/>
    <n v="0"/>
    <m/>
    <n v="0"/>
    <m/>
    <n v="0"/>
    <m/>
    <m/>
    <n v="0"/>
    <n v="0"/>
    <n v="0"/>
    <n v="0"/>
    <m/>
    <n v="0"/>
    <n v="0.1634883237613355"/>
    <n v="0.01179401654477473"/>
    <n v="0"/>
    <n v="0.02730550490393341"/>
    <x v="0"/>
    <m/>
    <x v="2"/>
    <x v="1"/>
    <s v="no root cause"/>
    <x v="1"/>
    <s v=""/>
  </r>
  <r>
    <s v="Bangoua-nouveau-Camtel"/>
    <s v="OST_294"/>
    <s v="OUEST"/>
    <s v="CAMUSAT"/>
    <s v="Hybrid Solar - S1"/>
    <s v="OUEST"/>
    <s v="Bangoua"/>
    <s v="NOKIA"/>
    <n v="0"/>
    <n v="0"/>
    <n v="0"/>
    <n v="0"/>
    <n v="14.92292980220488"/>
    <n v="10.96930181689497"/>
    <n v="0.1328698891040727"/>
    <n v="0.001444641343709136"/>
    <n v="0.1953018067865094"/>
    <n v="7.134031326958995e-05"/>
    <n v="1.783507831729616e-05"/>
    <n v="0"/>
    <n v="7.134031326958995e-05"/>
    <n v="7.134031326953204e-05"/>
    <n v="0"/>
    <n v="0.4203371257843868"/>
    <n v="0"/>
    <n v="0.006563308820801538"/>
    <n v="0"/>
    <n v="0.05985452283318056"/>
    <n v="0.001070290513369213"/>
    <n v="0.01881600762485267"/>
    <n v="0.006170937097818918"/>
    <n v="0.006598978977436499"/>
    <m/>
    <n v="0.6593628453941267"/>
    <m/>
    <n v="0.2143954764534162"/>
    <m/>
    <n v="0.03791737650278348"/>
    <m/>
    <m/>
    <n v="5.350523495223587e-05"/>
    <n v="8.9175391586944e-05"/>
    <n v="0.0008560837592351773"/>
    <n v="0.008890882526400421"/>
    <m/>
    <n v="0.006474133429214682"/>
    <n v="0"/>
    <n v="0.05365746265865598"/>
    <n v="0.01706596230412751"/>
    <n v="0.02691313318095019"/>
    <x v="0"/>
    <m/>
    <x v="2"/>
    <x v="1"/>
    <s v="no root cause"/>
    <x v="1"/>
    <s v=""/>
  </r>
  <r>
    <s v="Messan"/>
    <s v="SUD_247"/>
    <s v="CENTRE"/>
    <s v="IHS"/>
    <s v="Hybrid-Gen"/>
    <s v="SUD"/>
    <s v="Messam"/>
    <s v="NOKIA"/>
    <n v="0"/>
    <n v="0"/>
    <n v="0.01275048315764321"/>
    <n v="0"/>
    <n v="0.2123273722295518"/>
    <n v="0"/>
    <n v="0"/>
    <n v="0.1025944683134623"/>
    <n v="0.7543058004247195"/>
    <n v="0.4984664266189374"/>
    <n v="0.05843295771422186"/>
    <n v="0"/>
    <n v="0"/>
    <n v="0"/>
    <n v="0"/>
    <n v="0"/>
    <n v="0"/>
    <n v="0.3089927318488838"/>
    <n v="0"/>
    <n v="0"/>
    <n v="0.02434488190324541"/>
    <n v="0.005439698886805461"/>
    <n v="0.07169701483593156"/>
    <n v="0.001533816735295832"/>
    <m/>
    <n v="0"/>
    <m/>
    <n v="0.002764437139196513"/>
    <m/>
    <n v="0"/>
    <m/>
    <m/>
    <n v="0"/>
    <n v="0"/>
    <n v="0.05724969480334551"/>
    <n v="0"/>
    <m/>
    <n v="0"/>
    <n v="0"/>
    <n v="0.05817318971408746"/>
    <n v="0.01395373270558039"/>
    <n v="0.02680612271104647"/>
    <x v="0"/>
    <m/>
    <x v="2"/>
    <x v="1"/>
    <s v="no root cause"/>
    <x v="1"/>
    <s v=""/>
  </r>
  <r>
    <s v="Boulou_MTN"/>
    <s v="SUD_233"/>
    <s v="CENTRE"/>
    <s v="IHS"/>
    <s v="Hybrid-Gen"/>
    <s v="SUD"/>
    <s v="Boulou"/>
    <s v="NOKIA"/>
    <n v="0"/>
    <n v="0"/>
    <n v="0.01297412616502126"/>
    <n v="0"/>
    <n v="0"/>
    <n v="0.3897674121526448"/>
    <n v="0"/>
    <n v="0"/>
    <n v="0.7192452438085752"/>
    <n v="0"/>
    <n v="0"/>
    <n v="0.2666522559233863"/>
    <n v="0"/>
    <n v="0"/>
    <n v="0"/>
    <n v="0"/>
    <n v="0"/>
    <n v="0.3099023208430714"/>
    <n v="0"/>
    <n v="0"/>
    <n v="0.03904098643677953"/>
    <n v="0"/>
    <n v="0.06657789405584462"/>
    <n v="0.00010701046990405"/>
    <m/>
    <n v="0"/>
    <m/>
    <n v="0"/>
    <m/>
    <n v="0"/>
    <m/>
    <m/>
    <n v="0"/>
    <n v="0"/>
    <n v="0"/>
    <n v="0"/>
    <m/>
    <n v="0"/>
    <n v="0"/>
    <n v="0.05817318971408746"/>
    <n v="0.01026009757763229"/>
    <n v="0.02487993425276741"/>
    <x v="0"/>
    <m/>
    <x v="2"/>
    <x v="1"/>
    <s v="no root cause"/>
    <x v="1"/>
    <s v=""/>
  </r>
  <r>
    <s v="Maan-IHS"/>
    <s v="SUD_037"/>
    <s v="CENTRE"/>
    <s v="IHS"/>
    <s v="Gen Only"/>
    <s v="SUD"/>
    <s v="Maan"/>
    <s v="NOKIA"/>
    <n v="0.1827104166534246"/>
    <n v="1.672354590763732"/>
    <n v="3.025921005842042"/>
    <n v="2.310258730789151"/>
    <n v="0"/>
    <n v="6.297157885497429"/>
    <n v="0"/>
    <n v="0"/>
    <n v="0"/>
    <n v="7.180263884452619"/>
    <n v="0"/>
    <n v="0"/>
    <n v="0"/>
    <n v="0"/>
    <n v="0"/>
    <n v="0"/>
    <n v="0"/>
    <n v="0"/>
    <n v="0"/>
    <n v="0.02951705461529022"/>
    <n v="0"/>
    <n v="0"/>
    <n v="0"/>
    <n v="0"/>
    <m/>
    <n v="0"/>
    <m/>
    <n v="0"/>
    <m/>
    <n v="0"/>
    <m/>
    <m/>
    <n v="0"/>
    <n v="0"/>
    <n v="0"/>
    <n v="0"/>
    <m/>
    <n v="0"/>
    <n v="0"/>
    <n v="0.0736329141038586"/>
    <n v="0"/>
    <n v="0.02471941854791068"/>
    <x v="0"/>
    <m/>
    <x v="2"/>
    <x v="1"/>
    <s v="no root cause"/>
    <x v="1"/>
    <s v=""/>
  </r>
  <r>
    <s v="Mont-Febe"/>
    <s v="CTR_729"/>
    <s v="Yaounde"/>
    <s v="CAMUSAT"/>
    <s v="Good Grid no GE - 8h"/>
    <s v="CENTRE"/>
    <s v="Yaounde"/>
    <s v="ZTE"/>
    <n v="0"/>
    <n v="0.5001491012547336"/>
    <n v="0.5779457128752143"/>
    <n v="0"/>
    <n v="5.150734947907304"/>
    <n v="1.470020660154723"/>
    <n v="0"/>
    <n v="0.495833012301923"/>
    <n v="0"/>
    <n v="0"/>
    <n v="0.7995287258905425"/>
    <n v="0.3333376137521295"/>
    <n v="0.5604851712024839"/>
    <n v="0"/>
    <n v="0"/>
    <n v="0.4967247662177927"/>
    <n v="0"/>
    <n v="0"/>
    <n v="0"/>
    <n v="0"/>
    <n v="0"/>
    <n v="0"/>
    <n v="1.682133246583511"/>
    <n v="0"/>
    <m/>
    <n v="0"/>
    <m/>
    <n v="0"/>
    <m/>
    <n v="0"/>
    <m/>
    <m/>
    <n v="0"/>
    <n v="0.04676357534821254"/>
    <n v="0"/>
    <n v="0"/>
    <m/>
    <n v="0"/>
    <n v="0.01149039403059043"/>
    <n v="0.001275028815650414"/>
    <n v="0.03977497827595349"/>
    <n v="0.02281106516794914"/>
    <x v="0"/>
    <m/>
    <x v="2"/>
    <x v="1"/>
    <s v="no root cause"/>
    <x v="1"/>
    <s v=""/>
  </r>
  <r>
    <s v="Mbile-IHS"/>
    <s v="SUD_069"/>
    <s v="CENTRE"/>
    <s v="IHS"/>
    <s v="Gen Only"/>
    <s v="SUD"/>
    <s v="Mbile"/>
    <s v="NOKIA"/>
    <n v="0.000160515704856476"/>
    <n v="0.0001961858614914157"/>
    <n v="0.01320277482729029"/>
    <n v="0.0001605157048565918"/>
    <n v="0.0001783507831740038"/>
    <n v="0.0001783507831739459"/>
    <n v="0.0001783507831739459"/>
    <n v="0.0001605157048566497"/>
    <n v="0.6612110783676824"/>
    <n v="0.0001961858614913579"/>
    <n v="0.002942787922370682"/>
    <n v="0"/>
    <n v="0.0001961858614913579"/>
    <n v="0.0001783507831740038"/>
    <n v="0.0001961858614913579"/>
    <n v="0.0002229043153145856"/>
    <n v="0.3590464480321048"/>
    <n v="0.3460361895141157"/>
    <n v="0.0001426806265390641"/>
    <n v="0.0001426806265390641"/>
    <n v="0.0186935776628588"/>
    <n v="0.000178350783173888"/>
    <n v="0.06516937617176469"/>
    <n v="0.001515981656978619"/>
    <m/>
    <n v="0.000178350783173888"/>
    <m/>
    <n v="0.0001783507831741196"/>
    <m/>
    <n v="0.0001961858614914157"/>
    <m/>
    <m/>
    <n v="0.0001961858614913579"/>
    <n v="0.0001783507831741196"/>
    <n v="0.0001873039301496605"/>
    <n v="0.0001784189016880731"/>
    <m/>
    <n v="0.0001783507831737722"/>
    <n v="0"/>
    <n v="0.05365746265865598"/>
    <n v="0.007421470581153505"/>
    <n v="0.02188364109544458"/>
    <x v="0"/>
    <m/>
    <x v="2"/>
    <x v="1"/>
    <s v="no root cause"/>
    <x v="1"/>
    <s v=""/>
  </r>
  <r>
    <s v="Dong-MTN-IHS"/>
    <s v="CTR_167"/>
    <s v="CENTRE"/>
    <s v="IHS"/>
    <s v="Hybrid-Gen"/>
    <s v="CENTRE"/>
    <s v="Dong"/>
    <s v="NOKIA"/>
    <n v="0.001712167518469933"/>
    <n v="0"/>
    <n v="0"/>
    <n v="0"/>
    <n v="0.02673119163833795"/>
    <n v="0"/>
    <n v="0.02495150421894345"/>
    <n v="0.009636307640155871"/>
    <n v="0.002675261747609462"/>
    <n v="0"/>
    <n v="0.003745366446653555"/>
    <n v="0"/>
    <n v="0"/>
    <n v="0"/>
    <n v="0"/>
    <n v="0"/>
    <n v="0.001658662283517907"/>
    <n v="0"/>
    <n v="0"/>
    <n v="0"/>
    <n v="0"/>
    <n v="0"/>
    <n v="0"/>
    <n v="0"/>
    <m/>
    <n v="0"/>
    <m/>
    <n v="0"/>
    <m/>
    <n v="0"/>
    <m/>
    <m/>
    <n v="0"/>
    <n v="0.006260112489405916"/>
    <n v="0.7922831031738048"/>
    <n v="0"/>
    <m/>
    <n v="0"/>
    <n v="0.006994152888185477"/>
    <n v="0.0366570784499731"/>
    <n v="0.01497956908870116"/>
    <n v="0.0211166423149049"/>
    <x v="0"/>
    <m/>
    <x v="2"/>
    <x v="1"/>
    <s v="no root cause"/>
    <x v="1"/>
    <s v=""/>
  </r>
  <r>
    <s v="Ancienne-Mairie-Dla-V"/>
    <s v="LIT_771"/>
    <s v="Douala"/>
    <s v="CAMUSAT"/>
    <s v="Good Grid + GE"/>
    <s v="LITTORAL"/>
    <s v="Douala"/>
    <s v="ZTE"/>
    <n v="0"/>
    <n v="0"/>
    <n v="0"/>
    <n v="0"/>
    <n v="0"/>
    <n v="0"/>
    <n v="0"/>
    <n v="0"/>
    <n v="0"/>
    <n v="0"/>
    <n v="9.464309154674361"/>
    <n v="0"/>
    <n v="0"/>
    <n v="0"/>
    <n v="4.218245713160574"/>
    <n v="11.65172800506801"/>
    <n v="27.31399440121222"/>
    <n v="0"/>
    <n v="0"/>
    <n v="0"/>
    <n v="0"/>
    <n v="4.002155904267007"/>
    <n v="4.324453604540669"/>
    <n v="0"/>
    <m/>
    <n v="0"/>
    <m/>
    <n v="0"/>
    <m/>
    <n v="0"/>
    <m/>
    <m/>
    <n v="0"/>
    <n v="0"/>
    <n v="0.1827025422834035"/>
    <n v="0"/>
    <m/>
    <n v="1.828291713394572"/>
    <n v="0.005745197015295214"/>
    <n v="0.004781358058692874"/>
    <n v="0.03249030899583429"/>
    <n v="0.01936889505269201"/>
    <x v="0"/>
    <m/>
    <x v="2"/>
    <x v="1"/>
    <s v="no root cause"/>
    <x v="1"/>
    <s v=""/>
  </r>
  <r>
    <s v="Mekin-CAMTEL"/>
    <s v="CTR_434"/>
    <s v="CENTRE"/>
    <s v="CAMUSAT"/>
    <s v="Hybrid Solar - S3"/>
    <s v="CENTRE"/>
    <s v="Mekin"/>
    <s v="NOKIA"/>
    <n v="0"/>
    <n v="0.01256973269621025"/>
    <n v="0"/>
    <n v="0"/>
    <n v="0"/>
    <n v="0"/>
    <n v="0.0336842720441223"/>
    <n v="0"/>
    <n v="0"/>
    <n v="0.837610907547397"/>
    <n v="3.05030494820162"/>
    <n v="0"/>
    <n v="0.001070104699043579"/>
    <n v="0"/>
    <n v="0"/>
    <n v="0"/>
    <n v="0"/>
    <n v="0.08427074504969558"/>
    <n v="0.2652967899712642"/>
    <n v="0.3563805349382052"/>
    <n v="0"/>
    <n v="0.5950673880599144"/>
    <n v="0"/>
    <n v="0"/>
    <m/>
    <n v="0"/>
    <m/>
    <n v="0.004940316693918835"/>
    <m/>
    <n v="0.01644394220863899"/>
    <m/>
    <m/>
    <n v="0"/>
    <n v="0"/>
    <n v="0"/>
    <n v="0"/>
    <m/>
    <n v="0"/>
    <n v="0"/>
    <n v="0.0560481416880019"/>
    <n v="0"/>
    <n v="0.0188160076248526"/>
    <x v="0"/>
    <m/>
    <x v="2"/>
    <x v="1"/>
    <s v="no root cause"/>
    <x v="1"/>
    <s v=""/>
  </r>
  <r>
    <s v="Ndiam-badji"/>
    <s v="NRD_154"/>
    <s v="NORD"/>
    <s v="CAMUSAT"/>
    <s v="Hybrid Solar - S3"/>
    <s v="NORD"/>
    <s v="Ndiam-Badji"/>
    <s v="NOKIA"/>
    <n v="0.001248527734980219"/>
    <n v="0"/>
    <n v="0"/>
    <n v="0.004815749834923337"/>
    <n v="0"/>
    <n v="0"/>
    <n v="0"/>
    <n v="0"/>
    <n v="0"/>
    <n v="0"/>
    <n v="0"/>
    <n v="0"/>
    <n v="0"/>
    <n v="0"/>
    <n v="0.005618699982477767"/>
    <n v="0"/>
    <n v="0"/>
    <n v="0"/>
    <n v="0"/>
    <n v="0"/>
    <n v="1.436544218152971"/>
    <n v="0"/>
    <n v="0"/>
    <n v="0"/>
    <m/>
    <n v="0"/>
    <m/>
    <n v="0"/>
    <m/>
    <n v="12.32027009119077"/>
    <m/>
    <m/>
    <n v="0"/>
    <n v="11.65518801026159"/>
    <n v="0"/>
    <n v="0.2978572657873806"/>
    <m/>
    <n v="0"/>
    <n v="0.08467920818195988"/>
    <n v="0.01992347822361434"/>
    <n v="0"/>
    <n v="0.01878072453658809"/>
    <x v="0"/>
    <m/>
    <x v="2"/>
    <x v="1"/>
    <s v="no root cause"/>
    <x v="1"/>
    <s v=""/>
  </r>
  <r>
    <s v="Azem-IHS"/>
    <s v="SUD_060"/>
    <s v="CENTRE"/>
    <s v="IHS"/>
    <s v="Grid-Gen"/>
    <s v="SUD"/>
    <s v="Azem"/>
    <s v="ZTE"/>
    <n v="0"/>
    <n v="0"/>
    <n v="0"/>
    <n v="0"/>
    <n v="0"/>
    <n v="0"/>
    <n v="0"/>
    <n v="0"/>
    <n v="0"/>
    <n v="0"/>
    <n v="0"/>
    <n v="0.4019074223636861"/>
    <n v="0"/>
    <n v="0"/>
    <n v="0.01166414121957669"/>
    <n v="0"/>
    <n v="0"/>
    <n v="0"/>
    <n v="0"/>
    <n v="0"/>
    <n v="0"/>
    <n v="0"/>
    <n v="0"/>
    <n v="0"/>
    <m/>
    <n v="0"/>
    <m/>
    <n v="0"/>
    <m/>
    <n v="0"/>
    <m/>
    <m/>
    <n v="0"/>
    <n v="0"/>
    <n v="0"/>
    <n v="0"/>
    <m/>
    <n v="0"/>
    <n v="0.0003746867618670791"/>
    <n v="0.005737629670431448"/>
    <n v="0.02924127809625151"/>
    <n v="0.0172286856546049"/>
    <x v="0"/>
    <m/>
    <x v="2"/>
    <x v="1"/>
    <s v="no root cause"/>
    <x v="1"/>
    <s v=""/>
  </r>
  <r>
    <s v="Nkolda"/>
    <s v="CTR_215"/>
    <s v="Yaounde"/>
    <s v="IHS"/>
    <s v="Grid-Gen"/>
    <s v="CENTRE"/>
    <s v="Yaounde"/>
    <s v="ZTE"/>
    <n v="0"/>
    <n v="0"/>
    <n v="0"/>
    <n v="0"/>
    <n v="0"/>
    <n v="0"/>
    <n v="0"/>
    <n v="0"/>
    <n v="0"/>
    <n v="0"/>
    <n v="0"/>
    <n v="0"/>
    <n v="0"/>
    <n v="0"/>
    <n v="0"/>
    <n v="0"/>
    <n v="0"/>
    <n v="0"/>
    <n v="0"/>
    <n v="0.001177115168948143"/>
    <n v="0"/>
    <n v="0"/>
    <n v="0"/>
    <n v="0"/>
    <m/>
    <n v="0"/>
    <m/>
    <n v="0"/>
    <m/>
    <n v="0"/>
    <m/>
    <m/>
    <n v="0"/>
    <n v="0"/>
    <n v="0"/>
    <n v="0"/>
    <m/>
    <n v="0"/>
    <n v="0"/>
    <n v="0"/>
    <n v="0.03249030899583461"/>
    <n v="0.01694332440152608"/>
    <x v="0"/>
    <m/>
    <x v="2"/>
    <x v="1"/>
    <s v="no root cause"/>
    <x v="1"/>
    <s v=""/>
  </r>
  <r>
    <s v="Elig-Edzoa-IHS"/>
    <s v="CTR_131"/>
    <s v="Yaounde"/>
    <s v="IHS"/>
    <s v="Grid-Gen"/>
    <s v="CENTRE"/>
    <s v="Yaounde"/>
    <s v="ZTE"/>
    <n v="0"/>
    <n v="0.6556174789474736"/>
    <n v="0.9815535351978836"/>
    <n v="0"/>
    <n v="0"/>
    <n v="0.7360715172372466"/>
    <n v="0.352421147551743"/>
    <n v="0.3754640687378186"/>
    <n v="0.06361772435815119"/>
    <n v="1.181930640093827"/>
    <n v="1.477012010855143"/>
    <n v="0"/>
    <n v="7.605180590869011"/>
    <n v="3.237066714607357"/>
    <n v="0.3518147548889516"/>
    <n v="0.0001070104699043754"/>
    <n v="0.2088130969400712"/>
    <n v="0.0115392956713553"/>
    <n v="1.189457043143768"/>
    <n v="0.4538492379427739"/>
    <n v="0"/>
    <n v="0.04271501257016337"/>
    <n v="0.08996013503294494"/>
    <n v="0.3408640168020708"/>
    <m/>
    <n v="0.2232951805337968"/>
    <m/>
    <n v="6.479323437005077"/>
    <m/>
    <n v="0.4854886668778339"/>
    <m/>
    <m/>
    <n v="0"/>
    <n v="0.4968674468443325"/>
    <n v="0.5429176190598487"/>
    <n v="0.1671325189123171"/>
    <m/>
    <n v="0"/>
    <n v="0.1174018520516848"/>
    <n v="0"/>
    <n v="0"/>
    <n v="0.01676497361835215"/>
    <x v="0"/>
    <m/>
    <x v="2"/>
    <x v="1"/>
    <s v="no root cause"/>
    <x v="1"/>
    <s v=""/>
  </r>
  <r>
    <s v="Bsadi-Hopital"/>
    <s v="LIT_446"/>
    <s v="Douala"/>
    <s v="IHS"/>
    <s v="Grid-Gen"/>
    <s v="LITTORAL"/>
    <s v="Douala"/>
    <s v="ZTE"/>
    <n v="0"/>
    <n v="0"/>
    <n v="0"/>
    <n v="0"/>
    <n v="0"/>
    <n v="0"/>
    <n v="0"/>
    <n v="0"/>
    <n v="0"/>
    <n v="0"/>
    <n v="0"/>
    <n v="0"/>
    <n v="0"/>
    <n v="0"/>
    <n v="0"/>
    <n v="0"/>
    <n v="0"/>
    <n v="0"/>
    <n v="0"/>
    <n v="0"/>
    <n v="0"/>
    <n v="0"/>
    <n v="0"/>
    <n v="0"/>
    <m/>
    <n v="0"/>
    <m/>
    <n v="0"/>
    <m/>
    <n v="0"/>
    <m/>
    <m/>
    <n v="0"/>
    <n v="0"/>
    <n v="0.7124222033883796"/>
    <n v="0"/>
    <m/>
    <n v="1.557947596259485"/>
    <n v="0.00587009260258424"/>
    <n v="0.005100115262604713"/>
    <n v="0.02677885467761912"/>
    <n v="0.01651528252190832"/>
    <x v="0"/>
    <m/>
    <x v="2"/>
    <x v="1"/>
    <s v="no root cause"/>
    <x v="1"/>
    <s v=""/>
  </r>
  <r>
    <s v="Sanglou-IHS"/>
    <s v="SUD_206"/>
    <s v="CENTRE"/>
    <s v="IHS"/>
    <s v="Grid-Gen-Lithium"/>
    <s v="SUD"/>
    <s v="Sagmelima"/>
    <s v="NOKIA"/>
    <n v="0"/>
    <n v="0"/>
    <n v="0"/>
    <n v="0"/>
    <n v="0"/>
    <n v="0"/>
    <n v="0"/>
    <n v="0"/>
    <n v="0"/>
    <n v="0"/>
    <n v="0"/>
    <n v="0"/>
    <n v="0.2363310393423869"/>
    <n v="0"/>
    <n v="0"/>
    <n v="0"/>
    <n v="0"/>
    <n v="0"/>
    <n v="0"/>
    <n v="0"/>
    <n v="2.131826911278332"/>
    <n v="0.3605736921650153"/>
    <n v="0"/>
    <n v="0"/>
    <m/>
    <n v="0"/>
    <m/>
    <n v="0"/>
    <m/>
    <n v="0.2634055665674143"/>
    <m/>
    <m/>
    <n v="0"/>
    <n v="0"/>
    <n v="0.1746560093917337"/>
    <n v="0"/>
    <m/>
    <n v="0"/>
    <n v="0"/>
    <n v="0.03692270945323347"/>
    <n v="0.006566462449684196"/>
    <n v="0.01581971446752996"/>
    <x v="0"/>
    <m/>
    <x v="2"/>
    <x v="1"/>
    <s v="no root cause"/>
    <x v="1"/>
    <s v=""/>
  </r>
  <r>
    <s v="Bsadi-IPPB-Santa-Lucia"/>
    <s v="LIT_686"/>
    <s v="Douala"/>
    <s v="CAMUSAT"/>
    <s v="Good Grid no GE - 8h"/>
    <s v="LITTORAL"/>
    <s v="Douala"/>
    <s v="ZTE"/>
    <n v="0"/>
    <n v="2.965920018947987"/>
    <n v="0.533893069431247"/>
    <n v="0"/>
    <n v="0"/>
    <n v="0"/>
    <n v="0"/>
    <n v="0"/>
    <n v="0"/>
    <n v="0"/>
    <n v="0"/>
    <n v="0.002675261747609462"/>
    <n v="0"/>
    <n v="0"/>
    <n v="0"/>
    <n v="0"/>
    <n v="0"/>
    <n v="0"/>
    <n v="0"/>
    <n v="0"/>
    <n v="0.03324458598362594"/>
    <n v="0"/>
    <n v="0"/>
    <n v="0"/>
    <m/>
    <n v="0"/>
    <m/>
    <n v="0"/>
    <m/>
    <n v="0"/>
    <m/>
    <m/>
    <n v="0"/>
    <n v="0"/>
    <n v="0.155432707536105"/>
    <n v="0"/>
    <m/>
    <n v="4.058372071123438"/>
    <n v="0.006244779364451319"/>
    <n v="0.005100115262604713"/>
    <n v="0.02274321629708432"/>
    <n v="0.01446424851540803"/>
    <x v="0"/>
    <m/>
    <x v="2"/>
    <x v="1"/>
    <s v="no root cause"/>
    <x v="1"/>
    <s v=""/>
  </r>
  <r>
    <s v="Nitoukou-IHS"/>
    <s v="CTR_177"/>
    <s v="CENTRE"/>
    <s v="IHS"/>
    <s v="Grid-Gen"/>
    <s v="CENTRE"/>
    <m/>
    <s v="NOKIA"/>
    <n v="0.03002888866665318"/>
    <n v="0.7131742952510919"/>
    <n v="3.139110452893773"/>
    <n v="0.0724900296789779"/>
    <n v="0.2237548931062844"/>
    <n v="1.783507831741196e-05"/>
    <n v="5.350523495212009e-05"/>
    <n v="0.1532665843375163"/>
    <n v="4.067844891549602"/>
    <n v="8.917539158711768e-05"/>
    <n v="0.000107010469904356"/>
    <n v="3.488844515214035"/>
    <n v="4.018295720615946e-05"/>
    <n v="0.7838873622061855"/>
    <n v="5.785949097259675"/>
    <n v="0.06087112229727204"/>
    <n v="3.567015663470812e-05"/>
    <n v="1.783507831741196e-05"/>
    <n v="0.05002739468029552"/>
    <n v="0.1638721916233803"/>
    <n v="2.01370518758222"/>
    <n v="0.6100497833653711"/>
    <n v="1.783507831729616e-05"/>
    <n v="0.0403429471539497"/>
    <m/>
    <n v="0.1332458701092644"/>
    <m/>
    <n v="0.5199119657376819"/>
    <m/>
    <n v="3.59504940299811"/>
    <m/>
    <m/>
    <n v="0.2072079398915059"/>
    <n v="3.716149772304249"/>
    <n v="23.11276335276643"/>
    <n v="23.11287036323634"/>
    <m/>
    <n v="0.1904251311948363"/>
    <n v="0.002123224983913448"/>
    <n v="0.04117280550540406"/>
    <n v="0.000444604228364407"/>
    <n v="0.01435723804550377"/>
    <x v="0"/>
    <m/>
    <x v="2"/>
    <x v="1"/>
    <s v="no root cause"/>
    <x v="1"/>
    <s v=""/>
  </r>
  <r>
    <s v="Mvog-Ebanda-II"/>
    <s v="CTR_668"/>
    <s v="Yaounde"/>
    <s v="CAMUSAT"/>
    <s v="Medium Grid + Solar + GE"/>
    <s v="CENTRE"/>
    <s v="Yaounde"/>
    <s v="ZTE"/>
    <n v="46.22852299869021"/>
    <n v="46.22852299869021"/>
    <n v="46.22852299869021"/>
    <n v="31.77700872920073"/>
    <n v="0"/>
    <n v="0"/>
    <n v="0"/>
    <n v="0"/>
    <n v="0"/>
    <n v="0"/>
    <n v="1.752456960389005"/>
    <n v="0"/>
    <n v="0"/>
    <n v="0"/>
    <n v="0"/>
    <n v="0"/>
    <n v="0"/>
    <n v="0"/>
    <n v="0"/>
    <n v="0"/>
    <n v="0"/>
    <n v="0"/>
    <n v="0"/>
    <n v="0"/>
    <m/>
    <n v="0"/>
    <m/>
    <n v="0"/>
    <m/>
    <n v="0"/>
    <m/>
    <m/>
    <n v="0"/>
    <n v="0"/>
    <n v="0"/>
    <n v="0.0008025785242828159"/>
    <m/>
    <n v="0"/>
    <n v="0"/>
    <n v="0"/>
    <n v="0.02688145565339611"/>
    <n v="0.01401837155747332"/>
    <x v="0"/>
    <m/>
    <x v="11"/>
    <x v="7"/>
    <s v="BSS Hardware issue"/>
    <x v="2"/>
    <s v="05-25-2026: hardware issue,  site with GPS issue (alarm : TDD down 09Apr 02pm)"/>
  </r>
  <r>
    <s v="Ngd-Ville"/>
    <s v="ADM_018"/>
    <s v="Ngaoundere"/>
    <s v="IHS"/>
    <s v="Grid-Gen"/>
    <s v="ADAMAOUA"/>
    <s v="Ngaoundere"/>
    <s v="Huawei"/>
    <n v="0"/>
    <n v="0"/>
    <n v="0"/>
    <n v="0"/>
    <n v="0"/>
    <n v="0"/>
    <n v="0"/>
    <n v="0"/>
    <n v="0"/>
    <n v="0"/>
    <n v="0"/>
    <n v="0.04958151772236062"/>
    <n v="0"/>
    <n v="0"/>
    <n v="0"/>
    <n v="0"/>
    <n v="0"/>
    <n v="0"/>
    <n v="0"/>
    <n v="0"/>
    <n v="0"/>
    <n v="2.196675256040384"/>
    <n v="23.99950561162904"/>
    <n v="0"/>
    <m/>
    <n v="0"/>
    <m/>
    <n v="0"/>
    <m/>
    <n v="0"/>
    <m/>
    <m/>
    <n v="0"/>
    <n v="0"/>
    <n v="0"/>
    <n v="0"/>
    <m/>
    <n v="0"/>
    <n v="0.02997494094936633"/>
    <n v="0.02868814835215276"/>
    <n v="0"/>
    <n v="0.01391136108756881"/>
    <x v="0"/>
    <m/>
    <x v="2"/>
    <x v="1"/>
    <s v="no root cause"/>
    <x v="1"/>
    <s v=""/>
  </r>
  <r>
    <s v="Mvoula"/>
    <s v="SUD_245"/>
    <s v="CENTRE"/>
    <s v="IHS"/>
    <s v="Grid-Gen"/>
    <s v="SUD"/>
    <s v="Mvoula"/>
    <s v="NOKIA"/>
    <n v="0.009720117682980806"/>
    <n v="0.003834541838240092"/>
    <n v="0"/>
    <n v="0"/>
    <n v="0.00240773557284831"/>
    <n v="0"/>
    <n v="0"/>
    <n v="0"/>
    <n v="3.150532243873518"/>
    <n v="7.123333277132986"/>
    <n v="0"/>
    <n v="21.89890792248447"/>
    <n v="0"/>
    <n v="0"/>
    <n v="0"/>
    <n v="0"/>
    <n v="0"/>
    <n v="0.01840580082355247"/>
    <n v="0"/>
    <n v="0"/>
    <n v="5.607901510417112"/>
    <n v="0"/>
    <n v="0"/>
    <n v="0"/>
    <m/>
    <n v="0"/>
    <m/>
    <n v="0"/>
    <m/>
    <n v="0"/>
    <m/>
    <m/>
    <n v="0"/>
    <n v="0"/>
    <n v="0"/>
    <n v="0"/>
    <m/>
    <n v="0"/>
    <n v="0"/>
    <n v="0.0393133884825794"/>
    <n v="0"/>
    <n v="0.01319795795487287"/>
    <x v="0"/>
    <m/>
    <x v="2"/>
    <x v="1"/>
    <s v="no root cause"/>
    <x v="1"/>
    <s v=""/>
  </r>
  <r>
    <s v="Santchou"/>
    <s v="OST_038"/>
    <s v="OUEST"/>
    <s v="IHS"/>
    <s v="Grid-Gen"/>
    <s v="OUEST"/>
    <s v="Santchou"/>
    <s v="NOKIA"/>
    <n v="0.002033198928182937"/>
    <n v="0.0001426806265389483"/>
    <n v="0.05746467488634806"/>
    <n v="3.567015663505551e-05"/>
    <n v="0.00529701826026653"/>
    <n v="0.001515981656978754"/>
    <n v="0.005065162242140426"/>
    <n v="0.9817675561376923"/>
    <n v="3.083578030607849"/>
    <n v="3.082008543715918"/>
    <n v="2.696842715904214"/>
    <n v="21.16101722725885"/>
    <n v="3.092513404844864"/>
    <n v="3.081972873559283"/>
    <n v="2.228332520053762"/>
    <n v="0.002033198928183448"/>
    <n v="0.001373301030439497"/>
    <n v="7.134031326941624e-05"/>
    <n v="0.003228149175449097"/>
    <n v="8.9175391586944e-05"/>
    <n v="2.273169906943695"/>
    <n v="0.006973515622101158"/>
    <n v="0.001034434542408953"/>
    <n v="0.09211817950935"/>
    <m/>
    <n v="8.917539158711768e-05"/>
    <m/>
    <n v="0.006723824525658199"/>
    <m/>
    <n v="0.002051034006500686"/>
    <m/>
    <m/>
    <n v="0.0001783507831739459"/>
    <n v="0.0001070104699042981"/>
    <n v="6.684285254903056"/>
    <n v="0.9703581825647986"/>
    <m/>
    <n v="0.0001426806265390062"/>
    <n v="0"/>
    <n v="0"/>
    <n v="0.02520563971571527"/>
    <n v="0.01314445271992043"/>
    <x v="0"/>
    <m/>
    <x v="2"/>
    <x v="1"/>
    <s v="no root cause"/>
    <x v="1"/>
    <s v=""/>
  </r>
  <r>
    <s v="Nyassosso-MTN"/>
    <s v="SUO_039"/>
    <s v="SUD-OUEST"/>
    <m/>
    <m/>
    <s v="SUD-OUEST"/>
    <s v="Nyassosso"/>
    <s v="NOKIA"/>
    <n v="0"/>
    <n v="0"/>
    <n v="0.109329030085637"/>
    <n v="0"/>
    <n v="0"/>
    <n v="0.03513510428526984"/>
    <n v="0.05760730296518877"/>
    <n v="0"/>
    <n v="0"/>
    <n v="0.001070104699043922"/>
    <n v="0"/>
    <n v="0.3128986140003938"/>
    <n v="0"/>
    <n v="0"/>
    <n v="0"/>
    <n v="0"/>
    <n v="0.0135546595212209"/>
    <n v="0"/>
    <n v="0"/>
    <n v="0.001248455482217681"/>
    <n v="0"/>
    <n v="0.1779049062160241"/>
    <n v="0"/>
    <n v="0.3237958468523228"/>
    <m/>
    <n v="0"/>
    <m/>
    <n v="0"/>
    <m/>
    <n v="0"/>
    <m/>
    <m/>
    <n v="0"/>
    <n v="0.8501090079986761"/>
    <n v="0"/>
    <n v="0"/>
    <m/>
    <n v="0.02247219867991893"/>
    <n v="0"/>
    <n v="0.03878212647605864"/>
    <n v="0"/>
    <n v="0.01301960717169911"/>
    <x v="1"/>
    <m/>
    <x v="4"/>
    <x v="0"/>
    <s v="Defaut GE &amp; Power Cabinet"/>
    <x v="0"/>
    <s v="{05-25-2026 ticket}: INC-20260525-00019062...Grid Outage"/>
  </r>
  <r>
    <s v="EMVIENG1"/>
    <s v="SUD_160"/>
    <s v="CENTRE"/>
    <s v="ESCO"/>
    <s v="HGB"/>
    <s v="SUD"/>
    <s v="Emvieng"/>
    <s v="NOKIA"/>
    <n v="0"/>
    <n v="0"/>
    <n v="0.003759398628524356"/>
    <n v="0"/>
    <n v="0"/>
    <n v="0"/>
    <n v="0"/>
    <n v="0"/>
    <n v="0.2216042578554526"/>
    <n v="0"/>
    <n v="0"/>
    <n v="0.01744396084110889"/>
    <n v="0"/>
    <n v="0.8330765082055628"/>
    <n v="0"/>
    <n v="0"/>
    <n v="0"/>
    <n v="0.1011962343729045"/>
    <n v="0"/>
    <n v="0"/>
    <n v="0.03454934940020204"/>
    <n v="0"/>
    <n v="0.01820961496206117"/>
    <n v="0.0008917539158698208"/>
    <m/>
    <n v="0"/>
    <m/>
    <n v="0"/>
    <m/>
    <n v="0"/>
    <m/>
    <m/>
    <n v="0"/>
    <n v="0"/>
    <n v="0"/>
    <n v="0"/>
    <m/>
    <n v="0"/>
    <n v="0"/>
    <n v="0.03851649547279776"/>
    <n v="0"/>
    <n v="0.01293043178011206"/>
    <x v="0"/>
    <m/>
    <x v="2"/>
    <x v="1"/>
    <s v="no root cause"/>
    <x v="1"/>
    <s v=""/>
  </r>
  <r>
    <s v="Essang-Mvout"/>
    <s v="SUD_162"/>
    <s v="CENTRE"/>
    <m/>
    <m/>
    <s v="SUD"/>
    <s v="Meyomessi"/>
    <s v="NOKIA"/>
    <n v="0"/>
    <n v="0"/>
    <n v="0.008841794569759595"/>
    <n v="0"/>
    <n v="0"/>
    <n v="0"/>
    <n v="0"/>
    <n v="0"/>
    <n v="0.8349710874026605"/>
    <n v="0"/>
    <n v="0"/>
    <n v="0"/>
    <n v="0"/>
    <n v="0"/>
    <n v="0"/>
    <n v="0"/>
    <n v="0"/>
    <n v="0.4128295603300947"/>
    <n v="0"/>
    <n v="0"/>
    <n v="0.03650840531570942"/>
    <n v="0"/>
    <n v="0.04410614867891983"/>
    <n v="0.0009630942291391874"/>
    <m/>
    <n v="0"/>
    <m/>
    <n v="0"/>
    <m/>
    <n v="0"/>
    <m/>
    <m/>
    <n v="0"/>
    <n v="0"/>
    <n v="0"/>
    <n v="0"/>
    <m/>
    <n v="0"/>
    <n v="0"/>
    <n v="0.03054756537497733"/>
    <n v="0.004788045536228141"/>
    <n v="0.01275208099693796"/>
    <x v="0"/>
    <m/>
    <x v="2"/>
    <x v="1"/>
    <s v="no root cause"/>
    <x v="1"/>
    <s v=""/>
  </r>
  <r>
    <s v="KYE-Ossi-II"/>
    <s v="SUD_073"/>
    <s v="CENTRE"/>
    <s v="CAMUSAT"/>
    <s v="HGB"/>
    <s v="SUD"/>
    <s v="Kye-Ossi"/>
    <s v="ZTE"/>
    <n v="0.5710792077230165"/>
    <n v="0"/>
    <n v="0"/>
    <n v="0"/>
    <n v="0"/>
    <n v="0"/>
    <n v="0"/>
    <n v="0"/>
    <n v="0"/>
    <n v="0"/>
    <n v="0.3559524930585876"/>
    <n v="1.323790853030394"/>
    <n v="0"/>
    <n v="0"/>
    <n v="0.007847434459654133"/>
    <n v="0"/>
    <n v="5.789686046592889e-17"/>
    <n v="0"/>
    <n v="0"/>
    <n v="0.08616126335133957"/>
    <n v="0"/>
    <n v="5.789686046592889e-17"/>
    <n v="0"/>
    <n v="0"/>
    <m/>
    <n v="0"/>
    <m/>
    <n v="0"/>
    <m/>
    <n v="2.894843023296444e-17"/>
    <m/>
    <m/>
    <n v="0.1341732941817694"/>
    <n v="0"/>
    <n v="0.6574009867792131"/>
    <n v="0.7524797892892502"/>
    <m/>
    <n v="0.200038238407912"/>
    <n v="0"/>
    <n v="0.003506329243039403"/>
    <n v="0.02212761044242629"/>
    <n v="0.01271641084030275"/>
    <x v="0"/>
    <m/>
    <x v="2"/>
    <x v="1"/>
    <s v="no root cause"/>
    <x v="1"/>
    <s v=""/>
  </r>
  <r>
    <s v="Balda"/>
    <s v="EXN_229"/>
    <s v="EXTREME-NORD"/>
    <s v="CAMUSAT"/>
    <s v="Hybrid Solar - S3"/>
    <s v="EXTREME-NORD"/>
    <s v="Balda"/>
    <s v="NOKIA"/>
    <n v="0.06666117687718716"/>
    <n v="6.695123456153484"/>
    <n v="9.245704599738039"/>
    <n v="9.245704599738039"/>
    <n v="9.249004280180488"/>
    <n v="9.294779694581601"/>
    <n v="9.245704599738039"/>
    <n v="9.245704599738039"/>
    <n v="5.192593876718232"/>
    <n v="0"/>
    <n v="0"/>
    <n v="11.46109269309609"/>
    <n v="0"/>
    <n v="0"/>
    <n v="0.004905214270416951"/>
    <n v="0.002229513812464556"/>
    <n v="0"/>
    <n v="0"/>
    <n v="0"/>
    <n v="0.3372711521967372"/>
    <n v="1.622054736968879"/>
    <n v="0"/>
    <n v="0"/>
    <n v="0"/>
    <m/>
    <n v="0.2298492575159231"/>
    <m/>
    <n v="0"/>
    <m/>
    <n v="0"/>
    <m/>
    <m/>
    <n v="0"/>
    <n v="0.0007134031326958908"/>
    <n v="3.077742727203032"/>
    <n v="0.00142697142412146"/>
    <m/>
    <n v="0"/>
    <n v="0"/>
    <n v="0.03612790717882097"/>
    <n v="0"/>
    <n v="0.01212855513980728"/>
    <x v="1"/>
    <m/>
    <x v="2"/>
    <x v="1"/>
    <s v="no root cause"/>
    <x v="1"/>
    <s v=""/>
  </r>
  <r>
    <s v="Makong-II-IHS"/>
    <s v="OST_256"/>
    <s v="OUEST"/>
    <s v="IHS"/>
    <s v="Grid-Gen"/>
    <s v="OUEST"/>
    <s v="Dschang"/>
    <s v="NOKIA"/>
    <n v="0"/>
    <n v="0.01794991255583322"/>
    <n v="0"/>
    <n v="0"/>
    <n v="0"/>
    <n v="0"/>
    <n v="0"/>
    <n v="0"/>
    <n v="0"/>
    <n v="0"/>
    <n v="0"/>
    <n v="0"/>
    <n v="0"/>
    <n v="0"/>
    <n v="0"/>
    <n v="0"/>
    <n v="0.004226913561223031"/>
    <n v="0"/>
    <n v="0"/>
    <n v="0.02903550750072063"/>
    <n v="0"/>
    <n v="0"/>
    <n v="0"/>
    <n v="0"/>
    <m/>
    <n v="0.005796400453153726"/>
    <m/>
    <n v="0"/>
    <m/>
    <n v="0"/>
    <m/>
    <m/>
    <n v="0"/>
    <n v="0"/>
    <n v="0.03402910587442654"/>
    <n v="0"/>
    <m/>
    <n v="0"/>
    <n v="0.009492064633966004"/>
    <n v="0.02125048026085399"/>
    <n v="0.005027447813040139"/>
    <n v="0.01111125379173792"/>
    <x v="0"/>
    <m/>
    <x v="2"/>
    <x v="1"/>
    <s v="no root cause"/>
    <x v="1"/>
    <s v=""/>
  </r>
  <r>
    <s v="Mbeng"/>
    <s v="CTR_385"/>
    <s v="CENTRE"/>
    <s v="IHS"/>
    <s v="Grid-Gen"/>
    <s v="CENTRE"/>
    <s v="Mbeng"/>
    <s v="NOKIA"/>
    <n v="0"/>
    <n v="0"/>
    <n v="0.03178256302878055"/>
    <n v="0"/>
    <n v="0"/>
    <n v="0"/>
    <n v="0"/>
    <n v="0"/>
    <n v="1.46520445528745"/>
    <n v="3.619812105872717"/>
    <n v="0"/>
    <n v="3.812069639560202"/>
    <n v="0"/>
    <n v="0"/>
    <n v="0.001605157048565883"/>
    <n v="0"/>
    <n v="0"/>
    <n v="0"/>
    <n v="0"/>
    <n v="0"/>
    <n v="5.784022908801398"/>
    <n v="0"/>
    <n v="0"/>
    <n v="0"/>
    <m/>
    <n v="0.0190835337996135"/>
    <m/>
    <n v="3.798265288942537"/>
    <m/>
    <n v="5.136805751741417"/>
    <m/>
    <m/>
    <n v="0"/>
    <n v="0.001872683223326521"/>
    <n v="0"/>
    <n v="2.760513421966539"/>
    <m/>
    <n v="0.04494439735983764"/>
    <n v="0"/>
    <n v="0.0324069823978025"/>
    <n v="0"/>
    <n v="0.01087939777361161"/>
    <x v="0"/>
    <m/>
    <x v="2"/>
    <x v="1"/>
    <s v="no root cause"/>
    <x v="1"/>
    <s v=""/>
  </r>
  <r>
    <s v="Gari-Gombo"/>
    <s v="EST_048"/>
    <s v="CENTRE"/>
    <s v="IHS"/>
    <s v="Gen-Solar AER"/>
    <s v="EST"/>
    <s v="Gari-Gombo"/>
    <s v="NOKIA"/>
    <n v="0.000214020939808654"/>
    <n v="0.0002675261747610057"/>
    <n v="0.0002853612530783018"/>
    <n v="0.000285361253078244"/>
    <n v="0.0002496910964435358"/>
    <n v="0.000267526174760832"/>
    <n v="0.0002675261747609478"/>
    <n v="0.0002496910964437095"/>
    <n v="0.0002496910964435937"/>
    <n v="0.0002675261747609478"/>
    <n v="0.0002675261747610636"/>
    <n v="0"/>
    <n v="0.000267526174760832"/>
    <n v="0.7278317110546099"/>
    <n v="0.001961858614913521"/>
    <n v="0.0002496910964433043"/>
    <n v="0.0003567015663478918"/>
    <n v="0.0002675261747607162"/>
    <n v="0.3088153062282737"/>
    <n v="0.0002853612530784176"/>
    <n v="0"/>
    <n v="1.734497036523386"/>
    <n v="0.0002496910964434201"/>
    <n v="0.0002675261747608899"/>
    <m/>
    <n v="0.0002318560181262397"/>
    <m/>
    <n v="0.0002675261747609478"/>
    <m/>
    <n v="0.0002496910964436516"/>
    <m/>
    <m/>
    <n v="0.0002675261747610057"/>
    <n v="0.9028294995048982"/>
    <n v="1.866249669541071"/>
    <n v="7.762057939748825"/>
    <m/>
    <n v="0.01879817254653529"/>
    <n v="0"/>
    <n v="0.02868814835215266"/>
    <n v="0.001881017889232699"/>
    <n v="0.01061187159885062"/>
    <x v="0"/>
    <m/>
    <x v="2"/>
    <x v="1"/>
    <s v="no root cause"/>
    <x v="1"/>
    <s v=""/>
  </r>
  <r>
    <s v="Santa-Barbara-Yde-IHS"/>
    <s v="CTR_163"/>
    <s v="Yaounde"/>
    <s v="IHS"/>
    <s v="Grid-Gen"/>
    <s v="CENTRE"/>
    <s v="Yaounde"/>
    <s v="ZTE"/>
    <n v="2.674245148145294"/>
    <n v="0.0216161149206838"/>
    <n v="0"/>
    <n v="0"/>
    <n v="0"/>
    <n v="0"/>
    <n v="0"/>
    <n v="0"/>
    <n v="0"/>
    <n v="0"/>
    <n v="0"/>
    <n v="0"/>
    <n v="0.8733302799679253"/>
    <n v="0"/>
    <n v="4.199162179360963"/>
    <n v="0.2584659549757016"/>
    <n v="0.135992472170144"/>
    <n v="0"/>
    <n v="0"/>
    <n v="0"/>
    <n v="0"/>
    <n v="0"/>
    <n v="0"/>
    <n v="0.1812400658613777"/>
    <m/>
    <n v="3.153919579491658"/>
    <m/>
    <n v="0"/>
    <m/>
    <n v="0"/>
    <m/>
    <m/>
    <n v="0"/>
    <n v="0"/>
    <n v="0"/>
    <n v="0"/>
    <m/>
    <n v="0"/>
    <n v="0"/>
    <n v="0"/>
    <n v="0.01792097043559719"/>
    <n v="0.009345581038315433"/>
    <x v="0"/>
    <m/>
    <x v="11"/>
    <x v="7"/>
    <s v="BSS Hardware issue"/>
    <x v="2"/>
    <s v="05-25-2026: hardware issue,  site with GPS issue (alarm : TDD down 09Apr 02pm)"/>
  </r>
  <r>
    <s v="Ndelele-MTN"/>
    <s v="EST_041"/>
    <s v="CENTRE"/>
    <s v="IHS"/>
    <s v="Gen-Solar AER"/>
    <s v="EST"/>
    <s v="Ndelele"/>
    <s v="NOKIA"/>
    <n v="0.0004637120362523383"/>
    <n v="0.000178350783173888"/>
    <n v="0.0001605157048565339"/>
    <n v="0.0001961858614914737"/>
    <n v="0.6475997010562701"/>
    <n v="0.0001783507831740038"/>
    <n v="0.0001783507831741196"/>
    <n v="0.000178350783173888"/>
    <n v="0.0001605157048565918"/>
    <n v="0.0001605157048564181"/>
    <n v="0.0001605157048565918"/>
    <n v="0"/>
    <n v="0.000178350783173888"/>
    <n v="0.7271539780785486"/>
    <n v="0.0001605157048565339"/>
    <n v="0.0001426806265390641"/>
    <n v="0.000178350783173888"/>
    <n v="0.0001783507831741196"/>
    <n v="0.0001426806265391799"/>
    <n v="0.1003223155353516"/>
    <n v="0"/>
    <n v="0.2801355751313371"/>
    <n v="0.0001605157048564181"/>
    <n v="0.00322814917544882"/>
    <m/>
    <n v="0.0001961858614914157"/>
    <m/>
    <n v="1.260957872118208"/>
    <m/>
    <n v="0.000160515704856476"/>
    <m/>
    <m/>
    <n v="1.893443254488019"/>
    <n v="4.3439651802199"/>
    <n v="1.861017085385745"/>
    <n v="7.77880507828886"/>
    <m/>
    <n v="0.00964877736971104"/>
    <n v="0.02572849098153943"/>
    <n v="0.01434407417607658"/>
    <n v="0.0007524071556938138"/>
    <n v="0.008881869002063648"/>
    <x v="0"/>
    <m/>
    <x v="2"/>
    <x v="1"/>
    <s v="no root cause"/>
    <x v="1"/>
    <s v=""/>
  </r>
  <r>
    <s v="Banefo-Baleng"/>
    <s v="OST_193"/>
    <s v="OUEST"/>
    <s v="IHS"/>
    <s v="Gen Only"/>
    <s v="OUEST"/>
    <s v="Banefo-Baleng"/>
    <s v="NOKIA"/>
    <n v="0"/>
    <n v="0"/>
    <n v="0"/>
    <n v="0"/>
    <n v="0"/>
    <n v="1.604003180888009"/>
    <n v="0"/>
    <n v="0"/>
    <n v="1.62398552556486"/>
    <n v="0"/>
    <n v="0.08614342827302252"/>
    <n v="0"/>
    <n v="0.08819446227952299"/>
    <n v="0"/>
    <n v="0.03868428487043172"/>
    <n v="0.06443813796075128"/>
    <n v="0.01908353379961358"/>
    <n v="0.06288648614713782"/>
    <n v="0.02181230078217523"/>
    <n v="0.01562352860603861"/>
    <n v="0.964806396657849"/>
    <n v="0.006688154369023826"/>
    <n v="0.0289820022657684"/>
    <n v="0.03313757551372167"/>
    <m/>
    <n v="0.02407735572848446"/>
    <m/>
    <n v="0.03156808862179067"/>
    <m/>
    <n v="0.02505828503594116"/>
    <m/>
    <m/>
    <n v="0.007669083676480355"/>
    <n v="0.02051034006500536"/>
    <n v="2.471995360026025"/>
    <n v="1.527378272023467"/>
    <m/>
    <n v="0.03212097604963007"/>
    <n v="0.001124060285601237"/>
    <n v="0.02496931430650282"/>
    <n v="0"/>
    <n v="0.008543002514032469"/>
    <x v="0"/>
    <m/>
    <x v="2"/>
    <x v="1"/>
    <s v="no root cause"/>
    <x v="1"/>
    <s v=""/>
  </r>
  <r>
    <s v="Tho-II"/>
    <s v="SUD_164"/>
    <s v="CENTRE"/>
    <m/>
    <m/>
    <s v="SUD"/>
    <s v="Ambam"/>
    <s v="NOKIA"/>
    <n v="0.2097655531794593"/>
    <n v="0"/>
    <n v="0"/>
    <n v="0"/>
    <n v="0"/>
    <n v="0"/>
    <n v="0"/>
    <n v="0"/>
    <n v="0"/>
    <n v="0"/>
    <n v="0"/>
    <n v="0"/>
    <n v="0"/>
    <n v="0"/>
    <n v="0"/>
    <n v="0"/>
    <n v="0"/>
    <n v="0"/>
    <n v="0"/>
    <n v="0"/>
    <n v="0"/>
    <n v="0"/>
    <n v="0"/>
    <n v="0"/>
    <m/>
    <n v="0"/>
    <m/>
    <n v="0"/>
    <m/>
    <n v="0"/>
    <m/>
    <m/>
    <n v="0"/>
    <n v="0"/>
    <n v="0.2219562760354593"/>
    <n v="0"/>
    <m/>
    <n v="0.3051046847756917"/>
    <n v="0"/>
    <n v="0.02178174226737525"/>
    <n v="0.002188820816561399"/>
    <n v="0.008453827122445613"/>
    <x v="0"/>
    <m/>
    <x v="2"/>
    <x v="1"/>
    <s v="no root cause"/>
    <x v="1"/>
    <s v=""/>
  </r>
  <r>
    <s v="Yola-MTN-IHS"/>
    <s v="EST_106"/>
    <s v="CENTRE"/>
    <s v="IHS"/>
    <s v="Solar-Gen"/>
    <s v="EST"/>
    <s v="Yola"/>
    <s v="NOKIA"/>
    <n v="1.542876955081285"/>
    <n v="1.540950766623006"/>
    <n v="0.8937336095630263"/>
    <n v="0"/>
    <n v="0.567654872686077"/>
    <n v="12.62669118238821"/>
    <n v="13.86754030014297"/>
    <n v="13.86748679490801"/>
    <n v="13.8670587530284"/>
    <n v="5.796636290981383"/>
    <n v="0"/>
    <n v="9.273384641286636"/>
    <n v="0"/>
    <n v="0.5464846347233281"/>
    <n v="0"/>
    <n v="0"/>
    <n v="0"/>
    <n v="0"/>
    <n v="0"/>
    <n v="0"/>
    <n v="9.245704599738039"/>
    <n v="0.1715556183350311"/>
    <n v="0"/>
    <n v="0.001070104699043579"/>
    <m/>
    <n v="0"/>
    <m/>
    <n v="0"/>
    <m/>
    <n v="0"/>
    <m/>
    <m/>
    <n v="0"/>
    <n v="0.5563295979545307"/>
    <n v="1.370500923143654"/>
    <n v="5.860423641351876"/>
    <m/>
    <n v="0.01168197629789416"/>
    <n v="0.02397995275949306"/>
    <n v="0.0127502881565128"/>
    <n v="0.0007182068304340244"/>
    <n v="0.008079290477780389"/>
    <x v="0"/>
    <m/>
    <x v="2"/>
    <x v="1"/>
    <s v="no root cause"/>
    <x v="1"/>
    <s v=""/>
  </r>
  <r>
    <s v="White-Star-Hotel"/>
    <s v="SUO_236"/>
    <s v="SUD-OUEST"/>
    <s v="CAMUSAT"/>
    <s v="Medium Grid + GE"/>
    <s v="SUD-OUEST"/>
    <s v="Limbe"/>
    <s v="Huawei"/>
    <n v="0"/>
    <n v="0"/>
    <n v="0"/>
    <n v="0"/>
    <n v="3.208084712341588"/>
    <n v="1.64947721818436"/>
    <n v="7.943619037019915"/>
    <n v="5.227015577870805"/>
    <n v="0"/>
    <n v="0.706500957387004"/>
    <n v="10.10813764685403"/>
    <n v="0"/>
    <n v="2.745603296493196"/>
    <n v="3.864504769813345"/>
    <n v="11.87671751804197"/>
    <n v="9.810488024815013"/>
    <n v="0"/>
    <n v="0.3904812046810661"/>
    <n v="1.94589621981948"/>
    <n v="13.86855689960706"/>
    <n v="0"/>
    <n v="9.789192941304043"/>
    <n v="11.52322626579118"/>
    <n v="6.559723970059897"/>
    <m/>
    <n v="0.2017860760830173"/>
    <m/>
    <n v="0"/>
    <m/>
    <n v="0"/>
    <m/>
    <m/>
    <n v="0.3424335036940014"/>
    <n v="0"/>
    <n v="0"/>
    <n v="0"/>
    <m/>
    <n v="0"/>
    <n v="0.01498747047468317"/>
    <n v="0.005843882071734821"/>
    <n v="0.007524071556930135"/>
    <n v="0.008025785242828157"/>
    <x v="0"/>
    <m/>
    <x v="2"/>
    <x v="1"/>
    <s v="no root cause"/>
    <x v="1"/>
    <s v=""/>
  </r>
  <r>
    <s v="Nkoumadjap-IHS"/>
    <s v="SUD_050"/>
    <s v="CENTRE"/>
    <s v="IHS"/>
    <s v="Gird-Hybrid-Gen"/>
    <s v="SUD"/>
    <s v="Nkoumadjap"/>
    <s v="NOKIA"/>
    <n v="0"/>
    <n v="0"/>
    <n v="0"/>
    <n v="0.2868276452770495"/>
    <n v="0"/>
    <n v="0"/>
    <n v="0.04259685225699397"/>
    <n v="0"/>
    <n v="0"/>
    <n v="0"/>
    <n v="0"/>
    <n v="1.373443711066024"/>
    <n v="0"/>
    <n v="0"/>
    <n v="0"/>
    <n v="0"/>
    <n v="1.22683936729703"/>
    <n v="8.874110742995097"/>
    <n v="8.578529990040892"/>
    <n v="3.684031612319616"/>
    <n v="1.549957481173292"/>
    <n v="7.111345107338636"/>
    <n v="7.234674673903428"/>
    <n v="4.129730219471339"/>
    <m/>
    <n v="1.486785633773075"/>
    <m/>
    <n v="0.02778705201850271"/>
    <m/>
    <n v="0"/>
    <m/>
    <m/>
    <n v="0"/>
    <n v="0"/>
    <n v="0"/>
    <n v="0"/>
    <m/>
    <n v="0"/>
    <n v="0"/>
    <n v="0.02337552828693954"/>
    <n v="0"/>
    <n v="0.007847434459654285"/>
    <x v="0"/>
    <m/>
    <x v="2"/>
    <x v="1"/>
    <s v="no root cause"/>
    <x v="1"/>
    <s v=""/>
  </r>
  <r>
    <s v="Buea-Entree"/>
    <s v="SUO_033"/>
    <s v="SUD-OUEST"/>
    <s v="IHS"/>
    <s v="Grid-Gen"/>
    <s v="SUD-OUEST"/>
    <s v="Buea"/>
    <s v="Huawei"/>
    <n v="0"/>
    <n v="0.6231219662531782"/>
    <n v="0"/>
    <n v="0"/>
    <n v="0"/>
    <n v="0"/>
    <n v="0"/>
    <n v="0"/>
    <n v="0.01576620923257798"/>
    <n v="0"/>
    <n v="0.007740423989749824"/>
    <n v="0"/>
    <n v="0"/>
    <n v="0"/>
    <n v="0"/>
    <n v="0"/>
    <n v="1.740489622838032"/>
    <n v="0"/>
    <n v="0"/>
    <n v="0"/>
    <n v="0"/>
    <n v="0"/>
    <n v="0"/>
    <n v="0"/>
    <m/>
    <n v="0"/>
    <m/>
    <n v="0"/>
    <m/>
    <n v="0"/>
    <m/>
    <m/>
    <n v="0"/>
    <n v="0"/>
    <n v="0"/>
    <n v="0"/>
    <m/>
    <n v="0"/>
    <n v="0.01498747047468317"/>
    <n v="0.005259493864561339"/>
    <n v="0.007182068304342402"/>
    <n v="0.007651248598162845"/>
    <x v="0"/>
    <m/>
    <x v="8"/>
    <x v="4"/>
    <s v="Warehouse HUAWEI"/>
    <x v="3"/>
    <s v="(05/25/2026 cell huawei): 25/05/2026 : Probleme de vswr sur site || Jumpers (huawei 6m) faulty || Comande passe au HW SPMS      ;      (05/25/2026 cell huawei): 25/05/2026 : Probleme de vswr sur site || Jumpers (huawei 6m) faulty || Comande passe au HW SPMS      ;      (05/25/2026 cell huawei): 25/05/2026 : Probleme de vswr sur site || Jumpers (huawei 6m) faulty || Comande passe au HW SPMS"/>
  </r>
  <r>
    <s v="Indoor-K-Hotel"/>
    <s v="LIT_778"/>
    <s v="Douala"/>
    <m/>
    <m/>
    <s v="LITTORAL"/>
    <s v="Douala"/>
    <s v="ZTE"/>
    <n v="0.3648521971389679"/>
    <n v="0"/>
    <n v="0.04959935280067772"/>
    <n v="0.3051760250889615"/>
    <n v="0.3103838679576407"/>
    <n v="0.002817942374148537"/>
    <n v="0"/>
    <n v="0"/>
    <n v="0"/>
    <n v="0.07262443890843598"/>
    <n v="0"/>
    <n v="0"/>
    <n v="0"/>
    <n v="0"/>
    <n v="0"/>
    <n v="0"/>
    <n v="0"/>
    <n v="0"/>
    <n v="0"/>
    <n v="0"/>
    <n v="0"/>
    <n v="0"/>
    <n v="0"/>
    <n v="0.2829713525838035"/>
    <m/>
    <n v="0"/>
    <m/>
    <n v="0"/>
    <m/>
    <n v="0"/>
    <m/>
    <m/>
    <n v="0"/>
    <n v="3.538550878484618"/>
    <n v="0"/>
    <n v="0.6987248632406196"/>
    <m/>
    <n v="0"/>
    <n v="0"/>
    <n v="0.002337552828693954"/>
    <n v="0.01292772294781638"/>
    <n v="0.007526403049941109"/>
    <x v="0"/>
    <m/>
    <x v="2"/>
    <x v="1"/>
    <s v="no root cause"/>
    <x v="1"/>
    <s v=""/>
  </r>
  <r>
    <s v="Buea-Sandpit-IHS"/>
    <s v="SUO_180"/>
    <s v="SUD-OUEST"/>
    <s v="IHS"/>
    <s v="Grid-Gen"/>
    <s v="SUD-OUEST"/>
    <s v="Buea"/>
    <s v="Huawei"/>
    <n v="0"/>
    <n v="3.917653303199185"/>
    <n v="0"/>
    <n v="0"/>
    <n v="2.111762448171263"/>
    <n v="4.641757482885459"/>
    <n v="1.969135326867047"/>
    <n v="0"/>
    <n v="0"/>
    <n v="2.374883358587804"/>
    <n v="1.099158041622793"/>
    <n v="0.01036218050240687"/>
    <n v="5.270533168965251"/>
    <n v="0"/>
    <n v="0"/>
    <n v="0"/>
    <n v="1.727773211997728"/>
    <n v="0"/>
    <n v="0"/>
    <n v="0"/>
    <n v="0"/>
    <n v="0"/>
    <n v="0"/>
    <n v="0"/>
    <m/>
    <n v="0"/>
    <m/>
    <n v="0"/>
    <m/>
    <n v="0"/>
    <m/>
    <m/>
    <n v="0"/>
    <n v="0"/>
    <n v="0.1589462179646323"/>
    <n v="23.9933168394529"/>
    <m/>
    <n v="8.229122970724788"/>
    <n v="0.01436299253823803"/>
    <n v="0.005259493864561339"/>
    <n v="0.006840065051754668"/>
    <n v="0.007383722423401905"/>
    <x v="0"/>
    <m/>
    <x v="2"/>
    <x v="1"/>
    <s v="no root cause"/>
    <x v="1"/>
    <s v=""/>
  </r>
  <r>
    <s v="Zigague"/>
    <s v="EXN_034"/>
    <s v="EXTREME-NORD"/>
    <s v="IHS"/>
    <s v="Solar-Grid-Gen"/>
    <s v="EXTREME-NORD"/>
    <s v="Zigague"/>
    <s v="NOKIA"/>
    <n v="0.00677772198989218"/>
    <n v="0.05546700351189685"/>
    <n v="0.002496910964435361"/>
    <n v="0.003923944309937686"/>
    <n v="0.02086824928466848"/>
    <n v="2.628703370891344"/>
    <n v="9.024974862099363"/>
    <n v="9.123743272108673"/>
    <n v="7.440236967771105"/>
    <n v="6.167049681606862"/>
    <n v="6.77663334984667"/>
    <n v="0.002425570651166219"/>
    <n v="0.001337708287478733"/>
    <n v="0.002229513812464556"/>
    <n v="0.001248599996106341"/>
    <n v="0.003032138784951693"/>
    <n v="0.4932747525490818"/>
    <n v="0.003923944309937686"/>
    <n v="0.02060070762717259"/>
    <n v="0"/>
    <n v="0"/>
    <n v="0.006866505152197415"/>
    <n v="0.004369847072430426"/>
    <n v="0.00633181922739944"/>
    <m/>
    <n v="0.1384775295528097"/>
    <m/>
    <n v="0.006652484212388673"/>
    <m/>
    <n v="0.01285974174170449"/>
    <m/>
    <m/>
    <n v="1.992731135480962"/>
    <n v="8.888628496745454"/>
    <n v="5.332454129061704"/>
    <n v="6.721645728987473"/>
    <m/>
    <n v="0.1089044976259094"/>
    <n v="0"/>
    <n v="0.02178300285781844"/>
    <n v="0"/>
    <n v="0.007312805304883776"/>
    <x v="1"/>
    <m/>
    <x v="2"/>
    <x v="1"/>
    <s v="no root cause"/>
    <x v="1"/>
    <s v=""/>
  </r>
  <r>
    <s v="Mora-Kourgui"/>
    <s v="EXN_238"/>
    <s v="EXTREME-NORD"/>
    <s v="CAMUSAT"/>
    <s v="Bad Grid + Solar + GE"/>
    <s v="EXTREME-NORD"/>
    <s v="Mora"/>
    <s v="Huawei"/>
    <n v="0"/>
    <n v="0"/>
    <n v="1.88377664203999"/>
    <n v="0"/>
    <n v="0.002407735572848448"/>
    <n v="0"/>
    <n v="0"/>
    <n v="0.00205103400650053"/>
    <n v="0"/>
    <n v="0"/>
    <n v="4.886008880442196"/>
    <n v="0"/>
    <n v="6.721238439302235"/>
    <n v="27.91674870802693"/>
    <n v="26.84999700370684"/>
    <n v="26.82948666364184"/>
    <n v="21.46093190424418"/>
    <n v="6.739786920752326"/>
    <n v="15.53586919610881"/>
    <n v="8.372766691493094"/>
    <n v="0.06538339711157344"/>
    <n v="0.009791457996250355"/>
    <n v="1.886844275510583"/>
    <n v="0.004619285284205538"/>
    <m/>
    <n v="0.01052269620726358"/>
    <m/>
    <n v="0"/>
    <m/>
    <n v="0"/>
    <m/>
    <m/>
    <n v="2.275827333612987"/>
    <n v="0.008650012983937016"/>
    <n v="0"/>
    <n v="0"/>
    <m/>
    <n v="0"/>
    <n v="0"/>
    <n v="0.02172861606672311"/>
    <n v="0"/>
    <n v="0.007294547031814928"/>
    <x v="1"/>
    <m/>
    <x v="2"/>
    <x v="1"/>
    <s v="no root cause"/>
    <x v="1"/>
    <s v=""/>
  </r>
  <r>
    <s v="LAF-CAMTEL"/>
    <s v="EXN_107"/>
    <s v="EXTREME-NORD"/>
    <s v="CAMUSAT"/>
    <s v="Bad Grid + Solar + GE"/>
    <s v="EXTREME-NORD"/>
    <s v="Laf"/>
    <s v="NOKIA"/>
    <n v="0"/>
    <n v="0"/>
    <n v="0"/>
    <n v="0"/>
    <n v="0"/>
    <n v="0.1027577513410202"/>
    <n v="0.022293847896745"/>
    <n v="0"/>
    <n v="0"/>
    <n v="0"/>
    <n v="0"/>
    <n v="0"/>
    <n v="0.01152713838379187"/>
    <n v="0.00807968270706208"/>
    <n v="0.9523770874307376"/>
    <n v="0.005618374807410645"/>
    <n v="0"/>
    <n v="0.005850112124569965"/>
    <n v="0"/>
    <n v="0"/>
    <n v="0"/>
    <n v="0.002764437139196341"/>
    <n v="0.01904880808980208"/>
    <n v="0"/>
    <m/>
    <n v="0.03196223053745333"/>
    <m/>
    <n v="0"/>
    <m/>
    <n v="0.03110560488250003"/>
    <m/>
    <m/>
    <n v="0.3410780377418793"/>
    <n v="0"/>
    <n v="0.0003567222099943973"/>
    <n v="0"/>
    <m/>
    <n v="0.02373977430744309"/>
    <n v="0"/>
    <n v="0.02125171010518863"/>
    <n v="0"/>
    <n v="0.007134444199886577"/>
    <x v="1"/>
    <m/>
    <x v="2"/>
    <x v="1"/>
    <s v="no root cause"/>
    <x v="1"/>
    <s v=""/>
  </r>
  <r>
    <s v="Molyko-IHS"/>
    <s v="SUO_183"/>
    <s v="SUD-OUEST"/>
    <s v="IHS"/>
    <s v="Grid-Gen"/>
    <s v="SUD-OUEST"/>
    <s v="Buea"/>
    <s v="Huawei"/>
    <n v="11.76259085188895"/>
    <n v="15.46961188015969"/>
    <n v="0"/>
    <n v="0.008025785242828159"/>
    <n v="0.008007950164510761"/>
    <n v="0"/>
    <n v="0"/>
    <n v="0.008560837592350037"/>
    <n v="0"/>
    <n v="0"/>
    <n v="0.007383722423401905"/>
    <n v="0"/>
    <n v="0.008061455399462951"/>
    <n v="0"/>
    <n v="0"/>
    <n v="0"/>
    <n v="1.681865720408751"/>
    <n v="0"/>
    <n v="0"/>
    <n v="0"/>
    <n v="2.303471705004951"/>
    <n v="0"/>
    <n v="0"/>
    <n v="0"/>
    <m/>
    <n v="0"/>
    <m/>
    <n v="0"/>
    <m/>
    <n v="0"/>
    <m/>
    <m/>
    <n v="0.4493369631284724"/>
    <n v="0.3723964352672265"/>
    <n v="0.1447316605456678"/>
    <n v="1.649441548027726"/>
    <m/>
    <n v="0"/>
    <n v="0.0137385146017929"/>
    <n v="0.005259493864561339"/>
    <n v="0.006498061799166935"/>
    <n v="0.007116196248640967"/>
    <x v="0"/>
    <m/>
    <x v="2"/>
    <x v="1"/>
    <s v="no root cause"/>
    <x v="1"/>
    <s v=""/>
  </r>
  <r>
    <s v="Blangoua"/>
    <s v="EXN_041"/>
    <s v="EXTREME-NORD"/>
    <s v="IHS"/>
    <s v="Solar-Gen"/>
    <s v="EXTREME-NORD"/>
    <s v="Blangoua"/>
    <s v="NOKIA"/>
    <n v="2.87814449996455"/>
    <n v="0.00633181922739944"/>
    <n v="0.156058957390524"/>
    <n v="0.003834763757439172"/>
    <n v="0.01498233281976178"/>
    <n v="0.1710871719597226"/>
    <n v="0.2072801365376496"/>
    <n v="0.1030127810839016"/>
    <n v="0.03792862560281364"/>
    <n v="0.04797913724423736"/>
    <n v="0.6821059586022932"/>
    <n v="19.15799525158874"/>
    <n v="0"/>
    <n v="0.2462715610543934"/>
    <n v="0.002764757134234847"/>
    <n v="0.009773772584369502"/>
    <n v="0.03228274585600607"/>
    <n v="0.06921897629304558"/>
    <n v="0.05957260906905305"/>
    <n v="0.00638519543956139"/>
    <n v="0"/>
    <n v="0.08250507229627334"/>
    <n v="0.004459027624929111"/>
    <n v="0.004726569282424823"/>
    <m/>
    <n v="0.02782433237955769"/>
    <m/>
    <n v="0.02479075886118031"/>
    <m/>
    <n v="0.1484287342780876"/>
    <m/>
    <m/>
    <n v="4.428521286522673"/>
    <n v="3.221478856157953"/>
    <n v="0.08607493678295736"/>
    <n v="1.993147275609624"/>
    <m/>
    <n v="2.215124465291429"/>
    <n v="0.0269774468544297"/>
    <n v="0.008766330418390207"/>
    <n v="0"/>
    <n v="0.006795335149010695"/>
    <x v="1"/>
    <m/>
    <x v="4"/>
    <x v="0"/>
    <s v="Defaut GE &amp; Power Cabinet"/>
    <x v="0"/>
    <s v="{05-25-2026 ticket}: INC-20260525-00021487...Grid Outage"/>
  </r>
  <r>
    <s v="EST_053_N_Mbele-Mbeke"/>
    <s v="EST_053"/>
    <s v="CENTRE"/>
    <s v="IHS"/>
    <s v="Solar-Gen"/>
    <s v="EST"/>
    <s v="Mbele-Mbeke"/>
    <s v="NOKIA"/>
    <n v="0.01194950247265535"/>
    <n v="0"/>
    <n v="0.007365842138638411"/>
    <n v="0.00683083499556263"/>
    <n v="0.006723824525658271"/>
    <n v="0.006848670073879972"/>
    <n v="0.006652484212388734"/>
    <n v="0.006902175308832339"/>
    <n v="0.006955637607981606"/>
    <n v="0.006795164838927862"/>
    <n v="0.006741659603975667"/>
    <n v="2.681291269667338"/>
    <n v="1.235390316295601"/>
    <n v="0.007098361170323628"/>
    <n v="0.006759450920801898"/>
    <n v="0.006920010387149652"/>
    <n v="0.006723824525658271"/>
    <n v="0.006795164838927754"/>
    <n v="0.006759451127223953"/>
    <n v="0.00661681405575388"/>
    <n v="0.01993961755884858"/>
    <n v="0.006705989447340821"/>
    <n v="0.006723824525658271"/>
    <n v="0.006902175308832339"/>
    <m/>
    <n v="0.01558781551360124"/>
    <m/>
    <n v="0.006688154369023417"/>
    <m/>
    <n v="0.006777286411963335"/>
    <m/>
    <m/>
    <n v="0.006812999917245096"/>
    <n v="0.2566086115693799"/>
    <n v="0.006866505152197402"/>
    <n v="0"/>
    <m/>
    <n v="0.006688154369023471"/>
    <n v="0.009367169046676978"/>
    <n v="0.005312620065213625"/>
    <n v="0.007045267003307206"/>
    <n v="0.006795164838927838"/>
    <x v="0"/>
    <m/>
    <x v="2"/>
    <x v="1"/>
    <s v="no root cause"/>
    <x v="1"/>
    <s v=""/>
  </r>
  <r>
    <s v="SONGKOLONG-IHS"/>
    <s v="NRO_094"/>
    <s v="NORD-OUEST"/>
    <s v="IHS"/>
    <s v="Gen Only"/>
    <s v="NORD-OUEST"/>
    <s v="Songkolong"/>
    <s v="NOKIA"/>
    <n v="0.2798549256552788"/>
    <n v="0"/>
    <n v="0"/>
    <n v="0"/>
    <n v="0"/>
    <n v="0"/>
    <n v="3.043917372510093"/>
    <n v="4.137549338506022"/>
    <n v="3.07112893769772"/>
    <n v="0"/>
    <n v="0.004993821928870892"/>
    <n v="3.087311293306168"/>
    <n v="0.9723922837031734"/>
    <n v="1.032437013637414"/>
    <n v="0"/>
    <n v="0.07590609331883688"/>
    <n v="0.5737366343923087"/>
    <n v="0"/>
    <n v="0.00115928009063063"/>
    <n v="0.04423099422714197"/>
    <n v="1.757932329432445"/>
    <n v="0.03295922473054754"/>
    <n v="0.002675261747609291"/>
    <n v="0"/>
    <m/>
    <n v="0"/>
    <m/>
    <n v="0.3670637468503252"/>
    <m/>
    <n v="0.6560098506704565"/>
    <m/>
    <m/>
    <n v="1.524239298239606"/>
    <n v="0"/>
    <n v="0"/>
    <n v="0"/>
    <m/>
    <n v="0.8320599087414713"/>
    <n v="0"/>
    <n v="0.0196566942412897"/>
    <n v="0"/>
    <n v="0.006598978977436434"/>
    <x v="1"/>
    <m/>
    <x v="2"/>
    <x v="1"/>
    <s v="no root cause"/>
    <x v="1"/>
    <s v=""/>
  </r>
  <r>
    <s v="Endoum-Carrefour"/>
    <s v="SUD_108"/>
    <s v="CENTRE"/>
    <m/>
    <m/>
    <s v="SUD"/>
    <s v="Minton"/>
    <s v="NOKIA"/>
    <n v="0"/>
    <n v="0"/>
    <n v="0"/>
    <n v="0"/>
    <n v="0"/>
    <n v="0"/>
    <n v="0"/>
    <n v="0"/>
    <n v="0"/>
    <n v="0"/>
    <n v="0"/>
    <n v="0.02746602060878969"/>
    <n v="0"/>
    <n v="0"/>
    <n v="0"/>
    <n v="0"/>
    <n v="0"/>
    <n v="0"/>
    <n v="0"/>
    <n v="0"/>
    <n v="0"/>
    <n v="0"/>
    <n v="0.001337630873804731"/>
    <n v="0"/>
    <m/>
    <n v="0"/>
    <m/>
    <n v="0"/>
    <m/>
    <n v="0"/>
    <m/>
    <m/>
    <n v="0"/>
    <n v="0"/>
    <n v="0"/>
    <n v="0"/>
    <m/>
    <n v="0"/>
    <n v="0"/>
    <n v="0.01460970517933696"/>
    <n v="0"/>
    <n v="0.004904646537283843"/>
    <x v="0"/>
    <m/>
    <x v="2"/>
    <x v="1"/>
    <s v="no root cause"/>
    <x v="1"/>
    <s v=""/>
  </r>
  <r>
    <s v="Mantoum-Village"/>
    <s v="OST_200"/>
    <s v="OUEST"/>
    <s v="IHS"/>
    <s v="Hybrid-Gen"/>
    <s v="OUEST"/>
    <s v="Mantoum"/>
    <s v="NOKIA"/>
    <n v="0"/>
    <n v="0"/>
    <n v="0"/>
    <n v="0"/>
    <n v="0"/>
    <n v="0.001248455482217681"/>
    <n v="2.769128399258652"/>
    <n v="4.14490483113774"/>
    <n v="2.766111452909371"/>
    <n v="0"/>
    <n v="0"/>
    <n v="0.0008917539158697954"/>
    <n v="0"/>
    <n v="0"/>
    <n v="0"/>
    <n v="0.02120590811938349"/>
    <n v="1.211180168534356"/>
    <n v="0"/>
    <n v="0"/>
    <n v="0.0209205468663054"/>
    <n v="0"/>
    <n v="0.02946354938033807"/>
    <n v="0.1177650221297652"/>
    <n v="0.098752828643421"/>
    <m/>
    <n v="0"/>
    <m/>
    <n v="0.01913703903456579"/>
    <m/>
    <n v="0"/>
    <m/>
    <m/>
    <n v="0.004458769579348933"/>
    <n v="0"/>
    <n v="0.01617641603387808"/>
    <n v="0.008275476339271825"/>
    <m/>
    <n v="0.8318102176450277"/>
    <n v="0.007618630824630609"/>
    <n v="0.01115650213694851"/>
    <n v="0"/>
    <n v="0.004833306224014364"/>
    <x v="0"/>
    <m/>
    <x v="2"/>
    <x v="1"/>
    <s v="no root cause"/>
    <x v="1"/>
    <s v=""/>
  </r>
  <r>
    <s v="SFID-Ndeng-MTN-IHS"/>
    <s v="EST_102"/>
    <s v="CENTRE"/>
    <s v="IHS"/>
    <s v="Hybrid-Gen"/>
    <s v="EST"/>
    <s v="Deng"/>
    <s v="NOKIA"/>
    <n v="0.005885575844740664"/>
    <n v="0"/>
    <n v="0"/>
    <n v="0"/>
    <n v="1.706067921685458"/>
    <n v="6.857177406237426"/>
    <n v="0"/>
    <n v="0"/>
    <n v="0"/>
    <n v="0"/>
    <n v="0"/>
    <n v="0"/>
    <n v="0"/>
    <n v="0.5495165980372854"/>
    <n v="0"/>
    <n v="0"/>
    <n v="0"/>
    <n v="0"/>
    <n v="0"/>
    <n v="0"/>
    <n v="0"/>
    <n v="0.3856300633787342"/>
    <n v="0.004204404383587602"/>
    <n v="0.004451791751241551"/>
    <m/>
    <n v="0"/>
    <m/>
    <n v="0"/>
    <m/>
    <n v="0"/>
    <m/>
    <m/>
    <n v="0"/>
    <n v="0.632485382369811"/>
    <n v="2.76525222483741"/>
    <n v="5.867463663611106"/>
    <m/>
    <n v="0.01148579043640305"/>
    <n v="0"/>
    <n v="0.0140784431728157"/>
    <n v="0"/>
    <n v="0.004726295754109913"/>
    <x v="0"/>
    <m/>
    <x v="7"/>
    <x v="3"/>
    <s v="Sites strategiques, MLL, Pylone, etc."/>
    <x v="0"/>
    <s v="(05/25/2026 cell nokia): 25/05/2026:Inflitration d'eau au niveau du jumpeur||  Commannde d'une FO de 50m fait ce jour_x000a_23/05/2026 : En attente du feedback du PM _x000a_22/05/2026:Escalade faite ce jour au PM || En attente du Feedback du PM _x000a_18/05/2026 ; Esclade faite ||FeedCK RM. ||ETA 20/05/2026 _x000a_16/05/2026 : Intervention prevue pour le 18052026_x000a_15/05/2026 : Mail d'escade envoye au Chef du RM || Feedback attendu|| On site intervention postponed on 16/05/20126 FME is in NKAN Site for CM_x000a_14/05/2026 : Feedback RM ; Rigger actuelement sur d'autres sites donc intervention aapres ces sites _x000a_13/05/2026 : Feedback RM : 12/05/2026  en attente disponibilité de Rigger qui est mobilisé sur les point de Akonolinga New et Ayos Efoulan ETA ASAP  ||  ETA 14/05/2026_x000a_12/05/2026 : Feedback nouvel analyse BO RAN :  Remplacer les SFP des deux cotes ou aussi la FO. ETA attendu du RM._x000a_11/05/2026: Check and replace SFP|| Point envoyer chez l'expert Mohan BO du GNOC || En attente du feedback du BO RAN apres nouvelle analyse       ;      (05/25/2026 cell nokia): 25/05/2026:Inflitration d'eau au niveau du jumpeur||  Commannde d'une FO de 50m fait ce jour_x000a_23/05/2026 : En attente du feedback du PM _x000a_22/05/2026:Escalade faite ce jour au PM || En attente du Feedback du PM _x000a_18/05/2026 ; Esclade faite ||FeedCK RM. ||ETA 20/05/2026 _x000a_16/05/2026 : Intervention prevue pour le 18052026_x000a_15/05/2026 : Mail d'escade envoye au Chef du RM || Feedback attendu|| On site intervention postponed on 16/05/20126 FME is in NKAN Site for CM_x000a_14/05/2026 : Feedback RM ; Rigger actuelement sur d'autres sites donc intervention aapres ces sites _x000a_13/05/2026 : Feedback RM : 12/05/2026  en attente disponibilité de Rigger qui est mobilisé sur les point de Akonolinga New et Ayos Efoulan ETA ASAP  ||  ETA 14/05/2026_x000a_12/05/2026 : Feedback nouvel analyse BO RAN :  Remplacer les SFP des deux cotes ou aussi la FO. ETA attendu du RM._x000a_11/05/2026: Check and replace SFP|| Point envoyer chez l'expert Mohan BO du GNOC || En attente du feedback du BO RAN apres nouvelle analyse       ;      (05/25/2026 cell nokia): 25/05/2026:Inflitration d'eau au niveau du jumpeur||  Commannde d'une FO de 50m fait ce jour_x000a_23/05/2026 : En attente du feedback du PM _x000a_22/05/2026:Escalade faite ce jour au PM || En attente du Feedback du PM _x000a_18/05/2026 ; Esclade faite ||FeedCK RM. ||ETA 20/05/2026 _x000a_16/05/2026 : Intervention prevue pour le 18052026_x000a_15/05/2026 : Mail d'escade envoye au Chef du RM || Feedback attendu|| On site intervention postponed on 16/05/20126 FME is in NKAN Site for CM_x000a_14/05/2026 : Feedback RM ; Rigger actuelement sur d'autres sites donc intervention aapres ces sites _x000a_13/05/2026 : Feedback RM : 12/05/2026  en attente disponibilité de Rigger qui est mobilisé sur les point de Akonolinga New et Ayos Efoulan ETA ASAP  ||  ETA 14/05/2026_x000a_12/05/2026 : Feedback nouvel analyse BO RAN :  Remplacer les SFP des deux cotes ou aussi la FO. ETA attendu du RM._x000a_11/05/2026: Check and replace SFP|| Point envoyer chez l'expert Mohan BO du GNOC || En attente du feedback du BO RAN apres nouvelle analyse "/>
  </r>
  <r>
    <s v="Goulfey"/>
    <s v="EXN_021"/>
    <s v="EXTREME-NORD"/>
    <s v="IHS"/>
    <s v="Solar-Gen"/>
    <s v="EXTREME-NORD"/>
    <s v="Goulfey"/>
    <s v="NOKIA"/>
    <n v="0.003745583204940487"/>
    <n v="0.689678211075239"/>
    <n v="0.00151598165697849"/>
    <n v="0.1624865628125485"/>
    <n v="0.01105838850982426"/>
    <n v="0.484544158300508"/>
    <n v="0.1549263364992378"/>
    <n v="0.1202966885316287"/>
    <n v="13.8147922191485"/>
    <n v="23.16551727823276"/>
    <n v="13.71696670753598"/>
    <n v="1.38209372404996"/>
    <n v="0"/>
    <n v="0.001248527734980219"/>
    <n v="0.001605342852136578"/>
    <n v="0.00231869436496324"/>
    <n v="0.07635653252262906"/>
    <n v="0.00169443049747313"/>
    <n v="0.03310398520446282"/>
    <n v="0.002318694364963069"/>
    <n v="1.187620030077078"/>
    <n v="0.01373301030439483"/>
    <n v="0.007937069172373886"/>
    <n v="0.005796735912407844"/>
    <m/>
    <n v="0.04808633350695954"/>
    <m/>
    <n v="0.01280558623189026"/>
    <m/>
    <n v="0.02109982661356784"/>
    <m/>
    <m/>
    <n v="3.870818387537704"/>
    <n v="10.72796012361849"/>
    <n v="0.06996993331511135"/>
    <n v="0.004637657128394273"/>
    <m/>
    <n v="0.009453138564849646"/>
    <n v="0"/>
    <n v="0.01381361156837271"/>
    <n v="0"/>
    <n v="0.00463738872992631"/>
    <x v="1"/>
    <m/>
    <x v="2"/>
    <x v="1"/>
    <s v="no root cause"/>
    <x v="1"/>
    <s v=""/>
  </r>
  <r>
    <s v="Yokadouma"/>
    <s v="EST_013"/>
    <s v="CENTRE"/>
    <s v="CAMUSAT"/>
    <s v="Medium Grid + Solar + GE"/>
    <s v="EST"/>
    <s v="Yokadouma"/>
    <s v="NOKIA"/>
    <n v="0.007151949182465313"/>
    <n v="0"/>
    <n v="0.1221508602218403"/>
    <n v="0.01449991867204291"/>
    <n v="5.689733489010605"/>
    <n v="10.38508074296656"/>
    <n v="9.244688000273946"/>
    <n v="9.244634495038994"/>
    <n v="9.244206453159377"/>
    <n v="7.688017192579437"/>
    <n v="4.65729183609991"/>
    <n v="0"/>
    <n v="4.62140765852531"/>
    <n v="4.982728510157434"/>
    <n v="4.627507255309859"/>
    <n v="3.58144415635411"/>
    <n v="0.0001426806265392378"/>
    <n v="0.0001961858614914447"/>
    <n v="0.0001783507831740906"/>
    <n v="5.537384737449597"/>
    <n v="1.952316848013743"/>
    <n v="6.081369334509021"/>
    <n v="9.244259958394329"/>
    <n v="6.820961387416184"/>
    <m/>
    <n v="0.0001248455482217679"/>
    <m/>
    <n v="3.668530847860253"/>
    <m/>
    <n v="7.134031326953204e-05"/>
    <m/>
    <m/>
    <n v="0.0001426806265392378"/>
    <n v="0.2708970045629265"/>
    <n v="1.381523001543804"/>
    <n v="5.828664109829839"/>
    <m/>
    <n v="0.00711619624864107"/>
    <n v="0.0274770292035858"/>
    <n v="0"/>
    <n v="0.000718206830434498"/>
    <n v="0.004298253874492548"/>
    <x v="0"/>
    <m/>
    <x v="2"/>
    <x v="1"/>
    <s v="no root cause"/>
    <x v="1"/>
    <s v=""/>
  </r>
  <r>
    <s v="Ndu-Mbakfu-IHS"/>
    <s v="NRO_089"/>
    <s v="NORD-OUEST"/>
    <s v="IHS"/>
    <s v="Hybrid-Gen"/>
    <s v="NORD-OUEST"/>
    <s v="Ndu-Mbakfu"/>
    <s v="NOKIA"/>
    <n v="0.2427736725709155"/>
    <n v="1.533824479269927"/>
    <n v="0.5110950847479513"/>
    <n v="4.784416780897424"/>
    <n v="9.296365205869778"/>
    <n v="9.296473419098129"/>
    <n v="3.424332269427862"/>
    <n v="9.296527525712303"/>
    <n v="9.296365205869778"/>
    <n v="9.296473419098129"/>
    <n v="9.296473419098129"/>
    <n v="0"/>
    <n v="9.296419312483954"/>
    <n v="9.244313463629283"/>
    <n v="9.244420474099186"/>
    <n v="3.90816504153433"/>
    <n v="0.001070104699043579"/>
    <n v="9.24452748456909"/>
    <n v="9.24452748456909"/>
    <n v="9.24452748456909"/>
    <n v="0"/>
    <n v="9.244366968864234"/>
    <n v="5.519742718294225"/>
    <n v="0"/>
    <m/>
    <n v="0"/>
    <m/>
    <n v="0"/>
    <m/>
    <n v="0"/>
    <m/>
    <m/>
    <n v="0"/>
    <n v="0.03215664620626482"/>
    <n v="0.162085191748494"/>
    <n v="0.9225907662805727"/>
    <m/>
    <n v="0.00240773557284831"/>
    <n v="0"/>
    <n v="0.01115650213694851"/>
    <n v="0"/>
    <n v="0.003745366446653213"/>
    <x v="1"/>
    <m/>
    <x v="2"/>
    <x v="1"/>
    <s v="no root cause"/>
    <x v="1"/>
    <s v=""/>
  </r>
  <r>
    <s v="CTR_1054_Z_AKOK-Ndoe-MTN-IHS"/>
    <s v="CTR_1054"/>
    <s v="Yaounde"/>
    <s v="IHS"/>
    <s v=""/>
    <s v="CTR"/>
    <s v="Yaoundé"/>
    <s v="ZTE"/>
    <n v="0"/>
    <n v="0"/>
    <n v="0"/>
    <n v="0"/>
    <n v="0"/>
    <n v="0"/>
    <n v="0"/>
    <n v="0"/>
    <n v="0"/>
    <n v="0"/>
    <n v="0"/>
    <n v="0"/>
    <n v="0"/>
    <n v="0"/>
    <n v="0"/>
    <n v="0"/>
    <n v="0"/>
    <n v="0"/>
    <n v="0"/>
    <n v="0.004512274814301128"/>
    <n v="0"/>
    <n v="0"/>
    <n v="0.002425570651165995"/>
    <n v="0"/>
    <m/>
    <n v="0"/>
    <m/>
    <n v="0"/>
    <m/>
    <n v="0"/>
    <m/>
    <m/>
    <n v="0"/>
    <n v="0"/>
    <n v="0"/>
    <n v="0"/>
    <m/>
    <n v="0"/>
    <n v="0"/>
    <n v="0"/>
    <n v="0.007079467328566204"/>
    <n v="0.003691861211701016"/>
    <x v="0"/>
    <m/>
    <x v="2"/>
    <x v="1"/>
    <s v="no root cause"/>
    <x v="1"/>
    <s v=""/>
  </r>
  <r>
    <s v="Ngd-Dang-MTN-IHS"/>
    <s v="ADM_083"/>
    <s v="Ngaoundere"/>
    <s v="IHS"/>
    <s v="Grid-Gen"/>
    <s v="ADAMAOUA"/>
    <s v="Ngaoundere"/>
    <s v="Huawei"/>
    <n v="0"/>
    <n v="0.004191243404588037"/>
    <n v="0"/>
    <n v="0"/>
    <n v="0"/>
    <n v="1.792157844723527"/>
    <n v="0"/>
    <n v="0"/>
    <n v="0.04943883709582145"/>
    <n v="0"/>
    <n v="0"/>
    <n v="19.52368569740863"/>
    <n v="0"/>
    <n v="0.5364791557872689"/>
    <n v="0"/>
    <n v="0.04735213293268614"/>
    <n v="3.999962189633967"/>
    <n v="1.436241021821575"/>
    <n v="9.498927041688425"/>
    <n v="0.8792515259693008"/>
    <n v="0"/>
    <n v="0.001426806265391673"/>
    <n v="0.606392662791461"/>
    <n v="0.0005350523495218772"/>
    <m/>
    <n v="0"/>
    <m/>
    <n v="0.8498236467455975"/>
    <m/>
    <n v="0.0008917539158697954"/>
    <m/>
    <m/>
    <n v="0.003549180585161786"/>
    <n v="0.9273170620346829"/>
    <n v="0.00410206801300106"/>
    <n v="3.94021467727069"/>
    <m/>
    <n v="0.001515981656978652"/>
    <n v="0"/>
    <n v="0.01035960912716627"/>
    <n v="0"/>
    <n v="0.003477840271892201"/>
    <x v="0"/>
    <m/>
    <x v="2"/>
    <x v="1"/>
    <s v="no root cause"/>
    <x v="1"/>
    <s v=""/>
  </r>
  <r>
    <s v="Mora-IHS"/>
    <s v="EXN_106"/>
    <s v="EXTREME-NORD"/>
    <s v="IHS"/>
    <s v="Grid-Gen"/>
    <s v="EXTREME-NORD"/>
    <s v="Mora"/>
    <s v="Huawei"/>
    <n v="0"/>
    <n v="0"/>
    <n v="1.908478225509584"/>
    <n v="0"/>
    <n v="0"/>
    <n v="0"/>
    <n v="0"/>
    <n v="0"/>
    <n v="0"/>
    <n v="0"/>
    <n v="0"/>
    <n v="0"/>
    <n v="1.345282122402856"/>
    <n v="5.799432416467627"/>
    <n v="27.73711379921413"/>
    <n v="27.73711379921413"/>
    <n v="15.09876709670608"/>
    <n v="1.391635490949768"/>
    <n v="1.000387377901054"/>
    <n v="0"/>
    <n v="0"/>
    <n v="0"/>
    <n v="1.799737753008421"/>
    <n v="0"/>
    <m/>
    <n v="0.003121138705544283"/>
    <m/>
    <n v="0"/>
    <m/>
    <n v="0"/>
    <m/>
    <m/>
    <n v="2.187490190706925"/>
    <n v="0"/>
    <n v="0"/>
    <n v="0"/>
    <m/>
    <n v="0"/>
    <n v="0"/>
    <n v="0.01035960912716627"/>
    <n v="0"/>
    <n v="0.003477840271892201"/>
    <x v="1"/>
    <m/>
    <x v="2"/>
    <x v="1"/>
    <s v="no root cause"/>
    <x v="1"/>
    <s v=""/>
  </r>
  <r>
    <s v="Ngd-Dang"/>
    <s v="ADM_017"/>
    <s v="Ngaoundere"/>
    <s v="IHS"/>
    <s v="Grid-Gen"/>
    <s v="ADAMAOUA"/>
    <s v="Ngaoundere"/>
    <s v="Huawei"/>
    <n v="0"/>
    <n v="0.005546709356710127"/>
    <n v="0"/>
    <n v="0"/>
    <n v="0"/>
    <n v="0"/>
    <n v="0"/>
    <n v="0"/>
    <n v="0.04826172192687332"/>
    <n v="0"/>
    <n v="0"/>
    <n v="0"/>
    <n v="0"/>
    <n v="0"/>
    <n v="0"/>
    <n v="0.04913564076442573"/>
    <n v="4.110718025984996"/>
    <n v="1.42388131254762"/>
    <n v="9.503867358382342"/>
    <n v="0.853087466077681"/>
    <n v="0"/>
    <n v="0.000802578524282816"/>
    <n v="0.0003567015663479182"/>
    <n v="0.0008025785242828158"/>
    <m/>
    <n v="0.0005350523495218772"/>
    <m/>
    <n v="0.8496096258057889"/>
    <m/>
    <n v="0.001070104699043754"/>
    <m/>
    <m/>
    <n v="0.003299489488718243"/>
    <n v="0.4789431931353497"/>
    <n v="0.00410206801300106"/>
    <n v="1.719319384875283"/>
    <m/>
    <n v="0.002051034006500529"/>
    <n v="0"/>
    <n v="0.009562716117384251"/>
    <n v="0"/>
    <n v="0.003210314097131263"/>
    <x v="0"/>
    <m/>
    <x v="2"/>
    <x v="1"/>
    <s v="no root cause"/>
    <x v="1"/>
    <s v=""/>
  </r>
  <r>
    <s v="Babessi"/>
    <s v="NRO_024"/>
    <s v="NORD-OUEST"/>
    <s v="IHS"/>
    <s v="Grid-Gen"/>
    <s v="NORD-OUEST"/>
    <s v="Babessi"/>
    <s v="NOKIA"/>
    <n v="0.3440372224925805"/>
    <n v="1.236704625617352"/>
    <n v="0.4838063542372981"/>
    <n v="0.003210314097131252"/>
    <n v="2.064656555702779"/>
    <n v="0.001515981656978832"/>
    <n v="0.01105774855678554"/>
    <n v="0"/>
    <n v="0.6822150223248843"/>
    <n v="0"/>
    <n v="0.7734887252778678"/>
    <n v="1.696508319707334"/>
    <n v="0.7063625564786252"/>
    <n v="0.002675261747609291"/>
    <n v="0.006063926627914473"/>
    <n v="0"/>
    <n v="0.001515981656978832"/>
    <n v="0.08262991784449526"/>
    <n v="0.004012892621414192"/>
    <n v="0"/>
    <n v="0.1193701791783309"/>
    <n v="0.001515981656978832"/>
    <n v="0"/>
    <n v="0"/>
    <m/>
    <n v="0"/>
    <m/>
    <n v="0"/>
    <m/>
    <n v="0"/>
    <m/>
    <m/>
    <n v="0"/>
    <n v="0"/>
    <n v="0"/>
    <n v="0"/>
    <m/>
    <n v="0"/>
    <n v="0"/>
    <n v="0.009562716117384219"/>
    <n v="0"/>
    <n v="0.003210314097131252"/>
    <x v="1"/>
    <m/>
    <x v="13"/>
    <x v="8"/>
    <s v="ACCESS-ISSUE"/>
    <x v="6"/>
    <s v="(05/25/2026 cell nokia): _x000a_22/05/2026: Feedback PM||Intevenion planned 24.05.2025 while waiting acces to be granted by local resident_x000a_19/05/2026:AZHA power connector founded faulty. Spare part reauest to SPM awaiting feedback PM_x000a_18/05/2026 : En attente du feedback du SPMS _x000a_16/05/2026 :Intervention Postponed after 20th May due insecurity_x000a_15/05/2026: Spare parti de Bertoua, actuellement in transit Bafoussam. Expedition vers Bamenda ce jour ETD = 16.Mai.2026_x000a_13/05/2026 : SPARE cdee || ETD attendu de HW SPMS_x000a_12/05/2026 : Feedback PM : Spare FMRF faulty and request done to SPM ETD: Not yet shared_x000a_12'/05/2026 : Spare FMRF faulty and request done to SPM awaiting || Mail de cde adresse a SPMS HW attendu  || Cde envoye a HW SPMS || SPARE disponible a Bafoussam || Expedition en cours par Harmmer_x000a_11/05/2026 : Ghost town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      (05/25/2026 cell nokia): _x000a_22/05/2026: Feedback PM||Intevenion planned 24.05.2025 while waiting acces to be granted by local resident_x000a_19/05/2026:AZHA power connector founded faulty. Spare part reauest to SPM awaiting feedback PM_x000a_18/05/2026 : En attente du feedback du SPMS _x000a_16/05/2026 :Intervention Postponed after 20th May due insecurity_x000a_15/05/2026: Spare parti de Bertoua, actuellement in transit Bafoussam. Expedition vers Bamenda ce jour ETD = 16.Mai.2026_x000a_13/05/2026 : SPARE cdee || ETD attendu de HW SPMS_x000a_12/05/2026 : Feedback PM : Spare FMRF faulty and request done to SPM ETD: Not yet shared_x000a_12'/05/2026 : Spare FMRF faulty and request done to SPM awaiting || Mail de cde adresse a SPMS HW attendu  || Cde envoye a HW SPMS || SPARE disponible a Bafoussam || Expedition en cours par Harmmer_x000a_11/05/2026 : Ghost town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      (05/25/2026 cell nokia): _x000a_25/05/2026 : FRMF recu ce jour || Intervention plan for tomorrow 26/05/2026 _x000a_22/05/2026: Feedback PM||Intevenion planned 24.05.2025 while waiting acces to be granted by local resident_x000a_19/05/2026:AZHA power connector founded faulty. Spare part reauest to SPM awaiting feedback PM_x000a_18/05/2026 : En attente du feedback du SPMS _x000a_16/05/2026 :Intervention Postponed after 20th May due insecurity_x000a_15/05/2026: Spare parti de Bertoua, actuellement in transit Bafoussam. Expedition vers Bamenda ce jour ETD = 16.Mai.2026_x000a_13/05/2026 : SPARE cdee || ETD attendu de HW SPMS_x000a_12/05/2026 : Feedback PM : Spare FMRF faulty and request done to SPM ETD: Not yet shared_x000a_12'/05/2026 : Spare FMRF faulty and request done to SPM awaiting || Mail de cde adresse a SPMS HW attendu  || Cde envoye a HW SPMS || SPARE disponible a Bafoussam || Expedition en cours par Harmmer_x000a_11/05/2026 : Ghost town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r>
  <r>
    <s v="Dogba-IHS"/>
    <s v="EXN_171"/>
    <s v="EXTREME-NORD"/>
    <s v="IHS"/>
    <s v="Gen Only"/>
    <s v="EXTREME-NORD"/>
    <s v="Dogba"/>
    <s v="NOKIA"/>
    <n v="0.2845787430767871"/>
    <n v="0"/>
    <n v="0"/>
    <n v="0.00338886099494609"/>
    <n v="0.5440446889806042"/>
    <n v="0"/>
    <n v="0"/>
    <n v="0"/>
    <n v="0"/>
    <n v="0.001783611049971644"/>
    <n v="1.576733968928255"/>
    <n v="0"/>
    <n v="3.413273167473144"/>
    <n v="0.4255356542398053"/>
    <n v="0"/>
    <n v="0"/>
    <n v="0"/>
    <n v="0"/>
    <n v="0"/>
    <n v="0"/>
    <m/>
    <n v="0"/>
    <n v="0.002586236022458952"/>
    <n v="0"/>
    <m/>
    <n v="0"/>
    <m/>
    <n v="0"/>
    <m/>
    <n v="0"/>
    <m/>
    <m/>
    <n v="0.5426500928850879"/>
    <n v="2.874693593354507"/>
    <n v="8.143491672096312"/>
    <n v="9.204877751957623"/>
    <m/>
    <n v="3.534805364435893"/>
    <n v="0"/>
    <n v="0.008500684042075043"/>
    <n v="0"/>
    <n v="0.002853777679954494"/>
    <x v="1"/>
    <m/>
    <x v="5"/>
    <x v="2"/>
    <s v="MPR ISSUE"/>
    <x v="2"/>
    <s v="(05/25/2026 cell nokia): _x000a__x000a_22/05/2025:Check breaker and  interconnection  (sfp, optical fiber) between system and radio module, swap its if needed||FME activer.||ETA: 13h || Intervention en cours || En attente du feedback du fme _x000a_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r>
  <r>
    <s v="Ngaoundere-University-IHS"/>
    <s v="ADM_076"/>
    <s v="Ngaoundere"/>
    <s v="IHS"/>
    <s v="Grid-Gen"/>
    <s v="ADAMAOUA"/>
    <s v="Ngaoundere"/>
    <s v="Huawei"/>
    <n v="0"/>
    <n v="0.00401289262141408"/>
    <n v="0"/>
    <n v="0"/>
    <n v="0"/>
    <n v="0"/>
    <n v="0"/>
    <n v="0"/>
    <n v="0.02823292897643772"/>
    <n v="0"/>
    <n v="0"/>
    <n v="0"/>
    <n v="0"/>
    <n v="0"/>
    <n v="0"/>
    <n v="0.009630942291393789"/>
    <n v="0.6201613432524906"/>
    <n v="0.0002675261747609386"/>
    <n v="0.9221805594792727"/>
    <n v="0.9846390037467933"/>
    <n v="0"/>
    <n v="0.0002675261747609386"/>
    <n v="0"/>
    <n v="0.0005350523495218772"/>
    <m/>
    <n v="0.0003567015663479182"/>
    <m/>
    <n v="0.9224124154973991"/>
    <m/>
    <n v="1.034077840842615"/>
    <m/>
    <m/>
    <n v="0.002229384789674488"/>
    <n v="0.0005350523495218772"/>
    <n v="0.001605157048565632"/>
    <n v="0.002211549711357092"/>
    <m/>
    <n v="0.001070104699043754"/>
    <n v="0"/>
    <n v="0.008234561101080885"/>
    <n v="0"/>
    <n v="0.002764437139196366"/>
    <x v="0"/>
    <m/>
    <x v="2"/>
    <x v="1"/>
    <s v="no root cause"/>
    <x v="1"/>
    <s v=""/>
  </r>
  <r>
    <s v="Nkomkana-IHS"/>
    <s v="CTR_448"/>
    <s v="Yaounde"/>
    <s v="IHS"/>
    <s v="Grid-Gen"/>
    <s v="CENTRE"/>
    <s v="Yaounde"/>
    <s v="ZTE"/>
    <n v="0"/>
    <n v="0"/>
    <n v="0"/>
    <n v="0.2797788735649892"/>
    <n v="0"/>
    <n v="0"/>
    <n v="0"/>
    <n v="0"/>
    <n v="0"/>
    <n v="0"/>
    <n v="0"/>
    <n v="0"/>
    <n v="0.166436950857939"/>
    <n v="0"/>
    <n v="0"/>
    <n v="0"/>
    <n v="0"/>
    <n v="0"/>
    <n v="0"/>
    <n v="0.0007312382110132324"/>
    <n v="0"/>
    <n v="0"/>
    <n v="0"/>
    <n v="0"/>
    <m/>
    <n v="0"/>
    <m/>
    <n v="0"/>
    <m/>
    <n v="0"/>
    <m/>
    <m/>
    <n v="0"/>
    <n v="0"/>
    <n v="0"/>
    <n v="0"/>
    <m/>
    <n v="0"/>
    <n v="0"/>
    <n v="0"/>
    <n v="0.004651244235193136"/>
    <n v="0.002425570651165823"/>
    <x v="0"/>
    <m/>
    <x v="2"/>
    <x v="1"/>
    <s v="no root cause"/>
    <x v="1"/>
    <s v=""/>
  </r>
  <r>
    <s v="Science"/>
    <s v="CTR_249"/>
    <s v="Yaounde"/>
    <s v="IHS"/>
    <s v="Grid-Gen"/>
    <s v="CENTRE"/>
    <s v="Yaounde"/>
    <s v="ZTE"/>
    <n v="0"/>
    <n v="0"/>
    <n v="0"/>
    <n v="0"/>
    <n v="0"/>
    <n v="0"/>
    <n v="0"/>
    <n v="0"/>
    <n v="0"/>
    <n v="0"/>
    <n v="0"/>
    <n v="0"/>
    <n v="0.3399009225729313"/>
    <n v="0"/>
    <n v="0"/>
    <n v="0"/>
    <n v="0"/>
    <n v="0"/>
    <n v="0"/>
    <n v="0"/>
    <n v="0"/>
    <n v="0"/>
    <n v="0.7168988080460454"/>
    <n v="0"/>
    <m/>
    <n v="0"/>
    <m/>
    <n v="5.475012341874196"/>
    <m/>
    <n v="0"/>
    <m/>
    <m/>
    <n v="3.510264444273228"/>
    <n v="5.393916240764997"/>
    <n v="0.2691313318095042"/>
    <n v="0"/>
    <m/>
    <n v="0"/>
    <n v="0"/>
    <n v="0"/>
    <n v="0.004651244235193135"/>
    <n v="0.002425570651165823"/>
    <x v="0"/>
    <m/>
    <x v="2"/>
    <x v="1"/>
    <s v="no root cause"/>
    <x v="1"/>
    <s v=""/>
  </r>
  <r>
    <s v="Madagascar-Yde-New"/>
    <s v="CTR_217"/>
    <s v="Yaounde"/>
    <s v="IHS"/>
    <s v="Grid-Lithium"/>
    <s v="CENTRE"/>
    <s v="Yaounde"/>
    <s v="ZTE"/>
    <n v="0"/>
    <n v="0"/>
    <n v="0"/>
    <n v="0"/>
    <n v="0"/>
    <n v="0"/>
    <n v="0"/>
    <n v="0"/>
    <n v="0"/>
    <n v="0"/>
    <n v="0"/>
    <n v="0.0002675261747609386"/>
    <n v="0.1499930086492995"/>
    <n v="0"/>
    <n v="0"/>
    <n v="0"/>
    <n v="0"/>
    <n v="28.57095721578733"/>
    <n v="26.86048402975746"/>
    <n v="28.76468183647088"/>
    <n v="0"/>
    <n v="0"/>
    <n v="0"/>
    <n v="0"/>
    <m/>
    <n v="0"/>
    <m/>
    <n v="0"/>
    <m/>
    <n v="0"/>
    <m/>
    <m/>
    <n v="0"/>
    <n v="0"/>
    <n v="0.1174439907200522"/>
    <n v="0"/>
    <m/>
    <n v="0"/>
    <n v="0"/>
    <n v="0"/>
    <n v="0.004582843584675797"/>
    <n v="0.00238990049453114"/>
    <x v="0"/>
    <m/>
    <x v="2"/>
    <x v="1"/>
    <s v="no root cause"/>
    <x v="1"/>
    <s v=""/>
  </r>
  <r>
    <s v="LIT_856_Z_Makepe-Orchidee"/>
    <s v="LIT_856"/>
    <s v="Douala"/>
    <s v="ESCO"/>
    <s v="Good Grid + Solar + GE"/>
    <s v="LITTORAL"/>
    <s v="Douala"/>
    <s v="ZTE"/>
    <n v="0"/>
    <n v="0"/>
    <n v="0"/>
    <n v="0.00238990049453114"/>
    <n v="20.12299783410808"/>
    <n v="13.86855689960706"/>
    <n v="13.86855689960706"/>
    <n v="13.86855689960706"/>
    <n v="13.86855689960706"/>
    <n v="13.86855689960706"/>
    <n v="13.86855689960706"/>
    <n v="0"/>
    <n v="0"/>
    <n v="0"/>
    <n v="0"/>
    <n v="0"/>
    <n v="0"/>
    <n v="0"/>
    <n v="0"/>
    <n v="0"/>
    <n v="0"/>
    <n v="22.33279970779008"/>
    <n v="0.0005707225061567191"/>
    <n v="0"/>
    <m/>
    <n v="0"/>
    <m/>
    <n v="0"/>
    <m/>
    <n v="34.94870988177484"/>
    <m/>
    <m/>
    <n v="0"/>
    <n v="0"/>
    <n v="0"/>
    <n v="0"/>
    <m/>
    <n v="1.819267163765971"/>
    <n v="0"/>
    <n v="0"/>
    <n v="0.0045486432594168"/>
    <n v="0.002372065416213627"/>
    <x v="0"/>
    <m/>
    <x v="2"/>
    <x v="1"/>
    <s v="no root cause"/>
    <x v="1"/>
    <s v=""/>
  </r>
  <r>
    <s v="New-Marche-Melen"/>
    <s v="CTR_425"/>
    <s v="Yaounde"/>
    <s v="IHS"/>
    <s v="Grid-Gen"/>
    <s v="CENTRE"/>
    <s v="Yaounde"/>
    <s v="ZTE"/>
    <n v="0"/>
    <n v="0"/>
    <n v="0"/>
    <n v="0"/>
    <n v="0"/>
    <n v="0"/>
    <n v="0"/>
    <n v="0"/>
    <n v="16.63244115137558"/>
    <n v="6.037744732944669"/>
    <n v="0"/>
    <n v="0"/>
    <n v="0"/>
    <n v="0"/>
    <n v="0"/>
    <n v="0"/>
    <n v="0"/>
    <n v="0"/>
    <n v="0"/>
    <n v="0.6363377592863673"/>
    <n v="0"/>
    <n v="0"/>
    <n v="0.4576659447026963"/>
    <n v="0"/>
    <m/>
    <n v="0"/>
    <m/>
    <n v="3.357756689581175"/>
    <m/>
    <n v="0"/>
    <m/>
    <m/>
    <n v="3.496032051775946"/>
    <n v="5.663939326490372"/>
    <n v="0.2490311985457989"/>
    <n v="0"/>
    <m/>
    <n v="0"/>
    <n v="0"/>
    <n v="0"/>
    <n v="0.0045486432594168"/>
    <n v="0.002372065416213627"/>
    <x v="0"/>
    <m/>
    <x v="2"/>
    <x v="1"/>
    <s v="no root cause"/>
    <x v="1"/>
    <s v=""/>
  </r>
  <r>
    <s v="Makepe-Decharge2-IHS"/>
    <s v="LIT_490"/>
    <s v="Douala"/>
    <s v="IHS"/>
    <s v="Grid-Gen"/>
    <s v="LITTORAL"/>
    <s v="Douala"/>
    <s v="ZTE"/>
    <n v="23.18057232052917"/>
    <n v="0"/>
    <n v="0"/>
    <n v="0.002140209398087501"/>
    <n v="0"/>
    <n v="0"/>
    <n v="0"/>
    <n v="0"/>
    <n v="0"/>
    <n v="0"/>
    <n v="0"/>
    <n v="0.3931183519228418"/>
    <n v="0"/>
    <n v="4.072711474090627"/>
    <n v="0"/>
    <n v="0"/>
    <n v="0"/>
    <n v="0"/>
    <n v="0.6829051487730885"/>
    <n v="33.13547097448016"/>
    <n v="0"/>
    <n v="2.660529972919214"/>
    <n v="1.265898188812128"/>
    <n v="0"/>
    <m/>
    <n v="1.969616873981617"/>
    <m/>
    <n v="0"/>
    <m/>
    <n v="47.55919819195113"/>
    <m/>
    <m/>
    <n v="13.86855689960706"/>
    <n v="34.74658493920379"/>
    <n v="0"/>
    <n v="0"/>
    <m/>
    <n v="0"/>
    <n v="0"/>
    <n v="0"/>
    <n v="0.004480242608899133"/>
    <n v="0.002336395259578773"/>
    <x v="0"/>
    <m/>
    <x v="2"/>
    <x v="1"/>
    <s v="no root cause"/>
    <x v="1"/>
    <s v=""/>
  </r>
  <r>
    <s v="Ngd-Projet-Laitier"/>
    <s v="ADM_034"/>
    <s v="Ngaoundere"/>
    <s v="IHS"/>
    <s v="Grid-Gen"/>
    <s v="ADAMAOUA"/>
    <s v="Ngaoundere"/>
    <s v="Huawei"/>
    <n v="0"/>
    <n v="0.005689389983249295"/>
    <n v="0"/>
    <n v="0"/>
    <n v="0"/>
    <n v="0"/>
    <n v="0"/>
    <n v="0"/>
    <n v="0.05516389723570554"/>
    <n v="0"/>
    <n v="0"/>
    <n v="0"/>
    <n v="0.2583411094274797"/>
    <n v="0.9010816618297935"/>
    <n v="0"/>
    <n v="0.07490732893306282"/>
    <n v="1.61489500132693"/>
    <n v="0.7865269537971594"/>
    <n v="3.203875633858683"/>
    <n v="0.8523562278666679"/>
    <n v="1.835532755191435"/>
    <n v="0.0002675261747609386"/>
    <n v="0"/>
    <n v="0.0008025785242828158"/>
    <m/>
    <n v="0"/>
    <m/>
    <n v="0.8299732045783358"/>
    <m/>
    <n v="0.0005350523495218772"/>
    <m/>
    <m/>
    <n v="0.002407735572848447"/>
    <n v="0.002211549711357092"/>
    <n v="0.5092806613532401"/>
    <n v="0.00401289262141408"/>
    <m/>
    <n v="0.0008025785242828158"/>
    <n v="0"/>
    <n v="0.006906406084777515"/>
    <n v="0"/>
    <n v="0.002318560181261468"/>
    <x v="0"/>
    <m/>
    <x v="2"/>
    <x v="1"/>
    <s v="no root cause"/>
    <x v="1"/>
    <s v=""/>
  </r>
  <r>
    <s v="Socaver"/>
    <s v="LIT_024"/>
    <s v="Douala"/>
    <s v="IHS"/>
    <s v="Grid-Gen"/>
    <s v="LITTORAL"/>
    <s v="Douala"/>
    <s v="ZTE"/>
    <n v="0"/>
    <n v="0"/>
    <n v="0"/>
    <n v="0.00221154971135721"/>
    <n v="0"/>
    <n v="0"/>
    <n v="0"/>
    <n v="0"/>
    <n v="0"/>
    <n v="0"/>
    <n v="0"/>
    <n v="0"/>
    <n v="0"/>
    <n v="0"/>
    <n v="0"/>
    <n v="0"/>
    <n v="0"/>
    <n v="0"/>
    <n v="0"/>
    <n v="0"/>
    <n v="0.5989732702114235"/>
    <n v="0"/>
    <n v="0"/>
    <n v="0"/>
    <m/>
    <n v="0"/>
    <m/>
    <n v="0"/>
    <m/>
    <n v="0"/>
    <m/>
    <m/>
    <n v="0"/>
    <n v="0"/>
    <n v="0"/>
    <n v="0"/>
    <m/>
    <n v="0"/>
    <n v="0"/>
    <n v="0"/>
    <n v="0.004411841958381795"/>
    <n v="0.002300725102944089"/>
    <x v="0"/>
    <m/>
    <x v="2"/>
    <x v="1"/>
    <s v="no root cause"/>
    <x v="1"/>
    <s v=""/>
  </r>
  <r>
    <s v="Messa-Carriere"/>
    <s v="CTR_382"/>
    <s v="Yaounde"/>
    <s v="IHS"/>
    <s v="GridOnly"/>
    <s v="CENTRE"/>
    <s v="Yaounde"/>
    <s v="ZTE"/>
    <n v="0"/>
    <n v="0"/>
    <n v="0"/>
    <n v="0"/>
    <n v="0"/>
    <n v="0"/>
    <n v="0"/>
    <n v="0"/>
    <n v="0"/>
    <n v="0"/>
    <n v="0"/>
    <n v="0.01469610453353435"/>
    <n v="0"/>
    <n v="0"/>
    <n v="0"/>
    <n v="0"/>
    <n v="0"/>
    <n v="0"/>
    <n v="0"/>
    <n v="0"/>
    <n v="0"/>
    <n v="0"/>
    <n v="0"/>
    <n v="0"/>
    <m/>
    <n v="0"/>
    <m/>
    <n v="0"/>
    <m/>
    <n v="0"/>
    <m/>
    <m/>
    <n v="0"/>
    <n v="0"/>
    <n v="0"/>
    <n v="0"/>
    <m/>
    <n v="0"/>
    <n v="0"/>
    <n v="0"/>
    <n v="0.004309240982605458"/>
    <n v="0.002247219867991893"/>
    <x v="0"/>
    <m/>
    <x v="2"/>
    <x v="1"/>
    <s v="no root cause"/>
    <x v="1"/>
    <s v=""/>
  </r>
  <r>
    <s v="Fin-Goudron-Mt-Essec"/>
    <s v="LIT_160"/>
    <s v="Douala"/>
    <s v="IHS"/>
    <s v="Grid-Gen"/>
    <s v="LITTORAL"/>
    <s v="Douala"/>
    <s v="ZTE"/>
    <n v="0"/>
    <n v="0"/>
    <n v="0"/>
    <n v="0.002211549711357039"/>
    <n v="0"/>
    <n v="0"/>
    <n v="0"/>
    <n v="0"/>
    <n v="0"/>
    <n v="0"/>
    <n v="0"/>
    <n v="0"/>
    <n v="0"/>
    <n v="0"/>
    <n v="0"/>
    <n v="0"/>
    <n v="0"/>
    <n v="0"/>
    <n v="0"/>
    <n v="2.145363735721237"/>
    <n v="0.02377415939708847"/>
    <n v="0"/>
    <n v="0"/>
    <n v="0"/>
    <m/>
    <n v="0"/>
    <m/>
    <n v="0"/>
    <m/>
    <n v="0"/>
    <m/>
    <m/>
    <n v="0"/>
    <n v="0"/>
    <n v="0"/>
    <n v="0"/>
    <m/>
    <n v="0"/>
    <n v="0"/>
    <n v="0"/>
    <n v="0.004275040657346461"/>
    <n v="0.002229384789674381"/>
    <x v="0"/>
    <m/>
    <x v="2"/>
    <x v="1"/>
    <s v="no root cause"/>
    <x v="1"/>
    <s v=""/>
  </r>
  <r>
    <s v="Ndogbong-Vallee"/>
    <s v="LIT_264"/>
    <s v="Douala"/>
    <s v="IHS"/>
    <s v="Grid-Gen"/>
    <s v="LITTORAL"/>
    <s v="Douala"/>
    <s v="ZTE"/>
    <n v="0"/>
    <n v="2.131470209711986"/>
    <n v="0"/>
    <n v="0.002211549711357039"/>
    <n v="0"/>
    <n v="0"/>
    <n v="0"/>
    <n v="0"/>
    <n v="0"/>
    <n v="0"/>
    <n v="0"/>
    <n v="0"/>
    <n v="0"/>
    <n v="0"/>
    <n v="0"/>
    <n v="0"/>
    <n v="0"/>
    <n v="0"/>
    <n v="0.001854848145009179"/>
    <n v="0"/>
    <n v="0"/>
    <n v="0"/>
    <n v="0"/>
    <n v="0"/>
    <m/>
    <n v="0"/>
    <m/>
    <n v="0"/>
    <m/>
    <n v="0"/>
    <m/>
    <m/>
    <n v="0"/>
    <n v="0"/>
    <n v="0"/>
    <n v="0"/>
    <m/>
    <n v="0"/>
    <n v="0"/>
    <n v="0"/>
    <n v="0.004240840332087792"/>
    <n v="0.002211549711357039"/>
    <x v="0"/>
    <m/>
    <x v="2"/>
    <x v="1"/>
    <s v="no root cause"/>
    <x v="1"/>
    <s v=""/>
  </r>
  <r>
    <s v="Mak-Universite-II-IHS"/>
    <s v="LIT_576"/>
    <s v="Douala"/>
    <s v="IHS"/>
    <s v="Grid-Gen"/>
    <s v="LITTORAL"/>
    <s v="Douala"/>
    <s v="ZTE"/>
    <n v="0"/>
    <n v="2.840931790099675"/>
    <n v="0"/>
    <n v="0.001765672753422129"/>
    <n v="0.08865817431577443"/>
    <n v="0"/>
    <n v="0"/>
    <n v="0"/>
    <n v="0.04157356755785001"/>
    <n v="0"/>
    <n v="0"/>
    <n v="0"/>
    <n v="0"/>
    <n v="0"/>
    <n v="0"/>
    <n v="0.3339796765715556"/>
    <n v="3.00465780905337"/>
    <n v="0"/>
    <n v="0"/>
    <n v="0"/>
    <n v="0"/>
    <n v="0.1551830164396625"/>
    <n v="0"/>
    <n v="0"/>
    <m/>
    <n v="52.46971247000142"/>
    <m/>
    <n v="5.894582559290933"/>
    <m/>
    <n v="4.891234558389194"/>
    <m/>
    <m/>
    <n v="0"/>
    <n v="0.07845650951822442"/>
    <n v="0.1222237917091151"/>
    <n v="0.6809789603148105"/>
    <m/>
    <n v="0"/>
    <n v="0"/>
    <n v="0"/>
    <n v="0.004206640006829123"/>
    <n v="0.002193714633039698"/>
    <x v="0"/>
    <m/>
    <x v="2"/>
    <x v="1"/>
    <s v="no root cause"/>
    <x v="1"/>
    <s v=""/>
  </r>
  <r>
    <s v="J-Vespa"/>
    <s v="CTR_088"/>
    <s v="Yaounde"/>
    <s v="IHS"/>
    <s v="Grid-Gen"/>
    <s v="CENTRE"/>
    <s v="Yaounde"/>
    <s v="ZTE"/>
    <n v="0"/>
    <n v="0"/>
    <n v="0"/>
    <n v="0.3568085768178226"/>
    <n v="1.458766725736445"/>
    <n v="0"/>
    <n v="0"/>
    <n v="0"/>
    <n v="0"/>
    <n v="0"/>
    <n v="0"/>
    <n v="0.008471662200763126"/>
    <n v="5.624951845288543"/>
    <n v="0"/>
    <n v="0"/>
    <n v="0"/>
    <n v="0"/>
    <n v="0"/>
    <n v="0"/>
    <n v="0"/>
    <n v="1.784613606595269"/>
    <n v="0"/>
    <n v="0"/>
    <n v="0"/>
    <m/>
    <n v="0"/>
    <m/>
    <n v="5.589139008027212"/>
    <m/>
    <n v="0"/>
    <m/>
    <m/>
    <n v="3.510264444273228"/>
    <n v="9.245704599738039"/>
    <n v="0.1917805971469579"/>
    <n v="0"/>
    <m/>
    <n v="0"/>
    <n v="0"/>
    <n v="0"/>
    <n v="0.004206640006829123"/>
    <n v="0.002193714633039698"/>
    <x v="0"/>
    <m/>
    <x v="2"/>
    <x v="1"/>
    <s v="no root cause"/>
    <x v="1"/>
    <s v=""/>
  </r>
  <r>
    <s v="Ndogbong-Citadelle"/>
    <s v="LIT_344"/>
    <s v="Douala"/>
    <s v="IHS"/>
    <s v="Grid-Gen"/>
    <s v="LITTORAL"/>
    <s v="Douala"/>
    <s v="ZTE"/>
    <n v="0"/>
    <n v="6.296674399956626"/>
    <n v="0"/>
    <n v="0.002318560181261432"/>
    <n v="0"/>
    <n v="0"/>
    <n v="0"/>
    <n v="0"/>
    <n v="0"/>
    <n v="0"/>
    <n v="0"/>
    <n v="6.255939081079695"/>
    <n v="0"/>
    <n v="0"/>
    <n v="0"/>
    <n v="0"/>
    <n v="0"/>
    <n v="0"/>
    <n v="0"/>
    <n v="0"/>
    <n v="1.122468488983628"/>
    <n v="1.909441319738724"/>
    <n v="0.08983528948472305"/>
    <n v="0"/>
    <m/>
    <n v="0"/>
    <m/>
    <n v="0"/>
    <m/>
    <n v="0"/>
    <m/>
    <m/>
    <n v="0"/>
    <n v="0"/>
    <n v="0"/>
    <n v="0"/>
    <m/>
    <n v="0"/>
    <n v="0"/>
    <n v="0"/>
    <n v="0.004206640006829123"/>
    <n v="0.002193714633039698"/>
    <x v="0"/>
    <m/>
    <x v="2"/>
    <x v="1"/>
    <s v="no root cause"/>
    <x v="1"/>
    <s v=""/>
  </r>
  <r>
    <s v="Logpom-IHS"/>
    <s v="LIT_376"/>
    <s v="Douala"/>
    <s v="IHS"/>
    <s v="Grid-Gen"/>
    <s v="LITTORAL"/>
    <s v="Douala"/>
    <s v="ZTE"/>
    <n v="0"/>
    <n v="0"/>
    <n v="0"/>
    <n v="0.001569486891930686"/>
    <n v="0"/>
    <n v="0"/>
    <n v="0"/>
    <n v="0"/>
    <n v="0"/>
    <n v="0"/>
    <n v="0"/>
    <n v="0"/>
    <n v="0"/>
    <n v="0"/>
    <n v="0"/>
    <n v="0"/>
    <n v="0"/>
    <n v="0"/>
    <n v="0"/>
    <n v="0"/>
    <n v="0"/>
    <n v="0"/>
    <n v="0"/>
    <n v="0"/>
    <m/>
    <n v="0"/>
    <m/>
    <n v="0"/>
    <m/>
    <n v="0"/>
    <m/>
    <m/>
    <n v="0"/>
    <n v="0"/>
    <n v="0"/>
    <n v="0"/>
    <m/>
    <n v="0"/>
    <n v="0"/>
    <n v="0"/>
    <n v="0.004138239356311455"/>
    <n v="0.002158044476404843"/>
    <x v="0"/>
    <m/>
    <x v="2"/>
    <x v="1"/>
    <s v="no root cause"/>
    <x v="1"/>
    <s v=""/>
  </r>
  <r>
    <s v="Crfr-Ecole-Maternelle-Carriere"/>
    <s v="CTR_557"/>
    <s v="Yaounde"/>
    <s v="CAMUSAT"/>
    <s v="Good Grid no GE - 8h"/>
    <s v="CENTRE"/>
    <s v="Yaounde"/>
    <s v="ZTE"/>
    <n v="0"/>
    <n v="0"/>
    <n v="0"/>
    <n v="0.3339796765715562"/>
    <n v="9.397516786375711"/>
    <n v="21.28193905825079"/>
    <n v="0"/>
    <n v="0"/>
    <n v="0"/>
    <n v="0"/>
    <n v="0"/>
    <n v="0"/>
    <n v="0.198789782925695"/>
    <n v="0"/>
    <n v="0"/>
    <n v="0"/>
    <n v="0"/>
    <n v="0"/>
    <n v="0"/>
    <n v="0.003745366446653213"/>
    <n v="0.02389900494531038"/>
    <n v="0"/>
    <n v="0"/>
    <n v="0"/>
    <m/>
    <n v="0"/>
    <m/>
    <n v="0"/>
    <m/>
    <n v="0"/>
    <m/>
    <m/>
    <n v="0"/>
    <n v="0"/>
    <n v="8.322667956499531"/>
    <n v="0"/>
    <m/>
    <n v="0"/>
    <n v="0"/>
    <n v="0"/>
    <n v="0.00400143805527645"/>
    <n v="0.002086704163135305"/>
    <x v="0"/>
    <m/>
    <x v="2"/>
    <x v="1"/>
    <s v="no root cause"/>
    <x v="1"/>
    <s v=""/>
  </r>
  <r>
    <s v="Nkomkana"/>
    <s v="CTR_427"/>
    <s v="Yaounde"/>
    <s v="IHS"/>
    <s v="GridOnly"/>
    <s v="CENTRE"/>
    <s v="Yaounde"/>
    <s v="ZTE"/>
    <n v="0"/>
    <n v="7.598962936153166e-17"/>
    <n v="0"/>
    <n v="0.388144809421487"/>
    <n v="0"/>
    <n v="0"/>
    <n v="3.475628722180847"/>
    <n v="0"/>
    <n v="1.157937209318578e-16"/>
    <n v="1.592163662813044e-16"/>
    <n v="0"/>
    <n v="0"/>
    <n v="0.2314636464031634"/>
    <n v="0"/>
    <n v="5.789686046592889e-17"/>
    <n v="0"/>
    <n v="0"/>
    <n v="0"/>
    <n v="0"/>
    <n v="0"/>
    <n v="0"/>
    <n v="0"/>
    <n v="0"/>
    <n v="0"/>
    <m/>
    <n v="0"/>
    <m/>
    <n v="0.7544951531391165"/>
    <m/>
    <n v="0"/>
    <m/>
    <m/>
    <n v="3.510478465213037"/>
    <n v="8.755507472184412"/>
    <n v="1.736905813977866e-16"/>
    <n v="0"/>
    <m/>
    <n v="0"/>
    <n v="0"/>
    <n v="0"/>
    <n v="0.003933037404759005"/>
    <n v="0.002051034006500566"/>
    <x v="0"/>
    <m/>
    <x v="2"/>
    <x v="1"/>
    <s v="no root cause"/>
    <x v="1"/>
    <s v=""/>
  </r>
  <r>
    <s v="Ange-Raphael"/>
    <s v="LIT_056"/>
    <s v="Douala"/>
    <s v="IHS"/>
    <s v="GridOnly"/>
    <s v="LITTORAL"/>
    <s v="Douala"/>
    <s v="ZTE"/>
    <n v="0"/>
    <n v="0"/>
    <n v="0"/>
    <n v="0.002247219867991893"/>
    <n v="0"/>
    <n v="0"/>
    <n v="0"/>
    <n v="0"/>
    <n v="0"/>
    <n v="0"/>
    <n v="0"/>
    <n v="0"/>
    <n v="0"/>
    <n v="0"/>
    <n v="0"/>
    <n v="0"/>
    <n v="0"/>
    <n v="0"/>
    <n v="0"/>
    <n v="0"/>
    <n v="0"/>
    <n v="0"/>
    <n v="0"/>
    <n v="0"/>
    <m/>
    <n v="0"/>
    <m/>
    <n v="0"/>
    <m/>
    <n v="0"/>
    <m/>
    <m/>
    <n v="0"/>
    <n v="0"/>
    <n v="0"/>
    <n v="0"/>
    <m/>
    <n v="0"/>
    <n v="0"/>
    <n v="0"/>
    <n v="0.003898837079500114"/>
    <n v="0.002033198928183109"/>
    <x v="0"/>
    <m/>
    <x v="2"/>
    <x v="1"/>
    <s v="no root cause"/>
    <x v="1"/>
    <s v=""/>
  </r>
  <r>
    <s v="Makepe"/>
    <s v="LIT_037"/>
    <s v="Douala"/>
    <s v="IHS"/>
    <s v="Grid-Gen"/>
    <s v="LITTORAL"/>
    <s v="Douala"/>
    <s v="ZTE"/>
    <n v="0"/>
    <n v="0"/>
    <n v="0"/>
    <n v="0.002461240807800678"/>
    <n v="0"/>
    <n v="1.267895717583676"/>
    <n v="0"/>
    <n v="0"/>
    <n v="0"/>
    <n v="0"/>
    <n v="0"/>
    <n v="0"/>
    <n v="0"/>
    <n v="0"/>
    <n v="0"/>
    <n v="0"/>
    <n v="0"/>
    <n v="0"/>
    <n v="0"/>
    <n v="0"/>
    <n v="0"/>
    <n v="0"/>
    <n v="0"/>
    <n v="0"/>
    <m/>
    <n v="0"/>
    <m/>
    <n v="0"/>
    <m/>
    <n v="4.055839490002368"/>
    <m/>
    <m/>
    <n v="0"/>
    <n v="0"/>
    <n v="0"/>
    <n v="0"/>
    <m/>
    <n v="0"/>
    <n v="0"/>
    <n v="0"/>
    <n v="0.003864636754241117"/>
    <n v="0.002015363849865596"/>
    <x v="0"/>
    <m/>
    <x v="2"/>
    <x v="1"/>
    <s v="no root cause"/>
    <x v="1"/>
    <s v=""/>
  </r>
  <r>
    <s v="PDC"/>
    <s v="CTR_011"/>
    <s v="Yaounde"/>
    <s v="IHS"/>
    <s v="Grid-Gen"/>
    <s v="CENTRE"/>
    <s v="Yaounde"/>
    <s v="ZTE"/>
    <n v="4.779872329375373"/>
    <n v="7.99207694480828"/>
    <n v="9.245704599738039"/>
    <n v="10.06601119186835"/>
    <n v="9.245704599738039"/>
    <n v="5.427000311043765"/>
    <n v="9.245704599738039"/>
    <n v="7.511332408762873"/>
    <n v="4.368613258454539"/>
    <n v="9.370603653194765"/>
    <n v="9.245704599738039"/>
    <n v="1.25587487479775"/>
    <n v="9.245704599738039"/>
    <n v="9.245704599738039"/>
    <n v="9.375579640045316"/>
    <n v="9.245704599738039"/>
    <n v="4.893392602865598"/>
    <n v="3.936219619727594"/>
    <n v="6.064140648854417"/>
    <n v="8.008806248269996"/>
    <n v="0.9574583443910821"/>
    <n v="9.245704599738039"/>
    <n v="3.818971814869033"/>
    <n v="1.546996858172604"/>
    <m/>
    <n v="9.245704599738039"/>
    <m/>
    <n v="9.173847069197249"/>
    <m/>
    <n v="9.245704599738039"/>
    <m/>
    <m/>
    <n v="0"/>
    <n v="0.2748207217927532"/>
    <n v="0.2824719703909163"/>
    <n v="0"/>
    <m/>
    <n v="0"/>
    <n v="0"/>
    <n v="0"/>
    <n v="0.003830436428982447"/>
    <n v="0.001997528771548255"/>
    <x v="0"/>
    <m/>
    <x v="11"/>
    <x v="7"/>
    <s v="BSS Hardware issue"/>
    <x v="2"/>
    <s v="05-25-2026: hardware issue,  site with GPS issue (alarm : TDD down 09Apr 02pm)"/>
  </r>
  <r>
    <s v="An-Marche-Melen"/>
    <s v="CTR_372"/>
    <s v="Yaounde"/>
    <s v="IHS"/>
    <s v="GridOnly"/>
    <s v="CENTRE"/>
    <s v="Yaounde"/>
    <s v="ZTE"/>
    <n v="0"/>
    <n v="0"/>
    <n v="0"/>
    <n v="0"/>
    <n v="0"/>
    <n v="0"/>
    <n v="0"/>
    <n v="0"/>
    <n v="0"/>
    <n v="0"/>
    <n v="0"/>
    <n v="0"/>
    <n v="0"/>
    <n v="0"/>
    <n v="0"/>
    <n v="0"/>
    <n v="0"/>
    <n v="0"/>
    <n v="0"/>
    <n v="0"/>
    <n v="0"/>
    <n v="0"/>
    <n v="0.4168236153558594"/>
    <n v="0"/>
    <m/>
    <n v="0"/>
    <m/>
    <n v="5.407667086147708"/>
    <m/>
    <n v="0"/>
    <m/>
    <m/>
    <n v="3.510585475682941"/>
    <n v="5.39375572506014"/>
    <n v="0.2286813741856504"/>
    <n v="0"/>
    <m/>
    <n v="0"/>
    <n v="0"/>
    <n v="0"/>
    <n v="0.003830436428982448"/>
    <n v="0.001997528771548255"/>
    <x v="0"/>
    <m/>
    <x v="2"/>
    <x v="1"/>
    <s v="no root cause"/>
    <x v="1"/>
    <s v=""/>
  </r>
  <r>
    <s v="Makepe-Chefferie"/>
    <s v="LIT_397"/>
    <s v="Douala"/>
    <s v="IHS"/>
    <s v="Grid-Gen"/>
    <s v="LITTORAL"/>
    <s v="Douala"/>
    <s v="ZTE"/>
    <n v="0"/>
    <n v="0"/>
    <n v="0"/>
    <n v="0.002033198928183109"/>
    <n v="0"/>
    <n v="0"/>
    <n v="0"/>
    <n v="0"/>
    <n v="0"/>
    <n v="0"/>
    <n v="0"/>
    <n v="0"/>
    <n v="0"/>
    <n v="0"/>
    <n v="0"/>
    <n v="0"/>
    <n v="0"/>
    <n v="0"/>
    <n v="0"/>
    <n v="0"/>
    <n v="0"/>
    <n v="1.99788547311469"/>
    <n v="0"/>
    <n v="0"/>
    <m/>
    <n v="0"/>
    <m/>
    <n v="0"/>
    <m/>
    <n v="0.7787151894941396"/>
    <m/>
    <m/>
    <n v="0"/>
    <n v="0"/>
    <n v="0"/>
    <n v="0"/>
    <m/>
    <n v="0"/>
    <n v="0"/>
    <n v="0"/>
    <n v="0.003796236103723778"/>
    <n v="0.001979693693230913"/>
    <x v="0"/>
    <m/>
    <x v="2"/>
    <x v="1"/>
    <s v="no root cause"/>
    <x v="1"/>
    <s v=""/>
  </r>
  <r>
    <s v="Cite-Verte"/>
    <s v="CTR_414"/>
    <s v="Yaounde"/>
    <s v="IHS"/>
    <s v="GridOnly"/>
    <s v="CENTRE"/>
    <s v="Yaounde"/>
    <s v="ZTE"/>
    <n v="0"/>
    <n v="0"/>
    <n v="0"/>
    <n v="0.2285743637157458"/>
    <n v="0"/>
    <n v="0"/>
    <n v="0"/>
    <n v="0"/>
    <n v="0.04050346285880611"/>
    <n v="0.02099188717957513"/>
    <n v="0.03798871681605324"/>
    <n v="15.6170544726096"/>
    <n v="0.1552721918312492"/>
    <n v="0.01774590292580885"/>
    <n v="0.04055696809375831"/>
    <n v="0"/>
    <n v="0.02438055205988031"/>
    <n v="4.583597292492433"/>
    <n v="0"/>
    <n v="0"/>
    <n v="0"/>
    <n v="0"/>
    <n v="0"/>
    <n v="0"/>
    <m/>
    <n v="0"/>
    <m/>
    <n v="3.394675301698185"/>
    <m/>
    <n v="0"/>
    <m/>
    <m/>
    <n v="9.245704599738039"/>
    <n v="5.243851891802428"/>
    <n v="0"/>
    <n v="0.01972559661903994"/>
    <m/>
    <n v="0"/>
    <n v="0"/>
    <n v="0"/>
    <n v="0.003659434802688445"/>
    <n v="0.001908353379961204"/>
    <x v="0"/>
    <m/>
    <x v="2"/>
    <x v="1"/>
    <s v="no root cause"/>
    <x v="1"/>
    <s v=""/>
  </r>
  <r>
    <s v="Sop-MTN"/>
    <s v="NRO_258"/>
    <s v="NORD-OUEST"/>
    <s v="IHS"/>
    <s v="Grid-Gen"/>
    <s v="NORD-OUEST"/>
    <s v="Sop"/>
    <s v="NOKIA"/>
    <n v="0.2537931644565437"/>
    <n v="0.4125253614813673"/>
    <n v="0.1794208878730028"/>
    <n v="0.235779735355974"/>
    <n v="0.7517485510782376"/>
    <n v="0"/>
    <n v="0.9818210613726446"/>
    <n v="0.1026408757166133"/>
    <n v="0.226862196197276"/>
    <n v="0.4540810939608999"/>
    <n v="1.22669668667049"/>
    <n v="0.0008917539158697954"/>
    <n v="0.003477840271892233"/>
    <n v="0.4469470626339414"/>
    <n v="0.003745366446653041"/>
    <n v="0"/>
    <n v="0.001070104699043922"/>
    <n v="0.1276991607525547"/>
    <n v="0.001159280090630801"/>
    <n v="0"/>
    <n v="0.07060907505857042"/>
    <n v="0"/>
    <n v="0"/>
    <n v="0.02042116467341831"/>
    <m/>
    <n v="0"/>
    <m/>
    <n v="0"/>
    <m/>
    <n v="0"/>
    <m/>
    <m/>
    <n v="0"/>
    <n v="0.0005350523495219609"/>
    <n v="0"/>
    <n v="0.5406703991918569"/>
    <m/>
    <n v="0.0004458769579349104"/>
    <n v="0"/>
    <n v="0.005578251068474"/>
    <n v="0"/>
    <n v="0.001872683223326521"/>
    <x v="1"/>
    <m/>
    <x v="2"/>
    <x v="1"/>
    <s v="no root cause"/>
    <x v="1"/>
    <s v="(05/25/2026 cell nokia): 25/05/2026 : Need BO RAN analysis"/>
  </r>
  <r>
    <s v="Makepe-Missoke-Clinique"/>
    <s v="LIT_398"/>
    <s v="Douala"/>
    <s v="IHS"/>
    <s v="Grid-Lithium"/>
    <s v="LITTORAL"/>
    <s v="Douala"/>
    <s v="ZTE"/>
    <n v="0"/>
    <n v="0"/>
    <n v="0"/>
    <n v="0.002354230337896286"/>
    <n v="0"/>
    <n v="0.1989681337088687"/>
    <n v="0"/>
    <n v="0"/>
    <n v="0"/>
    <n v="0"/>
    <n v="0"/>
    <n v="29.67685691701409"/>
    <n v="0"/>
    <n v="0"/>
    <n v="0"/>
    <n v="0"/>
    <n v="0"/>
    <n v="0"/>
    <n v="0"/>
    <n v="0"/>
    <n v="0"/>
    <n v="0"/>
    <n v="0"/>
    <n v="0"/>
    <m/>
    <n v="0"/>
    <m/>
    <n v="0"/>
    <m/>
    <n v="32.44466488601245"/>
    <m/>
    <m/>
    <n v="0"/>
    <n v="0"/>
    <n v="0"/>
    <n v="0"/>
    <m/>
    <n v="0"/>
    <n v="0"/>
    <n v="0"/>
    <n v="0.003556833826912437"/>
    <n v="0.001854848145009179"/>
    <x v="0"/>
    <m/>
    <x v="2"/>
    <x v="1"/>
    <s v="no root cause"/>
    <x v="1"/>
    <s v=""/>
  </r>
  <r>
    <s v="Bep-Universite"/>
    <s v="LIT_265"/>
    <s v="Douala"/>
    <s v="IHS"/>
    <s v="Grid-Gen"/>
    <s v="LITTORAL"/>
    <s v="Douala"/>
    <s v="ZTE"/>
    <n v="0"/>
    <n v="0"/>
    <n v="0"/>
    <n v="0.00212237431977016"/>
    <n v="0"/>
    <n v="0"/>
    <n v="0"/>
    <n v="0"/>
    <n v="0"/>
    <n v="0"/>
    <n v="16.42025722463353"/>
    <n v="0"/>
    <n v="0"/>
    <n v="0"/>
    <n v="0"/>
    <n v="0"/>
    <n v="0"/>
    <n v="0"/>
    <n v="0"/>
    <n v="0"/>
    <n v="0.1153929567135513"/>
    <n v="0"/>
    <n v="0"/>
    <n v="0"/>
    <m/>
    <n v="0"/>
    <m/>
    <n v="0"/>
    <m/>
    <n v="0"/>
    <m/>
    <m/>
    <n v="0"/>
    <n v="0"/>
    <n v="0"/>
    <n v="0"/>
    <m/>
    <n v="0"/>
    <n v="0"/>
    <n v="0"/>
    <n v="0.003556833826912109"/>
    <n v="0.001854848145009008"/>
    <x v="0"/>
    <m/>
    <x v="2"/>
    <x v="1"/>
    <s v="no root cause"/>
    <x v="1"/>
    <s v=""/>
  </r>
  <r>
    <s v="Rd-Pt-Longkak"/>
    <s v="CTR_449"/>
    <s v="Yaounde"/>
    <s v="IHS"/>
    <s v="Grid-Gen"/>
    <s v="CENTRE"/>
    <s v="Yaounde"/>
    <s v="ZTE"/>
    <n v="6.891723952938221"/>
    <n v="9.214207851429517"/>
    <n v="9.245704599738039"/>
    <n v="9.245704599738039"/>
    <n v="9.245704599738039"/>
    <n v="9.245704599738039"/>
    <n v="17.6859948977408"/>
    <n v="12.21141059774622"/>
    <n v="11.06424052529299"/>
    <n v="18.98574406519933"/>
    <n v="9.245704599738039"/>
    <n v="0"/>
    <n v="4.517500492248161"/>
    <n v="8.14581531990423"/>
    <n v="56.22554810762686"/>
    <n v="13.86855689960706"/>
    <n v="56.08147634497892"/>
    <n v="0"/>
    <n v="0"/>
    <n v="0"/>
    <n v="0.03900531628014478"/>
    <n v="0"/>
    <n v="0"/>
    <n v="0"/>
    <m/>
    <n v="0"/>
    <m/>
    <n v="0"/>
    <m/>
    <n v="0"/>
    <m/>
    <m/>
    <n v="0"/>
    <n v="0"/>
    <n v="0"/>
    <n v="0"/>
    <m/>
    <n v="0"/>
    <n v="0"/>
    <n v="0"/>
    <n v="0.003522633501653767"/>
    <n v="0.001837013066691838"/>
    <x v="0"/>
    <m/>
    <x v="11"/>
    <x v="7"/>
    <s v="BSS Hardware issue"/>
    <x v="2"/>
    <s v="05-25-2026: hardware issue,  site with GPS issue (alarm : TDD down 09Apr 02pm)"/>
  </r>
  <r>
    <s v="Bastos-Bethesda"/>
    <s v="CTR_474"/>
    <s v="Yaounde"/>
    <s v="IHS"/>
    <s v="Grid-Gen"/>
    <s v="CENTRE"/>
    <s v="Yaounde"/>
    <s v="ZTE"/>
    <n v="0.01269857576198593"/>
    <n v="0"/>
    <n v="0"/>
    <n v="0.2024103038241262"/>
    <n v="0.7205728341794294"/>
    <n v="0"/>
    <n v="0"/>
    <n v="0"/>
    <n v="0.0004280418796175018"/>
    <n v="0"/>
    <n v="0"/>
    <n v="0"/>
    <n v="3.872316534116365"/>
    <n v="0.03886263565360579"/>
    <n v="3.861330125872849"/>
    <n v="0"/>
    <n v="0"/>
    <n v="0"/>
    <n v="0"/>
    <n v="0"/>
    <n v="0.02017147357697529"/>
    <n v="0"/>
    <n v="0"/>
    <n v="0"/>
    <m/>
    <n v="0"/>
    <m/>
    <n v="0"/>
    <m/>
    <n v="0"/>
    <m/>
    <m/>
    <n v="10.40264829510919"/>
    <n v="28.47252541855362"/>
    <n v="0"/>
    <n v="0"/>
    <m/>
    <n v="0"/>
    <n v="0"/>
    <n v="0"/>
    <n v="0.00348843317639477"/>
    <n v="0.001819177988374325"/>
    <x v="0"/>
    <m/>
    <x v="2"/>
    <x v="1"/>
    <s v="no root cause"/>
    <x v="1"/>
    <s v=""/>
  </r>
  <r>
    <s v="Vallee-Bastos"/>
    <s v="CTR_251"/>
    <s v="Yaounde"/>
    <s v="IHS"/>
    <s v="GridOnly"/>
    <s v="CENTRE"/>
    <s v="Yaounde"/>
    <s v="ZTE"/>
    <n v="0"/>
    <n v="0"/>
    <n v="0"/>
    <n v="0"/>
    <n v="0"/>
    <n v="0"/>
    <n v="0"/>
    <n v="12.35139812745946"/>
    <n v="3.528598904783512"/>
    <n v="0"/>
    <n v="0"/>
    <n v="10.23829804841439"/>
    <n v="0"/>
    <n v="0"/>
    <n v="0"/>
    <n v="0"/>
    <n v="0"/>
    <n v="0"/>
    <n v="0"/>
    <n v="0"/>
    <n v="4.007756118858669"/>
    <n v="0"/>
    <n v="0"/>
    <n v="0"/>
    <m/>
    <n v="0"/>
    <m/>
    <n v="0"/>
    <m/>
    <n v="0"/>
    <m/>
    <m/>
    <n v="0"/>
    <n v="0"/>
    <n v="0"/>
    <n v="0"/>
    <m/>
    <n v="0"/>
    <n v="0"/>
    <n v="0"/>
    <n v="0.003488433176394442"/>
    <n v="0.001819177988374154"/>
    <x v="0"/>
    <m/>
    <x v="2"/>
    <x v="1"/>
    <s v="no root cause"/>
    <x v="1"/>
    <s v=""/>
  </r>
  <r>
    <s v="Missoke-Universite"/>
    <s v="LIT_373"/>
    <s v="Douala"/>
    <s v="IHS"/>
    <s v="Grid-Gen"/>
    <s v="LITTORAL"/>
    <s v="Douala"/>
    <s v="ZTE"/>
    <n v="0"/>
    <n v="0"/>
    <n v="0"/>
    <n v="0.002122374319769988"/>
    <n v="0.08587590209826171"/>
    <n v="0"/>
    <n v="0"/>
    <n v="0"/>
    <n v="0.03930851261154073"/>
    <n v="0"/>
    <n v="0"/>
    <n v="0.1559677598856267"/>
    <n v="0"/>
    <n v="0"/>
    <n v="0"/>
    <n v="0.3380460744279212"/>
    <n v="0"/>
    <n v="0"/>
    <n v="0"/>
    <n v="0"/>
    <n v="0"/>
    <n v="0.1547193044034099"/>
    <n v="0"/>
    <n v="0"/>
    <m/>
    <n v="0"/>
    <m/>
    <n v="6.424765932432162"/>
    <m/>
    <n v="7.582244680152841"/>
    <m/>
    <m/>
    <n v="0"/>
    <n v="0.07715454880105529"/>
    <n v="0.07929475819914303"/>
    <n v="0.6439711728062141"/>
    <m/>
    <n v="0"/>
    <n v="0"/>
    <n v="0"/>
    <n v="0.003454232851135772"/>
    <n v="0.001801342910056812"/>
    <x v="0"/>
    <m/>
    <x v="2"/>
    <x v="1"/>
    <s v="no root cause"/>
    <x v="1"/>
    <s v=""/>
  </r>
  <r>
    <s v="Ndiguina"/>
    <s v="EXN_275"/>
    <s v="EXTREME-NORD"/>
    <s v="IHS"/>
    <s v="Hybrid solar - S3"/>
    <s v="EXTREME-NORD"/>
    <s v="Waza"/>
    <s v="NOKIA"/>
    <n v="0.3731193386765102"/>
    <n v="0.9931954968205825"/>
    <n v="1.375116109707329"/>
    <n v="1.62127824888786"/>
    <n v="0.4241655540307332"/>
    <n v="2.615269381455667"/>
    <n v="8.983053915326227"/>
    <n v="9.0931515441185"/>
    <n v="7.384865834464888"/>
    <n v="6.140281802568506"/>
    <n v="6.596838279313435"/>
    <n v="0.1590888985911722"/>
    <n v="2.175094448722521"/>
    <n v="0.6594355698638881"/>
    <n v="0"/>
    <n v="0.5232785564778375"/>
    <n v="1.054650780700999"/>
    <n v="0.002764519713781978"/>
    <n v="0.01061248574733118"/>
    <n v="0"/>
    <n v="11.74029700399221"/>
    <n v="0.003567015663479283"/>
    <n v="0.002140333259966042"/>
    <n v="0.002140333259966041"/>
    <m/>
    <n v="0.102397308066309"/>
    <m/>
    <n v="0.00433392403112714"/>
    <m/>
    <n v="0.007651553091947471"/>
    <m/>
    <m/>
    <n v="1.932049352229604"/>
    <n v="8.89946898162092"/>
    <n v="3.742394965261471"/>
    <n v="6.718999415592761"/>
    <m/>
    <n v="0.09666810526439339"/>
    <n v="0"/>
    <n v="0.005312927526297156"/>
    <n v="0"/>
    <n v="0.001783611049971644"/>
    <x v="1"/>
    <m/>
    <x v="2"/>
    <x v="1"/>
    <s v="no root cause"/>
    <x v="1"/>
    <s v=""/>
  </r>
  <r>
    <s v="Elum-Ndem-IHS"/>
    <s v="CTR_623"/>
    <s v="Yaounde"/>
    <s v="IHS"/>
    <s v="Grid-Gen"/>
    <s v="CENTRE"/>
    <s v="Yaounde"/>
    <s v="ZTE"/>
    <n v="0"/>
    <n v="0"/>
    <n v="0"/>
    <n v="0"/>
    <n v="0"/>
    <n v="0"/>
    <n v="0"/>
    <n v="0"/>
    <n v="0"/>
    <n v="0"/>
    <n v="0"/>
    <n v="11.79815399805384"/>
    <n v="0"/>
    <n v="0"/>
    <n v="0"/>
    <n v="0.2454820179606373"/>
    <n v="0"/>
    <n v="0"/>
    <n v="0"/>
    <n v="0.5136502555410009"/>
    <n v="6.344775606178642"/>
    <n v="0"/>
    <n v="0"/>
    <n v="0"/>
    <m/>
    <n v="0"/>
    <m/>
    <n v="0"/>
    <m/>
    <n v="0"/>
    <m/>
    <m/>
    <n v="0"/>
    <n v="0"/>
    <n v="0"/>
    <n v="0"/>
    <m/>
    <n v="0"/>
    <n v="0"/>
    <n v="0"/>
    <n v="0.003385832200618434"/>
    <n v="0.001765672753422129"/>
    <x v="0"/>
    <m/>
    <x v="2"/>
    <x v="1"/>
    <s v="no root cause"/>
    <x v="1"/>
    <s v=""/>
  </r>
  <r>
    <s v="Logpom-New"/>
    <s v="LIT_737"/>
    <s v="Douala"/>
    <s v="CAMUSAT"/>
    <s v="Good Grid no GE - 8h"/>
    <s v="LITTORAL"/>
    <s v="Douala"/>
    <s v="ZTE"/>
    <n v="0"/>
    <n v="2.870894721672899"/>
    <n v="2.161861183164828"/>
    <n v="1.510363607308672"/>
    <n v="6.735988049070719"/>
    <n v="0"/>
    <n v="1.346138206162093"/>
    <n v="14.9971963256885"/>
    <n v="2.222999831636861"/>
    <n v="2.091822830612414"/>
    <n v="9.91064982464551"/>
    <n v="8.910280281822773"/>
    <n v="1.651635262660766"/>
    <n v="1.320241672445234"/>
    <n v="13.86855689960706"/>
    <n v="4.251686485005695"/>
    <n v="15.84165161386057"/>
    <n v="0"/>
    <n v="11.98754469470626"/>
    <n v="4.304692337764996"/>
    <n v="0"/>
    <n v="0.6694396646434536"/>
    <n v="3.408408312002583"/>
    <n v="11.40865372268023"/>
    <m/>
    <n v="0.6832083451044825"/>
    <m/>
    <n v="0"/>
    <m/>
    <n v="0"/>
    <m/>
    <m/>
    <n v="7.798459334594638"/>
    <n v="0"/>
    <n v="0"/>
    <n v="2.711591802141918"/>
    <m/>
    <n v="5.0170432008401"/>
    <n v="0"/>
    <n v="0"/>
    <n v="0.003317431550101095"/>
    <n v="0.001730002596787445"/>
    <x v="0"/>
    <m/>
    <x v="2"/>
    <x v="1"/>
    <s v="no root cause"/>
    <x v="1"/>
    <s v=""/>
  </r>
  <r>
    <s v="Banwa"/>
    <s v="OST_089"/>
    <s v="OUEST"/>
    <s v="IHS"/>
    <s v="Grid-Gen"/>
    <s v="OUEST"/>
    <s v="Bantoum"/>
    <s v="NOKIA"/>
    <n v="1.783507831741196e-05"/>
    <n v="7.134031326964783e-05"/>
    <n v="5.350523495229378e-05"/>
    <n v="5.350523495229378e-05"/>
    <n v="7.134031326964783e-05"/>
    <n v="5.350523495229378e-05"/>
    <n v="1.783507831741196e-05"/>
    <n v="7.134031326964783e-05"/>
    <n v="0"/>
    <n v="1.783507831741196e-05"/>
    <n v="5.350523495235167e-05"/>
    <n v="0"/>
    <n v="5.350523495229378e-05"/>
    <n v="3.567015663482392e-05"/>
    <n v="0"/>
    <n v="0"/>
    <n v="3.567015663482392e-05"/>
    <n v="3.567015663488182e-05"/>
    <n v="0"/>
    <n v="0"/>
    <n v="0"/>
    <n v="1.783507831741196e-05"/>
    <n v="3.567015663482392e-05"/>
    <n v="0.0558773003684017"/>
    <m/>
    <n v="0"/>
    <m/>
    <n v="1.783507831741196e-05"/>
    <m/>
    <n v="0"/>
    <m/>
    <m/>
    <n v="0"/>
    <n v="0"/>
    <n v="2.678430327283752e-05"/>
    <n v="4.017676454244766e-05"/>
    <m/>
    <n v="5.350523495212009e-05"/>
    <n v="0"/>
    <n v="0.005046989061953249"/>
    <n v="6.840065051727517e-05"/>
    <n v="0.001730002596787412"/>
    <x v="0"/>
    <m/>
    <x v="2"/>
    <x v="1"/>
    <s v="no root cause"/>
    <x v="1"/>
    <s v=""/>
  </r>
  <r>
    <s v="H-ville-MTN"/>
    <s v="CTR_369"/>
    <s v="Yaounde"/>
    <s v="IHS"/>
    <s v="Grid-Gen"/>
    <s v="CENTRE"/>
    <s v="Yaounde"/>
    <s v="ZTE"/>
    <n v="0"/>
    <n v="0"/>
    <n v="0"/>
    <n v="0.01066537683380282"/>
    <n v="0"/>
    <n v="0"/>
    <n v="0.01087939777361161"/>
    <n v="0"/>
    <n v="0"/>
    <n v="0"/>
    <n v="0"/>
    <n v="0"/>
    <n v="0"/>
    <n v="0"/>
    <n v="0"/>
    <n v="0"/>
    <n v="6.004642827587586"/>
    <n v="0"/>
    <n v="0"/>
    <n v="0"/>
    <n v="0"/>
    <n v="0"/>
    <n v="0"/>
    <n v="0"/>
    <m/>
    <n v="0"/>
    <m/>
    <n v="0"/>
    <m/>
    <n v="0"/>
    <m/>
    <m/>
    <n v="0"/>
    <n v="0"/>
    <n v="0"/>
    <n v="0"/>
    <m/>
    <n v="0"/>
    <n v="0"/>
    <n v="0"/>
    <n v="0.003317431550100767"/>
    <n v="0.001730002596787275"/>
    <x v="0"/>
    <m/>
    <x v="2"/>
    <x v="1"/>
    <s v="no root cause"/>
    <x v="1"/>
    <s v=""/>
  </r>
  <r>
    <s v="Tide-Goulfey-IHS"/>
    <s v="EXN_273"/>
    <s v="EXTREME-NORD"/>
    <s v="IHS"/>
    <m/>
    <s v="EXTREME-NORD"/>
    <s v="Kabo-Kabir"/>
    <s v="NOKIA"/>
    <n v="0.618570490575901"/>
    <n v="0.0003567222099943973"/>
    <n v="0"/>
    <n v="0"/>
    <n v="0.01926218771853839"/>
    <n v="0.02079810140802177"/>
    <n v="0.135652147970016"/>
    <n v="0.06835650116390328"/>
    <n v="0.0214377641375097"/>
    <n v="0.03262223165342877"/>
    <n v="0.07396206978224086"/>
    <n v="0"/>
    <n v="0"/>
    <n v="1.077883802823474"/>
    <n v="0"/>
    <n v="0.001783611049971644"/>
    <n v="0.0216886938527384"/>
    <n v="0.003032138784951864"/>
    <n v="0.01302036066479293"/>
    <n v="0.002675416574957467"/>
    <n v="0"/>
    <n v="0.002853612530783221"/>
    <n v="0.02231241066359825"/>
    <n v="0.001248527734980219"/>
    <m/>
    <n v="0.01744831217179769"/>
    <m/>
    <n v="0.01494579562997789"/>
    <m/>
    <n v="0.007063062599324162"/>
    <m/>
    <m/>
    <n v="0.9263016925759925"/>
    <n v="1.835425143539115"/>
    <n v="0.05309655290084725"/>
    <n v="0.7734272797378134"/>
    <m/>
    <n v="1.205237072811559"/>
    <n v="0"/>
    <n v="0.005047281149982503"/>
    <n v="0"/>
    <n v="0.00169443049747313"/>
    <x v="1"/>
    <m/>
    <x v="2"/>
    <x v="1"/>
    <s v="no root cause"/>
    <x v="1"/>
    <s v=""/>
  </r>
  <r>
    <s v="Hopital-General"/>
    <s v="LIT_248"/>
    <s v="Douala"/>
    <s v="IHS"/>
    <s v="Grid-Gen"/>
    <s v="LITTORAL"/>
    <s v="Douala"/>
    <s v="ZTE"/>
    <n v="0"/>
    <n v="0"/>
    <n v="0"/>
    <n v="0.001926188458278717"/>
    <n v="0"/>
    <n v="0"/>
    <n v="0"/>
    <n v="0"/>
    <n v="7.157127753379393"/>
    <n v="37.66361900848379"/>
    <n v="8.157764822376889"/>
    <n v="13.86855689960706"/>
    <n v="0"/>
    <n v="0"/>
    <n v="0"/>
    <n v="0"/>
    <n v="0"/>
    <n v="0"/>
    <n v="12.90892267566125"/>
    <n v="18.76826312019701"/>
    <n v="0"/>
    <n v="0"/>
    <n v="7.791164787562822"/>
    <n v="0"/>
    <m/>
    <n v="0"/>
    <m/>
    <n v="0"/>
    <m/>
    <n v="0"/>
    <m/>
    <m/>
    <n v="0"/>
    <n v="0"/>
    <n v="0"/>
    <n v="0"/>
    <m/>
    <n v="12.9120438143668"/>
    <n v="0"/>
    <n v="0"/>
    <n v="0.003249030899583429"/>
    <n v="0.001694332440152591"/>
    <x v="0"/>
    <m/>
    <x v="2"/>
    <x v="1"/>
    <s v="no root cause"/>
    <x v="1"/>
    <s v=""/>
  </r>
  <r>
    <s v="Sous-Prefecture-Tsinga"/>
    <s v="CTR_475"/>
    <s v="Yaounde"/>
    <s v="IHS"/>
    <s v="Grid-Gen"/>
    <s v="CENTRE"/>
    <s v="Yaounde"/>
    <s v="ZTE"/>
    <n v="0"/>
    <n v="0"/>
    <n v="0"/>
    <n v="0.2814732060051422"/>
    <n v="0"/>
    <n v="0"/>
    <n v="0"/>
    <n v="0"/>
    <n v="0"/>
    <n v="0"/>
    <n v="0"/>
    <n v="0"/>
    <n v="0.1666509717977476"/>
    <n v="0"/>
    <n v="0"/>
    <n v="0"/>
    <n v="0"/>
    <n v="0"/>
    <n v="0"/>
    <n v="0.00292495284405293"/>
    <n v="0"/>
    <n v="0"/>
    <n v="0"/>
    <n v="0"/>
    <m/>
    <n v="0"/>
    <m/>
    <n v="0"/>
    <m/>
    <n v="0"/>
    <m/>
    <m/>
    <n v="0"/>
    <n v="0"/>
    <n v="0"/>
    <n v="0"/>
    <m/>
    <n v="0"/>
    <n v="0"/>
    <n v="0"/>
    <n v="0.003249030899583429"/>
    <n v="0.001694332440152591"/>
    <x v="0"/>
    <m/>
    <x v="2"/>
    <x v="1"/>
    <s v="no root cause"/>
    <x v="1"/>
    <s v=""/>
  </r>
  <r>
    <s v="Makepe-St-Tropez"/>
    <s v="LIT_224"/>
    <s v="Douala"/>
    <s v="IHS"/>
    <s v="Grid-Gen"/>
    <s v="LITTORAL"/>
    <s v="Douala"/>
    <s v="ZTE"/>
    <n v="0"/>
    <n v="0"/>
    <n v="0"/>
    <n v="0.001373301030439244"/>
    <n v="0"/>
    <n v="0"/>
    <n v="0"/>
    <n v="0"/>
    <n v="0"/>
    <n v="0"/>
    <n v="0"/>
    <n v="0"/>
    <n v="0"/>
    <n v="0"/>
    <n v="0"/>
    <n v="0"/>
    <n v="0"/>
    <n v="0"/>
    <n v="0"/>
    <n v="0"/>
    <n v="0"/>
    <n v="0"/>
    <n v="0"/>
    <n v="0"/>
    <m/>
    <n v="0"/>
    <m/>
    <n v="0"/>
    <m/>
    <n v="0"/>
    <m/>
    <m/>
    <n v="0"/>
    <n v="0"/>
    <n v="0"/>
    <n v="0"/>
    <m/>
    <n v="0"/>
    <n v="0"/>
    <n v="0"/>
    <n v="0.003249030899583429"/>
    <n v="0.001694332440152591"/>
    <x v="0"/>
    <m/>
    <x v="2"/>
    <x v="1"/>
    <s v="no root cause"/>
    <x v="1"/>
    <s v=""/>
  </r>
  <r>
    <s v="Logpom-H-Soeurs"/>
    <s v="LIT_210"/>
    <s v="Douala"/>
    <s v="IHS"/>
    <s v="Grid-Gen"/>
    <s v="LITTORAL"/>
    <s v="Douala"/>
    <s v="ZTE"/>
    <n v="0"/>
    <n v="0"/>
    <n v="0"/>
    <n v="0.001587321970248028"/>
    <n v="0"/>
    <n v="0"/>
    <n v="0"/>
    <n v="0"/>
    <n v="0"/>
    <n v="0"/>
    <n v="0"/>
    <n v="0.002764437139196341"/>
    <n v="0"/>
    <n v="0"/>
    <n v="0"/>
    <n v="0"/>
    <n v="0"/>
    <n v="0"/>
    <n v="0"/>
    <n v="0"/>
    <n v="2.242136870671427"/>
    <n v="0"/>
    <n v="5.2411587949765"/>
    <n v="0"/>
    <m/>
    <n v="0"/>
    <m/>
    <n v="0"/>
    <m/>
    <n v="1.640773699965472"/>
    <m/>
    <m/>
    <n v="0"/>
    <n v="0"/>
    <n v="0"/>
    <n v="0"/>
    <m/>
    <n v="0"/>
    <n v="0"/>
    <n v="0"/>
    <n v="0.003249030899583101"/>
    <n v="0.00169433244015242"/>
    <x v="0"/>
    <m/>
    <x v="2"/>
    <x v="1"/>
    <s v="no root cause"/>
    <x v="1"/>
    <s v=""/>
  </r>
  <r>
    <s v="Meyong-Meyeme"/>
    <s v="CTR_122"/>
    <s v="Yaounde"/>
    <s v="IHS"/>
    <s v="Grid-Gen"/>
    <s v="CENTRE"/>
    <s v="Yaounde"/>
    <s v="ZTE"/>
    <n v="0"/>
    <n v="0"/>
    <n v="0"/>
    <n v="1.33533014870175"/>
    <n v="0"/>
    <n v="0"/>
    <n v="0"/>
    <n v="0"/>
    <n v="0"/>
    <n v="0"/>
    <n v="0"/>
    <n v="0"/>
    <n v="0.2319095233610994"/>
    <n v="0"/>
    <n v="0"/>
    <n v="0"/>
    <n v="0"/>
    <n v="1.302763295694186"/>
    <n v="2.109069351345335"/>
    <n v="2.729569561085857"/>
    <n v="0"/>
    <n v="0"/>
    <n v="0"/>
    <n v="0"/>
    <m/>
    <n v="0"/>
    <m/>
    <n v="3.181278589630543"/>
    <m/>
    <n v="9.245704599738039"/>
    <m/>
    <m/>
    <n v="9.245704599738039"/>
    <n v="9.245704599738039"/>
    <n v="5.334882131534415"/>
    <n v="0"/>
    <m/>
    <n v="0"/>
    <n v="0"/>
    <n v="0"/>
    <n v="0.003180630249065761"/>
    <n v="0.001658662283517736"/>
    <x v="0"/>
    <m/>
    <x v="2"/>
    <x v="1"/>
    <s v="no root cause"/>
    <x v="1"/>
    <s v=""/>
  </r>
  <r>
    <s v="Ndogbong-Hotel-Pacifique"/>
    <s v="LIT_619"/>
    <s v="Douala"/>
    <s v="CAMUSAT"/>
    <s v="Good Grid no GE - 12h"/>
    <s v="LITTORAL"/>
    <s v="Douala"/>
    <s v="ZTE"/>
    <n v="0"/>
    <n v="0"/>
    <n v="0"/>
    <n v="0.00160515704856554"/>
    <n v="0"/>
    <n v="0"/>
    <n v="0"/>
    <n v="0"/>
    <n v="0"/>
    <n v="0"/>
    <n v="0"/>
    <n v="0.3093968504865126"/>
    <n v="0"/>
    <n v="0"/>
    <n v="0"/>
    <n v="0"/>
    <n v="0"/>
    <n v="0"/>
    <n v="0"/>
    <n v="0"/>
    <n v="0.4624992509267106"/>
    <n v="0"/>
    <n v="0.01890518301643919"/>
    <n v="0"/>
    <m/>
    <n v="0"/>
    <m/>
    <n v="0"/>
    <m/>
    <n v="0"/>
    <m/>
    <m/>
    <n v="0"/>
    <n v="0"/>
    <n v="0"/>
    <n v="0"/>
    <m/>
    <n v="0"/>
    <n v="0"/>
    <n v="0"/>
    <n v="0.00314642992380742"/>
    <n v="0.001640827205200566"/>
    <x v="0"/>
    <m/>
    <x v="2"/>
    <x v="1"/>
    <s v="no root cause"/>
    <x v="1"/>
    <s v=""/>
  </r>
  <r>
    <s v="Crf-Mbankolo"/>
    <s v="CTR_637"/>
    <s v="Yaounde"/>
    <m/>
    <m/>
    <s v="CENTRE"/>
    <s v="Yaounde"/>
    <s v="ZTE"/>
    <n v="0"/>
    <n v="0"/>
    <n v="0"/>
    <n v="0"/>
    <n v="0"/>
    <n v="0"/>
    <n v="0"/>
    <n v="0"/>
    <n v="0"/>
    <n v="0"/>
    <n v="0"/>
    <n v="1.314396647197587"/>
    <n v="0.2257385862632804"/>
    <n v="0"/>
    <n v="0"/>
    <n v="0"/>
    <n v="0"/>
    <n v="0"/>
    <n v="0"/>
    <n v="0"/>
    <n v="0.00586774076642321"/>
    <n v="0"/>
    <n v="0"/>
    <n v="0"/>
    <m/>
    <n v="0"/>
    <m/>
    <n v="0"/>
    <m/>
    <n v="0"/>
    <m/>
    <m/>
    <n v="0"/>
    <n v="0"/>
    <n v="0"/>
    <n v="0"/>
    <m/>
    <n v="0.6762883347173367"/>
    <n v="0"/>
    <n v="0"/>
    <n v="0.003146429923807093"/>
    <n v="0.001640827205200395"/>
    <x v="0"/>
    <m/>
    <x v="2"/>
    <x v="1"/>
    <s v="no root cause"/>
    <x v="1"/>
    <s v=""/>
  </r>
  <r>
    <s v="Mvog-Betsi"/>
    <s v="CTR_016"/>
    <s v="Yaounde"/>
    <s v="IHS"/>
    <s v="Grid-Gen"/>
    <s v="CENTRE"/>
    <s v="Yaounde"/>
    <s v="ZTE"/>
    <n v="0"/>
    <n v="13.31638287490048"/>
    <n v="0"/>
    <n v="0"/>
    <n v="0"/>
    <n v="0"/>
    <n v="0"/>
    <n v="0"/>
    <n v="0"/>
    <n v="0"/>
    <n v="0"/>
    <n v="0"/>
    <n v="0"/>
    <n v="0"/>
    <n v="0"/>
    <n v="0"/>
    <n v="0"/>
    <n v="0"/>
    <n v="0"/>
    <n v="0"/>
    <n v="0"/>
    <n v="0"/>
    <n v="0.3830618121010294"/>
    <n v="0"/>
    <m/>
    <n v="0"/>
    <m/>
    <n v="5.507097647767191"/>
    <m/>
    <n v="7.951252450539759"/>
    <m/>
    <m/>
    <n v="6.326601661373215"/>
    <n v="20.42785282778733"/>
    <n v="0.2124157827601847"/>
    <n v="1.099586083502411"/>
    <m/>
    <n v="0"/>
    <n v="0"/>
    <n v="0"/>
    <n v="0.003146429923807093"/>
    <n v="0.001640827205200395"/>
    <x v="0"/>
    <m/>
    <x v="2"/>
    <x v="1"/>
    <s v="no root cause"/>
    <x v="1"/>
    <s v=""/>
  </r>
  <r>
    <s v="Entree-Cite-Verte-IHS"/>
    <s v="CTR_519"/>
    <s v="Yaounde"/>
    <s v="IHS"/>
    <s v="Grid-Gen"/>
    <s v="CENTRE"/>
    <s v="Yaounde"/>
    <s v="ZTE"/>
    <n v="0"/>
    <n v="0"/>
    <n v="0"/>
    <n v="0"/>
    <n v="0"/>
    <n v="0"/>
    <n v="0"/>
    <n v="0"/>
    <n v="0.06950330020289146"/>
    <n v="0"/>
    <n v="0"/>
    <n v="2.333981590678653"/>
    <n v="0.01293043178011184"/>
    <n v="0.08282610370598623"/>
    <n v="7.336816167427154"/>
    <n v="2.03912017418451"/>
    <n v="0"/>
    <n v="0"/>
    <n v="0"/>
    <n v="0.002657426669291949"/>
    <n v="13.86916329226985"/>
    <n v="0"/>
    <n v="0.3387594775606183"/>
    <n v="0"/>
    <m/>
    <n v="0"/>
    <m/>
    <n v="0"/>
    <m/>
    <n v="0"/>
    <m/>
    <m/>
    <n v="0"/>
    <n v="0"/>
    <n v="0.1191739933168391"/>
    <n v="0"/>
    <m/>
    <n v="0"/>
    <n v="0"/>
    <n v="0"/>
    <n v="0.003112229598548423"/>
    <n v="0.001622992126883053"/>
    <x v="0"/>
    <m/>
    <x v="2"/>
    <x v="1"/>
    <s v="no root cause"/>
    <x v="1"/>
    <s v=""/>
  </r>
  <r>
    <s v="Logpom-Kosovo"/>
    <s v="LIT_276"/>
    <s v="Douala"/>
    <s v="IHS"/>
    <s v="Grid-Gen"/>
    <s v="LITTORAL"/>
    <s v="Douala"/>
    <s v="ZTE"/>
    <n v="0"/>
    <n v="0"/>
    <n v="0"/>
    <n v="0.001908353379961375"/>
    <n v="0"/>
    <n v="0"/>
    <n v="0"/>
    <n v="0"/>
    <n v="0"/>
    <n v="0"/>
    <n v="0"/>
    <n v="0"/>
    <n v="0"/>
    <n v="0"/>
    <n v="0"/>
    <n v="0"/>
    <n v="0"/>
    <n v="0"/>
    <n v="0"/>
    <n v="0"/>
    <n v="0"/>
    <n v="0"/>
    <n v="0"/>
    <n v="0"/>
    <m/>
    <n v="0"/>
    <m/>
    <n v="0"/>
    <m/>
    <n v="0"/>
    <m/>
    <m/>
    <n v="0"/>
    <n v="0"/>
    <n v="0"/>
    <n v="0"/>
    <m/>
    <n v="0"/>
    <n v="0"/>
    <n v="0"/>
    <n v="0.003112229598548095"/>
    <n v="0.001622992126882882"/>
    <x v="0"/>
    <m/>
    <x v="2"/>
    <x v="1"/>
    <s v="no root cause"/>
    <x v="1"/>
    <s v=""/>
  </r>
  <r>
    <s v="Kanga"/>
    <s v="LIT_510"/>
    <s v="LITTORAL"/>
    <s v="IHS"/>
    <s v="Grid-Hybrid-Gen"/>
    <s v="LITTORAL"/>
    <s v="Massock-Songloulou"/>
    <s v="NOKIA"/>
    <n v="0"/>
    <n v="0"/>
    <n v="0"/>
    <n v="0"/>
    <n v="0"/>
    <n v="0.9950909551813771"/>
    <n v="0"/>
    <n v="0"/>
    <n v="0.007210182674012477"/>
    <n v="1.945774552425614"/>
    <n v="9.29723091169658"/>
    <n v="6.163803066492026"/>
    <n v="9.297122698468232"/>
    <n v="9.244955526448708"/>
    <n v="9.245116042153564"/>
    <n v="9.245116042153564"/>
    <n v="9.245223052623469"/>
    <n v="9.245330063093373"/>
    <n v="9.245330063093373"/>
    <n v="9.245062536918612"/>
    <n v="4.38841019538685"/>
    <n v="9.245169547388516"/>
    <n v="9.245116042153564"/>
    <n v="9.245116042153564"/>
    <m/>
    <n v="9.245062536918612"/>
    <m/>
    <n v="2.534293288588689"/>
    <m/>
    <n v="0"/>
    <m/>
    <m/>
    <n v="0"/>
    <n v="0"/>
    <n v="0"/>
    <n v="0.001426888839977247"/>
    <m/>
    <n v="0.05052677687318252"/>
    <n v="0"/>
    <n v="0.004781634773667339"/>
    <n v="0"/>
    <n v="0.001605249944974446"/>
    <x v="0"/>
    <m/>
    <x v="2"/>
    <x v="1"/>
    <s v="no root cause"/>
    <x v="1"/>
    <s v=""/>
  </r>
  <r>
    <s v="Jean-Vespa2-MTN-IHS"/>
    <s v="CTR_525"/>
    <s v="Yaounde"/>
    <s v="IHS"/>
    <s v="Grid-Gen"/>
    <s v="CENTRE"/>
    <s v="Yaounde"/>
    <s v="ZTE"/>
    <n v="0"/>
    <n v="0"/>
    <n v="0"/>
    <n v="0"/>
    <n v="0"/>
    <n v="0"/>
    <n v="0"/>
    <n v="0"/>
    <n v="0"/>
    <n v="0"/>
    <n v="0"/>
    <n v="0"/>
    <n v="0.2047110289270706"/>
    <n v="0"/>
    <n v="0"/>
    <n v="0"/>
    <n v="0"/>
    <n v="0"/>
    <n v="0"/>
    <n v="0"/>
    <n v="0"/>
    <n v="0"/>
    <n v="0"/>
    <n v="0"/>
    <m/>
    <n v="0"/>
    <m/>
    <n v="0"/>
    <m/>
    <n v="0"/>
    <m/>
    <m/>
    <n v="0"/>
    <n v="0"/>
    <n v="0"/>
    <n v="0"/>
    <m/>
    <n v="0"/>
    <n v="0"/>
    <n v="0"/>
    <n v="0.003043828948031084"/>
    <n v="0.00158732197024837"/>
    <x v="0"/>
    <m/>
    <x v="2"/>
    <x v="1"/>
    <s v="no root cause"/>
    <x v="1"/>
    <s v=""/>
  </r>
  <r>
    <s v="Mak-Missoke"/>
    <s v="LIT_080"/>
    <s v="Douala"/>
    <s v="IHS"/>
    <s v="Grid-Gen"/>
    <s v="LITTORAL"/>
    <s v="Douala"/>
    <s v="ZTE"/>
    <n v="0"/>
    <n v="0"/>
    <n v="0"/>
    <n v="0.002015363849865768"/>
    <n v="0"/>
    <n v="0.2307145731138338"/>
    <n v="0.0398970701960138"/>
    <n v="0"/>
    <n v="0"/>
    <n v="0"/>
    <n v="0"/>
    <n v="0"/>
    <n v="0"/>
    <n v="0"/>
    <n v="0"/>
    <n v="0"/>
    <n v="0"/>
    <n v="0"/>
    <n v="0"/>
    <n v="0"/>
    <n v="0"/>
    <n v="0"/>
    <n v="0"/>
    <n v="0"/>
    <m/>
    <n v="0"/>
    <m/>
    <n v="5.628750716970151"/>
    <m/>
    <n v="37.45286188800712"/>
    <m/>
    <m/>
    <n v="0"/>
    <n v="0"/>
    <n v="0"/>
    <n v="0"/>
    <m/>
    <n v="0"/>
    <n v="0"/>
    <n v="0"/>
    <n v="0.003043828948030428"/>
    <n v="0.001587321970248027"/>
    <x v="0"/>
    <m/>
    <x v="2"/>
    <x v="1"/>
    <s v="no root cause"/>
    <x v="1"/>
    <s v=""/>
  </r>
  <r>
    <s v="Ndogbong-Bifaka"/>
    <s v="LIT_671"/>
    <s v="Douala"/>
    <s v="CAMUSAT"/>
    <s v="Good Grid no GE - 8h"/>
    <s v="LITTORAL"/>
    <s v="Douala"/>
    <s v="ZTE"/>
    <n v="0"/>
    <n v="3.407873259653058"/>
    <n v="0"/>
    <n v="0.001355465952121986"/>
    <n v="0"/>
    <n v="0"/>
    <n v="0"/>
    <n v="0"/>
    <n v="1.054570345829303"/>
    <n v="0"/>
    <n v="14.17680055816661"/>
    <n v="0.08268342307944744"/>
    <n v="0"/>
    <n v="0"/>
    <n v="0"/>
    <n v="0.6082296758581529"/>
    <n v="0"/>
    <n v="0"/>
    <n v="30.41291059917302"/>
    <n v="13.83311859899039"/>
    <n v="0.04048562778048871"/>
    <n v="10.01020523181322"/>
    <n v="32.06219163149589"/>
    <n v="2.362024267120962"/>
    <m/>
    <n v="0.6725429682706823"/>
    <m/>
    <n v="3.019960306249697"/>
    <m/>
    <n v="2.484783111179596"/>
    <m/>
    <m/>
    <n v="19.23313443653994"/>
    <n v="0"/>
    <n v="3.935274360576773"/>
    <n v="1.480275830187225"/>
    <m/>
    <n v="14.19574141133969"/>
    <n v="0"/>
    <n v="0"/>
    <n v="0.002907027646995882"/>
    <n v="0.001515981656978729"/>
    <x v="0"/>
    <m/>
    <x v="2"/>
    <x v="1"/>
    <s v="no root cause"/>
    <x v="1"/>
    <s v=""/>
  </r>
  <r>
    <s v="Ndogbong-Guinness"/>
    <s v="LIT_432"/>
    <s v="Douala"/>
    <s v="IHS"/>
    <s v="Grid-Gen"/>
    <s v="LITTORAL"/>
    <s v="Douala"/>
    <s v="ZTE"/>
    <n v="0"/>
    <n v="0"/>
    <n v="0"/>
    <n v="0.001640827205200395"/>
    <n v="0"/>
    <n v="0"/>
    <n v="0"/>
    <n v="0"/>
    <n v="0"/>
    <n v="0"/>
    <n v="0"/>
    <n v="0"/>
    <n v="0"/>
    <n v="0"/>
    <n v="0"/>
    <n v="0"/>
    <n v="0"/>
    <n v="0"/>
    <n v="0"/>
    <n v="0"/>
    <n v="0"/>
    <n v="0"/>
    <n v="0"/>
    <n v="0"/>
    <m/>
    <n v="0"/>
    <m/>
    <n v="0"/>
    <m/>
    <n v="0"/>
    <m/>
    <m/>
    <n v="0"/>
    <n v="0"/>
    <n v="0"/>
    <n v="0"/>
    <m/>
    <n v="0"/>
    <n v="0"/>
    <n v="0"/>
    <n v="0.002907027646995423"/>
    <n v="0.00151598165697849"/>
    <x v="0"/>
    <m/>
    <x v="2"/>
    <x v="1"/>
    <s v="no root cause"/>
    <x v="1"/>
    <s v=""/>
  </r>
  <r>
    <s v="Biscuiterie-IHS"/>
    <s v="CTR_157"/>
    <s v="Yaounde"/>
    <s v="IHS"/>
    <s v="Grid-Gen"/>
    <s v="CENTRE"/>
    <s v="Yaounde"/>
    <s v="ZTE"/>
    <n v="2.200420622487037"/>
    <n v="0.5989376000547901"/>
    <n v="0"/>
    <n v="0"/>
    <n v="0"/>
    <n v="0"/>
    <n v="0"/>
    <n v="0"/>
    <n v="0"/>
    <n v="0"/>
    <n v="0.09306343866017193"/>
    <n v="0"/>
    <n v="0"/>
    <n v="0"/>
    <n v="0"/>
    <n v="0"/>
    <n v="0"/>
    <n v="0"/>
    <n v="0"/>
    <n v="0.1757825318962541"/>
    <n v="0"/>
    <n v="0"/>
    <n v="0.685152368641081"/>
    <n v="0"/>
    <m/>
    <n v="0"/>
    <m/>
    <n v="5.353198756966381"/>
    <m/>
    <n v="0"/>
    <m/>
    <m/>
    <n v="5.42313009904889"/>
    <n v="13.9099164462251"/>
    <n v="0.1370804119475046"/>
    <n v="0"/>
    <m/>
    <n v="0"/>
    <n v="0"/>
    <n v="0"/>
    <n v="0.002907027646995423"/>
    <n v="0.00151598165697849"/>
    <x v="0"/>
    <m/>
    <x v="2"/>
    <x v="1"/>
    <s v="no root cause"/>
    <x v="1"/>
    <s v=""/>
  </r>
  <r>
    <s v="Carriere"/>
    <s v="CTR_720"/>
    <s v="Yaounde"/>
    <s v="CAMUSAT"/>
    <s v="Good Grid no GE - 8h"/>
    <s v="CENTRE"/>
    <s v="Yaounde"/>
    <s v="ZTE"/>
    <n v="0"/>
    <n v="0"/>
    <n v="0"/>
    <n v="0.2634954470612065"/>
    <n v="0"/>
    <n v="0"/>
    <n v="1.715342162410504"/>
    <n v="0"/>
    <n v="0"/>
    <n v="0"/>
    <n v="0"/>
    <n v="0.5038944677013867"/>
    <n v="0.1577512677173671"/>
    <n v="0"/>
    <n v="0"/>
    <n v="0"/>
    <n v="0"/>
    <n v="0"/>
    <n v="0"/>
    <n v="0"/>
    <n v="0"/>
    <n v="0"/>
    <n v="0"/>
    <n v="0"/>
    <m/>
    <n v="0"/>
    <m/>
    <n v="4.170733064523033"/>
    <m/>
    <n v="0"/>
    <m/>
    <m/>
    <n v="9.245704599738039"/>
    <n v="5.263630993656419"/>
    <n v="0.3327312210893383"/>
    <n v="0"/>
    <m/>
    <n v="0"/>
    <n v="0"/>
    <n v="0"/>
    <n v="0.002872827321736754"/>
    <n v="0.001498146578661148"/>
    <x v="0"/>
    <m/>
    <x v="2"/>
    <x v="1"/>
    <s v="no root cause"/>
    <x v="1"/>
    <s v=""/>
  </r>
  <r>
    <s v="Obili-New"/>
    <s v="CTR_540"/>
    <s v="Yaounde"/>
    <s v="IHS"/>
    <s v="Grid-Gen"/>
    <s v="CENTRE"/>
    <s v="Yaounde"/>
    <s v="ZTE"/>
    <n v="0"/>
    <n v="0"/>
    <n v="0"/>
    <n v="0"/>
    <n v="0"/>
    <n v="0"/>
    <n v="0"/>
    <n v="0"/>
    <n v="0"/>
    <n v="0"/>
    <n v="0"/>
    <n v="0"/>
    <n v="0.0140362066357905"/>
    <n v="0"/>
    <n v="0"/>
    <n v="0.3538479538171348"/>
    <n v="0"/>
    <n v="0"/>
    <n v="0"/>
    <n v="0"/>
    <n v="0"/>
    <n v="0"/>
    <n v="0.3899996575664971"/>
    <n v="0"/>
    <m/>
    <n v="0"/>
    <m/>
    <n v="5.304401982689985"/>
    <m/>
    <n v="0"/>
    <m/>
    <m/>
    <n v="3.510478465213037"/>
    <n v="5.4416964155773"/>
    <n v="0.1389174250141971"/>
    <n v="0"/>
    <m/>
    <n v="0"/>
    <n v="0"/>
    <n v="0"/>
    <n v="0.002872827321736754"/>
    <n v="0.001498146578661148"/>
    <x v="0"/>
    <m/>
    <x v="2"/>
    <x v="1"/>
    <s v="no root cause"/>
    <x v="1"/>
    <s v=""/>
  </r>
  <r>
    <s v="Bastos-Nylon"/>
    <s v="CTR_198"/>
    <s v="Yaounde"/>
    <s v="IHS"/>
    <s v="Grid-Gen"/>
    <s v="CENTRE"/>
    <s v="Yaounde"/>
    <s v="ZTE"/>
    <n v="0"/>
    <n v="0"/>
    <n v="0"/>
    <n v="0.2028026755471091"/>
    <n v="0"/>
    <n v="0"/>
    <n v="0"/>
    <n v="0"/>
    <n v="0"/>
    <n v="0"/>
    <n v="0"/>
    <n v="1.790731038458136"/>
    <n v="0.1191383231602048"/>
    <n v="0"/>
    <n v="0"/>
    <n v="0"/>
    <n v="0"/>
    <n v="0"/>
    <n v="0"/>
    <n v="0"/>
    <n v="0.7563856714407604"/>
    <n v="0"/>
    <n v="0"/>
    <n v="0"/>
    <m/>
    <n v="0"/>
    <m/>
    <n v="0"/>
    <m/>
    <n v="0"/>
    <m/>
    <m/>
    <n v="7.656367265639937"/>
    <n v="11.54821321051385"/>
    <n v="0.1412538202737751"/>
    <n v="0"/>
    <m/>
    <n v="0"/>
    <n v="0"/>
    <n v="0"/>
    <n v="0.002838626996478084"/>
    <n v="0.001480311500343806"/>
    <x v="0"/>
    <m/>
    <x v="2"/>
    <x v="1"/>
    <s v="no root cause"/>
    <x v="1"/>
    <s v=""/>
  </r>
  <r>
    <s v="Etougebe-Lycee-MTN"/>
    <s v="CTR_419"/>
    <s v="Yaounde"/>
    <s v="IHS"/>
    <s v="Grid-Gen"/>
    <s v="CENTRE"/>
    <s v="Yaounde"/>
    <s v="ZTE"/>
    <n v="0"/>
    <n v="0"/>
    <n v="0"/>
    <n v="0.5859001578047738"/>
    <n v="0"/>
    <n v="0"/>
    <n v="0"/>
    <n v="0"/>
    <n v="0"/>
    <n v="0"/>
    <n v="0"/>
    <n v="0"/>
    <n v="0"/>
    <n v="0"/>
    <n v="0"/>
    <n v="0"/>
    <n v="0"/>
    <n v="0"/>
    <n v="0"/>
    <n v="0"/>
    <n v="0"/>
    <n v="0"/>
    <n v="0"/>
    <n v="0"/>
    <m/>
    <n v="0"/>
    <m/>
    <n v="0"/>
    <m/>
    <n v="0"/>
    <m/>
    <m/>
    <n v="0"/>
    <n v="0"/>
    <n v="0"/>
    <n v="0"/>
    <m/>
    <n v="0"/>
    <n v="0"/>
    <n v="0"/>
    <n v="0.002770226345960417"/>
    <n v="0.001444641343708952"/>
    <x v="0"/>
    <m/>
    <x v="2"/>
    <x v="1"/>
    <s v="no root cause"/>
    <x v="1"/>
    <s v=""/>
  </r>
  <r>
    <s v="Bastos-Golf"/>
    <s v="CTR_769"/>
    <s v="Yaounde"/>
    <s v="CAMUSAT"/>
    <s v="Good Grid + GE"/>
    <s v="CENTRE"/>
    <s v="Yaounde"/>
    <s v="ZTE"/>
    <n v="0"/>
    <n v="0"/>
    <n v="0"/>
    <n v="0"/>
    <n v="0"/>
    <n v="0"/>
    <n v="0"/>
    <n v="0"/>
    <n v="0"/>
    <n v="0"/>
    <n v="0"/>
    <n v="0"/>
    <n v="3.307194242551358"/>
    <n v="0"/>
    <n v="0"/>
    <n v="0"/>
    <n v="0"/>
    <n v="0"/>
    <n v="0"/>
    <n v="0"/>
    <n v="0"/>
    <n v="0"/>
    <n v="0"/>
    <n v="0"/>
    <m/>
    <n v="0"/>
    <m/>
    <n v="0"/>
    <m/>
    <n v="0"/>
    <m/>
    <m/>
    <n v="0"/>
    <n v="0"/>
    <n v="0"/>
    <n v="0"/>
    <m/>
    <n v="0"/>
    <n v="0"/>
    <n v="0"/>
    <n v="0.002736026020701748"/>
    <n v="0.001426806265391611"/>
    <x v="0"/>
    <m/>
    <x v="2"/>
    <x v="1"/>
    <s v="no root cause"/>
    <x v="1"/>
    <s v=""/>
  </r>
  <r>
    <s v="LIT_010_Z_Ndogbong"/>
    <s v="LIT_010"/>
    <s v="Douala"/>
    <m/>
    <m/>
    <s v="LITTORAL"/>
    <s v="Douala"/>
    <s v="ZTE"/>
    <n v="0"/>
    <n v="0"/>
    <n v="0"/>
    <n v="0.001480311500343635"/>
    <n v="0"/>
    <n v="0"/>
    <n v="0"/>
    <n v="0.3820095424803031"/>
    <n v="0"/>
    <n v="0"/>
    <n v="0"/>
    <n v="0"/>
    <n v="0"/>
    <n v="0"/>
    <n v="0"/>
    <n v="0"/>
    <n v="0"/>
    <n v="0"/>
    <n v="0"/>
    <n v="0"/>
    <n v="0"/>
    <n v="0"/>
    <n v="0"/>
    <n v="0"/>
    <m/>
    <n v="0"/>
    <m/>
    <n v="0"/>
    <m/>
    <n v="0"/>
    <m/>
    <m/>
    <n v="0"/>
    <n v="0"/>
    <n v="0"/>
    <n v="0"/>
    <m/>
    <n v="0"/>
    <n v="0"/>
    <n v="0"/>
    <n v="0.00273602602070142"/>
    <n v="0.001426806265391439"/>
    <x v="0"/>
    <m/>
    <x v="2"/>
    <x v="1"/>
    <s v="no root cause"/>
    <x v="1"/>
    <s v=""/>
  </r>
  <r>
    <s v="CTR_064_Z_Etoa-Meki"/>
    <s v="CTR_064"/>
    <s v="Yaounde"/>
    <m/>
    <m/>
    <s v="CENTRE"/>
    <s v="Yaounde"/>
    <s v="ZTE"/>
    <n v="0"/>
    <n v="0"/>
    <n v="0"/>
    <n v="0"/>
    <n v="0.04874326904144267"/>
    <n v="0"/>
    <n v="0"/>
    <n v="0.05220327423501792"/>
    <n v="0"/>
    <n v="0"/>
    <n v="0"/>
    <n v="0"/>
    <n v="0"/>
    <n v="9.245704599738039"/>
    <n v="9.245704599738039"/>
    <n v="9.245704599738039"/>
    <n v="4.544948677778635"/>
    <n v="0"/>
    <n v="0"/>
    <n v="0"/>
    <n v="0"/>
    <n v="0"/>
    <n v="5.755272762553754"/>
    <n v="4.776305313711894"/>
    <m/>
    <n v="9.245704599738039"/>
    <m/>
    <n v="3.021066081105375"/>
    <m/>
    <n v="7.609871216466486"/>
    <m/>
    <m/>
    <n v="0"/>
    <n v="0"/>
    <n v="0"/>
    <n v="0"/>
    <m/>
    <n v="0"/>
    <n v="0"/>
    <n v="0"/>
    <n v="0.00273602602070142"/>
    <n v="0.001426806265391439"/>
    <x v="0"/>
    <m/>
    <x v="11"/>
    <x v="7"/>
    <s v="BSS Hardware issue"/>
    <x v="2"/>
    <s v="05-25-2026: hardware issue,  site with GPS issue (alarm : TDD down 09Apr 02pm)"/>
  </r>
  <r>
    <s v="E-Police"/>
    <s v="CTR_076"/>
    <s v="Yaounde"/>
    <s v="IHS"/>
    <s v="GridOnly"/>
    <s v="CENTRE"/>
    <s v="Yaounde"/>
    <s v="ZTE"/>
    <n v="0"/>
    <n v="0"/>
    <n v="5.610130895206786"/>
    <n v="0.02757303107869388"/>
    <n v="0"/>
    <n v="0"/>
    <n v="0.0278940624884074"/>
    <n v="0"/>
    <n v="0"/>
    <n v="0"/>
    <n v="0"/>
    <n v="0"/>
    <n v="9.55073794420046"/>
    <n v="0"/>
    <n v="0"/>
    <n v="0"/>
    <n v="0"/>
    <n v="0"/>
    <n v="0"/>
    <n v="0"/>
    <n v="0"/>
    <n v="0"/>
    <n v="4.103851520832798"/>
    <n v="0"/>
    <m/>
    <n v="0"/>
    <m/>
    <n v="0"/>
    <m/>
    <n v="2.502725199966896"/>
    <m/>
    <m/>
    <n v="0"/>
    <n v="0"/>
    <n v="0.2275755993299713"/>
    <n v="8.031920509769343"/>
    <m/>
    <n v="0"/>
    <n v="0"/>
    <n v="0"/>
    <n v="0.002667625370184081"/>
    <n v="0.001391136108756756"/>
    <x v="0"/>
    <m/>
    <x v="2"/>
    <x v="1"/>
    <s v="no root cause"/>
    <x v="1"/>
    <s v=""/>
  </r>
  <r>
    <s v="Magada-IHS"/>
    <s v="EXN_128"/>
    <s v="EXTREME-NORD"/>
    <s v="IHS"/>
    <s v="Gen Only"/>
    <s v="EXTREME-NORD"/>
    <s v="Magada"/>
    <s v="NOKIA"/>
    <n v="0"/>
    <n v="0.002140333259965871"/>
    <n v="0.03802340802851551"/>
    <n v="0"/>
    <n v="0"/>
    <n v="0"/>
    <n v="0"/>
    <n v="0.1485727397069183"/>
    <n v="0"/>
    <n v="0"/>
    <n v="0"/>
    <n v="0"/>
    <n v="0.2007923428522423"/>
    <n v="0.02445271295809489"/>
    <n v="0.401907422363686"/>
    <n v="0"/>
    <n v="0"/>
    <n v="0"/>
    <n v="0"/>
    <n v="0"/>
    <n v="0"/>
    <n v="0"/>
    <n v="0"/>
    <n v="0"/>
    <m/>
    <n v="0"/>
    <m/>
    <n v="0"/>
    <m/>
    <n v="0.1021077070998265"/>
    <m/>
    <m/>
    <n v="0.8715646072145031"/>
    <n v="1.516855575816204"/>
    <n v="1.208873859305243"/>
    <n v="4.243950655656522"/>
    <m/>
    <n v="1.214996138316102"/>
    <n v="0"/>
    <n v="0.003984695644722867"/>
    <n v="0"/>
    <n v="0.001337708287478733"/>
    <x v="1"/>
    <m/>
    <x v="4"/>
    <x v="0"/>
    <s v="Defaut GE &amp; Power Cabinet"/>
    <x v="0"/>
    <s v="{hourly IHS}: 25/05/2026 00:50 2:31:50 48V Robert is informed and managing with L0."/>
  </r>
  <r>
    <s v="Meguia"/>
    <s v="OST_029"/>
    <s v="NORD-OUEST"/>
    <s v="IHS"/>
    <s v="Gen Only"/>
    <s v="OUEST"/>
    <s v="Meguia"/>
    <s v="NOKIA"/>
    <n v="0"/>
    <n v="0"/>
    <n v="0"/>
    <n v="0"/>
    <n v="0.001605157048565883"/>
    <n v="0"/>
    <n v="0"/>
    <n v="0"/>
    <n v="0"/>
    <n v="0"/>
    <n v="0"/>
    <n v="0"/>
    <n v="0"/>
    <n v="0"/>
    <n v="0"/>
    <n v="1.963713463058559"/>
    <n v="0.002140209398087672"/>
    <n v="0"/>
    <n v="0"/>
    <n v="0"/>
    <n v="0"/>
    <n v="0"/>
    <n v="0"/>
    <n v="0"/>
    <m/>
    <n v="0"/>
    <m/>
    <n v="0.008025785242828385"/>
    <m/>
    <n v="0.3558633176670005"/>
    <m/>
    <m/>
    <n v="0"/>
    <n v="0"/>
    <n v="0"/>
    <n v="0"/>
    <m/>
    <n v="0"/>
    <n v="0"/>
    <n v="0.003984465048910219"/>
    <n v="0"/>
    <n v="0.001337630873804731"/>
    <x v="0"/>
    <m/>
    <x v="2"/>
    <x v="1"/>
    <s v="no root cause"/>
    <x v="1"/>
    <s v=""/>
  </r>
  <r>
    <s v="Ngd-Bini"/>
    <s v="ADM_069"/>
    <s v="Ngaoundere"/>
    <s v="IHS"/>
    <s v="Grid-Gen"/>
    <s v="ADAMAOUA"/>
    <s v="Ngaoundere"/>
    <s v="Huawei"/>
    <n v="0"/>
    <n v="0.005065162242140437"/>
    <n v="0"/>
    <n v="0"/>
    <n v="0"/>
    <n v="0"/>
    <n v="0"/>
    <n v="0"/>
    <n v="0.03757851001475317"/>
    <n v="0"/>
    <n v="0"/>
    <n v="0"/>
    <n v="0"/>
    <n v="0"/>
    <n v="0"/>
    <n v="0.009791457996250353"/>
    <n v="0.6239245447774611"/>
    <n v="0.000802578524282816"/>
    <n v="0.9287438683000743"/>
    <n v="0.9870824094762766"/>
    <n v="0"/>
    <n v="0.000802578524282816"/>
    <n v="0"/>
    <n v="0.0002675261747609386"/>
    <m/>
    <n v="0.0008917539158697954"/>
    <m/>
    <n v="0.9214136511116247"/>
    <m/>
    <n v="0.0002675261747609386"/>
    <m/>
    <m/>
    <n v="0.001426806265391673"/>
    <n v="0.003121138705544283"/>
    <n v="0.002407735572848447"/>
    <n v="0.8666956308338541"/>
    <m/>
    <n v="0.0005350523495218772"/>
    <n v="0"/>
    <n v="0.003984465048910105"/>
    <n v="0"/>
    <n v="0.001337630873804693"/>
    <x v="0"/>
    <m/>
    <x v="2"/>
    <x v="1"/>
    <s v="no root cause"/>
    <x v="1"/>
    <s v=""/>
  </r>
  <r>
    <s v="Sapeur"/>
    <s v="CTR_322"/>
    <s v="Yaounde"/>
    <s v="IHS"/>
    <s v="Grid-Gen"/>
    <s v="CENTRE"/>
    <s v="Yaounde"/>
    <s v="ZTE"/>
    <n v="0"/>
    <n v="0"/>
    <n v="6.353889331198834"/>
    <n v="0"/>
    <n v="0"/>
    <n v="0"/>
    <n v="0"/>
    <n v="0"/>
    <n v="0"/>
    <n v="0"/>
    <n v="0"/>
    <n v="0"/>
    <n v="0.1753901601732713"/>
    <n v="0"/>
    <n v="0"/>
    <n v="0"/>
    <n v="0"/>
    <n v="0"/>
    <n v="0"/>
    <n v="0.005974751236327762"/>
    <n v="0"/>
    <n v="0"/>
    <n v="0.4391352983309216"/>
    <n v="0"/>
    <m/>
    <n v="0"/>
    <m/>
    <n v="0"/>
    <m/>
    <n v="0"/>
    <m/>
    <m/>
    <n v="0"/>
    <n v="0"/>
    <n v="0.2433596436408666"/>
    <n v="0"/>
    <m/>
    <n v="7.14621268544915"/>
    <n v="0"/>
    <n v="0"/>
    <n v="0.002565024394407745"/>
    <n v="0.00133763087380456"/>
    <x v="0"/>
    <m/>
    <x v="2"/>
    <x v="1"/>
    <s v="no root cause"/>
    <x v="1"/>
    <s v=""/>
  </r>
  <r>
    <s v="H-Central"/>
    <s v="CTR_110"/>
    <s v="Yaounde"/>
    <s v="IHS"/>
    <s v="Grid-Gen"/>
    <s v="CENTRE"/>
    <s v="Yaounde"/>
    <s v="ZTE"/>
    <n v="0"/>
    <n v="0"/>
    <n v="0"/>
    <n v="0"/>
    <n v="0"/>
    <n v="0"/>
    <n v="0"/>
    <n v="0"/>
    <n v="0"/>
    <n v="0"/>
    <n v="0"/>
    <n v="0"/>
    <n v="0"/>
    <n v="0"/>
    <n v="0.03932634768985777"/>
    <n v="0.001159280090630801"/>
    <n v="0"/>
    <n v="0"/>
    <n v="0"/>
    <n v="0"/>
    <n v="0"/>
    <n v="0"/>
    <n v="0"/>
    <n v="13.70916480468449"/>
    <m/>
    <n v="0"/>
    <m/>
    <n v="0.01205651294255958"/>
    <m/>
    <n v="0"/>
    <m/>
    <m/>
    <n v="0"/>
    <n v="0"/>
    <n v="0"/>
    <n v="0"/>
    <m/>
    <n v="0"/>
    <n v="0"/>
    <n v="0"/>
    <n v="0.002565024394407745"/>
    <n v="0.00133763087380456"/>
    <x v="0"/>
    <m/>
    <x v="5"/>
    <x v="2"/>
    <s v="IP &amp; VLAN"/>
    <x v="2"/>
    <s v="{05-25-2026 goupe whatsapp incident}:    impacted by    CTR_351_Z_Mimboman-Nodal(CTR-351)  ,Cause: Boucle ethernet  ,Action: Desactivation de la boucle"/>
  </r>
  <r>
    <s v="Ngd-University-II-IHS"/>
    <s v="ADM_127"/>
    <s v="Ngaoundere"/>
    <s v="IHS"/>
    <s v="Grid-Gen"/>
    <s v="ADAMAOUA"/>
    <s v="Ngaoundere"/>
    <s v="Huawei"/>
    <n v="0"/>
    <n v="0.00461928528420554"/>
    <n v="0"/>
    <n v="0"/>
    <n v="0"/>
    <n v="0"/>
    <n v="0"/>
    <n v="0"/>
    <n v="0.03581283726133098"/>
    <n v="0"/>
    <n v="0"/>
    <n v="0"/>
    <n v="0"/>
    <n v="0"/>
    <n v="0"/>
    <n v="0.01016599464091567"/>
    <n v="3.348892655657429"/>
    <n v="1.773109981080549"/>
    <n v="19.20181603901459"/>
    <n v="1.184802087702927"/>
    <n v="0"/>
    <n v="0.0003567015663479182"/>
    <n v="0"/>
    <n v="0.0008025785242828158"/>
    <m/>
    <n v="0.0002675261747609386"/>
    <m/>
    <n v="0.6953005282036795"/>
    <m/>
    <n v="0.0008917539158697954"/>
    <m/>
    <m/>
    <n v="0.001694332440152611"/>
    <n v="0.001515981656978652"/>
    <n v="0.00196185861491355"/>
    <n v="0.002051034006500529"/>
    <m/>
    <n v="0.0006242277411088568"/>
    <n v="0"/>
    <n v="0.003187572039128084"/>
    <n v="0"/>
    <n v="0.001070104699043754"/>
    <x v="0"/>
    <m/>
    <x v="2"/>
    <x v="1"/>
    <s v="no root cause"/>
    <x v="1"/>
    <s v=""/>
  </r>
  <r>
    <s v="Yatchika-II"/>
    <s v="LIT_757"/>
    <s v="Douala"/>
    <s v="CAMUSAT"/>
    <s v="Good Grid + GE"/>
    <s v="LITTORAL"/>
    <s v="Douala"/>
    <s v="ZTE"/>
    <n v="0"/>
    <n v="0"/>
    <n v="0"/>
    <n v="0"/>
    <n v="0.08716002773711383"/>
    <n v="0"/>
    <n v="0"/>
    <n v="0"/>
    <n v="0"/>
    <n v="0"/>
    <n v="0"/>
    <n v="0"/>
    <n v="0"/>
    <n v="0"/>
    <n v="0"/>
    <n v="0.003085468548909347"/>
    <n v="0"/>
    <n v="0"/>
    <n v="0"/>
    <n v="0"/>
    <n v="0"/>
    <n v="0"/>
    <n v="18.08557199236373"/>
    <n v="0"/>
    <m/>
    <n v="0"/>
    <m/>
    <n v="0"/>
    <m/>
    <n v="0.1001082945955432"/>
    <m/>
    <m/>
    <n v="0.0009095889941871625"/>
    <n v="0"/>
    <n v="0"/>
    <n v="0"/>
    <m/>
    <n v="0"/>
    <n v="0"/>
    <n v="0"/>
    <n v="0.001812617238715052"/>
    <n v="0.0009452591508220168"/>
    <x v="0"/>
    <m/>
    <x v="2"/>
    <x v="1"/>
    <s v="no root cause"/>
    <x v="1"/>
    <s v=""/>
  </r>
  <r>
    <s v="Ndu"/>
    <s v="NRO_009"/>
    <s v="NORD-OUEST"/>
    <s v="IHS"/>
    <s v="Grid-Gen"/>
    <s v="NORD-OUEST"/>
    <s v="NDU"/>
    <s v="NOKIA"/>
    <n v="0.5726561855813863"/>
    <n v="1.143273680026928"/>
    <n v="0.9697590601148454"/>
    <n v="0.002140209398087501"/>
    <n v="1.3767092508487"/>
    <n v="0.0019618586149134"/>
    <n v="0.004012892621414022"/>
    <n v="0.0019618586149134"/>
    <n v="0.4534717158103149"/>
    <n v="0.9101247024098462"/>
    <n v="1.703042643606553"/>
    <n v="0"/>
    <n v="1.06852854248646"/>
    <n v="0.8503051938601673"/>
    <n v="0.1544874483852834"/>
    <n v="0"/>
    <n v="0.0008917539158698208"/>
    <n v="0.04036078223226697"/>
    <n v="0.003656191055066162"/>
    <n v="0"/>
    <n v="0"/>
    <n v="0"/>
    <n v="0"/>
    <n v="0"/>
    <m/>
    <n v="0"/>
    <m/>
    <n v="0"/>
    <m/>
    <n v="0"/>
    <m/>
    <m/>
    <n v="0"/>
    <n v="0"/>
    <n v="0.4978662112301066"/>
    <n v="1.261546429702682"/>
    <m/>
    <n v="0"/>
    <n v="0"/>
    <n v="0.002390679029345927"/>
    <n v="0"/>
    <n v="0.0008025785242827702"/>
    <x v="1"/>
    <m/>
    <x v="2"/>
    <x v="1"/>
    <s v="no root cause"/>
    <x v="1"/>
    <s v=""/>
  </r>
  <r>
    <s v="Kribi-Bwambe-II"/>
    <s v="SUD_093"/>
    <s v="CENTRE"/>
    <s v="CAMUSAT"/>
    <s v="Good Grid + GE"/>
    <s v="SUD"/>
    <s v="Kribi"/>
    <s v="ZTE"/>
    <n v="8.305581951471463"/>
    <n v="0"/>
    <n v="0"/>
    <n v="3.679804698758393"/>
    <n v="6.512675033458606"/>
    <n v="0"/>
    <n v="0"/>
    <n v="0"/>
    <n v="3.11753601972417"/>
    <n v="0"/>
    <n v="0"/>
    <n v="0"/>
    <n v="0.8451508562264404"/>
    <n v="0"/>
    <n v="0.01000547893605912"/>
    <n v="0.03404716450790918"/>
    <n v="9.371334891405775"/>
    <n v="0"/>
    <n v="0"/>
    <n v="0"/>
    <n v="0.3934082362223932"/>
    <n v="0"/>
    <n v="2.619134756144541"/>
    <n v="0"/>
    <m/>
    <n v="0.01384002077429973"/>
    <m/>
    <n v="0"/>
    <m/>
    <n v="0"/>
    <m/>
    <m/>
    <n v="0"/>
    <n v="1.375120208427859"/>
    <n v="0"/>
    <n v="0"/>
    <m/>
    <n v="0"/>
    <n v="0"/>
    <n v="0"/>
    <n v="0.000684006505175355"/>
    <n v="0.0003567015663478598"/>
    <x v="0"/>
    <m/>
    <x v="2"/>
    <x v="1"/>
    <s v="no root cause"/>
    <x v="1"/>
    <s v=""/>
  </r>
  <r>
    <s v="MABETA"/>
    <s v="SUO_165"/>
    <s v="SUD-OUEST"/>
    <s v="IHS"/>
    <s v="Hybrid-Gen"/>
    <s v="SUD-OUEST"/>
    <s v="Limbe"/>
    <s v="NOKIA"/>
    <n v="0.6868671966300947"/>
    <n v="7.815052222283267"/>
    <n v="8.53223566759187"/>
    <n v="0.000280851238019411"/>
    <n v="0.10022058124368"/>
    <n v="0.0002675261747610636"/>
    <n v="0.0002853612530783598"/>
    <n v="0.0002140209398085961"/>
    <n v="0.0002675261747609478"/>
    <n v="1.619645042802401"/>
    <n v="0.0002675261747608899"/>
    <n v="0.006063926627914473"/>
    <n v="0.0002675261747609478"/>
    <n v="0.0003210314097130679"/>
    <n v="0.0002496910964435358"/>
    <n v="6.340536632437956"/>
    <n v="6.995613284137053"/>
    <n v="0.0002496910964434779"/>
    <n v="0.000285361253078186"/>
    <n v="0.000285361253078244"/>
    <n v="0.03272736871242148"/>
    <n v="0.000285361253078244"/>
    <n v="0.0002496910964436516"/>
    <n v="0.2790119651973414"/>
    <m/>
    <n v="0.1615144692423374"/>
    <m/>
    <n v="0.2356996510007312"/>
    <m/>
    <n v="0.0002496910964433622"/>
    <m/>
    <m/>
    <n v="0.000267526174760832"/>
    <n v="0.0002496910964435358"/>
    <n v="0.0002052138352105484"/>
    <n v="0.0002853612530784755"/>
    <m/>
    <n v="0.000285361253078186"/>
    <n v="0"/>
    <n v="0"/>
    <n v="0.0005130048788816177"/>
    <n v="0.0002675261747609478"/>
    <x v="0"/>
    <m/>
    <x v="2"/>
    <x v="1"/>
    <s v="no root cause"/>
    <x v="1"/>
    <s v=""/>
  </r>
  <r>
    <s v="Fondjanti"/>
    <s v="OST_158"/>
    <s v="OUEST"/>
    <s v="IHS"/>
    <s v="Grid-Gen"/>
    <s v="OUEST"/>
    <s v="Fondjanti"/>
    <s v="NOKIA"/>
    <n v="0.0003031963313958296"/>
    <n v="0.0002675261747610057"/>
    <n v="0.0002318560181261239"/>
    <n v="0.005528874278392728"/>
    <n v="0.5137547047971285"/>
    <n v="0.0002496910964436516"/>
    <n v="1.228974370580484"/>
    <n v="0.007365887345084985"/>
    <n v="0.0002675261747610057"/>
    <n v="0.390701864146861"/>
    <n v="0.9408434470013646"/>
    <n v="8.716756677893553"/>
    <n v="0.0002675261747608899"/>
    <n v="0.000267526174760832"/>
    <n v="0.0002496910964434201"/>
    <n v="0.0002496910964437674"/>
    <n v="0.0002675261747607741"/>
    <n v="0.0002496910964436516"/>
    <n v="0.0002675261747610057"/>
    <n v="0.0002318560181260081"/>
    <n v="0.738015540773843"/>
    <n v="0.000267526174760832"/>
    <n v="0.0003031963313957717"/>
    <n v="0.05610915638652766"/>
    <m/>
    <n v="0.000267526174760832"/>
    <m/>
    <n v="0.0002318560181261818"/>
    <m/>
    <n v="0.0002496910964434201"/>
    <m/>
    <m/>
    <n v="0.0002675261747608899"/>
    <n v="0.000285361253078186"/>
    <n v="0.0002542012135273478"/>
    <n v="0.000267526174760832"/>
    <m/>
    <n v="0.01776373800412647"/>
    <n v="0"/>
    <n v="0"/>
    <n v="0.0004788045536223695"/>
    <n v="0.0002496910964433043"/>
    <x v="0"/>
    <m/>
    <x v="2"/>
    <x v="1"/>
    <s v="no root cause"/>
    <x v="1"/>
    <s v=""/>
  </r>
  <r>
    <s v="Moumee-New"/>
    <s v="OST_224"/>
    <s v="OUEST"/>
    <s v="IHS"/>
    <s v="Grid-Gen"/>
    <s v="OUEST"/>
    <s v="Moumee"/>
    <s v="NOKIA"/>
    <n v="0.001515981656978832"/>
    <n v="0"/>
    <n v="0.0002496910964433622"/>
    <n v="0.0002496910964435358"/>
    <n v="0.002033198928183003"/>
    <n v="0.00193070043316173"/>
    <n v="0.0002496910964434779"/>
    <n v="0.0002318560181260081"/>
    <n v="0.0002853612530785334"/>
    <n v="0.000285361253078244"/>
    <n v="0.0002185327082696218"/>
    <n v="4.641632637337237"/>
    <n v="0.008886384279700333"/>
    <n v="0.00294278792237041"/>
    <n v="0.006349287880993121"/>
    <n v="0.000285361253078186"/>
    <n v="0.002300725102944155"/>
    <n v="0.006527638664166775"/>
    <n v="0.0002675261747606583"/>
    <n v="0.0002853612530785334"/>
    <n v="4.456254833306224"/>
    <n v="0.02056831908674675"/>
    <n v="0.0002007013455506222"/>
    <n v="0.06961457432185839"/>
    <m/>
    <n v="0.000285361253078186"/>
    <m/>
    <n v="0.0002363675801648097"/>
    <m/>
    <n v="0.000285361253078244"/>
    <m/>
    <m/>
    <n v="0.0002318560181259502"/>
    <n v="0.0002587149417679203"/>
    <n v="0.0002853612530784176"/>
    <n v="0.01473200257228621"/>
    <m/>
    <n v="0.000285361253078186"/>
    <n v="0"/>
    <n v="0"/>
    <n v="0.0004532618771652119"/>
    <n v="0.0002363708829189476"/>
    <x v="0"/>
    <m/>
    <x v="2"/>
    <x v="1"/>
    <s v="no root cause"/>
    <x v="1"/>
    <s v=""/>
  </r>
  <r>
    <s v="Akok-I"/>
    <s v="SUD_121"/>
    <s v="CENTRE"/>
    <s v="CAMUSAT"/>
    <s v="Hybrid Solar - S3"/>
    <s v="SUD"/>
    <s v="Akom-I"/>
    <s v="NOKIA"/>
    <n v="0.0008025785242827702"/>
    <n v="0"/>
    <n v="0.03445940509978512"/>
    <n v="0"/>
    <n v="0"/>
    <n v="0.0009274240725045041"/>
    <n v="0"/>
    <n v="0.04619128419592657"/>
    <n v="0"/>
    <n v="0"/>
    <n v="0"/>
    <n v="0"/>
    <n v="0.000749073289330403"/>
    <n v="0.01277056118920584"/>
    <n v="0"/>
    <n v="0.02348965485533653"/>
    <n v="0.09934138622789508"/>
    <n v="0"/>
    <n v="0.004459027624929111"/>
    <n v="0"/>
    <n v="0"/>
    <n v="0.0005350523495219609"/>
    <n v="0"/>
    <n v="0"/>
    <m/>
    <n v="0.002568385461406537"/>
    <m/>
    <n v="0"/>
    <m/>
    <n v="1.343139630240777"/>
    <m/>
    <m/>
    <n v="0"/>
    <n v="0"/>
    <n v="0"/>
    <n v="0.002140320873921416"/>
    <m/>
    <n v="0.07018103317895312"/>
    <n v="0"/>
    <n v="0.000531292752629308"/>
    <n v="0"/>
    <n v="0.0001783611049970276"/>
    <x v="0"/>
    <m/>
    <x v="2"/>
    <x v="1"/>
    <s v="no root cause"/>
    <x v="1"/>
    <s v=""/>
  </r>
  <r>
    <s v="CTR_181_N_Nanga-Eboko-CRTV"/>
    <s v="CTR_181"/>
    <s v="CENTRE"/>
    <s v="CAMUSAT"/>
    <s v="Bad Grid + GE"/>
    <s v="CENTRE"/>
    <s v="Nanga-Eboko"/>
    <s v="NOKIA"/>
    <n v="3.567015663488182e-05"/>
    <n v="0.0001426806265392378"/>
    <n v="7.134031326930047e-05"/>
    <n v="7.134031326958995e-05"/>
    <n v="0.0001426806265387746"/>
    <n v="1.783507831735406e-05"/>
    <n v="8.91753915868282e-05"/>
    <n v="0.0001605157048565918"/>
    <n v="8.917539158711768e-05"/>
    <n v="0.0001248455482218258"/>
    <n v="0.0001070104699045297"/>
    <n v="0"/>
    <n v="0.0001070104699044138"/>
    <n v="0.0001070104699042981"/>
    <n v="5.350523495200429e-05"/>
    <n v="2.571042372723201"/>
    <n v="0.0001070104699045297"/>
    <n v="7.134031326941624e-05"/>
    <n v="8.91753915870598e-05"/>
    <n v="0.09479344125695974"/>
    <n v="2.846746025631147"/>
    <n v="0.000178350783173888"/>
    <n v="0.0001248455482219416"/>
    <n v="0.000178350783173888"/>
    <m/>
    <n v="3.567015663476602e-05"/>
    <m/>
    <n v="7.134031326947414e-05"/>
    <m/>
    <n v="0.0001248455482216521"/>
    <m/>
    <m/>
    <n v="0.000107010469904356"/>
    <n v="3.567015663470812e-05"/>
    <n v="1.190491477686176"/>
    <n v="0.0001426806265394115"/>
    <m/>
    <n v="0.0001070104699042402"/>
    <n v="0"/>
    <n v="0"/>
    <n v="0.000273602602070544"/>
    <n v="0.0001426806265393536"/>
    <x v="0"/>
    <m/>
    <x v="2"/>
    <x v="1"/>
    <s v="no root cause"/>
    <x v="1"/>
    <s v=""/>
  </r>
  <r>
    <s v="Katoual-MTN"/>
    <s v="EXN_026"/>
    <s v="EXTREME-NORD"/>
    <s v="IHS"/>
    <s v="Grid-Gen"/>
    <s v="EXTREME-NORD"/>
    <s v="Maroua"/>
    <s v="Huawei"/>
    <n v="0"/>
    <n v="0"/>
    <n v="0"/>
    <n v="0"/>
    <n v="0"/>
    <n v="0"/>
    <n v="0"/>
    <n v="0"/>
    <n v="0"/>
    <n v="0"/>
    <n v="0"/>
    <n v="0"/>
    <n v="0"/>
    <n v="0"/>
    <n v="0"/>
    <n v="0"/>
    <n v="0"/>
    <n v="0"/>
    <n v="0"/>
    <n v="0"/>
    <n v="0"/>
    <n v="0"/>
    <n v="0"/>
    <n v="0"/>
    <m/>
    <n v="0.002407735572848447"/>
    <m/>
    <n v="0"/>
    <m/>
    <n v="0"/>
    <m/>
    <m/>
    <n v="2.007908787129066"/>
    <n v="0"/>
    <n v="0"/>
    <n v="0"/>
    <m/>
    <n v="0"/>
    <n v="0"/>
    <n v="0.0002656310032606737"/>
    <n v="0"/>
    <n v="8.917539158697954e-05"/>
    <x v="1"/>
    <m/>
    <x v="2"/>
    <x v="1"/>
    <s v="no root cause"/>
    <x v="1"/>
    <s v=""/>
  </r>
  <r>
    <s v="Buea-Prime22"/>
    <s v="SUO_241"/>
    <s v="SUD-OUEST"/>
    <s v="CAMUSAT"/>
    <s v="Medium Grid + GE"/>
    <s v="SUD-OUEST"/>
    <s v="Buea"/>
    <s v="Huawei"/>
    <n v="4.210309103309335"/>
    <n v="1.804874255563831"/>
    <n v="0"/>
    <n v="2.828910947313752"/>
    <n v="4.232281919796367"/>
    <n v="2.856359132844223"/>
    <n v="0.8313465056087755"/>
    <n v="1.869847445874104"/>
    <n v="6.118573307879109"/>
    <n v="7.862665616537255"/>
    <n v="0"/>
    <n v="0.1334598910490739"/>
    <n v="0.00749073289330628"/>
    <n v="0"/>
    <n v="0.8908621619539255"/>
    <n v="16.84903034246204"/>
    <n v="10.47364974189075"/>
    <n v="0"/>
    <n v="1.386195792062962"/>
    <n v="0"/>
    <n v="0.5417940091258533"/>
    <n v="0"/>
    <n v="0"/>
    <n v="0"/>
    <m/>
    <n v="0"/>
    <m/>
    <n v="0.225649410871693"/>
    <m/>
    <n v="0"/>
    <m/>
    <m/>
    <n v="0"/>
    <n v="0"/>
    <n v="0"/>
    <n v="0"/>
    <m/>
    <n v="0"/>
    <n v="0"/>
    <n v="0.0002656310032606737"/>
    <n v="0"/>
    <n v="8.917539158697954e-05"/>
    <x v="0"/>
    <m/>
    <x v="2"/>
    <x v="1"/>
    <s v="no root cause"/>
    <x v="1"/>
    <s v=""/>
  </r>
  <r>
    <s v="Galim"/>
    <s v="OST_026"/>
    <s v="OUEST"/>
    <s v="IHS"/>
    <s v="Grid-Gen"/>
    <s v="OUEST"/>
    <s v="Galim"/>
    <s v="NOKIA"/>
    <n v="5.350523495223587e-05"/>
    <n v="1.783507831746985e-05"/>
    <n v="5.350523495217798e-05"/>
    <n v="3.567015663482392e-05"/>
    <n v="2.255445211880002"/>
    <n v="0.02261487930645793"/>
    <n v="3.567015663476602e-05"/>
    <n v="0"/>
    <n v="3.567015663476602e-05"/>
    <n v="3.567015663476602e-05"/>
    <n v="0"/>
    <n v="0"/>
    <n v="1.783507831746985e-05"/>
    <n v="0.000107010469904356"/>
    <n v="0.001854848145009222"/>
    <n v="3.567015663470812e-05"/>
    <n v="3.567015663482392e-05"/>
    <n v="7.134031326953204e-05"/>
    <n v="5.350523495223587e-05"/>
    <n v="0"/>
    <n v="13.86855689960706"/>
    <n v="0.07906398797893743"/>
    <n v="1.783507831741196e-05"/>
    <n v="1.783507831746985e-05"/>
    <m/>
    <n v="0.4686764333849817"/>
    <m/>
    <n v="5.350523495217798e-05"/>
    <m/>
    <n v="0.02117023796274871"/>
    <m/>
    <m/>
    <n v="0.0001070104699044138"/>
    <n v="8.917539158700189e-05"/>
    <n v="2.684736413643193e-05"/>
    <n v="3.567015663476602e-05"/>
    <m/>
    <n v="3.567015663470812e-05"/>
    <n v="0"/>
    <n v="0"/>
    <n v="0.0001368013010351055"/>
    <n v="7.134031326958995e-05"/>
    <x v="0"/>
    <m/>
    <x v="2"/>
    <x v="1"/>
    <s v="no root cause"/>
    <x v="1"/>
    <s v=""/>
  </r>
  <r>
    <s v="Ayos"/>
    <s v="EST_018"/>
    <s v="CENTRE"/>
    <s v="IHS"/>
    <s v="Grid-Gen"/>
    <s v="EST"/>
    <s v="Ayos"/>
    <s v="NOKIA"/>
    <n v="0.369846970765056"/>
    <n v="8.91753915870598e-05"/>
    <n v="5.350523495223587e-05"/>
    <n v="0.09306614389356972"/>
    <n v="0.07440270987262804"/>
    <n v="0.1739390068072959"/>
    <n v="20.96437787523182"/>
    <n v="6.366699777119783"/>
    <n v="14.39415202563835"/>
    <n v="0.1660447449886742"/>
    <n v="1.783507831746985e-05"/>
    <n v="0"/>
    <n v="0.00012484554822171"/>
    <n v="5.350523495212009e-05"/>
    <n v="0.0001605157048566497"/>
    <n v="3.059033388695934"/>
    <n v="0.0001783507831740038"/>
    <n v="0.0001783507831739459"/>
    <n v="0.0001070104699045297"/>
    <n v="0.0002318560181261818"/>
    <n v="0"/>
    <n v="5.350523495223587e-05"/>
    <n v="0.1650993199841336"/>
    <n v="0.0001783507831740038"/>
    <m/>
    <n v="0.0002318560181263265"/>
    <m/>
    <n v="8.917539158700189e-05"/>
    <m/>
    <n v="0.0001605157048567076"/>
    <m/>
    <m/>
    <n v="0.0002675261747608899"/>
    <n v="0.0003210314097130679"/>
    <n v="0.0001783507831740617"/>
    <n v="0.0001961858614914157"/>
    <m/>
    <n v="0.7047001686444024"/>
    <n v="0"/>
    <n v="0"/>
    <n v="0.0001368013010347724"/>
    <n v="7.134031326941624e-05"/>
    <x v="0"/>
    <m/>
    <x v="2"/>
    <x v="1"/>
    <s v="no root cause"/>
    <x v="1"/>
    <s v=""/>
  </r>
  <r>
    <s v="Bakou"/>
    <s v="OST_182"/>
    <s v="OUEST"/>
    <s v="IHS"/>
    <s v="Grid-Gen"/>
    <s v="OUEST"/>
    <s v="Bakou"/>
    <s v="NOKIA"/>
    <n v="7.134031326982153e-05"/>
    <n v="0.0001070104699042981"/>
    <n v="7.134031326958995e-05"/>
    <n v="5.350523495212009e-05"/>
    <n v="0.005885575844741008"/>
    <n v="8.91753915868861e-05"/>
    <n v="0.006224442332771682"/>
    <n v="0.008114960634415219"/>
    <n v="8.91753915868861e-05"/>
    <n v="7.134031326964783e-05"/>
    <n v="7.134031326953204e-05"/>
    <n v="0"/>
    <n v="0.02505828503594147"/>
    <n v="5.350523495217798e-05"/>
    <n v="7.134031326970573e-05"/>
    <n v="5.350523495217798e-05"/>
    <n v="3.567015663482392e-05"/>
    <n v="5.350523495212009e-05"/>
    <n v="5.350523495217798e-05"/>
    <n v="5.350523495212009e-05"/>
    <n v="0"/>
    <n v="7.134031326947414e-05"/>
    <n v="7.134031326970573e-05"/>
    <n v="0.05623400193474973"/>
    <m/>
    <n v="7.134031326947414e-05"/>
    <m/>
    <n v="7.134031326947414e-05"/>
    <m/>
    <n v="7.134031326941624e-05"/>
    <m/>
    <m/>
    <n v="5.350523495235167e-05"/>
    <n v="7.134031326947414e-05"/>
    <n v="0"/>
    <n v="5.801886121206246e-05"/>
    <m/>
    <n v="5.350523495212009e-05"/>
    <n v="0"/>
    <n v="0"/>
    <n v="0.0001026009757760793"/>
    <n v="5.350523495206218e-05"/>
    <x v="0"/>
    <m/>
    <x v="2"/>
    <x v="1"/>
    <s v="no root cause"/>
    <x v="1"/>
    <s v=""/>
  </r>
  <r>
    <s v="Bonewonda-III"/>
    <s v="LIT_615"/>
    <s v="Douala"/>
    <s v="CAMUSAT"/>
    <s v="Good Grid no GE - 8h"/>
    <s v="LITTORAL"/>
    <s v="Douala"/>
    <s v="ZTE"/>
    <n v="0"/>
    <n v="0"/>
    <n v="0"/>
    <n v="0"/>
    <n v="0"/>
    <n v="0"/>
    <n v="0"/>
    <n v="0"/>
    <n v="0"/>
    <n v="0"/>
    <n v="13.7326536028285"/>
    <n v="0"/>
    <n v="48.37738240976164"/>
    <n v="36.68356361986454"/>
    <n v="63.55505189294388"/>
    <n v="0"/>
    <n v="0"/>
    <n v="61.32308101691333"/>
    <n v="0"/>
    <n v="46.91265876786718"/>
    <n v="1.025980715286517"/>
    <n v="13.866755556697"/>
    <n v="13.86614916403421"/>
    <n v="13.86750462998633"/>
    <m/>
    <n v="46.2356035247822"/>
    <m/>
    <n v="8.310789794340144"/>
    <m/>
    <n v="16.22314393906967"/>
    <m/>
    <m/>
    <n v="18.50574860244326"/>
    <n v="8.490977590580796"/>
    <n v="22.8583637956471"/>
    <n v="64.7222329232692"/>
    <m/>
    <n v="0"/>
    <n v="0"/>
    <n v="0"/>
    <n v="4.163336342344337e-17"/>
    <n v="2.171132267472333e-17"/>
    <x v="0"/>
    <m/>
    <x v="2"/>
    <x v="1"/>
    <s v="no root cause"/>
    <x v="1"/>
    <s v=""/>
  </r>
  <r>
    <s v="Nkolmekong-YDE-HIS"/>
    <s v="CTR_523"/>
    <s v="Yaounde"/>
    <s v="IHS"/>
    <s v="Grid-Gen"/>
    <s v="CENTRE"/>
    <s v="Yaounde"/>
    <s v="ZTE"/>
    <n v="0"/>
    <n v="0"/>
    <n v="0"/>
    <n v="0"/>
    <n v="0"/>
    <n v="0"/>
    <n v="0"/>
    <n v="0"/>
    <n v="5.290686807463914"/>
    <n v="0"/>
    <n v="0.07785011685543311"/>
    <n v="9.245704599738039"/>
    <n v="0"/>
    <n v="0"/>
    <n v="1.012336880373709"/>
    <n v="0"/>
    <n v="0"/>
    <n v="0"/>
    <n v="0"/>
    <n v="0"/>
    <n v="9.245704599738039"/>
    <n v="0"/>
    <n v="0"/>
    <n v="0"/>
    <m/>
    <n v="0"/>
    <m/>
    <n v="0"/>
    <m/>
    <n v="0"/>
    <m/>
    <m/>
    <n v="0"/>
    <n v="0"/>
    <n v="0"/>
    <n v="4.076189314362518"/>
    <m/>
    <n v="40.18191423182177"/>
    <n v="0"/>
    <n v="0"/>
    <n v="0"/>
    <n v="0"/>
    <x v="0"/>
    <m/>
    <x v="4"/>
    <x v="0"/>
    <s v="Defaut GE &amp; Power Cabinet"/>
    <x v="0"/>
    <s v="{05-25-2026 BOTX}: Power issue on site"/>
  </r>
  <r>
    <s v="Bobongo-II"/>
    <s v="LIT_568"/>
    <s v="Douala"/>
    <s v="CAMUSAT"/>
    <s v="Good Grid + GE"/>
    <s v="LITTORAL"/>
    <s v="Douala"/>
    <s v="ZTE"/>
    <n v="0.3438246398027584"/>
    <n v="19.00919719318671"/>
    <n v="7.323903570725359"/>
    <n v="17.35476182323012"/>
    <n v="6.610339922324666"/>
    <n v="5.992925181133056"/>
    <n v="3.801439932883033"/>
    <n v="9.532795855413159"/>
    <n v="1.869633424934295"/>
    <n v="8.703108012087903"/>
    <n v="2.363968290657557"/>
    <n v="0"/>
    <n v="0"/>
    <n v="3.901530392400258"/>
    <n v="0"/>
    <n v="10.66375384167587"/>
    <n v="49.10471473862337"/>
    <n v="4.485878898391419"/>
    <n v="18.65468934147184"/>
    <n v="0"/>
    <n v="15.68816292986106"/>
    <n v="0"/>
    <n v="0"/>
    <n v="5.323253660471475"/>
    <m/>
    <n v="0"/>
    <m/>
    <n v="0"/>
    <m/>
    <n v="0"/>
    <m/>
    <m/>
    <n v="0"/>
    <n v="17.66637631159166"/>
    <n v="0"/>
    <n v="0"/>
    <m/>
    <n v="39.31809004859701"/>
    <n v="0"/>
    <n v="0"/>
    <n v="0"/>
    <n v="0"/>
    <x v="0"/>
    <m/>
    <x v="2"/>
    <x v="1"/>
    <s v="no root cause"/>
    <x v="1"/>
    <s v=""/>
  </r>
  <r>
    <s v="LIT_837_Z_Yassa-Hotel-Midi"/>
    <s v="LIT_837"/>
    <s v="Douala"/>
    <s v="ESCO"/>
    <s v="Bad Grid + Solar + GE"/>
    <s v="LIT"/>
    <s v="Douala"/>
    <s v="ZTE"/>
    <n v="0"/>
    <n v="18.87602266339072"/>
    <n v="0"/>
    <n v="0.001355465952122073"/>
    <n v="0"/>
    <n v="0"/>
    <n v="27.88621505394755"/>
    <n v="0"/>
    <n v="0"/>
    <n v="0.001533816735296174"/>
    <n v="0"/>
    <n v="11.87671751804197"/>
    <n v="0"/>
    <s v=""/>
    <n v="0"/>
    <n v="7.81058718785046"/>
    <n v="20.46989010738144"/>
    <n v="0"/>
    <n v="0"/>
    <n v="0"/>
    <n v="9.789192941304043"/>
    <n v="0"/>
    <n v="0"/>
    <n v="0"/>
    <m/>
    <n v="6.908435421321623"/>
    <m/>
    <n v="0"/>
    <m/>
    <n v="0"/>
    <m/>
    <m/>
    <n v="0.07995465609688585"/>
    <n v="2.466751847000711"/>
    <n v="26.78311546001661"/>
    <n v="6.812678885835523"/>
    <m/>
    <n v="31.10778308549709"/>
    <n v="0"/>
    <n v="0"/>
    <n v="0"/>
    <n v="0"/>
    <x v="2"/>
    <m/>
    <x v="9"/>
    <x v="5"/>
    <s v="EXCLU"/>
    <x v="4"/>
    <s v=""/>
  </r>
  <r>
    <s v="Carington"/>
    <s v="CTR_070"/>
    <s v="Yaounde"/>
    <s v="IHS"/>
    <s v="GridOnly"/>
    <s v="CENTRE"/>
    <s v="Yaounde"/>
    <s v="ZTE"/>
    <n v="8.402034055011942"/>
    <n v="0"/>
    <n v="2.620579397488251"/>
    <n v="13.79168771205908"/>
    <n v="8.766993262620815"/>
    <n v="0"/>
    <n v="0"/>
    <n v="0"/>
    <n v="0"/>
    <n v="0"/>
    <n v="0"/>
    <n v="0"/>
    <n v="0"/>
    <n v="0"/>
    <n v="0"/>
    <n v="0"/>
    <n v="0"/>
    <n v="0"/>
    <n v="0"/>
    <n v="0"/>
    <n v="0"/>
    <n v="0"/>
    <n v="0"/>
    <n v="0"/>
    <m/>
    <n v="0"/>
    <m/>
    <n v="0"/>
    <m/>
    <n v="0"/>
    <m/>
    <m/>
    <n v="0"/>
    <n v="0"/>
    <n v="0"/>
    <n v="0"/>
    <m/>
    <n v="29.72857864413453"/>
    <n v="0"/>
    <n v="0"/>
    <n v="0"/>
    <n v="0"/>
    <x v="0"/>
    <m/>
    <x v="2"/>
    <x v="1"/>
    <s v="no root cause"/>
    <x v="1"/>
    <s v=""/>
  </r>
  <r>
    <s v="Garoua-Yelwa-Orange-IHS"/>
    <s v="NRD_082"/>
    <s v="Garoua"/>
    <s v="IHS"/>
    <s v="Grid-Gen"/>
    <s v="NORD"/>
    <s v="Garoua"/>
    <s v="Huawei"/>
    <n v="0"/>
    <n v="0"/>
    <n v="0"/>
    <n v="2.595949154331926"/>
    <n v="3.287450810854001"/>
    <n v="0"/>
    <n v="0"/>
    <n v="0"/>
    <n v="0"/>
    <n v="0"/>
    <n v="0"/>
    <n v="0"/>
    <n v="0"/>
    <n v="2.228849737324967"/>
    <n v="0"/>
    <n v="0"/>
    <n v="0"/>
    <n v="8.586698455910259"/>
    <n v="0"/>
    <n v="0"/>
    <n v="0"/>
    <n v="0"/>
    <n v="0"/>
    <n v="0"/>
    <m/>
    <n v="0"/>
    <m/>
    <n v="0"/>
    <m/>
    <n v="0"/>
    <m/>
    <m/>
    <n v="1.110608161902561"/>
    <n v="0"/>
    <n v="0.1419137181715192"/>
    <n v="5.539664500774756"/>
    <m/>
    <n v="28.02686248155853"/>
    <n v="0"/>
    <n v="0"/>
    <n v="0"/>
    <n v="0"/>
    <x v="0"/>
    <m/>
    <x v="2"/>
    <x v="1"/>
    <s v="no root cause"/>
    <x v="1"/>
    <s v=""/>
  </r>
  <r>
    <s v="Nkolondom"/>
    <s v="CTR_248"/>
    <s v="Yaounde"/>
    <s v="IHS"/>
    <s v="Grid-Gen"/>
    <s v="CENTRE"/>
    <s v="Yaounde"/>
    <s v="ZTE"/>
    <n v="5.069906372972866"/>
    <n v="0"/>
    <n v="0"/>
    <n v="0"/>
    <n v="0"/>
    <n v="1.460211367080154"/>
    <n v="0"/>
    <n v="0"/>
    <n v="0"/>
    <n v="0"/>
    <n v="0.03777469587624447"/>
    <n v="0.02027848404687915"/>
    <n v="0"/>
    <n v="0"/>
    <n v="0.4427736543076715"/>
    <n v="0"/>
    <n v="0"/>
    <n v="0"/>
    <n v="0"/>
    <n v="0.004815471145696791"/>
    <n v="0"/>
    <n v="0"/>
    <n v="0"/>
    <n v="0"/>
    <m/>
    <n v="0"/>
    <m/>
    <n v="0"/>
    <m/>
    <n v="0"/>
    <m/>
    <m/>
    <n v="0"/>
    <n v="0"/>
    <n v="0"/>
    <n v="0"/>
    <m/>
    <n v="22.898760248036"/>
    <n v="0"/>
    <n v="0"/>
    <n v="0"/>
    <n v="0"/>
    <x v="0"/>
    <m/>
    <x v="5"/>
    <x v="2"/>
    <s v="ODU HS"/>
    <x v="2"/>
    <s v="{05-25-2026 BOTX}: Probable ODU faulty"/>
  </r>
  <r>
    <s v="EST_195_Z_Bertoua-Nyanganza"/>
    <s v="EST_195"/>
    <s v="CENTRE"/>
    <s v="ESCO"/>
    <s v="Hybrid Solar - S1"/>
    <s v="EST"/>
    <s v="Bertoua"/>
    <s v="ZTE"/>
    <n v="0"/>
    <n v="0"/>
    <n v="0"/>
    <n v="7.506195906207463"/>
    <n v="0"/>
    <n v="0"/>
    <n v="0"/>
    <n v="0"/>
    <n v="0"/>
    <n v="0.0579461694532194"/>
    <n v="0"/>
    <n v="0"/>
    <n v="0"/>
    <n v="0"/>
    <n v="0"/>
    <n v="0"/>
    <n v="0"/>
    <n v="0"/>
    <n v="0"/>
    <n v="0"/>
    <n v="0"/>
    <n v="1.186746111239523"/>
    <n v="0"/>
    <n v="0.02809024834989956"/>
    <m/>
    <n v="0"/>
    <m/>
    <n v="0"/>
    <m/>
    <n v="0"/>
    <m/>
    <m/>
    <n v="14.53869213230489"/>
    <n v="5.09041671303787"/>
    <n v="6.716030596433554"/>
    <n v="13.87144618229448"/>
    <m/>
    <n v="18.83958559838828"/>
    <n v="0"/>
    <n v="0"/>
    <n v="0"/>
    <n v="0"/>
    <x v="0"/>
    <m/>
    <x v="2"/>
    <x v="1"/>
    <s v="no root cause"/>
    <x v="1"/>
    <s v=""/>
  </r>
  <r>
    <s v="C-D-Palmiers-III"/>
    <s v="LIT_168"/>
    <s v="Douala"/>
    <s v="IHS"/>
    <s v="GridOnly"/>
    <s v="LITTORAL"/>
    <s v="Douala"/>
    <s v="ZTE"/>
    <n v="0"/>
    <n v="16.35804847146245"/>
    <n v="13.86855689960706"/>
    <n v="17.77105038623645"/>
    <n v="0"/>
    <n v="0"/>
    <n v="0"/>
    <n v="0"/>
    <n v="0"/>
    <n v="0"/>
    <n v="14.67060037154035"/>
    <n v="0"/>
    <n v="0"/>
    <n v="0"/>
    <n v="0"/>
    <n v="0"/>
    <n v="0"/>
    <n v="0"/>
    <n v="32.82883247296915"/>
    <n v="13.86855689960706"/>
    <n v="0"/>
    <n v="13.35121478285436"/>
    <n v="36.37662192202217"/>
    <n v="0.1348688622361482"/>
    <m/>
    <n v="0"/>
    <m/>
    <n v="2.006535486098628"/>
    <m/>
    <n v="3.870426015814722"/>
    <m/>
    <m/>
    <n v="0"/>
    <n v="8.175671241007553"/>
    <n v="0"/>
    <n v="5.565899900979645"/>
    <m/>
    <n v="16.89818381830478"/>
    <n v="0"/>
    <n v="0"/>
    <n v="0"/>
    <n v="0"/>
    <x v="0"/>
    <m/>
    <x v="2"/>
    <x v="1"/>
    <s v="no root cause"/>
    <x v="1"/>
    <s v=""/>
  </r>
  <r>
    <s v="Nkolbong-II"/>
    <s v="CTR_658"/>
    <s v="Yaounde"/>
    <s v="CAMUSAT"/>
    <s v="Good Grid + GE"/>
    <s v="CENTRE"/>
    <s v="Yaounde"/>
    <s v="ZTE"/>
    <n v="0"/>
    <n v="2.420291467983891"/>
    <n v="0"/>
    <n v="0"/>
    <n v="11.02168602842769"/>
    <n v="0"/>
    <n v="6.110708038341137"/>
    <n v="0"/>
    <n v="0.3466425821769072"/>
    <n v="0"/>
    <n v="0.6934278449803531"/>
    <n v="4.622852299869019"/>
    <n v="3.015858238236697"/>
    <n v="0"/>
    <n v="0.08321847542896908"/>
    <n v="0.2234913663952881"/>
    <n v="0.1858415160672656"/>
    <n v="0"/>
    <n v="0.5334115223166773"/>
    <n v="0"/>
    <n v="0"/>
    <n v="0"/>
    <n v="0"/>
    <n v="0.2183548638398782"/>
    <m/>
    <n v="0"/>
    <m/>
    <n v="0"/>
    <m/>
    <n v="5.53607965003296"/>
    <m/>
    <m/>
    <n v="0"/>
    <n v="0"/>
    <n v="0"/>
    <n v="0"/>
    <m/>
    <n v="11.80808813667663"/>
    <n v="0"/>
    <n v="0"/>
    <n v="0"/>
    <n v="0"/>
    <x v="0"/>
    <m/>
    <x v="2"/>
    <x v="1"/>
    <s v="no root cause"/>
    <x v="1"/>
    <s v=""/>
  </r>
  <r>
    <s v="Bep-An-2000"/>
    <s v="LIT_459"/>
    <s v="Douala"/>
    <s v="IHS"/>
    <s v="Grid-Gen"/>
    <s v="LITTORAL"/>
    <s v="Douala"/>
    <s v="ZTE"/>
    <n v="42.64260215219458"/>
    <n v="0"/>
    <n v="0"/>
    <n v="0"/>
    <n v="0"/>
    <n v="31.27787622741009"/>
    <n v="0"/>
    <n v="13.38599318557328"/>
    <n v="0"/>
    <n v="0"/>
    <n v="0"/>
    <n v="0"/>
    <n v="8.516499587652989"/>
    <n v="0"/>
    <n v="0.4816006198046421"/>
    <n v="0"/>
    <n v="0"/>
    <n v="0"/>
    <n v="0"/>
    <n v="9.449416864279334"/>
    <n v="0"/>
    <n v="13.86855689960706"/>
    <n v="13.86855689960706"/>
    <n v="28.65590569381308"/>
    <m/>
    <n v="27.4136389837715"/>
    <m/>
    <n v="0"/>
    <m/>
    <n v="14.86430715714558"/>
    <m/>
    <m/>
    <n v="0"/>
    <n v="0"/>
    <n v="0"/>
    <n v="0"/>
    <m/>
    <n v="10.96719986416804"/>
    <n v="0"/>
    <n v="0"/>
    <n v="0"/>
    <n v="0"/>
    <x v="0"/>
    <m/>
    <x v="4"/>
    <x v="0"/>
    <s v="Defaut GE &amp; Power Cabinet"/>
    <x v="0"/>
    <s v="{05-25-2026 BOTX}: Power issue on site"/>
  </r>
  <r>
    <s v="Ndobo3-MTN"/>
    <s v="LIT_624"/>
    <s v="Douala"/>
    <s v="IHS"/>
    <s v="grid + Gen"/>
    <s v="LITTORAL"/>
    <s v="Douala"/>
    <s v="ZTE"/>
    <n v="0"/>
    <n v="0.7230162399089133"/>
    <n v="0"/>
    <n v="5.741290061152919"/>
    <n v="0"/>
    <n v="0"/>
    <n v="0.7232302608487219"/>
    <n v="1.359710700761631"/>
    <n v="3.749575525136046"/>
    <n v="0"/>
    <n v="5.054693051168126"/>
    <n v="0"/>
    <n v="2.161736337616605"/>
    <n v="0"/>
    <n v="0"/>
    <n v="0"/>
    <n v="0"/>
    <n v="9.379610367745046"/>
    <n v="0"/>
    <n v="0"/>
    <n v="0"/>
    <n v="0"/>
    <n v="0"/>
    <n v="0"/>
    <m/>
    <n v="0"/>
    <m/>
    <n v="0"/>
    <m/>
    <n v="0"/>
    <m/>
    <m/>
    <n v="0.6971018711137349"/>
    <n v="0"/>
    <n v="0"/>
    <n v="0"/>
    <m/>
    <n v="10.04075672097091"/>
    <n v="0"/>
    <n v="0"/>
    <n v="0"/>
    <n v="0"/>
    <x v="0"/>
    <m/>
    <x v="2"/>
    <x v="1"/>
    <s v="no root cause"/>
    <x v="1"/>
    <s v=""/>
  </r>
  <r>
    <s v="Fin-goudron-Mbangue"/>
    <s v="LIT_844"/>
    <s v="Douala"/>
    <s v="CAMUSAT"/>
    <s v="Bad-Grid-GE"/>
    <s v="LITTORAL"/>
    <s v="Douala"/>
    <s v="ZTE"/>
    <n v="0"/>
    <n v="0"/>
    <n v="0"/>
    <n v="0"/>
    <n v="0"/>
    <n v="0"/>
    <n v="0.230625397722246"/>
    <n v="3.535946957050276"/>
    <n v="0.1161955352378344"/>
    <n v="29.78244058065308"/>
    <n v="0"/>
    <n v="0.0002675261747609386"/>
    <n v="0"/>
    <n v="0"/>
    <n v="4.484862298927326"/>
    <n v="7.300539618129571"/>
    <n v="3.011381633579028"/>
    <n v="1.423988323017525"/>
    <n v="36.44534047877911"/>
    <n v="68.56679807552371"/>
    <n v="0.001070104699043754"/>
    <n v="0"/>
    <n v="0.1240429696974884"/>
    <n v="0"/>
    <m/>
    <n v="13.92757317375932"/>
    <m/>
    <n v="31.73341979779304"/>
    <m/>
    <n v="2.540660411547999"/>
    <m/>
    <m/>
    <n v="0"/>
    <n v="25.40344730661782"/>
    <n v="0"/>
    <n v="0"/>
    <m/>
    <n v="8.699326975484613"/>
    <n v="0"/>
    <n v="0"/>
    <n v="0"/>
    <n v="0"/>
    <x v="0"/>
    <m/>
    <x v="4"/>
    <x v="0"/>
    <s v="Defaut GE &amp; Power Cabinet"/>
    <x v="0"/>
    <s v="{05-25-2026 BOTX}: Power issue"/>
  </r>
  <r>
    <s v="CTR_1057_Z_Labogenie"/>
    <s v="CTR_1057"/>
    <s v="Yaounde"/>
    <s v="ESCO"/>
    <s v="Good Grid + GE"/>
    <s v="CTR"/>
    <s v="Yaounde"/>
    <s v="ZTE"/>
    <n v="0"/>
    <n v="6.827267979899151"/>
    <n v="0"/>
    <n v="0"/>
    <n v="0"/>
    <n v="0"/>
    <n v="0"/>
    <n v="13.02151552507897"/>
    <n v="0"/>
    <n v="0"/>
    <n v="0"/>
    <n v="0"/>
    <n v="0"/>
    <n v="19.98732639334765"/>
    <n v="0"/>
    <n v="0"/>
    <n v="0"/>
    <n v="0"/>
    <n v="0"/>
    <n v="0"/>
    <n v="0.01212785325582932"/>
    <n v="0"/>
    <n v="0"/>
    <n v="0"/>
    <m/>
    <n v="0"/>
    <m/>
    <n v="5.266769967440279"/>
    <m/>
    <n v="0"/>
    <m/>
    <m/>
    <n v="0"/>
    <n v="0"/>
    <n v="0"/>
    <n v="0"/>
    <m/>
    <n v="8.16254462336595"/>
    <n v="0"/>
    <n v="0"/>
    <n v="0"/>
    <n v="0"/>
    <x v="0"/>
    <m/>
    <x v="2"/>
    <x v="1"/>
    <s v="no root cause"/>
    <x v="1"/>
    <s v=""/>
  </r>
  <r>
    <s v="ETOUDI-NEW"/>
    <s v="CTR_917"/>
    <s v="Yaounde"/>
    <s v="CAMUSAT"/>
    <s v="Good Grid no GE - 8h"/>
    <s v="CENTRE"/>
    <s v="Yaounde"/>
    <s v="ZTE"/>
    <n v="4.826297038235555"/>
    <n v="8.786094631498747"/>
    <n v="9.274615261690537"/>
    <n v="9.245704599738039"/>
    <n v="9.027260560506573"/>
    <n v="5.505421150405357"/>
    <n v="9.245704599738039"/>
    <n v="7.539244306329598"/>
    <n v="3.392017875028892"/>
    <n v="11.86589162550331"/>
    <n v="9.245704599738039"/>
    <n v="0"/>
    <n v="22.24835061195721"/>
    <n v="46.97078328810358"/>
    <n v="15.8758236239167"/>
    <n v="17.06376468540349"/>
    <n v="4.493993859025833"/>
    <n v="8.836764088998466"/>
    <n v="8.332263228634289"/>
    <n v="9.245704599738039"/>
    <n v="0.1715556183350311"/>
    <n v="7.13583266986842"/>
    <n v="6.618811584525432"/>
    <n v="6.322820624769927"/>
    <m/>
    <n v="9.245704599738039"/>
    <m/>
    <n v="3.576521760222353"/>
    <m/>
    <n v="5.641681148750261"/>
    <m/>
    <m/>
    <n v="4.636442629546874"/>
    <n v="0"/>
    <n v="0.04069964872029708"/>
    <n v="0.004066397856366266"/>
    <m/>
    <n v="8.049113525267312"/>
    <n v="0"/>
    <n v="0"/>
    <n v="0"/>
    <n v="0"/>
    <x v="0"/>
    <m/>
    <x v="11"/>
    <x v="7"/>
    <s v="BSS Hardware issue"/>
    <x v="2"/>
    <s v="05-25-2026: hardware issue,  site with GPS issue (alarm : TDD down 09Apr 02pm)"/>
  </r>
  <r>
    <s v="Tropicana-New"/>
    <s v="CTR_833"/>
    <s v="Yaounde"/>
    <s v="CAMUSAT"/>
    <s v="Good Grid + GE"/>
    <s v="CENTRE"/>
    <s v="Yaounde"/>
    <s v="ZTE"/>
    <n v="0"/>
    <n v="0"/>
    <n v="17.74738323730928"/>
    <n v="2.003967234820921"/>
    <n v="3.492482871190786"/>
    <n v="0.7168453028110925"/>
    <n v="1.468611688967649"/>
    <n v="17.35231841750064"/>
    <n v="6.277091483964123"/>
    <n v="31.93727474296085"/>
    <n v="6.294088313600601"/>
    <n v="1.864639603005425"/>
    <n v="43.2320336555062"/>
    <n v="12.96636946292158"/>
    <n v="0"/>
    <n v="24.66416547528343"/>
    <n v="0"/>
    <n v="0"/>
    <n v="7.952928947901597"/>
    <n v="0"/>
    <n v="0.2166248612430908"/>
    <n v="32.97600753924432"/>
    <n v="19.30802393039468"/>
    <n v="0"/>
    <m/>
    <n v="14.34530637810938"/>
    <m/>
    <n v="0"/>
    <m/>
    <n v="10.09283514965771"/>
    <m/>
    <m/>
    <n v="0"/>
    <n v="2.093071286094632"/>
    <n v="0.4930864102410446"/>
    <n v="0"/>
    <m/>
    <n v="7.773062183070658"/>
    <n v="0"/>
    <n v="0"/>
    <n v="0"/>
    <n v="0"/>
    <x v="0"/>
    <m/>
    <x v="2"/>
    <x v="1"/>
    <s v="no root cause"/>
    <x v="1"/>
    <s v=""/>
  </r>
  <r>
    <s v="H-General-Yde"/>
    <s v="CTR_336"/>
    <s v="Yaounde"/>
    <s v="IHS"/>
    <s v="Grid-Gen"/>
    <s v="CENTRE"/>
    <s v="Yaounde"/>
    <s v="ZTE"/>
    <n v="0"/>
    <n v="0"/>
    <n v="0"/>
    <n v="0"/>
    <n v="0"/>
    <n v="0"/>
    <n v="0"/>
    <n v="0"/>
    <n v="0"/>
    <n v="0"/>
    <n v="0"/>
    <n v="0"/>
    <n v="0"/>
    <n v="0"/>
    <n v="0"/>
    <n v="0"/>
    <n v="0"/>
    <n v="0"/>
    <n v="0"/>
    <n v="0"/>
    <n v="0"/>
    <n v="0"/>
    <n v="0.294796009508237"/>
    <n v="0"/>
    <m/>
    <n v="0"/>
    <m/>
    <n v="0"/>
    <m/>
    <n v="0"/>
    <m/>
    <m/>
    <n v="0"/>
    <n v="0"/>
    <n v="0"/>
    <n v="0.7095685908575963"/>
    <m/>
    <n v="7.691395359455302"/>
    <n v="0"/>
    <n v="0"/>
    <n v="0"/>
    <n v="0"/>
    <x v="0"/>
    <m/>
    <x v="2"/>
    <x v="1"/>
    <s v="no root cause"/>
    <x v="1"/>
    <s v=""/>
  </r>
  <r>
    <s v="Buea-Bwitingui-Road"/>
    <s v="SUO_232"/>
    <s v="SUD-OUEST"/>
    <s v="CAMUSAT"/>
    <s v="Medium Grid + GE"/>
    <s v="SUD-OUEST"/>
    <s v="Buea"/>
    <s v="Huawei"/>
    <n v="0.3212989358878873"/>
    <n v="0.1927971966110498"/>
    <n v="4.028426974628532"/>
    <n v="2.414994449723627"/>
    <n v="3.444167644028959"/>
    <n v="6.543601059260971"/>
    <n v="0"/>
    <n v="10.12640076705105"/>
    <n v="0.783709011423011"/>
    <n v="0.2009834975587345"/>
    <n v="0.2079570131808363"/>
    <n v="20.8729807124329"/>
    <n v="18.49140919947608"/>
    <n v="18.49140919947608"/>
    <n v="18.49140919947608"/>
    <n v="18.49114167330132"/>
    <n v="11.72709904603733"/>
    <n v="0"/>
    <n v="0"/>
    <n v="0"/>
    <n v="24.6521267974192"/>
    <n v="0"/>
    <n v="0"/>
    <n v="9.570392200506232"/>
    <m/>
    <n v="0"/>
    <m/>
    <n v="2.462221737108092"/>
    <m/>
    <n v="0"/>
    <m/>
    <m/>
    <n v="0"/>
    <n v="0"/>
    <n v="0"/>
    <n v="0"/>
    <m/>
    <n v="7.502593220387349"/>
    <n v="0"/>
    <n v="0"/>
    <n v="0"/>
    <n v="0"/>
    <x v="2"/>
    <s v="site vandalise"/>
    <x v="9"/>
    <x v="5"/>
    <s v="EXCLU"/>
    <x v="4"/>
    <s v=""/>
  </r>
  <r>
    <s v="Makepe-Crf-Conquete"/>
    <s v="LIT_775"/>
    <s v="Douala"/>
    <s v="MTN"/>
    <m/>
    <s v="LITTORAL"/>
    <s v="Douala"/>
    <s v="ZTE"/>
    <n v="0"/>
    <n v="3.607590466651258"/>
    <n v="0.6839039131588638"/>
    <n v="0.002229384789674551"/>
    <n v="2.726751618711709"/>
    <n v="0"/>
    <n v="2.03451872397862"/>
    <n v="0"/>
    <n v="3.786511972331372"/>
    <n v="20.27113599461238"/>
    <n v="5.20156492111188"/>
    <n v="0"/>
    <n v="0"/>
    <n v="0"/>
    <n v="0"/>
    <n v="1.085014824517098"/>
    <n v="0"/>
    <n v="0"/>
    <n v="6.468194348135021"/>
    <n v="9.855396752018217"/>
    <n v="0"/>
    <n v="0"/>
    <n v="4.353792308372785"/>
    <n v="0.5616444512931152"/>
    <m/>
    <n v="0.7503217448128459"/>
    <m/>
    <n v="0.9190950909303636"/>
    <m/>
    <n v="0"/>
    <m/>
    <m/>
    <n v="0.6675134761851778"/>
    <n v="0"/>
    <n v="0"/>
    <n v="0.6920010387149611"/>
    <m/>
    <n v="7.091780026424452"/>
    <n v="0"/>
    <n v="0"/>
    <n v="0"/>
    <n v="0"/>
    <x v="0"/>
    <m/>
    <x v="2"/>
    <x v="1"/>
    <s v="no root cause"/>
    <x v="1"/>
    <s v=""/>
  </r>
  <r>
    <s v="Ekoumdoum"/>
    <s v="CTR_259"/>
    <s v="Yaounde"/>
    <s v="CAMUSAT"/>
    <s v="Grid-Gen"/>
    <s v="CENTRE"/>
    <s v="Yaounde"/>
    <s v="ZTE"/>
    <n v="9.16225426829094"/>
    <n v="0"/>
    <n v="3.673348400407498"/>
    <n v="28.70127813305254"/>
    <n v="0"/>
    <n v="0"/>
    <n v="0"/>
    <n v="0"/>
    <n v="20.34912879209436"/>
    <n v="27.15404941886181"/>
    <n v="32.17754891805281"/>
    <n v="2.962691869772538"/>
    <n v="0"/>
    <n v="0"/>
    <n v="8.55011871028128"/>
    <n v="0"/>
    <n v="9.978351781938345"/>
    <n v="0"/>
    <n v="0"/>
    <n v="0"/>
    <n v="8.430088633205207"/>
    <n v="0"/>
    <n v="0"/>
    <n v="0"/>
    <m/>
    <n v="0"/>
    <m/>
    <n v="11.78452799821934"/>
    <m/>
    <n v="0"/>
    <m/>
    <m/>
    <n v="0"/>
    <n v="0"/>
    <n v="0"/>
    <n v="0"/>
    <m/>
    <n v="6.924397816415691"/>
    <n v="0"/>
    <n v="0"/>
    <n v="0"/>
    <n v="0"/>
    <x v="0"/>
    <m/>
    <x v="2"/>
    <x v="1"/>
    <s v="no root cause"/>
    <x v="1"/>
    <s v=""/>
  </r>
  <r>
    <s v="Bonadiwoto-IHS"/>
    <s v="LIT_129"/>
    <s v="Douala"/>
    <s v="IHS"/>
    <s v="Grid-Gen"/>
    <s v="LITTORAL"/>
    <s v="Douala"/>
    <s v="ZTE"/>
    <n v="0"/>
    <n v="0"/>
    <n v="0"/>
    <n v="0"/>
    <n v="0"/>
    <n v="0"/>
    <n v="0"/>
    <n v="0"/>
    <n v="5.317350249548417"/>
    <n v="1.579242679770456"/>
    <n v="1.114389198505849"/>
    <n v="0.07112629232977483"/>
    <n v="0"/>
    <n v="0"/>
    <n v="0"/>
    <n v="0"/>
    <n v="0"/>
    <n v="0"/>
    <n v="0"/>
    <n v="0"/>
    <n v="0.1178720325996693"/>
    <n v="0"/>
    <n v="0"/>
    <n v="1.225769262597986"/>
    <m/>
    <n v="0"/>
    <m/>
    <n v="0"/>
    <m/>
    <n v="0"/>
    <m/>
    <m/>
    <n v="0"/>
    <n v="0"/>
    <n v="0"/>
    <n v="0"/>
    <m/>
    <n v="6.577077501262724"/>
    <n v="0"/>
    <n v="0"/>
    <n v="0"/>
    <n v="0"/>
    <x v="0"/>
    <m/>
    <x v="2"/>
    <x v="1"/>
    <s v="no root cause"/>
    <x v="1"/>
    <s v=""/>
  </r>
  <r>
    <s v="Zhoa"/>
    <s v="NRO_030"/>
    <s v="NORD-OUEST"/>
    <s v="IHS"/>
    <s v="Hybrid-Gen"/>
    <s v="NORD-OUEST"/>
    <s v="Fungom"/>
    <s v="NOKIA"/>
    <n v="4.673621119229109"/>
    <n v="4.639560804172948"/>
    <n v="4.531584194219096"/>
    <n v="3.693351386599039"/>
    <n v="2.877714328976756"/>
    <n v="4.123154406244362"/>
    <n v="4.661313819473269"/>
    <n v="4.729141404691179"/>
    <n v="2.258825194712688"/>
    <n v="2.963103207322475"/>
    <n v="4.969310303387302"/>
    <n v="7.002461954210934"/>
    <n v="2.808025062466742"/>
    <n v="5.582522193971457"/>
    <n v="3.600064063601316"/>
    <n v="1.297056070632618"/>
    <n v="3.938163643264191"/>
    <n v="0.2272902380768934"/>
    <n v="0.04481955181161591"/>
    <n v="2.465271535500367"/>
    <n v="0.6439355026495792"/>
    <n v="0"/>
    <n v="0"/>
    <n v="0"/>
    <m/>
    <n v="0"/>
    <m/>
    <n v="0.00240773557284831"/>
    <m/>
    <n v="0.06925360910644834"/>
    <m/>
    <m/>
    <n v="0"/>
    <n v="0.2110068115731111"/>
    <n v="0"/>
    <n v="4.512149968752944"/>
    <m/>
    <n v="6.128774972676661"/>
    <n v="0"/>
    <n v="0"/>
    <n v="0"/>
    <n v="0"/>
    <x v="1"/>
    <m/>
    <x v="2"/>
    <x v="1"/>
    <s v="no root cause"/>
    <x v="1"/>
    <s v=""/>
  </r>
  <r>
    <s v="Abattoir"/>
    <s v="CTR_104"/>
    <s v="Yaounde"/>
    <s v="IHS"/>
    <s v="GridOnly"/>
    <s v="CENTRE"/>
    <s v="Yaounde"/>
    <s v="ZTE"/>
    <n v="0"/>
    <n v="0"/>
    <n v="0"/>
    <n v="0"/>
    <n v="0"/>
    <n v="0"/>
    <n v="0"/>
    <n v="0"/>
    <n v="0"/>
    <n v="0"/>
    <n v="0"/>
    <n v="0"/>
    <n v="0"/>
    <n v="0.08400321887493468"/>
    <n v="3.859689298667648"/>
    <n v="0.2056919582345269"/>
    <n v="1.24094691424609"/>
    <n v="0"/>
    <n v="0"/>
    <n v="0"/>
    <n v="1.277919031598054"/>
    <n v="0"/>
    <n v="0.2942252870020804"/>
    <n v="0"/>
    <m/>
    <n v="0"/>
    <m/>
    <n v="0"/>
    <m/>
    <n v="0"/>
    <m/>
    <m/>
    <n v="0"/>
    <n v="0"/>
    <n v="0"/>
    <n v="0.00422691356122283"/>
    <m/>
    <n v="5.958342964275627"/>
    <n v="0"/>
    <n v="0"/>
    <n v="0"/>
    <n v="0"/>
    <x v="0"/>
    <m/>
    <x v="2"/>
    <x v="1"/>
    <s v="no root cause"/>
    <x v="1"/>
    <s v=""/>
  </r>
  <r>
    <s v="Bertoua-Bonis-MTN"/>
    <s v="EST_052"/>
    <s v="CENTRE"/>
    <s v="IHS"/>
    <s v="Grid-Gen"/>
    <s v="EST"/>
    <s v="Bertoua"/>
    <s v="ZTE"/>
    <n v="0"/>
    <n v="0"/>
    <n v="0"/>
    <n v="0"/>
    <n v="0"/>
    <n v="0"/>
    <n v="0"/>
    <n v="0"/>
    <n v="0"/>
    <n v="0.06500886046690843"/>
    <n v="0"/>
    <n v="0"/>
    <n v="0"/>
    <n v="0"/>
    <n v="0"/>
    <n v="0"/>
    <n v="0"/>
    <n v="0"/>
    <n v="0"/>
    <n v="0"/>
    <n v="2.466395145434363"/>
    <n v="1.315836408100836"/>
    <n v="0"/>
    <n v="0.0423583110038143"/>
    <m/>
    <n v="0"/>
    <m/>
    <n v="0"/>
    <m/>
    <n v="0"/>
    <m/>
    <m/>
    <n v="0"/>
    <n v="1.144155944217582"/>
    <n v="6.339389412526787"/>
    <n v="0"/>
    <m/>
    <n v="5.879690268895909"/>
    <n v="0"/>
    <n v="0"/>
    <n v="0"/>
    <n v="0"/>
    <x v="0"/>
    <m/>
    <x v="10"/>
    <x v="6"/>
    <s v="Projet OCM (HUAWEI)"/>
    <x v="5"/>
    <s v="{05-25-2026 BOTX}: No supervision"/>
  </r>
  <r>
    <s v="Bfsam-Baleng-IHS"/>
    <s v="OST_169"/>
    <s v="Bafoussam"/>
    <s v="IHS"/>
    <s v="Grid-Gen"/>
    <s v="OUEST"/>
    <s v="Bafoussam"/>
    <s v="Huawei"/>
    <n v="0.05466451504281845"/>
    <n v="0.04449852040190278"/>
    <n v="0"/>
    <n v="2.215312912882063"/>
    <n v="2.858320991459137"/>
    <n v="0"/>
    <n v="0"/>
    <n v="0"/>
    <n v="0"/>
    <n v="0"/>
    <n v="0"/>
    <n v="0"/>
    <n v="0"/>
    <n v="0"/>
    <n v="0"/>
    <n v="0"/>
    <n v="0"/>
    <n v="0"/>
    <n v="0"/>
    <n v="0"/>
    <n v="0.7730079644325732"/>
    <n v="0"/>
    <n v="0"/>
    <n v="0"/>
    <m/>
    <n v="0"/>
    <m/>
    <n v="0"/>
    <m/>
    <n v="0"/>
    <m/>
    <m/>
    <n v="0"/>
    <n v="0.04806553606538197"/>
    <n v="0"/>
    <n v="0"/>
    <m/>
    <n v="5.852295588600389"/>
    <n v="0"/>
    <n v="0"/>
    <n v="0"/>
    <n v="0"/>
    <x v="0"/>
    <m/>
    <x v="2"/>
    <x v="1"/>
    <s v="no root cause"/>
    <x v="1"/>
    <s v=""/>
  </r>
  <r>
    <s v="Maroua-Lougol"/>
    <s v="EXN_084"/>
    <s v="Maroua"/>
    <s v="IHS"/>
    <s v="Grid-Gen"/>
    <s v="EXTREME-NORD"/>
    <s v="Maroua"/>
    <s v="Huawei"/>
    <n v="0"/>
    <n v="0"/>
    <n v="0"/>
    <n v="0"/>
    <n v="0"/>
    <n v="0"/>
    <n v="0.004904646537283876"/>
    <n v="0"/>
    <n v="0"/>
    <n v="0"/>
    <n v="1.23525752426284"/>
    <n v="0"/>
    <n v="0"/>
    <n v="0"/>
    <n v="1.073297178062568"/>
    <n v="0"/>
    <n v="0"/>
    <n v="0.8416195107195955"/>
    <n v="0.2505471802027777"/>
    <n v="0.312952119235346"/>
    <n v="0.3090819072404711"/>
    <n v="0"/>
    <n v="0.5634992994381237"/>
    <n v="0"/>
    <m/>
    <n v="1.033542788493093"/>
    <m/>
    <n v="0"/>
    <m/>
    <n v="1.397663747421048"/>
    <m/>
    <m/>
    <n v="0"/>
    <n v="0"/>
    <n v="1.619371605984596"/>
    <n v="3.750324598425376"/>
    <m/>
    <n v="5.829520193589073"/>
    <n v="0"/>
    <n v="0"/>
    <n v="0"/>
    <n v="0"/>
    <x v="0"/>
    <m/>
    <x v="4"/>
    <x v="0"/>
    <s v="Defaut GE &amp; Power Cabinet"/>
    <x v="0"/>
    <s v="{05-25-2026 BOTX}: Power issue at maroua-stade-EXN_066"/>
  </r>
  <r>
    <s v="Ekie-Nodal"/>
    <s v="CTR_575"/>
    <s v="Yaounde"/>
    <m/>
    <m/>
    <s v="CENTRE"/>
    <s v="Yaounde"/>
    <s v="ZTE"/>
    <n v="0"/>
    <n v="0"/>
    <n v="0"/>
    <n v="0"/>
    <n v="0"/>
    <n v="0"/>
    <n v="0"/>
    <n v="0"/>
    <n v="0"/>
    <n v="0"/>
    <n v="0"/>
    <n v="0"/>
    <n v="0"/>
    <n v="0"/>
    <n v="0"/>
    <n v="0"/>
    <n v="0"/>
    <n v="0"/>
    <n v="0"/>
    <n v="0"/>
    <n v="0"/>
    <n v="0"/>
    <n v="0"/>
    <n v="0"/>
    <m/>
    <n v="0"/>
    <m/>
    <n v="0"/>
    <m/>
    <n v="0"/>
    <m/>
    <m/>
    <n v="0"/>
    <n v="0"/>
    <n v="0"/>
    <n v="0"/>
    <m/>
    <n v="5.80783273835512"/>
    <n v="0"/>
    <n v="0"/>
    <n v="0"/>
    <n v="0"/>
    <x v="0"/>
    <m/>
    <x v="2"/>
    <x v="1"/>
    <s v="no root cause"/>
    <x v="1"/>
    <s v=""/>
  </r>
  <r>
    <s v="Bonaloka-Entree"/>
    <s v="LIT_433"/>
    <s v="Douala"/>
    <s v="IHS"/>
    <s v="Grid-Gen"/>
    <s v="LITTORAL"/>
    <s v="Douala"/>
    <s v="ZTE"/>
    <n v="0"/>
    <n v="0"/>
    <n v="0"/>
    <n v="0"/>
    <n v="0"/>
    <n v="0"/>
    <n v="0"/>
    <n v="0"/>
    <n v="0.1151432656171084"/>
    <n v="0.3921755371212187"/>
    <n v="0.0169968296364781"/>
    <n v="0.0002496910964435937"/>
    <n v="0"/>
    <n v="0"/>
    <n v="0"/>
    <n v="0"/>
    <n v="0"/>
    <n v="0"/>
    <n v="0"/>
    <n v="0"/>
    <n v="0.000267526174760832"/>
    <n v="0"/>
    <n v="0"/>
    <n v="0"/>
    <m/>
    <n v="0"/>
    <m/>
    <n v="0"/>
    <m/>
    <n v="0"/>
    <m/>
    <m/>
    <n v="0"/>
    <n v="0"/>
    <n v="0"/>
    <n v="0"/>
    <m/>
    <n v="5.647085177480431"/>
    <n v="0"/>
    <n v="0"/>
    <n v="0"/>
    <n v="0"/>
    <x v="0"/>
    <m/>
    <x v="2"/>
    <x v="1"/>
    <s v="no root cause"/>
    <x v="1"/>
    <s v=""/>
  </r>
  <r>
    <s v="Dibamba-Centrale-Electrique"/>
    <s v="LIT_617"/>
    <s v="LITTORAL"/>
    <s v="CAMUSAT"/>
    <s v="HGB"/>
    <s v="LITTORAL"/>
    <s v="Dibamba"/>
    <s v="ZTE"/>
    <n v="0"/>
    <n v="0"/>
    <n v="0"/>
    <n v="0"/>
    <n v="0.08765940993000065"/>
    <n v="0"/>
    <n v="0"/>
    <n v="0"/>
    <n v="0"/>
    <n v="0"/>
    <n v="0"/>
    <n v="0.2449648006894332"/>
    <n v="0"/>
    <n v="0"/>
    <n v="0"/>
    <n v="0"/>
    <n v="0"/>
    <n v="0"/>
    <n v="24.76323933533657"/>
    <n v="13.86855689960706"/>
    <n v="0.06112081339371586"/>
    <n v="1.432317304591748"/>
    <n v="16.77522878838466"/>
    <n v="3.297046082988761"/>
    <m/>
    <n v="0.0004815471145696895"/>
    <m/>
    <n v="0.0004280418796175018"/>
    <m/>
    <n v="0"/>
    <m/>
    <m/>
    <n v="0"/>
    <n v="1.266861283041267"/>
    <n v="0"/>
    <n v="0"/>
    <m/>
    <n v="5.40814863326228"/>
    <n v="0"/>
    <n v="0"/>
    <n v="0"/>
    <n v="0"/>
    <x v="0"/>
    <m/>
    <x v="2"/>
    <x v="1"/>
    <s v="no root cause"/>
    <x v="1"/>
    <s v=""/>
  </r>
  <r>
    <s v="Etoudi"/>
    <s v="CTR_086"/>
    <s v="Yaounde"/>
    <s v="IHS"/>
    <s v="Grid-Gen"/>
    <s v="CENTRE"/>
    <s v="Yaounde"/>
    <s v="ZTE"/>
    <n v="5.361813099793684"/>
    <n v="9.245704599738039"/>
    <n v="9.245704599738039"/>
    <n v="9.245704599738039"/>
    <n v="9.245704599738039"/>
    <n v="5.365790322258462"/>
    <n v="9.245704599738039"/>
    <n v="7.416467627192644"/>
    <n v="3.392338906438606"/>
    <n v="9.245704599738039"/>
    <n v="9.245704599738039"/>
    <n v="44.20436645521399"/>
    <n v="9.245704599738039"/>
    <n v="9.245704599738039"/>
    <n v="9.245704599738039"/>
    <n v="9.245704599738039"/>
    <n v="4.753405073152357"/>
    <n v="9.245704599738039"/>
    <n v="9.245704599738039"/>
    <n v="9.245704599738039"/>
    <n v="4.737781544546319"/>
    <n v="9.245704599738039"/>
    <n v="9.351751975413274"/>
    <n v="8.153163372171001"/>
    <m/>
    <n v="9.245704599738039"/>
    <m/>
    <n v="9.245704599738039"/>
    <m/>
    <n v="9.245704599738039"/>
    <m/>
    <m/>
    <n v="0"/>
    <n v="0"/>
    <n v="0"/>
    <n v="0.002247219867991884"/>
    <m/>
    <n v="5.304366312533353"/>
    <n v="0"/>
    <n v="0"/>
    <n v="0"/>
    <n v="0"/>
    <x v="0"/>
    <m/>
    <x v="11"/>
    <x v="7"/>
    <s v="BSS Hardware issue"/>
    <x v="2"/>
    <s v="05-25-2026: hardware issue,  site with GPS issue (alarm : TDD down 09Apr 02pm)"/>
  </r>
  <r>
    <s v="Ngd-EPC-IHS"/>
    <s v="ADM_077"/>
    <s v="Ngaoundere"/>
    <s v="IHS"/>
    <s v="Grid-Gen"/>
    <s v="ADAMAOUA"/>
    <s v="Ngaoundere"/>
    <s v="Huawei"/>
    <n v="1.439861542720006"/>
    <n v="0.9918443753870213"/>
    <n v="1.159850813136891"/>
    <n v="0"/>
    <n v="0.6682803845528247"/>
    <n v="0.1983260708894425"/>
    <n v="0"/>
    <n v="0.1859306914588524"/>
    <n v="0.4715773057902652"/>
    <n v="0.2546314131374613"/>
    <n v="1.115673324144701"/>
    <n v="0"/>
    <n v="0"/>
    <n v="0"/>
    <n v="0.4351045706311905"/>
    <n v="0"/>
    <n v="1.146153472989131"/>
    <n v="0"/>
    <n v="0.9164019941044366"/>
    <n v="0.8104437938207875"/>
    <n v="0.002336395259578864"/>
    <n v="0"/>
    <n v="0"/>
    <n v="0"/>
    <m/>
    <n v="0"/>
    <m/>
    <n v="0"/>
    <m/>
    <n v="0"/>
    <m/>
    <m/>
    <n v="0.3657796212114727"/>
    <n v="0.5927309928003356"/>
    <n v="0.1644394220863903"/>
    <n v="3.297420619633425"/>
    <m/>
    <n v="5.24547488392931"/>
    <n v="0"/>
    <n v="0"/>
    <n v="0"/>
    <n v="0"/>
    <x v="0"/>
    <m/>
    <x v="2"/>
    <x v="1"/>
    <s v="no root cause"/>
    <x v="1"/>
    <s v=""/>
  </r>
  <r>
    <s v="Bertoua-Tigaza"/>
    <s v="EST_079"/>
    <s v="CENTRE"/>
    <s v="IHS"/>
    <s v="Grid-Gen"/>
    <s v="EST"/>
    <s v="Bertoua"/>
    <s v="ZTE"/>
    <n v="0"/>
    <n v="0"/>
    <n v="0"/>
    <n v="0"/>
    <n v="0"/>
    <n v="0"/>
    <n v="0"/>
    <n v="0"/>
    <n v="0"/>
    <n v="0.08721353297206552"/>
    <n v="0"/>
    <n v="0"/>
    <n v="0"/>
    <n v="0"/>
    <n v="0"/>
    <n v="0"/>
    <n v="0"/>
    <n v="0"/>
    <n v="0"/>
    <n v="0"/>
    <n v="0"/>
    <n v="0.9366983132296333"/>
    <n v="0"/>
    <n v="0"/>
    <m/>
    <n v="0"/>
    <m/>
    <n v="0"/>
    <m/>
    <n v="0"/>
    <m/>
    <m/>
    <n v="0"/>
    <n v="0.953160090516589"/>
    <n v="0"/>
    <n v="0"/>
    <m/>
    <n v="5.107288697126129"/>
    <n v="0"/>
    <n v="0"/>
    <n v="0"/>
    <n v="0"/>
    <x v="0"/>
    <m/>
    <x v="2"/>
    <x v="1"/>
    <s v="no root cause"/>
    <x v="1"/>
    <s v=""/>
  </r>
  <r>
    <s v="Kotto-Antenne"/>
    <s v="LIT_303"/>
    <s v="Douala"/>
    <s v="IHS"/>
    <s v="Grid-Gen"/>
    <s v="LITTORAL"/>
    <s v="Douala"/>
    <s v="ZTE"/>
    <n v="0"/>
    <n v="0"/>
    <n v="0"/>
    <n v="0"/>
    <n v="0"/>
    <n v="0"/>
    <n v="0"/>
    <n v="0"/>
    <n v="0"/>
    <n v="0.09536416376311577"/>
    <n v="0"/>
    <n v="0"/>
    <n v="0.5419010195957572"/>
    <n v="0"/>
    <n v="0"/>
    <n v="0"/>
    <n v="0"/>
    <n v="0"/>
    <n v="0"/>
    <n v="0"/>
    <n v="0"/>
    <n v="0.07731506450591169"/>
    <n v="0"/>
    <n v="0"/>
    <m/>
    <n v="0"/>
    <m/>
    <n v="0"/>
    <m/>
    <n v="4.070125387734603"/>
    <m/>
    <m/>
    <n v="0.0132157930331905"/>
    <n v="0.1193523441000137"/>
    <n v="0.3167688259952684"/>
    <n v="0"/>
    <m/>
    <n v="4.991646049316128"/>
    <n v="0"/>
    <n v="0"/>
    <n v="0"/>
    <n v="0"/>
    <x v="0"/>
    <m/>
    <x v="4"/>
    <x v="0"/>
    <s v="Defaut GE &amp; Power Cabinet"/>
    <x v="0"/>
    <s v="{05-25-2026 BOTX}: Power issue on site"/>
  </r>
  <r>
    <s v="Buea-GRA-HIS"/>
    <s v="SUO_242"/>
    <s v="SUD-OUEST"/>
    <s v="IHS"/>
    <s v="Grid-Gen"/>
    <s v="SUD-OUEST"/>
    <s v="Buea"/>
    <s v="Huawei"/>
    <n v="0"/>
    <n v="0.5809955112674891"/>
    <n v="0"/>
    <n v="0"/>
    <n v="0.8229283486429646"/>
    <n v="0"/>
    <n v="0"/>
    <n v="0"/>
    <n v="0"/>
    <n v="0"/>
    <n v="0"/>
    <n v="0"/>
    <n v="0"/>
    <n v="0"/>
    <n v="0"/>
    <n v="0"/>
    <n v="1.76050058071015"/>
    <n v="0"/>
    <n v="1.826312019701341"/>
    <n v="0"/>
    <n v="0"/>
    <n v="0"/>
    <n v="0"/>
    <n v="0"/>
    <m/>
    <n v="0.2453036671774634"/>
    <m/>
    <n v="0.1942240028764414"/>
    <m/>
    <n v="0"/>
    <m/>
    <m/>
    <n v="0"/>
    <n v="0"/>
    <n v="0"/>
    <n v="0"/>
    <m/>
    <n v="4.8514623337414"/>
    <n v="0"/>
    <n v="0"/>
    <n v="0"/>
    <n v="0"/>
    <x v="0"/>
    <m/>
    <x v="2"/>
    <x v="1"/>
    <s v="no root cause"/>
    <x v="1"/>
    <s v=""/>
  </r>
  <r>
    <s v="Complexe-BEAC"/>
    <s v="CTR_196"/>
    <s v="Yaounde"/>
    <s v="IHS"/>
    <s v="Grid-Gen"/>
    <s v="CENTRE"/>
    <s v="Yaounde"/>
    <s v="ZTE"/>
    <n v="0"/>
    <n v="0"/>
    <n v="0"/>
    <n v="0.01772806784749134"/>
    <n v="0"/>
    <n v="0"/>
    <n v="0.01897652332970919"/>
    <n v="0"/>
    <n v="0"/>
    <n v="7.833986810602884"/>
    <n v="0"/>
    <n v="0"/>
    <n v="0"/>
    <n v="0"/>
    <n v="0"/>
    <n v="0"/>
    <n v="0"/>
    <n v="0"/>
    <n v="0"/>
    <n v="0"/>
    <n v="0.009898468466154584"/>
    <n v="0"/>
    <n v="0"/>
    <n v="0"/>
    <m/>
    <n v="0"/>
    <m/>
    <n v="0"/>
    <m/>
    <n v="0"/>
    <m/>
    <m/>
    <n v="0"/>
    <n v="0"/>
    <n v="0"/>
    <n v="0"/>
    <m/>
    <n v="4.561339114752321"/>
    <n v="0"/>
    <n v="0"/>
    <n v="0"/>
    <n v="0"/>
    <x v="0"/>
    <m/>
    <x v="2"/>
    <x v="1"/>
    <s v="no root cause"/>
    <x v="1"/>
    <s v=""/>
  </r>
  <r>
    <s v="Kotto-Denver"/>
    <s v="LIT_657"/>
    <s v="Douala"/>
    <s v="CAMUSAT"/>
    <s v="Good Grid no GE - 12h"/>
    <s v="LITTORAL"/>
    <s v="Douala"/>
    <s v="ZTE"/>
    <n v="0"/>
    <n v="0"/>
    <n v="0"/>
    <n v="0"/>
    <n v="0"/>
    <n v="0"/>
    <n v="0.1108450117426158"/>
    <n v="1.877177663062553"/>
    <n v="0.4441469553381102"/>
    <n v="16.07876898009034"/>
    <n v="0"/>
    <n v="0.005707225061566613"/>
    <n v="0"/>
    <n v="0"/>
    <n v="2.587941204167415"/>
    <n v="3.885032944956668"/>
    <n v="1.799488061911978"/>
    <n v="0.6949973318722839"/>
    <n v="19.36607711031781"/>
    <n v="36.49702653574292"/>
    <n v="0"/>
    <n v="0"/>
    <n v="0"/>
    <n v="0"/>
    <m/>
    <n v="7.613687923226407"/>
    <m/>
    <n v="16.90144763763687"/>
    <m/>
    <n v="1.008734194553595"/>
    <m/>
    <m/>
    <n v="0"/>
    <n v="13.77583232743492"/>
    <n v="0"/>
    <n v="0"/>
    <m/>
    <n v="4.457984835903012"/>
    <n v="0"/>
    <n v="0"/>
    <n v="0"/>
    <n v="0"/>
    <x v="0"/>
    <m/>
    <x v="2"/>
    <x v="1"/>
    <s v="no root cause"/>
    <x v="1"/>
    <s v=""/>
  </r>
  <r>
    <s v="Bandjoun"/>
    <s v="OST_009"/>
    <s v="OUEST"/>
    <s v="IHS"/>
    <s v="Grid-Gen"/>
    <s v="OUEST"/>
    <s v="Bandjoun"/>
    <s v="Huawei"/>
    <n v="0"/>
    <n v="0"/>
    <n v="0"/>
    <n v="0"/>
    <n v="0"/>
    <n v="0"/>
    <n v="6.558047472698061"/>
    <n v="0"/>
    <n v="0"/>
    <n v="8.917539158697954e-05"/>
    <n v="0"/>
    <n v="0.2173917696107388"/>
    <n v="0"/>
    <n v="0"/>
    <n v="0.0326738634774693"/>
    <n v="0"/>
    <n v="0"/>
    <n v="0"/>
    <n v="0"/>
    <n v="0.1121826426164203"/>
    <n v="0"/>
    <n v="0"/>
    <n v="0"/>
    <n v="0"/>
    <m/>
    <n v="0"/>
    <m/>
    <n v="0.3832401628842033"/>
    <m/>
    <n v="0"/>
    <m/>
    <m/>
    <n v="0"/>
    <n v="0"/>
    <n v="0"/>
    <n v="0"/>
    <m/>
    <n v="4.439061817808254"/>
    <n v="0"/>
    <n v="0"/>
    <n v="0"/>
    <n v="0"/>
    <x v="0"/>
    <m/>
    <x v="2"/>
    <x v="1"/>
    <s v="no root cause"/>
    <x v="1"/>
    <s v=""/>
  </r>
  <r>
    <s v="Benakuma"/>
    <s v="NRO_233"/>
    <s v="NORD-OUEST"/>
    <s v="IHS"/>
    <s v="Gen Only"/>
    <s v="NORD-OUEST"/>
    <s v="Benakuma"/>
    <s v="NOKIA"/>
    <n v="0"/>
    <n v="0"/>
    <n v="0"/>
    <n v="0.001070104699043579"/>
    <n v="0.01919378081854039"/>
    <n v="0.001872683223326521"/>
    <n v="0"/>
    <n v="3.332119745390302"/>
    <n v="3.329523636047229"/>
    <n v="0.9502947812572283"/>
    <n v="0"/>
    <n v="4.627507255309859"/>
    <n v="0.6005953378880453"/>
    <n v="0"/>
    <n v="0.6519612878924074"/>
    <n v="0.06417061178599043"/>
    <n v="0"/>
    <n v="2.741340712775338"/>
    <n v="0"/>
    <n v="0.0193153898177397"/>
    <n v="6.081369334509021"/>
    <n v="1.666545388134108"/>
    <n v="0"/>
    <n v="0.003656191055066162"/>
    <m/>
    <n v="0.1660802492915905"/>
    <m/>
    <n v="0.3644954955726202"/>
    <m/>
    <n v="0.6658191437450239"/>
    <m/>
    <m/>
    <n v="0.6851702037193986"/>
    <n v="0"/>
    <n v="0"/>
    <n v="4.008540862304634"/>
    <m/>
    <n v="4.382328433680618"/>
    <n v="0"/>
    <n v="0"/>
    <n v="0"/>
    <n v="0"/>
    <x v="1"/>
    <m/>
    <x v="2"/>
    <x v="1"/>
    <s v="no root cause"/>
    <x v="1"/>
    <s v=""/>
  </r>
  <r>
    <s v="Anguissa-IHS"/>
    <s v="CTR_478"/>
    <s v="Yaounde"/>
    <s v="IHS"/>
    <s v="Grid-Gen"/>
    <s v="CENTRE"/>
    <s v="Yaounde"/>
    <s v="ZTE"/>
    <n v="4.470950937839758"/>
    <n v="10.51609722828615"/>
    <n v="0"/>
    <n v="0"/>
    <n v="1.048738275219514"/>
    <n v="2.09622809495681"/>
    <n v="5.752686676197732"/>
    <n v="12.04169199247788"/>
    <n v="0"/>
    <n v="0"/>
    <n v="0"/>
    <n v="0.002051034006500451"/>
    <n v="0"/>
    <n v="10.22381596482067"/>
    <n v="0"/>
    <n v="0"/>
    <n v="0"/>
    <n v="0"/>
    <n v="0"/>
    <n v="0"/>
    <n v="0"/>
    <n v="0"/>
    <n v="0"/>
    <n v="0"/>
    <m/>
    <n v="0"/>
    <m/>
    <n v="2.113688636629541"/>
    <m/>
    <n v="0"/>
    <m/>
    <m/>
    <n v="0"/>
    <n v="0"/>
    <n v="0"/>
    <n v="0"/>
    <m/>
    <n v="3.987299284028617"/>
    <n v="0"/>
    <n v="0"/>
    <n v="0"/>
    <n v="0"/>
    <x v="0"/>
    <m/>
    <x v="11"/>
    <x v="7"/>
    <s v="BSS Hardware issue"/>
    <x v="2"/>
    <s v="05-25-2026: hardware issue,  site with GPS issue (alarm : TDD down 09Apr 02pm)"/>
  </r>
  <r>
    <s v="Tole-II-IHS"/>
    <s v="SUO_190"/>
    <s v="SUD-OUEST"/>
    <s v="IHS"/>
    <m/>
    <s v="SUD-OUEST"/>
    <s v="Buea"/>
    <s v="Huawei"/>
    <n v="0"/>
    <n v="0"/>
    <n v="0"/>
    <n v="0"/>
    <n v="1.109698572908373"/>
    <n v="2.330509683734123"/>
    <n v="1.083534513016754"/>
    <n v="0"/>
    <n v="0"/>
    <n v="0.8325949610909932"/>
    <n v="0.6607004762679315"/>
    <n v="0.2621756512657198"/>
    <n v="2.505739328202538"/>
    <n v="0"/>
    <n v="0"/>
    <n v="0"/>
    <n v="1.67180673623774"/>
    <n v="0"/>
    <n v="0"/>
    <n v="0"/>
    <n v="0"/>
    <n v="0"/>
    <n v="0"/>
    <n v="0"/>
    <m/>
    <n v="0"/>
    <m/>
    <n v="0"/>
    <m/>
    <n v="0"/>
    <m/>
    <m/>
    <n v="0"/>
    <n v="0"/>
    <n v="0"/>
    <n v="10.41309965100318"/>
    <m/>
    <n v="3.867536733127303"/>
    <n v="0"/>
    <n v="0"/>
    <n v="0"/>
    <n v="0"/>
    <x v="0"/>
    <m/>
    <x v="2"/>
    <x v="1"/>
    <s v="no root cause"/>
    <x v="1"/>
    <s v=""/>
  </r>
  <r>
    <s v="Garoua-Chateau"/>
    <s v="NRD_018"/>
    <s v="Garoua"/>
    <s v="CAMUSAT"/>
    <s v="Medium Grid + Solar + GE"/>
    <s v="NORD"/>
    <s v="Garoua"/>
    <s v="Huawei"/>
    <n v="0"/>
    <n v="0"/>
    <n v="0"/>
    <n v="0"/>
    <n v="0"/>
    <n v="0"/>
    <n v="0"/>
    <n v="0"/>
    <n v="0.01005898417101129"/>
    <n v="0.006153102019501589"/>
    <n v="0"/>
    <n v="0"/>
    <n v="0"/>
    <n v="0"/>
    <n v="0"/>
    <n v="0"/>
    <n v="0"/>
    <n v="0"/>
    <n v="0"/>
    <n v="0"/>
    <n v="0.0287679813259596"/>
    <n v="0"/>
    <n v="0"/>
    <n v="0"/>
    <m/>
    <n v="0"/>
    <m/>
    <n v="0"/>
    <m/>
    <n v="0"/>
    <m/>
    <m/>
    <n v="0"/>
    <n v="0"/>
    <n v="0"/>
    <n v="0"/>
    <m/>
    <n v="3.751876250238989"/>
    <n v="0"/>
    <n v="0"/>
    <n v="0"/>
    <n v="0"/>
    <x v="0"/>
    <m/>
    <x v="2"/>
    <x v="1"/>
    <s v="no root cause"/>
    <x v="1"/>
    <s v=""/>
  </r>
  <r>
    <s v="Nkong-Marche"/>
    <s v="LIT_071"/>
    <s v="LITTORAL"/>
    <s v="IHS"/>
    <s v="Grid-Gen"/>
    <s v="LITTORAL"/>
    <s v="Nkongsamba"/>
    <s v="ZTE"/>
    <n v="0"/>
    <n v="0"/>
    <n v="0"/>
    <n v="0"/>
    <n v="0"/>
    <n v="0"/>
    <n v="0"/>
    <n v="0"/>
    <n v="0.000374536644665314"/>
    <n v="0"/>
    <n v="0"/>
    <n v="0"/>
    <n v="0"/>
    <n v="0"/>
    <n v="0"/>
    <n v="0"/>
    <n v="0"/>
    <n v="0"/>
    <n v="0"/>
    <n v="0"/>
    <n v="0.268061227110461"/>
    <n v="0"/>
    <n v="0"/>
    <n v="0.1391671161106415"/>
    <m/>
    <n v="0"/>
    <m/>
    <n v="0"/>
    <m/>
    <n v="0"/>
    <m/>
    <m/>
    <n v="0"/>
    <n v="0"/>
    <n v="0"/>
    <n v="0"/>
    <m/>
    <n v="3.638159790887272"/>
    <n v="0"/>
    <n v="0"/>
    <n v="0"/>
    <n v="0"/>
    <x v="0"/>
    <m/>
    <x v="2"/>
    <x v="1"/>
    <s v="no root cause"/>
    <x v="1"/>
    <s v=""/>
  </r>
  <r>
    <s v="Ekie-Elegance"/>
    <s v="CTR_285"/>
    <s v="Yaounde"/>
    <s v="IHS"/>
    <s v="Grid-Gen"/>
    <s v="CENTRE"/>
    <s v="Yaounde"/>
    <s v="ZTE"/>
    <n v="0"/>
    <n v="0"/>
    <n v="0"/>
    <n v="0.01004114909269398"/>
    <n v="0"/>
    <n v="0"/>
    <n v="0.01114692394837225"/>
    <n v="0"/>
    <n v="0"/>
    <n v="7.872653260394996"/>
    <n v="0"/>
    <n v="1.18162744376243"/>
    <n v="0"/>
    <n v="0"/>
    <n v="0"/>
    <n v="0"/>
    <n v="0"/>
    <n v="0"/>
    <n v="0"/>
    <n v="0"/>
    <n v="0"/>
    <n v="0"/>
    <n v="0"/>
    <n v="0"/>
    <m/>
    <n v="0"/>
    <m/>
    <n v="0"/>
    <m/>
    <n v="0"/>
    <m/>
    <m/>
    <n v="0"/>
    <n v="0"/>
    <n v="1.780868240148617"/>
    <n v="0"/>
    <m/>
    <n v="3.61456398227336"/>
    <n v="0"/>
    <n v="0"/>
    <n v="0"/>
    <n v="0"/>
    <x v="0"/>
    <m/>
    <x v="2"/>
    <x v="1"/>
    <s v="no root cause"/>
    <x v="1"/>
    <s v=""/>
  </r>
  <r>
    <s v="Kribi-Afanmabe"/>
    <s v="SUD_241"/>
    <s v="LITTORAL"/>
    <s v="IHS"/>
    <s v="Grid-Gen"/>
    <s v="SUD"/>
    <s v="Kribi"/>
    <s v="ZTE"/>
    <n v="13.92213347487251"/>
    <n v="0"/>
    <n v="0"/>
    <n v="0"/>
    <n v="0"/>
    <n v="0"/>
    <n v="0"/>
    <n v="0"/>
    <n v="0"/>
    <n v="0"/>
    <n v="0"/>
    <n v="0.009951973701106759"/>
    <n v="0"/>
    <n v="2.63490096537712"/>
    <n v="0.009934138622789588"/>
    <n v="0"/>
    <n v="0"/>
    <n v="0"/>
    <n v="3.812319330656644"/>
    <n v="0"/>
    <n v="0"/>
    <n v="0"/>
    <n v="0"/>
    <n v="0"/>
    <m/>
    <n v="0"/>
    <m/>
    <n v="0"/>
    <m/>
    <n v="0"/>
    <m/>
    <m/>
    <n v="0"/>
    <n v="0"/>
    <n v="0"/>
    <n v="0"/>
    <m/>
    <n v="3.607465621103035"/>
    <n v="0"/>
    <n v="0"/>
    <n v="0"/>
    <n v="0"/>
    <x v="0"/>
    <m/>
    <x v="2"/>
    <x v="1"/>
    <s v="no root cause"/>
    <x v="1"/>
    <s v=""/>
  </r>
  <r>
    <s v="Bertoua-Kano"/>
    <s v="EST_032"/>
    <s v="CENTRE"/>
    <s v="IHS"/>
    <s v="Grid-Gen"/>
    <s v="EST"/>
    <s v="Bertoua"/>
    <s v="ZTE"/>
    <n v="0"/>
    <n v="0"/>
    <n v="0"/>
    <n v="0"/>
    <n v="0"/>
    <n v="0"/>
    <n v="0"/>
    <n v="0"/>
    <n v="0"/>
    <n v="0"/>
    <n v="0"/>
    <n v="0"/>
    <n v="0"/>
    <n v="0"/>
    <n v="0"/>
    <n v="0"/>
    <n v="0"/>
    <n v="0"/>
    <n v="0"/>
    <n v="0"/>
    <n v="0"/>
    <n v="0"/>
    <n v="0.548036286536941"/>
    <n v="0"/>
    <m/>
    <n v="0"/>
    <m/>
    <n v="0"/>
    <m/>
    <n v="0.1199944069194404"/>
    <m/>
    <m/>
    <n v="0"/>
    <n v="1.749960049424568"/>
    <n v="15.45710949025919"/>
    <n v="0"/>
    <m/>
    <n v="3.59086116318954"/>
    <n v="0"/>
    <n v="0"/>
    <n v="0"/>
    <n v="0"/>
    <x v="0"/>
    <m/>
    <x v="2"/>
    <x v="1"/>
    <s v="no root cause"/>
    <x v="1"/>
    <s v=""/>
  </r>
  <r>
    <s v="Ekie-Sud-IHS"/>
    <s v="CTR_647"/>
    <s v="Yaounde"/>
    <s v="IHS"/>
    <s v="Grid-Gen"/>
    <s v="CENTRE"/>
    <s v="Yaounde"/>
    <s v="ZTE"/>
    <n v="0"/>
    <n v="0"/>
    <n v="0"/>
    <n v="0"/>
    <n v="0"/>
    <n v="0"/>
    <n v="0"/>
    <n v="0"/>
    <n v="13.69557447500663"/>
    <n v="0"/>
    <n v="0"/>
    <n v="0"/>
    <n v="0"/>
    <n v="0"/>
    <n v="0"/>
    <n v="0.5700269381022912"/>
    <n v="0"/>
    <n v="0"/>
    <n v="0"/>
    <n v="0"/>
    <n v="0.001854848145009179"/>
    <n v="0"/>
    <n v="0"/>
    <n v="0"/>
    <m/>
    <n v="0"/>
    <m/>
    <n v="0"/>
    <m/>
    <n v="0"/>
    <m/>
    <m/>
    <n v="0"/>
    <n v="0"/>
    <n v="0"/>
    <n v="0"/>
    <m/>
    <n v="3.331539124454603"/>
    <n v="0"/>
    <n v="0"/>
    <n v="0"/>
    <n v="0"/>
    <x v="0"/>
    <m/>
    <x v="2"/>
    <x v="1"/>
    <s v="no root cause"/>
    <x v="1"/>
    <s v=""/>
  </r>
  <r>
    <s v="Yassa-II"/>
    <s v="LIT_642"/>
    <s v="Douala"/>
    <s v="CAMUSAT"/>
    <s v="Good Grid + GE"/>
    <s v="LITTORAL"/>
    <s v="Douala"/>
    <s v="ZTE"/>
    <n v="0"/>
    <n v="0"/>
    <n v="0"/>
    <n v="0.02316776673429748"/>
    <n v="0.07164350960098012"/>
    <n v="0"/>
    <n v="0.02434488190324563"/>
    <n v="0"/>
    <n v="0"/>
    <n v="0"/>
    <n v="0"/>
    <n v="0"/>
    <n v="0"/>
    <n v="0"/>
    <n v="0"/>
    <n v="0"/>
    <n v="0"/>
    <n v="0"/>
    <n v="0"/>
    <n v="0"/>
    <n v="0"/>
    <n v="0"/>
    <n v="21.26305171031267"/>
    <n v="8.549869019184836"/>
    <m/>
    <n v="1.688197173211427"/>
    <m/>
    <n v="0"/>
    <m/>
    <n v="0.07524619542109316"/>
    <m/>
    <m/>
    <n v="0"/>
    <n v="0"/>
    <n v="0"/>
    <n v="0"/>
    <m/>
    <n v="3.053936130444335"/>
    <n v="0"/>
    <n v="0"/>
    <n v="0"/>
    <n v="0"/>
    <x v="0"/>
    <m/>
    <x v="2"/>
    <x v="1"/>
    <s v="no root cause"/>
    <x v="1"/>
    <s v=""/>
  </r>
  <r>
    <s v="KOTTO-MBANGUE-II"/>
    <s v="LIT_712"/>
    <s v="Douala"/>
    <s v="CAMUSAT"/>
    <s v="Good Grid no GE - 8h"/>
    <s v="LITTORAL"/>
    <s v="Douala"/>
    <s v="ZTE"/>
    <n v="0"/>
    <n v="0"/>
    <n v="0"/>
    <n v="0"/>
    <n v="0"/>
    <n v="0"/>
    <n v="0"/>
    <n v="0"/>
    <n v="0"/>
    <n v="0"/>
    <n v="0"/>
    <n v="0"/>
    <n v="0"/>
    <n v="0"/>
    <n v="0"/>
    <n v="0"/>
    <n v="0"/>
    <n v="0"/>
    <n v="18.9540154608727"/>
    <n v="39.86659004717021"/>
    <n v="0.02921385828389444"/>
    <n v="0"/>
    <n v="8.441075041448721"/>
    <n v="0"/>
    <m/>
    <n v="0"/>
    <m/>
    <n v="0"/>
    <m/>
    <n v="0.6620916123766886"/>
    <m/>
    <m/>
    <n v="1.178310119195396"/>
    <n v="7.246106959104879"/>
    <n v="0"/>
    <n v="0"/>
    <m/>
    <n v="2.95664577822294"/>
    <n v="0"/>
    <n v="0"/>
    <n v="0"/>
    <n v="0"/>
    <x v="0"/>
    <m/>
    <x v="2"/>
    <x v="1"/>
    <s v="no root cause"/>
    <x v="1"/>
    <s v=""/>
  </r>
  <r>
    <s v="Ndogp-Bloc-13"/>
    <s v="LIT_292"/>
    <s v="Douala"/>
    <s v="IHS"/>
    <s v="Grid-Gen"/>
    <s v="LITTORAL"/>
    <s v="Douala"/>
    <s v="ZTE"/>
    <n v="0"/>
    <n v="0.0467100701132596"/>
    <n v="0"/>
    <n v="0"/>
    <n v="0"/>
    <n v="0"/>
    <n v="0"/>
    <n v="0"/>
    <n v="0"/>
    <n v="0"/>
    <n v="0"/>
    <n v="0"/>
    <n v="0"/>
    <n v="0"/>
    <n v="0"/>
    <n v="0.1631552964475376"/>
    <n v="0"/>
    <n v="0"/>
    <n v="0"/>
    <n v="0"/>
    <n v="0"/>
    <n v="0.2855574389398263"/>
    <n v="0"/>
    <n v="0.8276724794753916"/>
    <m/>
    <n v="0"/>
    <m/>
    <n v="0"/>
    <m/>
    <n v="0"/>
    <m/>
    <m/>
    <n v="0"/>
    <n v="0"/>
    <n v="0"/>
    <n v="0"/>
    <m/>
    <n v="2.846121797890036"/>
    <n v="0"/>
    <n v="0"/>
    <n v="0"/>
    <n v="0"/>
    <x v="0"/>
    <m/>
    <x v="2"/>
    <x v="1"/>
    <s v="no root cause"/>
    <x v="1"/>
    <s v=""/>
  </r>
  <r>
    <s v="Limbe-Church-Street-IHS"/>
    <s v="SUO_188"/>
    <s v="SUD-OUEST"/>
    <s v="IHS"/>
    <s v="GridOnly"/>
    <s v="SUD-OUEST"/>
    <s v="Limbe"/>
    <s v="Huawei"/>
    <n v="2.654662232152794"/>
    <n v="0.08525167435715245"/>
    <n v="0"/>
    <n v="0"/>
    <n v="0"/>
    <n v="0"/>
    <n v="0"/>
    <n v="0.8143496759722971"/>
    <n v="0.5317528600331589"/>
    <n v="0"/>
    <n v="0"/>
    <n v="0.3605778417326551"/>
    <n v="0"/>
    <n v="0"/>
    <n v="0"/>
    <n v="0.2291985914568548"/>
    <n v="8.917539158697954e-05"/>
    <n v="0"/>
    <n v="0"/>
    <n v="0"/>
    <n v="0.006509803585849554"/>
    <n v="0"/>
    <n v="0"/>
    <n v="0.4889486720714088"/>
    <m/>
    <n v="0.204746699083705"/>
    <m/>
    <n v="0"/>
    <m/>
    <n v="0"/>
    <m/>
    <m/>
    <n v="0"/>
    <n v="0"/>
    <n v="0"/>
    <n v="0"/>
    <m/>
    <n v="2.717887584787962"/>
    <n v="0"/>
    <n v="0"/>
    <n v="0"/>
    <n v="0"/>
    <x v="0"/>
    <m/>
    <x v="2"/>
    <x v="1"/>
    <s v="no root cause"/>
    <x v="1"/>
    <s v=""/>
  </r>
  <r>
    <s v="LIT_839_Z_KMC-NKOLBONG"/>
    <s v="LIT_839"/>
    <s v="Douala"/>
    <s v="ESCO"/>
    <s v="GE"/>
    <s v="LITTORAL"/>
    <s v="Douala"/>
    <s v="ZTE"/>
    <n v="0"/>
    <n v="0"/>
    <n v="0"/>
    <n v="0"/>
    <n v="0"/>
    <n v="7.143323402761727"/>
    <n v="0"/>
    <n v="0.01018382971923306"/>
    <n v="0"/>
    <n v="0"/>
    <n v="0"/>
    <n v="0"/>
    <n v="0"/>
    <n v="0"/>
    <n v="0"/>
    <n v="0"/>
    <n v="0"/>
    <n v="0"/>
    <n v="0"/>
    <n v="0"/>
    <n v="0"/>
    <n v="0"/>
    <n v="0"/>
    <n v="0"/>
    <m/>
    <n v="0.001944023536596058"/>
    <m/>
    <n v="0"/>
    <m/>
    <n v="0"/>
    <m/>
    <m/>
    <n v="0.06197689715295124"/>
    <n v="1.629662446173734"/>
    <n v="0"/>
    <n v="0"/>
    <m/>
    <n v="2.716585624070792"/>
    <n v="0"/>
    <n v="0"/>
    <n v="0"/>
    <n v="0"/>
    <x v="0"/>
    <m/>
    <x v="2"/>
    <x v="1"/>
    <s v="no root cause"/>
    <x v="1"/>
    <s v=""/>
  </r>
  <r>
    <s v="Kotto-Mbangue"/>
    <s v="LIT_202"/>
    <s v="Douala"/>
    <s v="IHS"/>
    <s v="GridOnly"/>
    <s v="LITTORAL"/>
    <s v="Douala"/>
    <s v="ZTE"/>
    <n v="0"/>
    <n v="0"/>
    <n v="0"/>
    <n v="0"/>
    <n v="0"/>
    <n v="0"/>
    <n v="0"/>
    <n v="0"/>
    <n v="0"/>
    <n v="3.802189006172364"/>
    <n v="0"/>
    <n v="0"/>
    <n v="0"/>
    <n v="0"/>
    <n v="0"/>
    <n v="0"/>
    <n v="0"/>
    <n v="0"/>
    <n v="0"/>
    <n v="0"/>
    <n v="0.04806553606538202"/>
    <n v="0"/>
    <n v="0"/>
    <n v="0"/>
    <m/>
    <n v="0"/>
    <m/>
    <n v="0"/>
    <m/>
    <n v="2.144525487040319"/>
    <m/>
    <m/>
    <n v="0"/>
    <n v="0"/>
    <n v="0"/>
    <n v="0"/>
    <m/>
    <n v="2.677223606224298"/>
    <n v="0"/>
    <n v="0"/>
    <n v="0"/>
    <n v="0"/>
    <x v="0"/>
    <m/>
    <x v="2"/>
    <x v="1"/>
    <s v="no root cause"/>
    <x v="1"/>
    <s v=""/>
  </r>
  <r>
    <s v="Maroua-Harde"/>
    <s v="EXN_091"/>
    <s v="Maroua"/>
    <s v="IHS"/>
    <s v="Solar-Grid-Gen"/>
    <s v="EXTREME-NORD"/>
    <s v="Maroua"/>
    <s v="Huawei"/>
    <n v="0"/>
    <n v="0"/>
    <n v="0"/>
    <n v="0"/>
    <n v="0"/>
    <n v="0"/>
    <n v="0.004904646537283876"/>
    <n v="0"/>
    <n v="0"/>
    <n v="0"/>
    <n v="0.6914659863654393"/>
    <n v="3.861330125872849"/>
    <n v="0"/>
    <n v="0"/>
    <n v="0.0002675261747609386"/>
    <n v="0"/>
    <n v="0"/>
    <n v="0.3238136819306401"/>
    <n v="0.1302852471085771"/>
    <n v="0"/>
    <n v="0"/>
    <n v="0"/>
    <n v="0"/>
    <n v="0"/>
    <m/>
    <n v="0"/>
    <m/>
    <n v="0"/>
    <m/>
    <n v="0"/>
    <m/>
    <m/>
    <n v="0"/>
    <n v="0"/>
    <n v="1.12362776907426"/>
    <n v="1.69194253965808"/>
    <m/>
    <n v="2.648419954741705"/>
    <n v="0"/>
    <n v="0"/>
    <n v="0"/>
    <n v="0"/>
    <x v="0"/>
    <m/>
    <x v="2"/>
    <x v="1"/>
    <s v="no root cause"/>
    <x v="1"/>
    <s v=""/>
  </r>
  <r>
    <s v="Kotto-Bloc-II"/>
    <s v="LIT_611"/>
    <s v="Douala"/>
    <s v="CAMUSAT"/>
    <s v="Good Grid no GE - 8h"/>
    <s v="LITTORAL"/>
    <s v="Douala"/>
    <s v="ZTE"/>
    <n v="0"/>
    <n v="0"/>
    <n v="0"/>
    <n v="0"/>
    <n v="0"/>
    <n v="0"/>
    <n v="0"/>
    <n v="0"/>
    <n v="0"/>
    <n v="0"/>
    <n v="0"/>
    <n v="0"/>
    <n v="0"/>
    <n v="0"/>
    <n v="0"/>
    <n v="0"/>
    <n v="0"/>
    <n v="0"/>
    <n v="9.106644494097305"/>
    <n v="34.88518133280827"/>
    <n v="37.8817063461489"/>
    <n v="0"/>
    <n v="0"/>
    <n v="0"/>
    <m/>
    <n v="0"/>
    <m/>
    <n v="0"/>
    <m/>
    <n v="0.9324000593551404"/>
    <m/>
    <m/>
    <n v="0"/>
    <n v="0"/>
    <n v="0"/>
    <n v="0"/>
    <m/>
    <n v="2.606293499756016"/>
    <n v="0"/>
    <n v="0"/>
    <n v="0"/>
    <n v="0"/>
    <x v="0"/>
    <m/>
    <x v="2"/>
    <x v="1"/>
    <s v="no root cause"/>
    <x v="1"/>
    <s v=""/>
  </r>
  <r>
    <s v="Centenaire"/>
    <s v="LIT_045"/>
    <s v="Douala"/>
    <s v="IHS"/>
    <s v="Grid-Gen (LL)"/>
    <s v="LITTORAL"/>
    <s v="Douala"/>
    <s v="ZTE"/>
    <n v="0"/>
    <n v="0"/>
    <n v="0"/>
    <n v="0"/>
    <n v="0"/>
    <n v="0"/>
    <n v="0"/>
    <n v="0"/>
    <n v="0"/>
    <n v="0"/>
    <n v="0"/>
    <n v="0"/>
    <n v="0"/>
    <n v="0"/>
    <n v="0"/>
    <n v="0"/>
    <n v="0"/>
    <n v="0"/>
    <n v="0"/>
    <n v="0"/>
    <n v="0"/>
    <n v="0"/>
    <n v="0"/>
    <n v="0"/>
    <m/>
    <n v="0"/>
    <m/>
    <n v="0"/>
    <m/>
    <n v="0"/>
    <m/>
    <m/>
    <n v="0"/>
    <n v="0"/>
    <n v="0"/>
    <n v="0"/>
    <m/>
    <n v="2.498569626718945"/>
    <n v="0"/>
    <n v="0"/>
    <n v="0"/>
    <n v="0"/>
    <x v="0"/>
    <m/>
    <x v="2"/>
    <x v="1"/>
    <s v="no root cause"/>
    <x v="1"/>
    <s v=""/>
  </r>
  <r>
    <s v="PK10-Soeurs-Dominicaines"/>
    <s v="LIT_403"/>
    <s v="Douala"/>
    <s v="IHS"/>
    <s v="Grid-Gen"/>
    <s v="LITTORAL"/>
    <s v="Douala"/>
    <s v="ZTE"/>
    <n v="0"/>
    <n v="0"/>
    <n v="0"/>
    <n v="0"/>
    <n v="0"/>
    <n v="0"/>
    <n v="0"/>
    <n v="0"/>
    <n v="0"/>
    <n v="0"/>
    <n v="6.409088898591173"/>
    <n v="0"/>
    <n v="0"/>
    <n v="0.002211549711357039"/>
    <n v="0"/>
    <n v="0"/>
    <n v="0"/>
    <n v="0"/>
    <n v="3.344166359903319"/>
    <n v="0"/>
    <n v="0"/>
    <n v="0"/>
    <n v="0"/>
    <n v="0"/>
    <m/>
    <n v="0"/>
    <m/>
    <n v="0"/>
    <m/>
    <n v="0"/>
    <m/>
    <m/>
    <n v="0"/>
    <n v="0"/>
    <n v="0"/>
    <n v="0"/>
    <m/>
    <n v="2.4897055927952"/>
    <n v="0"/>
    <n v="0"/>
    <n v="0"/>
    <n v="0"/>
    <x v="0"/>
    <m/>
    <x v="2"/>
    <x v="1"/>
    <s v="no root cause"/>
    <x v="1"/>
    <s v=""/>
  </r>
  <r>
    <s v="Makepe-Lycee"/>
    <s v="LIT_285"/>
    <s v="Douala"/>
    <s v="IHS"/>
    <s v="GridOnly"/>
    <s v="LITTORAL"/>
    <s v="Douala"/>
    <s v="ZTE"/>
    <n v="0"/>
    <n v="0"/>
    <n v="0"/>
    <n v="0.001926188458278717"/>
    <n v="0"/>
    <n v="0"/>
    <n v="0"/>
    <n v="0"/>
    <n v="0"/>
    <n v="0"/>
    <n v="0"/>
    <n v="0"/>
    <n v="0"/>
    <n v="0"/>
    <n v="0"/>
    <n v="0"/>
    <n v="0"/>
    <n v="0"/>
    <n v="0"/>
    <n v="0"/>
    <n v="0"/>
    <n v="4.700167364374932"/>
    <n v="24.18629238684712"/>
    <n v="0"/>
    <m/>
    <n v="0"/>
    <m/>
    <n v="0"/>
    <m/>
    <n v="2.421201056978082"/>
    <m/>
    <m/>
    <n v="0"/>
    <n v="0"/>
    <n v="0"/>
    <n v="0"/>
    <m/>
    <n v="2.469159582573559"/>
    <n v="0"/>
    <n v="0"/>
    <n v="0"/>
    <n v="0"/>
    <x v="0"/>
    <m/>
    <x v="2"/>
    <x v="1"/>
    <s v="no root cause"/>
    <x v="1"/>
    <s v=""/>
  </r>
  <r>
    <s v="Barriere-IHS"/>
    <s v="CTR_526"/>
    <s v="Yaounde"/>
    <s v="IHS"/>
    <s v="Grid-Gen"/>
    <s v="CENTRE"/>
    <s v="Yaounde"/>
    <s v="ZTE"/>
    <n v="0"/>
    <n v="0"/>
    <n v="0"/>
    <n v="0"/>
    <n v="0"/>
    <n v="0"/>
    <n v="0"/>
    <n v="0"/>
    <n v="0"/>
    <n v="0"/>
    <n v="0"/>
    <n v="0"/>
    <n v="0"/>
    <n v="0"/>
    <n v="0"/>
    <n v="0"/>
    <n v="0"/>
    <n v="0"/>
    <n v="0"/>
    <n v="0"/>
    <n v="0"/>
    <n v="0"/>
    <n v="0"/>
    <n v="0"/>
    <m/>
    <n v="0"/>
    <m/>
    <n v="0.02339962275242359"/>
    <m/>
    <n v="0"/>
    <m/>
    <m/>
    <n v="0"/>
    <n v="0"/>
    <n v="0"/>
    <n v="0.2960623000687719"/>
    <m/>
    <n v="2.427907046425422"/>
    <n v="0"/>
    <n v="0"/>
    <n v="0"/>
    <n v="0"/>
    <x v="0"/>
    <m/>
    <x v="2"/>
    <x v="1"/>
    <s v="no root cause"/>
    <x v="1"/>
    <s v=""/>
  </r>
  <r>
    <s v="Kotto-Eglise-EPC"/>
    <s v="LIT_454"/>
    <s v="Douala"/>
    <s v="IHS"/>
    <s v="Grid-Gen"/>
    <s v="LITTORAL"/>
    <s v="Douala"/>
    <s v="ZTE"/>
    <n v="0"/>
    <n v="0"/>
    <n v="0"/>
    <n v="0"/>
    <n v="0"/>
    <n v="0"/>
    <n v="0"/>
    <n v="0"/>
    <n v="0"/>
    <n v="0"/>
    <n v="0"/>
    <n v="0"/>
    <n v="0"/>
    <n v="0"/>
    <n v="0"/>
    <n v="0"/>
    <n v="0"/>
    <n v="0"/>
    <n v="0"/>
    <n v="0"/>
    <m/>
    <n v="0"/>
    <n v="0"/>
    <n v="0"/>
    <m/>
    <n v="0.4501038714961198"/>
    <m/>
    <n v="6.555461386342039"/>
    <m/>
    <n v="0.5588086738406485"/>
    <m/>
    <m/>
    <n v="0"/>
    <n v="1.080110177979813"/>
    <n v="0.0004280418796175018"/>
    <n v="0.06197689715295061"/>
    <m/>
    <n v="2.348754968852819"/>
    <n v="0"/>
    <n v="0"/>
    <n v="0"/>
    <n v="0"/>
    <x v="0"/>
    <m/>
    <x v="2"/>
    <x v="1"/>
    <s v="no root cause"/>
    <x v="1"/>
    <s v=""/>
  </r>
  <r>
    <s v="CTR_1050_Z_Nouvelle-Route-Nkomo"/>
    <s v="CTR_1050"/>
    <s v="Yaounde"/>
    <s v="ESCO"/>
    <s v="Good Grid + GE"/>
    <s v="CTR"/>
    <s v="Yaoundé"/>
    <s v="ZTE"/>
    <n v="0"/>
    <n v="5.452397462567735"/>
    <n v="0.7427596716062687"/>
    <n v="0"/>
    <n v="0"/>
    <n v="0"/>
    <n v="0"/>
    <n v="2.924364286468454"/>
    <n v="9.216455071297514"/>
    <n v="0"/>
    <n v="0"/>
    <n v="0.03775686079792695"/>
    <n v="0"/>
    <n v="0"/>
    <n v="0"/>
    <n v="0"/>
    <n v="0"/>
    <n v="0"/>
    <n v="0"/>
    <n v="0"/>
    <n v="18.88827536219477"/>
    <n v="0.04392779789574648"/>
    <n v="0"/>
    <n v="0"/>
    <m/>
    <n v="0"/>
    <m/>
    <n v="0.6864721644365684"/>
    <m/>
    <n v="0"/>
    <m/>
    <m/>
    <n v="0"/>
    <n v="0"/>
    <n v="0"/>
    <n v="0"/>
    <m/>
    <n v="2.260435661025074"/>
    <n v="0"/>
    <n v="0"/>
    <n v="0"/>
    <n v="0"/>
    <x v="2"/>
    <m/>
    <x v="9"/>
    <x v="5"/>
    <s v="EXCLU"/>
    <x v="4"/>
    <s v=""/>
  </r>
  <r>
    <s v="Maroua-Zokok-Palar-II"/>
    <s v="EXN_204"/>
    <s v="Maroua"/>
    <s v="CAMUSAT"/>
    <s v="Bad Grid + GE"/>
    <s v="EXTREME-NORD"/>
    <s v="Maroua"/>
    <s v="Huawei"/>
    <n v="0"/>
    <n v="0"/>
    <n v="0"/>
    <n v="0"/>
    <n v="0.1571270399762579"/>
    <n v="0"/>
    <n v="0"/>
    <n v="0"/>
    <n v="0"/>
    <n v="0"/>
    <n v="0"/>
    <n v="0"/>
    <n v="0"/>
    <n v="0"/>
    <n v="0.0002675261747609386"/>
    <n v="0.002853612530783345"/>
    <n v="0.002407735572848447"/>
    <n v="0.0002675261747609386"/>
    <n v="0.0005350523495218772"/>
    <n v="0.000802578524282816"/>
    <n v="0"/>
    <n v="0.001070104699043754"/>
    <n v="0.0005350523495218772"/>
    <n v="0.001070104699043754"/>
    <m/>
    <n v="0"/>
    <m/>
    <n v="0.0002675261747609386"/>
    <m/>
    <n v="0.3638355976748765"/>
    <m/>
    <m/>
    <n v="0.08534084974873941"/>
    <n v="0.0008025785242828158"/>
    <n v="0.0005350523495218772"/>
    <n v="0.0002675261747609386"/>
    <m/>
    <n v="2.251500286788059"/>
    <n v="0"/>
    <n v="0"/>
    <n v="0"/>
    <n v="0"/>
    <x v="0"/>
    <m/>
    <x v="2"/>
    <x v="1"/>
    <s v="no root cause"/>
    <x v="1"/>
    <s v=""/>
  </r>
  <r>
    <s v="Buea-Kouma-IHS"/>
    <s v="SUO_215"/>
    <s v="SUD-OUEST"/>
    <s v="IHS"/>
    <s v="Grid-Gen"/>
    <s v="SUD-OUEST"/>
    <s v="Buea"/>
    <s v="Huawei"/>
    <n v="0.4481063427245722"/>
    <n v="0.2779596955766152"/>
    <n v="0"/>
    <n v="0"/>
    <n v="0"/>
    <n v="0"/>
    <n v="3.810375307120049"/>
    <n v="3.449607342915765"/>
    <n v="1.400945401831448"/>
    <n v="0"/>
    <n v="0"/>
    <n v="0"/>
    <n v="0"/>
    <n v="0"/>
    <n v="0"/>
    <n v="0"/>
    <n v="1.684166445511696"/>
    <n v="0"/>
    <n v="0"/>
    <n v="0"/>
    <n v="0"/>
    <n v="0"/>
    <n v="0"/>
    <n v="0"/>
    <m/>
    <n v="0"/>
    <m/>
    <n v="0"/>
    <m/>
    <n v="0"/>
    <m/>
    <m/>
    <n v="0"/>
    <n v="0"/>
    <n v="0"/>
    <n v="0"/>
    <m/>
    <n v="2.097904592318646"/>
    <n v="0"/>
    <n v="0"/>
    <n v="0"/>
    <n v="0"/>
    <x v="0"/>
    <m/>
    <x v="2"/>
    <x v="1"/>
    <s v="no root cause"/>
    <x v="1"/>
    <s v=""/>
  </r>
  <r>
    <s v="Buea-Salvation-Pharmacy-HIS"/>
    <s v="SUO_259"/>
    <s v="SUD-OUEST"/>
    <s v="IHS"/>
    <m/>
    <s v="SUD-OUEST"/>
    <s v="Buea"/>
    <s v="Huawei"/>
    <n v="0"/>
    <n v="0"/>
    <n v="0"/>
    <n v="0"/>
    <n v="0"/>
    <n v="0"/>
    <n v="0"/>
    <n v="0"/>
    <n v="0"/>
    <n v="0"/>
    <n v="0"/>
    <n v="0"/>
    <n v="0"/>
    <n v="0"/>
    <n v="0"/>
    <n v="0"/>
    <n v="1.757290266613019"/>
    <n v="0"/>
    <n v="0"/>
    <n v="0"/>
    <n v="0"/>
    <n v="0"/>
    <n v="0"/>
    <n v="0"/>
    <m/>
    <n v="0"/>
    <m/>
    <n v="0"/>
    <m/>
    <n v="0"/>
    <m/>
    <m/>
    <n v="0"/>
    <n v="0"/>
    <n v="0"/>
    <n v="0.2390792248446922"/>
    <m/>
    <n v="2.089825301840865"/>
    <n v="0"/>
    <n v="0"/>
    <n v="0"/>
    <n v="0"/>
    <x v="0"/>
    <m/>
    <x v="2"/>
    <x v="1"/>
    <s v="no root cause"/>
    <x v="1"/>
    <s v=""/>
  </r>
  <r>
    <s v="Biteng-GP"/>
    <s v="CTR_556"/>
    <s v="Yaounde"/>
    <s v="CAMUSAT"/>
    <s v="Good Grid no GE - 8h"/>
    <s v="CENTRE"/>
    <s v="Yaounde"/>
    <s v="ZTE"/>
    <n v="0"/>
    <n v="0"/>
    <n v="0"/>
    <n v="0"/>
    <n v="0"/>
    <n v="0"/>
    <n v="0"/>
    <n v="1.456519505868454"/>
    <n v="0"/>
    <n v="0"/>
    <n v="0.05901627415226324"/>
    <n v="0"/>
    <n v="0"/>
    <n v="0"/>
    <n v="0"/>
    <n v="0"/>
    <n v="0"/>
    <n v="0"/>
    <n v="0"/>
    <n v="0"/>
    <n v="0"/>
    <n v="0.01539167258791291"/>
    <n v="0"/>
    <n v="0"/>
    <m/>
    <n v="0"/>
    <m/>
    <n v="0"/>
    <m/>
    <n v="0"/>
    <m/>
    <m/>
    <n v="0"/>
    <n v="0"/>
    <n v="0"/>
    <n v="0"/>
    <m/>
    <n v="2.039708731768983"/>
    <n v="0"/>
    <n v="0"/>
    <n v="0"/>
    <n v="0"/>
    <x v="0"/>
    <m/>
    <x v="2"/>
    <x v="1"/>
    <s v="no root cause"/>
    <x v="1"/>
    <s v=""/>
  </r>
  <r>
    <s v="Nyalla-II"/>
    <s v="LIT_341"/>
    <s v="Douala"/>
    <s v="IHS"/>
    <s v="Grid-Gen"/>
    <s v="LITTORAL"/>
    <s v="Douala"/>
    <s v="ZTE"/>
    <n v="13.86855689960706"/>
    <n v="13.86855689960706"/>
    <n v="13.86855689960706"/>
    <n v="13.86855689960706"/>
    <n v="51.1269450936413"/>
    <n v="0"/>
    <n v="0"/>
    <n v="1.771041111995732"/>
    <n v="1.14863254887525"/>
    <n v="0"/>
    <n v="10.84922082109847"/>
    <n v="0.1955616337502464"/>
    <n v="0"/>
    <n v="0"/>
    <n v="0"/>
    <n v="0"/>
    <n v="1.14904275567655"/>
    <n v="2.063411550852803"/>
    <n v="13.3152771000448"/>
    <n v="9.710504575767695"/>
    <n v="0.1517586814027218"/>
    <n v="2.20018876646891"/>
    <n v="0.7437941061486794"/>
    <n v="0"/>
    <m/>
    <n v="5.068800598117186"/>
    <m/>
    <n v="3.417629047492674"/>
    <m/>
    <n v="0"/>
    <m/>
    <m/>
    <n v="2.057115768206761"/>
    <n v="2.637611897281363"/>
    <n v="1.250506516224214"/>
    <n v="1.301960717169903"/>
    <m/>
    <n v="2.038139244877053"/>
    <n v="0"/>
    <n v="0"/>
    <n v="0"/>
    <n v="0"/>
    <x v="0"/>
    <m/>
    <x v="2"/>
    <x v="1"/>
    <s v="no root cause"/>
    <x v="1"/>
    <s v=""/>
  </r>
  <r>
    <s v="Cogefar-II"/>
    <s v="LIT_339"/>
    <s v="Douala"/>
    <s v="IHS"/>
    <s v="Grid-Gen"/>
    <s v="LITTORAL"/>
    <s v="Douala"/>
    <s v="ZTE"/>
    <n v="0"/>
    <n v="0.0462641931553246"/>
    <n v="0"/>
    <n v="0"/>
    <n v="0"/>
    <n v="0"/>
    <n v="0"/>
    <n v="0"/>
    <n v="0"/>
    <n v="0"/>
    <n v="0"/>
    <n v="0.006153102019501523"/>
    <n v="0"/>
    <n v="0"/>
    <n v="20.78202181301419"/>
    <n v="0.1636368435621073"/>
    <n v="0"/>
    <n v="0"/>
    <n v="0"/>
    <n v="0"/>
    <n v="0"/>
    <n v="0.2856109441747777"/>
    <n v="0"/>
    <n v="0.1214212131848313"/>
    <m/>
    <n v="0"/>
    <m/>
    <n v="0"/>
    <m/>
    <n v="0"/>
    <m/>
    <m/>
    <n v="0"/>
    <n v="0"/>
    <n v="0"/>
    <n v="0"/>
    <m/>
    <n v="1.957274999785979"/>
    <n v="0"/>
    <n v="0"/>
    <n v="0"/>
    <n v="0"/>
    <x v="0"/>
    <m/>
    <x v="2"/>
    <x v="1"/>
    <s v="no root cause"/>
    <x v="1"/>
    <s v=""/>
  </r>
  <r>
    <s v="Bandjoun-Soung"/>
    <s v="OST_067"/>
    <s v="OUEST"/>
    <s v="IHS"/>
    <s v="Grid-Gen"/>
    <s v="OUEST"/>
    <s v="Bandjoun"/>
    <s v="Huawei"/>
    <n v="0.6740767850059783"/>
    <n v="0.0883728130626967"/>
    <n v="0"/>
    <n v="0"/>
    <n v="0.007740423989749824"/>
    <n v="0.007651248598162844"/>
    <n v="6.432310170560421"/>
    <n v="0"/>
    <n v="0.00766908367648024"/>
    <n v="0.007847434459654199"/>
    <n v="0"/>
    <n v="0"/>
    <n v="0.007758259068067219"/>
    <n v="0"/>
    <n v="0.03287004933896065"/>
    <n v="0"/>
    <n v="0"/>
    <n v="0"/>
    <n v="0"/>
    <n v="0.1110233625257895"/>
    <n v="0.04392779789574648"/>
    <n v="0"/>
    <n v="0"/>
    <n v="0"/>
    <m/>
    <n v="0"/>
    <m/>
    <n v="0.3720218986225612"/>
    <m/>
    <n v="0"/>
    <m/>
    <m/>
    <n v="0"/>
    <n v="0"/>
    <n v="0"/>
    <n v="0"/>
    <m/>
    <n v="1.909209463720597"/>
    <n v="0"/>
    <n v="0"/>
    <n v="0"/>
    <n v="0"/>
    <x v="0"/>
    <m/>
    <x v="2"/>
    <x v="1"/>
    <s v="no root cause"/>
    <x v="1"/>
    <s v=""/>
  </r>
  <r>
    <s v="GSS-BUEA-TOWN-IHS"/>
    <s v="SUO_184"/>
    <s v="SUD-OUEST"/>
    <s v="IHS"/>
    <s v="Grid-Gen"/>
    <s v="SUD-OUEST"/>
    <s v="Buea"/>
    <s v="Huawei"/>
    <n v="0"/>
    <n v="0.000802578524282816"/>
    <n v="0"/>
    <n v="0"/>
    <n v="0"/>
    <n v="0"/>
    <n v="0"/>
    <n v="0.001694332440152611"/>
    <n v="0.0002675261747609386"/>
    <n v="0.003388664880305222"/>
    <n v="1.420546152902266"/>
    <n v="0"/>
    <n v="0"/>
    <n v="0"/>
    <n v="0"/>
    <n v="0"/>
    <n v="1.793905682398633"/>
    <n v="0"/>
    <n v="0"/>
    <n v="0"/>
    <n v="0"/>
    <n v="0"/>
    <n v="0"/>
    <n v="0"/>
    <m/>
    <n v="0"/>
    <m/>
    <n v="0"/>
    <m/>
    <n v="0"/>
    <m/>
    <m/>
    <n v="0"/>
    <n v="0"/>
    <n v="0"/>
    <n v="0"/>
    <m/>
    <n v="1.835693270896291"/>
    <n v="0"/>
    <n v="0"/>
    <n v="0"/>
    <n v="0"/>
    <x v="0"/>
    <m/>
    <x v="2"/>
    <x v="1"/>
    <s v="no root cause"/>
    <x v="1"/>
    <s v=""/>
  </r>
  <r>
    <s v="Yelwa"/>
    <s v="NRD_007"/>
    <s v="Garoua"/>
    <s v="IHS"/>
    <s v="Grid-Gen"/>
    <s v="NORD"/>
    <s v="Garoua"/>
    <s v="Huawei"/>
    <n v="0"/>
    <n v="0"/>
    <n v="0"/>
    <n v="0"/>
    <n v="0"/>
    <n v="0"/>
    <n v="0"/>
    <n v="0"/>
    <n v="0"/>
    <n v="0"/>
    <n v="2.652807384007785"/>
    <n v="0"/>
    <n v="0"/>
    <n v="0"/>
    <n v="0"/>
    <n v="0"/>
    <n v="0"/>
    <n v="0"/>
    <n v="0"/>
    <n v="0"/>
    <n v="0"/>
    <n v="0"/>
    <n v="0"/>
    <n v="0"/>
    <m/>
    <n v="0"/>
    <m/>
    <n v="0"/>
    <m/>
    <n v="0"/>
    <m/>
    <m/>
    <n v="0"/>
    <n v="0"/>
    <n v="0"/>
    <n v="0"/>
    <m/>
    <n v="1.795457334212246"/>
    <n v="0"/>
    <n v="0"/>
    <n v="0"/>
    <n v="0"/>
    <x v="0"/>
    <m/>
    <x v="2"/>
    <x v="1"/>
    <s v="no root cause"/>
    <x v="1"/>
    <s v=""/>
  </r>
  <r>
    <s v="Buea-Camtel"/>
    <s v="SUO_226"/>
    <s v="SUD-OUEST"/>
    <s v="CAMUSAT"/>
    <s v="Good Grid no GE - 8h"/>
    <s v="SUD-OUEST"/>
    <s v="Buea"/>
    <s v="Huawei"/>
    <n v="0"/>
    <n v="0.0005350523495218772"/>
    <n v="0"/>
    <n v="0"/>
    <n v="0"/>
    <n v="0"/>
    <n v="0"/>
    <n v="0"/>
    <n v="0.0002675261747609386"/>
    <n v="0.003210314097131264"/>
    <n v="1.413822328376608"/>
    <n v="0"/>
    <n v="0"/>
    <n v="0"/>
    <n v="0"/>
    <n v="0"/>
    <n v="1.649602063732582"/>
    <n v="0"/>
    <n v="0"/>
    <n v="0"/>
    <n v="0"/>
    <n v="0"/>
    <n v="0"/>
    <n v="0"/>
    <m/>
    <n v="0"/>
    <m/>
    <n v="0"/>
    <m/>
    <n v="0"/>
    <m/>
    <m/>
    <n v="0"/>
    <n v="0"/>
    <n v="0"/>
    <n v="0"/>
    <m/>
    <n v="1.762997491674585"/>
    <n v="0"/>
    <n v="0"/>
    <n v="0"/>
    <n v="0"/>
    <x v="0"/>
    <m/>
    <x v="2"/>
    <x v="1"/>
    <s v="no root cause"/>
    <x v="1"/>
    <s v=""/>
  </r>
  <r>
    <s v="Mabanda-MTN"/>
    <s v="LIT_259"/>
    <s v="Douala"/>
    <s v="IHS"/>
    <s v="Grid-Gen"/>
    <s v="LITTORAL"/>
    <s v="Douala"/>
    <s v="ZTE"/>
    <n v="0"/>
    <n v="0"/>
    <n v="0.7789113753556325"/>
    <n v="0"/>
    <n v="0"/>
    <n v="0"/>
    <n v="0"/>
    <n v="0"/>
    <n v="0"/>
    <n v="0"/>
    <n v="0"/>
    <n v="0.1904964715081057"/>
    <n v="0"/>
    <n v="0"/>
    <n v="0"/>
    <n v="0"/>
    <n v="0"/>
    <n v="0"/>
    <n v="0"/>
    <n v="0"/>
    <n v="0.2310534396018639"/>
    <n v="0"/>
    <n v="0"/>
    <n v="0"/>
    <m/>
    <n v="1.965586146281887"/>
    <m/>
    <n v="0.7620037211107411"/>
    <m/>
    <n v="0"/>
    <m/>
    <m/>
    <n v="0"/>
    <n v="0"/>
    <n v="2.92473882311312"/>
    <n v="0"/>
    <m/>
    <n v="1.725722177991227"/>
    <n v="0"/>
    <n v="0"/>
    <n v="0"/>
    <n v="0"/>
    <x v="0"/>
    <m/>
    <x v="2"/>
    <x v="1"/>
    <s v="no root cause"/>
    <x v="1"/>
    <s v=""/>
  </r>
  <r>
    <s v="Garoua-Kolbives-II"/>
    <s v="NRD_141"/>
    <s v="Garoua"/>
    <s v="CAMUSAT"/>
    <s v="Medium Grid + GE"/>
    <s v="NORD"/>
    <s v="Garoua"/>
    <s v="Huawei"/>
    <n v="0"/>
    <n v="1.677389115751085"/>
    <n v="0"/>
    <n v="1.779387928648273"/>
    <n v="2.128705772572789"/>
    <n v="4.953871353439887"/>
    <n v="1.320063321662058"/>
    <n v="0"/>
    <n v="0"/>
    <n v="0"/>
    <n v="0"/>
    <n v="0"/>
    <n v="0"/>
    <n v="1.02507112629233"/>
    <n v="0.2192109475991131"/>
    <n v="0"/>
    <n v="0"/>
    <n v="0"/>
    <n v="0"/>
    <n v="0"/>
    <n v="0"/>
    <n v="1.734211675270308"/>
    <n v="1.15615895192519"/>
    <n v="1.56181780825436"/>
    <m/>
    <n v="0"/>
    <m/>
    <n v="0"/>
    <m/>
    <n v="2.043097396649288"/>
    <m/>
    <m/>
    <n v="1.805266627286814"/>
    <n v="0.09862798309519938"/>
    <n v="0"/>
    <n v="0"/>
    <m/>
    <n v="1.713612159813716"/>
    <n v="0"/>
    <n v="0"/>
    <n v="0"/>
    <n v="0"/>
    <x v="0"/>
    <m/>
    <x v="2"/>
    <x v="1"/>
    <s v="no root cause"/>
    <x v="1"/>
    <s v=""/>
  </r>
  <r>
    <s v="Nyalla-Marche"/>
    <s v="LIT_655"/>
    <s v="Douala"/>
    <s v="CAMUSAT"/>
    <s v="Medium Grid + GE"/>
    <s v="LITTORAL"/>
    <s v="Douala"/>
    <s v="ZTE"/>
    <n v="0.0004280418796175018"/>
    <n v="5.595523966064841"/>
    <n v="5.117187165592284"/>
    <n v="0"/>
    <n v="0"/>
    <n v="0"/>
    <n v="0"/>
    <n v="0.6728996698370286"/>
    <n v="0"/>
    <n v="0"/>
    <n v="0"/>
    <n v="0"/>
    <n v="0"/>
    <n v="0.001944023536596059"/>
    <n v="0"/>
    <n v="0"/>
    <n v="0"/>
    <n v="0"/>
    <n v="0"/>
    <n v="0"/>
    <n v="0"/>
    <n v="0"/>
    <n v="0"/>
    <n v="0"/>
    <m/>
    <n v="0.6676739918900307"/>
    <m/>
    <n v="0"/>
    <m/>
    <n v="0.6691007981554223"/>
    <m/>
    <m/>
    <n v="0.08657147015263988"/>
    <n v="0.1343694800432605"/>
    <n v="0"/>
    <n v="2.556159094605813"/>
    <m/>
    <n v="1.429071320337982"/>
    <n v="0"/>
    <n v="0"/>
    <n v="0"/>
    <n v="0"/>
    <x v="0"/>
    <m/>
    <x v="2"/>
    <x v="1"/>
    <s v="no root cause"/>
    <x v="1"/>
    <s v=""/>
  </r>
  <r>
    <s v="Crf-Nkomo-IHS"/>
    <s v="CTR_554"/>
    <s v="Yaounde"/>
    <s v="IHS"/>
    <s v="Grid-Gen"/>
    <s v="CENTRE"/>
    <s v="Yaounde"/>
    <s v="ZTE"/>
    <n v="0"/>
    <n v="0"/>
    <n v="0"/>
    <n v="0"/>
    <n v="0"/>
    <n v="0"/>
    <n v="0"/>
    <n v="1.456466000633502"/>
    <n v="0"/>
    <n v="0"/>
    <n v="0"/>
    <n v="0.03920150214163616"/>
    <n v="0"/>
    <n v="0"/>
    <n v="0"/>
    <n v="0"/>
    <n v="0"/>
    <n v="0"/>
    <n v="0"/>
    <n v="0"/>
    <n v="0"/>
    <n v="0.01191383231602058"/>
    <n v="0"/>
    <n v="0"/>
    <m/>
    <n v="0"/>
    <m/>
    <n v="0.6719187405295741"/>
    <m/>
    <n v="0"/>
    <m/>
    <m/>
    <n v="0"/>
    <n v="0"/>
    <n v="0"/>
    <n v="0"/>
    <m/>
    <n v="1.428732453849951"/>
    <n v="0"/>
    <n v="0"/>
    <n v="0"/>
    <n v="0"/>
    <x v="0"/>
    <m/>
    <x v="2"/>
    <x v="1"/>
    <s v="no root cause"/>
    <x v="1"/>
    <s v=""/>
  </r>
  <r>
    <s v="Maroua-Diarenga"/>
    <s v="EXN_088"/>
    <s v="Maroua"/>
    <s v="IHS"/>
    <s v="Grid-Gen"/>
    <s v="EXTREME-NORD"/>
    <s v="Maroua"/>
    <s v="Huawei"/>
    <n v="0"/>
    <n v="0"/>
    <n v="0"/>
    <n v="0"/>
    <n v="0"/>
    <n v="0"/>
    <n v="0"/>
    <n v="0"/>
    <n v="0"/>
    <n v="0"/>
    <n v="0"/>
    <n v="0"/>
    <n v="0"/>
    <n v="0"/>
    <n v="0.2621756512657198"/>
    <n v="0"/>
    <n v="0"/>
    <n v="0"/>
    <n v="0"/>
    <n v="0"/>
    <n v="0"/>
    <n v="0"/>
    <n v="0"/>
    <n v="0"/>
    <m/>
    <n v="0"/>
    <m/>
    <n v="0"/>
    <m/>
    <n v="0"/>
    <m/>
    <m/>
    <n v="0"/>
    <n v="0"/>
    <n v="0"/>
    <n v="2.408805677547491"/>
    <m/>
    <n v="1.379900009416921"/>
    <n v="0"/>
    <n v="0"/>
    <n v="0"/>
    <n v="0"/>
    <x v="0"/>
    <m/>
    <x v="2"/>
    <x v="1"/>
    <s v="no root cause"/>
    <x v="1"/>
    <s v=""/>
  </r>
  <r>
    <s v="Mbot"/>
    <s v="NRO_246"/>
    <s v="NORD-OUEST"/>
    <s v="IHS"/>
    <s v="Solar-Gen"/>
    <s v="NORD-OUEST"/>
    <s v="Mbot"/>
    <s v="NOKIA"/>
    <n v="0.3057597852631286"/>
    <n v="1.246914703885392"/>
    <n v="0.5149306639166958"/>
    <n v="0.003388664880305353"/>
    <n v="2.066936049589075"/>
    <n v="0.001872683223326521"/>
    <n v="0.004815471145696963"/>
    <n v="0.003834541838240092"/>
    <n v="0.6848882853137169"/>
    <n v="1.36688088490557"/>
    <n v="2.578640403499791"/>
    <n v="0.09790615947666474"/>
    <n v="0.004726295754109913"/>
    <n v="1.241802998005325"/>
    <n v="0.006153102019501523"/>
    <n v="0"/>
    <n v="0.002942787922370272"/>
    <n v="0.09115508528021042"/>
    <n v="0.004191243404587952"/>
    <n v="0"/>
    <n v="0.02827308964593246"/>
    <n v="0"/>
    <n v="0"/>
    <n v="0"/>
    <m/>
    <n v="0"/>
    <m/>
    <n v="0"/>
    <m/>
    <n v="0"/>
    <m/>
    <m/>
    <n v="0"/>
    <n v="0.003210314097131423"/>
    <n v="0"/>
    <n v="0.9247309756786604"/>
    <m/>
    <n v="1.32580621688026"/>
    <n v="0"/>
    <n v="0"/>
    <n v="0"/>
    <n v="0"/>
    <x v="1"/>
    <m/>
    <x v="2"/>
    <x v="1"/>
    <s v="no root cause"/>
    <x v="1"/>
    <s v=""/>
  </r>
  <r>
    <s v="Mefou-Assi"/>
    <s v="CTR_253"/>
    <s v="Yaounde"/>
    <s v="IHS"/>
    <s v="Grid-Gen"/>
    <s v="CENTRE"/>
    <s v="Yaounde"/>
    <s v="ZTE"/>
    <n v="0"/>
    <n v="0"/>
    <n v="0"/>
    <n v="0"/>
    <n v="0"/>
    <n v="0"/>
    <n v="0"/>
    <n v="0.7054308526879596"/>
    <n v="0"/>
    <n v="0"/>
    <n v="0"/>
    <n v="0.9523770874307376"/>
    <n v="1.402978600759633"/>
    <n v="0"/>
    <n v="0"/>
    <n v="0"/>
    <n v="0"/>
    <n v="0"/>
    <n v="0"/>
    <n v="0"/>
    <n v="0.002764437139196341"/>
    <n v="1.277919031598054"/>
    <n v="0"/>
    <n v="0"/>
    <m/>
    <n v="0"/>
    <m/>
    <n v="0"/>
    <m/>
    <n v="0"/>
    <m/>
    <m/>
    <n v="0"/>
    <n v="0"/>
    <n v="0"/>
    <n v="0"/>
    <m/>
    <n v="1.324450750928139"/>
    <n v="0"/>
    <n v="0"/>
    <n v="0"/>
    <n v="0"/>
    <x v="0"/>
    <m/>
    <x v="2"/>
    <x v="1"/>
    <s v="no root cause"/>
    <x v="1"/>
    <s v=""/>
  </r>
  <r>
    <s v="Ngd-Baladji"/>
    <s v="ADM_035"/>
    <s v="Ngaoundere"/>
    <s v="IHS"/>
    <s v="Grid-Gen"/>
    <s v="ADAMAOUA"/>
    <s v="Ngaoundere"/>
    <s v="Huawei"/>
    <n v="0"/>
    <n v="0"/>
    <n v="0"/>
    <n v="0"/>
    <n v="0"/>
    <n v="0"/>
    <n v="0"/>
    <n v="0"/>
    <n v="0"/>
    <n v="0"/>
    <n v="0"/>
    <n v="0"/>
    <n v="0"/>
    <n v="0"/>
    <n v="0"/>
    <n v="0"/>
    <n v="0"/>
    <n v="0"/>
    <n v="0"/>
    <n v="0"/>
    <m/>
    <n v="0"/>
    <n v="0"/>
    <n v="0"/>
    <m/>
    <n v="0"/>
    <m/>
    <n v="0"/>
    <m/>
    <n v="0"/>
    <m/>
    <m/>
    <n v="2.282265796885567"/>
    <n v="0.8282967072165006"/>
    <n v="0"/>
    <n v="0"/>
    <m/>
    <n v="1.300961952784127"/>
    <n v="0"/>
    <n v="0"/>
    <n v="0"/>
    <n v="0"/>
    <x v="0"/>
    <m/>
    <x v="2"/>
    <x v="1"/>
    <s v="no root cause"/>
    <x v="1"/>
    <s v=""/>
  </r>
  <r>
    <s v="Soa-Sofamac"/>
    <s v="CTR_430"/>
    <s v="Yaounde"/>
    <s v="IHS"/>
    <s v="Grid-Gen"/>
    <s v="CENTRE"/>
    <s v="Yaounde"/>
    <s v="ZTE"/>
    <n v="0"/>
    <n v="0"/>
    <n v="0"/>
    <n v="0"/>
    <n v="0"/>
    <n v="0"/>
    <n v="0"/>
    <n v="0"/>
    <n v="0"/>
    <n v="1.267984892975262"/>
    <n v="0"/>
    <n v="0.002496910964435361"/>
    <n v="0.7171306640641731"/>
    <n v="0"/>
    <n v="0"/>
    <n v="0"/>
    <n v="0"/>
    <n v="0"/>
    <n v="0"/>
    <n v="0.02527230597575002"/>
    <n v="0"/>
    <n v="0.5454680352592358"/>
    <n v="0"/>
    <n v="0"/>
    <m/>
    <n v="0"/>
    <m/>
    <n v="0.855709222590338"/>
    <m/>
    <n v="0"/>
    <m/>
    <m/>
    <n v="0"/>
    <n v="0"/>
    <n v="0"/>
    <n v="0"/>
    <m/>
    <n v="1.231815354147583"/>
    <n v="0"/>
    <n v="0"/>
    <n v="0"/>
    <n v="0"/>
    <x v="0"/>
    <m/>
    <x v="2"/>
    <x v="1"/>
    <s v="no root cause"/>
    <x v="1"/>
    <s v=""/>
  </r>
  <r>
    <s v="Doumofe-MTN"/>
    <s v="OST_116"/>
    <s v="OUEST"/>
    <s v="IHS"/>
    <s v="Solar-Gen"/>
    <s v="OUEST"/>
    <s v="Doumofe"/>
    <s v="NOKIA"/>
    <n v="0"/>
    <n v="0"/>
    <n v="0"/>
    <n v="0"/>
    <n v="0"/>
    <n v="0"/>
    <n v="1.440400555609072"/>
    <n v="2.282612588345107"/>
    <n v="1.736986446790328"/>
    <n v="0.0008917539158698208"/>
    <n v="0"/>
    <n v="0"/>
    <n v="0"/>
    <n v="0"/>
    <n v="0.0996980877942432"/>
    <n v="0"/>
    <n v="1.135862632799993"/>
    <n v="0"/>
    <n v="0"/>
    <n v="0"/>
    <n v="0"/>
    <n v="0.0008917539158698208"/>
    <n v="0.04394563297406353"/>
    <n v="0"/>
    <m/>
    <n v="0.004244748639540198"/>
    <m/>
    <n v="0"/>
    <m/>
    <n v="0"/>
    <m/>
    <m/>
    <n v="0.9639503128986139"/>
    <n v="0"/>
    <n v="0.0551817323140228"/>
    <n v="0"/>
    <m/>
    <n v="1.215424917173896"/>
    <n v="0"/>
    <n v="0"/>
    <n v="0"/>
    <n v="0"/>
    <x v="0"/>
    <m/>
    <x v="2"/>
    <x v="1"/>
    <s v="no root cause"/>
    <x v="1"/>
    <s v=""/>
  </r>
  <r>
    <s v="Kribi-Mpala"/>
    <s v="SUD_053"/>
    <s v="LITTORAL"/>
    <s v="IHS"/>
    <s v="Grid-Gen"/>
    <s v="SUD"/>
    <s v="Kribi"/>
    <s v="ZTE"/>
    <n v="0"/>
    <n v="0.3388664880305217"/>
    <n v="0"/>
    <n v="0"/>
    <n v="0"/>
    <n v="0"/>
    <n v="0"/>
    <n v="0.3012701429374513"/>
    <n v="0.4965285803563021"/>
    <n v="3.291873910276716"/>
    <n v="0"/>
    <n v="0.01945807044427893"/>
    <n v="0"/>
    <n v="0"/>
    <n v="0.008899704080380525"/>
    <n v="13.57930759945553"/>
    <n v="0.9505918392388839"/>
    <n v="0.03440386607425681"/>
    <n v="0"/>
    <n v="0"/>
    <n v="0.005707225061566692"/>
    <n v="1.76981049159183"/>
    <n v="0"/>
    <n v="1.42559348006609"/>
    <m/>
    <n v="0.3379568990363346"/>
    <m/>
    <n v="4.942225047298629"/>
    <m/>
    <n v="0.01351898936458587"/>
    <m/>
    <m/>
    <n v="0"/>
    <n v="0"/>
    <n v="5.914593517163053"/>
    <n v="0"/>
    <m/>
    <n v="1.214033781065139"/>
    <n v="0"/>
    <n v="0"/>
    <n v="0"/>
    <n v="0"/>
    <x v="0"/>
    <m/>
    <x v="2"/>
    <x v="1"/>
    <s v="no root cause"/>
    <x v="1"/>
    <s v=""/>
  </r>
  <r>
    <s v="Kribi-LONDJI"/>
    <s v="SUD_079"/>
    <s v="CENTRE"/>
    <s v="CAMUSAT"/>
    <s v="Medium Grid + Solar + GE"/>
    <s v="SUD"/>
    <s v="Kribi"/>
    <s v="ZTE"/>
    <n v="21.48663225209955"/>
    <n v="13.68758435992044"/>
    <n v="0"/>
    <n v="0"/>
    <n v="0"/>
    <n v="0"/>
    <n v="0"/>
    <n v="0.3022510722449086"/>
    <n v="0"/>
    <n v="3.273182748200085"/>
    <n v="0"/>
    <n v="0.01845930605850477"/>
    <n v="0"/>
    <n v="0"/>
    <n v="0.009666612448028607"/>
    <n v="13.61883013300688"/>
    <n v="0.9475242057682925"/>
    <n v="0.0349032482671432"/>
    <n v="0"/>
    <n v="0"/>
    <n v="0.1496719772395865"/>
    <n v="1.773092146002231"/>
    <n v="0"/>
    <n v="1.424255849192285"/>
    <m/>
    <n v="0.3554709459440183"/>
    <m/>
    <n v="4.908177882790719"/>
    <m/>
    <n v="0.01437507312382118"/>
    <m/>
    <m/>
    <n v="0"/>
    <n v="0"/>
    <n v="5.898292255580952"/>
    <n v="0"/>
    <m/>
    <n v="1.163792365445035"/>
    <n v="0"/>
    <n v="0"/>
    <n v="0"/>
    <n v="0"/>
    <x v="0"/>
    <m/>
    <x v="2"/>
    <x v="1"/>
    <s v="no root cause"/>
    <x v="1"/>
    <s v=""/>
  </r>
  <r>
    <s v="Molyko-Buea-SC2"/>
    <s v="SUO_213"/>
    <s v="SUD-OUEST"/>
    <s v="IHS"/>
    <s v="Grid-Gen"/>
    <s v="SUD-OUEST"/>
    <s v="Buea"/>
    <s v="Huawei"/>
    <n v="0"/>
    <n v="0.001426806265391673"/>
    <n v="3.44518424349305"/>
    <n v="0"/>
    <n v="1.274441191326159"/>
    <n v="0"/>
    <n v="0"/>
    <n v="8.504924621824999"/>
    <n v="0.004262583717857622"/>
    <n v="0"/>
    <n v="0"/>
    <n v="0"/>
    <n v="0"/>
    <n v="0"/>
    <n v="0"/>
    <n v="0"/>
    <n v="1.742665502392754"/>
    <n v="0"/>
    <n v="0"/>
    <n v="0"/>
    <n v="32.97600753924432"/>
    <n v="0"/>
    <n v="0"/>
    <n v="0"/>
    <m/>
    <n v="0"/>
    <m/>
    <n v="0"/>
    <m/>
    <n v="0"/>
    <m/>
    <m/>
    <n v="0"/>
    <n v="0"/>
    <n v="0"/>
    <n v="0"/>
    <m/>
    <n v="1.11595868539778"/>
    <n v="0"/>
    <n v="0"/>
    <n v="0"/>
    <n v="0"/>
    <x v="0"/>
    <m/>
    <x v="2"/>
    <x v="1"/>
    <s v="no root cause"/>
    <x v="1"/>
    <s v=""/>
  </r>
  <r>
    <s v="Mpoloungoue"/>
    <s v="SUD_021"/>
    <s v="CENTRE"/>
    <s v="IHS"/>
    <s v="Grid-Gen-Lithium"/>
    <s v="SUD"/>
    <s v="Mpoloungoue"/>
    <s v="ZTE"/>
    <n v="0"/>
    <n v="0.3433965979231404"/>
    <n v="0"/>
    <n v="0"/>
    <n v="0"/>
    <n v="0"/>
    <n v="0"/>
    <n v="0.3006815853529768"/>
    <n v="0"/>
    <n v="3.271541920994884"/>
    <n v="0"/>
    <n v="0.03287004933896065"/>
    <n v="0"/>
    <n v="0"/>
    <n v="0.008471662200763126"/>
    <n v="13.58144780885362"/>
    <n v="0.9477382267081016"/>
    <n v="0"/>
    <n v="0"/>
    <n v="0"/>
    <n v="0"/>
    <n v="1.784613606595269"/>
    <n v="0"/>
    <n v="1.424309354427238"/>
    <m/>
    <n v="0.3541868203051653"/>
    <m/>
    <n v="4.922517285757906"/>
    <m/>
    <n v="0.01360816475617292"/>
    <m/>
    <m/>
    <n v="0"/>
    <n v="0"/>
    <n v="5.898684627303936"/>
    <n v="0"/>
    <m/>
    <n v="1.063166853578288"/>
    <n v="0"/>
    <n v="0"/>
    <n v="0"/>
    <n v="0"/>
    <x v="0"/>
    <m/>
    <x v="2"/>
    <x v="1"/>
    <s v="no root cause"/>
    <x v="1"/>
    <s v=""/>
  </r>
  <r>
    <s v="Simbock-Chefferie-MTN"/>
    <s v="CTR_836"/>
    <s v="Yaounde"/>
    <s v="MTN sharing"/>
    <m/>
    <s v="CENTRE"/>
    <s v="Yaounde"/>
    <s v="ZTE"/>
    <n v="0"/>
    <n v="0"/>
    <n v="0.6739697745360739"/>
    <n v="0"/>
    <n v="0"/>
    <n v="0"/>
    <n v="0"/>
    <n v="0.5693492051262308"/>
    <n v="0"/>
    <n v="0"/>
    <n v="0.3502452679970195"/>
    <n v="0"/>
    <n v="10.24534290434976"/>
    <n v="0.9200225150028686"/>
    <n v="0"/>
    <n v="5.716517137370054"/>
    <n v="0"/>
    <n v="0"/>
    <n v="0"/>
    <n v="0.01086156269529444"/>
    <n v="0"/>
    <n v="0"/>
    <n v="0"/>
    <n v="0"/>
    <m/>
    <n v="0"/>
    <m/>
    <n v="0"/>
    <m/>
    <n v="1.251469610453353"/>
    <m/>
    <m/>
    <n v="4.882263513995542"/>
    <n v="0.8885614368509815"/>
    <n v="5.139570188880613"/>
    <n v="0"/>
    <m/>
    <n v="1.041996615615538"/>
    <n v="0"/>
    <n v="0"/>
    <n v="0"/>
    <n v="0"/>
    <x v="0"/>
    <m/>
    <x v="2"/>
    <x v="1"/>
    <s v="no root cause"/>
    <x v="1"/>
    <s v=""/>
  </r>
  <r>
    <s v="Nkomo"/>
    <s v="CTR_042"/>
    <s v="Yaounde"/>
    <s v="IHS"/>
    <s v="Grid-Gen"/>
    <s v="CENTRE"/>
    <s v="Yaounde"/>
    <s v="ZTE"/>
    <n v="0"/>
    <n v="0"/>
    <n v="0"/>
    <n v="0"/>
    <n v="0"/>
    <n v="0"/>
    <n v="0"/>
    <n v="1.789928459933854"/>
    <n v="0"/>
    <n v="0"/>
    <n v="0"/>
    <n v="0.02402385049353239"/>
    <n v="0"/>
    <n v="0"/>
    <n v="0"/>
    <n v="0"/>
    <n v="0"/>
    <n v="0"/>
    <n v="0"/>
    <n v="0.001747837675104787"/>
    <n v="0"/>
    <n v="0.01212785325582932"/>
    <n v="0"/>
    <n v="0"/>
    <m/>
    <n v="0"/>
    <m/>
    <n v="0"/>
    <m/>
    <n v="0"/>
    <m/>
    <m/>
    <n v="0"/>
    <n v="0"/>
    <n v="0"/>
    <n v="0"/>
    <m/>
    <n v="1.021842977116881"/>
    <n v="0"/>
    <n v="0"/>
    <n v="0"/>
    <n v="0"/>
    <x v="0"/>
    <m/>
    <x v="2"/>
    <x v="1"/>
    <s v="no root cause"/>
    <x v="1"/>
    <s v=""/>
  </r>
  <r>
    <s v="Sodiko-III-MTN"/>
    <s v="LIT_741"/>
    <s v="Douala"/>
    <s v="MTN"/>
    <m/>
    <s v="LITTORAL"/>
    <s v="Douala"/>
    <s v="ZTE"/>
    <n v="4.674056809718263"/>
    <n v="7.189730276543591"/>
    <n v="19.04085445720009"/>
    <n v="24.82175622729594"/>
    <n v="8.596632594533048"/>
    <n v="5.294396503753927"/>
    <n v="0"/>
    <n v="0.7029339417235244"/>
    <n v="2.380358727631244"/>
    <n v="1.478082115554185"/>
    <n v="10.48287047738084"/>
    <n v="0"/>
    <n v="1.028067419449652"/>
    <n v="0"/>
    <n v="1.166449792114326"/>
    <n v="4.104172552242511"/>
    <n v="0"/>
    <n v="4.99234161737051"/>
    <n v="0.1565028122351492"/>
    <n v="0.6821025702488076"/>
    <n v="0"/>
    <n v="9.796612333884081"/>
    <n v="2.255709365270965"/>
    <n v="0.3646916814341116"/>
    <m/>
    <n v="2.544173921976526"/>
    <m/>
    <n v="0.7223920121678036"/>
    <m/>
    <n v="2.516654396132784"/>
    <m/>
    <m/>
    <n v="11.53569298553504"/>
    <n v="13.65890555398607"/>
    <n v="0"/>
    <n v="0.3342293676679984"/>
    <m/>
    <n v="0.9214671563465774"/>
    <n v="0"/>
    <n v="0"/>
    <n v="0"/>
    <n v="0"/>
    <x v="0"/>
    <m/>
    <x v="2"/>
    <x v="1"/>
    <s v="no root cause"/>
    <x v="1"/>
    <s v=""/>
  </r>
  <r>
    <s v="Yarbang-Gaziya-IHS"/>
    <s v="ADM_142"/>
    <s v="ADAMAOUA"/>
    <s v="IHS"/>
    <s v="Hybrid-Gen"/>
    <s v="ADAMAOUA"/>
    <s v="Yarban Gaziya"/>
    <s v="NOKIA"/>
    <n v="0"/>
    <n v="0.2189558933842896"/>
    <n v="11.11651495224221"/>
    <n v="12.36123558610074"/>
    <n v="12.36123558610074"/>
    <n v="18.38198133574879"/>
    <n v="0.00228299324285858"/>
    <n v="1.967288525894743"/>
    <n v="0.0005351142840453549"/>
    <n v="0"/>
    <n v="0"/>
    <n v="6.891474261841779"/>
    <n v="0"/>
    <n v="0"/>
    <n v="0"/>
    <n v="0"/>
    <n v="0"/>
    <n v="0"/>
    <n v="0.034495973033295"/>
    <n v="0"/>
    <n v="2.220467250515791"/>
    <n v="0.04366689909858488"/>
    <n v="0.02422335004382406"/>
    <n v="0"/>
    <m/>
    <n v="0.3311600846745949"/>
    <m/>
    <n v="0.5739365891876975"/>
    <m/>
    <n v="0"/>
    <m/>
    <m/>
    <n v="0"/>
    <n v="0"/>
    <n v="0"/>
    <n v="0.001819449278837859"/>
    <m/>
    <n v="0.8938379612666765"/>
    <n v="0"/>
    <n v="0"/>
    <n v="0"/>
    <n v="0"/>
    <x v="0"/>
    <m/>
    <x v="2"/>
    <x v="1"/>
    <s v="no root cause"/>
    <x v="1"/>
    <s v=""/>
  </r>
  <r>
    <s v="Ngaoui"/>
    <s v="ADM_037"/>
    <s v="ADAMAOUA"/>
    <s v="IHS"/>
    <s v="Solar-Gen"/>
    <s v="ADAMAOUA"/>
    <s v="Ngaoui"/>
    <s v="NOKIA"/>
    <n v="0"/>
    <n v="0.4296077038803097"/>
    <n v="2.975132828883543"/>
    <n v="17.01342061853365"/>
    <n v="18.54185337915112"/>
    <n v="15.75850530080182"/>
    <n v="0.003959564509549662"/>
    <n v="2.945134824366702"/>
    <n v="0"/>
    <n v="0"/>
    <n v="0"/>
    <n v="0.6557066543390606"/>
    <n v="0"/>
    <n v="0"/>
    <n v="0"/>
    <n v="0.002764917159536535"/>
    <n v="0"/>
    <n v="0"/>
    <n v="0.04646440476085181"/>
    <n v="0"/>
    <n v="0"/>
    <n v="0.03761942942607605"/>
    <n v="0.04084803386267895"/>
    <n v="0"/>
    <m/>
    <n v="0.3768992705082519"/>
    <m/>
    <n v="0.5507559518184699"/>
    <m/>
    <n v="0"/>
    <m/>
    <m/>
    <n v="0"/>
    <n v="0"/>
    <n v="0"/>
    <n v="0"/>
    <m/>
    <n v="0.8598845496076256"/>
    <n v="0"/>
    <n v="0"/>
    <n v="0"/>
    <n v="0"/>
    <x v="0"/>
    <m/>
    <x v="2"/>
    <x v="1"/>
    <s v="no root cause"/>
    <x v="1"/>
    <s v=""/>
  </r>
  <r>
    <s v="Sabongari-NRO"/>
    <s v="NRO_230"/>
    <s v="NORD-OUEST"/>
    <s v="IHS"/>
    <s v="Hybrid-Gen"/>
    <s v="NORD-OUEST"/>
    <s v="Sabongari"/>
    <s v="NOKIA"/>
    <n v="0"/>
    <n v="0"/>
    <n v="0"/>
    <n v="0"/>
    <n v="0"/>
    <n v="0"/>
    <n v="2.871147250345096"/>
    <n v="4.132268958404261"/>
    <n v="2.845936621744615"/>
    <n v="0"/>
    <n v="0"/>
    <n v="0.2142527958268771"/>
    <n v="0"/>
    <n v="0.6059111156768912"/>
    <n v="0"/>
    <n v="0"/>
    <n v="2.935190179007114"/>
    <n v="0"/>
    <n v="0"/>
    <n v="0.04389212773911124"/>
    <n v="2.703708697525632"/>
    <n v="0.0308368504107773"/>
    <n v="0.004012892621414194"/>
    <n v="0"/>
    <m/>
    <n v="0"/>
    <m/>
    <n v="0.2301795207643116"/>
    <m/>
    <n v="0"/>
    <m/>
    <m/>
    <n v="0"/>
    <n v="0"/>
    <n v="0"/>
    <n v="0"/>
    <m/>
    <n v="0.8319707333498844"/>
    <n v="0"/>
    <n v="0"/>
    <n v="0"/>
    <n v="0"/>
    <x v="1"/>
    <m/>
    <x v="2"/>
    <x v="1"/>
    <s v="no root cause"/>
    <x v="1"/>
    <s v=""/>
  </r>
  <r>
    <s v="Babanki-IHS"/>
    <s v="NRO_058"/>
    <s v="NORD-OUEST"/>
    <s v="IHS"/>
    <s v="Grid-Gen"/>
    <s v="NORD-OUEST"/>
    <s v="Babanki"/>
    <s v="NOKIA"/>
    <n v="2.092386151677841"/>
    <n v="0"/>
    <n v="0"/>
    <n v="0"/>
    <n v="1.071994355173891"/>
    <n v="0"/>
    <n v="0.5806420715509076"/>
    <n v="0"/>
    <n v="0"/>
    <n v="0"/>
    <n v="0"/>
    <n v="0"/>
    <n v="0"/>
    <n v="0.3667070452839772"/>
    <n v="0"/>
    <n v="0"/>
    <n v="0"/>
    <n v="0.2715033972257178"/>
    <n v="0.3634788961085286"/>
    <n v="0"/>
    <n v="0"/>
    <n v="0"/>
    <n v="0"/>
    <n v="0.05084780828289576"/>
    <m/>
    <n v="0"/>
    <m/>
    <n v="0"/>
    <m/>
    <n v="0"/>
    <m/>
    <m/>
    <n v="0.1353147391940828"/>
    <n v="0"/>
    <n v="0"/>
    <n v="0.6491076753616239"/>
    <m/>
    <n v="0.7432412187208397"/>
    <n v="0"/>
    <n v="0"/>
    <n v="0"/>
    <n v="0"/>
    <x v="1"/>
    <m/>
    <x v="2"/>
    <x v="1"/>
    <s v="no root cause"/>
    <x v="1"/>
    <s v=""/>
  </r>
  <r>
    <s v="Ba-aba"/>
    <s v="CTR_755"/>
    <s v="Yaounde"/>
    <s v="CAMUSAT"/>
    <s v="Good Grid + GE"/>
    <s v="CENTRE"/>
    <s v="Yaounde"/>
    <s v="ZTE"/>
    <n v="0.02948138445865577"/>
    <n v="0.2917462111159624"/>
    <n v="0"/>
    <n v="0"/>
    <n v="0.3477661921109035"/>
    <n v="0.05475369043440531"/>
    <n v="0"/>
    <n v="1.24314062887913"/>
    <n v="0.05575245482017927"/>
    <n v="0.8572252042473167"/>
    <n v="0"/>
    <n v="0"/>
    <n v="0.2507968712992213"/>
    <n v="0"/>
    <n v="0"/>
    <n v="0.7863842731706212"/>
    <n v="0"/>
    <n v="0"/>
    <n v="0"/>
    <n v="0.03880913041865371"/>
    <n v="0"/>
    <n v="0.5488923702961755"/>
    <n v="0"/>
    <n v="0"/>
    <m/>
    <n v="0"/>
    <m/>
    <n v="0.7594711399896695"/>
    <m/>
    <n v="0"/>
    <m/>
    <m/>
    <n v="0"/>
    <n v="0"/>
    <n v="0"/>
    <n v="0"/>
    <m/>
    <n v="0.7210365462156817"/>
    <n v="0"/>
    <n v="0"/>
    <n v="0"/>
    <n v="0"/>
    <x v="0"/>
    <m/>
    <x v="2"/>
    <x v="1"/>
    <s v="no root cause"/>
    <x v="1"/>
    <s v=""/>
  </r>
  <r>
    <s v="Bmouang-Terminus"/>
    <s v="LIT_044"/>
    <s v="Douala"/>
    <s v="IHS"/>
    <s v="Grid-Gen"/>
    <s v="LITTORAL"/>
    <s v="Douala"/>
    <s v="ZTE"/>
    <n v="0.001034434542409067"/>
    <n v="0"/>
    <n v="0"/>
    <n v="0"/>
    <n v="0"/>
    <n v="0"/>
    <n v="0"/>
    <n v="0"/>
    <n v="0"/>
    <n v="0"/>
    <n v="0"/>
    <n v="0"/>
    <n v="0"/>
    <n v="0"/>
    <n v="0"/>
    <n v="0"/>
    <n v="0"/>
    <n v="0"/>
    <n v="0"/>
    <n v="0"/>
    <m/>
    <n v="0"/>
    <n v="0"/>
    <n v="0"/>
    <m/>
    <n v="0"/>
    <m/>
    <n v="0"/>
    <m/>
    <n v="0.1215638938113708"/>
    <m/>
    <m/>
    <n v="0"/>
    <n v="0"/>
    <n v="0"/>
    <n v="0"/>
    <m/>
    <n v="0.6971197061920539"/>
    <n v="0"/>
    <n v="0"/>
    <n v="0"/>
    <n v="0"/>
    <x v="0"/>
    <m/>
    <x v="2"/>
    <x v="1"/>
    <s v="no root cause"/>
    <x v="1"/>
    <s v=""/>
  </r>
  <r>
    <s v="Small-Ekombe-IHS"/>
    <s v="SUO_090"/>
    <s v="SUD-OUEST"/>
    <s v="IHS"/>
    <s v="Hybrid-Gen"/>
    <s v="SUD-OUEST"/>
    <s v="Mbongue"/>
    <s v="NOKIA"/>
    <n v="0"/>
    <n v="0"/>
    <n v="0"/>
    <n v="0"/>
    <n v="0.02389602724236142"/>
    <n v="0"/>
    <n v="0.0875502002415785"/>
    <n v="0"/>
    <n v="0"/>
    <n v="0"/>
    <n v="0"/>
    <n v="0"/>
    <n v="0"/>
    <n v="0"/>
    <n v="0"/>
    <n v="0"/>
    <n v="0.03187128495318647"/>
    <n v="0"/>
    <n v="0"/>
    <n v="0"/>
    <n v="0"/>
    <n v="0.5273654307670794"/>
    <n v="0"/>
    <n v="0"/>
    <m/>
    <n v="0"/>
    <m/>
    <n v="0"/>
    <m/>
    <n v="0"/>
    <m/>
    <m/>
    <n v="0"/>
    <n v="0"/>
    <n v="0"/>
    <n v="0"/>
    <m/>
    <n v="0.696085271649645"/>
    <n v="0"/>
    <n v="0"/>
    <n v="0"/>
    <n v="0"/>
    <x v="1"/>
    <m/>
    <x v="2"/>
    <x v="1"/>
    <s v="no root cause"/>
    <x v="1"/>
    <s v=""/>
  </r>
  <r>
    <s v="Bekondo-IHS"/>
    <s v="SUO_096"/>
    <s v="SUD-OUEST"/>
    <s v="IHS"/>
    <s v="Hybrid-Gen"/>
    <s v="SUD-OUEST"/>
    <s v="Bekondo"/>
    <s v="NOKIA"/>
    <n v="0"/>
    <n v="0"/>
    <n v="0"/>
    <n v="0"/>
    <n v="0.05710939989272086"/>
    <n v="0"/>
    <n v="0.08984070773636411"/>
    <n v="0.7108934857261073"/>
    <n v="9.296581632326481"/>
    <n v="9.297122698468232"/>
    <n v="4.160478486138699"/>
    <n v="6.163803066492026"/>
    <n v="0"/>
    <n v="0"/>
    <n v="0"/>
    <n v="0"/>
    <n v="0.1978266886965553"/>
    <n v="0.03493891842377859"/>
    <n v="0"/>
    <n v="0.002942787922370101"/>
    <n v="6.163803066492026"/>
    <n v="0.5270979045923185"/>
    <n v="0"/>
    <n v="0"/>
    <m/>
    <n v="0"/>
    <m/>
    <n v="0"/>
    <m/>
    <n v="0.312185210867698"/>
    <m/>
    <m/>
    <n v="0"/>
    <n v="0"/>
    <n v="0"/>
    <n v="0.1765137701072674"/>
    <m/>
    <n v="0.6957999103965665"/>
    <n v="0"/>
    <n v="0"/>
    <n v="0"/>
    <n v="0"/>
    <x v="1"/>
    <m/>
    <x v="8"/>
    <x v="4"/>
    <s v="Warehouse HUAWEI"/>
    <x v="3"/>
    <s v="(05/25/2026 cell nokia): 25/05/2026 ;Expedition ce jour  de la FO de DOUALA pour KUMBA ||ETD :demain 26/05/2026 _x000a_23/05/2026 : Access issue _x000a_22/05/2026 : Commande de la fibre effectuee _x000a_21/05/2026 : Check breaker and  interconnection (sfp, optical fiber) between system and radio module, swap its if needed||Feedback FME . Cde de la FO      ;      (05/25/2026 cell nokia): 25/05/2026 ;Expedition ce jour  de la FO de DOUALA pour KUMBA ||ETD :demain 26/05/2026 _x000a_23/05/2026 : Access issue _x000a_22/05/2026 : Commande de la fibre effectuee _x000a_21/05/2026 : Check breaker and  interconnection (sfp, optical fiber) between system and radio module, swap its if needed||Feedback FME . Cde de la FO      ;      (05/25/2026 cell nokia): 25/05/2026 ;Expedition ce jour  de la FO de DOUALA pour KUMBA ||ETD :demain 26/05/2026 _x000a_23/05/2026 : Access issue _x000a_22/05/2026 : Commande de la fibre effectuee _x000a_21/05/2026 : Check breaker and  interconnection (sfp, optical fiber) between system and radio module, swap its if needed||Feedback FME . Cde de la FO"/>
  </r>
  <r>
    <s v="Belo"/>
    <s v="NRO_032"/>
    <s v="NORD-OUEST"/>
    <s v="IHS"/>
    <s v="Grid-Gen"/>
    <s v="NORD-OUEST"/>
    <s v="Belo"/>
    <s v="NOKIA"/>
    <n v="0"/>
    <n v="0"/>
    <n v="0"/>
    <n v="0"/>
    <n v="0"/>
    <n v="0"/>
    <n v="0"/>
    <n v="0"/>
    <n v="0"/>
    <n v="2.474404195208132"/>
    <n v="0.1224630803073465"/>
    <n v="0"/>
    <n v="0.07329929343831322"/>
    <n v="0"/>
    <n v="0"/>
    <n v="0"/>
    <n v="0"/>
    <n v="0.141717532310028"/>
    <n v="0"/>
    <n v="0"/>
    <n v="0"/>
    <n v="0"/>
    <n v="0"/>
    <n v="0"/>
    <m/>
    <n v="0"/>
    <m/>
    <n v="0"/>
    <m/>
    <n v="0"/>
    <m/>
    <m/>
    <n v="1.194557875542543"/>
    <n v="6.086184805654718"/>
    <n v="0.8687823349969895"/>
    <n v="4.949252068155682"/>
    <m/>
    <n v="0.6762883347173354"/>
    <n v="0"/>
    <n v="0"/>
    <n v="0"/>
    <n v="0"/>
    <x v="1"/>
    <m/>
    <x v="2"/>
    <x v="1"/>
    <s v="no root cause"/>
    <x v="1"/>
    <s v=""/>
  </r>
  <r>
    <s v="Djarengol-Delegue-IHS"/>
    <s v="EXN_101"/>
    <s v="Maroua"/>
    <s v="IHS"/>
    <s v="Grid-Gen"/>
    <s v="EXTREME-NORD"/>
    <s v="Maroua"/>
    <s v="Huawei"/>
    <n v="0"/>
    <n v="0"/>
    <n v="0"/>
    <n v="0"/>
    <n v="0"/>
    <n v="0"/>
    <n v="0"/>
    <n v="0"/>
    <n v="0"/>
    <n v="0"/>
    <n v="0"/>
    <n v="0"/>
    <n v="0"/>
    <n v="0"/>
    <n v="0"/>
    <n v="0.2504044995762386"/>
    <n v="0.5069621011719787"/>
    <n v="0"/>
    <n v="0"/>
    <n v="0"/>
    <n v="0"/>
    <n v="1.24779558431997"/>
    <n v="0"/>
    <n v="0"/>
    <m/>
    <n v="0"/>
    <m/>
    <n v="2.275595477594861"/>
    <m/>
    <n v="0"/>
    <m/>
    <m/>
    <n v="0"/>
    <n v="0"/>
    <n v="0"/>
    <n v="2.294411485219713"/>
    <m/>
    <n v="0.6397442592449911"/>
    <n v="0"/>
    <n v="0"/>
    <n v="0"/>
    <n v="0"/>
    <x v="0"/>
    <m/>
    <x v="2"/>
    <x v="1"/>
    <s v="no root cause"/>
    <x v="1"/>
    <s v=""/>
  </r>
  <r>
    <s v="Nkolfoulou-ENIA-MTN"/>
    <s v="CTR_837"/>
    <s v="Yaounde"/>
    <s v="MTN"/>
    <m/>
    <s v="CENTRE"/>
    <s v="Yaounde"/>
    <s v="ZTE"/>
    <n v="1.187156318040822"/>
    <n v="0.5925883121737968"/>
    <n v="1.757843154040858"/>
    <n v="0"/>
    <n v="0.4426666438377661"/>
    <n v="0"/>
    <n v="0.3781750006420626"/>
    <n v="3.237369910938754"/>
    <n v="7.695515262546623"/>
    <n v="1.35942533950855"/>
    <n v="2.200081755999007"/>
    <n v="4.707604592033285"/>
    <n v="4.121882785011686"/>
    <n v="0.3559168229019527"/>
    <n v="0"/>
    <n v="2.815677319202245"/>
    <n v="2.615799596499187"/>
    <n v="2.159168086338902"/>
    <n v="0"/>
    <n v="0.1757646968179365"/>
    <n v="4.767138083456753"/>
    <n v="11.95351536527667"/>
    <n v="0.3804222205100543"/>
    <n v="5.402922955315282"/>
    <m/>
    <n v="0"/>
    <m/>
    <n v="6.741927130150415"/>
    <m/>
    <n v="2.483106613817762"/>
    <m/>
    <m/>
    <n v="36.98281839895216"/>
    <n v="36.98281839895216"/>
    <n v="36.98281839895216"/>
    <n v="36.8783761803255"/>
    <m/>
    <n v="0.5746818935431321"/>
    <n v="0"/>
    <n v="0"/>
    <n v="0"/>
    <n v="0"/>
    <x v="0"/>
    <m/>
    <x v="2"/>
    <x v="1"/>
    <s v="no root cause"/>
    <x v="1"/>
    <s v=""/>
  </r>
  <r>
    <s v="Buca-Voyage"/>
    <s v="LIT_616"/>
    <s v="Douala"/>
    <s v="CAMUSAT"/>
    <s v="Good Grid no GE - 8h"/>
    <s v="LITTORAL"/>
    <s v="Douala"/>
    <s v="ZTE"/>
    <n v="12.34501316942183"/>
    <n v="18.66168069217225"/>
    <n v="15.8555273047915"/>
    <n v="0.8012943986439625"/>
    <n v="12.56625731594912"/>
    <n v="6.343241789443344"/>
    <n v="4.979143659415635"/>
    <n v="12.19805212408649"/>
    <n v="11.92487222949893"/>
    <n v="1.260369314533736"/>
    <n v="7.081614031783536"/>
    <n v="0"/>
    <n v="0"/>
    <n v="12.58605425288143"/>
    <n v="37.3653808288603"/>
    <n v="1.271373557855569"/>
    <n v="5.036626116832603"/>
    <n v="0"/>
    <n v="1.482933256856518"/>
    <n v="10.41063841019538"/>
    <n v="0.102034483053822"/>
    <n v="4.986045834724469"/>
    <n v="0.09613107213076337"/>
    <n v="0"/>
    <m/>
    <n v="0"/>
    <m/>
    <n v="0"/>
    <m/>
    <n v="13.7321363855573"/>
    <m/>
    <m/>
    <n v="0"/>
    <n v="0"/>
    <n v="10.79546589504984"/>
    <n v="0.000963094229139379"/>
    <m/>
    <n v="0.5415443180294093"/>
    <n v="0"/>
    <n v="0"/>
    <n v="0"/>
    <n v="0"/>
    <x v="0"/>
    <m/>
    <x v="3"/>
    <x v="0"/>
    <s v="AKTIVCO Coupure ENEO &amp; Baisse de tension"/>
    <x v="0"/>
    <s v="{05-25-2026 ticket}: INC-20260525-00027695...2026-05-26 00:13:13...Grid outage, Grid only site / Grid return awaiting...user:OCM_NOC.CAMUSAT"/>
  </r>
  <r>
    <s v="Etoudi-II-IHS"/>
    <s v="CTR_633"/>
    <s v="Yaounde"/>
    <s v="IHS"/>
    <s v="Grid-Gen"/>
    <s v="CENTRE"/>
    <s v="Yaounde"/>
    <s v="ZTE"/>
    <n v="5.025782389215627"/>
    <n v="1.178666820761743"/>
    <n v="9.245704599738039"/>
    <n v="9.245704599738039"/>
    <n v="9.245704599738039"/>
    <n v="5.663921491412053"/>
    <n v="1.851602160755409"/>
    <n v="7.44177560332503"/>
    <n v="0.1011962343729045"/>
    <n v="4.933396683531517"/>
    <n v="9.245704599738039"/>
    <n v="0.0002675261747610636"/>
    <n v="9.245704599738039"/>
    <n v="9.245704599738039"/>
    <n v="9.245704599738039"/>
    <n v="9.245704599738039"/>
    <n v="4.459072775680373"/>
    <n v="9.245704599738039"/>
    <n v="9.245704599738039"/>
    <n v="9.245704599738039"/>
    <n v="1.22930060810483"/>
    <n v="9.245704599738039"/>
    <n v="9.353927854967999"/>
    <n v="8.234259473280199"/>
    <m/>
    <n v="2.622184554536816"/>
    <m/>
    <n v="9.245704599738039"/>
    <m/>
    <n v="9.245704599738039"/>
    <m/>
    <m/>
    <n v="0.5857396420999162"/>
    <n v="0.6736487431263606"/>
    <n v="0.7777342601866832"/>
    <n v="1.139055111818807"/>
    <m/>
    <n v="0.5234952187722045"/>
    <n v="0"/>
    <n v="0"/>
    <n v="0"/>
    <n v="0"/>
    <x v="0"/>
    <m/>
    <x v="11"/>
    <x v="7"/>
    <s v="BSS Hardware issue"/>
    <x v="2"/>
    <s v="05-25-2026: hardware issue,  site with GPS issue (alarm : TDD down 09Apr 02pm)"/>
  </r>
  <r>
    <s v="Gra-Yelwa-II"/>
    <s v="NRD_072"/>
    <s v="Garoua"/>
    <s v="IHS"/>
    <s v="Grid-Gen"/>
    <s v="NORD"/>
    <s v="Garoua"/>
    <s v="Huawei"/>
    <n v="0"/>
    <n v="0"/>
    <n v="0"/>
    <n v="1.510363607308673"/>
    <n v="0"/>
    <n v="0"/>
    <n v="0"/>
    <n v="0"/>
    <n v="0"/>
    <n v="0"/>
    <n v="0"/>
    <n v="0"/>
    <n v="0"/>
    <n v="0"/>
    <n v="0"/>
    <n v="0"/>
    <n v="0"/>
    <n v="0"/>
    <n v="0"/>
    <n v="0"/>
    <n v="0"/>
    <n v="0"/>
    <n v="0"/>
    <n v="0"/>
    <m/>
    <n v="0"/>
    <m/>
    <n v="0"/>
    <m/>
    <n v="0"/>
    <m/>
    <m/>
    <n v="0"/>
    <n v="0"/>
    <n v="0"/>
    <n v="0"/>
    <m/>
    <n v="0.5148273707099503"/>
    <n v="0"/>
    <n v="0"/>
    <n v="0"/>
    <n v="0"/>
    <x v="0"/>
    <m/>
    <x v="2"/>
    <x v="1"/>
    <s v="no root cause"/>
    <x v="1"/>
    <s v=""/>
  </r>
  <r>
    <s v="Marche-Odza-IHS"/>
    <s v="CTR_479"/>
    <s v="Yaounde"/>
    <s v="IHS"/>
    <s v="Grid-Gen"/>
    <s v="CENTRE"/>
    <s v="Yaounde"/>
    <s v="ZTE"/>
    <n v="0"/>
    <n v="0"/>
    <n v="0"/>
    <n v="0"/>
    <n v="0"/>
    <n v="0"/>
    <n v="0"/>
    <n v="4.478031463931767"/>
    <n v="0"/>
    <n v="21.04004189103195"/>
    <n v="0"/>
    <n v="0"/>
    <n v="0"/>
    <n v="0"/>
    <n v="0"/>
    <n v="0"/>
    <n v="0"/>
    <n v="0"/>
    <n v="0"/>
    <n v="0"/>
    <n v="0"/>
    <n v="0"/>
    <n v="0"/>
    <n v="0"/>
    <m/>
    <n v="0"/>
    <m/>
    <n v="0"/>
    <m/>
    <n v="0"/>
    <m/>
    <m/>
    <n v="0"/>
    <n v="3.450302910970143"/>
    <n v="0.1037823207289268"/>
    <n v="0.2028383457037441"/>
    <m/>
    <n v="0.512526645607006"/>
    <n v="0"/>
    <n v="0"/>
    <n v="0"/>
    <n v="0"/>
    <x v="0"/>
    <m/>
    <x v="2"/>
    <x v="1"/>
    <s v="no root cause"/>
    <x v="1"/>
    <s v=""/>
  </r>
  <r>
    <s v="Limbe-Mokindi-MTN-IHS"/>
    <s v="SUO_154"/>
    <s v="SUD-OUEST"/>
    <s v="IHS"/>
    <s v="Grid-Gen"/>
    <s v="SUD-OUEST"/>
    <s v="Limbe"/>
    <s v="Huawei"/>
    <n v="0"/>
    <n v="0"/>
    <n v="3.604629843650569"/>
    <n v="0"/>
    <n v="0"/>
    <n v="0"/>
    <n v="0"/>
    <n v="0"/>
    <n v="0"/>
    <n v="0"/>
    <n v="0"/>
    <n v="0"/>
    <n v="0"/>
    <n v="0"/>
    <n v="0"/>
    <n v="0"/>
    <n v="0"/>
    <n v="0"/>
    <n v="0"/>
    <n v="0"/>
    <n v="0"/>
    <n v="0"/>
    <n v="0"/>
    <n v="0.4906430045115613"/>
    <m/>
    <n v="0.2037657697762483"/>
    <m/>
    <n v="0"/>
    <m/>
    <n v="0"/>
    <m/>
    <m/>
    <n v="0"/>
    <n v="0"/>
    <n v="0"/>
    <n v="0"/>
    <m/>
    <n v="0.5070512765635656"/>
    <n v="0"/>
    <n v="0"/>
    <n v="0"/>
    <n v="0"/>
    <x v="0"/>
    <m/>
    <x v="2"/>
    <x v="1"/>
    <s v="no root cause"/>
    <x v="1"/>
    <s v=""/>
  </r>
  <r>
    <s v="Ngd-Troua-Mala-II"/>
    <s v="ADM_074"/>
    <s v="Ngaoundere"/>
    <s v="IHS"/>
    <s v="Grid-Gen"/>
    <s v="ADAMAOUA"/>
    <s v="Ngaoundere"/>
    <s v="Huawei"/>
    <n v="0"/>
    <n v="0"/>
    <n v="0"/>
    <n v="0"/>
    <n v="0"/>
    <n v="0"/>
    <n v="0"/>
    <n v="0"/>
    <n v="0"/>
    <n v="0"/>
    <n v="0"/>
    <n v="0"/>
    <n v="0"/>
    <n v="0"/>
    <n v="0"/>
    <n v="0"/>
    <n v="0"/>
    <n v="0"/>
    <n v="0"/>
    <n v="0"/>
    <m/>
    <n v="0"/>
    <n v="0"/>
    <n v="0"/>
    <m/>
    <n v="0.1447316605456678"/>
    <m/>
    <n v="0"/>
    <m/>
    <n v="0"/>
    <m/>
    <m/>
    <n v="0"/>
    <n v="0"/>
    <n v="0"/>
    <n v="0.1640827205200423"/>
    <m/>
    <n v="0.4374944711257217"/>
    <n v="0"/>
    <n v="0"/>
    <n v="0"/>
    <n v="0"/>
    <x v="0"/>
    <m/>
    <x v="2"/>
    <x v="1"/>
    <s v="no root cause"/>
    <x v="1"/>
    <s v=""/>
  </r>
  <r>
    <s v="Limbe-Issokolo-IHS"/>
    <s v="SUO_191"/>
    <s v="SUD-OUEST"/>
    <s v="IHS"/>
    <m/>
    <s v="SUD-OUEST"/>
    <s v="Limbe"/>
    <s v="Huawei"/>
    <n v="0"/>
    <n v="0"/>
    <n v="0"/>
    <n v="0"/>
    <n v="0"/>
    <n v="0"/>
    <n v="12.85752197995052"/>
    <n v="13.86855689960706"/>
    <n v="13.86855689960706"/>
    <n v="13.8682893734323"/>
    <n v="13.86855689960706"/>
    <n v="29.35939252296445"/>
    <n v="26.61778428401435"/>
    <n v="0"/>
    <n v="0"/>
    <n v="0.02814375358485074"/>
    <n v="0"/>
    <n v="0"/>
    <n v="0"/>
    <n v="0"/>
    <n v="10.07043429129106"/>
    <n v="0"/>
    <n v="0"/>
    <n v="0.4887703212882348"/>
    <m/>
    <n v="0.2019644268661912"/>
    <m/>
    <n v="0"/>
    <m/>
    <n v="0"/>
    <m/>
    <m/>
    <n v="0"/>
    <n v="0"/>
    <n v="0"/>
    <n v="0"/>
    <m/>
    <n v="0.4221563037727611"/>
    <n v="0"/>
    <n v="0"/>
    <n v="0"/>
    <n v="0"/>
    <x v="0"/>
    <m/>
    <x v="2"/>
    <x v="1"/>
    <s v="no root cause"/>
    <x v="1"/>
    <s v=""/>
  </r>
  <r>
    <s v="Boubara-IHS"/>
    <s v="EST_096"/>
    <s v="CENTRE"/>
    <s v="IHS"/>
    <s v="Hybrid-Gen"/>
    <s v="EST"/>
    <s v="Boubara"/>
    <s v="NOKIA"/>
    <n v="0.006474133429214671"/>
    <n v="0.0608176170623199"/>
    <n v="0"/>
    <n v="0.07745774513245052"/>
    <n v="0.02220467250515786"/>
    <n v="0.09927004591462556"/>
    <n v="0.7282240827775925"/>
    <n v="0.07672650692143722"/>
    <n v="2.773301173120112"/>
    <n v="0"/>
    <n v="0.003388664880305182"/>
    <n v="0"/>
    <n v="0.002764437139196341"/>
    <n v="0"/>
    <n v="0"/>
    <n v="0.1640292152850902"/>
    <n v="0.00124845548221768"/>
    <n v="0"/>
    <n v="0"/>
    <n v="0.129250812566168"/>
    <n v="1.597701985828959"/>
    <n v="1.211554705179021"/>
    <n v="0.01089723285192895"/>
    <n v="0.06547257250316034"/>
    <m/>
    <n v="0.006920010387149714"/>
    <m/>
    <n v="0.05173956219876556"/>
    <m/>
    <n v="0"/>
    <m/>
    <m/>
    <n v="0.01391136108756893"/>
    <n v="2.222001067251087"/>
    <n v="0"/>
    <n v="0.1295005036626118"/>
    <m/>
    <n v="0.418410937326108"/>
    <n v="0"/>
    <n v="0"/>
    <n v="0"/>
    <n v="0"/>
    <x v="0"/>
    <m/>
    <x v="2"/>
    <x v="1"/>
    <s v="no root cause"/>
    <x v="1"/>
    <s v="(05/25/2026 cell nokia): 25/05/2026 : Need BO RAN analysis       ;      (05/25/2026 cell nokia): 25/05/2026 : Need BO RAN analysis||Not found       ;      (05/25/2026 cell nokia): 25/05/2026 : Need BO RAN analysis||Not found "/>
  </r>
  <r>
    <s v="EXN_356_H_Maroua-Kongola-Djiddeo"/>
    <s v="EXN_356"/>
    <s v=""/>
    <s v="ESCO"/>
    <s v="Hybrid Solar - S3"/>
    <s v="EXN"/>
    <s v="Maroua"/>
    <s v="Huawei"/>
    <n v="0.4182682566995688"/>
    <n v="0.7267794414338833"/>
    <n v="0.4907678500597831"/>
    <n v="0.04323222984136768"/>
    <n v="0"/>
    <n v="0"/>
    <n v="0.006688154369023465"/>
    <n v="8.821461591802143"/>
    <n v="29.31291430886931"/>
    <n v="23.12929647036666"/>
    <n v="0"/>
    <n v="0"/>
    <n v="1.28546326972631"/>
    <s v=""/>
    <n v="0.0005350523495218772"/>
    <n v="0.1838796574523518"/>
    <n v="0"/>
    <n v="0"/>
    <n v="0"/>
    <n v="0"/>
    <n v="0.9392843995856559"/>
    <n v="0"/>
    <n v="0"/>
    <n v="0"/>
    <m/>
    <n v="0"/>
    <m/>
    <n v="0"/>
    <m/>
    <n v="0"/>
    <m/>
    <m/>
    <n v="0"/>
    <n v="0"/>
    <n v="0"/>
    <n v="0"/>
    <m/>
    <n v="0.4067289610282136"/>
    <n v="0"/>
    <n v="0"/>
    <n v="0"/>
    <n v="0"/>
    <x v="0"/>
    <m/>
    <x v="2"/>
    <x v="1"/>
    <s v="no root cause"/>
    <x v="1"/>
    <s v=""/>
  </r>
  <r>
    <s v="Nyalla-Crf-Mpome"/>
    <s v="LIT_445"/>
    <s v="Douala"/>
    <s v="IHS"/>
    <s v="Grid-Gen"/>
    <s v="LITTORAL"/>
    <s v="Douala"/>
    <s v="ZTE"/>
    <n v="0.09957324224602151"/>
    <n v="1.813916640270751"/>
    <n v="0.9246596353653908"/>
    <n v="0"/>
    <n v="0"/>
    <n v="0"/>
    <n v="0"/>
    <n v="0.190799667839502"/>
    <n v="0"/>
    <n v="0"/>
    <n v="0"/>
    <n v="0.007223206718545342"/>
    <n v="0"/>
    <n v="0"/>
    <n v="0"/>
    <n v="0"/>
    <n v="3.653622803788457"/>
    <n v="0"/>
    <n v="0"/>
    <n v="0"/>
    <n v="0"/>
    <n v="0"/>
    <n v="0"/>
    <n v="0.6260825892538656"/>
    <m/>
    <n v="0.1888556443029051"/>
    <m/>
    <n v="0"/>
    <m/>
    <n v="26.15503534199119"/>
    <m/>
    <m/>
    <n v="2.866756983503267"/>
    <n v="13.56750077760942"/>
    <n v="0"/>
    <n v="0.6163624715708851"/>
    <m/>
    <n v="0.3771940713346059"/>
    <n v="0"/>
    <n v="0"/>
    <n v="0"/>
    <n v="0"/>
    <x v="0"/>
    <m/>
    <x v="2"/>
    <x v="1"/>
    <s v="no root cause"/>
    <x v="1"/>
    <s v=""/>
  </r>
  <r>
    <s v="PK15"/>
    <s v="LIT_271"/>
    <s v="Douala"/>
    <s v="IHS"/>
    <s v="Grid-Gen"/>
    <s v="LITTORAL"/>
    <s v="Douala"/>
    <s v="ZTE"/>
    <n v="0"/>
    <n v="0.2207982695693617"/>
    <n v="0"/>
    <n v="3.406731814640744"/>
    <n v="0"/>
    <n v="0"/>
    <n v="0"/>
    <n v="0"/>
    <n v="0"/>
    <n v="0"/>
    <n v="0"/>
    <n v="0"/>
    <n v="0"/>
    <n v="0"/>
    <n v="0"/>
    <n v="0"/>
    <n v="0"/>
    <n v="0"/>
    <n v="0.1400945401831447"/>
    <n v="0"/>
    <n v="0.0429647036666068"/>
    <n v="0.03900531628014478"/>
    <n v="0"/>
    <n v="0"/>
    <m/>
    <n v="0"/>
    <m/>
    <n v="0.5883257284559388"/>
    <m/>
    <n v="0"/>
    <m/>
    <m/>
    <n v="0"/>
    <n v="0.2333898348614426"/>
    <n v="0"/>
    <n v="0"/>
    <m/>
    <n v="0.3707556080620267"/>
    <n v="0"/>
    <n v="0"/>
    <n v="0"/>
    <n v="0"/>
    <x v="0"/>
    <m/>
    <x v="2"/>
    <x v="1"/>
    <s v="no root cause"/>
    <x v="1"/>
    <s v=""/>
  </r>
  <r>
    <s v="Bambui-Round-About-IHS"/>
    <s v="NRO_067"/>
    <s v="NORD-OUEST"/>
    <s v="IHS"/>
    <s v="Hybrid-Gen"/>
    <s v="NORD-OUEST"/>
    <s v="Bamenda"/>
    <s v="Huawei"/>
    <n v="0"/>
    <n v="0"/>
    <n v="0"/>
    <n v="0"/>
    <n v="0"/>
    <n v="0"/>
    <n v="1.067714798549223"/>
    <n v="0.385255526734069"/>
    <n v="0"/>
    <n v="1.668204050417626"/>
    <n v="0"/>
    <n v="0"/>
    <n v="4.696939215199481"/>
    <n v="0.1991286494137253"/>
    <n v="0"/>
    <n v="0.3096169595899929"/>
    <n v="0.02286457040290155"/>
    <n v="19.31048517120248"/>
    <n v="0"/>
    <n v="2.07486167113257"/>
    <n v="0"/>
    <n v="0"/>
    <n v="0.2274685888600674"/>
    <n v="0"/>
    <m/>
    <n v="0"/>
    <m/>
    <n v="0"/>
    <m/>
    <n v="11.94584628160019"/>
    <m/>
    <m/>
    <n v="2.665416784378184"/>
    <n v="4.744487533993659"/>
    <n v="3.704880818872653"/>
    <n v="0"/>
    <m/>
    <n v="0.3581283726133098"/>
    <n v="0"/>
    <n v="0"/>
    <n v="0"/>
    <n v="0"/>
    <x v="1"/>
    <m/>
    <x v="2"/>
    <x v="1"/>
    <s v="no root cause"/>
    <x v="1"/>
    <s v=""/>
  </r>
  <r>
    <s v="Kongola-IHS"/>
    <s v="EXN_113"/>
    <s v="Maroua"/>
    <s v="IHS"/>
    <s v="Grid-Gen"/>
    <s v="EXTREME-NORD"/>
    <s v="Maroua"/>
    <s v="Huawei"/>
    <n v="0.270112261116961"/>
    <n v="0.6943731041311747"/>
    <n v="0"/>
    <n v="0"/>
    <n v="0"/>
    <n v="0"/>
    <n v="0"/>
    <n v="0"/>
    <n v="0"/>
    <n v="0"/>
    <n v="0"/>
    <n v="0"/>
    <n v="0"/>
    <n v="0"/>
    <n v="0.007223206718545342"/>
    <n v="0"/>
    <n v="0.0008917539158697954"/>
    <n v="0"/>
    <n v="0"/>
    <n v="0"/>
    <n v="0"/>
    <n v="0"/>
    <n v="0"/>
    <n v="0"/>
    <m/>
    <n v="0"/>
    <m/>
    <n v="0"/>
    <m/>
    <n v="0"/>
    <m/>
    <m/>
    <n v="0"/>
    <n v="0"/>
    <n v="0"/>
    <n v="0.5250468705858181"/>
    <m/>
    <n v="0.3283437918232586"/>
    <n v="0"/>
    <n v="0"/>
    <n v="0"/>
    <n v="0"/>
    <x v="0"/>
    <m/>
    <x v="2"/>
    <x v="1"/>
    <s v="no root cause"/>
    <x v="1"/>
    <s v=""/>
  </r>
  <r>
    <s v="KRIBI-NDOMBE-II"/>
    <s v="SUD_096"/>
    <s v="LITTORAL"/>
    <s v="CAMUSAT"/>
    <s v="Good Grid + Solar + GE"/>
    <s v="SUD"/>
    <s v="Kribi"/>
    <s v="ZTE"/>
    <n v="0"/>
    <n v="0"/>
    <n v="0"/>
    <n v="0"/>
    <n v="0"/>
    <n v="8.684529069889332e-17"/>
    <n v="0"/>
    <n v="0"/>
    <n v="0"/>
    <n v="5.789686046592889e-17"/>
    <n v="8.684529069889332e-17"/>
    <n v="0"/>
    <n v="5.789686046592889e-17"/>
    <n v="0"/>
    <n v="0.007972280007876042"/>
    <n v="0"/>
    <n v="0"/>
    <n v="0"/>
    <n v="0"/>
    <n v="0"/>
    <n v="0"/>
    <n v="0"/>
    <n v="0"/>
    <n v="0"/>
    <m/>
    <n v="0"/>
    <m/>
    <n v="0"/>
    <m/>
    <n v="0"/>
    <m/>
    <m/>
    <n v="0"/>
    <n v="0"/>
    <n v="4.290566955737617"/>
    <n v="0"/>
    <m/>
    <n v="0.3164477945855553"/>
    <n v="0"/>
    <n v="0"/>
    <n v="0"/>
    <n v="0"/>
    <x v="0"/>
    <m/>
    <x v="2"/>
    <x v="1"/>
    <s v="no root cause"/>
    <x v="1"/>
    <s v=""/>
  </r>
  <r>
    <s v="PK15-Auberge"/>
    <s v="LIT_728"/>
    <s v="Douala"/>
    <s v="CAMUSAT"/>
    <s v="Good Grid no GE - 8h"/>
    <s v="LITTORAL"/>
    <s v="Douala"/>
    <s v="ZTE"/>
    <n v="1.037769702054318"/>
    <n v="8.952959624236302"/>
    <n v="0"/>
    <n v="5.447367970482233"/>
    <n v="3.49073503351568"/>
    <n v="0"/>
    <n v="9.708132510351481"/>
    <n v="12.98684413282996"/>
    <n v="27.55423290614753"/>
    <n v="24.22677801462762"/>
    <n v="2.893456095744407"/>
    <n v="2.891137535563145"/>
    <n v="0"/>
    <n v="0.9959464434000239"/>
    <n v="0"/>
    <n v="3.17582105566542"/>
    <n v="0.0245410677647369"/>
    <n v="3.947277368284378"/>
    <n v="1.433708440700504"/>
    <n v="0"/>
    <n v="2.884699072290566"/>
    <n v="2.158419013049567"/>
    <n v="0"/>
    <n v="0"/>
    <m/>
    <n v="0.6934991852936221"/>
    <m/>
    <n v="33.23445565914167"/>
    <m/>
    <n v="10.78349855749886"/>
    <m/>
    <m/>
    <n v="42.74012436043409"/>
    <n v="0.1958826651599599"/>
    <n v="0"/>
    <n v="0"/>
    <m/>
    <n v="0.2993974597141257"/>
    <n v="0"/>
    <n v="0"/>
    <n v="0"/>
    <n v="0"/>
    <x v="0"/>
    <m/>
    <x v="2"/>
    <x v="1"/>
    <s v="no root cause"/>
    <x v="1"/>
    <s v=""/>
  </r>
  <r>
    <s v="Limbe-Legend-Inn"/>
    <s v="SUO_233"/>
    <s v="SUD-OUEST"/>
    <s v="ESCO"/>
    <s v="Good Grid + GE"/>
    <s v="SUD-OUEST"/>
    <s v="Limbe"/>
    <s v="Huawei"/>
    <n v="1.546479640901399"/>
    <n v="1.658038055776711"/>
    <n v="0.2022497881192696"/>
    <n v="0"/>
    <n v="0.2538823398481307"/>
    <n v="0"/>
    <n v="0"/>
    <n v="0.4574697588412051"/>
    <n v="1.501535243541561"/>
    <n v="0.07624495980686749"/>
    <n v="0.1287692654515984"/>
    <n v="0"/>
    <n v="0.788667163195247"/>
    <n v="8.917539158697954e-05"/>
    <n v="0"/>
    <n v="0.6961031067279623"/>
    <n v="0.8490389032996323"/>
    <n v="0"/>
    <n v="0.1367058753028396"/>
    <n v="0.8081965739527954"/>
    <n v="0"/>
    <n v="0.2147343429414467"/>
    <n v="0"/>
    <n v="0.05555626895868825"/>
    <m/>
    <n v="0.7196454101069248"/>
    <m/>
    <n v="0"/>
    <m/>
    <n v="0.03691861211700953"/>
    <m/>
    <m/>
    <n v="0"/>
    <n v="0"/>
    <n v="0"/>
    <n v="0.1301068963254031"/>
    <m/>
    <n v="0.2867880593437262"/>
    <n v="0"/>
    <n v="0"/>
    <n v="0"/>
    <n v="0"/>
    <x v="0"/>
    <m/>
    <x v="2"/>
    <x v="1"/>
    <s v="no root cause"/>
    <x v="1"/>
    <s v="(05/25/2026 cell huawei): 25/05/2026 : Besoin d'analyse BO RAN      ;      (05/25/2026 cell huawei): 25/05/2026 : Besoin d'analyse BO RAN || Feedback BO RAN : Site unstable due to transmission"/>
  </r>
  <r>
    <s v="Babylone-IHS"/>
    <s v="LIT_153"/>
    <s v="Douala"/>
    <s v="IHS"/>
    <s v="Grid-Gen"/>
    <s v="LITTORAL"/>
    <s v="Douala"/>
    <s v="ZTE"/>
    <n v="3.499046180011588"/>
    <n v="0"/>
    <n v="0"/>
    <n v="0.3094564438851367"/>
    <n v="3.182776736209204"/>
    <n v="0"/>
    <n v="0"/>
    <n v="0"/>
    <n v="0"/>
    <n v="0"/>
    <n v="0"/>
    <n v="0"/>
    <n v="0"/>
    <n v="0"/>
    <n v="6.247520924113881"/>
    <n v="0"/>
    <n v="0"/>
    <n v="0"/>
    <n v="0"/>
    <n v="0"/>
    <n v="12.41294698273279"/>
    <n v="0"/>
    <n v="0"/>
    <n v="0.03763201524970537"/>
    <m/>
    <n v="0"/>
    <m/>
    <n v="0"/>
    <m/>
    <n v="0"/>
    <m/>
    <m/>
    <n v="0"/>
    <n v="0"/>
    <n v="0.08407455918820424"/>
    <n v="0.001070104699043754"/>
    <m/>
    <n v="0.2831318682886597"/>
    <n v="0"/>
    <n v="0"/>
    <n v="0"/>
    <n v="0"/>
    <x v="0"/>
    <m/>
    <x v="2"/>
    <x v="1"/>
    <s v="no root cause"/>
    <x v="1"/>
    <s v=""/>
  </r>
  <r>
    <s v="Gamba-MTN"/>
    <s v="NRD_059"/>
    <s v="NORD"/>
    <s v="IHS"/>
    <s v="Solar-Gen"/>
    <s v="NORD"/>
    <s v="Gamba"/>
    <s v="NOKIA"/>
    <n v="2.130911795044685"/>
    <n v="0"/>
    <n v="0.001070104699043922"/>
    <n v="0.001284197891614903"/>
    <n v="0.03467487135829499"/>
    <n v="0"/>
    <n v="0"/>
    <n v="5.217381720784721"/>
    <n v="0"/>
    <n v="0.04876525141235519"/>
    <n v="0.001248455482217681"/>
    <n v="0"/>
    <n v="0"/>
    <n v="0"/>
    <n v="0"/>
    <n v="0"/>
    <n v="1.315241227892436"/>
    <n v="0"/>
    <n v="0"/>
    <n v="0.07598664302604052"/>
    <n v="0"/>
    <n v="0"/>
    <n v="0.1172604735500627"/>
    <n v="0"/>
    <m/>
    <n v="0"/>
    <m/>
    <n v="0"/>
    <m/>
    <n v="0.001819177988374325"/>
    <m/>
    <m/>
    <n v="0"/>
    <n v="0"/>
    <n v="4.939474439213728"/>
    <n v="0"/>
    <m/>
    <n v="0.2531369566105962"/>
    <n v="0"/>
    <n v="0"/>
    <n v="0"/>
    <n v="0"/>
    <x v="0"/>
    <m/>
    <x v="2"/>
    <x v="1"/>
    <s v="no root cause"/>
    <x v="1"/>
    <s v=""/>
  </r>
  <r>
    <s v="Korek-Djarengol-II"/>
    <s v="EXN_235"/>
    <s v="Maroua"/>
    <s v="CAMUSAT"/>
    <s v="Bad Grid + GE"/>
    <s v="EXTREME-NORD"/>
    <s v="Maroua"/>
    <s v="Huawei"/>
    <n v="6.818118584722329"/>
    <n v="8.721192781501742"/>
    <n v="4.158551706032251"/>
    <n v="3.794377241869344"/>
    <n v="2.431866433811884"/>
    <n v="4.242501419672234"/>
    <n v="15.46638373098424"/>
    <n v="4.98240747874772"/>
    <n v="3.678520573119541"/>
    <n v="4.276370233396968"/>
    <n v="2.670731637716768"/>
    <n v="0.008543002514032663"/>
    <n v="2.638022104082663"/>
    <n v="12.46968036686043"/>
    <n v="4.641632637337237"/>
    <n v="3.582621357006903"/>
    <n v="6.960870551574765"/>
    <n v="3.421374413939327"/>
    <n v="5.216243190567098"/>
    <n v="4.150329734927932"/>
    <n v="0"/>
    <n v="4.456254833306224"/>
    <n v="1.664797550459004"/>
    <n v="0"/>
    <m/>
    <n v="0.1100067630616979"/>
    <m/>
    <n v="0"/>
    <m/>
    <n v="0"/>
    <m/>
    <m/>
    <n v="0"/>
    <n v="0"/>
    <n v="0"/>
    <n v="3.052295303239135"/>
    <m/>
    <n v="0.2497267666001775"/>
    <n v="0"/>
    <n v="0"/>
    <n v="0"/>
    <n v="0"/>
    <x v="0"/>
    <m/>
    <x v="2"/>
    <x v="1"/>
    <s v="no root cause"/>
    <x v="1"/>
    <s v=""/>
  </r>
  <r>
    <s v="Plateau"/>
    <s v="NRD_002"/>
    <s v="Garoua"/>
    <s v="CAMUSAT"/>
    <s v="Good Grid + Solar + GE"/>
    <s v="NORD"/>
    <s v="Garoua"/>
    <s v="Huawei"/>
    <n v="0"/>
    <n v="0"/>
    <n v="0"/>
    <n v="0"/>
    <n v="0"/>
    <n v="0"/>
    <n v="0"/>
    <n v="0"/>
    <n v="0"/>
    <n v="0"/>
    <n v="0"/>
    <n v="0"/>
    <n v="0"/>
    <n v="0"/>
    <n v="0"/>
    <n v="0"/>
    <n v="0"/>
    <n v="0"/>
    <n v="0"/>
    <n v="0"/>
    <m/>
    <n v="0"/>
    <n v="0"/>
    <n v="0"/>
    <m/>
    <n v="0"/>
    <m/>
    <n v="0"/>
    <m/>
    <n v="0"/>
    <m/>
    <m/>
    <n v="0"/>
    <n v="0"/>
    <n v="0"/>
    <n v="0"/>
    <m/>
    <n v="0.2165178507731863"/>
    <n v="0"/>
    <n v="0"/>
    <n v="0"/>
    <n v="0"/>
    <x v="0"/>
    <m/>
    <x v="2"/>
    <x v="1"/>
    <s v="no root cause"/>
    <x v="1"/>
    <s v=""/>
  </r>
  <r>
    <s v="Bodjongo "/>
    <s v="LIT_690"/>
    <s v="Douala"/>
    <s v="CAMUSAT"/>
    <s v="Good Grid + GE"/>
    <s v="LITTORAL"/>
    <s v="Douala"/>
    <s v="ZTE"/>
    <n v="0"/>
    <n v="0"/>
    <n v="0"/>
    <n v="0"/>
    <n v="0.37778262891908"/>
    <n v="0"/>
    <n v="0"/>
    <n v="0"/>
    <n v="0.1298750403072772"/>
    <n v="0"/>
    <n v="0"/>
    <n v="2.027299217615284"/>
    <n v="0"/>
    <n v="0"/>
    <n v="0"/>
    <n v="0.2218327041117704"/>
    <n v="0"/>
    <n v="0"/>
    <n v="0"/>
    <n v="0.6041989481584226"/>
    <n v="4.12609186349459"/>
    <n v="0.06538339711157344"/>
    <n v="0"/>
    <n v="0"/>
    <m/>
    <n v="0"/>
    <m/>
    <n v="0"/>
    <m/>
    <n v="0.8068411080006735"/>
    <m/>
    <m/>
    <n v="0"/>
    <n v="0.4977770358385194"/>
    <n v="0"/>
    <n v="0"/>
    <m/>
    <n v="0.1780297517642463"/>
    <n v="0"/>
    <n v="0"/>
    <n v="0"/>
    <n v="0"/>
    <x v="0"/>
    <m/>
    <x v="2"/>
    <x v="1"/>
    <s v="no root cause"/>
    <x v="1"/>
    <s v=""/>
  </r>
  <r>
    <s v="Maroua-Entree"/>
    <s v="EXN_250"/>
    <s v="Maroua"/>
    <s v="CAMUSAT"/>
    <s v="Bad Grid + GE"/>
    <s v="EXTREME-NORD"/>
    <s v="Maroua"/>
    <s v="Huawei"/>
    <n v="0.3445558780137716"/>
    <n v="0.6531205679830382"/>
    <n v="0.4991503368689592"/>
    <n v="0.04196593928083257"/>
    <n v="0"/>
    <n v="0"/>
    <n v="0.004904646537283876"/>
    <n v="5.399926662157958"/>
    <n v="28.17510765253272"/>
    <n v="21.34416564650019"/>
    <n v="0"/>
    <n v="20.96936147566011"/>
    <n v="0.6507128324101896"/>
    <n v="0.8081073985612085"/>
    <n v="0.0008025785242828158"/>
    <n v="0.1816502726626773"/>
    <n v="0"/>
    <n v="0"/>
    <n v="0"/>
    <n v="0"/>
    <n v="27.73657874686459"/>
    <n v="0"/>
    <n v="0"/>
    <n v="0"/>
    <m/>
    <n v="0"/>
    <m/>
    <n v="0"/>
    <m/>
    <n v="0"/>
    <m/>
    <m/>
    <n v="0"/>
    <n v="0"/>
    <n v="0"/>
    <n v="0"/>
    <m/>
    <n v="0.1512414641315173"/>
    <n v="0"/>
    <n v="0"/>
    <n v="0"/>
    <n v="0"/>
    <x v="0"/>
    <m/>
    <x v="2"/>
    <x v="1"/>
    <s v="no root cause"/>
    <x v="1"/>
    <s v=""/>
  </r>
  <r>
    <s v="Ngd-Mbideng-IHS"/>
    <s v="ADM_157"/>
    <s v="Ngaoundere"/>
    <s v="IHS"/>
    <s v="Grid-Gen"/>
    <s v="ADAMAOUA"/>
    <s v="Ngaoundere"/>
    <s v="Huawei"/>
    <n v="10.69938832815402"/>
    <n v="6.357492017018943"/>
    <n v="0.4639260571921023"/>
    <n v="0.8943400022258179"/>
    <n v="11.11287678386453"/>
    <n v="0"/>
    <n v="4.746788259096603"/>
    <n v="0"/>
    <n v="0"/>
    <n v="8.917539158697954e-05"/>
    <n v="0"/>
    <n v="0"/>
    <n v="0"/>
    <n v="2.741519063558512"/>
    <n v="0.4766424680324056"/>
    <n v="0"/>
    <n v="0"/>
    <n v="0.0002675261747609386"/>
    <n v="0"/>
    <n v="0"/>
    <n v="0"/>
    <n v="0"/>
    <n v="0.4984012635796287"/>
    <n v="0"/>
    <m/>
    <n v="0"/>
    <m/>
    <n v="0"/>
    <m/>
    <n v="1.503158235668444"/>
    <m/>
    <m/>
    <n v="1.36991236555918"/>
    <n v="3.26697614094563"/>
    <n v="0"/>
    <n v="12.20117326279203"/>
    <m/>
    <n v="0.1160171844546604"/>
    <n v="0"/>
    <n v="0"/>
    <n v="0"/>
    <n v="0"/>
    <x v="0"/>
    <m/>
    <x v="2"/>
    <x v="1"/>
    <s v="no root cause"/>
    <x v="1"/>
    <s v=""/>
  </r>
  <r>
    <s v="Kribi-Gd-Batanga-II"/>
    <s v="SUD_094"/>
    <s v="LITTORAL"/>
    <s v="CAMUSAT"/>
    <s v="Good Grid + GE"/>
    <s v="SUD"/>
    <s v="Kribi"/>
    <s v="ZTE"/>
    <n v="0"/>
    <n v="0.05799967468817187"/>
    <n v="3.567015663485442e-05"/>
    <n v="3.200754495153139"/>
    <n v="0"/>
    <n v="0"/>
    <n v="0"/>
    <n v="0"/>
    <n v="0"/>
    <n v="0"/>
    <n v="0"/>
    <n v="0"/>
    <n v="0.2029631912519651"/>
    <n v="0"/>
    <n v="0.01007681924932867"/>
    <n v="0"/>
    <n v="0"/>
    <n v="0"/>
    <n v="0.24888851791926"/>
    <n v="0"/>
    <n v="0"/>
    <n v="0"/>
    <n v="0"/>
    <n v="0"/>
    <m/>
    <n v="0"/>
    <m/>
    <n v="0"/>
    <m/>
    <n v="5.210214934095817"/>
    <m/>
    <m/>
    <n v="12.1338815123005"/>
    <n v="15.61853478410994"/>
    <n v="0"/>
    <n v="0"/>
    <m/>
    <n v="0.101392420234395"/>
    <n v="0"/>
    <n v="0"/>
    <n v="0"/>
    <n v="0"/>
    <x v="0"/>
    <m/>
    <x v="2"/>
    <x v="1"/>
    <s v="no root cause"/>
    <x v="1"/>
    <s v=""/>
  </r>
  <r>
    <s v="Efoulan"/>
    <s v="CTR_209"/>
    <s v="Yaounde"/>
    <s v="IHS"/>
    <s v="Grid-Gen"/>
    <s v="CENTRE"/>
    <s v="Yaounde"/>
    <s v="ZTE"/>
    <n v="0"/>
    <n v="3.200932845936313"/>
    <n v="0"/>
    <n v="0"/>
    <n v="0"/>
    <n v="0.957583189939304"/>
    <n v="0"/>
    <n v="0"/>
    <n v="0"/>
    <n v="0"/>
    <n v="0"/>
    <n v="0"/>
    <n v="8.339165403943122"/>
    <n v="0"/>
    <n v="0.2348344762051516"/>
    <n v="0"/>
    <n v="1.9194646337531"/>
    <n v="0"/>
    <n v="0"/>
    <n v="0.0008025785242827702"/>
    <n v="0"/>
    <n v="0.104477888783305"/>
    <n v="0.1036931453373396"/>
    <n v="0"/>
    <m/>
    <n v="0.1051199516027318"/>
    <m/>
    <n v="0.8030065661624335"/>
    <m/>
    <n v="0"/>
    <m/>
    <m/>
    <n v="12.7302686961559"/>
    <n v="0"/>
    <n v="0"/>
    <n v="0"/>
    <m/>
    <n v="0.0980394255107247"/>
    <n v="0"/>
    <n v="0"/>
    <n v="0"/>
    <n v="0"/>
    <x v="0"/>
    <m/>
    <x v="2"/>
    <x v="1"/>
    <s v="no root cause"/>
    <x v="1"/>
    <s v=""/>
  </r>
  <r>
    <s v="Akok-II"/>
    <s v="SUD_127"/>
    <s v="CENTRE"/>
    <s v="CAMUSAT"/>
    <s v="Hybrid Solar - S3"/>
    <s v="SUD"/>
    <s v="Akom-I"/>
    <s v="NOKIA"/>
    <n v="0.07212713721519128"/>
    <n v="0"/>
    <n v="0.04399779337716108"/>
    <n v="0"/>
    <n v="0"/>
    <n v="0.0009274240725045041"/>
    <n v="0"/>
    <n v="0.08763202868634644"/>
    <n v="0"/>
    <n v="0"/>
    <n v="0.0008917539158698208"/>
    <n v="0"/>
    <n v="0.0008917539158698208"/>
    <n v="0.02334709809067571"/>
    <n v="0"/>
    <n v="0.02860843587248443"/>
    <n v="0.1138413048999381"/>
    <n v="0"/>
    <n v="0.07952835344447848"/>
    <n v="0"/>
    <n v="0"/>
    <n v="0"/>
    <n v="0"/>
    <n v="0"/>
    <m/>
    <n v="0.002568395783230148"/>
    <m/>
    <n v="0"/>
    <m/>
    <n v="1.326992245975728"/>
    <m/>
    <m/>
    <n v="0"/>
    <n v="0"/>
    <n v="0"/>
    <n v="0.003210499889948891"/>
    <m/>
    <n v="0.08771291516495298"/>
    <n v="0"/>
    <n v="0"/>
    <n v="0"/>
    <n v="0"/>
    <x v="0"/>
    <m/>
    <x v="2"/>
    <x v="1"/>
    <s v="no root cause"/>
    <x v="1"/>
    <s v=""/>
  </r>
  <r>
    <s v="Nkolfoulou-CSD"/>
    <s v="CTR_712"/>
    <s v="Yaounde"/>
    <s v="CAMUSAT"/>
    <s v="Medium Grid + GE"/>
    <s v="CENTRE"/>
    <s v="Yaounde"/>
    <s v="ZTE"/>
    <n v="0"/>
    <n v="0"/>
    <n v="0"/>
    <n v="0"/>
    <n v="0"/>
    <n v="0"/>
    <n v="0"/>
    <n v="0.5189472738012694"/>
    <n v="11.41191754201231"/>
    <n v="0"/>
    <n v="0"/>
    <n v="5.194518213227069"/>
    <n v="0"/>
    <n v="0"/>
    <n v="0"/>
    <n v="0"/>
    <n v="8.044476404904788"/>
    <n v="21.60149015646358"/>
    <n v="0"/>
    <n v="0.1645999377912467"/>
    <n v="6.154368170701379"/>
    <n v="0"/>
    <n v="0.724888923132239"/>
    <n v="4.099695947584845"/>
    <m/>
    <n v="0"/>
    <m/>
    <n v="0"/>
    <m/>
    <n v="0"/>
    <m/>
    <m/>
    <n v="0"/>
    <n v="0"/>
    <n v="0"/>
    <n v="9.548490724332467"/>
    <m/>
    <n v="0.08254074245290821"/>
    <n v="0"/>
    <n v="0"/>
    <n v="0"/>
    <n v="0"/>
    <x v="0"/>
    <m/>
    <x v="2"/>
    <x v="1"/>
    <s v="no root cause"/>
    <x v="1"/>
    <s v=""/>
  </r>
  <r>
    <s v="Obobogo-New"/>
    <s v="CTR_543"/>
    <s v="Yaounde"/>
    <s v="IHS"/>
    <s v="Grid-Gen"/>
    <s v="CENTRE"/>
    <s v="Yaounde"/>
    <s v="ZTE"/>
    <n v="0"/>
    <n v="2.770090859022979"/>
    <n v="0"/>
    <n v="0"/>
    <n v="0"/>
    <n v="0.8262456732100002"/>
    <n v="0"/>
    <n v="0"/>
    <n v="0"/>
    <n v="0"/>
    <n v="0"/>
    <n v="0.006063926627914473"/>
    <n v="7.222528985569282"/>
    <n v="0"/>
    <n v="0.2012866938901296"/>
    <n v="0"/>
    <n v="1.648710309816713"/>
    <n v="0"/>
    <n v="0"/>
    <n v="0.005082997320457601"/>
    <n v="0.001515981656978832"/>
    <n v="0.08855116384587101"/>
    <n v="0.08810528688793566"/>
    <n v="0"/>
    <m/>
    <n v="0.08960343346659742"/>
    <m/>
    <n v="0.08787343086980982"/>
    <m/>
    <n v="0"/>
    <m/>
    <m/>
    <n v="11.0293907822608"/>
    <n v="0"/>
    <n v="0"/>
    <n v="0"/>
    <m/>
    <n v="0.08214837072992519"/>
    <n v="0"/>
    <n v="0"/>
    <n v="0"/>
    <n v="0"/>
    <x v="0"/>
    <m/>
    <x v="2"/>
    <x v="1"/>
    <s v="no root cause"/>
    <x v="1"/>
    <s v=""/>
  </r>
  <r>
    <s v="Ngd-Madagascar-MTN-IHS"/>
    <s v="ADM_084"/>
    <s v="Ngaoundere"/>
    <s v="IHS"/>
    <s v="Grid-Gen"/>
    <s v="ADAMAOUA"/>
    <s v="Ngaoundere"/>
    <s v="Huawei"/>
    <n v="0"/>
    <n v="0"/>
    <n v="0"/>
    <n v="0"/>
    <n v="0.1876963642122745"/>
    <n v="0"/>
    <n v="0"/>
    <n v="0"/>
    <n v="0.6686370861191725"/>
    <n v="0"/>
    <n v="0"/>
    <n v="0"/>
    <n v="0"/>
    <n v="1.678601901076668"/>
    <n v="0"/>
    <n v="0.9942521109598695"/>
    <n v="0.2172312539058821"/>
    <n v="0"/>
    <n v="0.3732881891830963"/>
    <n v="0"/>
    <n v="0"/>
    <n v="0"/>
    <n v="0"/>
    <n v="0"/>
    <m/>
    <n v="0"/>
    <m/>
    <n v="0.187446673115831"/>
    <m/>
    <n v="0.3725212808154483"/>
    <m/>
    <m/>
    <n v="0.2041224713425962"/>
    <n v="0"/>
    <n v="0"/>
    <n v="3.424780913897949"/>
    <m/>
    <n v="0.05832070609788462"/>
    <n v="0"/>
    <n v="0"/>
    <n v="0"/>
    <n v="0"/>
    <x v="0"/>
    <m/>
    <x v="2"/>
    <x v="1"/>
    <s v="no root cause"/>
    <x v="1"/>
    <s v=""/>
  </r>
  <r>
    <s v="Bonjongo"/>
    <s v="SUO_131"/>
    <s v="SUD-OUEST"/>
    <s v="IHS"/>
    <s v="Grid-Gen"/>
    <s v="SUD-OUEST"/>
    <s v="Bonjongo"/>
    <s v="NOKIA"/>
    <n v="0"/>
    <n v="0.6585352989279262"/>
    <n v="0"/>
    <n v="0"/>
    <n v="0.3423579595648037"/>
    <n v="0.06838859807699912"/>
    <n v="0.162271416901689"/>
    <n v="0.1732680719465299"/>
    <n v="0.03528345617088997"/>
    <n v="0"/>
    <n v="0"/>
    <n v="0"/>
    <n v="3.200042865018735"/>
    <n v="2.792955429425881"/>
    <n v="4.298129028944191"/>
    <n v="0.01086156269529417"/>
    <n v="0.3364230823010391"/>
    <n v="0"/>
    <n v="0"/>
    <n v="0"/>
    <n v="0.01919054426951797"/>
    <n v="0"/>
    <n v="0"/>
    <n v="0"/>
    <m/>
    <n v="0"/>
    <m/>
    <n v="0"/>
    <m/>
    <n v="0"/>
    <m/>
    <m/>
    <n v="0.04638903870354676"/>
    <n v="0.3080118025414275"/>
    <n v="0"/>
    <n v="0.05227461454828739"/>
    <m/>
    <n v="0.05626967209138403"/>
    <n v="0"/>
    <n v="0"/>
    <n v="0"/>
    <n v="0"/>
    <x v="1"/>
    <m/>
    <x v="2"/>
    <x v="1"/>
    <s v="no root cause"/>
    <x v="1"/>
    <s v=""/>
  </r>
  <r>
    <s v="Nganha-IHS"/>
    <s v="ADM_137"/>
    <s v="ADAMAOUA"/>
    <s v="IHS"/>
    <s v="Hybrid-Gen"/>
    <s v="ADAMAOUA"/>
    <s v="Nganha"/>
    <s v="NOKIA"/>
    <n v="0.003389253292335157"/>
    <n v="0.07563283001366904"/>
    <n v="0"/>
    <n v="0"/>
    <n v="0.00178381752228168"/>
    <n v="0"/>
    <n v="0.009988221879841072"/>
    <n v="0"/>
    <n v="0.003567428560303393"/>
    <n v="0"/>
    <n v="0.05531444665383336"/>
    <n v="0"/>
    <n v="0"/>
    <n v="0"/>
    <n v="0.08833075089327394"/>
    <n v="0"/>
    <n v="0"/>
    <n v="0"/>
    <n v="0"/>
    <n v="0.01212910750252478"/>
    <n v="0"/>
    <n v="0.01064896633197883"/>
    <n v="0.3460343778244444"/>
    <n v="0"/>
    <m/>
    <n v="0"/>
    <m/>
    <n v="0.009222113613005877"/>
    <m/>
    <n v="0.1164350092023654"/>
    <m/>
    <m/>
    <n v="0.09755787839615561"/>
    <n v="0"/>
    <n v="0.3297286783768766"/>
    <n v="0"/>
    <m/>
    <n v="0.05616610930996101"/>
    <n v="0"/>
    <n v="0"/>
    <n v="0"/>
    <n v="0"/>
    <x v="0"/>
    <m/>
    <x v="2"/>
    <x v="1"/>
    <s v="no root cause"/>
    <x v="1"/>
    <s v=""/>
  </r>
  <r>
    <s v="SS-Hotel-Lagon-Outdoor"/>
    <s v="SUD_091"/>
    <s v="CENTRE"/>
    <s v="CAMUSAT"/>
    <s v="Good Grid no GE - 8h"/>
    <s v="SUD"/>
    <s v="Kribi"/>
    <s v="NOKIA"/>
    <n v="0"/>
    <n v="0"/>
    <n v="0"/>
    <n v="0"/>
    <n v="0"/>
    <n v="0"/>
    <n v="0"/>
    <n v="0"/>
    <n v="0"/>
    <n v="0"/>
    <n v="0"/>
    <n v="0"/>
    <n v="0"/>
    <n v="0.05199226210667357"/>
    <n v="0.02559333738546314"/>
    <n v="0.02149251315215842"/>
    <n v="0.05814235531471074"/>
    <n v="0"/>
    <n v="0"/>
    <n v="0"/>
    <n v="0"/>
    <n v="0"/>
    <n v="0"/>
    <n v="0.01364462453228304"/>
    <m/>
    <n v="3.081901533246013"/>
    <m/>
    <n v="0"/>
    <m/>
    <n v="3.081901533246013"/>
    <m/>
    <m/>
    <n v="0"/>
    <n v="0.0334427071869685"/>
    <n v="0"/>
    <n v="0.02461383248960879"/>
    <m/>
    <n v="0.047619659107447"/>
    <n v="0"/>
    <n v="0"/>
    <n v="0"/>
    <n v="0"/>
    <x v="0"/>
    <m/>
    <x v="2"/>
    <x v="1"/>
    <s v="no root cause"/>
    <x v="1"/>
    <s v=""/>
  </r>
  <r>
    <s v="Bfsam-Bamengoum"/>
    <s v="OST_046"/>
    <s v="Bafoussam"/>
    <s v="IHS"/>
    <s v="Grid-Gen"/>
    <s v="OUEST"/>
    <s v="Bafoussam"/>
    <s v="Huawei"/>
    <n v="11.25245410677647"/>
    <n v="6.695555926525183"/>
    <n v="1.555771716704762"/>
    <n v="0.0710727870948227"/>
    <n v="0.2181943481350215"/>
    <n v="0.670955646300434"/>
    <n v="3.869980138856785"/>
    <n v="4.71352583803466"/>
    <n v="0.8174708146778414"/>
    <n v="0.0248442640961325"/>
    <n v="0"/>
    <n v="5.76468968390534"/>
    <n v="0.5655503334446242"/>
    <n v="0.01016599464091567"/>
    <n v="0"/>
    <n v="0.02056384529995748"/>
    <n v="0"/>
    <n v="0"/>
    <n v="0"/>
    <n v="0"/>
    <n v="1.132224276823244"/>
    <n v="0.9153675595620276"/>
    <n v="0"/>
    <n v="0"/>
    <m/>
    <n v="0"/>
    <m/>
    <n v="0"/>
    <m/>
    <n v="0.1038893311988312"/>
    <m/>
    <m/>
    <n v="0"/>
    <n v="0.08382486809176076"/>
    <n v="0.03124705721207763"/>
    <n v="0.3806362414498635"/>
    <m/>
    <n v="0.03049798392274701"/>
    <n v="0"/>
    <n v="0"/>
    <n v="0"/>
    <n v="0"/>
    <x v="0"/>
    <m/>
    <x v="2"/>
    <x v="1"/>
    <s v="no root cause"/>
    <x v="1"/>
    <s v=""/>
  </r>
  <r>
    <s v="Madjap"/>
    <s v="LIT_519"/>
    <s v="LITTORAL"/>
    <s v="IHS"/>
    <s v="Hybrid-Gen"/>
    <s v="LITTORAL"/>
    <s v="Mandjap"/>
    <s v="NOKIA"/>
    <n v="0"/>
    <n v="0"/>
    <n v="0"/>
    <n v="1.27056328012026"/>
    <n v="0"/>
    <n v="0.9958905268095446"/>
    <n v="0"/>
    <n v="0"/>
    <n v="0.01889118002773462"/>
    <n v="0.9986427645513152"/>
    <n v="0.9640117898141408"/>
    <n v="0"/>
    <n v="0"/>
    <n v="0"/>
    <n v="0"/>
    <n v="0"/>
    <n v="0"/>
    <n v="0"/>
    <n v="0"/>
    <n v="0.2595538947530627"/>
    <n v="0"/>
    <n v="0"/>
    <n v="0"/>
    <n v="0"/>
    <m/>
    <n v="0"/>
    <m/>
    <n v="0"/>
    <m/>
    <n v="0.7809851534995661"/>
    <m/>
    <m/>
    <n v="0"/>
    <n v="0"/>
    <n v="1.94179415180648"/>
    <n v="0"/>
    <m/>
    <n v="0.02812591850653351"/>
    <n v="0"/>
    <n v="0"/>
    <n v="0"/>
    <n v="0"/>
    <x v="0"/>
    <m/>
    <x v="2"/>
    <x v="1"/>
    <s v="no root cause"/>
    <x v="1"/>
    <s v=""/>
  </r>
  <r>
    <s v="Grand-Hangar"/>
    <s v="LIT_291"/>
    <s v="Douala"/>
    <s v="IHS"/>
    <s v="Grid-Gen"/>
    <s v="LITTORAL"/>
    <s v="Douala"/>
    <s v="ZTE"/>
    <n v="20.52344884756859"/>
    <n v="33.66008980318633"/>
    <n v="0"/>
    <n v="0"/>
    <n v="0.03638355976748787"/>
    <n v="0"/>
    <n v="12.49204555507044"/>
    <n v="2.686248155852902"/>
    <n v="0"/>
    <n v="0"/>
    <n v="0"/>
    <n v="0"/>
    <n v="0"/>
    <n v="0"/>
    <n v="0"/>
    <n v="0"/>
    <n v="0"/>
    <n v="0"/>
    <n v="2.927717281192127"/>
    <n v="0"/>
    <n v="0"/>
    <n v="1.0536429217568"/>
    <n v="0"/>
    <n v="0"/>
    <m/>
    <n v="0"/>
    <m/>
    <n v="0"/>
    <m/>
    <n v="0"/>
    <m/>
    <m/>
    <n v="0"/>
    <n v="6.899303861223115"/>
    <n v="0.02603921434339805"/>
    <n v="0"/>
    <m/>
    <n v="0.02652076145796764"/>
    <n v="0"/>
    <n v="0"/>
    <n v="0"/>
    <n v="0"/>
    <x v="0"/>
    <m/>
    <x v="2"/>
    <x v="1"/>
    <s v="no root cause"/>
    <x v="1"/>
    <s v=""/>
  </r>
  <r>
    <s v="Makondo"/>
    <s v="LIT_114"/>
    <s v="LITTORAL"/>
    <s v="ESCO"/>
    <s v="Hybrid Solar - S1"/>
    <s v="LITTORAL"/>
    <s v="Makondo"/>
    <s v="NOKIA"/>
    <n v="0"/>
    <n v="0"/>
    <n v="0"/>
    <n v="0"/>
    <n v="0"/>
    <n v="0.9939096303578676"/>
    <n v="0"/>
    <n v="0"/>
    <n v="0.01589829468600919"/>
    <n v="0.9967148691968764"/>
    <n v="0.9676830095111503"/>
    <n v="0"/>
    <n v="0"/>
    <n v="0"/>
    <n v="0"/>
    <n v="0"/>
    <n v="0"/>
    <n v="0"/>
    <n v="0"/>
    <n v="0.2572353345718013"/>
    <n v="0"/>
    <n v="0"/>
    <n v="0"/>
    <n v="0"/>
    <m/>
    <n v="0"/>
    <m/>
    <n v="0"/>
    <m/>
    <n v="0"/>
    <m/>
    <m/>
    <n v="0"/>
    <n v="0"/>
    <n v="0"/>
    <n v="0"/>
    <m/>
    <n v="0.02507612011425867"/>
    <n v="0"/>
    <n v="0"/>
    <n v="0"/>
    <n v="0"/>
    <x v="0"/>
    <m/>
    <x v="2"/>
    <x v="1"/>
    <s v="no root cause"/>
    <x v="1"/>
    <s v=""/>
  </r>
  <r>
    <s v="Sodibanga"/>
    <s v="LIT_515"/>
    <s v="LITTORAL"/>
    <s v="IHS"/>
    <s v="Hybrid-Gen"/>
    <s v="LITTORAL"/>
    <s v="Sodibanga"/>
    <s v="NOKIA"/>
    <n v="0"/>
    <n v="0"/>
    <n v="0"/>
    <n v="0"/>
    <n v="0"/>
    <n v="0.9951580858400851"/>
    <n v="0"/>
    <n v="0.02952711263414044"/>
    <n v="0.03178654886906819"/>
    <n v="1.212863683933338"/>
    <n v="1.163842170932728"/>
    <n v="0"/>
    <n v="0"/>
    <n v="0"/>
    <n v="0"/>
    <n v="4.404604446499045"/>
    <n v="9.24447397933414"/>
    <n v="0"/>
    <n v="0"/>
    <n v="0.2856644494097301"/>
    <n v="0.8245156706132128"/>
    <n v="0"/>
    <n v="0"/>
    <n v="0"/>
    <m/>
    <n v="0"/>
    <m/>
    <n v="0"/>
    <m/>
    <n v="0"/>
    <m/>
    <m/>
    <n v="0"/>
    <n v="0"/>
    <n v="0"/>
    <n v="4.759861371503255"/>
    <m/>
    <n v="0.0239703452585801"/>
    <n v="0"/>
    <n v="0"/>
    <n v="0"/>
    <n v="0"/>
    <x v="0"/>
    <m/>
    <x v="2"/>
    <x v="1"/>
    <s v="no root cause"/>
    <x v="1"/>
    <s v=""/>
  </r>
  <r>
    <s v="Kotto-Bloc"/>
    <s v="LIT_246"/>
    <s v="Douala"/>
    <s v="IHS"/>
    <s v="Grid-Gen"/>
    <s v="LITTORAL"/>
    <s v="Douala"/>
    <s v="ZTE"/>
    <n v="0"/>
    <n v="0"/>
    <n v="0"/>
    <n v="0"/>
    <n v="0"/>
    <n v="0"/>
    <n v="0"/>
    <n v="0"/>
    <n v="0"/>
    <n v="0"/>
    <n v="0"/>
    <n v="0"/>
    <n v="0"/>
    <n v="0"/>
    <n v="0"/>
    <n v="0"/>
    <n v="0"/>
    <n v="0"/>
    <n v="0"/>
    <n v="0"/>
    <n v="0"/>
    <n v="0"/>
    <n v="0"/>
    <n v="0"/>
    <m/>
    <n v="0"/>
    <m/>
    <n v="0"/>
    <m/>
    <n v="1.10602454677499"/>
    <m/>
    <m/>
    <n v="0"/>
    <n v="0"/>
    <n v="0"/>
    <n v="0"/>
    <m/>
    <n v="0.01599806525070423"/>
    <n v="0"/>
    <n v="0"/>
    <n v="0"/>
    <n v="0"/>
    <x v="0"/>
    <m/>
    <x v="2"/>
    <x v="1"/>
    <s v="no root cause"/>
    <x v="1"/>
    <s v=""/>
  </r>
  <r>
    <s v="Yoyo-New"/>
    <s v="LIT_536"/>
    <s v="LITTORAL"/>
    <s v="IHS"/>
    <s v="Hybrid-Gen"/>
    <s v="LITTORAL"/>
    <s v="Yoyo"/>
    <s v="NOKIA"/>
    <n v="0"/>
    <n v="0"/>
    <n v="0"/>
    <n v="0"/>
    <n v="0"/>
    <n v="0.2371899346022383"/>
    <n v="0"/>
    <n v="0.02893495845159465"/>
    <n v="0"/>
    <n v="0"/>
    <n v="0"/>
    <n v="0"/>
    <n v="0.0321011947602347"/>
    <n v="0.0233468142405376"/>
    <n v="0.002496910964435361"/>
    <n v="0.0570382887207727"/>
    <n v="0"/>
    <n v="0"/>
    <n v="0"/>
    <n v="0"/>
    <n v="0"/>
    <n v="0"/>
    <n v="0"/>
    <n v="0"/>
    <m/>
    <n v="0"/>
    <m/>
    <n v="0"/>
    <m/>
    <n v="0"/>
    <m/>
    <m/>
    <n v="0"/>
    <n v="4.414791204519522"/>
    <n v="6.163410694769044"/>
    <n v="6.163482035082312"/>
    <m/>
    <n v="0.01540950766623024"/>
    <n v="0"/>
    <n v="0"/>
    <n v="0"/>
    <n v="0"/>
    <x v="0"/>
    <m/>
    <x v="2"/>
    <x v="1"/>
    <s v="no root cause"/>
    <x v="1"/>
    <s v=""/>
  </r>
  <r>
    <s v="Stamatiades"/>
    <s v="LIT_014"/>
    <s v="Douala"/>
    <s v="IHS"/>
    <s v="GridOnly"/>
    <s v="LITTORAL"/>
    <s v="Douala"/>
    <s v="ZTE"/>
    <n v="0"/>
    <n v="0"/>
    <n v="0"/>
    <n v="0"/>
    <n v="0"/>
    <n v="0"/>
    <n v="0"/>
    <n v="0"/>
    <n v="0"/>
    <n v="0"/>
    <n v="0"/>
    <n v="0"/>
    <n v="0"/>
    <n v="0"/>
    <n v="0"/>
    <n v="0"/>
    <n v="0"/>
    <n v="0"/>
    <n v="0"/>
    <n v="0"/>
    <n v="0"/>
    <n v="0"/>
    <n v="0"/>
    <n v="0"/>
    <m/>
    <n v="0"/>
    <m/>
    <n v="0"/>
    <m/>
    <n v="0"/>
    <m/>
    <m/>
    <n v="0"/>
    <n v="0"/>
    <n v="0"/>
    <n v="0"/>
    <m/>
    <n v="0.01066537683380282"/>
    <n v="0"/>
    <n v="0"/>
    <n v="0"/>
    <n v="0"/>
    <x v="0"/>
    <m/>
    <x v="2"/>
    <x v="1"/>
    <s v="no root cause"/>
    <x v="1"/>
    <s v=""/>
  </r>
  <r>
    <s v="Buea-Orange"/>
    <s v="SUO_007"/>
    <s v="SUD-OUEST"/>
    <s v="IHS"/>
    <s v="Grid-Gen"/>
    <s v="SUD-OUEST"/>
    <s v="Buea"/>
    <s v="Huawei"/>
    <n v="0"/>
    <n v="8.917539158697954e-05"/>
    <n v="0"/>
    <n v="0"/>
    <n v="0"/>
    <n v="0"/>
    <n v="0.006955680543784405"/>
    <n v="0"/>
    <n v="0"/>
    <n v="0"/>
    <n v="0"/>
    <n v="0"/>
    <n v="0"/>
    <n v="0"/>
    <n v="0"/>
    <n v="0"/>
    <n v="10.13817191874053"/>
    <n v="0"/>
    <n v="0"/>
    <n v="0"/>
    <n v="0"/>
    <n v="0"/>
    <n v="0"/>
    <n v="0"/>
    <m/>
    <n v="0"/>
    <m/>
    <n v="0"/>
    <m/>
    <n v="0"/>
    <m/>
    <m/>
    <n v="0"/>
    <n v="0"/>
    <n v="0"/>
    <n v="0.915652920815106"/>
    <m/>
    <n v="0.008418156965810868"/>
    <n v="0"/>
    <n v="0"/>
    <n v="0"/>
    <n v="0"/>
    <x v="0"/>
    <m/>
    <x v="2"/>
    <x v="1"/>
    <s v="no root cause"/>
    <x v="1"/>
    <s v=""/>
  </r>
  <r>
    <s v="Limbe-College-Excellence-IHS"/>
    <s v="SUO_151"/>
    <s v="SUD-OUEST"/>
    <s v="IHS"/>
    <s v="Grid-Gen"/>
    <s v="SUD-OUEST"/>
    <s v="Limbe"/>
    <s v="Huawei"/>
    <n v="0"/>
    <n v="0"/>
    <n v="0"/>
    <n v="0"/>
    <n v="0"/>
    <n v="0"/>
    <n v="0"/>
    <n v="0"/>
    <n v="0"/>
    <n v="0"/>
    <n v="0.00766908367648024"/>
    <n v="0.02591436879517625"/>
    <n v="0"/>
    <n v="0"/>
    <n v="0"/>
    <n v="0"/>
    <n v="0"/>
    <n v="0"/>
    <n v="0"/>
    <n v="0"/>
    <n v="0"/>
    <n v="0"/>
    <n v="0"/>
    <n v="0.4896620752041047"/>
    <m/>
    <n v="0.2036765943846613"/>
    <m/>
    <n v="0"/>
    <m/>
    <n v="0"/>
    <m/>
    <m/>
    <n v="0"/>
    <n v="0"/>
    <n v="0"/>
    <n v="0.00775825906806722"/>
    <m/>
    <n v="0.007847434459654199"/>
    <n v="0"/>
    <n v="0"/>
    <n v="0"/>
    <n v="0"/>
    <x v="0"/>
    <m/>
    <x v="2"/>
    <x v="1"/>
    <s v="no root cause"/>
    <x v="1"/>
    <s v=""/>
  </r>
  <r>
    <s v="Bamenda-Foncha-Street-IHS"/>
    <s v="NRO_121"/>
    <s v="NORD-OUEST"/>
    <s v="IHS"/>
    <s v="Grid-Gen"/>
    <s v="NORD-OUEST"/>
    <s v="Bamenda"/>
    <s v="Huawei"/>
    <n v="4.56709984504884"/>
    <n v="2.321324618400664"/>
    <n v="0.1645285974779772"/>
    <n v="0"/>
    <n v="0"/>
    <n v="0.007383722423401905"/>
    <n v="0"/>
    <n v="0"/>
    <n v="0"/>
    <n v="0"/>
    <n v="4.959293217248376"/>
    <n v="0"/>
    <n v="0"/>
    <n v="0"/>
    <n v="0"/>
    <n v="0"/>
    <n v="0"/>
    <n v="0.2626215282236547"/>
    <n v="0"/>
    <n v="0"/>
    <n v="0"/>
    <n v="0"/>
    <n v="0"/>
    <n v="0"/>
    <m/>
    <n v="0"/>
    <m/>
    <n v="0"/>
    <m/>
    <n v="0.1543982729936964"/>
    <m/>
    <m/>
    <n v="2.356798589173965"/>
    <n v="0.1735709821848969"/>
    <n v="0"/>
    <n v="0"/>
    <m/>
    <n v="0.00775825906806722"/>
    <n v="0"/>
    <n v="0"/>
    <n v="0"/>
    <n v="0"/>
    <x v="0"/>
    <m/>
    <x v="2"/>
    <x v="1"/>
    <s v="no root cause"/>
    <x v="1"/>
    <s v=""/>
  </r>
  <r>
    <s v="Buea-Signal-Hill"/>
    <s v="SUO_023"/>
    <s v="SUD-OUEST"/>
    <s v="OCM/Strategique"/>
    <m/>
    <s v="SUD-OUEST"/>
    <s v="Buea"/>
    <s v="Huawei"/>
    <n v="0"/>
    <n v="0"/>
    <n v="0"/>
    <n v="0"/>
    <n v="0"/>
    <n v="0"/>
    <n v="0"/>
    <n v="0"/>
    <n v="0"/>
    <n v="0"/>
    <n v="0.007758259068067219"/>
    <n v="0"/>
    <n v="0.007562073206575864"/>
    <n v="0.007651248598162845"/>
    <n v="0"/>
    <n v="0"/>
    <n v="2.885216289561771"/>
    <n v="0"/>
    <n v="0"/>
    <n v="0"/>
    <n v="0"/>
    <n v="0"/>
    <n v="0"/>
    <n v="0"/>
    <m/>
    <n v="0"/>
    <m/>
    <n v="0"/>
    <m/>
    <n v="8.917539158697954e-05"/>
    <m/>
    <m/>
    <n v="0"/>
    <n v="0"/>
    <n v="0"/>
    <n v="0.008114960634415139"/>
    <m/>
    <n v="0.007669083676480241"/>
    <n v="0"/>
    <n v="0"/>
    <n v="0"/>
    <n v="0"/>
    <x v="0"/>
    <m/>
    <x v="2"/>
    <x v="1"/>
    <s v="no root cause"/>
    <x v="1"/>
    <s v=""/>
  </r>
  <r>
    <s v="Nyanon"/>
    <s v="LIT_349"/>
    <s v="LITTORAL"/>
    <s v="IHS"/>
    <s v="Grid-Gen"/>
    <s v="LITTORAL"/>
    <s v="Nyanon"/>
    <s v="NOKIA"/>
    <n v="0"/>
    <n v="0"/>
    <n v="0"/>
    <n v="0"/>
    <n v="0"/>
    <n v="0"/>
    <n v="0"/>
    <n v="0.03338726661016523"/>
    <n v="0"/>
    <n v="0"/>
    <n v="0"/>
    <n v="0"/>
    <n v="0"/>
    <n v="0"/>
    <n v="0"/>
    <n v="0"/>
    <n v="0"/>
    <n v="0"/>
    <n v="0"/>
    <n v="0.007883104616289228"/>
    <n v="0"/>
    <n v="0.01073671714707234"/>
    <n v="0"/>
    <n v="0"/>
    <m/>
    <n v="0"/>
    <m/>
    <n v="0"/>
    <m/>
    <n v="0"/>
    <m/>
    <m/>
    <n v="0"/>
    <n v="0"/>
    <n v="0.8748670352397073"/>
    <n v="0"/>
    <m/>
    <n v="0.003674026133383557"/>
    <n v="0"/>
    <n v="0"/>
    <n v="0"/>
    <n v="0"/>
    <x v="0"/>
    <m/>
    <x v="2"/>
    <x v="1"/>
    <s v="no root cause"/>
    <x v="1"/>
    <s v=""/>
  </r>
  <r>
    <s v="Nkolzie"/>
    <s v="CTR_105"/>
    <s v="Yaounde"/>
    <m/>
    <m/>
    <s v="CENTRE"/>
    <s v="Yaounde"/>
    <s v="ZTE"/>
    <n v="0"/>
    <n v="0"/>
    <n v="0"/>
    <n v="0"/>
    <n v="0"/>
    <n v="0"/>
    <n v="0"/>
    <n v="0"/>
    <n v="0"/>
    <n v="0"/>
    <n v="0"/>
    <n v="0"/>
    <n v="0"/>
    <n v="0"/>
    <n v="0"/>
    <n v="0"/>
    <n v="0"/>
    <n v="0"/>
    <n v="0"/>
    <n v="0.03144324307356926"/>
    <n v="0"/>
    <n v="0"/>
    <n v="0"/>
    <n v="0"/>
    <m/>
    <n v="0"/>
    <m/>
    <n v="0"/>
    <m/>
    <n v="0"/>
    <m/>
    <m/>
    <n v="3.510371454743133"/>
    <n v="9.001185676006541"/>
    <n v="0"/>
    <n v="0"/>
    <m/>
    <n v="0.002193714633039698"/>
    <n v="0"/>
    <n v="0"/>
    <n v="0"/>
    <n v="0"/>
    <x v="0"/>
    <m/>
    <x v="2"/>
    <x v="1"/>
    <s v="no root cause"/>
    <x v="1"/>
    <s v=""/>
  </r>
  <r>
    <s v="Etoa-Dispensaire"/>
    <s v="CTR_715"/>
    <s v="Yaounde"/>
    <s v="CAMUSAT"/>
    <s v="Good Grid + GE"/>
    <s v="CENTRE"/>
    <s v="Yaounde"/>
    <s v="ZTE"/>
    <n v="13.44488461417732"/>
    <n v="0"/>
    <n v="0"/>
    <n v="0"/>
    <n v="0"/>
    <n v="0"/>
    <n v="0"/>
    <n v="0"/>
    <n v="0"/>
    <n v="0"/>
    <n v="0.00165866228351792"/>
    <n v="5.656395088362111"/>
    <n v="15.12154249171739"/>
    <n v="14.51102992583461"/>
    <n v="0"/>
    <n v="0"/>
    <n v="0"/>
    <n v="0"/>
    <n v="0"/>
    <n v="0"/>
    <n v="0"/>
    <n v="0"/>
    <n v="0"/>
    <n v="0"/>
    <m/>
    <n v="0"/>
    <m/>
    <n v="0"/>
    <m/>
    <n v="0"/>
    <m/>
    <m/>
    <n v="0"/>
    <n v="0"/>
    <n v="0"/>
    <n v="0"/>
    <m/>
    <n v="0.002158044476405014"/>
    <n v="0"/>
    <n v="0"/>
    <n v="0"/>
    <n v="0"/>
    <x v="0"/>
    <m/>
    <x v="2"/>
    <x v="1"/>
    <s v="no root cause"/>
    <x v="1"/>
    <s v=""/>
  </r>
  <r>
    <s v="Mendong"/>
    <s v="CTR_025"/>
    <s v="Yaounde"/>
    <s v="IHS"/>
    <s v="Grid-Gen"/>
    <s v="CENTRE"/>
    <s v="Yaounde"/>
    <s v="ZTE"/>
    <n v="0"/>
    <n v="0"/>
    <n v="0"/>
    <n v="0"/>
    <n v="0"/>
    <n v="0"/>
    <n v="0.009274240725045896"/>
    <n v="0"/>
    <n v="3.48595523252662"/>
    <n v="0"/>
    <n v="0"/>
    <n v="0"/>
    <n v="0"/>
    <n v="0"/>
    <n v="0"/>
    <n v="0"/>
    <n v="0"/>
    <n v="0"/>
    <n v="0"/>
    <n v="0"/>
    <n v="0"/>
    <n v="0"/>
    <n v="0"/>
    <n v="0"/>
    <m/>
    <n v="0"/>
    <m/>
    <n v="0"/>
    <m/>
    <n v="0"/>
    <m/>
    <m/>
    <n v="0"/>
    <n v="0"/>
    <n v="0"/>
    <n v="0.009416921351584803"/>
    <m/>
    <n v="0.002158044476404843"/>
    <n v="0"/>
    <n v="0"/>
    <n v="0"/>
    <n v="0"/>
    <x v="0"/>
    <m/>
    <x v="2"/>
    <x v="1"/>
    <s v="no root cause"/>
    <x v="1"/>
    <s v=""/>
  </r>
  <r>
    <s v="Ekounou-PJ"/>
    <s v="CTR_269"/>
    <s v="Yaounde"/>
    <s v="IHS"/>
    <s v="Grid-Gen"/>
    <s v="CENTRE"/>
    <s v="Yaounde"/>
    <s v="ZTE"/>
    <n v="12.8288966792511"/>
    <n v="0"/>
    <n v="0"/>
    <n v="0.03882696549697104"/>
    <n v="0"/>
    <n v="0"/>
    <n v="0.0798654807052991"/>
    <n v="0"/>
    <n v="0"/>
    <n v="0.5038766326230693"/>
    <n v="0"/>
    <n v="0"/>
    <n v="0"/>
    <n v="0"/>
    <n v="0"/>
    <n v="0"/>
    <n v="0"/>
    <n v="0"/>
    <n v="0"/>
    <n v="0"/>
    <n v="0"/>
    <n v="0"/>
    <n v="0.2201918769065702"/>
    <n v="0"/>
    <m/>
    <n v="0"/>
    <m/>
    <n v="0"/>
    <m/>
    <n v="0"/>
    <m/>
    <m/>
    <n v="0"/>
    <n v="0"/>
    <n v="0"/>
    <n v="0.03877346026201866"/>
    <m/>
    <n v="0.002158044476404843"/>
    <n v="0"/>
    <n v="0"/>
    <n v="0"/>
    <n v="0"/>
    <x v="0"/>
    <m/>
    <x v="2"/>
    <x v="1"/>
    <s v="no root cause"/>
    <x v="1"/>
    <s v=""/>
  </r>
  <r>
    <s v="Kumba"/>
    <s v="SUO_006"/>
    <s v="SUD-OUEST"/>
    <s v="IHS"/>
    <s v="Grid-Gen"/>
    <s v="SUD-OUEST"/>
    <s v="Kumba"/>
    <s v="Huawei"/>
    <n v="0"/>
    <n v="0.000802578524282816"/>
    <n v="0"/>
    <n v="0.0002675261747609386"/>
    <n v="0"/>
    <n v="0.00631361772435815"/>
    <n v="0.000802578524282816"/>
    <n v="0"/>
    <n v="0.001605157048565632"/>
    <n v="0.003477840271892202"/>
    <n v="0.0002675261747609386"/>
    <n v="27.67536875807928"/>
    <n v="0"/>
    <n v="0.01203867786424224"/>
    <n v="0.0005350523495218772"/>
    <n v="0"/>
    <n v="0.001854848145009174"/>
    <n v="0.005974751236327628"/>
    <n v="0.001605157048565632"/>
    <n v="0.001337630873804693"/>
    <n v="0"/>
    <n v="0.001694332440152611"/>
    <n v="0.005172172712044813"/>
    <n v="0.0008917539158697954"/>
    <m/>
    <n v="0.05505688676580117"/>
    <m/>
    <n v="0.002229384789674489"/>
    <m/>
    <n v="0.0007847434459654199"/>
    <m/>
    <m/>
    <n v="0.002140209398087509"/>
    <n v="0.00631361772435815"/>
    <n v="0.006866505152197424"/>
    <n v="0.0217944657038578"/>
    <m/>
    <n v="0.002140209398087509"/>
    <n v="0"/>
    <n v="0"/>
    <n v="0"/>
    <n v="0"/>
    <x v="0"/>
    <m/>
    <x v="2"/>
    <x v="1"/>
    <s v="no root cause"/>
    <x v="1"/>
    <s v=""/>
  </r>
  <r>
    <s v="Kumba-Kake"/>
    <s v="SUO_052"/>
    <s v="SUD-OUEST"/>
    <s v="IHS"/>
    <s v="Hybrid-Gen"/>
    <s v="SUD-OUEST"/>
    <s v="Kumba"/>
    <s v="Huawei"/>
    <n v="0"/>
    <n v="0"/>
    <n v="0"/>
    <n v="0"/>
    <n v="0.0005350523495218772"/>
    <n v="0.005671554904931899"/>
    <n v="0.001961858614913551"/>
    <n v="0"/>
    <n v="0.001872683223326571"/>
    <n v="0.003281654410400847"/>
    <n v="0.000802578524282816"/>
    <n v="0"/>
    <n v="0"/>
    <n v="0.01344764905131651"/>
    <n v="0.001605157048565631"/>
    <n v="0"/>
    <n v="0.002407735572848447"/>
    <n v="0.003905882151509703"/>
    <n v="0.001070104699043754"/>
    <n v="0.001070104699043754"/>
    <n v="0"/>
    <n v="0.002318560181261468"/>
    <n v="0.008988879471967538"/>
    <n v="0.0008025785242828158"/>
    <m/>
    <n v="0.05550276372373607"/>
    <m/>
    <n v="0.002942787922370325"/>
    <m/>
    <n v="28.47172284002934"/>
    <m/>
    <m/>
    <n v="0.003745366446653141"/>
    <n v="0.009095889941871913"/>
    <n v="0.008721353297206599"/>
    <n v="0.01284125638852505"/>
    <m/>
    <n v="0.002140209398087508"/>
    <n v="0"/>
    <n v="0"/>
    <n v="0"/>
    <n v="0"/>
    <x v="0"/>
    <m/>
    <x v="2"/>
    <x v="1"/>
    <s v="no root cause"/>
    <x v="1"/>
    <s v=""/>
  </r>
  <r>
    <s v="Mendong-II"/>
    <s v="CTR_476"/>
    <s v="Yaounde"/>
    <s v="IHS"/>
    <s v="Grid-Gen"/>
    <s v="CENTRE"/>
    <s v="Yaounde"/>
    <s v="ZTE"/>
    <n v="0"/>
    <n v="0"/>
    <n v="0"/>
    <n v="0"/>
    <n v="0"/>
    <n v="0"/>
    <n v="0"/>
    <n v="0"/>
    <n v="0"/>
    <n v="0"/>
    <n v="0"/>
    <n v="0"/>
    <n v="0"/>
    <n v="0"/>
    <n v="0"/>
    <n v="0"/>
    <n v="0"/>
    <n v="0"/>
    <n v="0"/>
    <n v="0"/>
    <n v="0"/>
    <n v="0"/>
    <n v="0.01171764645452906"/>
    <n v="0"/>
    <m/>
    <n v="0"/>
    <m/>
    <n v="0"/>
    <m/>
    <n v="0"/>
    <m/>
    <m/>
    <n v="0.2872517713799787"/>
    <n v="3.360235765467294"/>
    <n v="0"/>
    <n v="0"/>
    <m/>
    <n v="0.001997528771548255"/>
    <n v="0"/>
    <n v="0"/>
    <n v="0"/>
    <n v="0"/>
    <x v="0"/>
    <m/>
    <x v="2"/>
    <x v="1"/>
    <s v="no root cause"/>
    <x v="1"/>
    <s v=""/>
  </r>
  <r>
    <s v="Mvog-Ada-New"/>
    <s v="CTR_347"/>
    <s v="Yaounde"/>
    <m/>
    <m/>
    <s v="CENTRE"/>
    <s v="Yaounde"/>
    <s v="ZTE"/>
    <n v="0"/>
    <n v="0"/>
    <n v="0"/>
    <n v="0"/>
    <n v="0"/>
    <n v="0"/>
    <n v="0"/>
    <n v="0"/>
    <n v="0"/>
    <n v="0.3160910930192077"/>
    <n v="0"/>
    <n v="0"/>
    <n v="0"/>
    <n v="0"/>
    <n v="0"/>
    <n v="0"/>
    <n v="0"/>
    <n v="0"/>
    <n v="0"/>
    <n v="0"/>
    <n v="0"/>
    <n v="0"/>
    <n v="0.1305171031267025"/>
    <n v="0"/>
    <m/>
    <n v="0"/>
    <m/>
    <n v="0"/>
    <m/>
    <n v="0"/>
    <m/>
    <m/>
    <n v="0"/>
    <n v="0"/>
    <n v="0"/>
    <n v="0"/>
    <m/>
    <n v="0.001944023536596058"/>
    <n v="0"/>
    <n v="0"/>
    <n v="0"/>
    <n v="0"/>
    <x v="0"/>
    <m/>
    <x v="2"/>
    <x v="1"/>
    <s v="no root cause"/>
    <x v="1"/>
    <s v=""/>
  </r>
  <r>
    <s v="NR-Carrossel"/>
    <s v="CTR_565"/>
    <s v="Yaounde"/>
    <s v="CAMUSAT"/>
    <s v="Good Grid no GE - 8h"/>
    <s v="CENTRE"/>
    <s v="Yaounde"/>
    <s v="ZTE"/>
    <n v="22.13276146938216"/>
    <n v="0.4128642279693971"/>
    <n v="0"/>
    <n v="0"/>
    <n v="0"/>
    <n v="0"/>
    <n v="0"/>
    <n v="0"/>
    <n v="0"/>
    <n v="0"/>
    <n v="2.289043126646177"/>
    <n v="1.315074452430593"/>
    <n v="0"/>
    <n v="0"/>
    <n v="0"/>
    <n v="1.442215773057903"/>
    <n v="0"/>
    <n v="0"/>
    <n v="0"/>
    <n v="0"/>
    <n v="0.005885575844740715"/>
    <n v="13.86855689960706"/>
    <n v="13.86855689960706"/>
    <n v="13.86855689960706"/>
    <m/>
    <n v="13.86855689960706"/>
    <m/>
    <n v="13.86855689960706"/>
    <m/>
    <n v="13.86855689960706"/>
    <m/>
    <m/>
    <n v="0.343396597923141"/>
    <n v="0"/>
    <n v="0"/>
    <n v="0"/>
    <m/>
    <n v="0.001926188458278717"/>
    <n v="0"/>
    <n v="0"/>
    <n v="0"/>
    <n v="0"/>
    <x v="0"/>
    <m/>
    <x v="2"/>
    <x v="1"/>
    <s v="no root cause"/>
    <x v="1"/>
    <s v=""/>
  </r>
  <r>
    <s v="Simbock"/>
    <s v="CTR_069"/>
    <s v="Yaounde"/>
    <s v="IHS"/>
    <s v="Grid-Gen"/>
    <s v="CENTRE"/>
    <s v="Yaounde"/>
    <s v="ZTE"/>
    <n v="0"/>
    <n v="0"/>
    <n v="0"/>
    <n v="0"/>
    <n v="0"/>
    <n v="0"/>
    <n v="0"/>
    <n v="0"/>
    <n v="0"/>
    <n v="0"/>
    <n v="0"/>
    <n v="9.245704599738039"/>
    <n v="0"/>
    <n v="0"/>
    <n v="0"/>
    <n v="0"/>
    <n v="0"/>
    <n v="0"/>
    <n v="0"/>
    <n v="4.201409399228955"/>
    <n v="0"/>
    <n v="0"/>
    <n v="0"/>
    <n v="0"/>
    <m/>
    <n v="0"/>
    <m/>
    <n v="0"/>
    <m/>
    <n v="0"/>
    <m/>
    <m/>
    <n v="0"/>
    <n v="0"/>
    <n v="0"/>
    <n v="0"/>
    <m/>
    <n v="0.001801342910056983"/>
    <n v="0"/>
    <n v="0"/>
    <n v="0"/>
    <n v="0"/>
    <x v="0"/>
    <m/>
    <x v="2"/>
    <x v="1"/>
    <s v="no root cause"/>
    <x v="1"/>
    <s v=""/>
  </r>
  <r>
    <s v="Mendong-Vallee2-MTN-IHS"/>
    <s v="CTR_521"/>
    <s v="Yaounde"/>
    <s v="IHS"/>
    <s v="Grid-Gen"/>
    <s v="CENTRE"/>
    <s v="Yaounde"/>
    <s v="ZTE"/>
    <n v="0"/>
    <n v="0"/>
    <n v="1.527503117571689"/>
    <n v="1.537401586037844"/>
    <n v="0"/>
    <n v="0"/>
    <n v="0"/>
    <n v="0"/>
    <n v="0"/>
    <n v="0"/>
    <n v="0"/>
    <n v="0"/>
    <n v="0"/>
    <n v="0"/>
    <n v="0"/>
    <n v="2.018128287004934"/>
    <n v="0"/>
    <n v="0"/>
    <n v="0"/>
    <n v="0"/>
    <n v="0"/>
    <n v="0"/>
    <n v="0"/>
    <n v="0"/>
    <m/>
    <n v="0"/>
    <m/>
    <n v="0"/>
    <m/>
    <n v="0"/>
    <m/>
    <m/>
    <n v="0"/>
    <n v="0"/>
    <n v="0"/>
    <n v="0"/>
    <m/>
    <n v="0.001712167518469762"/>
    <n v="0"/>
    <n v="0"/>
    <n v="0"/>
    <n v="0"/>
    <x v="0"/>
    <m/>
    <x v="2"/>
    <x v="1"/>
    <s v="no root cause"/>
    <x v="1"/>
    <s v=""/>
  </r>
  <r>
    <s v="CTR_920_Z_MENDONG-ELOUMDEM"/>
    <s v="CTR_920"/>
    <s v="Yaounde"/>
    <s v="ESCO"/>
    <s v="Good Grid + Solar + GE"/>
    <s v="CENTRE"/>
    <s v="Yaounde"/>
    <s v="ZTE"/>
    <n v="0"/>
    <n v="0"/>
    <n v="0"/>
    <n v="16.0874368281526"/>
    <n v="0"/>
    <n v="0"/>
    <n v="0"/>
    <n v="0.02539715152397134"/>
    <n v="0"/>
    <n v="0"/>
    <n v="0"/>
    <n v="0"/>
    <n v="0"/>
    <n v="0"/>
    <n v="0"/>
    <n v="0"/>
    <n v="13.60174412797882"/>
    <n v="0"/>
    <n v="0"/>
    <n v="0"/>
    <n v="0"/>
    <n v="0"/>
    <n v="0"/>
    <n v="0"/>
    <m/>
    <n v="0"/>
    <m/>
    <n v="0"/>
    <m/>
    <n v="0"/>
    <m/>
    <m/>
    <n v="0"/>
    <n v="0"/>
    <n v="0"/>
    <n v="0"/>
    <m/>
    <n v="0.001658662283517737"/>
    <n v="0"/>
    <n v="0"/>
    <n v="0"/>
    <n v="0"/>
    <x v="0"/>
    <m/>
    <x v="2"/>
    <x v="1"/>
    <s v="no root cause"/>
    <x v="1"/>
    <s v=""/>
  </r>
  <r>
    <s v="CTR_940_Z_GBS-la-releve-Simbock"/>
    <s v="CTR_940"/>
    <s v="Yaounde"/>
    <s v="ESCO"/>
    <e v="#N/A"/>
    <s v="CENTRE"/>
    <s v="Yaounde"/>
    <s v="ZTE"/>
    <n v="0"/>
    <n v="0"/>
    <n v="0"/>
    <n v="0"/>
    <n v="0"/>
    <n v="0"/>
    <n v="0"/>
    <n v="0"/>
    <n v="29.56667180316922"/>
    <n v="0"/>
    <n v="0"/>
    <n v="0"/>
    <n v="0"/>
    <n v="0"/>
    <n v="0"/>
    <n v="0"/>
    <n v="0"/>
    <n v="0"/>
    <n v="0"/>
    <n v="0.03754283985811831"/>
    <n v="0"/>
    <n v="0"/>
    <n v="0"/>
    <n v="0"/>
    <m/>
    <n v="0"/>
    <m/>
    <n v="0"/>
    <m/>
    <n v="0"/>
    <m/>
    <m/>
    <n v="0"/>
    <n v="0"/>
    <n v="0"/>
    <n v="0"/>
    <m/>
    <n v="0.001622992126882882"/>
    <n v="0"/>
    <n v="0"/>
    <n v="0"/>
    <n v="0"/>
    <x v="0"/>
    <m/>
    <x v="2"/>
    <x v="1"/>
    <s v="no root cause"/>
    <x v="1"/>
    <s v=""/>
  </r>
  <r>
    <s v="Kumba-Krama-IHS"/>
    <s v="SUO_125"/>
    <s v="SUD-OUEST"/>
    <s v="IHS"/>
    <s v="Grid-Gen"/>
    <s v="SUD-OUEST"/>
    <s v="Kumba"/>
    <s v="Huawei"/>
    <n v="0"/>
    <n v="0.0002675261747609386"/>
    <n v="8.917539158697954e-05"/>
    <n v="0.0002675261747609386"/>
    <n v="0.0006242277411088568"/>
    <n v="0.001694332440152611"/>
    <n v="0.001605157048565632"/>
    <n v="0"/>
    <n v="0.0005350523495218772"/>
    <n v="0.003477840271892202"/>
    <n v="0"/>
    <n v="18.49140919947607"/>
    <n v="0"/>
    <n v="0.009720117682980768"/>
    <n v="0.0008025785242828158"/>
    <n v="0.0005350523495218772"/>
    <n v="0.003031963313957304"/>
    <n v="0.00374536644665314"/>
    <n v="0.00196185861491355"/>
    <n v="0.0005350523495218772"/>
    <n v="0.3169816449390236"/>
    <n v="0.001605157048565632"/>
    <n v="0.005082997320457834"/>
    <n v="0.001337630873804693"/>
    <m/>
    <n v="0.06918226879317872"/>
    <m/>
    <n v="0.003567015663479182"/>
    <m/>
    <n v="27.33279257375875"/>
    <m/>
    <m/>
    <n v="0.003549180585161787"/>
    <n v="0.005261348103631792"/>
    <n v="0.006153102019501588"/>
    <n v="0.01542734274454746"/>
    <m/>
    <n v="0.001605157048565631"/>
    <n v="0"/>
    <n v="0"/>
    <n v="0"/>
    <n v="0"/>
    <x v="0"/>
    <m/>
    <x v="2"/>
    <x v="1"/>
    <s v="no root cause"/>
    <x v="1"/>
    <s v=""/>
  </r>
  <r>
    <s v="Nkomeda"/>
    <s v="CTR_597"/>
    <s v="Yaounde"/>
    <s v="CAMUSAT"/>
    <s v="Good Grid + GE"/>
    <s v="CENTRE"/>
    <s v="Yaounde"/>
    <s v="ZTE"/>
    <n v="0"/>
    <n v="0"/>
    <n v="0"/>
    <n v="0"/>
    <n v="0"/>
    <n v="0"/>
    <n v="0"/>
    <n v="0"/>
    <n v="0"/>
    <n v="0"/>
    <n v="0"/>
    <n v="0"/>
    <n v="0"/>
    <n v="0"/>
    <n v="0"/>
    <n v="0"/>
    <n v="0"/>
    <n v="0"/>
    <n v="0"/>
    <n v="2.447721818436049"/>
    <n v="0.8315248563919493"/>
    <n v="0"/>
    <n v="0"/>
    <n v="0"/>
    <m/>
    <n v="0"/>
    <m/>
    <n v="0"/>
    <m/>
    <n v="0"/>
    <m/>
    <m/>
    <n v="0"/>
    <n v="0"/>
    <n v="0"/>
    <n v="0"/>
    <m/>
    <n v="0.001498146578660977"/>
    <n v="0"/>
    <n v="0"/>
    <n v="0"/>
    <n v="0"/>
    <x v="0"/>
    <m/>
    <x v="2"/>
    <x v="1"/>
    <s v="no root cause"/>
    <x v="1"/>
    <s v=""/>
  </r>
  <r>
    <s v="Mendong-Village"/>
    <s v="CTR_713"/>
    <s v="Yaounde"/>
    <s v="CAMUSAT"/>
    <s v="Good Grid + GE"/>
    <s v="CENTRE"/>
    <s v="Yaounde"/>
    <s v="ZTE"/>
    <n v="0"/>
    <n v="0"/>
    <n v="0"/>
    <n v="0"/>
    <n v="0"/>
    <n v="0"/>
    <n v="0"/>
    <n v="0"/>
    <n v="0"/>
    <n v="0"/>
    <n v="0"/>
    <n v="0"/>
    <n v="0"/>
    <n v="0"/>
    <n v="0"/>
    <n v="0"/>
    <n v="0"/>
    <n v="0"/>
    <n v="0"/>
    <n v="0"/>
    <n v="0"/>
    <n v="0"/>
    <n v="0"/>
    <n v="0"/>
    <m/>
    <n v="0"/>
    <m/>
    <n v="0"/>
    <m/>
    <n v="0"/>
    <m/>
    <m/>
    <n v="0"/>
    <n v="0"/>
    <n v="0"/>
    <n v="0"/>
    <m/>
    <n v="0.001462476422026294"/>
    <n v="0"/>
    <n v="0"/>
    <n v="0"/>
    <n v="0"/>
    <x v="0"/>
    <m/>
    <x v="2"/>
    <x v="1"/>
    <s v="no root cause"/>
    <x v="1"/>
    <s v=""/>
  </r>
  <r>
    <s v="Nkolzie-II"/>
    <s v="CTR_672"/>
    <s v="CENTRE"/>
    <s v="CAMUSAT"/>
    <s v="Good Grid no GE - 12h"/>
    <s v="CENTRE"/>
    <s v="Nkolzie"/>
    <s v="ZTE"/>
    <n v="0"/>
    <n v="0"/>
    <n v="0"/>
    <n v="0"/>
    <n v="0"/>
    <n v="0"/>
    <n v="0.009434756429902314"/>
    <n v="0"/>
    <n v="0"/>
    <n v="0"/>
    <n v="0"/>
    <n v="0"/>
    <n v="0"/>
    <n v="0"/>
    <n v="0"/>
    <n v="0"/>
    <n v="0"/>
    <n v="0"/>
    <n v="0"/>
    <n v="0.02814375358485096"/>
    <n v="0.1547193044034099"/>
    <n v="0"/>
    <n v="0"/>
    <n v="0"/>
    <m/>
    <n v="0"/>
    <m/>
    <n v="0"/>
    <m/>
    <n v="0"/>
    <m/>
    <m/>
    <n v="2.184707918489412"/>
    <n v="7.821002873587817"/>
    <n v="0"/>
    <n v="0"/>
    <m/>
    <n v="0.001444641343708952"/>
    <n v="0"/>
    <n v="0"/>
    <n v="0"/>
    <n v="0"/>
    <x v="0"/>
    <m/>
    <x v="2"/>
    <x v="1"/>
    <s v="no root cause"/>
    <x v="1"/>
    <s v=""/>
  </r>
  <r>
    <s v="Camp-Sic-Mendong"/>
    <s v="CTR_767"/>
    <s v="Yaounde"/>
    <s v="CAMUSAT"/>
    <s v="Good Grid no GE - 8h"/>
    <s v="CENTRE"/>
    <s v="Yaounde"/>
    <s v="ZTE"/>
    <n v="0"/>
    <n v="0"/>
    <n v="0"/>
    <n v="0"/>
    <n v="0"/>
    <n v="0"/>
    <n v="0"/>
    <n v="1.287318117871319"/>
    <n v="0"/>
    <n v="0"/>
    <n v="0"/>
    <n v="0"/>
    <n v="0"/>
    <n v="0"/>
    <n v="0"/>
    <n v="0"/>
    <n v="0"/>
    <n v="0"/>
    <n v="0"/>
    <n v="0.5556697000567871"/>
    <n v="0"/>
    <n v="0"/>
    <n v="0"/>
    <n v="0"/>
    <m/>
    <n v="0"/>
    <m/>
    <n v="0"/>
    <m/>
    <n v="0"/>
    <m/>
    <m/>
    <n v="0"/>
    <n v="0"/>
    <n v="0"/>
    <n v="0"/>
    <m/>
    <n v="0.001408971187074269"/>
    <n v="0"/>
    <n v="0"/>
    <n v="0"/>
    <n v="0"/>
    <x v="0"/>
    <m/>
    <x v="2"/>
    <x v="1"/>
    <s v="no root cause"/>
    <x v="1"/>
    <s v=""/>
  </r>
  <r>
    <s v="Etoug-Ebe-II"/>
    <s v="CTR_740"/>
    <s v="Yaounde"/>
    <s v="CAMUSAT"/>
    <s v="Good Grid + GE"/>
    <s v="CENTRE"/>
    <s v="Yaounde"/>
    <s v="ZTE"/>
    <n v="0"/>
    <n v="0"/>
    <n v="0"/>
    <n v="0"/>
    <n v="0"/>
    <n v="0"/>
    <n v="0"/>
    <n v="0"/>
    <n v="0"/>
    <n v="0"/>
    <n v="0"/>
    <n v="4.874398244457571"/>
    <n v="0"/>
    <n v="0"/>
    <n v="0"/>
    <n v="0"/>
    <n v="0"/>
    <n v="0"/>
    <n v="0"/>
    <n v="0.02316776673429748"/>
    <n v="1.604800346999284"/>
    <n v="0"/>
    <n v="0"/>
    <n v="0"/>
    <m/>
    <n v="0"/>
    <m/>
    <n v="0"/>
    <m/>
    <n v="0"/>
    <m/>
    <m/>
    <n v="1.948428800940551"/>
    <n v="0"/>
    <n v="0"/>
    <n v="0"/>
    <m/>
    <n v="0.001355465952121902"/>
    <n v="0"/>
    <n v="0"/>
    <n v="0"/>
    <n v="0"/>
    <x v="0"/>
    <m/>
    <x v="2"/>
    <x v="1"/>
    <s v="no root cause"/>
    <x v="1"/>
    <s v=""/>
  </r>
  <r>
    <s v="Ma"/>
    <s v="NRO_021"/>
    <s v="NORD-OUEST"/>
    <s v="IHS"/>
    <s v="Grid-Gen"/>
    <s v="NORD-OUEST"/>
    <s v="Ma"/>
    <s v="NOKIA"/>
    <n v="0.2691286401995835"/>
    <n v="1.227024535657609"/>
    <n v="0.4664291512691321"/>
    <n v="0.001605157048565883"/>
    <n v="2.062226769558418"/>
    <n v="0"/>
    <n v="0.004904646537284014"/>
    <n v="0.001337630873804731"/>
    <n v="0.6820577139758841"/>
    <n v="1.351681931977219"/>
    <n v="2.569015439968828"/>
    <n v="0.01193166739433785"/>
    <n v="0.003210314097131252"/>
    <n v="1.282484811647305"/>
    <n v="0.005707225061566613"/>
    <n v="0.001605157048565883"/>
    <n v="0.001337630873804731"/>
    <n v="0.05742895218201473"/>
    <n v="0.004815471145696963"/>
    <n v="0.001694332440152762"/>
    <n v="0.06686370861191736"/>
    <n v="0"/>
    <n v="0"/>
    <n v="0"/>
    <m/>
    <n v="0"/>
    <m/>
    <n v="0"/>
    <m/>
    <n v="0"/>
    <m/>
    <m/>
    <n v="0"/>
    <n v="0"/>
    <n v="0"/>
    <n v="3.688579557290552"/>
    <m/>
    <n v="0.001337630873804731"/>
    <n v="0"/>
    <n v="0"/>
    <n v="0"/>
    <n v="0"/>
    <x v="1"/>
    <m/>
    <x v="2"/>
    <x v="1"/>
    <s v="no root cause"/>
    <x v="1"/>
    <s v=""/>
  </r>
  <r>
    <s v="Afanoya-II"/>
    <s v="CTR_838"/>
    <s v="Yaounde"/>
    <s v="CAMUSAT"/>
    <s v="Medium Grid + GE"/>
    <s v="CENTRE"/>
    <s v="Yaounde"/>
    <s v="ZTE"/>
    <n v="0.6557958297306482"/>
    <n v="0"/>
    <n v="0"/>
    <n v="1.62834920060425e-16"/>
    <n v="0"/>
    <n v="0"/>
    <n v="0"/>
    <n v="3.039257860989119"/>
    <n v="1.707512563029167"/>
    <n v="6.976297894319313"/>
    <n v="0.5292381139904061"/>
    <n v="0"/>
    <n v="19.31374899053457"/>
    <n v="16.47254967426013"/>
    <n v="0"/>
    <n v="0"/>
    <n v="4.068413220216133"/>
    <n v="0"/>
    <n v="0"/>
    <n v="0"/>
    <n v="0"/>
    <n v="0"/>
    <n v="0"/>
    <n v="0"/>
    <m/>
    <n v="0"/>
    <m/>
    <n v="0"/>
    <m/>
    <n v="0"/>
    <m/>
    <m/>
    <n v="0"/>
    <n v="0"/>
    <n v="0"/>
    <n v="0"/>
    <m/>
    <n v="0.001337630873804586"/>
    <n v="0"/>
    <n v="0"/>
    <n v="0"/>
    <n v="0"/>
    <x v="0"/>
    <m/>
    <x v="2"/>
    <x v="1"/>
    <s v="no root cause"/>
    <x v="1"/>
    <s v=""/>
  </r>
  <r>
    <s v="Mendong-Maetur-IHS"/>
    <s v="CTR_486"/>
    <s v="Yaounde"/>
    <s v="IHS"/>
    <s v="Grid-Gen"/>
    <s v="CENTRE"/>
    <s v="Yaounde"/>
    <s v="ZTE"/>
    <n v="0"/>
    <n v="0"/>
    <n v="0"/>
    <n v="0"/>
    <n v="0"/>
    <n v="0"/>
    <n v="0"/>
    <n v="0"/>
    <n v="0"/>
    <n v="0"/>
    <n v="0"/>
    <n v="0"/>
    <n v="0"/>
    <n v="0"/>
    <n v="0"/>
    <n v="0"/>
    <n v="0"/>
    <n v="0"/>
    <n v="0"/>
    <n v="0"/>
    <n v="0"/>
    <n v="0"/>
    <n v="0"/>
    <n v="0"/>
    <m/>
    <n v="0"/>
    <m/>
    <n v="0"/>
    <m/>
    <n v="0"/>
    <m/>
    <m/>
    <n v="0"/>
    <n v="0"/>
    <n v="0"/>
    <n v="0"/>
    <m/>
    <n v="0.00133763087380456"/>
    <n v="0"/>
    <n v="0"/>
    <n v="0"/>
    <n v="0"/>
    <x v="0"/>
    <m/>
    <x v="2"/>
    <x v="1"/>
    <s v="no root cause"/>
    <x v="1"/>
    <s v=""/>
  </r>
  <r>
    <s v="Balikumbat-Palais"/>
    <s v="NRO_034"/>
    <s v="NORD-OUEST"/>
    <s v="IHS"/>
    <s v="Grid-Gen"/>
    <s v="NORD-OUEST"/>
    <s v="Balikumbat"/>
    <s v="NOKIA"/>
    <n v="0.002705330708762132"/>
    <n v="0.1571433570099346"/>
    <n v="0"/>
    <n v="0"/>
    <n v="2.619521822496126"/>
    <n v="3.894033953216073"/>
    <n v="0"/>
    <n v="0"/>
    <n v="0.6692314687134027"/>
    <n v="0"/>
    <n v="0.7558439727804077"/>
    <n v="0.005974751236327629"/>
    <n v="0"/>
    <n v="0"/>
    <n v="0"/>
    <n v="0"/>
    <n v="0"/>
    <n v="0.1018918024272828"/>
    <n v="0.01612291079892593"/>
    <n v="0"/>
    <n v="0.02275755993299718"/>
    <n v="0"/>
    <n v="0"/>
    <n v="0"/>
    <m/>
    <n v="0"/>
    <m/>
    <n v="0"/>
    <m/>
    <n v="0"/>
    <m/>
    <m/>
    <n v="0.3186593442969128"/>
    <n v="0.2295909631798374"/>
    <n v="0"/>
    <n v="2.118272251757111"/>
    <m/>
    <n v="0.0008025785242829413"/>
    <n v="0"/>
    <n v="0"/>
    <n v="0"/>
    <n v="0"/>
    <x v="1"/>
    <m/>
    <x v="4"/>
    <x v="0"/>
    <s v="Defaut GE &amp; Power Cabinet"/>
    <x v="0"/>
    <s v="{hourly IHS}: 25/05/2026 18:57 3:27:57 Fme is informed and managing"/>
  </r>
  <r>
    <s v="Sohock-IHS"/>
    <s v="LIT_501"/>
    <s v="LITTORAL"/>
    <s v="IHS"/>
    <s v="Hybrid-Gen"/>
    <s v="LITTORAL"/>
    <s v="Sohock"/>
    <s v="NOKIA"/>
    <n v="0.001783507831739642"/>
    <n v="0"/>
    <n v="0"/>
    <n v="0"/>
    <n v="0.1395076310394535"/>
    <n v="0"/>
    <n v="0.3448789373754279"/>
    <n v="0"/>
    <n v="0"/>
    <n v="0.01684172634203865"/>
    <n v="0.2145213028920213"/>
    <n v="0"/>
    <n v="0.0009809293074567"/>
    <n v="0"/>
    <n v="0"/>
    <n v="0"/>
    <n v="0"/>
    <n v="0"/>
    <n v="0"/>
    <n v="0"/>
    <n v="3.097061349815799"/>
    <n v="0"/>
    <n v="0"/>
    <n v="0.02791274911713904"/>
    <m/>
    <n v="0.1469653959838236"/>
    <m/>
    <n v="0"/>
    <m/>
    <n v="0"/>
    <m/>
    <m/>
    <n v="0"/>
    <n v="0"/>
    <n v="0"/>
    <n v="0"/>
    <m/>
    <n v="0.0004280418796175018"/>
    <n v="0"/>
    <n v="0"/>
    <n v="0"/>
    <n v="0"/>
    <x v="0"/>
    <m/>
    <x v="2"/>
    <x v="1"/>
    <s v="no root cause"/>
    <x v="1"/>
    <s v=""/>
  </r>
  <r>
    <s v="BAMENDA-MENTEH-IHS"/>
    <s v="NRO_148"/>
    <s v="NORD-OUEST"/>
    <m/>
    <m/>
    <s v="NORD-OUEST"/>
    <s v="Bamenda"/>
    <s v="Huawei"/>
    <n v="0"/>
    <n v="0"/>
    <n v="3.227257421532789"/>
    <n v="0"/>
    <n v="0"/>
    <n v="0"/>
    <n v="0"/>
    <n v="0.3034638575704914"/>
    <n v="0"/>
    <n v="0.06142400972511151"/>
    <n v="4.449406163232344"/>
    <n v="0"/>
    <n v="0.0152489919613735"/>
    <n v="0.05698307522407993"/>
    <n v="0"/>
    <n v="0"/>
    <n v="3.262481701209647"/>
    <n v="0.3497458858041337"/>
    <n v="0.6280087777121448"/>
    <n v="0"/>
    <n v="0.5273654307670794"/>
    <n v="8.917539158697954e-05"/>
    <n v="0"/>
    <n v="0"/>
    <m/>
    <n v="0"/>
    <m/>
    <n v="0"/>
    <m/>
    <n v="0"/>
    <m/>
    <m/>
    <n v="0"/>
    <n v="0"/>
    <n v="0"/>
    <n v="0.1609615818144981"/>
    <m/>
    <n v="0.0002675261747609386"/>
    <n v="0"/>
    <n v="0"/>
    <n v="0"/>
    <n v="0"/>
    <x v="0"/>
    <m/>
    <x v="2"/>
    <x v="1"/>
    <s v="no root cause"/>
    <x v="1"/>
    <s v=""/>
  </r>
  <r>
    <s v="Bda-Kwe-Pastoral-Center-IHS"/>
    <s v="NRO_062"/>
    <s v="NORD-OUEST"/>
    <s v="IHS"/>
    <s v="Grid-Gen"/>
    <s v="NORD-OUEST"/>
    <s v="Bamenda"/>
    <s v="Huawei"/>
    <n v="0"/>
    <n v="0"/>
    <n v="0"/>
    <n v="0"/>
    <n v="0"/>
    <n v="0"/>
    <n v="0"/>
    <n v="0"/>
    <n v="0"/>
    <n v="0.1468718699437553"/>
    <n v="4.519408845628123"/>
    <n v="0"/>
    <n v="0"/>
    <n v="1.441966081961459"/>
    <n v="0"/>
    <n v="0"/>
    <n v="0"/>
    <n v="1.712702570819529"/>
    <n v="2.668377407378872"/>
    <n v="0"/>
    <n v="0"/>
    <n v="0"/>
    <n v="0"/>
    <n v="0"/>
    <m/>
    <n v="0"/>
    <m/>
    <n v="0"/>
    <m/>
    <n v="0.8599183010732439"/>
    <m/>
    <m/>
    <n v="0"/>
    <n v="4.168717700673167"/>
    <n v="0"/>
    <n v="0"/>
    <m/>
    <n v="0.0002675261747609386"/>
    <n v="0"/>
    <n v="0"/>
    <n v="0"/>
    <n v="0"/>
    <x v="0"/>
    <m/>
    <x v="2"/>
    <x v="1"/>
    <s v="no root cause"/>
    <x v="1"/>
    <s v=""/>
  </r>
  <r>
    <s v="Garoua-Lainde"/>
    <s v="NRD_009"/>
    <s v="Garoua"/>
    <s v="IHS"/>
    <s v="Grid-Gen"/>
    <s v="NORD"/>
    <s v="Garoua"/>
    <s v="Huawei"/>
    <n v="0"/>
    <n v="0"/>
    <n v="4.748411251223486"/>
    <n v="0"/>
    <n v="0"/>
    <n v="0"/>
    <n v="0"/>
    <n v="0"/>
    <n v="0"/>
    <n v="0"/>
    <n v="0"/>
    <n v="0"/>
    <n v="0"/>
    <n v="0"/>
    <n v="0"/>
    <n v="0"/>
    <n v="0.9134235360254315"/>
    <n v="0"/>
    <n v="0"/>
    <n v="0"/>
    <n v="0"/>
    <n v="0"/>
    <n v="0"/>
    <n v="0"/>
    <m/>
    <n v="0"/>
    <m/>
    <n v="0"/>
    <m/>
    <n v="0"/>
    <m/>
    <m/>
    <n v="0.01935105997437456"/>
    <n v="0"/>
    <n v="0"/>
    <n v="0"/>
    <m/>
    <n v="0.0001783507831739591"/>
    <n v="0"/>
    <n v="0"/>
    <n v="0"/>
    <n v="0"/>
    <x v="0"/>
    <m/>
    <x v="2"/>
    <x v="1"/>
    <s v="no root cause"/>
    <x v="1"/>
    <s v=""/>
  </r>
  <r>
    <s v="Orange-Bastos"/>
    <s v="CTR_820"/>
    <s v="Yaounde"/>
    <s v="OCM"/>
    <m/>
    <s v="CENTRE"/>
    <s v="Yaounde"/>
    <s v="ZTE"/>
    <n v="0"/>
    <n v="0"/>
    <n v="0"/>
    <n v="0"/>
    <n v="0"/>
    <n v="0"/>
    <n v="0"/>
    <n v="0"/>
    <n v="0"/>
    <n v="0"/>
    <n v="0.0009630942291395296"/>
    <n v="0"/>
    <n v="0"/>
    <n v="0"/>
    <n v="0"/>
    <n v="0"/>
    <n v="0"/>
    <n v="0"/>
    <n v="0"/>
    <n v="0"/>
    <n v="0"/>
    <n v="0"/>
    <n v="0.03900531628014479"/>
    <n v="0"/>
    <m/>
    <n v="0"/>
    <m/>
    <n v="0"/>
    <m/>
    <n v="0"/>
    <m/>
    <m/>
    <n v="0"/>
    <n v="1.309986502412729"/>
    <n v="0.09311694389512398"/>
    <n v="0.3199969751707175"/>
    <m/>
    <n v="0"/>
    <n v="0"/>
    <n v="0"/>
    <n v="0"/>
    <n v="0"/>
    <x v="0"/>
    <m/>
    <x v="2"/>
    <x v="1"/>
    <s v="no root cause"/>
    <x v="1"/>
    <s v=""/>
  </r>
  <r>
    <s v="LIT_853_Z_Japoma-Petit-Chateau"/>
    <s v="LIT_853"/>
    <s v="Douala"/>
    <m/>
    <e v="#N/A"/>
    <s v="LITTORAL"/>
    <s v="Douala"/>
    <s v="ZTE"/>
    <n v="0"/>
    <n v="0.1363491737364921"/>
    <n v="0"/>
    <n v="0"/>
    <n v="0"/>
    <n v="0"/>
    <n v="39.70716228209102"/>
    <n v="0"/>
    <n v="0"/>
    <n v="0"/>
    <n v="0"/>
    <n v="0.7156325174855107"/>
    <n v="0"/>
    <n v="0"/>
    <n v="0"/>
    <n v="0"/>
    <n v="0"/>
    <n v="0"/>
    <n v="0"/>
    <n v="0"/>
    <n v="0"/>
    <n v="0"/>
    <n v="0"/>
    <n v="0"/>
    <m/>
    <n v="0"/>
    <m/>
    <n v="0"/>
    <m/>
    <n v="18.8410480748103"/>
    <m/>
    <m/>
    <n v="0.1479598097211165"/>
    <n v="3.231876706816995"/>
    <n v="7.295010743851185"/>
    <n v="37.77139638675581"/>
    <m/>
    <n v="0"/>
    <n v="0"/>
    <n v="0"/>
    <n v="0"/>
    <n v="0"/>
    <x v="0"/>
    <m/>
    <x v="2"/>
    <x v="1"/>
    <s v="no root cause"/>
    <x v="1"/>
    <s v=""/>
  </r>
  <r>
    <s v="Melen-Baaba"/>
    <s v="CTR_594"/>
    <s v="CENTRE"/>
    <s v="IHS"/>
    <s v="Grid-Gen"/>
    <s v="CENTRE"/>
    <s v="Ba'aba"/>
    <s v="ZTE"/>
    <n v="0.1627272545679204"/>
    <n v="0.0554314234104661"/>
    <n v="0.2544708974326046"/>
    <n v="0"/>
    <n v="0.0999656139690038"/>
    <n v="1.475906235999463"/>
    <n v="0.1281985429454413"/>
    <n v="1.974236159265822"/>
    <n v="6.807988260238047"/>
    <n v="0.5335898730998504"/>
    <n v="1.753152528443383"/>
    <n v="0"/>
    <n v="2.345972696635306"/>
    <n v="0.08418156965810852"/>
    <n v="0"/>
    <n v="1.6504403124135"/>
    <n v="2.029542737128067"/>
    <n v="1.46229807124329"/>
    <n v="0"/>
    <n v="0.1115227447186769"/>
    <n v="0"/>
    <n v="10.69061346962187"/>
    <n v="3.051029012678601"/>
    <n v="3.85426743485916"/>
    <m/>
    <n v="7.958136790770276"/>
    <m/>
    <n v="5.352396178442099"/>
    <m/>
    <n v="1.554541096300862"/>
    <m/>
    <m/>
    <n v="32.35996609908313"/>
    <n v="32.35996609908313"/>
    <n v="32.35996609908313"/>
    <n v="29.65270822097234"/>
    <m/>
    <n v="0"/>
    <n v="0"/>
    <n v="0"/>
    <n v="0"/>
    <n v="0"/>
    <x v="0"/>
    <m/>
    <x v="2"/>
    <x v="1"/>
    <s v="no root cause"/>
    <x v="1"/>
    <s v=""/>
  </r>
  <r>
    <s v="Japoma-II"/>
    <s v="LIT_646"/>
    <s v="Douala"/>
    <m/>
    <m/>
    <s v="LITTORAL"/>
    <s v="Douala"/>
    <s v="ZTE"/>
    <n v="0"/>
    <n v="0.07993682101856826"/>
    <n v="0"/>
    <n v="0"/>
    <n v="0"/>
    <n v="0"/>
    <n v="25.63542817029218"/>
    <n v="0"/>
    <n v="0"/>
    <n v="0"/>
    <n v="0"/>
    <n v="0"/>
    <n v="0"/>
    <n v="0"/>
    <n v="0"/>
    <n v="0"/>
    <n v="0"/>
    <n v="0"/>
    <n v="0"/>
    <n v="0"/>
    <n v="0"/>
    <n v="0"/>
    <n v="0"/>
    <n v="0"/>
    <m/>
    <n v="0"/>
    <m/>
    <n v="0"/>
    <m/>
    <n v="0"/>
    <m/>
    <m/>
    <n v="0.01917270919120039"/>
    <n v="0.1752831497033673"/>
    <n v="4.646127077073223"/>
    <n v="24.38074824574169"/>
    <m/>
    <n v="0"/>
    <n v="0"/>
    <n v="0"/>
    <n v="0"/>
    <n v="0"/>
    <x v="0"/>
    <m/>
    <x v="2"/>
    <x v="1"/>
    <s v="no root cause"/>
    <x v="1"/>
    <s v=""/>
  </r>
  <r>
    <s v="Edea-Mbondanjick"/>
    <s v="LIT_456"/>
    <s v="LITTORAL"/>
    <s v="IHS"/>
    <s v="Gen-Lithium"/>
    <s v="LITTORAL"/>
    <s v="Edea"/>
    <s v="ZTE"/>
    <n v="1.292561630896633"/>
    <n v="0"/>
    <n v="0"/>
    <n v="0"/>
    <n v="0"/>
    <n v="1.941776316728163"/>
    <n v="1.777586585738214"/>
    <n v="0"/>
    <n v="0"/>
    <n v="0"/>
    <n v="0"/>
    <n v="0"/>
    <n v="0"/>
    <n v="0"/>
    <n v="0"/>
    <n v="0"/>
    <n v="0"/>
    <n v="0"/>
    <n v="0"/>
    <n v="0"/>
    <n v="0"/>
    <n v="0"/>
    <n v="0"/>
    <n v="0"/>
    <m/>
    <n v="0"/>
    <m/>
    <n v="0"/>
    <m/>
    <n v="0.1397378386167968"/>
    <m/>
    <m/>
    <n v="0"/>
    <n v="0"/>
    <n v="17.72064845491149"/>
    <n v="19.18631735595677"/>
    <m/>
    <n v="0"/>
    <n v="0"/>
    <n v="0"/>
    <n v="0"/>
    <n v="0"/>
    <x v="0"/>
    <m/>
    <x v="2"/>
    <x v="1"/>
    <s v="no root cause"/>
    <x v="1"/>
    <s v=""/>
  </r>
  <r>
    <s v="Nkolmesseng-H-Pyramides"/>
    <s v="CTR_771"/>
    <s v="Yaounde"/>
    <s v="CAMUSAT"/>
    <s v="Good Grid no GE - 8h"/>
    <s v="CENTRE"/>
    <s v="Yaounde"/>
    <s v="ZTE"/>
    <n v="0"/>
    <n v="0"/>
    <n v="0"/>
    <n v="0"/>
    <n v="0"/>
    <n v="0"/>
    <n v="0"/>
    <n v="0"/>
    <n v="4.150882622355772"/>
    <n v="33.8974925306692"/>
    <n v="15.38428886548927"/>
    <n v="0.8482719949319841"/>
    <n v="13.86855689960706"/>
    <n v="13.86855689960706"/>
    <n v="13.86855689960706"/>
    <n v="22.18988722523278"/>
    <n v="0"/>
    <n v="0"/>
    <n v="0"/>
    <n v="0"/>
    <n v="5.903464428292997"/>
    <n v="0"/>
    <n v="0"/>
    <n v="0"/>
    <m/>
    <n v="0"/>
    <m/>
    <n v="0"/>
    <m/>
    <n v="0"/>
    <m/>
    <m/>
    <n v="12.1737607474182"/>
    <n v="0"/>
    <n v="13.77080283534941"/>
    <n v="16.96051741702408"/>
    <m/>
    <n v="0"/>
    <n v="0"/>
    <n v="0"/>
    <n v="0"/>
    <n v="0"/>
    <x v="0"/>
    <m/>
    <x v="2"/>
    <x v="1"/>
    <s v="no root cause"/>
    <x v="1"/>
    <s v=""/>
  </r>
  <r>
    <s v="Oyack-II"/>
    <s v="LIT_765"/>
    <s v="Douala"/>
    <s v="CAMUSAT"/>
    <s v="Good Grid no GE - 8h"/>
    <s v="LITTORAL"/>
    <s v="Douala"/>
    <s v="ZTE"/>
    <n v="0"/>
    <n v="0"/>
    <n v="0"/>
    <n v="0"/>
    <n v="0"/>
    <n v="2.298549223389347"/>
    <n v="0"/>
    <n v="5.015812580436205"/>
    <n v="0"/>
    <n v="0"/>
    <n v="2.171402950064632"/>
    <n v="0"/>
    <n v="0"/>
    <n v="0"/>
    <n v="0"/>
    <n v="0"/>
    <n v="0"/>
    <n v="0"/>
    <n v="0"/>
    <n v="0"/>
    <n v="0"/>
    <n v="0"/>
    <n v="0"/>
    <n v="0"/>
    <m/>
    <n v="0"/>
    <m/>
    <n v="0"/>
    <m/>
    <n v="0"/>
    <m/>
    <m/>
    <n v="1.185265799739179"/>
    <n v="5.002097405210126"/>
    <n v="0"/>
    <n v="16.74366069976286"/>
    <m/>
    <n v="0"/>
    <n v="0"/>
    <n v="0"/>
    <n v="0"/>
    <n v="0"/>
    <x v="0"/>
    <m/>
    <x v="2"/>
    <x v="1"/>
    <s v="no root cause"/>
    <x v="1"/>
    <s v=""/>
  </r>
  <r>
    <s v="LIT_858_Z_JAPOMA-COCOTIERS"/>
    <s v="LIT_858"/>
    <s v="Douala"/>
    <s v="IHS"/>
    <s v="Grid-Gen"/>
    <s v="LITTORAL"/>
    <s v="Douala"/>
    <s v="ZTE"/>
    <n v="0"/>
    <n v="0.05141853078905244"/>
    <n v="0"/>
    <n v="9.521773777013008"/>
    <n v="5.352538859068638"/>
    <n v="0"/>
    <n v="17.01280986665069"/>
    <n v="0"/>
    <n v="0"/>
    <n v="0"/>
    <n v="0"/>
    <n v="7.336816167427154"/>
    <n v="0"/>
    <n v="0"/>
    <n v="0"/>
    <n v="0"/>
    <n v="0"/>
    <n v="0"/>
    <n v="0"/>
    <n v="1.159048234612609"/>
    <n v="0"/>
    <n v="0"/>
    <n v="0"/>
    <n v="0"/>
    <m/>
    <n v="0"/>
    <m/>
    <n v="0"/>
    <m/>
    <n v="0"/>
    <m/>
    <m/>
    <n v="0.02092054686630544"/>
    <n v="0.3270775012627229"/>
    <n v="3.057556651342768"/>
    <n v="16.23152642587884"/>
    <m/>
    <n v="0"/>
    <n v="0"/>
    <n v="0"/>
    <n v="0"/>
    <n v="0"/>
    <x v="0"/>
    <m/>
    <x v="2"/>
    <x v="1"/>
    <s v="no root cause"/>
    <x v="1"/>
    <s v=""/>
  </r>
  <r>
    <s v="Crf-Mutzig-IHS"/>
    <s v="LIT_485"/>
    <s v="Douala"/>
    <s v="IHS"/>
    <s v="Grid-Gen"/>
    <s v="LITTORAL"/>
    <s v="Douala"/>
    <s v="ZTE"/>
    <n v="0"/>
    <n v="0"/>
    <n v="0"/>
    <n v="0"/>
    <n v="0"/>
    <n v="0"/>
    <n v="0"/>
    <n v="0"/>
    <n v="0"/>
    <n v="0"/>
    <n v="0"/>
    <n v="0"/>
    <n v="0"/>
    <n v="0.002158044476405014"/>
    <n v="0"/>
    <n v="0"/>
    <n v="0"/>
    <n v="0"/>
    <n v="0"/>
    <n v="0"/>
    <n v="0"/>
    <n v="0"/>
    <n v="3.10965291510788"/>
    <n v="12.49147483256428"/>
    <m/>
    <n v="0"/>
    <m/>
    <n v="0"/>
    <m/>
    <n v="0"/>
    <m/>
    <m/>
    <n v="0"/>
    <n v="0"/>
    <n v="20.71168026413038"/>
    <n v="15.75950324313064"/>
    <m/>
    <n v="0"/>
    <n v="0"/>
    <n v="0"/>
    <n v="0"/>
    <n v="0"/>
    <x v="0"/>
    <m/>
    <x v="2"/>
    <x v="1"/>
    <s v="no root cause"/>
    <x v="1"/>
    <s v=""/>
  </r>
  <r>
    <s v="Croix-Rouge-Yde"/>
    <s v="CTR_759"/>
    <s v="Yaounde"/>
    <s v="CAMUSAT"/>
    <s v="Good Grid no GE - 8h"/>
    <s v="CENTRE"/>
    <s v="Yaounde"/>
    <s v="ZTE"/>
    <n v="0"/>
    <n v="0"/>
    <n v="19.37626094003704"/>
    <n v="23.82406194622082"/>
    <n v="0"/>
    <n v="0"/>
    <n v="0"/>
    <n v="0"/>
    <n v="0"/>
    <n v="0"/>
    <n v="0"/>
    <n v="0"/>
    <n v="0"/>
    <n v="0"/>
    <n v="0.03775686079792695"/>
    <n v="0"/>
    <n v="0"/>
    <n v="0"/>
    <n v="0"/>
    <n v="0"/>
    <n v="0"/>
    <n v="18.88827536219477"/>
    <n v="0"/>
    <n v="13.70921830991944"/>
    <m/>
    <n v="0"/>
    <m/>
    <n v="0.01280558623189015"/>
    <m/>
    <n v="0"/>
    <m/>
    <m/>
    <n v="0"/>
    <n v="35.03913372884403"/>
    <n v="13.86855689960706"/>
    <n v="13.86855689960706"/>
    <m/>
    <n v="0"/>
    <n v="0"/>
    <n v="0"/>
    <n v="0"/>
    <n v="0"/>
    <x v="0"/>
    <m/>
    <x v="2"/>
    <x v="1"/>
    <s v="no root cause"/>
    <x v="1"/>
    <s v=""/>
  </r>
  <r>
    <s v="Banyangui"/>
    <s v="LIT_382"/>
    <s v="Douala"/>
    <s v="IHS"/>
    <s v="GridOnly"/>
    <s v="LITTORAL"/>
    <s v="Douala"/>
    <s v="ZTE"/>
    <n v="0"/>
    <n v="0"/>
    <n v="0"/>
    <n v="0"/>
    <n v="0"/>
    <n v="0"/>
    <n v="0"/>
    <n v="0"/>
    <n v="0"/>
    <n v="0"/>
    <n v="0"/>
    <n v="0.05805317992312367"/>
    <n v="0"/>
    <n v="0"/>
    <n v="0"/>
    <n v="0"/>
    <n v="0"/>
    <n v="0"/>
    <n v="0"/>
    <n v="0"/>
    <n v="0"/>
    <n v="0"/>
    <n v="0"/>
    <n v="23.79903933134151"/>
    <m/>
    <n v="0"/>
    <m/>
    <n v="0"/>
    <m/>
    <n v="0"/>
    <m/>
    <m/>
    <n v="40.41325303267671"/>
    <n v="32.60236264849487"/>
    <n v="13.86855689960706"/>
    <n v="13.86855689960706"/>
    <m/>
    <n v="0"/>
    <n v="0"/>
    <n v="0"/>
    <n v="0"/>
    <n v="0"/>
    <x v="0"/>
    <m/>
    <x v="2"/>
    <x v="1"/>
    <s v="no root cause"/>
    <x v="1"/>
    <s v=""/>
  </r>
  <r>
    <s v="Ndogp-St-Nicolas"/>
    <s v="LIT_205"/>
    <s v="Douala"/>
    <s v="IHS"/>
    <s v="Grid-Gen"/>
    <s v="LITTORAL"/>
    <s v="Douala"/>
    <s v="ZTE"/>
    <n v="0"/>
    <n v="0.6467534450237278"/>
    <n v="0"/>
    <n v="0"/>
    <n v="0"/>
    <n v="0"/>
    <n v="0"/>
    <n v="0"/>
    <n v="3.258843345232898"/>
    <n v="0"/>
    <n v="0"/>
    <n v="0.8559945838434166"/>
    <n v="0"/>
    <n v="0"/>
    <n v="0"/>
    <n v="0"/>
    <n v="0"/>
    <n v="13.86855689960706"/>
    <n v="13.86855689960706"/>
    <n v="13.86855689960706"/>
    <n v="1.090294007699047"/>
    <n v="13.86855689960706"/>
    <n v="63.17898143154328"/>
    <n v="9.858072013765828"/>
    <m/>
    <n v="23.82809267392055"/>
    <m/>
    <n v="50.74584514015516"/>
    <m/>
    <n v="0.2398818033689749"/>
    <m/>
    <m/>
    <n v="1.568648643249922"/>
    <n v="4.408296307710748"/>
    <n v="13.86855689960706"/>
    <n v="13.86855689960706"/>
    <m/>
    <n v="0"/>
    <n v="0"/>
    <n v="0"/>
    <n v="0"/>
    <n v="0"/>
    <x v="0"/>
    <m/>
    <x v="2"/>
    <x v="1"/>
    <s v="no root cause"/>
    <x v="1"/>
    <s v=""/>
  </r>
  <r>
    <s v="Ndpssi-Vallee-de-la-Paix"/>
    <s v="LIT_554"/>
    <s v="Douala"/>
    <s v="CAMUSAT"/>
    <s v="Good Grid no GE - 12h"/>
    <s v="LITTORAL"/>
    <s v="Douala"/>
    <s v="ZTE"/>
    <n v="1.540950766623006"/>
    <n v="2.163359329743489"/>
    <n v="1.540950766623006"/>
    <n v="1.161919682221708"/>
    <n v="0"/>
    <n v="0"/>
    <n v="0"/>
    <n v="0"/>
    <n v="0"/>
    <n v="0"/>
    <n v="0"/>
    <n v="0"/>
    <n v="0"/>
    <n v="0.002336395259578944"/>
    <n v="0"/>
    <n v="0"/>
    <n v="0"/>
    <n v="13.86855689960706"/>
    <n v="13.86855689960706"/>
    <n v="13.86855689960706"/>
    <n v="0"/>
    <n v="13.86855689960706"/>
    <n v="13.86855689960706"/>
    <n v="9.533741114563977"/>
    <m/>
    <n v="24.94590620746335"/>
    <m/>
    <n v="51.90963750560018"/>
    <m/>
    <n v="0.2188185758761308"/>
    <m/>
    <m/>
    <n v="1.193915812723117"/>
    <n v="4.180916894242266"/>
    <n v="13.86855689960706"/>
    <n v="13.86855689960706"/>
    <m/>
    <n v="0"/>
    <n v="0"/>
    <n v="0"/>
    <n v="0"/>
    <n v="0"/>
    <x v="0"/>
    <m/>
    <x v="2"/>
    <x v="1"/>
    <s v="no root cause"/>
    <x v="1"/>
    <s v=""/>
  </r>
  <r>
    <s v="Ngd-Burkina"/>
    <s v="ADM_036"/>
    <s v="Ngaoundere"/>
    <s v="IHS"/>
    <s v="Grid-Gen"/>
    <s v="ADAMAOUA"/>
    <s v="Ngaoundere"/>
    <s v="Huawei"/>
    <n v="1.440985152654003"/>
    <n v="0.8017759457585333"/>
    <n v="0.6244239269703482"/>
    <n v="0"/>
    <n v="0"/>
    <n v="0"/>
    <n v="0"/>
    <n v="0"/>
    <n v="0"/>
    <n v="0"/>
    <n v="0"/>
    <n v="0"/>
    <n v="0"/>
    <n v="0"/>
    <n v="0"/>
    <n v="0"/>
    <n v="1.618301501285552"/>
    <n v="0"/>
    <n v="1.222487608187585"/>
    <n v="0.1431265034971022"/>
    <n v="5.319579634338091"/>
    <n v="1.131814070021944"/>
    <n v="0"/>
    <n v="0"/>
    <m/>
    <n v="1.116761263922062"/>
    <m/>
    <n v="1.613289844278364"/>
    <m/>
    <n v="0"/>
    <m/>
    <m/>
    <n v="0.6491076753616239"/>
    <n v="0"/>
    <n v="0.08150630791049929"/>
    <n v="10.01115049096404"/>
    <m/>
    <n v="0"/>
    <n v="0"/>
    <n v="0"/>
    <n v="0"/>
    <n v="0"/>
    <x v="0"/>
    <m/>
    <x v="4"/>
    <x v="0"/>
    <s v="Defaut GE &amp; Power Cabinet"/>
    <x v="0"/>
    <s v=" {05-25-2026  incident}:    impacted by   ADM_115_H_Ngd-Aoudi  ,Cause: Power issue å ADM 058_H_Ngd-Trouamala    ;Action: En attente RCA HIS "/>
  </r>
  <r>
    <s v="Boko-Douala-II-IHS"/>
    <s v="LIT_575"/>
    <s v="Douala"/>
    <s v="IHS"/>
    <s v="Grid-Gen"/>
    <s v="LITTORAL"/>
    <s v="Douala"/>
    <s v="ZTE"/>
    <n v="0"/>
    <n v="0"/>
    <n v="0"/>
    <n v="0"/>
    <n v="0"/>
    <n v="0"/>
    <n v="0"/>
    <n v="0"/>
    <n v="0"/>
    <n v="0"/>
    <n v="0"/>
    <n v="0"/>
    <n v="0"/>
    <n v="0"/>
    <n v="0"/>
    <n v="0"/>
    <n v="0"/>
    <n v="0"/>
    <n v="0"/>
    <n v="0"/>
    <n v="0"/>
    <n v="0"/>
    <n v="0"/>
    <n v="0"/>
    <m/>
    <n v="0"/>
    <m/>
    <n v="5.133773788427461"/>
    <m/>
    <n v="0"/>
    <m/>
    <m/>
    <n v="1.802644870774156"/>
    <n v="6.913001201370875"/>
    <n v="0"/>
    <n v="9.499426423881312"/>
    <m/>
    <n v="0"/>
    <n v="0"/>
    <n v="0"/>
    <n v="0"/>
    <n v="0"/>
    <x v="0"/>
    <m/>
    <x v="2"/>
    <x v="1"/>
    <s v="no root cause"/>
    <x v="1"/>
    <s v=""/>
  </r>
  <r>
    <s v="Ngd-Chateau"/>
    <s v="ADM_001"/>
    <s v="Ngaoundere"/>
    <s v="CAMUSAT"/>
    <s v="Good Grid + Solar + GE"/>
    <s v="ADAMAOUA"/>
    <s v="Ngaoundere"/>
    <s v="Huawei"/>
    <n v="10.75152026207578"/>
    <n v="6.409927147272091"/>
    <n v="0.0002675261747609386"/>
    <n v="0.4769099942071666"/>
    <n v="7.931455513607451"/>
    <n v="0"/>
    <n v="4.439900066489172"/>
    <n v="0"/>
    <n v="0"/>
    <n v="0"/>
    <n v="0"/>
    <n v="0"/>
    <n v="0"/>
    <n v="2.566378594481684"/>
    <n v="0.3128986140003938"/>
    <n v="0"/>
    <n v="0"/>
    <n v="0"/>
    <n v="0"/>
    <n v="0"/>
    <n v="0"/>
    <n v="0"/>
    <n v="0.327862244708689"/>
    <n v="0"/>
    <m/>
    <n v="0"/>
    <m/>
    <n v="0"/>
    <m/>
    <n v="0"/>
    <m/>
    <m/>
    <n v="0"/>
    <n v="1.332262515231157"/>
    <n v="0"/>
    <n v="6.758317567124101"/>
    <m/>
    <n v="0"/>
    <n v="0"/>
    <n v="0"/>
    <n v="0"/>
    <n v="0"/>
    <x v="0"/>
    <m/>
    <x v="2"/>
    <x v="1"/>
    <s v="no root cause"/>
    <x v="1"/>
    <s v=""/>
  </r>
  <r>
    <s v="Nchum-IHS"/>
    <s v="NRO_088"/>
    <s v="NORD-OUEST"/>
    <s v="IHS"/>
    <s v="Hybrid-Gen"/>
    <s v="NORD-OUEST"/>
    <s v="Nchum"/>
    <s v="NOKIA"/>
    <n v="0"/>
    <n v="0"/>
    <n v="0"/>
    <n v="0"/>
    <n v="0"/>
    <n v="0"/>
    <n v="0.2250890324774152"/>
    <n v="0"/>
    <n v="0"/>
    <n v="0.2879358373268869"/>
    <n v="0"/>
    <n v="0"/>
    <n v="4.673567012614935"/>
    <n v="4.621461163760261"/>
    <n v="4.621568174230167"/>
    <n v="4.621514668995214"/>
    <n v="2.221715705998008"/>
    <n v="0.2330509683734123"/>
    <n v="0.1129495509840681"/>
    <n v="0"/>
    <n v="0"/>
    <n v="0"/>
    <n v="0"/>
    <n v="0"/>
    <m/>
    <n v="0"/>
    <m/>
    <n v="0"/>
    <m/>
    <n v="0"/>
    <m/>
    <m/>
    <n v="0"/>
    <n v="0"/>
    <n v="0"/>
    <n v="5.900129268647644"/>
    <m/>
    <n v="0"/>
    <n v="0"/>
    <n v="0"/>
    <n v="0"/>
    <n v="0"/>
    <x v="1"/>
    <m/>
    <x v="2"/>
    <x v="1"/>
    <s v="no root cause"/>
    <x v="1"/>
    <s v=""/>
  </r>
  <r>
    <s v="Emana-Pont-IHS"/>
    <s v="CTR_599"/>
    <s v="Yaounde"/>
    <s v="IHS"/>
    <s v="Grid-Gen"/>
    <s v="CENTRE"/>
    <s v="Yaounde"/>
    <s v="ZTE"/>
    <n v="3.258433138431597"/>
    <n v="1.116065695867684"/>
    <n v="1.161634320968631"/>
    <n v="0.001783507831739642"/>
    <n v="0"/>
    <n v="0.01178898676779869"/>
    <n v="0.2007516415406084"/>
    <n v="3.455189722429107"/>
    <n v="0.9139407532966373"/>
    <n v="0.0230964264210277"/>
    <n v="0.4289336335333709"/>
    <n v="0.4353780879388693"/>
    <n v="1.839420802264627"/>
    <n v="0.412293505463241"/>
    <n v="16.67174966398712"/>
    <n v="13.12815145833869"/>
    <n v="28.08177668769779"/>
    <n v="1.360923486087213"/>
    <n v="0"/>
    <n v="0"/>
    <n v="4.241038943250208"/>
    <n v="0"/>
    <n v="0"/>
    <n v="1.036735267511907"/>
    <m/>
    <n v="0"/>
    <m/>
    <n v="0"/>
    <m/>
    <n v="0"/>
    <m/>
    <m/>
    <n v="0.9011530021430643"/>
    <n v="1.811152203131552"/>
    <n v="3.240722905662422"/>
    <n v="5.74032696692378"/>
    <m/>
    <n v="0"/>
    <n v="0"/>
    <n v="0"/>
    <n v="0"/>
    <n v="0"/>
    <x v="0"/>
    <m/>
    <x v="2"/>
    <x v="1"/>
    <s v="no root cause"/>
    <x v="1"/>
    <s v=""/>
  </r>
  <r>
    <s v="Bamenda-Park-Pharmacy-MTN"/>
    <s v="NRO_113"/>
    <s v="NORD-OUEST"/>
    <s v="MTN sharing"/>
    <m/>
    <s v="NORD-OUEST"/>
    <s v="Bamenda"/>
    <s v="Huawei"/>
    <n v="1.660427956271242"/>
    <n v="0.07704753833115034"/>
    <n v="0"/>
    <n v="0.5392614280047827"/>
    <n v="1.504923908421867"/>
    <n v="0"/>
    <n v="0"/>
    <n v="0"/>
    <n v="0"/>
    <n v="0"/>
    <n v="0.007312382110132323"/>
    <n v="0"/>
    <n v="0"/>
    <n v="0"/>
    <n v="0"/>
    <n v="0"/>
    <n v="0"/>
    <n v="0.2377594290492048"/>
    <n v="0"/>
    <n v="0"/>
    <n v="0"/>
    <n v="9.97631858301016"/>
    <n v="23.11426149934509"/>
    <n v="20.89548858126945"/>
    <m/>
    <n v="0"/>
    <m/>
    <n v="0"/>
    <m/>
    <n v="0"/>
    <m/>
    <m/>
    <n v="0"/>
    <n v="0"/>
    <n v="0"/>
    <n v="4.844060776239679"/>
    <m/>
    <n v="0"/>
    <n v="0"/>
    <n v="0"/>
    <n v="0"/>
    <n v="0"/>
    <x v="0"/>
    <m/>
    <x v="2"/>
    <x v="1"/>
    <s v="no root cause"/>
    <x v="1"/>
    <s v=""/>
  </r>
  <r>
    <s v="Tabene"/>
    <s v="EST_007"/>
    <s v="CENTRE"/>
    <s v="CAMUSAT"/>
    <s v="Hybrid Solar - S3"/>
    <s v="EST"/>
    <s v="Tabene"/>
    <s v="NOKIA"/>
    <n v="0"/>
    <n v="0"/>
    <n v="0"/>
    <n v="0"/>
    <n v="0"/>
    <n v="0"/>
    <n v="0"/>
    <n v="0"/>
    <n v="0"/>
    <n v="0"/>
    <n v="0"/>
    <n v="0"/>
    <n v="0"/>
    <n v="0"/>
    <n v="0"/>
    <n v="0"/>
    <n v="0"/>
    <n v="0.007044855935371469"/>
    <n v="1.60763612445175"/>
    <n v="4.326023285345302"/>
    <n v="0"/>
    <n v="6.163410694769043"/>
    <n v="4.973572085977412"/>
    <n v="5.880602881885219"/>
    <m/>
    <n v="6.163517705238947"/>
    <m/>
    <n v="6.163446364925678"/>
    <m/>
    <n v="6.163392859690726"/>
    <m/>
    <m/>
    <n v="6.16342852984736"/>
    <n v="6.163375024612408"/>
    <n v="6.694411432658034"/>
    <n v="4.126942886434301"/>
    <m/>
    <n v="0"/>
    <n v="0"/>
    <n v="0"/>
    <n v="0"/>
    <n v="0"/>
    <x v="0"/>
    <m/>
    <x v="2"/>
    <x v="1"/>
    <s v="no root cause"/>
    <x v="1"/>
    <s v=""/>
  </r>
  <r>
    <s v="Garoua-Ouro-Lawan"/>
    <s v="NRD_054"/>
    <s v="Garoua"/>
    <s v="IHS"/>
    <s v="Grid-Gen"/>
    <s v="NORD"/>
    <s v="Garoua"/>
    <s v="Huawei"/>
    <n v="0"/>
    <n v="0"/>
    <n v="4.26704248743697"/>
    <n v="0"/>
    <n v="0"/>
    <n v="0"/>
    <n v="0"/>
    <n v="0"/>
    <n v="0.4130604138308893"/>
    <n v="3.420946372059709"/>
    <n v="0"/>
    <n v="4.114017515473714"/>
    <n v="0"/>
    <n v="1.557359038675011"/>
    <n v="0"/>
    <n v="0"/>
    <n v="1.63030450899316"/>
    <n v="0.379173765027837"/>
    <n v="2.311515325326097"/>
    <n v="1.426092862258977"/>
    <n v="0.3659758070729643"/>
    <n v="0"/>
    <n v="0"/>
    <n v="0"/>
    <m/>
    <n v="0"/>
    <m/>
    <n v="0.689557632985478"/>
    <m/>
    <n v="0.7610227918032834"/>
    <m/>
    <m/>
    <n v="0.01942240028764414"/>
    <n v="0"/>
    <n v="0"/>
    <n v="3.558722352061592"/>
    <m/>
    <n v="0"/>
    <n v="0"/>
    <n v="0"/>
    <n v="0"/>
    <n v="0"/>
    <x v="0"/>
    <m/>
    <x v="2"/>
    <x v="1"/>
    <s v="no root cause"/>
    <x v="1"/>
    <s v=""/>
  </r>
  <r>
    <s v="CNR"/>
    <s v="CTR_002"/>
    <s v="Yaounde"/>
    <s v="IHS"/>
    <s v="Grid-Gen"/>
    <s v="CENTRE"/>
    <s v="Yaounde"/>
    <s v="ZTE"/>
    <n v="6.358383770934814"/>
    <n v="9.245704599738039"/>
    <n v="9.245704599738039"/>
    <n v="9.245704599738039"/>
    <n v="9.245704599738039"/>
    <n v="8.932859490972596"/>
    <n v="9.245704599738039"/>
    <n v="7.464265637083267"/>
    <n v="4.64318428915085"/>
    <n v="9.245704599738039"/>
    <n v="9.245704599738039"/>
    <n v="16.67174966398712"/>
    <n v="9.245704599738039"/>
    <n v="9.245704599738039"/>
    <n v="9.273384641286636"/>
    <n v="9.245704599738039"/>
    <n v="5.822189976400626"/>
    <n v="9.245704599738039"/>
    <n v="9.245704599738039"/>
    <n v="9.245704599738039"/>
    <n v="0"/>
    <n v="9.245704599738039"/>
    <n v="9.245704599738039"/>
    <n v="19.34348006608967"/>
    <m/>
    <n v="9.245704599738039"/>
    <m/>
    <n v="9.25597760484886"/>
    <m/>
    <n v="9.245704599738039"/>
    <m/>
    <m/>
    <n v="0.05156121141559147"/>
    <n v="0"/>
    <n v="0.04708460675792468"/>
    <n v="3.116662100886618"/>
    <m/>
    <n v="0"/>
    <n v="0"/>
    <n v="0"/>
    <n v="0"/>
    <n v="0"/>
    <x v="0"/>
    <m/>
    <x v="11"/>
    <x v="7"/>
    <s v="BSS Hardware issue"/>
    <x v="2"/>
    <s v="05-25-2026: hardware issue,  site with GPS issue (alarm : TDD down 09Apr 02pm)"/>
  </r>
  <r>
    <s v="Kaele"/>
    <s v="EXN_011"/>
    <s v="EXTREME-NORD"/>
    <s v="IHS"/>
    <s v="Grid-Gen"/>
    <s v="EXTREME-NORD"/>
    <s v="Kaele"/>
    <s v="NOKIA"/>
    <n v="0.2333303223682986"/>
    <n v="0.5959772395331998"/>
    <n v="0.9254613011166781"/>
    <n v="0"/>
    <n v="0"/>
    <n v="0"/>
    <n v="0"/>
    <n v="0.1053995559634414"/>
    <n v="0"/>
    <n v="0.1107479614387852"/>
    <n v="0"/>
    <n v="4.083037984436398"/>
    <n v="0.1312242009573232"/>
    <n v="0.01967321646281721"/>
    <n v="0.4269450150752874"/>
    <n v="0.0602129584658272"/>
    <n v="0.07012925684938762"/>
    <n v="0.05166822188549595"/>
    <n v="0"/>
    <n v="0.2079093655805535"/>
    <n v="0"/>
    <n v="0.006688154369023465"/>
    <n v="0.05876998409656591"/>
    <n v="1.507282405801476"/>
    <m/>
    <n v="0.009113725020189308"/>
    <m/>
    <n v="0"/>
    <m/>
    <n v="0.1663121053097168"/>
    <m/>
    <m/>
    <n v="1.401337773554431"/>
    <n v="0"/>
    <n v="0"/>
    <n v="2.673362721568681"/>
    <m/>
    <n v="0"/>
    <n v="0"/>
    <n v="0"/>
    <n v="0"/>
    <n v="0"/>
    <x v="1"/>
    <m/>
    <x v="2"/>
    <x v="1"/>
    <s v="no root cause"/>
    <x v="1"/>
    <s v=""/>
  </r>
  <r>
    <s v="NRD_266_H_Garoua-Bockle-II"/>
    <s v="NRD_266"/>
    <s v=""/>
    <s v="ESCO"/>
    <s v="Hybrid Solar - S1"/>
    <s v="NRD"/>
    <s v="Garoua"/>
    <s v="Huawei"/>
    <n v="2.849795824023422"/>
    <n v="0.4901079521620396"/>
    <n v="0"/>
    <n v="0"/>
    <n v="1.856702993154184"/>
    <n v="5.617692968413363"/>
    <n v="0.9377862530069945"/>
    <n v="1.822388302471513"/>
    <n v="0"/>
    <n v="0.3694714824231736"/>
    <n v="3.114468386253577"/>
    <n v="0"/>
    <n v="0"/>
    <s v=""/>
    <n v="0"/>
    <n v="0"/>
    <n v="0"/>
    <n v="0"/>
    <n v="0.1984152462810295"/>
    <n v="0"/>
    <n v="0"/>
    <n v="0"/>
    <n v="4.198466611306584"/>
    <n v="0"/>
    <m/>
    <n v="1.227552770429726"/>
    <m/>
    <n v="0"/>
    <m/>
    <n v="0"/>
    <m/>
    <m/>
    <n v="0"/>
    <n v="0"/>
    <n v="0"/>
    <n v="2.421646933936017"/>
    <m/>
    <n v="0"/>
    <n v="0"/>
    <n v="0"/>
    <n v="0"/>
    <n v="0"/>
    <x v="0"/>
    <m/>
    <x v="2"/>
    <x v="1"/>
    <s v="no root cause"/>
    <x v="1"/>
    <s v=""/>
  </r>
  <r>
    <s v="BTS-Mobile-Marche-Central"/>
    <s v="LIT_763"/>
    <s v="Douala"/>
    <s v="CAMUSAT"/>
    <s v="Good Grid + GE"/>
    <s v="LITTORAL"/>
    <s v="Douala"/>
    <s v="ZTE"/>
    <n v="0"/>
    <n v="0.8127266838454142"/>
    <n v="0.5813878829904716"/>
    <n v="0.7938571709856089"/>
    <n v="1.180343318123578"/>
    <n v="0.9770590954619"/>
    <n v="0"/>
    <n v="0"/>
    <n v="0.7521230877229024"/>
    <n v="1.467684264895144"/>
    <n v="0.5485356687298287"/>
    <n v="0.03176427448328191"/>
    <n v="1.050967660009189"/>
    <n v="0"/>
    <n v="0.5038944677013868"/>
    <n v="1.217975333373284"/>
    <n v="0.8975146461663143"/>
    <n v="0.2383123164770438"/>
    <n v="0"/>
    <n v="1.699237086689895"/>
    <n v="0"/>
    <n v="0"/>
    <n v="0"/>
    <n v="0.5789088071043537"/>
    <m/>
    <n v="0"/>
    <m/>
    <n v="1.585181760850148"/>
    <m/>
    <n v="0.5116705618477719"/>
    <m/>
    <m/>
    <n v="0"/>
    <n v="0"/>
    <n v="0"/>
    <n v="2.231614174464163"/>
    <m/>
    <n v="0"/>
    <n v="0"/>
    <n v="0"/>
    <n v="0"/>
    <n v="0"/>
    <x v="0"/>
    <m/>
    <x v="2"/>
    <x v="1"/>
    <s v="no root cause"/>
    <x v="1"/>
    <s v=""/>
  </r>
  <r>
    <s v="Bberi-Chateau"/>
    <s v="LIT_017"/>
    <s v="Douala"/>
    <s v="IHS"/>
    <s v="Grid-Gen"/>
    <s v="LITTORAL"/>
    <s v="Douala"/>
    <s v="ZTE"/>
    <n v="1.675980144564011"/>
    <n v="0"/>
    <n v="0"/>
    <n v="0"/>
    <n v="0"/>
    <n v="0"/>
    <n v="0"/>
    <n v="0"/>
    <n v="0"/>
    <n v="0"/>
    <n v="5.53236995374294"/>
    <n v="0"/>
    <n v="2.212923012387533"/>
    <n v="2.378325528703062"/>
    <n v="0.5294521349302153"/>
    <n v="2.317953788598673"/>
    <n v="0"/>
    <n v="2.987553968946988"/>
    <n v="5.686554205796829"/>
    <n v="12.17445631547257"/>
    <n v="0"/>
    <n v="0"/>
    <n v="0"/>
    <n v="0"/>
    <m/>
    <n v="0"/>
    <m/>
    <n v="0"/>
    <m/>
    <n v="0.02860746562110292"/>
    <m/>
    <m/>
    <n v="0"/>
    <n v="1.292971837697934"/>
    <n v="25.25079687129923"/>
    <n v="2.216061986171394"/>
    <m/>
    <n v="0"/>
    <n v="0"/>
    <n v="0"/>
    <n v="0"/>
    <n v="0"/>
    <x v="0"/>
    <m/>
    <x v="2"/>
    <x v="1"/>
    <s v="no root cause"/>
    <x v="1"/>
    <s v=""/>
  </r>
  <r>
    <s v="Foumban-Njibam"/>
    <s v="OST_177"/>
    <s v="OUEST"/>
    <s v="IHS"/>
    <s v="Grid-Gen"/>
    <s v="OUEST"/>
    <s v="Foumban"/>
    <s v="Huawei"/>
    <n v="1.691389652230241"/>
    <n v="1.457036723139659"/>
    <n v="0"/>
    <n v="0"/>
    <n v="0"/>
    <n v="0"/>
    <n v="0"/>
    <n v="0"/>
    <n v="0"/>
    <n v="0"/>
    <n v="0.6695288400350424"/>
    <n v="0.2828643421138991"/>
    <n v="3.418895338053209"/>
    <n v="0"/>
    <n v="0"/>
    <n v="0"/>
    <n v="0"/>
    <n v="0"/>
    <n v="0"/>
    <n v="0"/>
    <n v="1.111553421053383"/>
    <n v="1.370340407438797"/>
    <n v="0.5956559456443887"/>
    <n v="0"/>
    <m/>
    <n v="0"/>
    <m/>
    <n v="0"/>
    <m/>
    <n v="13.64074944425896"/>
    <m/>
    <m/>
    <n v="0.8253182491374955"/>
    <n v="0"/>
    <n v="0"/>
    <n v="2.102791403777613"/>
    <m/>
    <n v="0"/>
    <n v="0"/>
    <n v="0"/>
    <n v="0"/>
    <n v="0"/>
    <x v="0"/>
    <m/>
    <x v="2"/>
    <x v="1"/>
    <s v="no root cause"/>
    <x v="1"/>
    <s v=""/>
  </r>
  <r>
    <s v="Ndobo-Rail"/>
    <s v="LIT_260"/>
    <s v="Douala"/>
    <s v="IHS"/>
    <s v="Grid-Gen"/>
    <s v="LITTORAL"/>
    <s v="Douala"/>
    <s v="ZTE"/>
    <n v="1.056514369365899"/>
    <n v="0"/>
    <n v="0"/>
    <n v="0"/>
    <n v="0"/>
    <n v="0"/>
    <n v="0"/>
    <n v="0"/>
    <n v="0"/>
    <n v="0"/>
    <n v="4.224862527216329"/>
    <n v="0"/>
    <n v="2.038959658479653"/>
    <n v="2.086936019153447"/>
    <n v="0.7668548624130721"/>
    <n v="0"/>
    <n v="0"/>
    <n v="1.992588454854423"/>
    <n v="4.094077897914866"/>
    <n v="8.637724614976332"/>
    <n v="0"/>
    <n v="0"/>
    <n v="0"/>
    <n v="0"/>
    <m/>
    <n v="0"/>
    <m/>
    <n v="0"/>
    <m/>
    <n v="0.7154006614673848"/>
    <m/>
    <m/>
    <n v="0"/>
    <n v="0.8930202064303309"/>
    <n v="24.35831171721841"/>
    <n v="2.009478274020998"/>
    <m/>
    <n v="0"/>
    <n v="0"/>
    <n v="0"/>
    <n v="0"/>
    <n v="0"/>
    <x v="0"/>
    <m/>
    <x v="2"/>
    <x v="1"/>
    <s v="no root cause"/>
    <x v="1"/>
    <s v=""/>
  </r>
  <r>
    <s v="Foumban-Manka-IHS"/>
    <s v="OST_042"/>
    <s v="OUEST"/>
    <s v="IHS"/>
    <s v="Grid-Gen"/>
    <s v="OUEST"/>
    <s v="Foumban"/>
    <s v="Huawei"/>
    <n v="1.773769878978292"/>
    <n v="1.539541795435931"/>
    <n v="0"/>
    <n v="0"/>
    <n v="0"/>
    <n v="0"/>
    <n v="0"/>
    <n v="0"/>
    <n v="0"/>
    <n v="0"/>
    <n v="0.2439838713819761"/>
    <n v="0.2348344762051516"/>
    <n v="3.553353993488056"/>
    <n v="0"/>
    <n v="0"/>
    <n v="0"/>
    <n v="0.962737527573031"/>
    <n v="0"/>
    <n v="0"/>
    <n v="0"/>
    <n v="0.104477888783305"/>
    <n v="0.5833854117620203"/>
    <n v="0.6094246261054184"/>
    <n v="1.575907520125102"/>
    <m/>
    <n v="0"/>
    <m/>
    <n v="0"/>
    <m/>
    <n v="5.653826837084408"/>
    <m/>
    <m/>
    <n v="0.8202352518170377"/>
    <n v="0"/>
    <n v="0.0002675261747609386"/>
    <n v="2.001809190344515"/>
    <m/>
    <n v="0"/>
    <n v="0"/>
    <n v="0"/>
    <n v="0"/>
    <n v="0"/>
    <x v="0"/>
    <m/>
    <x v="2"/>
    <x v="1"/>
    <s v="no root cause"/>
    <x v="1"/>
    <s v=""/>
  </r>
  <r>
    <s v="Nitob-IHS"/>
    <s v="NRO_122"/>
    <s v="NORD-OUEST"/>
    <s v="IHS"/>
    <s v="Grid-Gen"/>
    <s v="NORD-OUEST"/>
    <s v="Bamenda"/>
    <s v="Huawei"/>
    <n v="16.30019147740082"/>
    <n v="11.87958896565106"/>
    <n v="9.27823578258897"/>
    <n v="0"/>
    <n v="0"/>
    <n v="0"/>
    <n v="0"/>
    <n v="0"/>
    <n v="1.493866159865081"/>
    <n v="0"/>
    <n v="0"/>
    <n v="0.02834177683720937"/>
    <n v="7.687364631755571"/>
    <n v="13.50973295893937"/>
    <n v="0"/>
    <n v="0"/>
    <n v="0"/>
    <n v="1.396504467330417"/>
    <n v="18.49140919947608"/>
    <n v="49.6244289207923"/>
    <n v="0.09347364546147195"/>
    <n v="37.9647464707947"/>
    <n v="0"/>
    <n v="0"/>
    <m/>
    <n v="0"/>
    <m/>
    <n v="0"/>
    <m/>
    <n v="0"/>
    <m/>
    <m/>
    <n v="0"/>
    <n v="0"/>
    <n v="9.351181252907118"/>
    <n v="1.91589761808962"/>
    <m/>
    <n v="0"/>
    <n v="0"/>
    <n v="0"/>
    <n v="0"/>
    <n v="0"/>
    <x v="0"/>
    <m/>
    <x v="2"/>
    <x v="1"/>
    <s v="no root cause"/>
    <x v="1"/>
    <s v=""/>
  </r>
  <r>
    <s v="Nkambe"/>
    <s v="NRO_005"/>
    <s v="NORD-OUEST"/>
    <s v="CAMUSAT"/>
    <s v="HGB"/>
    <s v="NORD-OUEST"/>
    <s v="Nkambe"/>
    <s v="NOKIA"/>
    <n v="0.503955656577674"/>
    <n v="2.852542969077192"/>
    <n v="0.8363177281346104"/>
    <n v="0.05656531517758638"/>
    <n v="4.894627318097605"/>
    <n v="0"/>
    <n v="0.1933404833796421"/>
    <n v="0.06836552769088247"/>
    <n v="1.264771612852448"/>
    <n v="2.970193526748626"/>
    <n v="6.435623392514504"/>
    <n v="10.0238668419343"/>
    <n v="0.7564829391780089"/>
    <n v="2.995936455756164"/>
    <n v="4.114017515473714"/>
    <n v="0.05842771656778936"/>
    <n v="0.01159280090630716"/>
    <n v="0.09222518997925405"/>
    <n v="0.1055836636389837"/>
    <n v="0.02882148656091154"/>
    <n v="0"/>
    <n v="0.3659758070729643"/>
    <n v="0"/>
    <n v="0"/>
    <m/>
    <n v="0.002942787922370271"/>
    <m/>
    <n v="0.2034269032882177"/>
    <m/>
    <n v="0.04242965131708513"/>
    <m/>
    <m/>
    <n v="0"/>
    <n v="0"/>
    <n v="0"/>
    <n v="1.883402105395325"/>
    <m/>
    <n v="0"/>
    <n v="0"/>
    <n v="0"/>
    <n v="0"/>
    <n v="0"/>
    <x v="1"/>
    <m/>
    <x v="2"/>
    <x v="1"/>
    <s v="no root cause"/>
    <x v="1"/>
    <s v=""/>
  </r>
  <r>
    <s v="Foumban-Mambain-MTN"/>
    <s v="OST_102"/>
    <s v="OUEST"/>
    <m/>
    <m/>
    <s v="OUEST"/>
    <s v="Foumban"/>
    <s v="Huawei"/>
    <n v="0"/>
    <n v="0"/>
    <n v="0"/>
    <n v="0.956245559065499"/>
    <n v="0"/>
    <n v="0"/>
    <n v="0"/>
    <n v="2.176503782463409"/>
    <n v="4.688824254565067"/>
    <n v="0.502877868237295"/>
    <n v="0"/>
    <n v="1.040213107783799"/>
    <n v="0"/>
    <n v="0"/>
    <n v="0"/>
    <n v="0"/>
    <n v="0"/>
    <n v="5.832070609788462"/>
    <n v="0.470667716796078"/>
    <n v="0"/>
    <n v="1.077595431937061"/>
    <n v="0"/>
    <n v="0.9893117942659508"/>
    <n v="0"/>
    <m/>
    <n v="0"/>
    <m/>
    <n v="0"/>
    <m/>
    <n v="0"/>
    <m/>
    <m/>
    <n v="0.3255793546840622"/>
    <n v="0.54612793315698"/>
    <n v="0.7052881720614211"/>
    <n v="1.848338341423325"/>
    <m/>
    <n v="0"/>
    <n v="0"/>
    <n v="0"/>
    <n v="0"/>
    <n v="0"/>
    <x v="0"/>
    <m/>
    <x v="2"/>
    <x v="1"/>
    <s v="no root cause"/>
    <x v="1"/>
    <s v=""/>
  </r>
  <r>
    <s v="Bamenda-Nchuobuh-IHS"/>
    <s v="NRO_125"/>
    <s v="NORD-OUEST"/>
    <s v="IHS"/>
    <s v="Grid-Gen"/>
    <s v="NORD-OUEST"/>
    <s v="Bamenda"/>
    <s v="Huawei"/>
    <n v="16.29867549574384"/>
    <n v="11.22031529564853"/>
    <n v="12.54699543136634"/>
    <n v="11.03768409367839"/>
    <n v="35.83372213804064"/>
    <n v="35.42838431312119"/>
    <n v="0"/>
    <n v="0"/>
    <n v="1.494508222684507"/>
    <n v="0"/>
    <n v="0"/>
    <n v="0.01685414900993909"/>
    <n v="7.803381816210234"/>
    <n v="12.65033187513733"/>
    <n v="0"/>
    <n v="0"/>
    <n v="0"/>
    <n v="1.39682549874013"/>
    <n v="18.49140919947608"/>
    <n v="49.62931573225126"/>
    <n v="0.00240773557284831"/>
    <n v="37.8817063461489"/>
    <n v="0"/>
    <n v="0"/>
    <m/>
    <n v="0"/>
    <m/>
    <n v="0"/>
    <m/>
    <n v="0"/>
    <m/>
    <m/>
    <n v="0"/>
    <n v="0"/>
    <n v="9.276773306166945"/>
    <n v="1.806782608943793"/>
    <m/>
    <n v="0"/>
    <n v="0"/>
    <n v="0"/>
    <n v="0"/>
    <n v="0"/>
    <x v="0"/>
    <m/>
    <x v="2"/>
    <x v="1"/>
    <s v="no root cause"/>
    <x v="1"/>
    <s v=""/>
  </r>
  <r>
    <s v="Ngambouo"/>
    <s v="OST_220"/>
    <s v="OUEST"/>
    <s v="IHS"/>
    <s v="Hybrid-Gen"/>
    <s v="OUEST"/>
    <s v="Ngambouo"/>
    <s v="NOKIA"/>
    <n v="0"/>
    <n v="0"/>
    <n v="0"/>
    <n v="0"/>
    <n v="0"/>
    <n v="1.005600833642482"/>
    <n v="0"/>
    <n v="0"/>
    <n v="0"/>
    <n v="0"/>
    <n v="0.01381017562742041"/>
    <n v="0"/>
    <n v="0"/>
    <n v="0"/>
    <n v="0"/>
    <n v="0"/>
    <n v="0"/>
    <n v="0"/>
    <n v="0"/>
    <n v="0"/>
    <n v="0"/>
    <n v="0"/>
    <n v="0"/>
    <n v="0"/>
    <m/>
    <n v="0"/>
    <m/>
    <n v="0.007847434459654221"/>
    <m/>
    <n v="0.01146795535808547"/>
    <m/>
    <m/>
    <n v="0"/>
    <n v="0"/>
    <n v="2.009781470352392"/>
    <n v="1.798079090724904"/>
    <m/>
    <n v="0"/>
    <n v="0"/>
    <n v="0"/>
    <n v="0"/>
    <n v="0"/>
    <x v="0"/>
    <m/>
    <x v="2"/>
    <x v="1"/>
    <s v="no root cause"/>
    <x v="1"/>
    <s v=""/>
  </r>
  <r>
    <s v="Ngd-Maraba-MTN"/>
    <s v="ADM_167"/>
    <s v="Ngaoundere"/>
    <s v="MTN sharing"/>
    <m/>
    <s v="ADAMAOUA"/>
    <s v="Ngaoundere"/>
    <s v="Huawei"/>
    <n v="0"/>
    <n v="0"/>
    <n v="0"/>
    <n v="0"/>
    <n v="0"/>
    <n v="0"/>
    <n v="0"/>
    <n v="0"/>
    <n v="0"/>
    <n v="0"/>
    <n v="0"/>
    <n v="0"/>
    <n v="2.242778933490853"/>
    <n v="0.7224633524810734"/>
    <n v="0.4080309217453835"/>
    <n v="0"/>
    <n v="0"/>
    <n v="0"/>
    <n v="0"/>
    <n v="0"/>
    <n v="0"/>
    <n v="0"/>
    <n v="0"/>
    <n v="0"/>
    <m/>
    <n v="0"/>
    <m/>
    <n v="0"/>
    <m/>
    <n v="0.1523115688305611"/>
    <m/>
    <m/>
    <n v="0"/>
    <n v="0"/>
    <n v="0"/>
    <n v="1.409595414815386"/>
    <m/>
    <n v="0"/>
    <n v="0"/>
    <n v="0"/>
    <n v="0"/>
    <n v="0"/>
    <x v="0"/>
    <m/>
    <x v="2"/>
    <x v="1"/>
    <s v="no root cause"/>
    <x v="1"/>
    <s v=""/>
  </r>
  <r>
    <s v="Ngd-Aoudi-IHS"/>
    <s v="ADM_115"/>
    <s v="Ngaoundere"/>
    <s v="IHS"/>
    <s v="Grid-Gen"/>
    <s v="ADAMAOUA"/>
    <s v="Ngaoundere"/>
    <s v="Huawei"/>
    <n v="0.7481993704930757"/>
    <n v="0.109061503910876"/>
    <n v="0"/>
    <n v="0"/>
    <n v="0"/>
    <n v="0"/>
    <n v="0"/>
    <n v="0"/>
    <n v="0"/>
    <n v="0"/>
    <n v="0"/>
    <n v="0"/>
    <n v="0"/>
    <n v="0"/>
    <n v="0"/>
    <n v="0"/>
    <n v="0"/>
    <n v="0"/>
    <n v="0"/>
    <n v="0"/>
    <n v="0"/>
    <n v="0"/>
    <n v="0"/>
    <n v="0"/>
    <m/>
    <n v="0"/>
    <m/>
    <n v="0"/>
    <m/>
    <n v="0"/>
    <m/>
    <m/>
    <n v="0"/>
    <n v="0"/>
    <n v="0"/>
    <n v="1.240215676035076"/>
    <m/>
    <n v="0"/>
    <n v="0"/>
    <n v="0"/>
    <n v="0"/>
    <n v="0"/>
    <x v="0"/>
    <m/>
    <x v="2"/>
    <x v="1"/>
    <s v="no root cause"/>
    <x v="1"/>
    <s v=""/>
  </r>
  <r>
    <s v="Bda-Chinde"/>
    <s v="NRO_227"/>
    <s v="NORD-OUEST"/>
    <s v="IHS"/>
    <s v="Hybrid-Gen-Lithium"/>
    <s v="NORD-OUEST"/>
    <s v="Bamenda"/>
    <s v="Huawei"/>
    <n v="6.543939925749003"/>
    <n v="0.1916200814421016"/>
    <n v="4.090207685919991"/>
    <n v="0.007472897814988885"/>
    <n v="0.007383722423401905"/>
    <n v="0.007562073206575864"/>
    <n v="0"/>
    <n v="0"/>
    <n v="0.8173281340513022"/>
    <n v="0"/>
    <n v="0.002942787922370325"/>
    <n v="0"/>
    <n v="3.436284539412669"/>
    <n v="4.980980672482328"/>
    <n v="0"/>
    <n v="0"/>
    <n v="0"/>
    <n v="1.657342487722332"/>
    <n v="23.11426149934509"/>
    <n v="23.02884930928309"/>
    <n v="0.00178381752228168"/>
    <n v="15.2277682181758"/>
    <n v="0"/>
    <n v="0"/>
    <m/>
    <n v="0"/>
    <m/>
    <n v="0"/>
    <m/>
    <n v="0"/>
    <m/>
    <m/>
    <n v="0"/>
    <n v="0"/>
    <n v="4.858632035224993"/>
    <n v="1.232938964081579"/>
    <m/>
    <n v="0"/>
    <n v="0"/>
    <n v="0"/>
    <n v="0"/>
    <n v="0"/>
    <x v="0"/>
    <m/>
    <x v="2"/>
    <x v="1"/>
    <s v="no root cause"/>
    <x v="1"/>
    <s v=""/>
  </r>
  <r>
    <s v="ADM_238_H_NGD-MARZA"/>
    <s v="ADM_238"/>
    <s v=""/>
    <s v="ESCO"/>
    <s v="Hybrid Solar - S1"/>
    <s v="ADM"/>
    <s v="Ngaoundere"/>
    <s v="Huawei"/>
    <n v="0"/>
    <n v="0"/>
    <n v="0"/>
    <n v="0"/>
    <n v="0"/>
    <n v="0"/>
    <n v="0"/>
    <n v="0"/>
    <n v="0"/>
    <n v="0"/>
    <n v="0.1768348015169804"/>
    <n v="0.2632457559647636"/>
    <n v="0"/>
    <s v=""/>
    <n v="0"/>
    <n v="1.032294333010875"/>
    <n v="0"/>
    <n v="0"/>
    <n v="0"/>
    <n v="8.917539158697954e-05"/>
    <n v="0"/>
    <n v="0"/>
    <n v="0"/>
    <n v="0.1804909925720466"/>
    <m/>
    <n v="0"/>
    <m/>
    <n v="1.868759506096744"/>
    <m/>
    <n v="0"/>
    <m/>
    <m/>
    <n v="0"/>
    <n v="0"/>
    <n v="0"/>
    <n v="1.16636061672274"/>
    <m/>
    <n v="0"/>
    <n v="0"/>
    <n v="0"/>
    <n v="0"/>
    <n v="0"/>
    <x v="2"/>
    <s v="not accepted"/>
    <x v="9"/>
    <x v="5"/>
    <s v="EXCLU"/>
    <x v="4"/>
    <s v=""/>
  </r>
  <r>
    <s v="Ngd-Bamyangal-rural"/>
    <s v="ADM_151"/>
    <s v="Ngaoundere"/>
    <s v="CAMUSAT"/>
    <s v="Medium Grid + Solar + GE"/>
    <s v="ADAMAOUA"/>
    <s v="Ngaoundere"/>
    <s v="Huawei"/>
    <n v="0.1577512677173668"/>
    <n v="0.06741659603975651"/>
    <n v="0"/>
    <n v="0"/>
    <n v="0"/>
    <n v="0"/>
    <n v="0"/>
    <n v="0"/>
    <n v="0"/>
    <n v="0"/>
    <n v="0"/>
    <n v="0"/>
    <n v="0"/>
    <n v="0"/>
    <n v="0"/>
    <n v="0"/>
    <n v="0"/>
    <n v="0"/>
    <n v="0"/>
    <n v="0"/>
    <n v="0.05703658045903203"/>
    <n v="0"/>
    <n v="0"/>
    <n v="0"/>
    <m/>
    <n v="0"/>
    <m/>
    <n v="1.764691824114738"/>
    <m/>
    <n v="0"/>
    <m/>
    <m/>
    <n v="0"/>
    <n v="0"/>
    <n v="0"/>
    <n v="1.09746370918264"/>
    <m/>
    <n v="0"/>
    <n v="0"/>
    <n v="0"/>
    <n v="0"/>
    <n v="0"/>
    <x v="0"/>
    <m/>
    <x v="2"/>
    <x v="1"/>
    <s v="no root cause"/>
    <x v="1"/>
    <s v=""/>
  </r>
  <r>
    <s v="NYOM-Camtel"/>
    <s v="CTR_551"/>
    <s v="Yaounde"/>
    <s v="CAMUSAT"/>
    <s v="HGB"/>
    <s v="CENTRE"/>
    <s v="Yaounde"/>
    <s v="ZTE"/>
    <n v="0"/>
    <n v="0"/>
    <n v="0"/>
    <n v="0"/>
    <n v="0"/>
    <n v="0"/>
    <n v="0"/>
    <n v="0"/>
    <n v="0.0006420628194262528"/>
    <n v="0.1334420559707561"/>
    <n v="0"/>
    <n v="0"/>
    <n v="0"/>
    <n v="0"/>
    <n v="0"/>
    <n v="0"/>
    <n v="0"/>
    <n v="0"/>
    <n v="0"/>
    <n v="9.102667271632523"/>
    <n v="0"/>
    <n v="0.02377415939708847"/>
    <n v="0"/>
    <n v="0"/>
    <m/>
    <n v="11.74356082332429"/>
    <m/>
    <n v="1.146492339477161"/>
    <m/>
    <n v="0"/>
    <m/>
    <m/>
    <n v="0"/>
    <n v="6.393465369985132"/>
    <n v="0"/>
    <n v="0.9298139729991178"/>
    <m/>
    <n v="0"/>
    <n v="0"/>
    <n v="0"/>
    <n v="0"/>
    <n v="0"/>
    <x v="0"/>
    <m/>
    <x v="2"/>
    <x v="1"/>
    <s v="no root cause"/>
    <x v="1"/>
    <s v=""/>
  </r>
  <r>
    <s v="SCDP-New"/>
    <s v="LIT_739"/>
    <s v="Douala"/>
    <s v="CAMUSAT"/>
    <s v="Good Grid no GE - 8h"/>
    <s v="LITTORAL"/>
    <s v="Douala"/>
    <s v="ZTE"/>
    <n v="0"/>
    <n v="0"/>
    <n v="0"/>
    <n v="9.790227375846449"/>
    <n v="0"/>
    <n v="1.848766383302943"/>
    <n v="0"/>
    <n v="0"/>
    <n v="0.09352715069642392"/>
    <n v="0"/>
    <n v="0"/>
    <n v="0"/>
    <n v="39.4643911960346"/>
    <n v="13.86855689960706"/>
    <n v="42.7531618026841"/>
    <n v="1.788430313355193"/>
    <n v="0"/>
    <n v="0"/>
    <n v="0"/>
    <n v="0"/>
    <n v="0"/>
    <n v="0"/>
    <n v="1.859182069040302"/>
    <n v="1.359032967785568"/>
    <m/>
    <n v="0"/>
    <m/>
    <n v="0.6264392908202129"/>
    <m/>
    <n v="0.6132234977870213"/>
    <m/>
    <m/>
    <n v="0"/>
    <n v="0"/>
    <n v="1.147437598627985"/>
    <n v="0.8220900999620465"/>
    <m/>
    <n v="0"/>
    <n v="0"/>
    <n v="0"/>
    <n v="0"/>
    <n v="0"/>
    <x v="0"/>
    <m/>
    <x v="2"/>
    <x v="1"/>
    <s v="no root cause"/>
    <x v="1"/>
    <s v=""/>
  </r>
  <r>
    <s v="Befang-MTN"/>
    <s v="NRO_239"/>
    <s v="NORD-OUEST"/>
    <s v="IHS"/>
    <s v="Gen Only"/>
    <s v="NORD-OUEST"/>
    <s v="Befang"/>
    <s v="NOKIA"/>
    <n v="0"/>
    <n v="0"/>
    <n v="0"/>
    <n v="0"/>
    <n v="0"/>
    <n v="0"/>
    <n v="0"/>
    <n v="0"/>
    <n v="0"/>
    <n v="0.9478740216398465"/>
    <n v="0"/>
    <n v="0"/>
    <n v="0.5128496134967417"/>
    <n v="0"/>
    <n v="0"/>
    <n v="0"/>
    <n v="0"/>
    <n v="2.736685757334498"/>
    <n v="0"/>
    <n v="0"/>
    <n v="0"/>
    <n v="0.8898277274115165"/>
    <n v="0"/>
    <n v="0"/>
    <m/>
    <n v="0"/>
    <m/>
    <n v="0"/>
    <m/>
    <n v="0"/>
    <m/>
    <m/>
    <n v="0.6319146598636545"/>
    <n v="0"/>
    <n v="0"/>
    <n v="0.8218225737872862"/>
    <m/>
    <n v="0"/>
    <n v="0"/>
    <n v="0"/>
    <n v="0"/>
    <n v="0"/>
    <x v="1"/>
    <m/>
    <x v="2"/>
    <x v="1"/>
    <s v="no root cause"/>
    <x v="1"/>
    <s v=""/>
  </r>
  <r>
    <s v="DEIDO-MARCHE"/>
    <s v="LIT_651"/>
    <s v="Douala"/>
    <s v="CAMUSAT"/>
    <s v="Good Grid no GE - 12h"/>
    <s v="LITTORAL"/>
    <s v="Douala"/>
    <s v="ZTE"/>
    <n v="5.003060499439263"/>
    <n v="0"/>
    <n v="0"/>
    <n v="0"/>
    <n v="0"/>
    <n v="0"/>
    <n v="0"/>
    <n v="0"/>
    <n v="0"/>
    <n v="0"/>
    <n v="0"/>
    <n v="0"/>
    <n v="0"/>
    <n v="0"/>
    <n v="0.7745417811678682"/>
    <n v="4.016959019270447"/>
    <n v="0"/>
    <n v="0.7021491982775585"/>
    <n v="0"/>
    <n v="0"/>
    <n v="0"/>
    <n v="2.051194522205387"/>
    <n v="3.613386867104411"/>
    <n v="5.854649818938285"/>
    <m/>
    <n v="0"/>
    <m/>
    <n v="0"/>
    <m/>
    <n v="5.662334169441808"/>
    <m/>
    <m/>
    <n v="0"/>
    <n v="0"/>
    <n v="2.090503034816925"/>
    <n v="0.8189154560215501"/>
    <m/>
    <n v="0"/>
    <n v="0"/>
    <n v="0"/>
    <n v="0"/>
    <n v="0"/>
    <x v="0"/>
    <m/>
    <x v="2"/>
    <x v="1"/>
    <s v="no root cause"/>
    <x v="1"/>
    <s v=""/>
  </r>
  <r>
    <s v="CTR_954_Z_Nkolfoulou-III"/>
    <s v="CTR_954"/>
    <s v="Yaounde"/>
    <m/>
    <e v="#N/A"/>
    <s v="CENTRE"/>
    <s v="Yaounde"/>
    <s v="ZTE"/>
    <n v="0"/>
    <n v="0"/>
    <n v="0"/>
    <n v="0"/>
    <n v="0"/>
    <n v="0"/>
    <n v="0"/>
    <n v="0"/>
    <n v="0.6249946494765048"/>
    <n v="0"/>
    <n v="0"/>
    <n v="0.004547944970935983"/>
    <n v="0"/>
    <n v="0"/>
    <n v="0"/>
    <n v="0"/>
    <n v="0"/>
    <n v="0"/>
    <n v="0"/>
    <n v="0"/>
    <n v="0"/>
    <n v="0"/>
    <n v="0"/>
    <n v="0"/>
    <m/>
    <n v="0"/>
    <m/>
    <n v="0"/>
    <m/>
    <n v="0"/>
    <m/>
    <m/>
    <n v="0"/>
    <n v="0"/>
    <n v="0"/>
    <n v="0.8042550216446512"/>
    <m/>
    <n v="0"/>
    <n v="0"/>
    <n v="0"/>
    <n v="0"/>
    <n v="0"/>
    <x v="0"/>
    <m/>
    <x v="2"/>
    <x v="1"/>
    <s v="no root cause"/>
    <x v="1"/>
    <s v=""/>
  </r>
  <r>
    <s v="Agape"/>
    <s v="LIT_609"/>
    <s v="Douala"/>
    <s v="CAMUSAT"/>
    <s v="Good Grid no GE - 8h"/>
    <s v="LITTORAL"/>
    <s v="Douala"/>
    <s v="ZTE"/>
    <n v="0"/>
    <n v="4.241859356852808"/>
    <n v="0"/>
    <n v="0"/>
    <n v="0.3876097570719648"/>
    <n v="13.38360328507875"/>
    <n v="0.6445775654690068"/>
    <n v="0"/>
    <n v="0"/>
    <n v="0"/>
    <n v="0"/>
    <n v="0"/>
    <n v="1.01096357934327"/>
    <n v="0"/>
    <n v="0.4047849374916169"/>
    <n v="0.6041097727668353"/>
    <n v="0.4326076596667552"/>
    <n v="0"/>
    <n v="0"/>
    <n v="0"/>
    <n v="0"/>
    <n v="2.562597557878397"/>
    <n v="0.4026090579368948"/>
    <n v="0"/>
    <m/>
    <n v="0"/>
    <m/>
    <n v="0.5954597597828976"/>
    <m/>
    <n v="0"/>
    <m/>
    <m/>
    <n v="0"/>
    <n v="0.6718652352946226"/>
    <n v="0"/>
    <n v="0.7633235169062268"/>
    <m/>
    <n v="0"/>
    <n v="0"/>
    <n v="0"/>
    <n v="0"/>
    <n v="0"/>
    <x v="0"/>
    <m/>
    <x v="2"/>
    <x v="1"/>
    <s v="no root cause"/>
    <x v="1"/>
    <s v=""/>
  </r>
  <r>
    <s v="Batouri"/>
    <s v="EST_005"/>
    <s v="CENTRE"/>
    <s v="CAMUSAT"/>
    <s v="Bad Grid + Solar + GE"/>
    <s v="EST"/>
    <s v="Batouri"/>
    <s v="ZTE"/>
    <n v="0"/>
    <n v="0"/>
    <n v="0"/>
    <n v="0"/>
    <n v="0"/>
    <n v="0"/>
    <n v="0"/>
    <n v="2.460135032944956"/>
    <n v="21.77434773551578"/>
    <n v="46.76803411779143"/>
    <n v="28.48381502312853"/>
    <n v="0"/>
    <n v="5.780687749156044"/>
    <n v="4.467116396001519"/>
    <n v="0"/>
    <n v="3.458756738092588"/>
    <n v="26.53524354156144"/>
    <n v="0"/>
    <n v="1.15705070584106"/>
    <n v="1.109698572908373"/>
    <n v="18.69670878598762"/>
    <n v="0.8858148347901026"/>
    <n v="0"/>
    <n v="0"/>
    <m/>
    <n v="0"/>
    <m/>
    <n v="0"/>
    <m/>
    <n v="0"/>
    <m/>
    <m/>
    <n v="0"/>
    <n v="4.329590107096078"/>
    <n v="0"/>
    <n v="0.7293655277899058"/>
    <m/>
    <n v="0"/>
    <n v="0"/>
    <n v="0"/>
    <n v="0"/>
    <n v="0"/>
    <x v="0"/>
    <m/>
    <x v="2"/>
    <x v="1"/>
    <s v="no root cause"/>
    <x v="1"/>
    <s v=""/>
  </r>
  <r>
    <s v="Ndogpassi-Pays-Bas-IHS"/>
    <s v="LIT_634"/>
    <s v="Douala"/>
    <s v="IHS"/>
    <s v="Grid-Gen"/>
    <s v="LITTORAL"/>
    <s v="Douala"/>
    <s v="ZTE"/>
    <n v="0"/>
    <n v="0"/>
    <n v="0"/>
    <n v="0"/>
    <n v="0"/>
    <n v="0"/>
    <n v="0"/>
    <n v="0"/>
    <n v="0"/>
    <n v="0"/>
    <n v="0"/>
    <n v="0"/>
    <n v="0"/>
    <n v="0"/>
    <n v="0"/>
    <n v="0"/>
    <n v="0"/>
    <n v="0"/>
    <n v="0"/>
    <n v="0"/>
    <n v="0"/>
    <n v="0"/>
    <n v="0"/>
    <n v="0"/>
    <m/>
    <n v="0"/>
    <m/>
    <n v="0"/>
    <m/>
    <n v="0"/>
    <m/>
    <m/>
    <n v="1.522027748528249"/>
    <n v="3.799834775834467"/>
    <n v="0"/>
    <n v="0.7142057112201192"/>
    <m/>
    <n v="0"/>
    <n v="0"/>
    <n v="0"/>
    <n v="0"/>
    <n v="0"/>
    <x v="0"/>
    <m/>
    <x v="2"/>
    <x v="1"/>
    <s v="no root cause"/>
    <x v="1"/>
    <s v=""/>
  </r>
  <r>
    <s v="Limbe-Federal-Qter"/>
    <s v="SUO_065"/>
    <s v="SUD-OUEST"/>
    <s v="IHS"/>
    <s v="Grid-Gen"/>
    <s v="SUD-OUEST"/>
    <s v="Limbe"/>
    <s v="Huawei"/>
    <n v="4.322063704046137"/>
    <n v="0.1539167258791266"/>
    <n v="0"/>
    <n v="0"/>
    <n v="0"/>
    <n v="0"/>
    <n v="0"/>
    <n v="0"/>
    <n v="0"/>
    <n v="0"/>
    <n v="0"/>
    <n v="0"/>
    <n v="0"/>
    <n v="0"/>
    <n v="0"/>
    <n v="0"/>
    <n v="0"/>
    <n v="0"/>
    <n v="0"/>
    <n v="0.6470566413551234"/>
    <n v="0"/>
    <n v="0"/>
    <n v="0"/>
    <n v="0.7626279488518488"/>
    <m/>
    <n v="0.3048014884442961"/>
    <m/>
    <n v="0"/>
    <m/>
    <n v="0"/>
    <m/>
    <m/>
    <n v="0"/>
    <n v="0"/>
    <n v="4.887614037490761"/>
    <n v="0.7099252924239441"/>
    <m/>
    <n v="0"/>
    <n v="0"/>
    <n v="0"/>
    <n v="0"/>
    <n v="0"/>
    <x v="0"/>
    <m/>
    <x v="2"/>
    <x v="1"/>
    <s v="no root cause"/>
    <x v="1"/>
    <s v=""/>
  </r>
  <r>
    <s v="Foumban-Ndjidare"/>
    <s v="OST_087"/>
    <s v="OUEST"/>
    <s v="IHS"/>
    <s v="Grid-Gen"/>
    <s v="OUEST"/>
    <s v="Foumban"/>
    <s v="Huawei"/>
    <n v="0.5856147965516946"/>
    <n v="0.3153955249648292"/>
    <n v="0"/>
    <n v="0"/>
    <n v="0"/>
    <n v="0"/>
    <n v="0"/>
    <n v="0"/>
    <n v="0"/>
    <n v="0"/>
    <n v="0.0932774595999806"/>
    <n v="2.875442666643838"/>
    <n v="1.240340521583298"/>
    <n v="0"/>
    <n v="0"/>
    <n v="0"/>
    <n v="0"/>
    <n v="0"/>
    <n v="0"/>
    <n v="0"/>
    <n v="0"/>
    <n v="0.2237053873350969"/>
    <n v="0.1860733720853915"/>
    <n v="0"/>
    <m/>
    <n v="0"/>
    <m/>
    <n v="0"/>
    <m/>
    <n v="1.1299235517203"/>
    <m/>
    <m/>
    <n v="0.2835777452465949"/>
    <n v="0"/>
    <n v="0"/>
    <n v="0.6961922821195493"/>
    <m/>
    <n v="0"/>
    <n v="0"/>
    <n v="0"/>
    <n v="0"/>
    <n v="0"/>
    <x v="0"/>
    <m/>
    <x v="2"/>
    <x v="1"/>
    <s v="no root cause"/>
    <x v="1"/>
    <s v=""/>
  </r>
  <r>
    <s v="Maroua-Barmare"/>
    <s v="EXN_089"/>
    <s v="Maroua"/>
    <s v="IHS"/>
    <s v="Grid-Gen"/>
    <s v="EXTREME-NORD"/>
    <s v="Maroua"/>
    <s v="Huawei"/>
    <n v="0"/>
    <n v="0"/>
    <n v="0"/>
    <n v="0"/>
    <n v="0"/>
    <n v="0"/>
    <n v="0.003210314097131264"/>
    <n v="0"/>
    <n v="0"/>
    <n v="0"/>
    <n v="0"/>
    <n v="0.01203867786424223"/>
    <n v="0"/>
    <n v="0"/>
    <n v="0.0006242277411088568"/>
    <n v="0"/>
    <n v="0"/>
    <n v="0"/>
    <n v="0"/>
    <n v="0.08635744921283098"/>
    <n v="0"/>
    <n v="0"/>
    <n v="0"/>
    <n v="0"/>
    <m/>
    <n v="0"/>
    <m/>
    <n v="0"/>
    <m/>
    <n v="0"/>
    <m/>
    <m/>
    <n v="0"/>
    <n v="0"/>
    <n v="0"/>
    <n v="0.5121342738840234"/>
    <m/>
    <n v="0"/>
    <n v="0"/>
    <n v="0"/>
    <n v="0"/>
    <n v="0"/>
    <x v="0"/>
    <m/>
    <x v="2"/>
    <x v="1"/>
    <s v="no root cause"/>
    <x v="1"/>
    <s v=""/>
  </r>
  <r>
    <s v="Ngd-Bamyangal-II-IHS"/>
    <s v="ADM_085"/>
    <s v="Ngaoundere"/>
    <s v="IHS"/>
    <s v="Grid-Gen"/>
    <s v="ADAMAOUA"/>
    <s v="Ngaoundere"/>
    <s v="Huawei"/>
    <n v="0"/>
    <n v="0"/>
    <n v="0"/>
    <n v="0"/>
    <n v="0"/>
    <n v="0"/>
    <n v="0"/>
    <n v="0"/>
    <n v="0"/>
    <n v="0"/>
    <n v="0"/>
    <n v="1.055569110215077"/>
    <n v="0"/>
    <n v="0"/>
    <n v="0"/>
    <n v="0"/>
    <n v="0"/>
    <n v="0"/>
    <n v="0"/>
    <n v="0"/>
    <m/>
    <n v="0"/>
    <n v="0"/>
    <n v="0"/>
    <m/>
    <n v="0"/>
    <m/>
    <n v="0.753353708126803"/>
    <m/>
    <n v="0"/>
    <m/>
    <m/>
    <n v="0"/>
    <n v="0"/>
    <n v="0"/>
    <n v="0.489180528089535"/>
    <m/>
    <n v="0"/>
    <n v="0"/>
    <n v="0"/>
    <n v="0"/>
    <n v="0"/>
    <x v="0"/>
    <m/>
    <x v="2"/>
    <x v="1"/>
    <s v="no root cause"/>
    <x v="1"/>
    <s v=""/>
  </r>
  <r>
    <s v="Edea-Entree"/>
    <s v="LIT_229"/>
    <s v="LITTORAL"/>
    <s v="IHS"/>
    <s v="Solar-Grid-Gen"/>
    <s v="LITTORAL"/>
    <s v="Edea"/>
    <s v="ZTE"/>
    <n v="50.85116127761942"/>
    <n v="50.85137529855922"/>
    <n v="50.85137529855922"/>
    <n v="50.85107210222782"/>
    <n v="50.85137529855922"/>
    <n v="50.85137529855922"/>
    <n v="32.27755020217845"/>
    <n v="3.385044359406792"/>
    <n v="0"/>
    <n v="0"/>
    <n v="0"/>
    <n v="0.2500477980098906"/>
    <n v="5.29676856917014"/>
    <n v="0"/>
    <n v="6.255939081079695"/>
    <n v="22.61987312838688"/>
    <n v="0"/>
    <n v="0"/>
    <n v="0"/>
    <n v="0"/>
    <n v="0"/>
    <n v="1.122468488983628"/>
    <n v="0"/>
    <n v="0"/>
    <m/>
    <n v="10.91030596433555"/>
    <m/>
    <n v="0"/>
    <m/>
    <n v="0"/>
    <m/>
    <m/>
    <n v="0"/>
    <n v="0"/>
    <n v="0"/>
    <n v="0.4494261385200582"/>
    <m/>
    <n v="0"/>
    <n v="0"/>
    <n v="0"/>
    <n v="0"/>
    <n v="0"/>
    <x v="2"/>
    <m/>
    <x v="9"/>
    <x v="5"/>
    <s v="EXCLU"/>
    <x v="4"/>
    <s v=""/>
  </r>
  <r>
    <s v="Aguli-MTN"/>
    <s v="NRO_256"/>
    <s v="NORD-OUEST"/>
    <s v="IHS"/>
    <s v="Hybrid-Gen"/>
    <s v="NORD-OUEST"/>
    <s v="Aguli"/>
    <s v="NOKIA"/>
    <n v="0"/>
    <n v="0"/>
    <n v="0"/>
    <n v="0"/>
    <n v="0"/>
    <n v="0"/>
    <n v="0"/>
    <n v="0"/>
    <n v="0.763080226898019"/>
    <n v="0"/>
    <n v="0.1771948311042715"/>
    <n v="0"/>
    <n v="0"/>
    <n v="0"/>
    <n v="0"/>
    <n v="0"/>
    <n v="0"/>
    <n v="0.04974203342721722"/>
    <n v="0"/>
    <n v="0"/>
    <n v="0.9153675595620276"/>
    <n v="0"/>
    <n v="0"/>
    <n v="0"/>
    <m/>
    <n v="0"/>
    <m/>
    <n v="0"/>
    <m/>
    <n v="0"/>
    <m/>
    <m/>
    <n v="0.09456158523883311"/>
    <n v="0"/>
    <n v="0.2055671126863051"/>
    <n v="0.4358179737638865"/>
    <m/>
    <n v="0"/>
    <n v="0"/>
    <n v="0"/>
    <n v="0"/>
    <n v="0"/>
    <x v="1"/>
    <m/>
    <x v="2"/>
    <x v="1"/>
    <s v="no root cause"/>
    <x v="1"/>
    <s v=""/>
  </r>
  <r>
    <s v="Kinguin-IHS"/>
    <s v="EXN_168"/>
    <s v="EXTREME-NORD"/>
    <s v="IHS"/>
    <s v="Grid-Gen"/>
    <s v="EXTREME-NORD"/>
    <s v="Kinguin"/>
    <s v="NOKIA"/>
    <n v="0"/>
    <n v="0.3643185478212154"/>
    <n v="0.7896630192008527"/>
    <n v="0"/>
    <n v="0"/>
    <n v="0"/>
    <n v="0"/>
    <n v="0"/>
    <n v="0"/>
    <n v="0"/>
    <n v="0"/>
    <n v="0"/>
    <n v="1.66604585338151"/>
    <n v="0"/>
    <n v="0"/>
    <n v="0"/>
    <n v="0"/>
    <n v="0"/>
    <n v="0"/>
    <n v="0"/>
    <n v="0"/>
    <n v="0"/>
    <n v="0.8292470656913077"/>
    <n v="0"/>
    <m/>
    <n v="0.04352010961930826"/>
    <m/>
    <n v="0"/>
    <m/>
    <n v="0"/>
    <m/>
    <m/>
    <n v="0.8632300357937381"/>
    <n v="0"/>
    <n v="0"/>
    <n v="0.3421552335344354"/>
    <m/>
    <n v="0"/>
    <n v="0"/>
    <n v="0"/>
    <n v="0"/>
    <n v="0"/>
    <x v="1"/>
    <m/>
    <x v="4"/>
    <x v="0"/>
    <s v="Defaut GE &amp; Power Cabinet"/>
    <x v="0"/>
    <s v="{05-25-2026 ticket}: INC-20260525-00021267...Grid Outage"/>
  </r>
  <r>
    <s v="EST_203_Z_Bertoua-Koume-Bonis"/>
    <s v="EST_203"/>
    <s v="CENTRE"/>
    <s v="ESCO"/>
    <s v="Hybrid Solar - S1"/>
    <s v="EST"/>
    <s v="Bertoua"/>
    <s v="ZTE"/>
    <n v="0.4781406146110666"/>
    <n v="16.79345623842503"/>
    <n v="2.453018836696316"/>
    <n v="0"/>
    <n v="0"/>
    <n v="0.03039097345284377"/>
    <n v="0.1031580929878187"/>
    <n v="0.2416296410440792"/>
    <n v="0"/>
    <n v="9.465129568276959"/>
    <n v="14.49405093127645"/>
    <n v="0"/>
    <n v="4.313110494730806"/>
    <n v="5.688926271213044"/>
    <n v="5.764689683905341"/>
    <n v="0.165063649827499"/>
    <n v="0"/>
    <n v="0"/>
    <n v="0"/>
    <n v="0.01747837675104787"/>
    <n v="0"/>
    <n v="1.132224276823244"/>
    <n v="1.263365607691057"/>
    <n v="2.607827316491313"/>
    <m/>
    <n v="0"/>
    <m/>
    <n v="0.1346905114529736"/>
    <m/>
    <n v="0.09158312715982866"/>
    <m/>
    <m/>
    <n v="2.083993231231075"/>
    <n v="0.2544887325109216"/>
    <n v="0"/>
    <n v="0.2983451900933995"/>
    <m/>
    <n v="0"/>
    <n v="0"/>
    <n v="0"/>
    <n v="0"/>
    <n v="0"/>
    <x v="0"/>
    <m/>
    <x v="2"/>
    <x v="1"/>
    <s v="no root cause"/>
    <x v="1"/>
    <s v=""/>
  </r>
  <r>
    <s v="Mbakong-MTN"/>
    <s v="NRO_255"/>
    <s v="NORD-OUEST"/>
    <s v="IHS"/>
    <s v="Hybrid-Gen"/>
    <s v="NORD-OUEST"/>
    <s v="Mbakong"/>
    <s v="NOKIA"/>
    <n v="3.081901533246013"/>
    <n v="3.081901533246013"/>
    <n v="3.081901533246013"/>
    <n v="3.081901533246013"/>
    <n v="3.091424297340856"/>
    <n v="3.081901533246013"/>
    <n v="3.081901533246013"/>
    <n v="3.363436282337859"/>
    <n v="4.089799542102432"/>
    <n v="3.081901533246013"/>
    <n v="3.081901533246013"/>
    <n v="3.671493552262487"/>
    <n v="3.081901533246013"/>
    <n v="3.081901533246013"/>
    <n v="2.0564380352307"/>
    <n v="0"/>
    <n v="0"/>
    <n v="0.04187676388924549"/>
    <n v="0"/>
    <n v="0.02029631912519644"/>
    <n v="2.627231881700639"/>
    <n v="0"/>
    <n v="0"/>
    <n v="0.3111686114036064"/>
    <m/>
    <n v="2.121767927107321"/>
    <m/>
    <n v="1.261350243841191"/>
    <m/>
    <n v="0"/>
    <m/>
    <m/>
    <n v="0"/>
    <n v="2.167782429166203"/>
    <n v="0"/>
    <n v="0.2580557481744015"/>
    <m/>
    <n v="0"/>
    <n v="0"/>
    <n v="0"/>
    <n v="0"/>
    <n v="0"/>
    <x v="1"/>
    <m/>
    <x v="13"/>
    <x v="8"/>
    <s v="ACCESS-ISSUE"/>
    <x v="6"/>
    <s v="(05/25/2026 cell nokia): _x000a_25/05/2026 :  GHOST  TOWN_x000a_23/05/2026 : FME activer || Negociation access en cours _x000a_22/052026: Closed After reset check and clean jumper port 2 of FRGU || ETA : 23052026 _x000a_17/05/2026 : Need BO RAN analysis      ;      (05/25/2026 cell nokia): _x000a_25/05/2026 :  GHOST  TOWN_x000a_23/05/2026 : FME activer || Negociation access en cours _x000a_22/052026: Closed After reset check and clean jumper port 2 of FRGU || ETA : 23052026 _x000a_17/05/2026 : Need BO RAN analysis      ;      (05/25/2026 cell nokia): _x000a_25/05/2026 :  GHOST  TOWN_x000a_23/05/2026 : FME activer || Negociation access en cours _x000a_22/052026: Closed After reset check and clean jumper port 2 of FRGU || ETA : 23052026 _x000a_17/05/2026 : Need BO RAN analysis"/>
  </r>
  <r>
    <s v="Okoth"/>
    <s v="LIT_323"/>
    <s v="LITTORAL"/>
    <s v="IHS"/>
    <s v="Grid-Gen"/>
    <s v="LITTORAL"/>
    <s v="Edea"/>
    <s v="ZTE"/>
    <n v="0"/>
    <n v="0"/>
    <n v="0"/>
    <n v="0"/>
    <n v="0"/>
    <n v="1.763710894807282"/>
    <n v="0"/>
    <n v="0"/>
    <n v="0"/>
    <n v="0"/>
    <n v="0"/>
    <n v="0.005421863808488462"/>
    <n v="0"/>
    <n v="0"/>
    <n v="0"/>
    <n v="0"/>
    <n v="0"/>
    <n v="0"/>
    <n v="0"/>
    <n v="0"/>
    <n v="0"/>
    <n v="0"/>
    <n v="0"/>
    <n v="0"/>
    <m/>
    <n v="0"/>
    <m/>
    <n v="0"/>
    <m/>
    <n v="0"/>
    <m/>
    <m/>
    <n v="0"/>
    <n v="0"/>
    <n v="0"/>
    <n v="0.2400066489171971"/>
    <m/>
    <n v="0"/>
    <n v="0"/>
    <n v="0"/>
    <n v="0"/>
    <n v="0"/>
    <x v="0"/>
    <m/>
    <x v="2"/>
    <x v="1"/>
    <s v="no root cause"/>
    <x v="1"/>
    <s v=""/>
  </r>
  <r>
    <s v="Admin"/>
    <s v="EST_108"/>
    <s v="CENTRE"/>
    <s v="IHS"/>
    <s v="Grid-Gen"/>
    <s v="EST"/>
    <s v="Bertoua"/>
    <s v="ZTE"/>
    <n v="0.1282163780237592"/>
    <n v="4.486949003090462"/>
    <n v="0.4708460675792521"/>
    <n v="0"/>
    <n v="0"/>
    <n v="0.0009095889941876673"/>
    <n v="0.02504044995762338"/>
    <n v="0.0552709077056097"/>
    <n v="0"/>
    <n v="2.558887861588377"/>
    <n v="3.962330174384262"/>
    <n v="0"/>
    <n v="1.1800579568705"/>
    <n v="4.102977601995246"/>
    <n v="3.924662488977921"/>
    <n v="0.1211715220883874"/>
    <n v="0"/>
    <n v="0"/>
    <n v="0"/>
    <n v="0"/>
    <n v="0"/>
    <n v="0.3076372658967618"/>
    <n v="0.8596686099768005"/>
    <n v="1.807603022546393"/>
    <m/>
    <n v="0"/>
    <m/>
    <n v="0.09859231293856466"/>
    <m/>
    <n v="0.08293311417589103"/>
    <m/>
    <m/>
    <n v="0"/>
    <n v="0.1237041032094581"/>
    <n v="8.676141373672001"/>
    <n v="0.208759591705119"/>
    <m/>
    <n v="0"/>
    <n v="0"/>
    <n v="0"/>
    <n v="0"/>
    <n v="0"/>
    <x v="0"/>
    <m/>
    <x v="2"/>
    <x v="1"/>
    <s v="no root cause"/>
    <x v="1"/>
    <s v=""/>
  </r>
  <r>
    <s v="Rhumsiki"/>
    <s v="EXN_139"/>
    <s v="EXTREME-NORD"/>
    <s v="IHS"/>
    <s v="Grid-Gen"/>
    <s v="EXTREME-NORD"/>
    <s v="Rhumsiki"/>
    <s v="NOKIA"/>
    <n v="0"/>
    <n v="0"/>
    <n v="0.4687831577927546"/>
    <n v="0"/>
    <n v="0"/>
    <n v="0.001248527734980219"/>
    <n v="0"/>
    <n v="0"/>
    <n v="0"/>
    <n v="0"/>
    <n v="0"/>
    <n v="0"/>
    <n v="0"/>
    <n v="0"/>
    <n v="0"/>
    <n v="0"/>
    <n v="0.002051152707467356"/>
    <n v="0"/>
    <n v="0.02104661038966551"/>
    <n v="0"/>
    <n v="0"/>
    <n v="0.00115928009063063"/>
    <n v="0"/>
    <n v="0"/>
    <m/>
    <n v="0.04432273459179539"/>
    <m/>
    <n v="0"/>
    <m/>
    <n v="0"/>
    <m/>
    <m/>
    <n v="0.5082997320457837"/>
    <n v="0"/>
    <n v="0"/>
    <n v="0.1774337950686841"/>
    <m/>
    <n v="0"/>
    <n v="0"/>
    <n v="0"/>
    <n v="0"/>
    <n v="0"/>
    <x v="1"/>
    <m/>
    <x v="2"/>
    <x v="1"/>
    <s v="no root cause"/>
    <x v="1"/>
    <s v=""/>
  </r>
  <r>
    <s v="Yagoua"/>
    <s v="EXN_004"/>
    <s v="EXTREME-NORD"/>
    <s v="CAMUSAT"/>
    <s v="Bad Grid + Solar + GE"/>
    <s v="EXTREME-NORD"/>
    <s v="Yagoua"/>
    <s v="Huawei"/>
    <n v="0"/>
    <n v="0"/>
    <n v="0"/>
    <n v="0"/>
    <n v="0"/>
    <n v="0"/>
    <n v="4.782886457611013"/>
    <n v="2.796361929384505"/>
    <n v="2.627463737718765"/>
    <n v="0"/>
    <n v="0"/>
    <n v="0.6519612878924074"/>
    <n v="0"/>
    <n v="0.01573053907594318"/>
    <n v="0"/>
    <n v="0"/>
    <n v="0"/>
    <n v="0"/>
    <n v="0"/>
    <n v="0"/>
    <m/>
    <n v="0"/>
    <n v="0"/>
    <n v="0"/>
    <m/>
    <n v="8.917539158697954e-05"/>
    <m/>
    <n v="0"/>
    <m/>
    <n v="0"/>
    <m/>
    <m/>
    <n v="0.5964406890903539"/>
    <n v="0"/>
    <n v="0"/>
    <n v="0.1586786917898714"/>
    <m/>
    <n v="0"/>
    <n v="0"/>
    <n v="0"/>
    <n v="0"/>
    <n v="0"/>
    <x v="1"/>
    <m/>
    <x v="2"/>
    <x v="1"/>
    <s v="no root cause"/>
    <x v="1"/>
    <s v=""/>
  </r>
  <r>
    <s v="Bertoua-Agence-New"/>
    <s v="EST_088"/>
    <s v="CENTRE"/>
    <m/>
    <m/>
    <s v="EST"/>
    <s v="Bertoua"/>
    <s v="ZTE"/>
    <n v="0"/>
    <n v="0"/>
    <n v="0.02605704942171537"/>
    <n v="0"/>
    <n v="0"/>
    <n v="5.789686046592889e-17"/>
    <n v="0"/>
    <n v="0"/>
    <n v="0"/>
    <n v="0"/>
    <n v="0"/>
    <n v="0"/>
    <n v="0"/>
    <n v="0"/>
    <n v="0"/>
    <n v="0"/>
    <n v="0"/>
    <n v="0"/>
    <n v="0"/>
    <n v="0"/>
    <n v="0"/>
    <n v="0"/>
    <n v="0.7896480925027044"/>
    <n v="0.0008560837592350035"/>
    <m/>
    <n v="0"/>
    <m/>
    <n v="0"/>
    <m/>
    <n v="0.01567703384099076"/>
    <m/>
    <m/>
    <n v="0"/>
    <n v="0.1128782106707986"/>
    <n v="0"/>
    <n v="0.1248277131434543"/>
    <m/>
    <n v="0"/>
    <n v="0"/>
    <n v="0"/>
    <n v="0"/>
    <n v="0"/>
    <x v="0"/>
    <m/>
    <x v="2"/>
    <x v="1"/>
    <s v="no root cause"/>
    <x v="1"/>
    <s v=""/>
  </r>
  <r>
    <s v="Longtimbi"/>
    <s v="EST_072"/>
    <s v="CENTRE"/>
    <s v="IHS"/>
    <s v="Grid-Gen"/>
    <s v="EST"/>
    <s v="Longtimbi"/>
    <s v="NOKIA"/>
    <n v="0.0001783507831739299"/>
    <n v="0"/>
    <n v="0"/>
    <n v="0"/>
    <n v="0"/>
    <n v="0"/>
    <n v="0"/>
    <n v="0"/>
    <n v="0"/>
    <n v="0"/>
    <n v="0.7161854049133501"/>
    <n v="0"/>
    <n v="0"/>
    <n v="0"/>
    <n v="0.2173917696107388"/>
    <n v="0.05048729926062502"/>
    <n v="0.04926780214973788"/>
    <n v="0"/>
    <n v="0"/>
    <n v="0"/>
    <n v="0"/>
    <n v="0"/>
    <n v="0.2845586745540519"/>
    <n v="0"/>
    <m/>
    <n v="0"/>
    <m/>
    <n v="0"/>
    <m/>
    <n v="0.003424335036939865"/>
    <m/>
    <m/>
    <n v="0"/>
    <n v="0.1282698832587114"/>
    <n v="0"/>
    <n v="0.1044243835483536"/>
    <m/>
    <n v="0"/>
    <n v="0"/>
    <n v="0"/>
    <n v="0"/>
    <n v="0"/>
    <x v="0"/>
    <m/>
    <x v="2"/>
    <x v="1"/>
    <s v="no root cause"/>
    <x v="1"/>
    <s v=""/>
  </r>
  <r>
    <s v="Ekekam-MTN-IHS"/>
    <s v="CTR_694"/>
    <s v="Yaounde"/>
    <s v="IHS"/>
    <s v="Gen-Lithium"/>
    <s v="CENTRE"/>
    <s v="Yaounde"/>
    <s v="NOKIA"/>
    <n v="0"/>
    <n v="0"/>
    <n v="0"/>
    <n v="0"/>
    <n v="0"/>
    <n v="0"/>
    <n v="0"/>
    <n v="0"/>
    <n v="0"/>
    <n v="5.508114247231283"/>
    <n v="12.32760613298405"/>
    <n v="0"/>
    <n v="12.32760613298405"/>
    <n v="12.32760613298405"/>
    <n v="12.32760613298405"/>
    <n v="12.32760613298405"/>
    <n v="7.369477059938575"/>
    <n v="0"/>
    <n v="0"/>
    <n v="0"/>
    <n v="0"/>
    <n v="0"/>
    <n v="0"/>
    <n v="0"/>
    <m/>
    <n v="0"/>
    <m/>
    <n v="0"/>
    <m/>
    <n v="0"/>
    <m/>
    <m/>
    <n v="0"/>
    <n v="2.376702536576179"/>
    <n v="0"/>
    <n v="0.09940085436658028"/>
    <m/>
    <n v="0"/>
    <n v="0"/>
    <n v="0"/>
    <n v="0"/>
    <n v="0"/>
    <x v="0"/>
    <m/>
    <x v="2"/>
    <x v="1"/>
    <s v="no root cause"/>
    <x v="1"/>
    <s v=""/>
  </r>
  <r>
    <s v="BP-Cite"/>
    <s v="LIT_034"/>
    <s v="Douala"/>
    <s v="IHS"/>
    <s v="GridOnly"/>
    <s v="LITTORAL"/>
    <s v="Douala"/>
    <s v="ZTE"/>
    <n v="0"/>
    <n v="0"/>
    <n v="0"/>
    <n v="0"/>
    <n v="0"/>
    <n v="0"/>
    <n v="0"/>
    <n v="0"/>
    <n v="0.1027657212648355"/>
    <n v="0"/>
    <n v="0"/>
    <n v="0.0001961858614911842"/>
    <n v="0"/>
    <n v="0"/>
    <n v="0"/>
    <n v="0"/>
    <n v="0"/>
    <n v="0"/>
    <n v="0"/>
    <n v="0"/>
    <n v="0.000178350783173888"/>
    <n v="0"/>
    <n v="0"/>
    <n v="0"/>
    <m/>
    <n v="0"/>
    <m/>
    <n v="0"/>
    <m/>
    <n v="0"/>
    <m/>
    <m/>
    <n v="0"/>
    <n v="0"/>
    <n v="0"/>
    <n v="0.09559601978124131"/>
    <m/>
    <n v="0"/>
    <n v="0"/>
    <n v="0"/>
    <n v="0"/>
    <n v="0"/>
    <x v="0"/>
    <m/>
    <x v="2"/>
    <x v="1"/>
    <s v="no root cause"/>
    <x v="1"/>
    <s v=""/>
  </r>
  <r>
    <s v="Quartier-Gentil"/>
    <s v="LIT_450"/>
    <s v="Douala"/>
    <s v="IHS"/>
    <s v="Grid-Gen"/>
    <s v="LITTORAL"/>
    <s v="Douala"/>
    <s v="ZTE"/>
    <n v="0"/>
    <n v="7.184076556716974"/>
    <n v="0"/>
    <n v="0"/>
    <n v="0"/>
    <n v="0"/>
    <n v="0"/>
    <n v="0"/>
    <n v="6.353372113927626"/>
    <n v="0"/>
    <n v="0"/>
    <n v="9.245704599738039"/>
    <n v="1.961822944756916"/>
    <n v="0"/>
    <n v="10.25156734668253"/>
    <n v="0"/>
    <n v="0.6691007981554226"/>
    <n v="0"/>
    <n v="0"/>
    <n v="0"/>
    <n v="9.245704599738039"/>
    <n v="0"/>
    <n v="0.8357160997965366"/>
    <n v="0"/>
    <m/>
    <n v="0"/>
    <m/>
    <n v="0.8203244272086248"/>
    <m/>
    <n v="0"/>
    <m/>
    <m/>
    <n v="0"/>
    <n v="0.8214302020643037"/>
    <n v="0.009666612448028439"/>
    <n v="0.09072704340059319"/>
    <m/>
    <n v="0"/>
    <n v="0"/>
    <n v="0"/>
    <n v="0"/>
    <n v="0"/>
    <x v="0"/>
    <m/>
    <x v="2"/>
    <x v="1"/>
    <s v="no root cause"/>
    <x v="1"/>
    <s v=""/>
  </r>
  <r>
    <s v="Doumo-IHS-VSAT"/>
    <s v="NRD_152"/>
    <s v="EXTREME-NORD"/>
    <s v="IHS"/>
    <s v="Gen Only"/>
    <s v="NORD"/>
    <s v="Doumo"/>
    <s v="NOKIA"/>
    <n v="0"/>
    <n v="0.3501960424802288"/>
    <n v="0.3728486782815971"/>
    <n v="0.0262597434130511"/>
    <n v="0.02420369207439188"/>
    <n v="0"/>
    <n v="0.2441110076206364"/>
    <n v="0.007502783832300314"/>
    <n v="0.02472672267808589"/>
    <n v="0"/>
    <n v="0"/>
    <n v="0"/>
    <n v="0.4431512056332957"/>
    <n v="0.8748105914682692"/>
    <n v="0.6557066543390606"/>
    <n v="0"/>
    <n v="0"/>
    <n v="0"/>
    <n v="0"/>
    <n v="0.1020701532104568"/>
    <n v="0"/>
    <n v="0"/>
    <n v="0"/>
    <n v="0.01911920395624841"/>
    <m/>
    <n v="0"/>
    <m/>
    <n v="0.4297362120576544"/>
    <m/>
    <n v="0.1660624142132733"/>
    <m/>
    <m/>
    <n v="0.2718600987920658"/>
    <n v="0.0361695388276789"/>
    <n v="0.1527574457884959"/>
    <n v="0.0797228000787597"/>
    <m/>
    <n v="0"/>
    <n v="0"/>
    <n v="0"/>
    <n v="0"/>
    <n v="0"/>
    <x v="0"/>
    <m/>
    <x v="2"/>
    <x v="1"/>
    <s v="no root cause"/>
    <x v="1"/>
    <s v="{05-25-2026 ocm ran 17H}: Power status check Ongoing      ;      {05-25-2026 ticket}: INC-20260525-00023561...Others"/>
  </r>
  <r>
    <s v="Mindourou-Grumcam-IHS"/>
    <s v="EST_122"/>
    <s v="CENTRE"/>
    <s v="IHS"/>
    <s v="Gen Only"/>
    <s v="EST"/>
    <s v="Mindourou"/>
    <s v="NOKIA"/>
    <n v="0"/>
    <n v="0"/>
    <n v="0"/>
    <n v="0.007419392580036697"/>
    <n v="0.7661236242020586"/>
    <n v="0"/>
    <n v="0"/>
    <n v="0.2173204292974691"/>
    <n v="0.9066818764214557"/>
    <n v="0"/>
    <n v="0.6925895962994354"/>
    <n v="0.2484248058830076"/>
    <n v="0"/>
    <n v="0"/>
    <n v="0"/>
    <n v="0"/>
    <n v="0.001605157048565632"/>
    <n v="0"/>
    <n v="0"/>
    <n v="0"/>
    <n v="0"/>
    <n v="0.126094003703989"/>
    <n v="0"/>
    <n v="0"/>
    <m/>
    <n v="0"/>
    <m/>
    <n v="0"/>
    <m/>
    <n v="0.2254353899318843"/>
    <m/>
    <m/>
    <n v="0"/>
    <n v="0.08792693610476184"/>
    <n v="0.3319821478000074"/>
    <n v="0.0757634126922978"/>
    <m/>
    <n v="0"/>
    <n v="0"/>
    <n v="0"/>
    <n v="0"/>
    <n v="0"/>
    <x v="0"/>
    <m/>
    <x v="2"/>
    <x v="1"/>
    <s v="no root cause"/>
    <x v="1"/>
    <s v=""/>
  </r>
  <r>
    <s v="Ndogbat"/>
    <s v="LIT_372"/>
    <s v="Douala"/>
    <s v="IHS"/>
    <s v="Grid-Lithium"/>
    <s v="LITTORAL"/>
    <s v="Douala"/>
    <s v="ZTE"/>
    <n v="0"/>
    <n v="0"/>
    <n v="0"/>
    <n v="0"/>
    <n v="0"/>
    <n v="0"/>
    <n v="0"/>
    <n v="0"/>
    <n v="0.06581143899119074"/>
    <n v="0"/>
    <n v="0"/>
    <n v="36.32441864778717"/>
    <n v="0"/>
    <n v="0"/>
    <n v="0"/>
    <n v="0"/>
    <n v="0"/>
    <n v="0"/>
    <n v="0"/>
    <n v="0"/>
    <n v="2.047841527481716"/>
    <n v="0"/>
    <n v="0"/>
    <n v="0"/>
    <m/>
    <n v="0"/>
    <m/>
    <n v="0"/>
    <m/>
    <n v="0"/>
    <m/>
    <m/>
    <n v="0"/>
    <n v="0"/>
    <n v="0"/>
    <n v="0.06069277151409812"/>
    <m/>
    <n v="0"/>
    <n v="0"/>
    <n v="0"/>
    <n v="0"/>
    <n v="0"/>
    <x v="0"/>
    <m/>
    <x v="2"/>
    <x v="1"/>
    <s v="no root cause"/>
    <x v="1"/>
    <s v=""/>
  </r>
  <r>
    <s v="Foumban-Camtel-II"/>
    <s v="OST_235"/>
    <s v="OUEST"/>
    <s v="CAMUSAT"/>
    <s v="Medium Grid + GE"/>
    <s v="OUEST"/>
    <s v="Foumban"/>
    <s v="Huawei"/>
    <n v="1.084818638655606"/>
    <n v="0.6261895997237704"/>
    <n v="0"/>
    <n v="0"/>
    <n v="0"/>
    <n v="0"/>
    <n v="0"/>
    <n v="0"/>
    <n v="0"/>
    <n v="0"/>
    <n v="0"/>
    <n v="0"/>
    <n v="0"/>
    <n v="0"/>
    <n v="0"/>
    <n v="0"/>
    <n v="0"/>
    <n v="0"/>
    <n v="0"/>
    <n v="0"/>
    <n v="0"/>
    <n v="0"/>
    <n v="0"/>
    <n v="0"/>
    <m/>
    <n v="0"/>
    <m/>
    <n v="0"/>
    <m/>
    <n v="0"/>
    <m/>
    <m/>
    <n v="0"/>
    <n v="0"/>
    <n v="0.07927692312082481"/>
    <n v="0.05430781347647053"/>
    <m/>
    <n v="0"/>
    <n v="0"/>
    <n v="0"/>
    <n v="0"/>
    <n v="0"/>
    <x v="0"/>
    <m/>
    <x v="2"/>
    <x v="1"/>
    <s v="no root cause"/>
    <x v="1"/>
    <s v=""/>
  </r>
  <r>
    <s v="Bagarao"/>
    <s v="EXN_202"/>
    <s v="EXTREME-NORD"/>
    <s v="CAMUSAT"/>
    <s v="Hybrid Solar - S3"/>
    <s v="EXTREME-NORD"/>
    <s v="Bagarao"/>
    <s v="NOKIA"/>
    <n v="0"/>
    <n v="0"/>
    <n v="0"/>
    <n v="0"/>
    <n v="0"/>
    <n v="0"/>
    <n v="2.138614970500615"/>
    <n v="1.558689203883121"/>
    <n v="1.405012556763924"/>
    <n v="0.2011420547918003"/>
    <n v="0"/>
    <n v="0"/>
    <n v="0"/>
    <n v="1.984299177205343"/>
    <n v="3.487530491716149"/>
    <n v="0"/>
    <n v="2.801436989222917"/>
    <n v="0"/>
    <n v="0"/>
    <n v="0.3209873850727886"/>
    <n v="0"/>
    <n v="1.671432199593075"/>
    <n v="3.581387496582698"/>
    <n v="0"/>
    <m/>
    <n v="0"/>
    <m/>
    <n v="0"/>
    <m/>
    <n v="1.329269470351597"/>
    <m/>
    <m/>
    <n v="0.1505815662337736"/>
    <n v="0"/>
    <n v="0"/>
    <n v="0.05149556907849477"/>
    <m/>
    <n v="0"/>
    <n v="0"/>
    <n v="0"/>
    <n v="0"/>
    <n v="0"/>
    <x v="1"/>
    <m/>
    <x v="2"/>
    <x v="1"/>
    <s v="no root cause"/>
    <x v="1"/>
    <s v="(05/25/2026 cell nokia): 25/05/2026 : Need BO RAN analysis"/>
  </r>
  <r>
    <s v="Cite-Sic"/>
    <s v="LIT_098"/>
    <s v="Douala"/>
    <s v="IHS"/>
    <s v="Grid-Gen"/>
    <s v="LITTORAL"/>
    <s v="Douala"/>
    <s v="ZTE"/>
    <n v="0.1659910739000044"/>
    <n v="0.01540950766623025"/>
    <n v="0.3477661921109026"/>
    <n v="0.9663045432365103"/>
    <n v="1.880138286063242"/>
    <n v="1.061365510668231"/>
    <n v="0"/>
    <n v="0.03715046813513555"/>
    <n v="0.06454514843065541"/>
    <n v="0.01990394740221404"/>
    <n v="0"/>
    <n v="0"/>
    <n v="0"/>
    <n v="0.1175153310333219"/>
    <n v="0"/>
    <n v="0"/>
    <n v="0"/>
    <n v="0"/>
    <n v="0"/>
    <n v="0"/>
    <n v="0"/>
    <n v="0"/>
    <n v="0"/>
    <n v="0"/>
    <m/>
    <n v="0"/>
    <m/>
    <n v="1.244817126240965"/>
    <m/>
    <n v="0"/>
    <m/>
    <m/>
    <n v="0"/>
    <n v="0"/>
    <n v="0"/>
    <n v="0.05111533445765641"/>
    <m/>
    <n v="0"/>
    <n v="0"/>
    <n v="0"/>
    <n v="0"/>
    <n v="0"/>
    <x v="0"/>
    <m/>
    <x v="2"/>
    <x v="1"/>
    <s v="no root cause"/>
    <x v="1"/>
    <s v=""/>
  </r>
  <r>
    <s v="Nkapa"/>
    <s v="LIT_051"/>
    <s v="LITTORAL"/>
    <s v="IHS"/>
    <s v="Grid-Gen"/>
    <s v="LITTORAL"/>
    <s v="Nkapa"/>
    <s v="ZTE"/>
    <n v="0"/>
    <n v="0"/>
    <n v="0"/>
    <n v="0"/>
    <n v="0.0003210314097131264"/>
    <n v="0"/>
    <n v="0"/>
    <n v="0"/>
    <n v="0"/>
    <n v="0"/>
    <n v="0"/>
    <n v="0"/>
    <n v="0"/>
    <n v="0"/>
    <n v="0"/>
    <n v="0"/>
    <n v="0"/>
    <n v="0"/>
    <n v="0.03684727180373994"/>
    <n v="0"/>
    <n v="0"/>
    <n v="0.03650840531570942"/>
    <n v="0"/>
    <n v="0.03706129274354857"/>
    <m/>
    <n v="0"/>
    <m/>
    <n v="0.03706129274354856"/>
    <m/>
    <n v="0.03716830321345312"/>
    <m/>
    <m/>
    <n v="0.03754283985811815"/>
    <n v="0"/>
    <n v="0.03650840531570926"/>
    <n v="0.03663325086393115"/>
    <m/>
    <n v="0"/>
    <n v="0"/>
    <n v="0"/>
    <n v="0"/>
    <n v="0"/>
    <x v="0"/>
    <m/>
    <x v="2"/>
    <x v="1"/>
    <s v="no root cause"/>
    <x v="1"/>
    <s v=""/>
  </r>
  <r>
    <s v="Ngbetnsouen"/>
    <s v="OST_219"/>
    <s v="OUEST"/>
    <s v="IHS"/>
    <s v="Grid-Gen"/>
    <s v="OUEST"/>
    <s v="Ngbetnsouen"/>
    <s v="NOKIA"/>
    <n v="1.775665642318791"/>
    <n v="0"/>
    <n v="0"/>
    <n v="0"/>
    <n v="0"/>
    <n v="0"/>
    <n v="0"/>
    <n v="0"/>
    <n v="0.2587884382588788"/>
    <n v="0"/>
    <n v="0"/>
    <n v="0.004923240357429286"/>
    <n v="0"/>
    <n v="5.321220461543291"/>
    <n v="0.8394079610082382"/>
    <n v="0.4407047852228527"/>
    <n v="0.05892709876067623"/>
    <n v="0"/>
    <n v="0"/>
    <n v="0"/>
    <n v="0.01382458579768268"/>
    <n v="0"/>
    <n v="3.776345977690457"/>
    <n v="2.931034605759161"/>
    <m/>
    <n v="0.6852058738760334"/>
    <m/>
    <n v="1.092683908193578"/>
    <m/>
    <n v="0.7597208310861133"/>
    <m/>
    <m/>
    <n v="0.04692409105306864"/>
    <n v="0.03558098124320476"/>
    <n v="0"/>
    <n v="0.03386881372473472"/>
    <m/>
    <n v="0"/>
    <n v="0"/>
    <n v="0"/>
    <n v="0"/>
    <n v="0"/>
    <x v="0"/>
    <m/>
    <x v="2"/>
    <x v="1"/>
    <s v="no root cause"/>
    <x v="1"/>
    <s v="{05-25-2026 ticket}: INC-20260525-00028233"/>
  </r>
  <r>
    <s v="Nkolmesseng"/>
    <s v="CTR_078"/>
    <s v="Yaounde"/>
    <s v="IHS"/>
    <s v="Grid-Gen"/>
    <s v="CENTRE"/>
    <s v="Yaounde"/>
    <s v="ZTE"/>
    <n v="0"/>
    <n v="0"/>
    <n v="0"/>
    <n v="0"/>
    <n v="0"/>
    <n v="0"/>
    <n v="0"/>
    <n v="0"/>
    <n v="0"/>
    <n v="0"/>
    <n v="0.6506593271752379"/>
    <n v="0"/>
    <n v="0"/>
    <n v="0"/>
    <n v="0"/>
    <n v="0"/>
    <n v="0"/>
    <n v="0"/>
    <n v="0"/>
    <n v="0"/>
    <n v="0"/>
    <n v="0"/>
    <n v="0"/>
    <n v="0"/>
    <m/>
    <n v="0"/>
    <m/>
    <n v="0"/>
    <m/>
    <n v="0"/>
    <m/>
    <m/>
    <n v="0"/>
    <n v="0"/>
    <n v="0"/>
    <n v="0.02359580861391479"/>
    <m/>
    <n v="0"/>
    <n v="0"/>
    <n v="0"/>
    <n v="0"/>
    <n v="0"/>
    <x v="0"/>
    <m/>
    <x v="2"/>
    <x v="1"/>
    <s v="no root cause"/>
    <x v="1"/>
    <s v=""/>
  </r>
  <r>
    <s v="Etoudi-Chapelle-IHS"/>
    <s v="CTR_520"/>
    <s v="Yaounde"/>
    <s v="IHS"/>
    <s v="Grid-Gen"/>
    <s v="CENTRE"/>
    <s v="Yaounde"/>
    <s v="ZTE"/>
    <n v="0.04697759628802063"/>
    <n v="0.1149827499122512"/>
    <n v="0"/>
    <n v="0"/>
    <n v="0"/>
    <n v="0.04622852299869024"/>
    <n v="0"/>
    <n v="0"/>
    <n v="0.04708460675792468"/>
    <n v="0"/>
    <n v="0"/>
    <n v="0.0005350523495218772"/>
    <n v="0"/>
    <n v="0"/>
    <n v="0"/>
    <n v="0"/>
    <n v="0.04580048111907301"/>
    <n v="0"/>
    <n v="0"/>
    <n v="0"/>
    <n v="0"/>
    <n v="0"/>
    <n v="0.1449278464071595"/>
    <n v="0"/>
    <m/>
    <n v="0"/>
    <m/>
    <n v="0"/>
    <m/>
    <n v="0"/>
    <m/>
    <m/>
    <n v="0"/>
    <n v="0"/>
    <n v="0"/>
    <n v="0.01999312279380082"/>
    <m/>
    <n v="0"/>
    <n v="0"/>
    <n v="0"/>
    <n v="0"/>
    <n v="0"/>
    <x v="0"/>
    <m/>
    <x v="2"/>
    <x v="1"/>
    <s v="no root cause"/>
    <x v="1"/>
    <s v=""/>
  </r>
  <r>
    <s v="Mile14-IHS"/>
    <s v="SUO_079"/>
    <s v="SUD-OUEST"/>
    <s v="IHS"/>
    <s v="Grid-Gen"/>
    <s v="SUD-OUEST"/>
    <s v="Buea"/>
    <s v="Huawei"/>
    <n v="0"/>
    <n v="0"/>
    <n v="0"/>
    <n v="0"/>
    <n v="0"/>
    <n v="0"/>
    <n v="0"/>
    <n v="0"/>
    <n v="0"/>
    <n v="0"/>
    <n v="0"/>
    <n v="0.009934138622789589"/>
    <n v="0"/>
    <n v="0"/>
    <n v="0"/>
    <n v="0"/>
    <n v="1.706727819583201"/>
    <n v="0"/>
    <n v="0"/>
    <n v="0"/>
    <n v="0"/>
    <n v="0"/>
    <n v="0"/>
    <n v="0"/>
    <m/>
    <n v="0"/>
    <m/>
    <n v="20.98974697017689"/>
    <m/>
    <n v="0"/>
    <m/>
    <m/>
    <n v="0.06081761706232005"/>
    <n v="0"/>
    <n v="0"/>
    <n v="0.007758259068067219"/>
    <m/>
    <n v="0"/>
    <n v="0"/>
    <n v="0"/>
    <n v="0"/>
    <n v="0"/>
    <x v="1"/>
    <m/>
    <x v="2"/>
    <x v="1"/>
    <s v="no root cause"/>
    <x v="1"/>
    <s v=""/>
  </r>
  <r>
    <s v="Bafia-Market-MTN"/>
    <s v="CTR_830"/>
    <s v="CENTRE"/>
    <s v="MTN sharing"/>
    <m/>
    <s v="CENTRE"/>
    <s v="Bafia"/>
    <s v="ZTE"/>
    <n v="0.01524899196137332"/>
    <n v="0.1998598876247389"/>
    <n v="2.773176327571889"/>
    <n v="0"/>
    <n v="6.190163312245136"/>
    <n v="0.05840988148947203"/>
    <n v="1.594545176966781"/>
    <n v="0"/>
    <n v="6.174379267934241"/>
    <n v="4.266043723051197"/>
    <n v="2.207376303030822"/>
    <n v="0"/>
    <n v="0.3978470920261512"/>
    <n v="0.8894531907668514"/>
    <n v="0"/>
    <n v="0"/>
    <n v="0"/>
    <n v="0"/>
    <n v="0"/>
    <n v="0"/>
    <n v="3.02679114124526"/>
    <n v="0"/>
    <n v="0"/>
    <n v="0"/>
    <m/>
    <n v="0"/>
    <m/>
    <n v="0"/>
    <m/>
    <n v="0.00772258891143238"/>
    <m/>
    <m/>
    <n v="0.09714767159485573"/>
    <n v="5.968508958916539"/>
    <n v="2.503866644979212"/>
    <n v="0.00754423812825862"/>
    <m/>
    <n v="0"/>
    <n v="0"/>
    <n v="0"/>
    <n v="0"/>
    <n v="0"/>
    <x v="0"/>
    <m/>
    <x v="2"/>
    <x v="1"/>
    <s v="no root cause"/>
    <x v="1"/>
    <s v=""/>
  </r>
  <r>
    <s v="Abom"/>
    <s v="CTR_263"/>
    <s v="Yaounde"/>
    <s v="IHS"/>
    <s v="Grid-Gen"/>
    <s v="CENTRE"/>
    <s v="Yaounde"/>
    <s v="ZTE"/>
    <n v="0"/>
    <n v="0"/>
    <n v="0"/>
    <n v="0"/>
    <n v="0"/>
    <n v="0"/>
    <n v="0"/>
    <n v="0"/>
    <n v="0"/>
    <n v="0"/>
    <n v="2.386155128084399"/>
    <n v="0"/>
    <n v="0"/>
    <n v="0"/>
    <n v="0"/>
    <n v="0"/>
    <n v="0.1463189825159163"/>
    <n v="0"/>
    <n v="0"/>
    <n v="0"/>
    <n v="0"/>
    <n v="0"/>
    <n v="0"/>
    <n v="0"/>
    <m/>
    <n v="0"/>
    <m/>
    <n v="0"/>
    <m/>
    <n v="0"/>
    <m/>
    <m/>
    <n v="0"/>
    <n v="0"/>
    <n v="0"/>
    <n v="0.007062691013688779"/>
    <m/>
    <n v="0"/>
    <n v="0"/>
    <n v="0"/>
    <n v="0"/>
    <n v="0"/>
    <x v="0"/>
    <m/>
    <x v="2"/>
    <x v="1"/>
    <s v="no root cause"/>
    <x v="1"/>
    <s v=""/>
  </r>
  <r>
    <s v="Tole-HIS"/>
    <s v="SUO_196"/>
    <s v="SUD-OUEST"/>
    <s v="IHS"/>
    <s v="Grid-Gen"/>
    <s v="SUD-OUEST"/>
    <s v="Buea"/>
    <s v="Huawei"/>
    <n v="0"/>
    <n v="0"/>
    <n v="0"/>
    <n v="0"/>
    <n v="0"/>
    <n v="0"/>
    <n v="0"/>
    <n v="0"/>
    <n v="0"/>
    <n v="0"/>
    <n v="0"/>
    <n v="0"/>
    <n v="0"/>
    <n v="0"/>
    <n v="0"/>
    <n v="0"/>
    <n v="1.144387800235708"/>
    <n v="0"/>
    <n v="0"/>
    <n v="0"/>
    <n v="0"/>
    <n v="0"/>
    <n v="0"/>
    <n v="0"/>
    <m/>
    <n v="0"/>
    <m/>
    <n v="0"/>
    <m/>
    <n v="0"/>
    <m/>
    <m/>
    <n v="0"/>
    <n v="0"/>
    <n v="0"/>
    <n v="0.005974751236327629"/>
    <m/>
    <n v="0"/>
    <n v="0"/>
    <n v="0"/>
    <n v="0"/>
    <n v="0"/>
    <x v="0"/>
    <m/>
    <x v="2"/>
    <x v="1"/>
    <s v="no root cause"/>
    <x v="1"/>
    <s v=""/>
  </r>
  <r>
    <s v="Bfsam-Water-Tower-IHS"/>
    <s v="OST_172"/>
    <s v="Bafoussam"/>
    <s v="IHS"/>
    <s v="Grid-Gen"/>
    <s v="OUEST"/>
    <s v="Bafoussam"/>
    <s v="Huawei"/>
    <n v="13.86855689960706"/>
    <n v="5.493649998715874"/>
    <n v="0.08378919793512597"/>
    <n v="0.01721085057628705"/>
    <n v="0"/>
    <n v="0.005671554904931898"/>
    <n v="0"/>
    <n v="0.01747837675104799"/>
    <n v="0.1783151130173243"/>
    <n v="1.265933858968761"/>
    <n v="0.01123609933995942"/>
    <n v="0.1544874483852834"/>
    <n v="0"/>
    <n v="0"/>
    <n v="0.5282036794479971"/>
    <n v="0.3436641240979016"/>
    <n v="0.3360663807346911"/>
    <n v="0.1950265814007243"/>
    <n v="0.1201549226242962"/>
    <n v="0.09702282604663373"/>
    <n v="0"/>
    <n v="0.1380970114115965"/>
    <n v="0.05266698627127011"/>
    <n v="0"/>
    <m/>
    <n v="0.0835751769953172"/>
    <m/>
    <n v="2.746726906427192"/>
    <m/>
    <n v="0.06873639183524383"/>
    <m/>
    <m/>
    <n v="0.2117023796274893"/>
    <n v="0.00531485333858398"/>
    <n v="0.01084372761697671"/>
    <n v="0.005671554904931898"/>
    <m/>
    <n v="0"/>
    <n v="0"/>
    <n v="0"/>
    <n v="0"/>
    <n v="0"/>
    <x v="0"/>
    <m/>
    <x v="2"/>
    <x v="1"/>
    <s v="no root cause"/>
    <x v="1"/>
    <s v=""/>
  </r>
  <r>
    <s v="Santchou-IHS"/>
    <s v="OST_140"/>
    <s v="OUEST"/>
    <s v="IHS"/>
    <s v="Grid-Gen"/>
    <s v="OUEST"/>
    <s v="Santchou"/>
    <s v="NOKIA"/>
    <n v="0.001515981656978661"/>
    <n v="0"/>
    <n v="0"/>
    <n v="0"/>
    <n v="0.005528874278392342"/>
    <n v="0"/>
    <n v="0.00240773557284831"/>
    <n v="0.003388664880305524"/>
    <n v="0"/>
    <n v="0"/>
    <n v="0"/>
    <n v="0"/>
    <n v="0.002942787922370614"/>
    <n v="0"/>
    <n v="0.002942787922370614"/>
    <n v="0"/>
    <n v="0.002496910964435361"/>
    <n v="0"/>
    <n v="0"/>
    <n v="0"/>
    <n v="4.924889351174119"/>
    <n v="0"/>
    <n v="0"/>
    <n v="0.05896276891731152"/>
    <m/>
    <n v="0"/>
    <m/>
    <n v="0"/>
    <m/>
    <n v="0"/>
    <m/>
    <m/>
    <n v="0"/>
    <n v="0"/>
    <n v="4.260371153611677"/>
    <n v="0.005528874278392513"/>
    <m/>
    <n v="0"/>
    <n v="0"/>
    <n v="0"/>
    <n v="0"/>
    <n v="0"/>
    <x v="2"/>
    <m/>
    <x v="9"/>
    <x v="5"/>
    <s v="EXCLU"/>
    <x v="4"/>
    <s v=""/>
  </r>
  <r>
    <s v="Abom-Plateau"/>
    <s v="CTR_650"/>
    <s v="Yaounde"/>
    <s v="CAMUSAT"/>
    <s v="Good Grid + GE"/>
    <s v="CENTRE"/>
    <s v="Yaounde"/>
    <s v="ZTE"/>
    <n v="0"/>
    <n v="0"/>
    <n v="0"/>
    <n v="0"/>
    <n v="0"/>
    <n v="0"/>
    <n v="0"/>
    <n v="0"/>
    <n v="0"/>
    <n v="0"/>
    <n v="1.221774205054889"/>
    <n v="0"/>
    <n v="0"/>
    <n v="0"/>
    <n v="0"/>
    <n v="0"/>
    <n v="0"/>
    <n v="0"/>
    <n v="0"/>
    <n v="0"/>
    <n v="0"/>
    <n v="0"/>
    <n v="0"/>
    <n v="0"/>
    <m/>
    <n v="0"/>
    <m/>
    <n v="0"/>
    <m/>
    <n v="0"/>
    <m/>
    <m/>
    <n v="8.912366985985908"/>
    <n v="0"/>
    <n v="0"/>
    <n v="0.004868976380649084"/>
    <m/>
    <n v="0"/>
    <n v="0"/>
    <n v="0"/>
    <n v="0"/>
    <n v="0"/>
    <x v="0"/>
    <m/>
    <x v="2"/>
    <x v="1"/>
    <s v="no root cause"/>
    <x v="1"/>
    <s v=""/>
  </r>
  <r>
    <s v="Fondjomekwet-IHS"/>
    <s v="OST_208"/>
    <s v="OUEST"/>
    <s v="IHS"/>
    <s v="Grid-Gen"/>
    <s v="OUEST"/>
    <s v="Fondjomekwet"/>
    <s v="NOKIA"/>
    <n v="0.001605157048565712"/>
    <n v="0"/>
    <n v="0.0104335208156767"/>
    <n v="0"/>
    <n v="0.001515981656978832"/>
    <n v="0"/>
    <n v="0.001426806265391782"/>
    <n v="0.007134031326958566"/>
    <n v="0.7580309087602634"/>
    <n v="0.004815471145696792"/>
    <n v="0"/>
    <n v="1.531248484018343"/>
    <n v="0.005439698886805632"/>
    <n v="0.001694332440152762"/>
    <n v="0.004547944970935983"/>
    <n v="0.001426806265391782"/>
    <n v="0.001337630873804731"/>
    <n v="0"/>
    <n v="0.7729901293542559"/>
    <n v="7.775880125444806"/>
    <n v="0.3076372658967618"/>
    <n v="0"/>
    <n v="0"/>
    <n v="0.0912977659067496"/>
    <m/>
    <n v="0"/>
    <m/>
    <n v="0.002140209398087501"/>
    <m/>
    <n v="0.06928927926308324"/>
    <m/>
    <m/>
    <n v="0.004102068013001073"/>
    <n v="0.1308024643797816"/>
    <n v="0.009898468466154737"/>
    <n v="0.004280418796175002"/>
    <m/>
    <n v="0"/>
    <n v="0"/>
    <n v="0"/>
    <n v="0"/>
    <n v="0"/>
    <x v="0"/>
    <m/>
    <x v="2"/>
    <x v="1"/>
    <s v="no root cause"/>
    <x v="1"/>
    <s v=""/>
  </r>
  <r>
    <s v="Mfandena-IHS"/>
    <s v="CTR_643"/>
    <s v="Yaounde"/>
    <s v="IHS"/>
    <s v="Grid-Gen"/>
    <s v="CENTRE"/>
    <s v="Yaounde"/>
    <s v="ZTE"/>
    <n v="0"/>
    <n v="0"/>
    <n v="0"/>
    <n v="0"/>
    <n v="0"/>
    <n v="0"/>
    <n v="0"/>
    <n v="0"/>
    <n v="0"/>
    <n v="0"/>
    <n v="0"/>
    <n v="0"/>
    <n v="0"/>
    <n v="0"/>
    <n v="0"/>
    <n v="0"/>
    <n v="0"/>
    <n v="0"/>
    <n v="0"/>
    <n v="0"/>
    <n v="0"/>
    <n v="0"/>
    <n v="0"/>
    <n v="0"/>
    <m/>
    <n v="0"/>
    <m/>
    <n v="0"/>
    <m/>
    <n v="0"/>
    <m/>
    <m/>
    <n v="0"/>
    <n v="0"/>
    <n v="0"/>
    <n v="0.00235423033789626"/>
    <m/>
    <n v="0"/>
    <n v="0"/>
    <n v="0"/>
    <n v="0"/>
    <n v="0"/>
    <x v="0"/>
    <m/>
    <x v="2"/>
    <x v="1"/>
    <s v="no root cause"/>
    <x v="1"/>
    <s v=""/>
  </r>
  <r>
    <s v="Liberte-Indoor"/>
    <s v="LIT_673"/>
    <s v="Douala"/>
    <m/>
    <m/>
    <s v="LITTORAL"/>
    <s v="Douala"/>
    <s v="ZTE"/>
    <n v="0"/>
    <n v="0"/>
    <n v="0"/>
    <n v="0"/>
    <n v="0"/>
    <n v="0"/>
    <n v="0"/>
    <n v="0"/>
    <n v="0"/>
    <n v="0"/>
    <n v="0"/>
    <n v="0"/>
    <n v="0"/>
    <n v="0"/>
    <n v="0"/>
    <n v="0"/>
    <n v="0"/>
    <n v="0.001854848145009179"/>
    <n v="0"/>
    <n v="0"/>
    <n v="0"/>
    <n v="0"/>
    <n v="0"/>
    <n v="3.340635014396475"/>
    <m/>
    <n v="4.622852299869019"/>
    <m/>
    <n v="2.282783014156772"/>
    <m/>
    <n v="0"/>
    <m/>
    <m/>
    <n v="0"/>
    <n v="0"/>
    <n v="0"/>
    <n v="0.001837013066691837"/>
    <m/>
    <n v="0"/>
    <n v="0"/>
    <n v="0"/>
    <n v="0"/>
    <n v="0"/>
    <x v="0"/>
    <m/>
    <x v="2"/>
    <x v="1"/>
    <s v="no root cause"/>
    <x v="1"/>
    <s v=""/>
  </r>
  <r>
    <s v="Logbessou-PK21-IHS"/>
    <s v="LIT_235"/>
    <s v="Douala"/>
    <s v="IHS"/>
    <s v="Grid-Gen"/>
    <s v="LITTORAL"/>
    <s v="Douala"/>
    <s v="ZTE"/>
    <n v="0"/>
    <n v="0"/>
    <n v="0"/>
    <n v="0"/>
    <n v="0"/>
    <n v="1.044850228146324"/>
    <n v="0"/>
    <n v="0"/>
    <n v="0"/>
    <n v="0"/>
    <n v="0"/>
    <n v="0"/>
    <n v="0"/>
    <n v="0"/>
    <n v="0"/>
    <n v="0"/>
    <n v="0"/>
    <n v="0"/>
    <n v="0"/>
    <n v="0"/>
    <n v="0"/>
    <n v="0"/>
    <n v="0"/>
    <n v="0"/>
    <m/>
    <n v="0"/>
    <m/>
    <n v="0.6236748536810175"/>
    <m/>
    <n v="0"/>
    <m/>
    <m/>
    <n v="0"/>
    <n v="0"/>
    <n v="0"/>
    <n v="0.001712167518470483"/>
    <m/>
    <n v="0"/>
    <n v="0"/>
    <n v="0"/>
    <n v="0"/>
    <n v="0"/>
    <x v="0"/>
    <m/>
    <x v="2"/>
    <x v="1"/>
    <s v="no root cause"/>
    <x v="1"/>
    <s v=""/>
  </r>
  <r>
    <s v="Abom-Plateau-II"/>
    <s v="CTR_872"/>
    <s v="CENTRE"/>
    <s v="CAMUSAT"/>
    <s v="Good Grid + GE"/>
    <s v="CENTRE"/>
    <s v="Abom"/>
    <s v="ZTE"/>
    <n v="0"/>
    <n v="0"/>
    <n v="0"/>
    <n v="0"/>
    <n v="0"/>
    <n v="0"/>
    <n v="0"/>
    <n v="2.577953560309671"/>
    <n v="3.869819623151932"/>
    <n v="0"/>
    <n v="2.479682278780824"/>
    <n v="0"/>
    <n v="0"/>
    <n v="14.01601732713529"/>
    <n v="0"/>
    <n v="1.950247978928926"/>
    <n v="0"/>
    <n v="0"/>
    <n v="0"/>
    <n v="0"/>
    <n v="0"/>
    <n v="0"/>
    <n v="0"/>
    <n v="0"/>
    <m/>
    <n v="0"/>
    <m/>
    <n v="6.578593482919704"/>
    <m/>
    <n v="0"/>
    <m/>
    <m/>
    <n v="25.58779067610642"/>
    <n v="58.40713488741073"/>
    <n v="47.67571475859864"/>
    <n v="0.001070104699043754"/>
    <m/>
    <n v="0"/>
    <n v="0"/>
    <n v="0"/>
    <n v="0"/>
    <n v="0"/>
    <x v="0"/>
    <m/>
    <x v="2"/>
    <x v="1"/>
    <s v="no root cause"/>
    <x v="1"/>
    <s v=""/>
  </r>
  <r>
    <s v="Ngousso-II"/>
    <s v="CTR_342"/>
    <s v="Yaounde"/>
    <s v="IHS"/>
    <s v="Grid-Gen"/>
    <s v="CENTRE"/>
    <s v="Yaounde"/>
    <s v="ZTE"/>
    <n v="0"/>
    <n v="0"/>
    <n v="0"/>
    <n v="0"/>
    <n v="0"/>
    <n v="0"/>
    <n v="0"/>
    <n v="0"/>
    <n v="12.20406254547945"/>
    <n v="0"/>
    <n v="4.660216788943963"/>
    <n v="9.244420474099186"/>
    <n v="0"/>
    <n v="0"/>
    <n v="0"/>
    <n v="0"/>
    <n v="0"/>
    <n v="0"/>
    <n v="0"/>
    <n v="0"/>
    <n v="9.244366968864234"/>
    <n v="0"/>
    <n v="0"/>
    <n v="0"/>
    <m/>
    <n v="0"/>
    <m/>
    <n v="0"/>
    <m/>
    <n v="0"/>
    <m/>
    <m/>
    <n v="0"/>
    <n v="0"/>
    <n v="0"/>
    <n v="0.0007490732893306281"/>
    <m/>
    <n v="0"/>
    <n v="0"/>
    <n v="0"/>
    <n v="0"/>
    <n v="0"/>
    <x v="0"/>
    <m/>
    <x v="2"/>
    <x v="1"/>
    <s v="no root cause"/>
    <x v="1"/>
    <s v=""/>
  </r>
  <r>
    <s v="Camship"/>
    <s v="LIT_139"/>
    <s v="Douala"/>
    <s v="IHS"/>
    <s v="Grid-Gen"/>
    <s v="LITTORAL"/>
    <s v="Douala"/>
    <s v="ZTE"/>
    <n v="3.081901533246013"/>
    <n v="3.081901533246013"/>
    <n v="3.081901533246013"/>
    <n v="3.081901533246013"/>
    <n v="3.081901533246013"/>
    <n v="3.081901533246013"/>
    <n v="3.081901533246013"/>
    <n v="3.081901533246013"/>
    <n v="2.47360051707459"/>
    <n v="0"/>
    <n v="6.510071112024266"/>
    <n v="0.07277554263018726"/>
    <n v="0"/>
    <n v="0"/>
    <n v="0"/>
    <n v="0"/>
    <n v="0"/>
    <n v="0"/>
    <n v="0"/>
    <n v="0"/>
    <n v="2.853023973198871"/>
    <n v="0"/>
    <n v="0"/>
    <n v="0"/>
    <m/>
    <n v="0"/>
    <m/>
    <n v="0"/>
    <m/>
    <n v="0"/>
    <m/>
    <m/>
    <n v="0"/>
    <n v="0"/>
    <n v="0"/>
    <n v="0.0003923717229827143"/>
    <m/>
    <n v="0"/>
    <n v="0"/>
    <n v="0"/>
    <n v="0"/>
    <n v="0"/>
    <x v="0"/>
    <m/>
    <x v="2"/>
    <x v="1"/>
    <s v="no root cause"/>
    <x v="1"/>
    <s v=""/>
  </r>
  <r>
    <s v="Bfsam-Djemoun"/>
    <s v="OST_001"/>
    <s v="Bafoussam"/>
    <s v="OCM/Strategique"/>
    <m/>
    <s v="OUEST"/>
    <s v="Bafoussam"/>
    <s v="Huawei"/>
    <n v="0"/>
    <n v="0"/>
    <n v="0"/>
    <n v="0"/>
    <n v="0"/>
    <n v="0"/>
    <n v="0"/>
    <n v="0"/>
    <n v="0"/>
    <n v="0"/>
    <n v="0"/>
    <n v="0"/>
    <n v="0"/>
    <n v="0"/>
    <n v="0"/>
    <n v="0"/>
    <n v="0"/>
    <n v="0"/>
    <n v="0"/>
    <n v="0"/>
    <n v="0"/>
    <n v="0"/>
    <n v="0"/>
    <n v="0"/>
    <m/>
    <n v="0"/>
    <m/>
    <n v="0"/>
    <m/>
    <n v="0"/>
    <m/>
    <m/>
    <n v="0"/>
    <n v="0.7043964181455513"/>
    <n v="0"/>
    <n v="0.0001783507831739591"/>
    <m/>
    <n v="0"/>
    <n v="0"/>
    <n v="0"/>
    <n v="0"/>
    <n v="0"/>
    <x v="0"/>
    <m/>
    <x v="2"/>
    <x v="1"/>
    <s v="no root cause"/>
    <x v="1"/>
    <s v=""/>
  </r>
  <r>
    <s v="Maroua-Orange"/>
    <s v="EXN_044"/>
    <s v="Maroua"/>
    <s v="CAMUSAT"/>
    <s v="Bad Grid + GE"/>
    <s v="EXTREME-NORD"/>
    <s v="Maroua"/>
    <s v="Huawei"/>
    <n v="0"/>
    <n v="0"/>
    <n v="0"/>
    <n v="0"/>
    <n v="0"/>
    <n v="0"/>
    <n v="0.004815471145696896"/>
    <n v="0"/>
    <n v="0"/>
    <n v="0"/>
    <n v="0"/>
    <n v="0"/>
    <n v="0"/>
    <n v="0"/>
    <n v="0.0005350523495218772"/>
    <n v="0"/>
    <n v="0"/>
    <n v="0"/>
    <n v="0"/>
    <n v="0"/>
    <n v="0"/>
    <n v="0"/>
    <n v="0"/>
    <n v="0"/>
    <m/>
    <n v="0"/>
    <m/>
    <n v="0"/>
    <m/>
    <n v="0"/>
    <m/>
    <m/>
    <n v="0"/>
    <n v="0"/>
    <n v="0"/>
    <n v="8.917539158697954e-05"/>
    <m/>
    <n v="0"/>
    <n v="0"/>
    <n v="0"/>
    <n v="0"/>
    <n v="0"/>
    <x v="0"/>
    <m/>
    <x v="2"/>
    <x v="1"/>
    <s v="no root cause"/>
    <x v="1"/>
    <s v=""/>
  </r>
  <r>
    <s v="Makepe-Indoor"/>
    <s v="LIT_599"/>
    <s v="Douala"/>
    <m/>
    <m/>
    <s v="LITTORAL"/>
    <s v="Douala"/>
    <s v="ZTE"/>
    <n v="0"/>
    <n v="0"/>
    <n v="0"/>
    <n v="0"/>
    <n v="0"/>
    <n v="0"/>
    <n v="0"/>
    <n v="0"/>
    <n v="0"/>
    <n v="0"/>
    <n v="0"/>
    <n v="0"/>
    <n v="0"/>
    <n v="0"/>
    <n v="0"/>
    <n v="0"/>
    <n v="0"/>
    <n v="0"/>
    <n v="0"/>
    <n v="0"/>
    <n v="0"/>
    <n v="0"/>
    <n v="0"/>
    <n v="0.0002675261747609805"/>
    <m/>
    <n v="0"/>
    <m/>
    <n v="0"/>
    <m/>
    <n v="0"/>
    <m/>
    <m/>
    <n v="0"/>
    <n v="0"/>
    <n v="0"/>
    <n v="5.350523495219609e-05"/>
    <m/>
    <n v="0"/>
    <n v="0"/>
    <n v="0"/>
    <n v="0"/>
    <n v="0"/>
    <x v="0"/>
    <m/>
    <x v="2"/>
    <x v="1"/>
    <s v="no root cause"/>
    <x v="1"/>
    <s v=""/>
  </r>
  <r>
    <s v="Nkolbisson-Ayene-Bar"/>
    <s v="CTR_657"/>
    <s v="Yaounde"/>
    <s v="CAMUSAT"/>
    <s v="Good Grid + GE"/>
    <s v="CENTRE"/>
    <s v="Yaounde"/>
    <s v="ZTE"/>
    <n v="0"/>
    <n v="0"/>
    <n v="0"/>
    <n v="0"/>
    <n v="0"/>
    <n v="0"/>
    <n v="0"/>
    <n v="0.2020536022577781"/>
    <n v="0"/>
    <n v="0"/>
    <n v="4.906323034645707"/>
    <n v="0"/>
    <n v="0"/>
    <n v="0"/>
    <n v="0"/>
    <n v="22.89182240257052"/>
    <n v="0.8785202877582876"/>
    <n v="53.01782009685162"/>
    <n v="19.21408657289695"/>
    <n v="21.56804938461845"/>
    <n v="8.917539158697954e-05"/>
    <n v="0"/>
    <n v="11.99837058724492"/>
    <n v="0"/>
    <m/>
    <n v="0"/>
    <m/>
    <n v="0"/>
    <m/>
    <n v="0"/>
    <m/>
    <m/>
    <n v="0"/>
    <n v="0.7644827969968566"/>
    <n v="44.03830404100071"/>
    <n v="0"/>
    <m/>
    <n v="0"/>
    <n v="0"/>
    <n v="0"/>
    <n v="0"/>
    <n v="0"/>
    <x v="0"/>
    <m/>
    <x v="2"/>
    <x v="1"/>
    <s v="no root cause"/>
    <x v="1"/>
    <s v=""/>
  </r>
  <r>
    <s v="Nkolbisson-Usne-Ds-Eaux-IHS"/>
    <s v="CTR_522"/>
    <s v="Yaounde"/>
    <s v="IHS"/>
    <s v="Grid-Gen"/>
    <s v="CENTRE"/>
    <s v="Yaounde"/>
    <s v="ZTE"/>
    <n v="0.46175017763738"/>
    <n v="0"/>
    <n v="0"/>
    <n v="0"/>
    <n v="1.16848299104251"/>
    <n v="0"/>
    <n v="0"/>
    <n v="0.1132349122371472"/>
    <n v="1.116565078060571"/>
    <n v="0.7310776953083769"/>
    <n v="0"/>
    <n v="0"/>
    <n v="0"/>
    <n v="0"/>
    <n v="0"/>
    <n v="0"/>
    <n v="0"/>
    <n v="0"/>
    <n v="0"/>
    <n v="0.002514746042752874"/>
    <n v="0.1201192524676615"/>
    <n v="0"/>
    <n v="0.5898060399562823"/>
    <n v="0"/>
    <m/>
    <n v="0"/>
    <m/>
    <n v="0"/>
    <m/>
    <n v="0"/>
    <m/>
    <m/>
    <n v="0"/>
    <n v="0"/>
    <n v="26.41564150636498"/>
    <n v="0"/>
    <m/>
    <n v="0"/>
    <n v="0"/>
    <n v="0"/>
    <n v="0"/>
    <n v="0"/>
    <x v="0"/>
    <m/>
    <x v="2"/>
    <x v="1"/>
    <s v="no root cause"/>
    <x v="1"/>
    <s v=""/>
  </r>
  <r>
    <s v="Foret-Bar-Mabanda-IHS"/>
    <s v="LIT_360"/>
    <s v="Douala"/>
    <s v="IHS"/>
    <s v="Grid-Gen"/>
    <s v="LITTORAL"/>
    <s v="Douala"/>
    <s v="ZTE"/>
    <n v="0"/>
    <n v="0"/>
    <n v="0"/>
    <n v="0"/>
    <n v="0.04483738688993348"/>
    <n v="0"/>
    <n v="0"/>
    <n v="2.687407435943533"/>
    <n v="0"/>
    <n v="0"/>
    <n v="0"/>
    <n v="0"/>
    <n v="0"/>
    <n v="0"/>
    <n v="0"/>
    <n v="0"/>
    <n v="0"/>
    <n v="0"/>
    <n v="0"/>
    <n v="0.1197982210579485"/>
    <n v="0"/>
    <n v="0"/>
    <n v="0"/>
    <n v="0"/>
    <m/>
    <n v="0"/>
    <m/>
    <n v="0"/>
    <m/>
    <n v="0"/>
    <m/>
    <m/>
    <n v="0"/>
    <n v="0"/>
    <n v="17.89960563074823"/>
    <n v="0"/>
    <m/>
    <n v="0"/>
    <n v="0"/>
    <n v="0"/>
    <n v="0"/>
    <n v="0"/>
    <x v="0"/>
    <m/>
    <x v="2"/>
    <x v="1"/>
    <s v="no root cause"/>
    <x v="1"/>
    <s v=""/>
  </r>
  <r>
    <s v="Babylone-dispensaire"/>
    <s v="LIT_648"/>
    <s v="Douala"/>
    <s v="CAMUSAT"/>
    <s v="Good Grid no GE - 12h"/>
    <s v="LITTORAL"/>
    <s v="Douala"/>
    <s v="ZTE"/>
    <n v="0"/>
    <n v="4.919717178462071"/>
    <n v="5.047309328744721"/>
    <n v="0"/>
    <n v="12.9598239891791"/>
    <n v="27.40762856237853"/>
    <n v="0"/>
    <n v="1.37615464297027"/>
    <n v="0"/>
    <n v="0"/>
    <n v="0"/>
    <n v="0"/>
    <n v="0"/>
    <n v="0"/>
    <n v="22.3028902814518"/>
    <n v="0"/>
    <n v="0"/>
    <n v="0"/>
    <n v="50.53569441234134"/>
    <n v="54.49723984327961"/>
    <n v="0"/>
    <n v="0"/>
    <n v="0"/>
    <n v="0"/>
    <m/>
    <n v="0"/>
    <m/>
    <n v="0"/>
    <m/>
    <n v="0"/>
    <m/>
    <m/>
    <n v="0"/>
    <n v="0"/>
    <n v="10.80110177979813"/>
    <n v="0"/>
    <m/>
    <n v="0"/>
    <n v="0"/>
    <n v="0"/>
    <n v="0"/>
    <n v="0"/>
    <x v="0"/>
    <m/>
    <x v="2"/>
    <x v="1"/>
    <s v="no root cause"/>
    <x v="1"/>
    <s v=""/>
  </r>
  <r>
    <s v="Bipaga"/>
    <s v="SUD_001"/>
    <s v="LITTORAL"/>
    <s v="IHS"/>
    <s v="Grid-Gen"/>
    <s v="SUD"/>
    <s v="Bipaga"/>
    <s v="ZTE"/>
    <n v="0"/>
    <n v="0.3460718596707503"/>
    <n v="0"/>
    <n v="0"/>
    <n v="0"/>
    <n v="0"/>
    <n v="0"/>
    <n v="0.3006280801180244"/>
    <n v="0"/>
    <n v="3.273931821489415"/>
    <n v="0"/>
    <n v="2.988695413959302"/>
    <n v="0"/>
    <n v="0"/>
    <n v="0.008614342827302028"/>
    <n v="0"/>
    <n v="0"/>
    <n v="0"/>
    <n v="0"/>
    <n v="0"/>
    <n v="2.781291288206304"/>
    <n v="0"/>
    <n v="0"/>
    <n v="1.42689544078326"/>
    <m/>
    <n v="0"/>
    <m/>
    <n v="4.906626230977107"/>
    <m/>
    <n v="0"/>
    <m/>
    <m/>
    <n v="0"/>
    <n v="0"/>
    <n v="5.898684627303935"/>
    <n v="0"/>
    <m/>
    <n v="0"/>
    <n v="0"/>
    <n v="0"/>
    <n v="0"/>
    <n v="0"/>
    <x v="0"/>
    <m/>
    <x v="2"/>
    <x v="1"/>
    <s v="no root cause"/>
    <x v="1"/>
    <s v=""/>
  </r>
  <r>
    <s v="Ahala"/>
    <s v="CTR_195"/>
    <s v="Yaounde"/>
    <s v="IHS"/>
    <s v="Grid-Gen-Lithium"/>
    <s v="CENTRE"/>
    <s v="Yaounde"/>
    <s v="ZTE"/>
    <n v="0"/>
    <n v="4.242394409202331"/>
    <n v="0"/>
    <n v="0"/>
    <n v="0"/>
    <n v="0"/>
    <n v="0.04034294715394952"/>
    <n v="0"/>
    <n v="0"/>
    <n v="0"/>
    <n v="0.001016599464091567"/>
    <n v="0.3604647678728888"/>
    <n v="0"/>
    <n v="0"/>
    <n v="0"/>
    <n v="0"/>
    <n v="0"/>
    <n v="0"/>
    <n v="0"/>
    <n v="0"/>
    <n v="0"/>
    <n v="0"/>
    <n v="0"/>
    <n v="0"/>
    <m/>
    <n v="0"/>
    <m/>
    <n v="0"/>
    <m/>
    <n v="0"/>
    <m/>
    <m/>
    <n v="0"/>
    <n v="0"/>
    <n v="5.76053411065739"/>
    <n v="0"/>
    <m/>
    <n v="0"/>
    <n v="0"/>
    <n v="0"/>
    <n v="0"/>
    <n v="0"/>
    <x v="0"/>
    <m/>
    <x v="2"/>
    <x v="1"/>
    <s v="no root cause"/>
    <x v="1"/>
    <s v=""/>
  </r>
  <r>
    <s v="Lende-Kribi"/>
    <s v="SUD_086"/>
    <s v="LITTORAL"/>
    <s v="CAMUSAT"/>
    <s v="HGB"/>
    <s v="SUD"/>
    <s v="Kribi"/>
    <s v="ZTE"/>
    <n v="0"/>
    <n v="0"/>
    <n v="0"/>
    <n v="0"/>
    <n v="0"/>
    <n v="0"/>
    <n v="0"/>
    <n v="0"/>
    <n v="3.23868970673424"/>
    <n v="0"/>
    <n v="0"/>
    <n v="4.622852299869019"/>
    <n v="0"/>
    <n v="0"/>
    <n v="0.008418156965811441"/>
    <n v="3.436213199099398"/>
    <n v="0"/>
    <n v="14.27995865115443"/>
    <n v="25.71129859345438"/>
    <n v="0"/>
    <n v="0.4971884782540458"/>
    <n v="0"/>
    <n v="0"/>
    <n v="0"/>
    <m/>
    <n v="0"/>
    <m/>
    <n v="0"/>
    <m/>
    <n v="0"/>
    <m/>
    <m/>
    <n v="0"/>
    <n v="0"/>
    <n v="4.835054061689396"/>
    <n v="0"/>
    <m/>
    <n v="0"/>
    <n v="0"/>
    <n v="0"/>
    <n v="0"/>
    <n v="0"/>
    <x v="0"/>
    <m/>
    <x v="2"/>
    <x v="1"/>
    <s v="no root cause"/>
    <x v="1"/>
    <s v=""/>
  </r>
  <r>
    <s v="Avenue-Biyemassi"/>
    <s v="CTR_664"/>
    <s v="Yaounde"/>
    <s v="CAMUSAT"/>
    <s v="Good Grid no GE - 12h"/>
    <s v="CENTRE"/>
    <s v="Yaounde"/>
    <s v="ZTE"/>
    <n v="0"/>
    <n v="0"/>
    <n v="0.9858517890723774"/>
    <n v="0"/>
    <n v="0"/>
    <n v="0"/>
    <n v="0"/>
    <n v="0"/>
    <n v="0"/>
    <n v="11.56265962395094"/>
    <n v="0"/>
    <n v="0"/>
    <n v="9.501923334845749"/>
    <n v="0"/>
    <n v="0"/>
    <n v="0"/>
    <n v="0"/>
    <n v="0"/>
    <n v="0"/>
    <n v="0"/>
    <n v="0.4843115517088857"/>
    <n v="1.901683060670656"/>
    <n v="0"/>
    <n v="1.531087968313486"/>
    <m/>
    <n v="0"/>
    <m/>
    <n v="0"/>
    <m/>
    <n v="0"/>
    <m/>
    <m/>
    <n v="2.110317806827554"/>
    <n v="0"/>
    <n v="3.593857456346863"/>
    <n v="0"/>
    <m/>
    <n v="0"/>
    <n v="0"/>
    <n v="0"/>
    <n v="0"/>
    <n v="0"/>
    <x v="0"/>
    <m/>
    <x v="2"/>
    <x v="1"/>
    <s v="no root cause"/>
    <x v="1"/>
    <s v=""/>
  </r>
  <r>
    <s v="Ngwele"/>
    <s v="LIT_206"/>
    <s v="Douala"/>
    <s v="IHS"/>
    <s v="Grid-Gen"/>
    <s v="LITTORAL"/>
    <s v="Douala"/>
    <s v="ZTE"/>
    <n v="0"/>
    <n v="0"/>
    <n v="0"/>
    <n v="0"/>
    <n v="0.01594456001575169"/>
    <n v="0"/>
    <n v="0"/>
    <n v="3.168027126440717"/>
    <n v="0"/>
    <n v="0"/>
    <n v="0"/>
    <n v="0"/>
    <n v="0"/>
    <n v="0"/>
    <n v="0"/>
    <n v="0"/>
    <n v="0"/>
    <n v="0"/>
    <n v="0"/>
    <n v="0"/>
    <n v="0"/>
    <n v="0"/>
    <n v="0"/>
    <n v="0"/>
    <m/>
    <n v="0"/>
    <m/>
    <n v="0"/>
    <m/>
    <n v="0"/>
    <m/>
    <m/>
    <n v="0"/>
    <n v="0"/>
    <n v="3.580374137138913"/>
    <n v="0"/>
    <m/>
    <n v="0"/>
    <n v="0"/>
    <n v="0"/>
    <n v="0"/>
    <n v="0"/>
    <x v="0"/>
    <m/>
    <x v="2"/>
    <x v="1"/>
    <s v="no root cause"/>
    <x v="1"/>
    <s v=""/>
  </r>
  <r>
    <s v="Niki-Accacia-IHS"/>
    <s v="CTR_848"/>
    <s v="Yaounde"/>
    <m/>
    <m/>
    <s v="CENTRE"/>
    <s v="Yaounde"/>
    <s v="ZTE"/>
    <n v="0"/>
    <n v="0"/>
    <n v="0"/>
    <n v="0"/>
    <n v="0"/>
    <n v="0"/>
    <n v="0"/>
    <n v="0"/>
    <n v="0"/>
    <n v="0"/>
    <n v="0"/>
    <n v="0"/>
    <n v="4.94022751852708"/>
    <n v="0"/>
    <n v="0"/>
    <n v="0"/>
    <n v="0"/>
    <n v="0"/>
    <n v="0"/>
    <n v="0.002657426669291949"/>
    <n v="0"/>
    <n v="2.39840782688845"/>
    <n v="0"/>
    <n v="4.697260246609196"/>
    <m/>
    <n v="0"/>
    <m/>
    <n v="0"/>
    <m/>
    <n v="0"/>
    <m/>
    <m/>
    <n v="2.140280738400779"/>
    <n v="0.7249780985238262"/>
    <n v="3.163033304511848"/>
    <n v="0"/>
    <m/>
    <n v="0"/>
    <n v="0"/>
    <n v="0"/>
    <n v="0"/>
    <n v="0"/>
    <x v="0"/>
    <m/>
    <x v="2"/>
    <x v="1"/>
    <s v="no root cause"/>
    <x v="1"/>
    <s v=""/>
  </r>
  <r>
    <s v="Cite-de-la-Paix"/>
    <s v="LIT_442"/>
    <s v="Douala"/>
    <s v="IHS"/>
    <s v="Grid-Gen"/>
    <s v="LITTORAL"/>
    <s v="Douala"/>
    <s v="ZTE"/>
    <n v="0"/>
    <n v="0"/>
    <n v="0"/>
    <n v="0.01719301549796989"/>
    <n v="0"/>
    <n v="0"/>
    <n v="0.01747837675104787"/>
    <n v="0"/>
    <n v="0"/>
    <n v="0"/>
    <n v="0.1867867752180878"/>
    <n v="0"/>
    <n v="0"/>
    <n v="0"/>
    <n v="0"/>
    <n v="0"/>
    <n v="0"/>
    <n v="0"/>
    <n v="0"/>
    <n v="0"/>
    <n v="0"/>
    <n v="0"/>
    <n v="0"/>
    <n v="1.032169487462653"/>
    <m/>
    <n v="0"/>
    <m/>
    <n v="0"/>
    <m/>
    <n v="0"/>
    <m/>
    <m/>
    <n v="0"/>
    <n v="34.36865962965816"/>
    <n v="3.023241960660098"/>
    <n v="0"/>
    <m/>
    <n v="0"/>
    <n v="0"/>
    <n v="0"/>
    <n v="0"/>
    <n v="0"/>
    <x v="0"/>
    <m/>
    <x v="2"/>
    <x v="1"/>
    <s v="no root cause"/>
    <x v="1"/>
    <s v=""/>
  </r>
  <r>
    <s v="NKONGSAMBA-Q8-CIMETIERE-IHS"/>
    <s v="LIT_735"/>
    <s v="LITTORAL"/>
    <s v="IHS"/>
    <s v="Grid-Gen"/>
    <s v="LITTORAL"/>
    <s v="Nkongsamba"/>
    <s v="ZTE"/>
    <n v="4.400074336606426"/>
    <n v="0"/>
    <n v="0"/>
    <n v="0"/>
    <n v="0"/>
    <n v="0"/>
    <n v="0"/>
    <n v="3.342686048402975"/>
    <n v="1.909691010835165"/>
    <n v="0"/>
    <n v="0"/>
    <n v="0"/>
    <n v="0"/>
    <n v="0"/>
    <n v="0"/>
    <n v="0"/>
    <n v="0"/>
    <n v="0"/>
    <n v="0"/>
    <n v="0"/>
    <n v="2.453393373340981"/>
    <n v="0"/>
    <n v="0"/>
    <n v="0.1278775115357298"/>
    <m/>
    <n v="0"/>
    <m/>
    <n v="0"/>
    <m/>
    <n v="0"/>
    <m/>
    <m/>
    <n v="0"/>
    <n v="0"/>
    <n v="2.711984173864904"/>
    <n v="0"/>
    <m/>
    <n v="0"/>
    <n v="0"/>
    <n v="0"/>
    <n v="0"/>
    <n v="0"/>
    <x v="0"/>
    <m/>
    <x v="2"/>
    <x v="1"/>
    <s v="no root cause"/>
    <x v="1"/>
    <s v=""/>
  </r>
  <r>
    <s v="Accacia-New"/>
    <s v="CTR_482"/>
    <s v="Yaounde"/>
    <s v="IHS"/>
    <s v="GridOnly"/>
    <s v="CENTRE"/>
    <s v="Yaounde"/>
    <s v="ZTE"/>
    <n v="0"/>
    <n v="0"/>
    <n v="0"/>
    <n v="0"/>
    <n v="0"/>
    <n v="0"/>
    <n v="0"/>
    <n v="0"/>
    <n v="0"/>
    <n v="0"/>
    <n v="0"/>
    <n v="0"/>
    <n v="8.113070116113494"/>
    <n v="0"/>
    <n v="0"/>
    <n v="0"/>
    <n v="0"/>
    <n v="0"/>
    <n v="0"/>
    <n v="0"/>
    <n v="0"/>
    <n v="1.383413519845448"/>
    <n v="0"/>
    <n v="1.088189468457594"/>
    <m/>
    <n v="0"/>
    <m/>
    <n v="0"/>
    <m/>
    <n v="0"/>
    <m/>
    <m/>
    <n v="1.533353023259796"/>
    <n v="0"/>
    <n v="2.61112680598003"/>
    <n v="0"/>
    <m/>
    <n v="0"/>
    <n v="0"/>
    <n v="0"/>
    <n v="0"/>
    <n v="0"/>
    <x v="0"/>
    <m/>
    <x v="2"/>
    <x v="1"/>
    <s v="no root cause"/>
    <x v="1"/>
    <s v=""/>
  </r>
  <r>
    <s v="Bda-Mulang"/>
    <s v="NRO_243"/>
    <s v="NORD-OUEST"/>
    <s v="IHS"/>
    <s v="Grid-Gen"/>
    <s v="NORD-OUEST"/>
    <s v="Bamenda"/>
    <s v="Huawei"/>
    <n v="0"/>
    <n v="0"/>
    <n v="0"/>
    <n v="1.340127784769129"/>
    <n v="0"/>
    <n v="0"/>
    <n v="0"/>
    <n v="0"/>
    <n v="0"/>
    <n v="0"/>
    <n v="2.314886155128084"/>
    <n v="0"/>
    <n v="0"/>
    <n v="0"/>
    <n v="0"/>
    <n v="0"/>
    <n v="0"/>
    <n v="13.78881626444998"/>
    <n v="0"/>
    <n v="0"/>
    <n v="0"/>
    <n v="0"/>
    <n v="0"/>
    <n v="0"/>
    <m/>
    <n v="0"/>
    <m/>
    <n v="0"/>
    <m/>
    <n v="0"/>
    <m/>
    <m/>
    <n v="0"/>
    <n v="0"/>
    <n v="2.040868011859614"/>
    <n v="0"/>
    <m/>
    <n v="0"/>
    <n v="0"/>
    <n v="0"/>
    <n v="0"/>
    <n v="0"/>
    <x v="0"/>
    <m/>
    <x v="2"/>
    <x v="1"/>
    <s v="no root cause"/>
    <x v="1"/>
    <s v=""/>
  </r>
  <r>
    <s v="Bamenda-Mile8-IHS"/>
    <s v="NRO_135"/>
    <s v="NORD-OUEST"/>
    <s v="IHS"/>
    <s v="Grid-Gen"/>
    <s v="NORD-OUEST"/>
    <s v="Bamenda"/>
    <s v="Huawei"/>
    <n v="0"/>
    <n v="0"/>
    <n v="0.08855116384587068"/>
    <n v="1.450170217987461"/>
    <n v="0"/>
    <n v="0.04824388684855593"/>
    <n v="0"/>
    <n v="0"/>
    <n v="0"/>
    <n v="0"/>
    <n v="2.624217753464999"/>
    <n v="0"/>
    <n v="0.2703262820567697"/>
    <n v="0"/>
    <n v="0"/>
    <n v="1.409149537857451"/>
    <n v="0"/>
    <n v="13.78958317281763"/>
    <n v="0"/>
    <n v="0"/>
    <n v="0"/>
    <n v="0"/>
    <n v="0"/>
    <n v="0"/>
    <m/>
    <n v="0.5670663151016029"/>
    <m/>
    <n v="0.4852033056247556"/>
    <m/>
    <n v="0"/>
    <m/>
    <m/>
    <n v="0"/>
    <n v="0"/>
    <n v="1.885792005889857"/>
    <n v="0"/>
    <m/>
    <n v="0"/>
    <n v="0"/>
    <n v="0"/>
    <n v="0"/>
    <n v="0"/>
    <x v="0"/>
    <m/>
    <x v="2"/>
    <x v="1"/>
    <s v="no root cause"/>
    <x v="1"/>
    <s v=""/>
  </r>
  <r>
    <s v="SIC-Cacao"/>
    <s v="LIT_654"/>
    <s v="Douala"/>
    <s v="CAMUSAT"/>
    <s v="Good Grid no GE - 12h"/>
    <s v="LITTORAL"/>
    <s v="Douala"/>
    <s v="ZTE"/>
    <n v="0"/>
    <n v="0"/>
    <n v="0"/>
    <n v="19.67642530811882"/>
    <n v="13.86805751741417"/>
    <n v="13.70996738320877"/>
    <n v="13.62107735287487"/>
    <n v="12.9015924584728"/>
    <n v="12.210162142264"/>
    <n v="12.98047700987065"/>
    <n v="45.5406953683015"/>
    <n v="9.244420474099186"/>
    <n v="28.76528822913368"/>
    <n v="9.799983163686067"/>
    <n v="6.057737855738473"/>
    <n v="6.094103580427642"/>
    <n v="4.390336383845129"/>
    <n v="10.85462484982864"/>
    <n v="11.7634647707265"/>
    <n v="17.31218949128649"/>
    <n v="9.244366968864234"/>
    <n v="7.080918463729158"/>
    <n v="8.191187759143688"/>
    <n v="53.65076919125767"/>
    <m/>
    <n v="6.71126863052281"/>
    <m/>
    <n v="4.580422648551935"/>
    <m/>
    <n v="7.687507312382109"/>
    <m/>
    <m/>
    <n v="28.79348548795348"/>
    <n v="38.53554031726464"/>
    <n v="1.675873134094107"/>
    <n v="0"/>
    <m/>
    <n v="0"/>
    <n v="0"/>
    <n v="0"/>
    <n v="0"/>
    <n v="0"/>
    <x v="0"/>
    <m/>
    <x v="2"/>
    <x v="1"/>
    <s v="no root cause"/>
    <x v="1"/>
    <s v=""/>
  </r>
  <r>
    <s v="Nkomedzap-Camtel"/>
    <s v="SUD_088"/>
    <s v="CENTRE"/>
    <s v="CAMUSAT"/>
    <s v="Medium Grid + GE"/>
    <s v="SUD"/>
    <s v="Nkomedzap"/>
    <s v="NOKIA"/>
    <n v="0"/>
    <n v="0.06873081983292811"/>
    <n v="0"/>
    <n v="0"/>
    <n v="0"/>
    <n v="0"/>
    <n v="0"/>
    <n v="0.092165764370203"/>
    <n v="0"/>
    <n v="0.6791669297768766"/>
    <n v="0"/>
    <n v="11.29903933134151"/>
    <n v="0"/>
    <n v="0"/>
    <n v="0"/>
    <n v="0"/>
    <n v="0"/>
    <n v="0"/>
    <n v="0"/>
    <n v="0"/>
    <n v="0"/>
    <n v="0"/>
    <n v="0"/>
    <n v="0.3982649163329769"/>
    <m/>
    <n v="0"/>
    <m/>
    <n v="0.7328433680617977"/>
    <m/>
    <n v="0.03946967859125933"/>
    <m/>
    <m/>
    <n v="0"/>
    <n v="0"/>
    <n v="1.536158941684128"/>
    <n v="0"/>
    <m/>
    <n v="0"/>
    <n v="0"/>
    <n v="0"/>
    <n v="0"/>
    <n v="0"/>
    <x v="0"/>
    <m/>
    <x v="2"/>
    <x v="1"/>
    <s v="no root cause"/>
    <x v="1"/>
    <s v=""/>
  </r>
  <r>
    <s v="CTR_006_Z_Mbankolo"/>
    <s v="CTR_006"/>
    <s v="Yaounde"/>
    <s v="OCM/Datacenter"/>
    <s v="Grid-Gen"/>
    <s v="CENTRE"/>
    <s v="Yaounde"/>
    <s v="ZTE"/>
    <n v="0"/>
    <n v="0"/>
    <n v="0"/>
    <n v="0"/>
    <n v="0"/>
    <n v="0"/>
    <n v="0"/>
    <n v="0"/>
    <n v="0"/>
    <n v="0"/>
    <n v="0"/>
    <n v="0"/>
    <n v="0"/>
    <n v="0"/>
    <n v="0"/>
    <n v="0"/>
    <n v="0"/>
    <n v="0"/>
    <n v="0"/>
    <n v="0"/>
    <n v="0"/>
    <n v="0"/>
    <n v="0"/>
    <n v="0"/>
    <m/>
    <n v="0"/>
    <m/>
    <n v="0.5083175671241004"/>
    <m/>
    <n v="0"/>
    <m/>
    <m/>
    <n v="0.7284202686390838"/>
    <n v="4.172159870788425"/>
    <n v="1.317887442107336"/>
    <n v="0"/>
    <m/>
    <n v="0"/>
    <n v="0"/>
    <n v="0"/>
    <n v="0"/>
    <n v="0"/>
    <x v="0"/>
    <m/>
    <x v="2"/>
    <x v="1"/>
    <s v="no root cause"/>
    <x v="1"/>
    <s v=""/>
  </r>
  <r>
    <s v="Grand-Hangar-II"/>
    <s v="LIT_361"/>
    <s v="Douala"/>
    <s v="IHS"/>
    <s v="Grid-Gen"/>
    <s v="LITTORAL"/>
    <s v="Douala"/>
    <s v="ZTE"/>
    <n v="0"/>
    <n v="0"/>
    <n v="0"/>
    <n v="0"/>
    <n v="0.04868976380649057"/>
    <n v="0"/>
    <n v="0"/>
    <n v="1.443250207600312"/>
    <n v="0"/>
    <n v="0"/>
    <n v="0"/>
    <n v="0"/>
    <n v="0"/>
    <n v="0"/>
    <n v="0"/>
    <n v="0"/>
    <n v="0"/>
    <n v="0"/>
    <n v="0"/>
    <n v="0"/>
    <n v="0"/>
    <n v="0"/>
    <n v="0"/>
    <n v="0"/>
    <m/>
    <n v="0"/>
    <m/>
    <n v="0"/>
    <m/>
    <n v="1.216173990463226"/>
    <m/>
    <m/>
    <n v="0"/>
    <n v="0"/>
    <n v="1.001939029714667"/>
    <n v="0"/>
    <m/>
    <n v="0"/>
    <n v="0"/>
    <n v="0"/>
    <n v="0"/>
    <n v="0"/>
    <x v="0"/>
    <m/>
    <x v="2"/>
    <x v="1"/>
    <s v="no root cause"/>
    <x v="1"/>
    <s v=""/>
  </r>
  <r>
    <s v="Bfsam-Baleng"/>
    <s v="OST_063"/>
    <s v="Bafoussam"/>
    <s v="IHS"/>
    <s v="Grid-Gen"/>
    <s v="OUEST"/>
    <s v="Bafoussam"/>
    <s v="Huawei"/>
    <n v="0"/>
    <n v="0"/>
    <n v="0"/>
    <n v="0"/>
    <n v="0"/>
    <n v="0"/>
    <n v="0"/>
    <n v="0"/>
    <n v="0"/>
    <n v="0"/>
    <n v="0"/>
    <n v="0"/>
    <n v="6.158934090111377"/>
    <n v="6.163803066492026"/>
    <n v="6.163803066492026"/>
    <n v="5.655806530777638"/>
    <n v="2.667860190107667"/>
    <n v="0"/>
    <n v="0"/>
    <n v="0"/>
    <n v="0"/>
    <n v="0"/>
    <n v="0"/>
    <n v="0"/>
    <m/>
    <n v="0"/>
    <m/>
    <n v="0"/>
    <m/>
    <n v="0"/>
    <m/>
    <m/>
    <n v="0"/>
    <n v="0.04913564076442573"/>
    <n v="0.9662153678449232"/>
    <n v="0"/>
    <m/>
    <n v="0"/>
    <n v="0"/>
    <n v="0"/>
    <n v="0"/>
    <n v="0"/>
    <x v="0"/>
    <m/>
    <x v="2"/>
    <x v="1"/>
    <s v="no root cause"/>
    <x v="1"/>
    <s v=""/>
  </r>
  <r>
    <s v="Mankon"/>
    <s v="NRO_029"/>
    <s v="NORD-OUEST"/>
    <s v="IHS"/>
    <s v="Grid-Gen"/>
    <s v="NORD-OUEST"/>
    <s v="Bamenda"/>
    <s v="Huawei"/>
    <n v="0"/>
    <n v="0"/>
    <n v="0"/>
    <n v="0.7697619801788074"/>
    <n v="0"/>
    <n v="0.04726295754109916"/>
    <n v="0"/>
    <n v="0"/>
    <n v="0"/>
    <n v="0"/>
    <n v="1.546212114726638"/>
    <n v="0"/>
    <n v="0"/>
    <n v="0.01551651813613444"/>
    <n v="0.04629986331195977"/>
    <n v="0"/>
    <n v="0"/>
    <n v="5.574282387788821"/>
    <n v="0"/>
    <n v="0.02846478499456387"/>
    <n v="0"/>
    <n v="0"/>
    <n v="0"/>
    <n v="0"/>
    <m/>
    <n v="0"/>
    <m/>
    <n v="0"/>
    <m/>
    <n v="0"/>
    <m/>
    <m/>
    <n v="0"/>
    <n v="0"/>
    <n v="0.8555843770421164"/>
    <n v="0"/>
    <m/>
    <n v="0"/>
    <n v="0"/>
    <n v="0"/>
    <n v="0"/>
    <n v="0"/>
    <x v="0"/>
    <m/>
    <x v="2"/>
    <x v="1"/>
    <s v="no root cause"/>
    <x v="1"/>
    <s v=""/>
  </r>
  <r>
    <s v="Nanga-Eboko-IHS"/>
    <s v="CTR_138"/>
    <s v="CENTRE"/>
    <s v="IHS"/>
    <s v="Grid-Gen"/>
    <s v="CENTRE"/>
    <s v="Nanga-Eboko"/>
    <s v="NOKIA"/>
    <n v="0"/>
    <n v="0"/>
    <n v="0"/>
    <n v="0"/>
    <n v="0"/>
    <n v="0"/>
    <n v="0"/>
    <n v="0"/>
    <n v="0"/>
    <n v="0"/>
    <n v="0"/>
    <n v="0"/>
    <n v="0"/>
    <n v="0"/>
    <n v="0"/>
    <n v="0"/>
    <n v="0"/>
    <n v="0"/>
    <n v="0"/>
    <n v="0"/>
    <n v="0"/>
    <n v="0"/>
    <n v="0"/>
    <n v="0"/>
    <m/>
    <n v="0"/>
    <m/>
    <n v="0"/>
    <m/>
    <n v="0"/>
    <m/>
    <m/>
    <n v="0"/>
    <n v="0"/>
    <n v="0.8256301477122617"/>
    <n v="0"/>
    <m/>
    <n v="0"/>
    <n v="0"/>
    <n v="0"/>
    <n v="0"/>
    <n v="0"/>
    <x v="0"/>
    <m/>
    <x v="2"/>
    <x v="1"/>
    <s v="no root cause"/>
    <x v="1"/>
    <s v=""/>
  </r>
  <r>
    <s v="Tole-Tea-IHS"/>
    <s v="SUO_152"/>
    <s v="SUD-OUEST"/>
    <s v="IHS"/>
    <s v="Grid-Gen"/>
    <s v="SUD-OUEST"/>
    <s v="Buea"/>
    <s v="Huawei"/>
    <n v="0"/>
    <n v="0"/>
    <n v="0"/>
    <n v="0"/>
    <n v="0"/>
    <n v="0"/>
    <n v="0"/>
    <n v="0"/>
    <n v="0"/>
    <n v="0"/>
    <n v="0"/>
    <n v="0"/>
    <n v="0"/>
    <n v="6.679771882214291"/>
    <n v="0"/>
    <n v="0"/>
    <n v="1.754525829473822"/>
    <n v="0"/>
    <n v="0"/>
    <n v="0"/>
    <n v="0"/>
    <n v="0"/>
    <n v="8.917539158697954e-05"/>
    <n v="0"/>
    <m/>
    <n v="0"/>
    <m/>
    <n v="0"/>
    <m/>
    <n v="0"/>
    <m/>
    <m/>
    <n v="0"/>
    <n v="0"/>
    <n v="0.7055556982361821"/>
    <n v="0"/>
    <m/>
    <n v="0"/>
    <n v="0"/>
    <n v="0"/>
    <n v="0"/>
    <n v="0"/>
    <x v="0"/>
    <m/>
    <x v="2"/>
    <x v="1"/>
    <s v="no root cause"/>
    <x v="1"/>
    <s v=""/>
  </r>
  <r>
    <s v="Efoulan-Pont"/>
    <s v="CTR_773"/>
    <s v="Yaounde"/>
    <s v="CAMUSAT"/>
    <s v="Good Grid no GE - 8h"/>
    <s v="CENTRE"/>
    <s v="Yaounde"/>
    <s v="ZTE"/>
    <n v="0"/>
    <n v="2.14452548704032"/>
    <n v="0"/>
    <n v="0"/>
    <n v="0"/>
    <n v="0.9804477603422058"/>
    <n v="0"/>
    <n v="0"/>
    <n v="0"/>
    <n v="0"/>
    <n v="0"/>
    <n v="0"/>
    <n v="4.441362542911198"/>
    <n v="0"/>
    <n v="0.3777647938407626"/>
    <n v="0"/>
    <n v="1.736387554825032"/>
    <n v="0"/>
    <n v="0"/>
    <n v="0.1107736714293457"/>
    <n v="0"/>
    <n v="0.5633922889682197"/>
    <n v="0.5690638438731519"/>
    <n v="0"/>
    <m/>
    <n v="0.7333427502546853"/>
    <m/>
    <n v="0.3724142703455447"/>
    <m/>
    <n v="0"/>
    <m/>
    <m/>
    <n v="7.198237608900989"/>
    <n v="0"/>
    <n v="0.6771979237115228"/>
    <n v="0"/>
    <m/>
    <n v="0"/>
    <n v="0"/>
    <n v="0"/>
    <n v="0"/>
    <n v="0"/>
    <x v="0"/>
    <m/>
    <x v="2"/>
    <x v="1"/>
    <s v="no root cause"/>
    <x v="1"/>
    <s v=""/>
  </r>
  <r>
    <s v="Songa-Boko"/>
    <s v="LIT_280"/>
    <s v="Douala"/>
    <s v="IHS"/>
    <s v="Grid-Gen"/>
    <s v="LITTORAL"/>
    <s v="Douala"/>
    <s v="ZTE"/>
    <n v="11.69788518775344"/>
    <n v="22.33581383602571"/>
    <n v="9.355283320920119"/>
    <n v="1.242284545119894"/>
    <n v="17.85680144278649"/>
    <n v="0"/>
    <n v="0"/>
    <n v="0"/>
    <n v="0"/>
    <n v="0"/>
    <n v="0"/>
    <n v="1.141034805512038"/>
    <n v="0"/>
    <n v="0"/>
    <n v="0"/>
    <n v="0"/>
    <n v="0"/>
    <n v="0"/>
    <n v="0"/>
    <n v="0"/>
    <n v="0"/>
    <n v="0"/>
    <n v="0"/>
    <n v="0"/>
    <m/>
    <n v="0"/>
    <m/>
    <n v="0"/>
    <m/>
    <n v="0"/>
    <m/>
    <m/>
    <n v="1.2452630031989"/>
    <n v="13.33616197675447"/>
    <n v="0.6142044270944788"/>
    <n v="0"/>
    <m/>
    <n v="0"/>
    <n v="0"/>
    <n v="0"/>
    <n v="0"/>
    <n v="0"/>
    <x v="0"/>
    <m/>
    <x v="2"/>
    <x v="1"/>
    <s v="no root cause"/>
    <x v="1"/>
    <s v=""/>
  </r>
  <r>
    <s v="Nanga-Eboko"/>
    <s v="CTR_033"/>
    <s v="CENTRE"/>
    <s v="CAMUSAT"/>
    <s v="Medium Grid + Solar + GE"/>
    <s v="CENTRE"/>
    <s v="Nanga-Eboko"/>
    <s v="NOKIA"/>
    <n v="0"/>
    <n v="0"/>
    <n v="0"/>
    <n v="0"/>
    <n v="0"/>
    <n v="0"/>
    <n v="0"/>
    <n v="0"/>
    <n v="0"/>
    <n v="0"/>
    <n v="0"/>
    <n v="0"/>
    <n v="0"/>
    <n v="0"/>
    <n v="0"/>
    <n v="0"/>
    <n v="0"/>
    <n v="0"/>
    <n v="0"/>
    <n v="0"/>
    <n v="0"/>
    <n v="0"/>
    <n v="0"/>
    <n v="0"/>
    <m/>
    <n v="0"/>
    <m/>
    <n v="0"/>
    <m/>
    <n v="0"/>
    <m/>
    <m/>
    <n v="0"/>
    <n v="0"/>
    <n v="0.595085223138232"/>
    <n v="0"/>
    <m/>
    <n v="0"/>
    <n v="0"/>
    <n v="0"/>
    <n v="0"/>
    <n v="0"/>
    <x v="0"/>
    <m/>
    <x v="2"/>
    <x v="1"/>
    <s v="no root cause"/>
    <x v="1"/>
    <s v=""/>
  </r>
  <r>
    <s v="Nkoambang"/>
    <s v="CTR_891"/>
    <s v="CENTRE"/>
    <s v="ESCO"/>
    <s v="HGB"/>
    <s v="CENTRE"/>
    <s v="Nkoambang"/>
    <s v="NOKIA"/>
    <n v="0"/>
    <n v="0"/>
    <n v="0"/>
    <n v="0"/>
    <n v="0"/>
    <n v="0"/>
    <n v="0"/>
    <n v="0"/>
    <n v="0.5758429094714548"/>
    <n v="0"/>
    <n v="0"/>
    <n v="0"/>
    <n v="0"/>
    <n v="0"/>
    <n v="0"/>
    <n v="6.228848001981024"/>
    <n v="8.639204926476673"/>
    <n v="0"/>
    <n v="0"/>
    <n v="0.04765532926408141"/>
    <n v="0"/>
    <n v="0"/>
    <n v="0"/>
    <n v="0"/>
    <m/>
    <n v="0"/>
    <m/>
    <n v="3.573259083214262"/>
    <m/>
    <n v="0"/>
    <m/>
    <m/>
    <n v="0"/>
    <n v="0"/>
    <n v="0.5917857336495137"/>
    <n v="0"/>
    <m/>
    <n v="0"/>
    <n v="0"/>
    <n v="0"/>
    <n v="0"/>
    <n v="0"/>
    <x v="0"/>
    <m/>
    <x v="2"/>
    <x v="1"/>
    <s v="no root cause"/>
    <x v="1"/>
    <s v=""/>
  </r>
  <r>
    <s v="Gamoko-Hill-IHS"/>
    <s v="SUO_097"/>
    <s v="SUD-OUEST"/>
    <s v="IHS"/>
    <s v="Gen Only"/>
    <s v="SUD-OUEST"/>
    <s v="Gamoko"/>
    <s v="NOKIA"/>
    <n v="0"/>
    <n v="0"/>
    <n v="0"/>
    <n v="0"/>
    <n v="0"/>
    <n v="0"/>
    <n v="0.07906651045635425"/>
    <n v="0"/>
    <n v="0"/>
    <n v="0.5246147805871587"/>
    <n v="0"/>
    <n v="0"/>
    <n v="0"/>
    <n v="0"/>
    <n v="0"/>
    <n v="0.2071187644999185"/>
    <n v="0.03171076924832982"/>
    <n v="0"/>
    <n v="0"/>
    <n v="0.0008025785242829415"/>
    <n v="0"/>
    <n v="1.073439858689108"/>
    <n v="0.03178210956159958"/>
    <n v="0.2298584893545985"/>
    <m/>
    <n v="0"/>
    <m/>
    <n v="0"/>
    <m/>
    <n v="0"/>
    <m/>
    <m/>
    <n v="0.2746067008529448"/>
    <n v="0"/>
    <n v="0.5486248441214155"/>
    <n v="0"/>
    <m/>
    <n v="0"/>
    <n v="0"/>
    <n v="0"/>
    <n v="0"/>
    <n v="0"/>
    <x v="1"/>
    <m/>
    <x v="2"/>
    <x v="1"/>
    <s v="no root cause"/>
    <x v="1"/>
    <s v=""/>
  </r>
  <r>
    <s v="Donga-MTN-IHS"/>
    <s v="CTR_166"/>
    <s v="CENTRE"/>
    <s v="IHS"/>
    <s v="Hybrid-Gen"/>
    <s v="CENTRE"/>
    <s v="Donga"/>
    <s v="NOKIA"/>
    <n v="0"/>
    <n v="0"/>
    <n v="0"/>
    <n v="0"/>
    <n v="0"/>
    <n v="0"/>
    <n v="0"/>
    <n v="0"/>
    <n v="0"/>
    <n v="0"/>
    <n v="0"/>
    <n v="0.05998298122861351"/>
    <n v="0.5766621379255082"/>
    <n v="0"/>
    <n v="0"/>
    <n v="0"/>
    <n v="1.521671046961901"/>
    <n v="6.162839972262886"/>
    <n v="3.136578011591734"/>
    <n v="0"/>
    <n v="3.344255535294907"/>
    <n v="0"/>
    <n v="0"/>
    <n v="0"/>
    <m/>
    <n v="0"/>
    <m/>
    <n v="0"/>
    <m/>
    <n v="0"/>
    <m/>
    <m/>
    <n v="0"/>
    <n v="0"/>
    <n v="0.5277221323334278"/>
    <n v="0"/>
    <m/>
    <n v="0"/>
    <n v="0"/>
    <n v="0"/>
    <n v="0"/>
    <n v="0"/>
    <x v="0"/>
    <m/>
    <x v="2"/>
    <x v="1"/>
    <s v="no root cause"/>
    <x v="1"/>
    <s v=""/>
  </r>
  <r>
    <s v="Crf-Nsam-IHS"/>
    <s v="CTR_159"/>
    <s v="Yaounde"/>
    <s v="IHS"/>
    <s v="Grid-Gen"/>
    <s v="CENTRE"/>
    <s v="Yaounde"/>
    <s v="ZTE"/>
    <n v="0"/>
    <n v="0"/>
    <n v="0"/>
    <n v="0"/>
    <n v="0"/>
    <n v="0"/>
    <n v="0"/>
    <n v="0"/>
    <n v="0"/>
    <n v="0"/>
    <n v="0"/>
    <n v="0"/>
    <n v="10.96841264949362"/>
    <n v="13.86855689960706"/>
    <n v="20.5699092265854"/>
    <n v="0"/>
    <n v="0"/>
    <n v="0"/>
    <n v="0"/>
    <n v="0"/>
    <n v="0.03761942942607605"/>
    <n v="0"/>
    <n v="0"/>
    <n v="0"/>
    <m/>
    <n v="0"/>
    <m/>
    <n v="0"/>
    <m/>
    <n v="0"/>
    <m/>
    <m/>
    <n v="0"/>
    <n v="0"/>
    <n v="0.5068015854671215"/>
    <n v="0"/>
    <m/>
    <n v="0"/>
    <n v="0"/>
    <n v="0"/>
    <n v="0"/>
    <n v="0"/>
    <x v="0"/>
    <m/>
    <x v="2"/>
    <x v="1"/>
    <s v="no root cause"/>
    <x v="1"/>
    <s v=""/>
  </r>
  <r>
    <s v="Nkololoun-Marche"/>
    <s v="LIT_548"/>
    <s v="Douala"/>
    <s v="CAMUSAT"/>
    <s v="Good Grid no GE - 8h"/>
    <s v="LITTORAL"/>
    <s v="Douala"/>
    <s v="ZTE"/>
    <n v="0"/>
    <n v="12.11841849939931"/>
    <n v="0"/>
    <n v="0"/>
    <n v="0"/>
    <n v="0"/>
    <n v="0"/>
    <n v="0"/>
    <n v="0"/>
    <n v="0"/>
    <n v="0"/>
    <n v="0"/>
    <n v="0"/>
    <n v="0.002051034006500451"/>
    <n v="2.875442666643838"/>
    <n v="0"/>
    <n v="0"/>
    <n v="0"/>
    <n v="0"/>
    <n v="0"/>
    <n v="0"/>
    <n v="0"/>
    <n v="0"/>
    <n v="0"/>
    <m/>
    <n v="0"/>
    <m/>
    <n v="0"/>
    <m/>
    <n v="0"/>
    <m/>
    <m/>
    <n v="0"/>
    <n v="0"/>
    <n v="0.4514236672916079"/>
    <n v="0"/>
    <m/>
    <n v="0"/>
    <n v="0"/>
    <n v="0"/>
    <n v="0"/>
    <n v="0"/>
    <x v="0"/>
    <m/>
    <x v="2"/>
    <x v="1"/>
    <s v="no root cause"/>
    <x v="1"/>
    <s v=""/>
  </r>
  <r>
    <s v="Foumban-Njiyouom"/>
    <s v="OST_137"/>
    <s v="OUEST"/>
    <s v="IHS"/>
    <s v="Grid-Gen"/>
    <s v="OUEST"/>
    <s v="Foumban"/>
    <s v="Huawei"/>
    <n v="0"/>
    <n v="0"/>
    <n v="0"/>
    <n v="0"/>
    <n v="0"/>
    <n v="0"/>
    <n v="0"/>
    <n v="0"/>
    <n v="0"/>
    <n v="0"/>
    <n v="0"/>
    <n v="0"/>
    <n v="0"/>
    <n v="0"/>
    <n v="0"/>
    <n v="0.4949234233077365"/>
    <n v="0"/>
    <n v="0"/>
    <n v="0"/>
    <n v="0"/>
    <n v="0"/>
    <n v="0"/>
    <n v="0"/>
    <n v="0"/>
    <m/>
    <n v="0"/>
    <m/>
    <n v="0"/>
    <m/>
    <n v="0"/>
    <m/>
    <m/>
    <n v="0"/>
    <n v="0"/>
    <n v="0.4239754817611355"/>
    <n v="0"/>
    <m/>
    <n v="0"/>
    <n v="0"/>
    <n v="0"/>
    <n v="0"/>
    <n v="0"/>
    <x v="0"/>
    <m/>
    <x v="2"/>
    <x v="1"/>
    <s v="no root cause"/>
    <x v="1"/>
    <s v=""/>
  </r>
  <r>
    <s v="Ouassa-Bamvele-Camrail"/>
    <s v="CTR_454"/>
    <s v="CENTRE"/>
    <s v="CAMUSAT"/>
    <s v="Hybrid Solar - S3"/>
    <s v="CENTRE"/>
    <s v="Ouassa-Bamvele"/>
    <s v="NOKIA"/>
    <n v="0"/>
    <n v="0"/>
    <n v="0"/>
    <n v="0"/>
    <n v="0"/>
    <n v="0"/>
    <n v="0"/>
    <n v="0"/>
    <n v="0"/>
    <n v="0"/>
    <n v="0"/>
    <n v="0"/>
    <n v="0"/>
    <n v="0"/>
    <n v="0"/>
    <n v="0"/>
    <n v="0"/>
    <n v="0"/>
    <n v="0"/>
    <n v="0"/>
    <n v="0"/>
    <n v="0"/>
    <n v="0"/>
    <n v="0"/>
    <m/>
    <n v="0"/>
    <m/>
    <n v="0"/>
    <m/>
    <n v="0"/>
    <m/>
    <m/>
    <n v="0"/>
    <n v="0"/>
    <n v="0.3979005972611029"/>
    <n v="0"/>
    <m/>
    <n v="0"/>
    <n v="0"/>
    <n v="0"/>
    <n v="0"/>
    <n v="0"/>
    <x v="0"/>
    <m/>
    <x v="2"/>
    <x v="1"/>
    <s v="no root cause"/>
    <x v="1"/>
    <s v=""/>
  </r>
  <r>
    <s v="Limbe-New-Town-IHS"/>
    <s v="SUO_187"/>
    <s v="SUD-OUEST"/>
    <s v="IHS"/>
    <s v="Grid-Gen"/>
    <s v="SUD-OUEST"/>
    <s v="Limbe"/>
    <s v="Huawei"/>
    <n v="0"/>
    <n v="0"/>
    <n v="0"/>
    <n v="0"/>
    <n v="0"/>
    <n v="0"/>
    <n v="0.5275437815502535"/>
    <n v="0"/>
    <n v="0"/>
    <n v="0"/>
    <n v="0"/>
    <n v="6.557797781601618"/>
    <n v="0.00749073289330628"/>
    <n v="0"/>
    <n v="0"/>
    <n v="0.739424511960917"/>
    <n v="0.6889334052443691"/>
    <n v="0.03194262526645607"/>
    <n v="0"/>
    <n v="0.6610571778342793"/>
    <n v="0"/>
    <n v="0"/>
    <n v="0"/>
    <n v="0.4895728998125177"/>
    <m/>
    <n v="1.236755670841502"/>
    <m/>
    <n v="2.242564912551043"/>
    <m/>
    <n v="0"/>
    <m/>
    <m/>
    <n v="0"/>
    <n v="0"/>
    <n v="0.355435275787383"/>
    <n v="0"/>
    <m/>
    <n v="0"/>
    <n v="0"/>
    <n v="0"/>
    <n v="0"/>
    <n v="0"/>
    <x v="0"/>
    <m/>
    <x v="2"/>
    <x v="1"/>
    <s v="no root cause"/>
    <x v="1"/>
    <s v=""/>
  </r>
  <r>
    <s v="Bda-Tubah-MTN"/>
    <s v="NRO_254"/>
    <s v="NORD-OUEST"/>
    <s v="IHS"/>
    <s v="Grid-Gen"/>
    <s v="NORD-OUEST"/>
    <s v="Bamenda"/>
    <s v="Huawei"/>
    <n v="0"/>
    <n v="0"/>
    <n v="0"/>
    <n v="0"/>
    <n v="0"/>
    <n v="0"/>
    <n v="0"/>
    <n v="0"/>
    <n v="0"/>
    <n v="0"/>
    <n v="0"/>
    <n v="0"/>
    <n v="0"/>
    <n v="0"/>
    <n v="0"/>
    <n v="0"/>
    <n v="0"/>
    <n v="0.9394627503688296"/>
    <n v="0"/>
    <n v="0.135457419820622"/>
    <n v="0.07731506450591169"/>
    <n v="0"/>
    <n v="0.08132795712732535"/>
    <n v="0"/>
    <m/>
    <n v="0"/>
    <m/>
    <n v="0"/>
    <m/>
    <n v="0.457202232666444"/>
    <m/>
    <m/>
    <n v="0"/>
    <n v="0"/>
    <n v="0.2848262007288127"/>
    <n v="0"/>
    <m/>
    <n v="0"/>
    <n v="0"/>
    <n v="0"/>
    <n v="0"/>
    <n v="0"/>
    <x v="0"/>
    <m/>
    <x v="2"/>
    <x v="1"/>
    <s v="no root cause"/>
    <x v="1"/>
    <s v=""/>
  </r>
  <r>
    <s v="Voirie-Municipale-IHS"/>
    <s v="CTR_632"/>
    <s v="Yaounde"/>
    <s v="IHS"/>
    <s v="Grid-Gen"/>
    <s v="CENTRE"/>
    <s v="Yaounde"/>
    <s v="ZTE"/>
    <n v="0"/>
    <n v="0"/>
    <n v="0"/>
    <n v="0"/>
    <n v="0"/>
    <n v="0"/>
    <n v="0"/>
    <n v="0"/>
    <n v="0"/>
    <n v="0"/>
    <n v="0"/>
    <n v="0"/>
    <n v="0"/>
    <n v="0"/>
    <n v="0"/>
    <n v="0"/>
    <n v="0"/>
    <n v="0"/>
    <n v="0"/>
    <n v="0"/>
    <n v="0"/>
    <n v="0"/>
    <n v="0.6499815941991769"/>
    <n v="0"/>
    <m/>
    <n v="0"/>
    <m/>
    <n v="0"/>
    <m/>
    <n v="0"/>
    <m/>
    <m/>
    <n v="0"/>
    <n v="0"/>
    <n v="0.282561145782503"/>
    <n v="0"/>
    <m/>
    <n v="0"/>
    <n v="0"/>
    <n v="0"/>
    <n v="0"/>
    <n v="0"/>
    <x v="0"/>
    <m/>
    <x v="2"/>
    <x v="1"/>
    <s v="no root cause"/>
    <x v="1"/>
    <s v=""/>
  </r>
  <r>
    <s v="Ngoa-Ekelle-New"/>
    <s v="CTR_194"/>
    <s v="Yaounde"/>
    <m/>
    <m/>
    <s v="CENTRE"/>
    <s v="Yaounde"/>
    <s v="ZTE"/>
    <n v="0.01287692654516003"/>
    <n v="0"/>
    <n v="0"/>
    <n v="0"/>
    <n v="0"/>
    <n v="0"/>
    <n v="0"/>
    <n v="0"/>
    <n v="0"/>
    <n v="0"/>
    <n v="0"/>
    <n v="0.4410793218675179"/>
    <n v="0"/>
    <n v="0"/>
    <n v="0"/>
    <n v="0"/>
    <n v="0"/>
    <n v="0"/>
    <n v="0"/>
    <n v="0"/>
    <n v="0"/>
    <n v="0"/>
    <n v="0.4532250102016657"/>
    <n v="0"/>
    <m/>
    <n v="0"/>
    <m/>
    <n v="0.3379568990363349"/>
    <m/>
    <n v="0"/>
    <m/>
    <m/>
    <n v="2.664400184914092"/>
    <n v="9.245704599738039"/>
    <n v="0.2484248058830078"/>
    <n v="0"/>
    <m/>
    <n v="0"/>
    <n v="0"/>
    <n v="0"/>
    <n v="0"/>
    <n v="0"/>
    <x v="0"/>
    <m/>
    <x v="2"/>
    <x v="1"/>
    <s v="no root cause"/>
    <x v="1"/>
    <s v=""/>
  </r>
  <r>
    <s v="Chapelle-Obili"/>
    <s v="CTR_339"/>
    <s v="Yaounde"/>
    <s v="IHS"/>
    <s v="Grid-Gen"/>
    <s v="CENTRE"/>
    <s v="Yaounde"/>
    <s v="ZTE"/>
    <n v="0"/>
    <n v="0"/>
    <n v="0"/>
    <n v="0"/>
    <n v="0"/>
    <n v="0"/>
    <n v="0"/>
    <n v="0"/>
    <n v="0"/>
    <n v="0"/>
    <n v="0"/>
    <n v="0"/>
    <n v="0"/>
    <n v="0"/>
    <n v="0"/>
    <n v="0"/>
    <n v="0"/>
    <n v="0"/>
    <n v="0"/>
    <n v="0"/>
    <n v="0"/>
    <n v="0"/>
    <n v="0.4196950629649603"/>
    <n v="0"/>
    <m/>
    <n v="0"/>
    <m/>
    <n v="0"/>
    <m/>
    <n v="0"/>
    <m/>
    <m/>
    <n v="0"/>
    <n v="0"/>
    <n v="0.2332828243915386"/>
    <n v="0"/>
    <m/>
    <n v="0"/>
    <n v="0"/>
    <n v="0"/>
    <n v="0"/>
    <n v="0"/>
    <x v="0"/>
    <m/>
    <x v="2"/>
    <x v="1"/>
    <s v="no root cause"/>
    <x v="1"/>
    <s v=""/>
  </r>
  <r>
    <s v="Cradat"/>
    <s v="CTR_579"/>
    <s v="Yaounde"/>
    <s v="CAMUSAT"/>
    <s v="Good Grid + GE"/>
    <s v="CENTRE"/>
    <s v="Yaounde"/>
    <s v="ZTE"/>
    <n v="0"/>
    <n v="0"/>
    <n v="0"/>
    <n v="0"/>
    <n v="0"/>
    <n v="0"/>
    <n v="0"/>
    <n v="0"/>
    <n v="0"/>
    <n v="0"/>
    <n v="0"/>
    <n v="0"/>
    <n v="11.89949291305328"/>
    <n v="0"/>
    <n v="0"/>
    <n v="0.04232264084718051"/>
    <n v="0"/>
    <n v="0"/>
    <n v="0"/>
    <n v="0"/>
    <n v="0"/>
    <n v="0"/>
    <n v="0.6448629267220832"/>
    <n v="0"/>
    <m/>
    <n v="0"/>
    <m/>
    <n v="0"/>
    <m/>
    <n v="0"/>
    <m/>
    <m/>
    <n v="0"/>
    <n v="0"/>
    <n v="0.2311782851500856"/>
    <n v="0"/>
    <m/>
    <n v="0"/>
    <n v="0"/>
    <n v="0"/>
    <n v="0"/>
    <n v="0"/>
    <x v="0"/>
    <m/>
    <x v="2"/>
    <x v="1"/>
    <s v="no root cause"/>
    <x v="1"/>
    <s v=""/>
  </r>
  <r>
    <s v="Polytechnique"/>
    <s v="CTR_128"/>
    <s v="Yaounde"/>
    <s v="IHS"/>
    <s v="GridOnly"/>
    <s v="CENTRE"/>
    <s v="Yaounde"/>
    <s v="ZTE"/>
    <n v="0"/>
    <n v="0"/>
    <n v="0"/>
    <n v="0"/>
    <n v="0"/>
    <n v="0"/>
    <n v="0"/>
    <n v="0"/>
    <n v="0"/>
    <n v="0"/>
    <n v="0"/>
    <n v="0"/>
    <n v="17.39967055043332"/>
    <n v="0"/>
    <n v="0"/>
    <n v="0"/>
    <n v="0"/>
    <n v="0"/>
    <n v="0"/>
    <n v="0"/>
    <n v="0"/>
    <n v="0"/>
    <n v="1.727773211997728"/>
    <n v="28.23419526699825"/>
    <m/>
    <n v="40.45946372059709"/>
    <m/>
    <n v="0"/>
    <m/>
    <n v="0"/>
    <m/>
    <m/>
    <n v="3.510585475682941"/>
    <n v="8.995621131571514"/>
    <n v="0.2310534396018639"/>
    <n v="0"/>
    <m/>
    <n v="0"/>
    <n v="0"/>
    <n v="0"/>
    <n v="0"/>
    <n v="0"/>
    <x v="0"/>
    <m/>
    <x v="2"/>
    <x v="1"/>
    <s v="no root cause"/>
    <x v="1"/>
    <s v=""/>
  </r>
  <r>
    <s v="Enam-IHS"/>
    <s v="CTR_127"/>
    <s v="Yaounde"/>
    <s v="IHS"/>
    <s v="Grid-Gen (LL)"/>
    <s v="CENTRE"/>
    <s v="Yaounde"/>
    <s v="ZTE"/>
    <n v="0"/>
    <n v="0"/>
    <n v="0"/>
    <n v="0"/>
    <n v="0"/>
    <n v="0"/>
    <n v="0"/>
    <n v="0"/>
    <n v="0"/>
    <n v="0"/>
    <n v="0"/>
    <n v="0"/>
    <n v="7.302644157371025"/>
    <n v="0"/>
    <n v="0"/>
    <n v="0"/>
    <n v="0"/>
    <n v="0"/>
    <n v="0"/>
    <n v="0"/>
    <n v="0"/>
    <n v="0"/>
    <n v="0.3338548310233334"/>
    <n v="0"/>
    <m/>
    <n v="0"/>
    <m/>
    <n v="0"/>
    <m/>
    <n v="0"/>
    <m/>
    <m/>
    <n v="0"/>
    <n v="0"/>
    <n v="0.2310177694452296"/>
    <n v="0"/>
    <m/>
    <n v="0"/>
    <n v="0"/>
    <n v="0"/>
    <n v="0"/>
    <n v="0"/>
    <x v="0"/>
    <m/>
    <x v="2"/>
    <x v="1"/>
    <s v="no root cause"/>
    <x v="1"/>
    <s v=""/>
  </r>
  <r>
    <s v="Bonas-Yde-MTN-IHS"/>
    <s v="CTR_524"/>
    <s v="Yaounde"/>
    <s v="IHS"/>
    <s v="Grid-Gen"/>
    <s v="CENTRE"/>
    <s v="Yaounde"/>
    <s v="ZTE"/>
    <n v="0"/>
    <n v="0"/>
    <n v="0"/>
    <n v="0"/>
    <n v="0"/>
    <n v="0"/>
    <n v="0"/>
    <n v="0"/>
    <n v="0"/>
    <n v="0"/>
    <n v="0"/>
    <n v="0"/>
    <n v="8.872345070241671"/>
    <n v="13.86855689960706"/>
    <n v="46.83826865620532"/>
    <n v="0.03130056244702996"/>
    <n v="0"/>
    <n v="0"/>
    <n v="0"/>
    <n v="0"/>
    <n v="0"/>
    <n v="0"/>
    <n v="0.6197868066078254"/>
    <n v="0"/>
    <m/>
    <n v="0"/>
    <m/>
    <n v="0"/>
    <m/>
    <n v="0"/>
    <m/>
    <m/>
    <n v="3.105229815685167"/>
    <n v="8.997654330499696"/>
    <n v="0.219870845496857"/>
    <n v="0"/>
    <m/>
    <n v="0"/>
    <n v="0"/>
    <n v="0"/>
    <n v="0"/>
    <n v="0"/>
    <x v="0"/>
    <m/>
    <x v="2"/>
    <x v="1"/>
    <s v="no root cause"/>
    <x v="1"/>
    <s v=""/>
  </r>
  <r>
    <s v="E-Poste"/>
    <s v="CTR_242"/>
    <s v="Yaounde"/>
    <s v="IHS"/>
    <s v="Grid-Gen"/>
    <s v="CENTRE"/>
    <s v="Yaounde"/>
    <s v="ZTE"/>
    <n v="0"/>
    <n v="0"/>
    <n v="0"/>
    <n v="0"/>
    <n v="0"/>
    <n v="0"/>
    <n v="0"/>
    <n v="0"/>
    <n v="0"/>
    <n v="0"/>
    <n v="0"/>
    <n v="0"/>
    <n v="0"/>
    <n v="0"/>
    <n v="0"/>
    <n v="0.0266634420845063"/>
    <n v="0"/>
    <n v="0"/>
    <n v="0"/>
    <n v="0"/>
    <n v="0"/>
    <n v="0"/>
    <n v="0.6114934951902353"/>
    <n v="0"/>
    <m/>
    <n v="0"/>
    <m/>
    <n v="0"/>
    <m/>
    <n v="0"/>
    <m/>
    <m/>
    <n v="0"/>
    <n v="0"/>
    <n v="0.2189969266593041"/>
    <n v="0"/>
    <m/>
    <n v="0"/>
    <n v="0"/>
    <n v="0"/>
    <n v="0"/>
    <n v="0"/>
    <x v="0"/>
    <m/>
    <x v="2"/>
    <x v="1"/>
    <s v="no root cause"/>
    <x v="1"/>
    <s v=""/>
  </r>
  <r>
    <s v="Oyomambang-Ekorezok"/>
    <s v="CTR_560"/>
    <s v="Yaounde"/>
    <s v="CAMUSAT"/>
    <s v="Good Grid + GE"/>
    <s v="CENTRE"/>
    <s v="Yaounde"/>
    <s v="ZTE"/>
    <n v="3.715278669531694"/>
    <n v="1.060099220107696"/>
    <n v="0.6536199501759247"/>
    <n v="0.05348739987387088"/>
    <n v="2.092928605468091"/>
    <n v="0.05300585275930046"/>
    <n v="0.5450043232229829"/>
    <n v="6.973462116866847"/>
    <n v="4.398469179557862"/>
    <n v="0.6251016599464092"/>
    <n v="0"/>
    <n v="0.1897652332970924"/>
    <n v="0"/>
    <n v="0"/>
    <n v="0"/>
    <n v="0"/>
    <n v="0"/>
    <n v="34.81382318446037"/>
    <n v="38.44402853041808"/>
    <n v="2.587120790564815"/>
    <n v="0"/>
    <n v="1.555646871156541"/>
    <n v="0.7844402496340246"/>
    <n v="0"/>
    <m/>
    <n v="0"/>
    <m/>
    <n v="1.688339853837967"/>
    <m/>
    <n v="0"/>
    <m/>
    <m/>
    <n v="0"/>
    <n v="1.761124808451258"/>
    <n v="0.2148235183330336"/>
    <n v="0"/>
    <m/>
    <n v="0"/>
    <n v="0"/>
    <n v="0"/>
    <n v="0"/>
    <n v="0"/>
    <x v="0"/>
    <m/>
    <x v="2"/>
    <x v="1"/>
    <s v="no root cause"/>
    <x v="1"/>
    <s v=""/>
  </r>
  <r>
    <s v="Meyo-II"/>
    <s v="CTR_850"/>
    <s v="Yaounde"/>
    <s v="CAMUSAT"/>
    <s v="Good Grid no GE - 8h"/>
    <s v="CENTRE"/>
    <s v="Binguela"/>
    <s v="ZTE"/>
    <n v="8.682062619673378"/>
    <n v="0"/>
    <n v="0"/>
    <n v="0"/>
    <n v="0"/>
    <n v="0.5078716901661654"/>
    <n v="0"/>
    <n v="0"/>
    <n v="0"/>
    <n v="0"/>
    <n v="0.0005350523495223031"/>
    <n v="0"/>
    <n v="0"/>
    <n v="0"/>
    <n v="0"/>
    <n v="0"/>
    <n v="7.22047795156278"/>
    <n v="13.86855689960706"/>
    <n v="13.86855689960706"/>
    <n v="26.38266444655612"/>
    <n v="0"/>
    <n v="0"/>
    <n v="0"/>
    <n v="0"/>
    <m/>
    <n v="0"/>
    <m/>
    <n v="0"/>
    <m/>
    <n v="0"/>
    <m/>
    <m/>
    <n v="0"/>
    <n v="0"/>
    <n v="0.1955259635936117"/>
    <n v="0"/>
    <m/>
    <n v="0"/>
    <n v="0"/>
    <n v="0"/>
    <n v="0"/>
    <n v="0"/>
    <x v="0"/>
    <m/>
    <x v="2"/>
    <x v="1"/>
    <s v="no root cause"/>
    <x v="1"/>
    <s v=""/>
  </r>
  <r>
    <s v="Nkolbi-Boss"/>
    <s v="CTR_333"/>
    <s v="Yaounde"/>
    <s v="IHS"/>
    <s v="Grid-Gen"/>
    <s v="CENTRE"/>
    <s v="Yaounde"/>
    <s v="ZTE"/>
    <n v="2.029542737128068"/>
    <n v="0"/>
    <n v="0"/>
    <n v="0"/>
    <n v="0"/>
    <n v="0"/>
    <n v="0"/>
    <n v="0"/>
    <n v="0"/>
    <n v="0"/>
    <n v="0"/>
    <n v="0"/>
    <n v="0"/>
    <n v="0"/>
    <n v="0"/>
    <n v="0"/>
    <n v="0"/>
    <n v="24.15411790556255"/>
    <n v="0"/>
    <n v="2.996703364123814"/>
    <n v="0"/>
    <n v="0"/>
    <n v="0.6891474261841779"/>
    <n v="0"/>
    <m/>
    <n v="0"/>
    <m/>
    <n v="0"/>
    <m/>
    <n v="0"/>
    <m/>
    <m/>
    <n v="0"/>
    <n v="2.024959122000495"/>
    <n v="0.1941169924065371"/>
    <n v="0"/>
    <m/>
    <n v="0"/>
    <n v="0"/>
    <n v="0"/>
    <n v="0"/>
    <n v="0"/>
    <x v="0"/>
    <m/>
    <x v="2"/>
    <x v="1"/>
    <s v="no root cause"/>
    <x v="1"/>
    <s v=""/>
  </r>
  <r>
    <s v="Lycee-Leclerc-MTN"/>
    <s v="CTR_401"/>
    <s v="Yaounde"/>
    <s v="IHS"/>
    <s v="Grid-Gen"/>
    <s v="CENTRE"/>
    <s v="Yaounde"/>
    <s v="ZTE"/>
    <n v="0"/>
    <n v="0"/>
    <n v="0"/>
    <n v="0"/>
    <n v="0"/>
    <n v="0"/>
    <n v="0"/>
    <n v="0"/>
    <n v="0"/>
    <n v="0"/>
    <n v="0"/>
    <n v="0"/>
    <n v="0"/>
    <n v="0"/>
    <n v="0"/>
    <n v="0.02297158087280567"/>
    <n v="0"/>
    <n v="0"/>
    <n v="0"/>
    <n v="0.002603921434339754"/>
    <n v="0"/>
    <n v="0"/>
    <n v="0.3910162570305882"/>
    <n v="0"/>
    <m/>
    <n v="0"/>
    <m/>
    <n v="0"/>
    <m/>
    <n v="0"/>
    <m/>
    <m/>
    <n v="0"/>
    <n v="0"/>
    <n v="0.1388995899358796"/>
    <n v="0"/>
    <m/>
    <n v="0"/>
    <n v="0"/>
    <n v="0"/>
    <n v="0"/>
    <n v="0"/>
    <x v="0"/>
    <m/>
    <x v="2"/>
    <x v="1"/>
    <s v="no root cause"/>
    <x v="1"/>
    <s v=""/>
  </r>
  <r>
    <s v="Yona-Hotel-MTN-IHS"/>
    <s v="CTR_466"/>
    <s v="Yaounde"/>
    <s v="IHS"/>
    <s v="Grid-Gen"/>
    <s v="CENTRE"/>
    <s v="Yaounde"/>
    <s v="ZTE"/>
    <n v="1.468754369594188"/>
    <n v="0"/>
    <n v="0"/>
    <n v="0.009773622917933001"/>
    <n v="0"/>
    <n v="0"/>
    <n v="0.009006714550284917"/>
    <n v="0"/>
    <n v="0"/>
    <n v="0"/>
    <n v="0"/>
    <n v="0"/>
    <n v="0"/>
    <n v="0"/>
    <n v="0"/>
    <n v="0"/>
    <n v="0"/>
    <n v="17.35238975781391"/>
    <n v="0"/>
    <n v="1.694813987267181"/>
    <n v="0"/>
    <n v="0"/>
    <n v="0.6596303715688876"/>
    <n v="0"/>
    <m/>
    <n v="0"/>
    <m/>
    <n v="0"/>
    <m/>
    <n v="0"/>
    <m/>
    <m/>
    <n v="0"/>
    <n v="1.13766397571005"/>
    <n v="0.1388282496226098"/>
    <n v="0"/>
    <m/>
    <n v="0"/>
    <n v="0"/>
    <n v="0"/>
    <n v="0"/>
    <n v="0"/>
    <x v="0"/>
    <m/>
    <x v="2"/>
    <x v="1"/>
    <s v="no root cause"/>
    <x v="1"/>
    <s v=""/>
  </r>
  <r>
    <s v="LAC-New"/>
    <s v="CTR_548"/>
    <s v="Yaounde"/>
    <s v="IHS"/>
    <s v="Grid-Gen"/>
    <s v="CENTRE"/>
    <s v="Yaounde"/>
    <s v="ZTE"/>
    <n v="0"/>
    <n v="0"/>
    <n v="0"/>
    <n v="0"/>
    <n v="0"/>
    <n v="0"/>
    <n v="0"/>
    <n v="0"/>
    <n v="0"/>
    <n v="0"/>
    <n v="0"/>
    <n v="0"/>
    <n v="0"/>
    <n v="0"/>
    <n v="0"/>
    <n v="0"/>
    <n v="0"/>
    <n v="0"/>
    <n v="0"/>
    <n v="0"/>
    <n v="0"/>
    <n v="0"/>
    <n v="0.3859510947884474"/>
    <n v="0"/>
    <m/>
    <n v="0"/>
    <m/>
    <n v="0"/>
    <m/>
    <n v="0"/>
    <m/>
    <m/>
    <n v="0"/>
    <n v="0"/>
    <n v="0.1377581449235656"/>
    <n v="0"/>
    <m/>
    <n v="0"/>
    <n v="0"/>
    <n v="0"/>
    <n v="0"/>
    <n v="0"/>
    <x v="0"/>
    <m/>
    <x v="2"/>
    <x v="1"/>
    <s v="no root cause"/>
    <x v="1"/>
    <s v=""/>
  </r>
  <r>
    <s v="Bfsam-Q-Haoussa"/>
    <s v="OST_100"/>
    <s v="Bafoussam"/>
    <s v="IHS"/>
    <s v="Grid-Gen"/>
    <s v="OUEST"/>
    <s v="Bafoussam"/>
    <s v="Huawei"/>
    <n v="0"/>
    <n v="0"/>
    <n v="0"/>
    <n v="0"/>
    <n v="0"/>
    <n v="0"/>
    <n v="0"/>
    <n v="0"/>
    <n v="0"/>
    <n v="0"/>
    <n v="0"/>
    <n v="0"/>
    <n v="0"/>
    <n v="0"/>
    <n v="0"/>
    <n v="0"/>
    <n v="0"/>
    <n v="0"/>
    <n v="0"/>
    <n v="0"/>
    <m/>
    <n v="0"/>
    <n v="0"/>
    <n v="0"/>
    <m/>
    <n v="0"/>
    <m/>
    <n v="0"/>
    <m/>
    <n v="0"/>
    <m/>
    <m/>
    <n v="0"/>
    <n v="0.04797636067379499"/>
    <n v="0.1228123492935882"/>
    <n v="0"/>
    <m/>
    <n v="0"/>
    <n v="0"/>
    <n v="0"/>
    <n v="0"/>
    <n v="0"/>
    <x v="0"/>
    <m/>
    <x v="2"/>
    <x v="1"/>
    <s v="no root cause"/>
    <x v="1"/>
    <s v=""/>
  </r>
  <r>
    <s v="Imm-Olympique"/>
    <s v="CTR_377"/>
    <s v="Yaounde"/>
    <s v="IHS"/>
    <s v="Grid-Gen"/>
    <s v="CENTRE"/>
    <s v="Yaounde"/>
    <s v="ZTE"/>
    <n v="0"/>
    <n v="0"/>
    <n v="0"/>
    <n v="0"/>
    <n v="0"/>
    <n v="0"/>
    <n v="0"/>
    <n v="0"/>
    <n v="0"/>
    <n v="0"/>
    <n v="0"/>
    <n v="0"/>
    <n v="0"/>
    <n v="0"/>
    <n v="0"/>
    <n v="0"/>
    <n v="0"/>
    <n v="0"/>
    <n v="0"/>
    <n v="0"/>
    <n v="0"/>
    <n v="0"/>
    <n v="0"/>
    <n v="0.01681847885330421"/>
    <m/>
    <n v="0"/>
    <m/>
    <n v="21.98629980623971"/>
    <m/>
    <n v="0"/>
    <m/>
    <m/>
    <n v="0"/>
    <n v="0"/>
    <n v="0.1175688362682737"/>
    <n v="0"/>
    <m/>
    <n v="0"/>
    <n v="0"/>
    <n v="0"/>
    <n v="0"/>
    <n v="0"/>
    <x v="0"/>
    <m/>
    <x v="2"/>
    <x v="1"/>
    <s v="no root cause"/>
    <x v="1"/>
    <s v=""/>
  </r>
  <r>
    <s v="Yde-M-Central"/>
    <s v="CTR_244"/>
    <s v="Yaounde"/>
    <s v="IHS"/>
    <s v="GridOnly"/>
    <s v="CENTRE"/>
    <s v="Yaounde"/>
    <s v="ZTE"/>
    <n v="0"/>
    <n v="0"/>
    <n v="0.3559703281369049"/>
    <n v="0"/>
    <n v="0"/>
    <n v="0"/>
    <n v="0"/>
    <n v="0"/>
    <n v="0"/>
    <n v="0"/>
    <n v="0"/>
    <n v="0.01164630614125952"/>
    <n v="0"/>
    <n v="0"/>
    <n v="0"/>
    <n v="0"/>
    <n v="0"/>
    <n v="0"/>
    <n v="0"/>
    <n v="0"/>
    <n v="0"/>
    <n v="0"/>
    <n v="0"/>
    <n v="0.01819177988374389"/>
    <m/>
    <n v="0"/>
    <m/>
    <n v="21.9841417617633"/>
    <m/>
    <n v="0"/>
    <m/>
    <m/>
    <n v="0"/>
    <n v="0"/>
    <n v="0.1162847106294214"/>
    <n v="0"/>
    <m/>
    <n v="0"/>
    <n v="0"/>
    <n v="0"/>
    <n v="0"/>
    <n v="0"/>
    <x v="0"/>
    <m/>
    <x v="2"/>
    <x v="1"/>
    <s v="no root cause"/>
    <x v="1"/>
    <s v=""/>
  </r>
  <r>
    <s v="Elig-Essono"/>
    <s v="CTR_047"/>
    <s v="Yaounde"/>
    <s v="IHS"/>
    <s v="GridOnly"/>
    <s v="CENTRE"/>
    <s v="Yaounde"/>
    <s v="ZTE"/>
    <n v="0"/>
    <n v="0"/>
    <n v="0"/>
    <n v="0"/>
    <n v="0"/>
    <n v="0"/>
    <n v="0"/>
    <n v="0"/>
    <n v="0"/>
    <n v="0"/>
    <n v="0"/>
    <n v="6.163803066492026"/>
    <n v="0"/>
    <n v="0"/>
    <n v="0"/>
    <n v="0"/>
    <n v="0"/>
    <n v="0"/>
    <n v="0"/>
    <n v="0"/>
    <n v="0"/>
    <n v="0"/>
    <n v="0"/>
    <n v="0.01039785065904188"/>
    <m/>
    <n v="0"/>
    <m/>
    <n v="17.09479772167575"/>
    <m/>
    <n v="0"/>
    <m/>
    <m/>
    <n v="0"/>
    <n v="0"/>
    <n v="0.1088118128144322"/>
    <n v="0"/>
    <m/>
    <n v="0"/>
    <n v="0"/>
    <n v="0"/>
    <n v="0"/>
    <n v="0"/>
    <x v="0"/>
    <m/>
    <x v="2"/>
    <x v="1"/>
    <s v="no root cause"/>
    <x v="1"/>
    <s v=""/>
  </r>
  <r>
    <s v="H-Deputes"/>
    <s v="CTR_578"/>
    <s v="Yaounde"/>
    <s v="IHS"/>
    <m/>
    <s v="CENTRE"/>
    <s v="Yaounde"/>
    <s v="ZTE"/>
    <n v="0"/>
    <n v="0"/>
    <n v="0"/>
    <n v="0"/>
    <n v="0"/>
    <n v="0"/>
    <n v="0"/>
    <n v="0"/>
    <n v="0"/>
    <n v="0"/>
    <n v="0"/>
    <n v="0"/>
    <n v="0"/>
    <n v="0"/>
    <n v="0"/>
    <n v="0"/>
    <n v="0"/>
    <n v="0"/>
    <n v="0"/>
    <n v="0"/>
    <n v="0"/>
    <n v="0"/>
    <n v="0.2441800572434669"/>
    <n v="0"/>
    <m/>
    <n v="0"/>
    <m/>
    <n v="0"/>
    <m/>
    <n v="0"/>
    <m/>
    <m/>
    <n v="0"/>
    <n v="0"/>
    <n v="0.0941870485941679"/>
    <n v="0"/>
    <m/>
    <n v="0"/>
    <n v="0"/>
    <n v="0"/>
    <n v="0"/>
    <n v="0"/>
    <x v="0"/>
    <m/>
    <x v="2"/>
    <x v="1"/>
    <s v="no root cause"/>
    <x v="1"/>
    <s v=""/>
  </r>
  <r>
    <s v="Nkolbisson-Nodal"/>
    <s v="CTR_576"/>
    <s v="Yaounde"/>
    <m/>
    <m/>
    <s v="CENTRE"/>
    <s v="Yaounde"/>
    <s v="ZTE"/>
    <n v="0"/>
    <n v="0"/>
    <n v="0"/>
    <n v="0.02243652852328391"/>
    <n v="0"/>
    <n v="0"/>
    <n v="0.02839344468129417"/>
    <n v="0"/>
    <n v="0"/>
    <n v="0"/>
    <n v="0"/>
    <n v="0"/>
    <n v="0"/>
    <n v="0"/>
    <n v="0"/>
    <n v="0"/>
    <n v="0"/>
    <n v="0"/>
    <n v="0"/>
    <n v="0"/>
    <n v="0"/>
    <n v="0"/>
    <n v="0.2447864499062586"/>
    <n v="0"/>
    <m/>
    <n v="0"/>
    <m/>
    <n v="0"/>
    <m/>
    <n v="0"/>
    <m/>
    <m/>
    <n v="0"/>
    <n v="0"/>
    <n v="0.0900136402678974"/>
    <n v="0"/>
    <m/>
    <n v="0"/>
    <n v="0"/>
    <n v="0"/>
    <n v="0"/>
    <n v="0"/>
    <x v="0"/>
    <m/>
    <x v="2"/>
    <x v="1"/>
    <s v="no root cause"/>
    <x v="1"/>
    <s v=""/>
  </r>
  <r>
    <s v="Lokoti"/>
    <s v="ADM_051"/>
    <s v="ADAMAOUA"/>
    <s v="IHS"/>
    <s v="Solar-Grid-Gen"/>
    <s v="ADAMAOUA"/>
    <s v="Lokoti"/>
    <s v="NOKIA"/>
    <n v="0"/>
    <n v="0"/>
    <n v="0"/>
    <n v="0"/>
    <n v="0"/>
    <n v="0"/>
    <n v="0"/>
    <n v="0"/>
    <n v="0"/>
    <n v="0.001177218393154341"/>
    <n v="0.004871830095377067"/>
    <n v="0"/>
    <n v="0"/>
    <n v="0"/>
    <n v="0"/>
    <n v="0"/>
    <n v="0"/>
    <n v="0"/>
    <n v="0"/>
    <n v="0"/>
    <n v="0"/>
    <n v="0"/>
    <n v="0"/>
    <n v="0"/>
    <m/>
    <n v="0.04826342963648201"/>
    <m/>
    <n v="0"/>
    <m/>
    <n v="0.001712167518469933"/>
    <m/>
    <m/>
    <n v="0"/>
    <n v="0.0002853612530783887"/>
    <n v="0.08705636192506375"/>
    <n v="0"/>
    <m/>
    <n v="0"/>
    <n v="0"/>
    <n v="0"/>
    <n v="0"/>
    <n v="0"/>
    <x v="0"/>
    <m/>
    <x v="2"/>
    <x v="1"/>
    <s v="no root cause"/>
    <x v="1"/>
    <s v=""/>
  </r>
  <r>
    <s v="Meiganga"/>
    <s v="ADM_004"/>
    <s v="ADAMAOUA"/>
    <s v="CAMUSAT"/>
    <s v="Bad Grid + Solar + GE"/>
    <s v="ADAMAOUA"/>
    <s v="Meiganga"/>
    <s v="Huawei"/>
    <n v="0"/>
    <n v="8.917539158697954e-05"/>
    <n v="0"/>
    <n v="0"/>
    <n v="0"/>
    <n v="2.008747035809983"/>
    <n v="2.931640998421952"/>
    <n v="11.22033313072684"/>
    <n v="2.484854451492867"/>
    <n v="0"/>
    <n v="0.09506096743172018"/>
    <n v="0.4091545316793793"/>
    <n v="0"/>
    <n v="0"/>
    <n v="5.943272323097425"/>
    <n v="0"/>
    <n v="3.894075329663588"/>
    <n v="8.917539158697954e-05"/>
    <n v="0"/>
    <n v="0"/>
    <n v="0"/>
    <n v="2.787337379755902"/>
    <n v="0"/>
    <n v="0"/>
    <m/>
    <n v="0.1315337025907948"/>
    <m/>
    <n v="0"/>
    <m/>
    <n v="2.914109116435952"/>
    <m/>
    <m/>
    <n v="0.01248455482217714"/>
    <n v="0"/>
    <n v="0.08337899113382587"/>
    <n v="0"/>
    <m/>
    <n v="0"/>
    <n v="0"/>
    <n v="0"/>
    <n v="0"/>
    <n v="0"/>
    <x v="0"/>
    <m/>
    <x v="2"/>
    <x v="1"/>
    <s v="no root cause"/>
    <x v="1"/>
    <s v=""/>
  </r>
  <r>
    <s v="Bfsam-Toungan-Lycee"/>
    <s v="OST_268"/>
    <s v="Bafoussam"/>
    <s v="CAMUSAT"/>
    <s v="Good Grid + GE"/>
    <s v="OUEST"/>
    <s v="Bafoussam"/>
    <s v="Huawei"/>
    <n v="0"/>
    <n v="0"/>
    <n v="0"/>
    <n v="0"/>
    <n v="0"/>
    <n v="0"/>
    <n v="0"/>
    <n v="0"/>
    <n v="0.5193574806025689"/>
    <n v="0.1113800640921374"/>
    <n v="0.5469126766029455"/>
    <n v="0"/>
    <n v="0"/>
    <n v="0"/>
    <n v="0.05805317992312367"/>
    <n v="0.2199956910450785"/>
    <n v="0.02889282687418136"/>
    <n v="0.2183905339965128"/>
    <n v="0.06085328721895483"/>
    <n v="0.178529133957133"/>
    <n v="0"/>
    <n v="0"/>
    <n v="0"/>
    <n v="0"/>
    <m/>
    <n v="0"/>
    <m/>
    <n v="0.348497430321916"/>
    <m/>
    <n v="0.05814235531471065"/>
    <m/>
    <m/>
    <n v="0.09557818470292466"/>
    <n v="0.05207842868679605"/>
    <n v="0.05849905688105857"/>
    <n v="0"/>
    <m/>
    <n v="0"/>
    <n v="0"/>
    <n v="0"/>
    <n v="0"/>
    <n v="0"/>
    <x v="0"/>
    <m/>
    <x v="2"/>
    <x v="1"/>
    <s v="no root cause"/>
    <x v="1"/>
    <s v=""/>
  </r>
  <r>
    <s v="Montee-Anne-Rouge"/>
    <s v="CTR_373"/>
    <s v="Yaounde"/>
    <s v="IHS"/>
    <s v="GridOnly"/>
    <s v="CENTRE"/>
    <s v="Yaounde"/>
    <s v="ZTE"/>
    <n v="0"/>
    <n v="0"/>
    <n v="0"/>
    <n v="0"/>
    <n v="0"/>
    <n v="0"/>
    <n v="0"/>
    <n v="0"/>
    <n v="0"/>
    <n v="0"/>
    <n v="0"/>
    <n v="0"/>
    <n v="2.203327740252774"/>
    <n v="0"/>
    <n v="0"/>
    <n v="0"/>
    <n v="0"/>
    <n v="0"/>
    <n v="0"/>
    <n v="0"/>
    <n v="0"/>
    <n v="0"/>
    <n v="0"/>
    <n v="0.01301960717169908"/>
    <m/>
    <n v="0"/>
    <m/>
    <n v="19.53802510037582"/>
    <m/>
    <n v="0"/>
    <m/>
    <m/>
    <n v="0"/>
    <n v="5.822368327183799"/>
    <n v="0.04708460675792468"/>
    <n v="0"/>
    <m/>
    <n v="0"/>
    <n v="0"/>
    <n v="0"/>
    <n v="0"/>
    <n v="0"/>
    <x v="0"/>
    <m/>
    <x v="2"/>
    <x v="1"/>
    <s v="no root cause"/>
    <x v="1"/>
    <s v=""/>
  </r>
  <r>
    <s v="CBC-Radio-II"/>
    <s v="CTR_821"/>
    <s v="Yaounde"/>
    <s v="CAMUSAT"/>
    <s v="Good Grid no GE - 8h"/>
    <s v="CENTRE"/>
    <s v="Yaounde"/>
    <s v="ZTE"/>
    <n v="0"/>
    <n v="0"/>
    <n v="0"/>
    <n v="0"/>
    <n v="0"/>
    <n v="0"/>
    <n v="0"/>
    <n v="0"/>
    <n v="0"/>
    <n v="0"/>
    <n v="10.69446584653842"/>
    <n v="0"/>
    <n v="3.451158994729377"/>
    <n v="0"/>
    <n v="0"/>
    <n v="0"/>
    <n v="0"/>
    <n v="0"/>
    <n v="0"/>
    <n v="0"/>
    <n v="5.098781364768731"/>
    <n v="0"/>
    <n v="0"/>
    <n v="1.860091658034489"/>
    <m/>
    <n v="13.86855689960706"/>
    <m/>
    <n v="13.86855689960706"/>
    <m/>
    <n v="13.86855689960706"/>
    <m/>
    <m/>
    <n v="24.95523395342333"/>
    <n v="0"/>
    <n v="0.04708460675792468"/>
    <n v="0"/>
    <m/>
    <n v="0"/>
    <n v="0"/>
    <n v="0"/>
    <n v="0"/>
    <n v="0"/>
    <x v="0"/>
    <m/>
    <x v="2"/>
    <x v="1"/>
    <s v="no root cause"/>
    <x v="1"/>
    <s v=""/>
  </r>
  <r>
    <s v="Nodal"/>
    <s v="CTR_009"/>
    <s v="Yaounde"/>
    <s v="CAMUSAT"/>
    <s v="Good Grid + GE"/>
    <s v="CENTRE"/>
    <s v="Yaounde"/>
    <s v="ZTE"/>
    <n v="0"/>
    <n v="0"/>
    <n v="0"/>
    <n v="0"/>
    <n v="0"/>
    <n v="0"/>
    <n v="0"/>
    <n v="0"/>
    <n v="0"/>
    <n v="0"/>
    <n v="0"/>
    <n v="0"/>
    <n v="0"/>
    <n v="0"/>
    <n v="0"/>
    <n v="0"/>
    <n v="0"/>
    <n v="0"/>
    <n v="0"/>
    <n v="0"/>
    <n v="0"/>
    <n v="0"/>
    <n v="0"/>
    <n v="0.01346548412963381"/>
    <m/>
    <n v="0"/>
    <m/>
    <n v="19.53747221294798"/>
    <m/>
    <n v="0"/>
    <m/>
    <m/>
    <n v="0"/>
    <n v="0"/>
    <n v="0.04703110152297317"/>
    <n v="0"/>
    <m/>
    <n v="0"/>
    <n v="0"/>
    <n v="0"/>
    <n v="0"/>
    <n v="0"/>
    <x v="0"/>
    <m/>
    <x v="2"/>
    <x v="1"/>
    <s v="no root cause"/>
    <x v="1"/>
    <s v=""/>
  </r>
  <r>
    <s v="Mercure"/>
    <s v="CTR_014"/>
    <s v="Yaounde"/>
    <s v="IHS"/>
    <s v="Grid-Gen (LL)"/>
    <s v="CENTRE"/>
    <s v="Yaounde"/>
    <s v="ZTE"/>
    <n v="0"/>
    <n v="0"/>
    <n v="0"/>
    <n v="0"/>
    <n v="0"/>
    <n v="0"/>
    <n v="0"/>
    <n v="0"/>
    <n v="0"/>
    <n v="0"/>
    <n v="0"/>
    <n v="0"/>
    <n v="0"/>
    <n v="0"/>
    <n v="0"/>
    <n v="0"/>
    <n v="0"/>
    <n v="0"/>
    <n v="0"/>
    <n v="0"/>
    <n v="0"/>
    <n v="0"/>
    <n v="0"/>
    <n v="0.01319795795487301"/>
    <m/>
    <n v="0"/>
    <m/>
    <n v="19.53768623388779"/>
    <m/>
    <n v="0"/>
    <m/>
    <m/>
    <n v="0"/>
    <n v="0"/>
    <n v="0.04654955440840341"/>
    <n v="0"/>
    <m/>
    <n v="0"/>
    <n v="0"/>
    <n v="0"/>
    <n v="0"/>
    <n v="0"/>
    <x v="0"/>
    <m/>
    <x v="2"/>
    <x v="1"/>
    <s v="no root cause"/>
    <x v="1"/>
    <s v=""/>
  </r>
  <r>
    <s v="Nkolbisson-II"/>
    <s v="CTR_761"/>
    <s v="Yaounde"/>
    <s v="CAMUSAT"/>
    <s v="Good Grid + GE"/>
    <s v="CENTRE"/>
    <s v="Yaounde"/>
    <s v="ZTE"/>
    <n v="0"/>
    <n v="0"/>
    <n v="0"/>
    <n v="0"/>
    <n v="0"/>
    <n v="1.348956148536239"/>
    <n v="0"/>
    <n v="2.054101639971122"/>
    <n v="0"/>
    <n v="0.6335019818339039"/>
    <n v="0"/>
    <n v="0"/>
    <n v="0"/>
    <n v="0"/>
    <n v="0"/>
    <n v="0"/>
    <n v="0"/>
    <n v="0"/>
    <n v="0"/>
    <n v="0"/>
    <n v="0"/>
    <n v="0"/>
    <n v="0.1763175842457757"/>
    <n v="0"/>
    <m/>
    <n v="0"/>
    <m/>
    <n v="0"/>
    <m/>
    <n v="0"/>
    <m/>
    <m/>
    <n v="27.05863174986374"/>
    <n v="0.6656051228052161"/>
    <n v="0.0401110911358234"/>
    <n v="0"/>
    <m/>
    <n v="0"/>
    <n v="0"/>
    <n v="0"/>
    <n v="0"/>
    <n v="0"/>
    <x v="0"/>
    <m/>
    <x v="2"/>
    <x v="1"/>
    <s v="no root cause"/>
    <x v="1"/>
    <s v=""/>
  </r>
  <r>
    <s v="Bafang-Chefferie"/>
    <s v="OST_099"/>
    <s v="OUEST"/>
    <s v="IHS"/>
    <s v="Grid-Gen"/>
    <s v="OUEST"/>
    <s v="Bafang"/>
    <s v="Huawei"/>
    <n v="0"/>
    <n v="0"/>
    <n v="0"/>
    <n v="0"/>
    <n v="0"/>
    <n v="0"/>
    <n v="0"/>
    <n v="0"/>
    <n v="0"/>
    <n v="0"/>
    <n v="0"/>
    <n v="0"/>
    <n v="0"/>
    <n v="0.0002675261747609386"/>
    <n v="0"/>
    <n v="0"/>
    <n v="0"/>
    <n v="1.036307225632289"/>
    <n v="1.277705010658243"/>
    <n v="0.4302712644071763"/>
    <n v="0"/>
    <n v="0.01141445012313338"/>
    <n v="0.009630942291393789"/>
    <n v="0.01141445012313338"/>
    <m/>
    <n v="0"/>
    <m/>
    <n v="0"/>
    <m/>
    <n v="0"/>
    <m/>
    <m/>
    <n v="0"/>
    <n v="0"/>
    <n v="0.01150362551472036"/>
    <n v="0"/>
    <m/>
    <n v="0"/>
    <n v="0"/>
    <n v="0"/>
    <n v="0"/>
    <n v="0"/>
    <x v="0"/>
    <m/>
    <x v="2"/>
    <x v="1"/>
    <s v="no root cause"/>
    <x v="1"/>
    <s v=""/>
  </r>
  <r>
    <s v="CTR_702_Z_Hilton-Indoor-0F"/>
    <s v="CTR_702_indoor_0F"/>
    <s v="Yaounde"/>
    <e v="#N/A"/>
    <e v="#N/A"/>
    <s v="CTR"/>
    <s v="Yaounde"/>
    <s v="ZTE"/>
    <n v="0"/>
    <n v="0"/>
    <n v="0"/>
    <n v="0"/>
    <n v="0"/>
    <n v="0"/>
    <n v="0"/>
    <n v="0"/>
    <n v="0"/>
    <n v="0"/>
    <n v="0"/>
    <n v="0"/>
    <n v="0"/>
    <s v=""/>
    <n v="0"/>
    <n v="0"/>
    <n v="0"/>
    <n v="0"/>
    <n v="0.8955884577080355"/>
    <n v="0.0004815471145697648"/>
    <n v="0"/>
    <n v="0"/>
    <n v="0"/>
    <n v="0.001569486891930857"/>
    <m/>
    <n v="0"/>
    <m/>
    <n v="1.628075124203485"/>
    <m/>
    <n v="0"/>
    <m/>
    <m/>
    <n v="0"/>
    <n v="0"/>
    <n v="0.01064754175548531"/>
    <n v="0"/>
    <m/>
    <n v="0"/>
    <n v="0"/>
    <n v="0"/>
    <n v="0"/>
    <n v="0"/>
    <x v="0"/>
    <m/>
    <x v="2"/>
    <x v="1"/>
    <s v="no root cause"/>
    <x v="1"/>
    <s v=""/>
  </r>
  <r>
    <s v="Bafang-Hotel-IHS"/>
    <s v="OST_222"/>
    <s v="OUEST"/>
    <s v="IHS"/>
    <s v="Grid-Gen"/>
    <s v="OUEST"/>
    <s v="Bafang"/>
    <s v="Huawei"/>
    <n v="0"/>
    <n v="0"/>
    <n v="0"/>
    <n v="0"/>
    <n v="0"/>
    <n v="0.02211549711357092"/>
    <n v="0"/>
    <n v="0.0008917539158697954"/>
    <n v="0.0008917539158697954"/>
    <n v="0"/>
    <n v="0"/>
    <n v="2.044149666270015"/>
    <n v="0"/>
    <n v="0.0005350523495218772"/>
    <n v="0"/>
    <n v="0"/>
    <n v="0"/>
    <n v="0"/>
    <n v="0.001605157048565631"/>
    <n v="0"/>
    <n v="2.644210876258799"/>
    <n v="0"/>
    <n v="0"/>
    <n v="0"/>
    <m/>
    <n v="0"/>
    <m/>
    <n v="0"/>
    <m/>
    <n v="0.001070104699043754"/>
    <m/>
    <m/>
    <n v="0"/>
    <n v="0"/>
    <n v="0.002496910964435427"/>
    <n v="0"/>
    <m/>
    <n v="0"/>
    <n v="0"/>
    <n v="0"/>
    <n v="0"/>
    <n v="0"/>
    <x v="0"/>
    <m/>
    <x v="2"/>
    <x v="1"/>
    <s v="no root cause"/>
    <x v="1"/>
    <s v=""/>
  </r>
  <r>
    <s v="Tete-d-elephant-Camrail"/>
    <s v="EST_104"/>
    <s v="CENTRE"/>
    <s v="CAMUSAT"/>
    <s v="Hybrid Solar - S3"/>
    <s v="EST"/>
    <s v="Tete-d-elephant"/>
    <s v="NOKIA"/>
    <n v="0.004369594187761882"/>
    <n v="0"/>
    <n v="0.05858823227264564"/>
    <n v="0"/>
    <n v="0.01045135589399392"/>
    <n v="0"/>
    <n v="0"/>
    <n v="0.001605157048565883"/>
    <n v="0"/>
    <n v="0"/>
    <n v="0.7647503231716191"/>
    <n v="0"/>
    <n v="0"/>
    <n v="0"/>
    <n v="0.03176427448328191"/>
    <n v="0.006598978977436725"/>
    <n v="0.001694332440152762"/>
    <n v="1.081929355968188"/>
    <n v="0.08443126075455222"/>
    <n v="0.03600902312282238"/>
    <n v="0"/>
    <n v="0"/>
    <n v="0.001694332440152762"/>
    <n v="0.002407735572848482"/>
    <m/>
    <n v="0"/>
    <m/>
    <n v="0.005974751236327593"/>
    <m/>
    <n v="0.004102068013001073"/>
    <m/>
    <m/>
    <n v="0.002140209398087501"/>
    <n v="0.001605157048565883"/>
    <n v="0.001605157048565883"/>
    <n v="0"/>
    <m/>
    <n v="0"/>
    <n v="0"/>
    <n v="0"/>
    <n v="0"/>
    <n v="0"/>
    <x v="0"/>
    <m/>
    <x v="2"/>
    <x v="1"/>
    <s v="no root cause"/>
    <x v="1"/>
    <s v=""/>
  </r>
  <r>
    <s v="Bafang-Centre"/>
    <s v="OST_126"/>
    <s v="OUEST"/>
    <s v="IHS"/>
    <s v="Grid Only"/>
    <s v="OUEST"/>
    <s v="Bafang"/>
    <s v="Huawei"/>
    <n v="0"/>
    <n v="0"/>
    <n v="0"/>
    <n v="0"/>
    <n v="0.0002675261747609386"/>
    <n v="0"/>
    <n v="0"/>
    <n v="0.005439698886805751"/>
    <n v="0"/>
    <n v="0.0002675261747609386"/>
    <n v="0"/>
    <n v="0"/>
    <n v="0"/>
    <n v="0.0002675261747609386"/>
    <n v="0"/>
    <n v="0"/>
    <n v="0"/>
    <n v="0.0001783507831739591"/>
    <n v="0.0002675261747609386"/>
    <n v="0"/>
    <n v="0"/>
    <n v="0"/>
    <n v="0"/>
    <n v="0"/>
    <m/>
    <n v="0"/>
    <m/>
    <n v="0"/>
    <m/>
    <n v="0.0008025785242828158"/>
    <m/>
    <m/>
    <n v="0.0002675261747609386"/>
    <n v="0"/>
    <n v="0.001070104699043754"/>
    <n v="0"/>
    <m/>
    <n v="0"/>
    <n v="0"/>
    <n v="0"/>
    <n v="0"/>
    <n v="0"/>
    <x v="0"/>
    <m/>
    <x v="2"/>
    <x v="1"/>
    <s v="no root cause"/>
    <x v="1"/>
    <s v=""/>
  </r>
  <r>
    <s v="Crf-Nkolbisson"/>
    <s v="CTR_256"/>
    <s v="Yaounde"/>
    <s v="IHS"/>
    <s v="Grid-Gen"/>
    <s v="CENTRE"/>
    <s v="Yaounde"/>
    <s v="ZTE"/>
    <n v="0.1887486338330013"/>
    <n v="0"/>
    <n v="0"/>
    <n v="0"/>
    <n v="0"/>
    <n v="0"/>
    <n v="0.3584494040230227"/>
    <n v="0"/>
    <n v="0"/>
    <n v="0"/>
    <n v="0"/>
    <n v="0"/>
    <n v="0"/>
    <n v="0"/>
    <n v="0"/>
    <n v="0"/>
    <n v="0"/>
    <n v="0"/>
    <n v="0"/>
    <n v="0"/>
    <n v="0"/>
    <n v="0"/>
    <n v="0.05380843128358318"/>
    <n v="0"/>
    <m/>
    <n v="0"/>
    <m/>
    <n v="0"/>
    <m/>
    <n v="0"/>
    <m/>
    <m/>
    <n v="0"/>
    <n v="0"/>
    <n v="0.0001070104699043754"/>
    <n v="0"/>
    <m/>
    <n v="0"/>
    <n v="0"/>
    <n v="0"/>
    <n v="0"/>
    <n v="0"/>
    <x v="0"/>
    <m/>
    <x v="2"/>
    <x v="1"/>
    <s v="no root cause"/>
    <x v="1"/>
    <s v=""/>
  </r>
  <r>
    <s v="Garoua-Camp-Chinois-IHS"/>
    <s v="NRD_073"/>
    <s v="Garoua"/>
    <s v="IHS"/>
    <s v="Grid-Gen"/>
    <s v="NORD"/>
    <s v="Garoua"/>
    <s v="Huawei"/>
    <n v="0"/>
    <n v="0"/>
    <n v="0"/>
    <n v="0"/>
    <n v="0"/>
    <n v="0"/>
    <n v="0"/>
    <n v="0"/>
    <n v="0"/>
    <n v="0"/>
    <n v="0"/>
    <n v="0"/>
    <n v="0"/>
    <n v="0"/>
    <n v="0"/>
    <n v="0"/>
    <n v="0"/>
    <n v="0"/>
    <n v="0"/>
    <n v="0"/>
    <n v="0"/>
    <n v="0"/>
    <n v="0"/>
    <n v="0"/>
    <m/>
    <n v="0"/>
    <m/>
    <n v="0"/>
    <m/>
    <n v="0"/>
    <m/>
    <m/>
    <n v="0"/>
    <n v="0"/>
    <n v="8.917539158697954e-05"/>
    <n v="0"/>
    <m/>
    <n v="0"/>
    <n v="0"/>
    <n v="0"/>
    <n v="0"/>
    <n v="0"/>
    <x v="0"/>
    <m/>
    <x v="2"/>
    <x v="1"/>
    <s v="no root cause"/>
    <x v="1"/>
    <s v=""/>
  </r>
  <r>
    <s v="Mboppi-Market-IHS"/>
    <s v="LIT_761"/>
    <s v="Douala"/>
    <s v="IHS"/>
    <s v="Grid Gen "/>
    <s v="LITTORAL"/>
    <s v="Douala"/>
    <s v="ZTE"/>
    <n v="0"/>
    <n v="0"/>
    <n v="0"/>
    <n v="0"/>
    <n v="0"/>
    <n v="0"/>
    <n v="0"/>
    <n v="3.618553779120555e-17"/>
    <n v="24.20075663536254"/>
    <n v="0"/>
    <n v="0"/>
    <n v="1.066573353536912"/>
    <n v="13.58724420930677"/>
    <n v="5.251806336731986"/>
    <n v="15.6170544726096"/>
    <n v="0"/>
    <n v="0"/>
    <n v="0"/>
    <n v="0"/>
    <n v="0"/>
    <n v="0"/>
    <n v="0"/>
    <n v="0"/>
    <n v="0"/>
    <m/>
    <n v="2.894843023296444e-17"/>
    <m/>
    <n v="0"/>
    <m/>
    <n v="7.23710755824111e-17"/>
    <m/>
    <m/>
    <n v="0"/>
    <n v="0"/>
    <n v="5.789686046592889e-17"/>
    <n v="0"/>
    <m/>
    <n v="0"/>
    <n v="0"/>
    <n v="0"/>
    <n v="0"/>
    <n v="0"/>
    <x v="0"/>
    <m/>
    <x v="2"/>
    <x v="1"/>
    <s v="no root cause"/>
    <x v="1"/>
    <s v=""/>
  </r>
  <r>
    <s v="Boko-IHS"/>
    <s v="LIT_633"/>
    <s v="Douala"/>
    <s v="IHS"/>
    <s v="Grid-Gen"/>
    <s v="LITTORAL"/>
    <s v="Douala"/>
    <s v="ZTE"/>
    <n v="0"/>
    <n v="0"/>
    <n v="0"/>
    <n v="0"/>
    <n v="0"/>
    <n v="0"/>
    <n v="0"/>
    <n v="0"/>
    <n v="0"/>
    <n v="0"/>
    <n v="0"/>
    <n v="0"/>
    <n v="10.21238367961922"/>
    <n v="0"/>
    <n v="0"/>
    <n v="0"/>
    <n v="0"/>
    <n v="0"/>
    <n v="0"/>
    <n v="0"/>
    <n v="0"/>
    <n v="0"/>
    <n v="5.119523560851862"/>
    <n v="3.905043902828784"/>
    <m/>
    <n v="0.0006242277411088402"/>
    <m/>
    <n v="0"/>
    <m/>
    <n v="0"/>
    <m/>
    <m/>
    <n v="14.22199464662289"/>
    <n v="40.40230229458985"/>
    <n v="0"/>
    <n v="0"/>
    <m/>
    <n v="0"/>
    <n v="0"/>
    <n v="0"/>
    <n v="0"/>
    <n v="0"/>
    <x v="0"/>
    <m/>
    <x v="2"/>
    <x v="1"/>
    <s v="no root cause"/>
    <x v="1"/>
    <s v=""/>
  </r>
  <r>
    <s v="Bepanda"/>
    <s v="LIT_050"/>
    <s v="Douala"/>
    <s v="IHS"/>
    <s v="GridOnly"/>
    <s v="LITTORAL"/>
    <s v="Douala"/>
    <s v="ZTE"/>
    <n v="46.52076859199904"/>
    <n v="0"/>
    <n v="0"/>
    <n v="0"/>
    <n v="0"/>
    <n v="34.12339163263734"/>
    <n v="0"/>
    <n v="14.62331957892094"/>
    <n v="0"/>
    <n v="0"/>
    <n v="0.0004280418796175018"/>
    <n v="0"/>
    <n v="9.291059203899174"/>
    <n v="0"/>
    <n v="42.13901088082457"/>
    <n v="32.83735764040488"/>
    <n v="0"/>
    <n v="0"/>
    <n v="0"/>
    <n v="21.88906295925327"/>
    <n v="0"/>
    <n v="13.86855689960706"/>
    <n v="13.86855689960706"/>
    <n v="31.26221702864742"/>
    <m/>
    <n v="30.2184012350435"/>
    <m/>
    <n v="0"/>
    <m/>
    <n v="52.46282812977088"/>
    <m/>
    <m/>
    <n v="13.86855689960706"/>
    <n v="38.72662534635721"/>
    <n v="0"/>
    <n v="0"/>
    <m/>
    <n v="0"/>
    <n v="0"/>
    <n v="0"/>
    <n v="0"/>
    <n v="0"/>
    <x v="0"/>
    <m/>
    <x v="2"/>
    <x v="1"/>
    <s v="no root cause"/>
    <x v="1"/>
    <s v=""/>
  </r>
  <r>
    <s v="Lendi-II"/>
    <s v="LIT_582"/>
    <s v="Douala"/>
    <s v="CAMUSAT"/>
    <s v="Good Grid + GE"/>
    <s v="LITTORAL"/>
    <s v="Douala"/>
    <s v="ZTE"/>
    <n v="0.4610724446613194"/>
    <n v="0"/>
    <n v="0"/>
    <n v="0"/>
    <n v="0"/>
    <n v="0"/>
    <n v="0"/>
    <n v="4.29053128558098"/>
    <n v="13.86855689960706"/>
    <n v="29.79888452286172"/>
    <n v="0"/>
    <n v="0.03092602580236451"/>
    <n v="0"/>
    <n v="0"/>
    <n v="0"/>
    <n v="0"/>
    <n v="0"/>
    <n v="0"/>
    <n v="0"/>
    <n v="7.880554200089603"/>
    <n v="1.898579757043429"/>
    <n v="0"/>
    <n v="0.02755519600037654"/>
    <n v="0"/>
    <m/>
    <n v="0"/>
    <m/>
    <n v="0"/>
    <m/>
    <n v="3.333465312912882"/>
    <m/>
    <m/>
    <n v="8.030333187799092"/>
    <n v="35.82881749150337"/>
    <n v="0"/>
    <n v="0"/>
    <m/>
    <n v="0"/>
    <n v="0"/>
    <n v="0"/>
    <n v="0"/>
    <n v="0"/>
    <x v="0"/>
    <m/>
    <x v="2"/>
    <x v="1"/>
    <s v="no root cause"/>
    <x v="1"/>
    <s v=""/>
  </r>
  <r>
    <s v="Kribi-Bassiki"/>
    <s v="SUD_071"/>
    <s v="CENTRE"/>
    <s v="CAMUSAT"/>
    <s v="Good Grid no GE - 8h"/>
    <s v="SUD"/>
    <s v="Kribi"/>
    <s v="ZTE"/>
    <n v="0"/>
    <n v="0"/>
    <n v="0"/>
    <n v="0"/>
    <n v="0"/>
    <n v="0"/>
    <n v="0"/>
    <n v="0"/>
    <n v="0"/>
    <n v="0"/>
    <n v="0"/>
    <n v="0"/>
    <n v="0"/>
    <n v="0"/>
    <n v="0.009809293074567856"/>
    <n v="0"/>
    <n v="0"/>
    <n v="0"/>
    <n v="0"/>
    <n v="0"/>
    <n v="0"/>
    <n v="0"/>
    <n v="0"/>
    <n v="0"/>
    <m/>
    <n v="0"/>
    <m/>
    <n v="0"/>
    <m/>
    <n v="0"/>
    <m/>
    <m/>
    <n v="23.11426149934509"/>
    <n v="17.1129895015595"/>
    <n v="0"/>
    <n v="0"/>
    <m/>
    <n v="0"/>
    <n v="0"/>
    <n v="0"/>
    <n v="0"/>
    <n v="0"/>
    <x v="0"/>
    <m/>
    <x v="2"/>
    <x v="1"/>
    <s v="no root cause"/>
    <x v="1"/>
    <s v=""/>
  </r>
  <r>
    <s v="Ndogpassi-Lycee-II"/>
    <s v="LIT_409"/>
    <s v="Douala"/>
    <s v="IHS"/>
    <s v="Grid-Gen"/>
    <s v="LITTORAL"/>
    <s v="Douala"/>
    <s v="ZTE"/>
    <n v="0"/>
    <n v="0"/>
    <n v="0"/>
    <n v="5.31932994324165"/>
    <n v="0"/>
    <n v="0"/>
    <n v="0"/>
    <n v="0"/>
    <n v="0"/>
    <n v="0"/>
    <n v="0"/>
    <n v="0.1435723804550371"/>
    <n v="0"/>
    <n v="0"/>
    <n v="0"/>
    <n v="0"/>
    <n v="0"/>
    <n v="0"/>
    <n v="0"/>
    <n v="0"/>
    <n v="0"/>
    <n v="0"/>
    <n v="0"/>
    <n v="0"/>
    <m/>
    <n v="0.0003388664880305182"/>
    <m/>
    <n v="0"/>
    <m/>
    <n v="0"/>
    <m/>
    <m/>
    <n v="9.143224239726282"/>
    <n v="15.31763917781715"/>
    <n v="0"/>
    <n v="0"/>
    <m/>
    <n v="0"/>
    <n v="0"/>
    <n v="0"/>
    <n v="0"/>
    <n v="0"/>
    <x v="0"/>
    <m/>
    <x v="2"/>
    <x v="1"/>
    <s v="no root cause"/>
    <x v="1"/>
    <s v=""/>
  </r>
  <r>
    <s v="PK11"/>
    <s v="LIT_128"/>
    <s v="Douala"/>
    <s v="IHS"/>
    <s v="Grid-Gen"/>
    <s v="LITTORAL"/>
    <s v="Douala"/>
    <s v="ZTE"/>
    <n v="0"/>
    <n v="57.76714093706931"/>
    <n v="13.86855689960706"/>
    <n v="13.86855689960706"/>
    <n v="43.07938322018759"/>
    <n v="0"/>
    <n v="0"/>
    <n v="0"/>
    <n v="0"/>
    <n v="0"/>
    <n v="0"/>
    <n v="0"/>
    <n v="0"/>
    <n v="0.002033198928183109"/>
    <n v="0"/>
    <n v="0"/>
    <n v="0"/>
    <n v="0"/>
    <n v="0"/>
    <n v="0"/>
    <n v="0"/>
    <n v="0"/>
    <n v="0"/>
    <n v="0"/>
    <m/>
    <n v="0"/>
    <m/>
    <n v="0"/>
    <m/>
    <n v="0"/>
    <m/>
    <m/>
    <n v="4.755634457942031"/>
    <n v="14.60282707393424"/>
    <n v="0"/>
    <n v="0"/>
    <m/>
    <n v="0"/>
    <n v="0"/>
    <n v="0"/>
    <n v="0"/>
    <n v="0"/>
    <x v="0"/>
    <s v=""/>
    <x v="2"/>
    <x v="1"/>
    <s v="no root cause"/>
    <x v="1"/>
    <s v=""/>
  </r>
  <r>
    <s v="Yambong"/>
    <s v="LIT_365"/>
    <s v="Douala"/>
    <s v="IHS"/>
    <s v="Grid-Gen"/>
    <s v="LITTORAL"/>
    <s v="Douala"/>
    <s v="ZTE"/>
    <n v="0"/>
    <n v="0.001391136108756881"/>
    <n v="0.03779253095456196"/>
    <n v="0.002247219867991894"/>
    <n v="0"/>
    <n v="0"/>
    <n v="0"/>
    <n v="0"/>
    <n v="0"/>
    <n v="0.002229384789674551"/>
    <n v="0"/>
    <n v="0"/>
    <n v="0"/>
    <n v="0"/>
    <n v="0"/>
    <n v="0"/>
    <n v="0"/>
    <n v="0"/>
    <n v="0"/>
    <n v="0"/>
    <n v="0"/>
    <n v="0"/>
    <n v="0"/>
    <n v="0"/>
    <m/>
    <n v="0"/>
    <m/>
    <n v="0"/>
    <m/>
    <n v="0"/>
    <m/>
    <m/>
    <n v="2.920511909551898"/>
    <n v="14.46835058342108"/>
    <n v="0"/>
    <n v="0"/>
    <m/>
    <n v="0"/>
    <n v="0"/>
    <n v="0"/>
    <n v="0"/>
    <n v="0"/>
    <x v="0"/>
    <m/>
    <x v="2"/>
    <x v="1"/>
    <s v="no root cause"/>
    <x v="1"/>
    <s v=""/>
  </r>
  <r>
    <s v="Boko-Hospital-IHS"/>
    <s v="LIT_632"/>
    <s v="Douala"/>
    <s v="IHS"/>
    <s v="Grid-Gen"/>
    <s v="LITTORAL"/>
    <s v="Douala"/>
    <s v="ZTE"/>
    <n v="12.44280290383611"/>
    <n v="24.17259504669937"/>
    <n v="10.08992803189197"/>
    <n v="1.295593594210591"/>
    <n v="19.17212063361613"/>
    <n v="0"/>
    <n v="0"/>
    <n v="0"/>
    <n v="0"/>
    <n v="0"/>
    <n v="0"/>
    <n v="0"/>
    <n v="0.1861982176336136"/>
    <n v="0.08361084715195177"/>
    <n v="0"/>
    <n v="0.3627654929758332"/>
    <n v="0"/>
    <n v="0"/>
    <n v="0"/>
    <n v="0"/>
    <n v="0"/>
    <n v="0"/>
    <n v="9.377202632172198"/>
    <n v="0"/>
    <m/>
    <n v="17.72435815120152"/>
    <m/>
    <n v="0"/>
    <m/>
    <n v="0"/>
    <m/>
    <m/>
    <n v="1.628770692257864"/>
    <n v="14.24188075894679"/>
    <n v="0"/>
    <n v="0"/>
    <m/>
    <n v="0"/>
    <n v="0"/>
    <n v="0"/>
    <n v="0"/>
    <n v="0"/>
    <x v="0"/>
    <m/>
    <x v="2"/>
    <x v="1"/>
    <s v="no root cause"/>
    <x v="1"/>
    <s v=""/>
  </r>
  <r>
    <s v="Gra-Foulbere-Moussa-yaya"/>
    <s v="NRD_101"/>
    <s v="Garoua"/>
    <s v="IHS"/>
    <s v="Grid-Gen"/>
    <s v="NORD"/>
    <s v="Garoua"/>
    <s v="Huawei"/>
    <n v="2.091858500769049"/>
    <n v="0.6247627934583785"/>
    <n v="3.294763192964133"/>
    <n v="3.000502235805417"/>
    <n v="0"/>
    <n v="0.9265501536670349"/>
    <n v="0"/>
    <n v="0.121902760299401"/>
    <n v="0.2419150022971581"/>
    <n v="14.44388085596961"/>
    <n v="2.321609979653742"/>
    <n v="0.002140457136181933"/>
    <n v="2.573958502766577"/>
    <n v="9.209927432633341"/>
    <n v="5.097978786244447"/>
    <n v="0"/>
    <n v="0"/>
    <n v="0"/>
    <n v="0.09987643857741708"/>
    <n v="4.306547185910002"/>
    <n v="0.5094233419797792"/>
    <n v="4.405638881041454"/>
    <n v="5.236700025397152"/>
    <n v="9.601032865055515"/>
    <m/>
    <n v="7.171770352677973"/>
    <m/>
    <n v="2.978743440258195"/>
    <m/>
    <n v="4.445625126629056"/>
    <m/>
    <m/>
    <n v="0.4262227016291274"/>
    <n v="13.33712507098361"/>
    <n v="0"/>
    <n v="0"/>
    <m/>
    <n v="0"/>
    <n v="0"/>
    <n v="0"/>
    <n v="0"/>
    <n v="0"/>
    <x v="0"/>
    <m/>
    <x v="2"/>
    <x v="1"/>
    <s v="no root cause"/>
    <x v="1"/>
    <s v=""/>
  </r>
  <r>
    <s v="Batchenga"/>
    <s v="CTR_032"/>
    <s v="CENTRE"/>
    <s v="CAMUSAT"/>
    <s v="Medium Grid + Solar + GE"/>
    <s v="CENTRE"/>
    <s v="Batchenga"/>
    <s v="NOKIA"/>
    <n v="0"/>
    <n v="0"/>
    <n v="0"/>
    <n v="0"/>
    <n v="0"/>
    <n v="0"/>
    <n v="0.05500000290841775"/>
    <n v="0"/>
    <n v="0"/>
    <n v="0"/>
    <n v="0"/>
    <n v="0"/>
    <n v="0"/>
    <n v="0"/>
    <n v="0"/>
    <n v="0"/>
    <n v="0"/>
    <n v="0"/>
    <n v="0"/>
    <n v="0"/>
    <n v="0.2855574389398263"/>
    <n v="0"/>
    <n v="0.09098142733494176"/>
    <n v="0"/>
    <m/>
    <n v="0"/>
    <m/>
    <n v="0"/>
    <m/>
    <n v="0"/>
    <m/>
    <m/>
    <n v="0"/>
    <n v="12.33153689179453"/>
    <n v="0"/>
    <n v="0"/>
    <m/>
    <n v="0"/>
    <n v="0"/>
    <n v="0"/>
    <n v="0"/>
    <n v="0"/>
    <x v="0"/>
    <m/>
    <x v="0"/>
    <x v="0"/>
    <s v="AKTIVCO Defaut GE &amp; Power Cabinet"/>
    <x v="0"/>
    <s v="(05/25/2026 cell nokia): 25/05/2026 : Un mail a ete envoyer au BO pour plus d'analyse._x000a_23/05/2026 : Power issue _x000a_22/05/2026 : Feedback BO Gnoc : Ce site a connu une grosse instabilité power entre le 18 et le 20/05 (baisse des tensions perçue au niveau des modules radio). Jusqu’à présent les tensions restent toujours basses._x000a_Bien vouloir interpeller le powerco de ce site pour une stabilisation de l’énergie._x000a_21/05/2026 : Le FME s'etait rendusur  le site mais apres intervention l'alarme persiste toujours. Le site a ete renvoyer au BO GNOC pour une analyses precise et pour avoir de nouvelle recommandation || En attente du feedback du BO RAN _x000a_      ;      (05/25/2026 cell nokia): 25/05/2026 : Un mail a ete envoyer au BO pour plus d'analyse._x000a_23/05/2026 : Power issue _x000a_22/05/2026 : Feedback BO Gnoc : Ce site a connu une grosse instabilité power entre le 18 et le 20/05 (baisse des tensions perçue au niveau des modules radio). Jusqu’à présent les tensions restent toujours basses._x000a_Bien vouloir interpeller le powerco de ce site pour une stabilisation de l’énergie._x000a_21/05/2026 : Le FME s'etait rendusur  le site mais apres intervention l'alarme persiste toujours. Le site a ete renvoyer au BO GNOC pour une analyses precise et pour avoir de nouvelle recommandation || En attente du feedback du BO RAN _x000a_      ;      (05/25/2026 cell nokia): 25/05/2026 : Un mail a ete envoyer au BO pour plus d'analyse._x000a_23/05/2026 : Power issue _x000a_22/05/2026 : Feedback BO Gnoc : Ce site a connu une grosse instabilité power entre le 18 et le 20/05 (baisse des tensions perçue au niveau des modules radio). Jusqu’à présent les tensions restent toujours basses._x000a_Bien vouloir interpeller le powerco de ce site pour une stabilisation de l’énergie._x000a_21/05/2026 : Le FME s'etait rendusur  le site mais apres intervention l'alarme persiste toujours. Le site a ete renvoyer au BO GNOC pour une analyses precise et pour avoir de nouvelle recommandation || En attente du feedback du BO RAN _x000a_"/>
  </r>
  <r>
    <s v="Bonassama-New-IHS"/>
    <s v="LIT_589"/>
    <s v="Douala"/>
    <s v="IHS"/>
    <s v="Grid-Gen"/>
    <s v="LITTORAL"/>
    <s v="Douala"/>
    <s v="ZTE"/>
    <n v="0"/>
    <n v="0"/>
    <n v="0"/>
    <n v="0"/>
    <n v="0"/>
    <n v="0"/>
    <n v="0"/>
    <n v="0"/>
    <n v="0"/>
    <n v="0"/>
    <n v="0"/>
    <n v="0"/>
    <n v="0"/>
    <n v="0"/>
    <n v="0"/>
    <n v="0"/>
    <n v="0"/>
    <n v="0"/>
    <n v="0.2736079364671701"/>
    <n v="0"/>
    <n v="0"/>
    <n v="0"/>
    <n v="0"/>
    <n v="0"/>
    <m/>
    <n v="0"/>
    <m/>
    <n v="0"/>
    <m/>
    <n v="0"/>
    <m/>
    <m/>
    <n v="2.121375555384338"/>
    <n v="10.02165535209298"/>
    <n v="0"/>
    <n v="0"/>
    <m/>
    <n v="0"/>
    <n v="0"/>
    <n v="0"/>
    <n v="0"/>
    <n v="0"/>
    <x v="0"/>
    <m/>
    <x v="2"/>
    <x v="1"/>
    <s v="no root cause"/>
    <x v="1"/>
    <s v=""/>
  </r>
  <r>
    <s v="Biyemassi-Crf-IHS"/>
    <s v="CTR_538"/>
    <s v="Yaounde"/>
    <s v="IHS"/>
    <s v="Grid-Gen"/>
    <s v="CENTRE"/>
    <s v="Yaounde"/>
    <s v="ZTE"/>
    <n v="0"/>
    <n v="0"/>
    <n v="0"/>
    <n v="0"/>
    <n v="0"/>
    <n v="0"/>
    <n v="0"/>
    <n v="0"/>
    <n v="0"/>
    <n v="0"/>
    <n v="0"/>
    <n v="0"/>
    <n v="0"/>
    <n v="0"/>
    <n v="0"/>
    <n v="0"/>
    <n v="0"/>
    <n v="0"/>
    <n v="0"/>
    <n v="0.4559716122625437"/>
    <n v="0"/>
    <n v="0"/>
    <n v="0"/>
    <n v="0"/>
    <m/>
    <n v="0"/>
    <m/>
    <n v="5.436042695750684"/>
    <m/>
    <n v="0"/>
    <m/>
    <m/>
    <n v="3.510692486152844"/>
    <n v="9.128421124722845"/>
    <n v="0"/>
    <n v="0"/>
    <m/>
    <n v="0"/>
    <n v="0"/>
    <n v="0"/>
    <n v="0"/>
    <n v="0"/>
    <x v="0"/>
    <m/>
    <x v="2"/>
    <x v="1"/>
    <s v="no root cause"/>
    <x v="1"/>
    <s v=""/>
  </r>
  <r>
    <s v="Yassa-Village-Camtel"/>
    <s v="LIT_766"/>
    <s v="Douala"/>
    <s v="CAMUSAT"/>
    <s v="Good Grid no GE - 8h"/>
    <s v="LITTORAL"/>
    <s v="Douala"/>
    <s v="ZTE"/>
    <n v="0.1071531505309146"/>
    <n v="0.1590532284345368"/>
    <n v="0.0009095889941872416"/>
    <n v="0"/>
    <n v="0.4225843456523786"/>
    <n v="2.525268738960087"/>
    <n v="0"/>
    <n v="1.638294624079353"/>
    <n v="1.004364600365833"/>
    <n v="0.05774998359172796"/>
    <n v="1.139625834324963"/>
    <n v="0.004012892621414192"/>
    <n v="0.1602481786818018"/>
    <n v="0.6295782646040761"/>
    <n v="0"/>
    <n v="0.1924940002796539"/>
    <n v="12.2663426389638"/>
    <n v="3.050922002208696"/>
    <n v="17.48870326139376"/>
    <n v="35.78606680877657"/>
    <n v="0.0008025785242829415"/>
    <n v="0.6987783684755716"/>
    <n v="0.6957820753182488"/>
    <n v="0"/>
    <m/>
    <n v="2.864206567303878"/>
    <m/>
    <n v="0.04838656747509481"/>
    <m/>
    <n v="0.09780756949259933"/>
    <m/>
    <m/>
    <n v="5.541180482431734"/>
    <n v="8.880834567520754"/>
    <n v="0"/>
    <n v="0"/>
    <m/>
    <n v="0"/>
    <n v="0"/>
    <n v="0"/>
    <n v="0"/>
    <n v="0"/>
    <x v="0"/>
    <m/>
    <x v="2"/>
    <x v="1"/>
    <s v="no root cause"/>
    <x v="1"/>
    <s v=""/>
  </r>
  <r>
    <s v="Oyak"/>
    <s v="LIT_222"/>
    <s v="Douala"/>
    <s v="IHS"/>
    <s v="Grid-Gen"/>
    <s v="LITTORAL"/>
    <s v="Douala"/>
    <s v="ZTE"/>
    <n v="0"/>
    <n v="0"/>
    <n v="0"/>
    <n v="0"/>
    <n v="0"/>
    <n v="0"/>
    <n v="0"/>
    <n v="0"/>
    <n v="0"/>
    <n v="0"/>
    <n v="0"/>
    <n v="0"/>
    <n v="0"/>
    <n v="0"/>
    <n v="0"/>
    <n v="0"/>
    <n v="0"/>
    <n v="0"/>
    <n v="0"/>
    <n v="0"/>
    <m/>
    <n v="0"/>
    <n v="0"/>
    <n v="0"/>
    <m/>
    <n v="0"/>
    <m/>
    <n v="0"/>
    <m/>
    <n v="0"/>
    <m/>
    <m/>
    <n v="0.966786090351079"/>
    <n v="8.689696033193222"/>
    <n v="0"/>
    <n v="0"/>
    <m/>
    <n v="0"/>
    <n v="0"/>
    <n v="0"/>
    <n v="0"/>
    <n v="0"/>
    <x v="0"/>
    <m/>
    <x v="2"/>
    <x v="1"/>
    <s v="no root cause"/>
    <x v="1"/>
    <s v=""/>
  </r>
  <r>
    <s v="Scalom"/>
    <s v="CTR_210"/>
    <s v="Yaounde"/>
    <s v="IHS"/>
    <s v="Grid-Gen"/>
    <s v="CENTRE"/>
    <s v="Yaounde"/>
    <s v="ZTE"/>
    <n v="0"/>
    <n v="0"/>
    <n v="0"/>
    <n v="0.01628342650378221"/>
    <n v="0"/>
    <n v="0"/>
    <n v="0.01888734793812248"/>
    <n v="0"/>
    <n v="0"/>
    <n v="0"/>
    <n v="0"/>
    <n v="0"/>
    <n v="0"/>
    <n v="0"/>
    <n v="0"/>
    <n v="0"/>
    <n v="0"/>
    <n v="0"/>
    <n v="0"/>
    <n v="0"/>
    <n v="0"/>
    <n v="0"/>
    <n v="0"/>
    <n v="0"/>
    <m/>
    <n v="0"/>
    <m/>
    <n v="1.645607006189486"/>
    <m/>
    <n v="0"/>
    <m/>
    <m/>
    <n v="3.510585475682941"/>
    <n v="8.645910915924015"/>
    <n v="0"/>
    <n v="0"/>
    <m/>
    <n v="0"/>
    <n v="0"/>
    <n v="0"/>
    <n v="0"/>
    <n v="0"/>
    <x v="0"/>
    <m/>
    <x v="2"/>
    <x v="1"/>
    <s v="no root cause"/>
    <x v="1"/>
    <s v=""/>
  </r>
  <r>
    <s v="Oyack-Lycee"/>
    <s v="LIT_299"/>
    <s v="Douala"/>
    <s v="IHS"/>
    <s v="Grid-Gen"/>
    <s v="LITTORAL"/>
    <s v="Douala"/>
    <s v="ZTE"/>
    <n v="0"/>
    <n v="0"/>
    <n v="0"/>
    <n v="0"/>
    <n v="0"/>
    <n v="0"/>
    <n v="0"/>
    <n v="0"/>
    <n v="0"/>
    <n v="0"/>
    <n v="0"/>
    <n v="0.02689529810263303"/>
    <n v="0"/>
    <n v="0"/>
    <n v="0"/>
    <n v="0"/>
    <n v="0"/>
    <n v="0"/>
    <n v="0"/>
    <n v="0"/>
    <n v="0"/>
    <n v="0"/>
    <n v="0"/>
    <n v="0"/>
    <m/>
    <n v="0"/>
    <m/>
    <n v="0"/>
    <m/>
    <n v="0"/>
    <m/>
    <m/>
    <n v="1.554202229812832"/>
    <n v="8.534156315187213"/>
    <n v="0"/>
    <n v="0"/>
    <m/>
    <n v="0"/>
    <n v="0"/>
    <n v="0"/>
    <n v="0"/>
    <n v="0"/>
    <x v="0"/>
    <m/>
    <x v="2"/>
    <x v="1"/>
    <s v="no root cause"/>
    <x v="1"/>
    <s v=""/>
  </r>
  <r>
    <s v="Bonaberi-Magzi-IHS"/>
    <s v="LIT_738"/>
    <s v="Douala"/>
    <s v="IHS"/>
    <s v="Grid-Gen"/>
    <s v="LITTORAL"/>
    <s v="Douala"/>
    <s v="ZTE"/>
    <n v="0"/>
    <n v="0"/>
    <n v="0"/>
    <n v="2.12547762339734"/>
    <n v="1.449956197047651"/>
    <n v="0"/>
    <n v="0"/>
    <n v="0"/>
    <n v="0"/>
    <n v="0"/>
    <n v="0"/>
    <n v="0"/>
    <n v="0"/>
    <n v="0"/>
    <n v="0"/>
    <n v="1.851031438249252"/>
    <n v="0"/>
    <n v="0"/>
    <n v="0.204800204318657"/>
    <n v="0"/>
    <n v="0.05935514064029403"/>
    <n v="0"/>
    <n v="0"/>
    <n v="0"/>
    <m/>
    <n v="0"/>
    <m/>
    <n v="0"/>
    <m/>
    <n v="2.234467786994946"/>
    <m/>
    <m/>
    <n v="1.487178005496057"/>
    <n v="7.361339400113575"/>
    <n v="0"/>
    <n v="0"/>
    <m/>
    <n v="0"/>
    <n v="0"/>
    <n v="0"/>
    <n v="0"/>
    <n v="0"/>
    <x v="0"/>
    <m/>
    <x v="2"/>
    <x v="1"/>
    <s v="no root cause"/>
    <x v="1"/>
    <s v=""/>
  </r>
  <r>
    <s v="Bilongue-II"/>
    <s v="LIT_451"/>
    <s v="Douala"/>
    <s v="IHS"/>
    <s v="Grid-Gen"/>
    <s v="LITTORAL"/>
    <s v="Douala"/>
    <s v="ZTE"/>
    <n v="0"/>
    <n v="0"/>
    <n v="0"/>
    <n v="0"/>
    <n v="0"/>
    <n v="0"/>
    <n v="0"/>
    <n v="0"/>
    <n v="0"/>
    <n v="0"/>
    <n v="0"/>
    <n v="0"/>
    <n v="0"/>
    <n v="0"/>
    <n v="0"/>
    <n v="0"/>
    <n v="0"/>
    <n v="0"/>
    <n v="0"/>
    <n v="0"/>
    <n v="12.4902620472387"/>
    <n v="15.8595401974129"/>
    <n v="1.456644351416675"/>
    <n v="0"/>
    <m/>
    <n v="0"/>
    <m/>
    <n v="23.22332300325597"/>
    <m/>
    <n v="0"/>
    <m/>
    <m/>
    <n v="1.317726926402479"/>
    <n v="7.286931453373398"/>
    <n v="0"/>
    <n v="0"/>
    <m/>
    <n v="0"/>
    <n v="0"/>
    <n v="0"/>
    <n v="0"/>
    <n v="0"/>
    <x v="0"/>
    <m/>
    <x v="2"/>
    <x v="1"/>
    <s v="no root cause"/>
    <x v="1"/>
    <s v=""/>
  </r>
  <r>
    <s v="Base-Elf-New"/>
    <s v="LIT_151"/>
    <s v="Douala"/>
    <s v="IHS"/>
    <s v="Grid-Gen"/>
    <s v="LITTORAL"/>
    <s v="Douala"/>
    <s v="ZTE"/>
    <n v="0"/>
    <n v="0"/>
    <n v="0"/>
    <n v="0"/>
    <n v="0"/>
    <n v="0"/>
    <n v="0"/>
    <n v="0"/>
    <n v="0"/>
    <n v="0"/>
    <n v="0"/>
    <n v="0"/>
    <n v="0"/>
    <n v="0"/>
    <n v="0"/>
    <n v="0"/>
    <n v="0"/>
    <n v="0"/>
    <n v="0.1280558623189027"/>
    <n v="0"/>
    <n v="0"/>
    <n v="0"/>
    <n v="0"/>
    <n v="0"/>
    <m/>
    <n v="0"/>
    <m/>
    <n v="0"/>
    <m/>
    <n v="3.823751615858094"/>
    <m/>
    <m/>
    <n v="1.486321921736822"/>
    <n v="7.005814948934605"/>
    <n v="0"/>
    <n v="0"/>
    <m/>
    <n v="0"/>
    <n v="0"/>
    <n v="0"/>
    <n v="0"/>
    <n v="0"/>
    <x v="0"/>
    <m/>
    <x v="2"/>
    <x v="1"/>
    <s v="no root cause"/>
    <x v="1"/>
    <s v=""/>
  </r>
  <r>
    <s v="Nkometou-II"/>
    <s v="CTR_750"/>
    <s v="Yaounde"/>
    <s v="CAMUSAT"/>
    <s v="Hybrid Solar - S1"/>
    <s v="CENTRE"/>
    <s v="Yaounde"/>
    <s v="ZTE"/>
    <n v="5.350523495219608e-05"/>
    <n v="0"/>
    <n v="0"/>
    <n v="0"/>
    <n v="0"/>
    <n v="4.628416844304049"/>
    <n v="0"/>
    <n v="9.422111359375405"/>
    <n v="19.545283977251"/>
    <n v="0"/>
    <n v="0"/>
    <n v="0"/>
    <n v="0"/>
    <n v="0"/>
    <n v="0"/>
    <n v="0"/>
    <n v="7.251992534949618"/>
    <n v="0"/>
    <n v="0"/>
    <n v="0.1726613931907097"/>
    <n v="0"/>
    <n v="0.01919054426951797"/>
    <n v="0"/>
    <n v="0"/>
    <m/>
    <n v="12.5492069810777"/>
    <m/>
    <n v="1.047168788327583"/>
    <m/>
    <n v="0"/>
    <m/>
    <m/>
    <n v="0"/>
    <n v="6.76186674770926"/>
    <n v="0"/>
    <n v="0"/>
    <m/>
    <n v="0"/>
    <n v="0"/>
    <n v="0"/>
    <n v="0"/>
    <n v="0"/>
    <x v="0"/>
    <m/>
    <x v="2"/>
    <x v="1"/>
    <s v="no root cause"/>
    <x v="1"/>
    <s v=""/>
  </r>
  <r>
    <s v="LIT_850_Z_Ndogbassi-Taniere-Plus"/>
    <s v="LIT_850"/>
    <s v="Douala"/>
    <s v="ESCO "/>
    <s v="medium Grid GE"/>
    <s v="LITTORAL"/>
    <s v="Douala"/>
    <s v="ZTE"/>
    <n v="0"/>
    <n v="0"/>
    <n v="0"/>
    <n v="0"/>
    <n v="0"/>
    <n v="0"/>
    <n v="0"/>
    <n v="0"/>
    <n v="0"/>
    <n v="0"/>
    <n v="10.19240839190373"/>
    <n v="0"/>
    <n v="0"/>
    <n v="0"/>
    <n v="0"/>
    <n v="0"/>
    <n v="0"/>
    <n v="0"/>
    <n v="0"/>
    <n v="0"/>
    <n v="0"/>
    <n v="0"/>
    <n v="8.150612955971615"/>
    <n v="37.24907828315255"/>
    <m/>
    <n v="0"/>
    <m/>
    <n v="0"/>
    <m/>
    <n v="0"/>
    <m/>
    <m/>
    <n v="1.62989430219186"/>
    <n v="6.637431406288792"/>
    <n v="0"/>
    <n v="0"/>
    <m/>
    <n v="0"/>
    <n v="0"/>
    <n v="0"/>
    <n v="0"/>
    <n v="0"/>
    <x v="0"/>
    <m/>
    <x v="2"/>
    <x v="1"/>
    <s v="no root cause"/>
    <x v="1"/>
    <s v=""/>
  </r>
  <r>
    <s v="Oyack-IHS"/>
    <s v="LIT_368"/>
    <s v="Douala"/>
    <s v="IHS"/>
    <s v="Grid-Gen"/>
    <s v="LITTORAL"/>
    <s v="Douala"/>
    <s v="ZTE"/>
    <n v="0"/>
    <n v="0"/>
    <n v="0.09488261664854647"/>
    <n v="0"/>
    <n v="0"/>
    <n v="0"/>
    <n v="0"/>
    <n v="2.773515194059921"/>
    <n v="3.336818307636553"/>
    <n v="0"/>
    <n v="0.2486031566661815"/>
    <n v="0.002764757134234847"/>
    <n v="0"/>
    <n v="0"/>
    <n v="0"/>
    <n v="0"/>
    <n v="0"/>
    <n v="0"/>
    <n v="0"/>
    <n v="0"/>
    <n v="0.08250507229627334"/>
    <n v="0"/>
    <n v="0.02949921953697252"/>
    <n v="0.00256825127770507"/>
    <m/>
    <n v="0"/>
    <m/>
    <n v="0"/>
    <m/>
    <n v="0"/>
    <m/>
    <m/>
    <n v="1.363919779244535"/>
    <n v="6.588652467090713"/>
    <n v="0"/>
    <n v="0"/>
    <m/>
    <n v="0"/>
    <n v="0"/>
    <n v="0"/>
    <n v="0"/>
    <n v="0"/>
    <x v="0"/>
    <m/>
    <x v="2"/>
    <x v="1"/>
    <s v="no root cause"/>
    <x v="1"/>
    <s v=""/>
  </r>
  <r>
    <s v="CTR_953_Z_Akak-II"/>
    <s v="CTR_953"/>
    <s v="Yaounde"/>
    <s v="ESCO"/>
    <s v="Good Grid + Solar + GE"/>
    <s v="CTR"/>
    <s v="Yaoundé"/>
    <s v="ZTE"/>
    <n v="0"/>
    <n v="0"/>
    <n v="0"/>
    <n v="0"/>
    <n v="0"/>
    <n v="0"/>
    <n v="0"/>
    <n v="0"/>
    <n v="0"/>
    <n v="0.1351363884109089"/>
    <n v="0"/>
    <n v="0.001605157048565883"/>
    <n v="0"/>
    <n v="0"/>
    <n v="0"/>
    <n v="0"/>
    <n v="0"/>
    <n v="0"/>
    <n v="0"/>
    <n v="7.773615070498499"/>
    <n v="0"/>
    <n v="0.08699951203225785"/>
    <n v="0"/>
    <n v="0"/>
    <m/>
    <n v="11.82187465221597"/>
    <m/>
    <n v="1.142889653657047"/>
    <m/>
    <n v="0"/>
    <m/>
    <m/>
    <n v="0"/>
    <n v="6.456209175505732"/>
    <n v="0"/>
    <n v="0"/>
    <m/>
    <n v="0"/>
    <n v="0"/>
    <n v="0"/>
    <n v="0"/>
    <n v="0"/>
    <x v="0"/>
    <m/>
    <x v="2"/>
    <x v="1"/>
    <s v="no root cause"/>
    <x v="1"/>
    <s v=""/>
  </r>
  <r>
    <s v="Boko-Plage-IHS"/>
    <s v="LIT_363"/>
    <s v="Douala"/>
    <s v="CAMUSAT"/>
    <s v="Good Grid + GE"/>
    <s v="LITTORAL"/>
    <s v="Douala"/>
    <s v="ZTE"/>
    <n v="18.00870280481576"/>
    <n v="21.81652769573642"/>
    <n v="23.60686636247157"/>
    <n v="28.97493957475466"/>
    <n v="21.16922136328485"/>
    <n v="0"/>
    <n v="0"/>
    <n v="0"/>
    <n v="0"/>
    <n v="0"/>
    <n v="0"/>
    <n v="0"/>
    <n v="0"/>
    <n v="0"/>
    <n v="0"/>
    <n v="0"/>
    <n v="0"/>
    <n v="0"/>
    <n v="0"/>
    <n v="0"/>
    <n v="0"/>
    <n v="0"/>
    <n v="0"/>
    <n v="0"/>
    <m/>
    <n v="0"/>
    <m/>
    <n v="0"/>
    <m/>
    <n v="0"/>
    <m/>
    <m/>
    <n v="0.5878441813413688"/>
    <n v="6.010243042179246"/>
    <n v="0"/>
    <n v="0"/>
    <m/>
    <n v="0"/>
    <n v="0"/>
    <n v="0"/>
    <n v="0"/>
    <n v="0"/>
    <x v="0"/>
    <m/>
    <x v="2"/>
    <x v="1"/>
    <s v="no root cause"/>
    <x v="1"/>
    <s v=""/>
  </r>
  <r>
    <s v="Nyom-Sud"/>
    <s v="CTR_707"/>
    <s v="Yaounde"/>
    <s v="CAMUSAT"/>
    <s v="Good Grid + GE"/>
    <s v="CENTRE"/>
    <s v="Yaounde"/>
    <s v="ZTE"/>
    <n v="10.03990063721168"/>
    <n v="0"/>
    <n v="0"/>
    <n v="2.712412215744522"/>
    <n v="0"/>
    <n v="19.17686476444856"/>
    <n v="0"/>
    <n v="0"/>
    <n v="1.320509198619993"/>
    <n v="4.642203359843394"/>
    <n v="0"/>
    <n v="0.6527460313383726"/>
    <n v="1.036646092120319"/>
    <n v="7.183149132644467"/>
    <n v="0.9698893939783072"/>
    <n v="5.029563425818913"/>
    <n v="0"/>
    <n v="0"/>
    <n v="0"/>
    <n v="0"/>
    <n v="1.446674542637252"/>
    <n v="0"/>
    <n v="0"/>
    <n v="0"/>
    <m/>
    <n v="0"/>
    <m/>
    <n v="0"/>
    <m/>
    <n v="0"/>
    <m/>
    <m/>
    <n v="0.009809293074567687"/>
    <n v="5.73738417900141"/>
    <n v="0"/>
    <n v="0"/>
    <m/>
    <n v="0"/>
    <n v="0"/>
    <n v="0"/>
    <n v="0"/>
    <n v="0"/>
    <x v="0"/>
    <m/>
    <x v="2"/>
    <x v="1"/>
    <s v="no root cause"/>
    <x v="1"/>
    <s v=""/>
  </r>
  <r>
    <s v="Boko-Douala"/>
    <s v="LIT_240"/>
    <s v="Douala"/>
    <s v="IHS"/>
    <s v="Grid-Gen"/>
    <s v="LITTORAL"/>
    <s v="Douala"/>
    <s v="ZTE"/>
    <n v="0"/>
    <n v="0"/>
    <n v="0"/>
    <n v="0"/>
    <n v="0"/>
    <n v="0"/>
    <n v="0"/>
    <n v="0"/>
    <n v="0"/>
    <n v="0"/>
    <n v="0"/>
    <n v="1.162240713631422"/>
    <n v="0"/>
    <n v="0"/>
    <n v="0"/>
    <n v="0"/>
    <n v="0"/>
    <n v="0"/>
    <n v="0"/>
    <n v="0"/>
    <m/>
    <n v="0"/>
    <n v="0"/>
    <n v="0"/>
    <m/>
    <n v="0"/>
    <m/>
    <n v="0"/>
    <m/>
    <n v="0"/>
    <m/>
    <m/>
    <n v="0.4311095130880937"/>
    <n v="5.649011365938709"/>
    <n v="0"/>
    <n v="0"/>
    <m/>
    <n v="0"/>
    <n v="0"/>
    <n v="0"/>
    <n v="0"/>
    <n v="0"/>
    <x v="0"/>
    <m/>
    <x v="2"/>
    <x v="1"/>
    <s v="no root cause"/>
    <x v="1"/>
    <s v=""/>
  </r>
  <r>
    <s v="Fontem"/>
    <s v="SUO_017"/>
    <s v="SUD-OUEST"/>
    <s v="IHS"/>
    <s v="Grid-Gen"/>
    <s v="SUD-OUEST"/>
    <s v="Fontem"/>
    <s v="NOKIA"/>
    <n v="0"/>
    <n v="0"/>
    <n v="0"/>
    <n v="0"/>
    <n v="0.001337630873804731"/>
    <n v="0"/>
    <n v="0.03257311396860239"/>
    <n v="0"/>
    <n v="0"/>
    <n v="0"/>
    <n v="0"/>
    <n v="0"/>
    <n v="0"/>
    <n v="0"/>
    <n v="0"/>
    <n v="1.747088601815468"/>
    <n v="0.002140209398087672"/>
    <n v="0"/>
    <n v="1.356892758387481"/>
    <n v="9.24452748456909"/>
    <n v="0"/>
    <n v="5.355499482069326"/>
    <n v="0"/>
    <n v="0"/>
    <m/>
    <n v="0"/>
    <m/>
    <n v="0.00115928009063063"/>
    <m/>
    <n v="0.3547753778896393"/>
    <m/>
    <m/>
    <n v="0"/>
    <n v="5.108251791355266"/>
    <n v="0"/>
    <n v="0"/>
    <m/>
    <n v="0"/>
    <n v="0"/>
    <n v="0"/>
    <n v="0"/>
    <n v="0"/>
    <x v="1"/>
    <m/>
    <x v="2"/>
    <x v="1"/>
    <s v="no root cause"/>
    <x v="1"/>
    <s v=""/>
  </r>
  <r>
    <s v="Mbanga-Pongo-IHS"/>
    <s v="LIT_598"/>
    <s v="LITTORAL"/>
    <s v="IHS"/>
    <s v="Hybrid-Gen"/>
    <s v="LITTORAL"/>
    <s v="Mbanga Pongo"/>
    <s v="ZTE"/>
    <n v="5.194466559941557"/>
    <n v="10.79701754686345"/>
    <n v="4.457003906595555"/>
    <n v="0.579854066255176"/>
    <n v="8.908942650948967"/>
    <n v="0"/>
    <n v="0"/>
    <n v="0"/>
    <n v="0"/>
    <n v="0"/>
    <n v="0"/>
    <n v="0"/>
    <n v="0"/>
    <n v="0"/>
    <n v="0"/>
    <n v="0"/>
    <n v="0"/>
    <n v="0"/>
    <n v="0"/>
    <n v="0"/>
    <n v="0"/>
    <n v="0"/>
    <n v="3.347965231584924"/>
    <n v="0"/>
    <m/>
    <n v="0"/>
    <m/>
    <n v="0"/>
    <m/>
    <n v="0"/>
    <m/>
    <m/>
    <n v="0.5686179669152163"/>
    <n v="4.863251320509199"/>
    <n v="0"/>
    <n v="0"/>
    <m/>
    <n v="0"/>
    <n v="0"/>
    <n v="0"/>
    <n v="0"/>
    <n v="0"/>
    <x v="0"/>
    <m/>
    <x v="2"/>
    <x v="1"/>
    <s v="no root cause"/>
    <x v="1"/>
    <s v=""/>
  </r>
  <r>
    <s v="Logbaba-CAMTEL"/>
    <s v="LIT_253"/>
    <s v="Douala"/>
    <s v="CAMUSAT"/>
    <s v="Good Grid + GE"/>
    <s v="LITTORAL"/>
    <s v="Douala"/>
    <s v="ZTE"/>
    <n v="0"/>
    <n v="0"/>
    <n v="0"/>
    <n v="0"/>
    <n v="0"/>
    <n v="0"/>
    <n v="0"/>
    <n v="0"/>
    <n v="0"/>
    <n v="0"/>
    <n v="0"/>
    <n v="0"/>
    <n v="0"/>
    <n v="0.002033198928183109"/>
    <n v="0"/>
    <n v="0"/>
    <n v="0"/>
    <n v="0"/>
    <n v="0"/>
    <n v="0"/>
    <n v="0"/>
    <n v="0"/>
    <n v="0"/>
    <n v="0"/>
    <m/>
    <n v="0"/>
    <m/>
    <n v="0"/>
    <m/>
    <n v="0"/>
    <m/>
    <m/>
    <n v="1.415320474955269"/>
    <n v="4.409954969994264"/>
    <n v="0"/>
    <n v="0"/>
    <m/>
    <n v="0"/>
    <n v="0"/>
    <n v="0"/>
    <n v="0"/>
    <n v="0"/>
    <x v="0"/>
    <m/>
    <x v="2"/>
    <x v="1"/>
    <s v="no root cause"/>
    <x v="1"/>
    <s v=""/>
  </r>
  <r>
    <s v="Akak-IHS"/>
    <s v="CTR_513"/>
    <s v="Yaounde"/>
    <s v="IHS"/>
    <s v="Grid-Gen"/>
    <s v="CENTRE"/>
    <s v="Yaounde"/>
    <s v="ZTE"/>
    <n v="0"/>
    <n v="0"/>
    <n v="0"/>
    <n v="0"/>
    <n v="0"/>
    <n v="0"/>
    <n v="0"/>
    <n v="0"/>
    <n v="0.001070104699043755"/>
    <n v="2.66516709328174"/>
    <n v="0"/>
    <n v="0"/>
    <n v="0"/>
    <n v="0"/>
    <n v="0"/>
    <n v="0"/>
    <n v="0"/>
    <n v="0"/>
    <n v="0"/>
    <n v="4.550994769328232"/>
    <n v="0"/>
    <n v="0"/>
    <n v="0"/>
    <n v="0"/>
    <m/>
    <n v="7.779054769385302"/>
    <m/>
    <n v="0.7600953677307783"/>
    <m/>
    <n v="0"/>
    <m/>
    <m/>
    <n v="0"/>
    <n v="4.244267092425655"/>
    <n v="0"/>
    <n v="0"/>
    <m/>
    <n v="0"/>
    <n v="0"/>
    <n v="0"/>
    <n v="0"/>
    <n v="0"/>
    <x v="0"/>
    <m/>
    <x v="2"/>
    <x v="1"/>
    <s v="no root cause"/>
    <x v="1"/>
    <s v=""/>
  </r>
  <r>
    <s v="ZI-Bassa-II"/>
    <s v="LIT_729"/>
    <s v="Douala"/>
    <s v="CAMUSAT"/>
    <s v="Good Grid + GE"/>
    <s v="LITTORAL"/>
    <s v="Douala"/>
    <s v="ZTE"/>
    <n v="0"/>
    <n v="0"/>
    <n v="0"/>
    <n v="0"/>
    <n v="0"/>
    <n v="0"/>
    <n v="0"/>
    <n v="0"/>
    <n v="0"/>
    <n v="0"/>
    <n v="5.290258765584292"/>
    <n v="0"/>
    <n v="0"/>
    <n v="0"/>
    <n v="0"/>
    <n v="0"/>
    <n v="0"/>
    <n v="0"/>
    <n v="5.593704788076466"/>
    <n v="0"/>
    <n v="0"/>
    <n v="0"/>
    <n v="4.778053151386998"/>
    <n v="2.675885975350493"/>
    <m/>
    <n v="0"/>
    <m/>
    <n v="2.113117914123384"/>
    <m/>
    <n v="0"/>
    <m/>
    <m/>
    <n v="0.8262100030533656"/>
    <n v="3.983714433286819"/>
    <n v="0"/>
    <n v="0"/>
    <m/>
    <n v="0"/>
    <n v="0"/>
    <n v="0"/>
    <n v="0"/>
    <n v="0"/>
    <x v="0"/>
    <m/>
    <x v="2"/>
    <x v="1"/>
    <s v="no root cause"/>
    <x v="1"/>
    <s v=""/>
  </r>
  <r>
    <s v="Nyom-II-IHS"/>
    <s v="CTR_648"/>
    <s v="Yaounde"/>
    <s v="IHS"/>
    <s v="Grid-Gen"/>
    <s v="CENTRE"/>
    <s v="Yaounde"/>
    <s v="ZTE"/>
    <n v="0"/>
    <n v="0"/>
    <n v="0"/>
    <n v="0"/>
    <n v="0"/>
    <n v="0"/>
    <n v="0"/>
    <n v="0"/>
    <n v="0"/>
    <n v="0"/>
    <n v="0"/>
    <n v="0"/>
    <n v="0"/>
    <n v="0"/>
    <n v="0"/>
    <n v="0"/>
    <n v="0"/>
    <n v="0"/>
    <n v="0"/>
    <n v="0.09267106693718903"/>
    <n v="0"/>
    <n v="0.1775303695713588"/>
    <n v="0"/>
    <n v="0"/>
    <m/>
    <n v="0"/>
    <m/>
    <n v="13.38058915684311"/>
    <m/>
    <n v="0"/>
    <m/>
    <m/>
    <n v="0"/>
    <n v="3.897820696110241"/>
    <n v="0"/>
    <n v="0"/>
    <m/>
    <n v="0"/>
    <n v="0"/>
    <n v="0"/>
    <n v="0"/>
    <n v="0"/>
    <x v="0"/>
    <m/>
    <x v="2"/>
    <x v="1"/>
    <s v="no root cause"/>
    <x v="1"/>
    <s v=""/>
  </r>
  <r>
    <s v="Nkoabang-II-IHS"/>
    <s v="CTR_458"/>
    <s v="Yaounde"/>
    <s v="IHS"/>
    <s v="Grid-Gen"/>
    <s v="CENTRE"/>
    <s v="Yaounde"/>
    <s v="ZTE"/>
    <n v="0"/>
    <n v="0"/>
    <n v="0"/>
    <n v="0"/>
    <n v="0"/>
    <n v="0"/>
    <n v="0"/>
    <n v="0"/>
    <n v="0"/>
    <n v="0"/>
    <n v="0.4146834059577719"/>
    <n v="0"/>
    <n v="0.4920698107769531"/>
    <n v="0"/>
    <n v="0"/>
    <n v="0"/>
    <n v="0"/>
    <n v="0"/>
    <n v="0"/>
    <n v="0"/>
    <n v="0"/>
    <n v="0"/>
    <n v="0"/>
    <n v="0"/>
    <m/>
    <n v="0"/>
    <m/>
    <n v="0"/>
    <m/>
    <n v="0"/>
    <m/>
    <m/>
    <n v="0"/>
    <n v="3.573685982769888"/>
    <n v="0"/>
    <n v="0"/>
    <m/>
    <n v="0"/>
    <n v="0"/>
    <n v="0"/>
    <n v="0"/>
    <n v="0"/>
    <x v="0"/>
    <m/>
    <x v="2"/>
    <x v="1"/>
    <s v="no root cause"/>
    <x v="1"/>
    <s v=""/>
  </r>
  <r>
    <s v="Bonaminkano-IHS"/>
    <s v="LIT_130"/>
    <s v="Douala"/>
    <s v="IHS"/>
    <s v="Grid-Gen"/>
    <s v="LITTORAL"/>
    <s v="Douala"/>
    <s v="ZTE"/>
    <n v="0"/>
    <n v="0"/>
    <n v="0"/>
    <n v="0"/>
    <n v="0"/>
    <n v="0"/>
    <n v="0"/>
    <n v="0"/>
    <n v="0"/>
    <n v="0"/>
    <n v="0"/>
    <n v="0"/>
    <n v="0"/>
    <n v="0"/>
    <n v="0"/>
    <n v="0"/>
    <n v="0"/>
    <n v="0"/>
    <n v="0"/>
    <n v="0"/>
    <n v="0"/>
    <n v="2.645905208698954"/>
    <n v="0.9653592840856889"/>
    <n v="5.205916680221325"/>
    <m/>
    <n v="0"/>
    <m/>
    <n v="0"/>
    <m/>
    <n v="0"/>
    <m/>
    <m/>
    <n v="0"/>
    <n v="3.069149452249076"/>
    <n v="0"/>
    <n v="0"/>
    <m/>
    <n v="0"/>
    <n v="0"/>
    <n v="0"/>
    <n v="0"/>
    <n v="0"/>
    <x v="0"/>
    <m/>
    <x v="2"/>
    <x v="1"/>
    <s v="no root cause"/>
    <x v="1"/>
    <s v=""/>
  </r>
  <r>
    <s v="Shell-Nsimeyong"/>
    <s v="CTR_056"/>
    <s v="Yaounde"/>
    <s v="IHS"/>
    <s v="Grid-Gen"/>
    <s v="CENTRE"/>
    <s v="Yaounde"/>
    <s v="ZTE"/>
    <n v="0.2307859134271032"/>
    <n v="0"/>
    <n v="0"/>
    <n v="0"/>
    <n v="0"/>
    <n v="0"/>
    <n v="0"/>
    <n v="0"/>
    <n v="0"/>
    <n v="0"/>
    <n v="0"/>
    <n v="0"/>
    <n v="0"/>
    <n v="0"/>
    <n v="0"/>
    <n v="0"/>
    <n v="0"/>
    <n v="0"/>
    <n v="0.1668649927375563"/>
    <n v="0"/>
    <n v="0.02744818553047213"/>
    <n v="0"/>
    <n v="0"/>
    <n v="0"/>
    <m/>
    <n v="0"/>
    <m/>
    <n v="0"/>
    <m/>
    <n v="0"/>
    <m/>
    <m/>
    <n v="0.6352676545873253"/>
    <n v="3.018515664905988"/>
    <n v="0"/>
    <n v="0"/>
    <m/>
    <n v="0"/>
    <n v="0"/>
    <n v="0"/>
    <n v="0"/>
    <n v="0"/>
    <x v="0"/>
    <m/>
    <x v="2"/>
    <x v="1"/>
    <s v="no root cause"/>
    <x v="1"/>
    <s v=""/>
  </r>
  <r>
    <s v="Bberi-Abattoir"/>
    <s v="LIT_346"/>
    <s v="Douala"/>
    <s v="IHS"/>
    <s v="Grid-Gen"/>
    <s v="LITTORAL"/>
    <s v="Douala"/>
    <s v="ZTE"/>
    <n v="0"/>
    <n v="0"/>
    <n v="0"/>
    <n v="0"/>
    <n v="0"/>
    <n v="0"/>
    <n v="0"/>
    <n v="0"/>
    <n v="5.467699959764066"/>
    <n v="1.97234564096418"/>
    <n v="1.755970470817532"/>
    <n v="0"/>
    <n v="2.329386073800127"/>
    <n v="0.001837013066691666"/>
    <n v="0"/>
    <n v="0"/>
    <n v="0"/>
    <n v="15.09924864382065"/>
    <n v="0"/>
    <n v="0"/>
    <n v="0.03295922473054754"/>
    <n v="0"/>
    <n v="0"/>
    <n v="0"/>
    <m/>
    <n v="0"/>
    <m/>
    <n v="0"/>
    <m/>
    <n v="0"/>
    <m/>
    <m/>
    <n v="4.314216269586485"/>
    <n v="2.81232432447857"/>
    <n v="0"/>
    <n v="0"/>
    <m/>
    <n v="0"/>
    <n v="0"/>
    <n v="0"/>
    <n v="0"/>
    <n v="0"/>
    <x v="0"/>
    <m/>
    <x v="2"/>
    <x v="1"/>
    <s v="no root cause"/>
    <x v="1"/>
    <s v=""/>
  </r>
  <r>
    <s v="Ndogp-Lycee"/>
    <s v="LIT_038"/>
    <s v="Douala"/>
    <s v="IHS"/>
    <s v="Grid-Gen"/>
    <s v="LITTORAL"/>
    <s v="Douala"/>
    <s v="ZTE"/>
    <n v="0"/>
    <n v="0"/>
    <n v="0"/>
    <n v="0"/>
    <n v="0"/>
    <n v="0"/>
    <n v="0"/>
    <n v="0"/>
    <n v="0"/>
    <n v="0"/>
    <n v="0"/>
    <n v="0"/>
    <n v="0"/>
    <n v="0"/>
    <n v="0"/>
    <n v="0"/>
    <n v="0"/>
    <n v="0"/>
    <n v="0"/>
    <n v="0"/>
    <n v="0"/>
    <n v="0.4995962138268933"/>
    <n v="0"/>
    <n v="0"/>
    <m/>
    <n v="0.0004993821928871064"/>
    <m/>
    <n v="0"/>
    <m/>
    <n v="0"/>
    <m/>
    <m/>
    <n v="1.000744079467402"/>
    <n v="2.798288117842783"/>
    <n v="0"/>
    <n v="0"/>
    <m/>
    <n v="0"/>
    <n v="0"/>
    <n v="0"/>
    <n v="0"/>
    <n v="0"/>
    <x v="0"/>
    <m/>
    <x v="2"/>
    <x v="1"/>
    <s v="no root cause"/>
    <x v="1"/>
    <s v=""/>
  </r>
  <r>
    <s v="Messassi-MTN-IHS"/>
    <s v="CTR_468"/>
    <s v="Yaounde"/>
    <s v="IHS"/>
    <s v="Grid-Gen"/>
    <s v="CENTRE"/>
    <s v="Yaounde"/>
    <s v="ZTE"/>
    <n v="0"/>
    <n v="9.678383599718064"/>
    <n v="0"/>
    <n v="0"/>
    <n v="0"/>
    <n v="0"/>
    <n v="0"/>
    <n v="0"/>
    <n v="0"/>
    <n v="0"/>
    <n v="0"/>
    <n v="0"/>
    <n v="0"/>
    <n v="0"/>
    <n v="1.162240713631422"/>
    <n v="18.44175634144045"/>
    <n v="9.261506479127252"/>
    <n v="0"/>
    <n v="0"/>
    <n v="0"/>
    <n v="0"/>
    <n v="0"/>
    <n v="0"/>
    <n v="0"/>
    <m/>
    <n v="0"/>
    <m/>
    <n v="0"/>
    <m/>
    <n v="0"/>
    <m/>
    <m/>
    <n v="0"/>
    <n v="2.674708860181544"/>
    <n v="0"/>
    <n v="0"/>
    <m/>
    <n v="0"/>
    <n v="0"/>
    <n v="0"/>
    <n v="0"/>
    <n v="0"/>
    <x v="0"/>
    <m/>
    <x v="2"/>
    <x v="1"/>
    <s v="no root cause"/>
    <x v="1"/>
    <s v=""/>
  </r>
  <r>
    <s v="Ndogp-Nodal"/>
    <s v="LIT_093"/>
    <s v="Douala"/>
    <m/>
    <m/>
    <s v="LITTORAL"/>
    <s v="Douala"/>
    <s v="ZTE"/>
    <n v="0"/>
    <n v="0"/>
    <n v="0"/>
    <n v="0"/>
    <n v="0"/>
    <n v="0"/>
    <n v="0"/>
    <n v="0"/>
    <n v="0"/>
    <n v="0"/>
    <n v="0"/>
    <n v="0.3055148915769919"/>
    <n v="0"/>
    <n v="0.00256825127770507"/>
    <n v="0"/>
    <n v="0"/>
    <n v="0"/>
    <n v="0"/>
    <n v="0"/>
    <n v="0"/>
    <n v="0"/>
    <n v="0"/>
    <n v="0"/>
    <n v="0"/>
    <m/>
    <n v="0"/>
    <m/>
    <n v="0"/>
    <m/>
    <n v="0"/>
    <m/>
    <m/>
    <n v="0.1688446864307872"/>
    <n v="1.844771325759846"/>
    <n v="0"/>
    <n v="0"/>
    <m/>
    <n v="0"/>
    <n v="0"/>
    <n v="0"/>
    <n v="0"/>
    <n v="0"/>
    <x v="0"/>
    <m/>
    <x v="2"/>
    <x v="1"/>
    <s v="no root cause"/>
    <x v="1"/>
    <s v=""/>
  </r>
  <r>
    <s v="Song-Kot-IHS"/>
    <s v="LIT_374"/>
    <s v="Douala"/>
    <s v="IHS"/>
    <s v="Grid-Gen"/>
    <s v="LITTORAL"/>
    <s v="Douala"/>
    <s v="ZTE"/>
    <n v="0"/>
    <n v="1.755453253546328"/>
    <n v="0"/>
    <n v="0"/>
    <n v="0"/>
    <n v="0"/>
    <n v="0"/>
    <n v="0"/>
    <n v="0"/>
    <n v="0"/>
    <n v="0"/>
    <n v="0.01166414121957669"/>
    <n v="0"/>
    <n v="0.002104539241452818"/>
    <n v="0"/>
    <n v="0"/>
    <n v="0"/>
    <n v="0"/>
    <n v="0"/>
    <n v="0"/>
    <n v="0"/>
    <n v="0"/>
    <n v="0"/>
    <n v="0"/>
    <m/>
    <n v="0"/>
    <m/>
    <n v="0"/>
    <m/>
    <n v="0"/>
    <m/>
    <m/>
    <n v="0.05566327942859241"/>
    <n v="1.839777503830974"/>
    <n v="0"/>
    <n v="0"/>
    <m/>
    <n v="0"/>
    <n v="0"/>
    <n v="0"/>
    <n v="0"/>
    <n v="0"/>
    <x v="0"/>
    <m/>
    <x v="2"/>
    <x v="1"/>
    <s v="no root cause"/>
    <x v="1"/>
    <s v=""/>
  </r>
  <r>
    <s v="Logbaba"/>
    <s v="LIT_058"/>
    <s v="Douala"/>
    <s v="IHS"/>
    <s v="Grid-Gen"/>
    <s v="LITTORAL"/>
    <s v="Douala"/>
    <s v="ZTE"/>
    <n v="0"/>
    <n v="0"/>
    <n v="0"/>
    <n v="0"/>
    <n v="0"/>
    <n v="0"/>
    <n v="0"/>
    <n v="0"/>
    <n v="0"/>
    <n v="0"/>
    <n v="0"/>
    <n v="0"/>
    <n v="0"/>
    <n v="0"/>
    <n v="0"/>
    <n v="0"/>
    <n v="0"/>
    <n v="0"/>
    <n v="0"/>
    <n v="0"/>
    <m/>
    <n v="0"/>
    <n v="0"/>
    <n v="0"/>
    <m/>
    <n v="0"/>
    <m/>
    <n v="0"/>
    <m/>
    <n v="0.01344764905131668"/>
    <m/>
    <m/>
    <n v="0.1651171550624516"/>
    <n v="1.632123686981535"/>
    <n v="0"/>
    <n v="0"/>
    <m/>
    <n v="0"/>
    <n v="0"/>
    <n v="0"/>
    <n v="0"/>
    <n v="0"/>
    <x v="0"/>
    <m/>
    <x v="2"/>
    <x v="1"/>
    <s v="no root cause"/>
    <x v="1"/>
    <s v=""/>
  </r>
  <r>
    <s v="Ndogpassi-Crf-Lotus-MTN"/>
    <s v="LIT_683"/>
    <s v="Douala"/>
    <s v="MTN sharing"/>
    <s v="MTN sharing"/>
    <s v="LITTORAL"/>
    <s v="Douala"/>
    <s v="ZTE"/>
    <n v="0"/>
    <n v="4.337651562495541"/>
    <n v="0"/>
    <n v="0"/>
    <n v="0"/>
    <n v="0"/>
    <n v="0"/>
    <n v="0"/>
    <n v="0"/>
    <n v="0"/>
    <n v="0"/>
    <n v="0"/>
    <n v="0"/>
    <n v="0"/>
    <n v="0"/>
    <n v="0"/>
    <n v="0"/>
    <n v="0"/>
    <n v="0"/>
    <n v="0"/>
    <n v="0"/>
    <n v="0"/>
    <n v="0"/>
    <n v="0"/>
    <m/>
    <n v="0"/>
    <m/>
    <n v="0"/>
    <m/>
    <n v="0"/>
    <m/>
    <m/>
    <n v="0.6895397979071601"/>
    <n v="1.611791697699703"/>
    <n v="0"/>
    <n v="0"/>
    <m/>
    <n v="0"/>
    <n v="0"/>
    <n v="0"/>
    <n v="0"/>
    <n v="0"/>
    <x v="0"/>
    <m/>
    <x v="2"/>
    <x v="1"/>
    <s v="no root cause"/>
    <x v="1"/>
    <s v=""/>
  </r>
  <r>
    <s v="Bertoua-Mokolo"/>
    <s v="EST_060"/>
    <s v="CENTRE"/>
    <s v="IHS"/>
    <s v="Grid-Gen"/>
    <s v="EST"/>
    <s v="Bertoua"/>
    <s v="ZTE"/>
    <n v="0"/>
    <n v="0"/>
    <n v="0"/>
    <n v="0"/>
    <n v="0"/>
    <n v="0"/>
    <n v="0"/>
    <n v="0"/>
    <n v="0"/>
    <n v="0"/>
    <n v="0"/>
    <n v="0"/>
    <n v="0"/>
    <n v="0"/>
    <n v="0"/>
    <n v="0"/>
    <n v="0"/>
    <n v="0"/>
    <n v="0"/>
    <n v="0"/>
    <n v="0"/>
    <n v="0"/>
    <n v="0.07503217448128488"/>
    <n v="0.3970445135018676"/>
    <m/>
    <n v="0"/>
    <m/>
    <n v="0"/>
    <m/>
    <n v="0"/>
    <m/>
    <m/>
    <n v="0"/>
    <n v="1.548084797949966"/>
    <n v="0"/>
    <n v="0"/>
    <m/>
    <n v="0"/>
    <n v="0"/>
    <n v="0"/>
    <n v="0"/>
    <n v="0"/>
    <x v="0"/>
    <m/>
    <x v="2"/>
    <x v="1"/>
    <s v="no root cause"/>
    <x v="1"/>
    <s v=""/>
  </r>
  <r>
    <s v="EST_193_Z_Bertoua-Npoklota-Crf-ENIET"/>
    <s v="EST_193"/>
    <s v="CENTRE"/>
    <s v="ESCO"/>
    <s v="Bad Grid + Solar + GE"/>
    <s v="EST"/>
    <s v="Bertoua"/>
    <s v="ZTE"/>
    <n v="0"/>
    <n v="0"/>
    <n v="0"/>
    <n v="0"/>
    <n v="0"/>
    <n v="0"/>
    <n v="0"/>
    <n v="0"/>
    <n v="0"/>
    <n v="0"/>
    <n v="0"/>
    <n v="0"/>
    <n v="0"/>
    <n v="0"/>
    <n v="0"/>
    <n v="0"/>
    <n v="0"/>
    <n v="0"/>
    <n v="0"/>
    <n v="0"/>
    <n v="0"/>
    <n v="0"/>
    <n v="0.06648917196725207"/>
    <n v="0.394529767459115"/>
    <m/>
    <n v="0"/>
    <m/>
    <n v="0"/>
    <m/>
    <n v="0.6056792596587655"/>
    <m/>
    <m/>
    <n v="0"/>
    <n v="1.538953237851458"/>
    <n v="0"/>
    <n v="0"/>
    <m/>
    <n v="0"/>
    <n v="0"/>
    <n v="0"/>
    <n v="0"/>
    <n v="0"/>
    <x v="0"/>
    <m/>
    <x v="2"/>
    <x v="1"/>
    <s v="no root cause"/>
    <x v="1"/>
    <s v=""/>
  </r>
  <r>
    <s v="Nyalla"/>
    <s v="LIT_059"/>
    <s v="Douala"/>
    <s v="IHS"/>
    <s v="Grid-Gen"/>
    <s v="LITTORAL"/>
    <s v="Douala"/>
    <s v="ZTE"/>
    <n v="0.1290724617829945"/>
    <n v="0"/>
    <n v="0"/>
    <n v="0"/>
    <n v="0"/>
    <n v="0"/>
    <n v="0"/>
    <n v="0"/>
    <n v="0"/>
    <n v="0"/>
    <n v="0"/>
    <n v="0"/>
    <n v="0"/>
    <n v="0.002425570651165823"/>
    <n v="0"/>
    <n v="0"/>
    <n v="4.705874589436501"/>
    <n v="0"/>
    <n v="0"/>
    <n v="0"/>
    <n v="0"/>
    <n v="0"/>
    <n v="0"/>
    <n v="0.177334183709868"/>
    <m/>
    <n v="0"/>
    <m/>
    <n v="0"/>
    <m/>
    <n v="0"/>
    <m/>
    <m/>
    <n v="0.1133597577853686"/>
    <n v="1.502748028867145"/>
    <n v="0"/>
    <n v="0"/>
    <m/>
    <n v="0"/>
    <n v="0"/>
    <n v="0"/>
    <n v="0"/>
    <n v="0"/>
    <x v="0"/>
    <m/>
    <x v="2"/>
    <x v="1"/>
    <s v="no root cause"/>
    <x v="1"/>
    <s v=""/>
  </r>
  <r>
    <s v="Japoma-Village"/>
    <s v="LIT_254"/>
    <s v="Douala"/>
    <s v="IHS"/>
    <s v="Grid-Gen"/>
    <s v="LITTORAL"/>
    <s v="Douala"/>
    <s v="ZTE"/>
    <n v="0"/>
    <n v="0.1380435061766447"/>
    <n v="0"/>
    <n v="0"/>
    <n v="0"/>
    <n v="0"/>
    <n v="39.39347892464465"/>
    <n v="0"/>
    <n v="0"/>
    <n v="0"/>
    <n v="0"/>
    <n v="0"/>
    <n v="0"/>
    <n v="0"/>
    <n v="0"/>
    <n v="0"/>
    <n v="0"/>
    <n v="0"/>
    <n v="0"/>
    <n v="0"/>
    <n v="0"/>
    <n v="0"/>
    <n v="0"/>
    <n v="0"/>
    <m/>
    <n v="0"/>
    <m/>
    <n v="0"/>
    <m/>
    <n v="0"/>
    <m/>
    <m/>
    <n v="0.005029492085505645"/>
    <n v="1.126927258562977"/>
    <n v="0"/>
    <n v="0"/>
    <m/>
    <n v="0"/>
    <n v="0"/>
    <n v="0"/>
    <n v="0"/>
    <n v="0"/>
    <x v="0"/>
    <m/>
    <x v="2"/>
    <x v="1"/>
    <s v="no root cause"/>
    <x v="1"/>
    <s v=""/>
  </r>
  <r>
    <s v="Bertoua-Lycee-Technique"/>
    <s v="EST_131"/>
    <s v="CENTRE"/>
    <s v="CAMUSAT"/>
    <s v="Bad Grid + GE"/>
    <s v="EST"/>
    <s v="Bertoua"/>
    <s v="ZTE"/>
    <n v="0"/>
    <n v="0"/>
    <n v="0"/>
    <n v="0"/>
    <n v="0"/>
    <n v="0"/>
    <n v="0"/>
    <n v="0"/>
    <n v="0"/>
    <n v="0.05165038680717864"/>
    <n v="0"/>
    <n v="4.484862298927326"/>
    <n v="0"/>
    <n v="0"/>
    <n v="0"/>
    <n v="0"/>
    <n v="0"/>
    <n v="0"/>
    <n v="0"/>
    <n v="0"/>
    <n v="0"/>
    <n v="0.3453584565380544"/>
    <n v="2.91357406408643"/>
    <n v="0.01706816994974812"/>
    <m/>
    <n v="0"/>
    <m/>
    <n v="0"/>
    <m/>
    <n v="0"/>
    <m/>
    <m/>
    <n v="3.263979847788305"/>
    <n v="1.082410903082758"/>
    <n v="0"/>
    <n v="0"/>
    <m/>
    <n v="0"/>
    <n v="0"/>
    <n v="0"/>
    <n v="0"/>
    <n v="0"/>
    <x v="0"/>
    <m/>
    <x v="2"/>
    <x v="1"/>
    <s v="no root cause"/>
    <x v="1"/>
    <s v=""/>
  </r>
  <r>
    <s v="Maroua-Douggoy"/>
    <s v="EXN_016"/>
    <s v="Maroua"/>
    <s v="IHS"/>
    <s v="Grid-Gen"/>
    <s v="EXTREME-NORD"/>
    <s v="Maroua"/>
    <s v="Huawei"/>
    <n v="0.1633693173873465"/>
    <n v="0.7598100064777005"/>
    <n v="0"/>
    <n v="0"/>
    <n v="0"/>
    <n v="0"/>
    <n v="0"/>
    <n v="0"/>
    <n v="0"/>
    <n v="0"/>
    <n v="0"/>
    <n v="0"/>
    <n v="0"/>
    <n v="0"/>
    <n v="0"/>
    <n v="0"/>
    <n v="0"/>
    <n v="0"/>
    <n v="0"/>
    <n v="0"/>
    <n v="0"/>
    <n v="0.6683160547094594"/>
    <n v="0"/>
    <n v="0.4707568921876649"/>
    <m/>
    <n v="0"/>
    <m/>
    <n v="0"/>
    <m/>
    <n v="0"/>
    <m/>
    <m/>
    <n v="0"/>
    <n v="0.9819994121558187"/>
    <n v="0"/>
    <n v="0"/>
    <m/>
    <n v="0"/>
    <n v="0"/>
    <n v="0"/>
    <n v="0"/>
    <n v="0"/>
    <x v="0"/>
    <m/>
    <x v="5"/>
    <x v="2"/>
    <s v="ODU HS"/>
    <x v="2"/>
    <s v="{05-25-2026   groupe whatsapp   incident}:   FME sur EXN_016_MAROUA-DOUGGOY pour vérifier la chaine antennaire de l'ODU 3.1 sur le 10G_MPR_MAROUA-DOUGGOY_1; CM-20260525-00005737; FME Sadjo activé pour investigations, update ASAP"/>
  </r>
  <r>
    <s v="Logbaba-SONEL"/>
    <s v="LIT_342"/>
    <s v="Douala"/>
    <s v="IHS"/>
    <s v="Grid-GenLithium"/>
    <s v="LITTORAL"/>
    <s v="Douala"/>
    <s v="ZTE"/>
    <n v="0"/>
    <n v="0"/>
    <n v="0"/>
    <n v="0"/>
    <n v="0"/>
    <n v="0"/>
    <n v="0"/>
    <n v="0"/>
    <n v="0"/>
    <n v="0"/>
    <n v="0"/>
    <n v="0"/>
    <n v="0"/>
    <n v="0.001498146578661148"/>
    <n v="0"/>
    <n v="0"/>
    <n v="0"/>
    <n v="0"/>
    <n v="0"/>
    <n v="0"/>
    <n v="0"/>
    <n v="0.0101124894059635"/>
    <n v="0"/>
    <n v="0"/>
    <m/>
    <n v="0"/>
    <m/>
    <n v="0"/>
    <m/>
    <n v="0"/>
    <m/>
    <m/>
    <n v="0.3113826323434149"/>
    <n v="0.9062538345418383"/>
    <n v="0"/>
    <n v="0"/>
    <m/>
    <n v="0"/>
    <n v="0"/>
    <n v="0"/>
    <n v="0"/>
    <n v="0"/>
    <x v="0"/>
    <m/>
    <x v="2"/>
    <x v="1"/>
    <s v="no root cause"/>
    <x v="1"/>
    <s v=""/>
  </r>
  <r>
    <s v="Tikondi-MTN"/>
    <s v="EST_040"/>
    <s v="CENTRE"/>
    <s v="IHS"/>
    <s v="Grid-Gen"/>
    <s v="EST"/>
    <s v="Tikondi"/>
    <s v="NOKIA"/>
    <n v="0"/>
    <n v="2.460705755451113"/>
    <n v="6.163339354455774"/>
    <n v="6.163392859690725"/>
    <n v="6.163357189534091"/>
    <n v="3.476311074656496"/>
    <n v="0"/>
    <n v="0"/>
    <n v="0"/>
    <n v="0.0139291961658863"/>
    <n v="0"/>
    <n v="0"/>
    <n v="0"/>
    <n v="0"/>
    <n v="0"/>
    <n v="0"/>
    <n v="0"/>
    <n v="0"/>
    <n v="0"/>
    <n v="0"/>
    <n v="0"/>
    <n v="0.2759621668050669"/>
    <n v="0"/>
    <n v="0"/>
    <m/>
    <n v="0"/>
    <m/>
    <n v="0"/>
    <m/>
    <n v="0"/>
    <m/>
    <m/>
    <n v="0"/>
    <n v="0.842885801280131"/>
    <n v="0"/>
    <n v="0"/>
    <m/>
    <n v="0"/>
    <n v="0"/>
    <n v="0"/>
    <n v="0"/>
    <n v="0"/>
    <x v="0"/>
    <m/>
    <x v="2"/>
    <x v="1"/>
    <s v="no root cause"/>
    <x v="1"/>
    <s v=""/>
  </r>
  <r>
    <s v="Bonamatoumbe-II"/>
    <s v="LIT_364"/>
    <s v="Douala"/>
    <s v="IHS"/>
    <s v="Grid-Gen"/>
    <s v="LITTORAL"/>
    <s v="Douala"/>
    <s v="ZTE"/>
    <n v="0"/>
    <n v="0"/>
    <n v="0"/>
    <n v="0"/>
    <n v="0.001587321970248236"/>
    <n v="2.808257926622207"/>
    <n v="0"/>
    <n v="0"/>
    <n v="0"/>
    <n v="0"/>
    <n v="0"/>
    <n v="0"/>
    <n v="0"/>
    <n v="0"/>
    <n v="0"/>
    <n v="7.803560166993406"/>
    <n v="0"/>
    <n v="0"/>
    <n v="0"/>
    <n v="0"/>
    <n v="0"/>
    <n v="0"/>
    <n v="1.590764140363494"/>
    <n v="0"/>
    <m/>
    <n v="0"/>
    <m/>
    <n v="0"/>
    <m/>
    <n v="0"/>
    <m/>
    <m/>
    <n v="0.6004535817117682"/>
    <n v="0.8222327805885861"/>
    <n v="0"/>
    <n v="0"/>
    <m/>
    <n v="0"/>
    <n v="0"/>
    <n v="0"/>
    <n v="0"/>
    <n v="0"/>
    <x v="0"/>
    <m/>
    <x v="2"/>
    <x v="1"/>
    <s v="no root cause"/>
    <x v="1"/>
    <s v=""/>
  </r>
  <r>
    <s v="Ndogp-Ecole-Publique"/>
    <s v="LIT_693"/>
    <s v="Douala"/>
    <s v="CAMUSAT"/>
    <s v="Good Grid no GE - 8h"/>
    <s v="LITTORAL"/>
    <s v="Douala"/>
    <s v="ZTE"/>
    <n v="0"/>
    <n v="0"/>
    <n v="0"/>
    <n v="10.2113492450768"/>
    <n v="0"/>
    <n v="0"/>
    <n v="0"/>
    <n v="0"/>
    <n v="0"/>
    <n v="0"/>
    <n v="0"/>
    <n v="0"/>
    <n v="0"/>
    <n v="0"/>
    <n v="0"/>
    <n v="0"/>
    <n v="0"/>
    <n v="0"/>
    <n v="0"/>
    <n v="0"/>
    <n v="0"/>
    <n v="0"/>
    <n v="0"/>
    <n v="0"/>
    <m/>
    <n v="0"/>
    <m/>
    <n v="0"/>
    <m/>
    <n v="0"/>
    <m/>
    <m/>
    <n v="0.4046779270217132"/>
    <n v="0.7386754386715856"/>
    <n v="0"/>
    <n v="0"/>
    <m/>
    <n v="0"/>
    <n v="0"/>
    <n v="0"/>
    <n v="0"/>
    <n v="0"/>
    <x v="0"/>
    <m/>
    <x v="2"/>
    <x v="1"/>
    <s v="no root cause"/>
    <x v="1"/>
    <s v=""/>
  </r>
  <r>
    <s v="Ngodi-Cimetiere"/>
    <s v="LIT_411"/>
    <s v="Douala"/>
    <s v="IHS"/>
    <s v="Grid-Lithium"/>
    <s v="LITTORAL"/>
    <s v="Douala"/>
    <s v="ZTE"/>
    <n v="0"/>
    <n v="0"/>
    <n v="0"/>
    <n v="0"/>
    <n v="0"/>
    <n v="0"/>
    <n v="0"/>
    <n v="3.051778085967932"/>
    <n v="16.23789354883815"/>
    <n v="0.3877702727768219"/>
    <n v="0.3322853441314024"/>
    <n v="0"/>
    <n v="0"/>
    <n v="0"/>
    <n v="0.8145815319904236"/>
    <n v="0.9764170326424736"/>
    <n v="0.6578646988154653"/>
    <n v="0"/>
    <n v="0.3616775531984714"/>
    <n v="2.117451838154512"/>
    <n v="0"/>
    <n v="0"/>
    <n v="0"/>
    <n v="0"/>
    <m/>
    <n v="0"/>
    <m/>
    <n v="0"/>
    <m/>
    <n v="0.7360358470806112"/>
    <m/>
    <m/>
    <n v="0.4956546615187497"/>
    <n v="0.7381760564786997"/>
    <n v="0"/>
    <n v="0"/>
    <m/>
    <n v="0"/>
    <n v="0"/>
    <n v="0"/>
    <n v="0"/>
    <n v="0"/>
    <x v="0"/>
    <m/>
    <x v="2"/>
    <x v="1"/>
    <s v="no root cause"/>
    <x v="1"/>
    <s v=""/>
  </r>
  <r>
    <s v="Bfsam-Akwa"/>
    <s v="OST_109"/>
    <s v="Bafoussam"/>
    <s v="IHS"/>
    <s v="GridOnly"/>
    <s v="OUEST"/>
    <s v="Bafoussam"/>
    <s v="Huawei"/>
    <n v="3.383082500791877"/>
    <n v="2.097155519029315"/>
    <n v="0"/>
    <n v="0"/>
    <n v="0"/>
    <n v="0"/>
    <n v="0"/>
    <n v="0"/>
    <n v="0"/>
    <n v="0"/>
    <n v="0"/>
    <n v="0"/>
    <n v="0"/>
    <n v="0"/>
    <n v="0"/>
    <n v="0"/>
    <n v="0"/>
    <n v="0"/>
    <n v="0"/>
    <n v="8.917539158697954e-05"/>
    <n v="0"/>
    <n v="0"/>
    <n v="0"/>
    <n v="16.13616226211573"/>
    <m/>
    <n v="0"/>
    <m/>
    <n v="0"/>
    <m/>
    <n v="0"/>
    <m/>
    <m/>
    <n v="0"/>
    <n v="0.7258698524396962"/>
    <n v="0"/>
    <n v="0"/>
    <m/>
    <n v="0"/>
    <n v="0"/>
    <n v="0"/>
    <n v="0"/>
    <n v="0"/>
    <x v="0"/>
    <m/>
    <x v="2"/>
    <x v="1"/>
    <s v="no root cause"/>
    <x v="1"/>
    <s v=""/>
  </r>
  <r>
    <s v="Nyalla-Pariso"/>
    <s v="LIT_179"/>
    <s v="Douala"/>
    <s v="IHS"/>
    <s v="Grid-Gen"/>
    <s v="LITTORAL"/>
    <s v="Douala"/>
    <s v="ZTE"/>
    <n v="0"/>
    <n v="0"/>
    <n v="0"/>
    <n v="0"/>
    <n v="0"/>
    <n v="8.407170557567351"/>
    <n v="0"/>
    <n v="0"/>
    <n v="0"/>
    <n v="0"/>
    <n v="0"/>
    <n v="0"/>
    <n v="0"/>
    <n v="0.002086704163135305"/>
    <n v="0"/>
    <n v="0"/>
    <n v="0"/>
    <n v="0"/>
    <n v="0"/>
    <n v="0"/>
    <n v="0"/>
    <n v="0"/>
    <n v="0"/>
    <n v="0"/>
    <m/>
    <n v="0"/>
    <m/>
    <n v="0"/>
    <m/>
    <n v="0"/>
    <m/>
    <m/>
    <n v="0.03313757551372134"/>
    <n v="0.7038792008743467"/>
    <n v="0"/>
    <n v="0"/>
    <m/>
    <n v="0"/>
    <n v="0"/>
    <n v="0"/>
    <n v="0"/>
    <n v="0"/>
    <x v="0"/>
    <m/>
    <x v="2"/>
    <x v="1"/>
    <s v="no root cause"/>
    <x v="1"/>
    <s v=""/>
  </r>
  <r>
    <s v="OST_347_H_Bfsam-Baleng-Lycee"/>
    <s v="OST_347"/>
    <s v=""/>
    <s v="ESCO"/>
    <s v="Hybrid Solar - S1"/>
    <s v="OST"/>
    <s v="Bafoussam"/>
    <s v="Huawei"/>
    <n v="0"/>
    <n v="0"/>
    <n v="0"/>
    <n v="0"/>
    <n v="0"/>
    <n v="0"/>
    <n v="0"/>
    <n v="0"/>
    <n v="0"/>
    <n v="0"/>
    <n v="0"/>
    <n v="0"/>
    <n v="0"/>
    <s v=""/>
    <n v="0"/>
    <n v="0"/>
    <n v="0"/>
    <n v="0"/>
    <n v="0"/>
    <n v="0"/>
    <n v="0"/>
    <n v="0"/>
    <n v="0"/>
    <n v="0"/>
    <m/>
    <n v="0"/>
    <m/>
    <n v="0"/>
    <m/>
    <n v="0"/>
    <m/>
    <m/>
    <n v="3.994593831060431"/>
    <n v="0.3056040669685789"/>
    <n v="0"/>
    <n v="0"/>
    <m/>
    <n v="0"/>
    <n v="0"/>
    <n v="0"/>
    <n v="0"/>
    <n v="0"/>
    <x v="0"/>
    <m/>
    <x v="2"/>
    <x v="1"/>
    <s v="no root cause"/>
    <x v="1"/>
    <s v=""/>
  </r>
  <r>
    <s v="Bertoua-Crtv"/>
    <s v="EST_004"/>
    <s v="CENTRE"/>
    <s v="CAMUSAT"/>
    <s v="Good Grid + GE"/>
    <s v="EST"/>
    <s v="Bertoua"/>
    <s v="ZTE"/>
    <n v="0"/>
    <n v="0"/>
    <n v="0"/>
    <n v="0"/>
    <n v="0"/>
    <n v="0"/>
    <n v="0"/>
    <n v="0"/>
    <n v="0"/>
    <n v="0.004761965910744707"/>
    <n v="0"/>
    <n v="0"/>
    <n v="0"/>
    <n v="0"/>
    <n v="0"/>
    <n v="0"/>
    <n v="0"/>
    <n v="0"/>
    <n v="0"/>
    <n v="0"/>
    <n v="0"/>
    <n v="0"/>
    <n v="0.06277947567723342"/>
    <n v="0.003263819332082776"/>
    <m/>
    <n v="0"/>
    <m/>
    <n v="0"/>
    <m/>
    <n v="0"/>
    <m/>
    <m/>
    <n v="0"/>
    <n v="0.2483891357263722"/>
    <n v="0"/>
    <n v="0"/>
    <m/>
    <n v="0"/>
    <n v="0"/>
    <n v="0"/>
    <n v="0"/>
    <n v="0"/>
    <x v="0"/>
    <m/>
    <x v="2"/>
    <x v="1"/>
    <s v="no root cause"/>
    <x v="1"/>
    <s v=""/>
  </r>
  <r>
    <s v="Lendi-Chefferie"/>
    <s v="LIT_774"/>
    <s v="Douala"/>
    <s v="CAMUSAT"/>
    <s v="Good Grid + GE"/>
    <s v="LITTORAL"/>
    <s v="Douala"/>
    <s v="ZTE"/>
    <n v="1.769007913067548"/>
    <n v="0"/>
    <n v="0"/>
    <n v="0"/>
    <n v="0"/>
    <n v="0"/>
    <n v="0"/>
    <n v="4.29004973846641"/>
    <n v="56.48533385839804"/>
    <n v="29.79822462496397"/>
    <n v="0"/>
    <n v="0"/>
    <n v="0"/>
    <n v="0"/>
    <n v="0"/>
    <n v="0"/>
    <n v="0"/>
    <n v="0"/>
    <n v="0"/>
    <n v="8.654792784926075"/>
    <n v="2.158419013049567"/>
    <n v="0"/>
    <n v="0"/>
    <n v="0"/>
    <m/>
    <n v="0"/>
    <m/>
    <n v="0"/>
    <m/>
    <n v="3.340296147908444"/>
    <m/>
    <m/>
    <n v="1.139679339559916"/>
    <n v="0.2029631912519656"/>
    <n v="0"/>
    <n v="0"/>
    <m/>
    <n v="0"/>
    <n v="0"/>
    <n v="0"/>
    <n v="0"/>
    <n v="0"/>
    <x v="0"/>
    <m/>
    <x v="2"/>
    <x v="1"/>
    <s v="no root cause"/>
    <x v="1"/>
    <s v=""/>
  </r>
  <r>
    <s v="Kiiki"/>
    <s v="CTR_190"/>
    <s v="CENTRE"/>
    <s v="IHS"/>
    <s v="Grid-Gen"/>
    <s v="CENTRE"/>
    <s v="Kiiki"/>
    <s v="NOKIA"/>
    <n v="0"/>
    <n v="0"/>
    <n v="0"/>
    <n v="0"/>
    <n v="0"/>
    <n v="0"/>
    <n v="0"/>
    <n v="0.0668515973403796"/>
    <n v="0"/>
    <n v="0"/>
    <n v="0"/>
    <n v="0"/>
    <n v="0"/>
    <n v="0"/>
    <n v="0"/>
    <n v="0"/>
    <n v="0"/>
    <n v="0"/>
    <n v="0.006723824525658296"/>
    <n v="0"/>
    <n v="0"/>
    <n v="0"/>
    <n v="0"/>
    <n v="0"/>
    <m/>
    <n v="0"/>
    <m/>
    <n v="0"/>
    <m/>
    <n v="0"/>
    <m/>
    <m/>
    <n v="0"/>
    <n v="0.1756576863480324"/>
    <n v="0"/>
    <n v="0"/>
    <m/>
    <n v="0"/>
    <n v="0"/>
    <n v="0"/>
    <n v="0"/>
    <n v="0"/>
    <x v="0"/>
    <m/>
    <x v="2"/>
    <x v="1"/>
    <s v="no root cause"/>
    <x v="1"/>
    <s v=""/>
  </r>
  <r>
    <s v="Nkwein-Clinic-St-Louis-MTN"/>
    <s v="NRO_244"/>
    <s v="NORD-OUEST"/>
    <s v="IHS"/>
    <s v="Grid-Gen"/>
    <s v="NORD-OUEST"/>
    <s v="Bamenda"/>
    <s v="Huawei"/>
    <n v="0"/>
    <n v="0"/>
    <n v="0"/>
    <n v="0"/>
    <n v="0"/>
    <n v="0"/>
    <n v="0"/>
    <n v="0"/>
    <n v="0"/>
    <n v="0"/>
    <n v="0.004547944970935957"/>
    <n v="0"/>
    <n v="0"/>
    <n v="0"/>
    <n v="0"/>
    <n v="0"/>
    <n v="0"/>
    <n v="0.6015593565674465"/>
    <n v="8.917539158697954e-05"/>
    <n v="0"/>
    <n v="0.0621883120151568"/>
    <n v="0"/>
    <n v="0"/>
    <n v="0"/>
    <m/>
    <n v="0"/>
    <m/>
    <n v="0"/>
    <m/>
    <n v="0.1492617704382863"/>
    <m/>
    <m/>
    <n v="2.223106842106765"/>
    <n v="0.1645464325562946"/>
    <n v="0"/>
    <n v="0"/>
    <m/>
    <n v="0"/>
    <n v="0"/>
    <n v="0"/>
    <n v="0"/>
    <n v="0"/>
    <x v="0"/>
    <m/>
    <x v="2"/>
    <x v="1"/>
    <s v="no root cause"/>
    <x v="1"/>
    <s v=""/>
  </r>
  <r>
    <s v="EST_001_Z_Bertoua"/>
    <s v="EST_001"/>
    <s v="CENTRE"/>
    <s v="OCM"/>
    <s v="Grid Gen"/>
    <s v="EST"/>
    <s v="Bertoua"/>
    <s v="ZTE"/>
    <n v="0"/>
    <n v="0"/>
    <n v="0"/>
    <n v="0"/>
    <n v="0"/>
    <n v="0"/>
    <n v="0"/>
    <n v="0"/>
    <n v="0"/>
    <n v="0"/>
    <n v="0"/>
    <n v="0"/>
    <n v="0"/>
    <n v="0"/>
    <n v="0"/>
    <n v="0"/>
    <n v="0"/>
    <n v="0"/>
    <n v="0"/>
    <n v="0"/>
    <n v="0.5262239857547661"/>
    <n v="0"/>
    <n v="0.09040601199087998"/>
    <n v="0"/>
    <m/>
    <n v="9.75232783442199"/>
    <m/>
    <n v="0"/>
    <m/>
    <n v="0"/>
    <m/>
    <m/>
    <n v="0"/>
    <n v="0.151366309679739"/>
    <n v="0"/>
    <n v="0"/>
    <m/>
    <n v="0"/>
    <n v="0"/>
    <n v="0"/>
    <n v="0"/>
    <n v="0"/>
    <x v="0"/>
    <m/>
    <x v="2"/>
    <x v="1"/>
    <s v="no root cause"/>
    <x v="1"/>
    <s v=""/>
  </r>
  <r>
    <s v="Camatrans-New"/>
    <s v="LIT_311"/>
    <s v="Douala"/>
    <s v="IHS"/>
    <s v="Grid-Gen"/>
    <s v="LITTORAL"/>
    <s v="Douala"/>
    <s v="ZTE"/>
    <n v="0"/>
    <n v="0"/>
    <n v="0"/>
    <n v="0"/>
    <n v="0"/>
    <n v="0"/>
    <n v="0"/>
    <n v="0"/>
    <n v="0"/>
    <n v="0"/>
    <n v="0"/>
    <n v="0"/>
    <n v="0"/>
    <n v="0"/>
    <n v="0"/>
    <n v="0"/>
    <n v="0"/>
    <n v="0"/>
    <n v="0"/>
    <n v="0.1634049875439814"/>
    <n v="0.01141445012313338"/>
    <n v="0"/>
    <n v="0"/>
    <n v="0"/>
    <m/>
    <n v="0"/>
    <m/>
    <n v="0"/>
    <m/>
    <n v="0"/>
    <m/>
    <m/>
    <n v="0"/>
    <n v="0.1480668201910206"/>
    <n v="0"/>
    <n v="0"/>
    <m/>
    <n v="0"/>
    <n v="0"/>
    <n v="0"/>
    <n v="0"/>
    <n v="0"/>
    <x v="0"/>
    <m/>
    <x v="2"/>
    <x v="1"/>
    <s v="no root cause"/>
    <x v="1"/>
    <s v=""/>
  </r>
  <r>
    <s v="Pingo-PK10-IHS-New"/>
    <s v="LIT_562"/>
    <s v="Douala"/>
    <s v="IHS"/>
    <s v="Grid-Gen"/>
    <s v="LITTORAL"/>
    <s v="Douala"/>
    <s v="ZTE"/>
    <n v="0"/>
    <n v="0"/>
    <n v="0"/>
    <n v="0"/>
    <n v="0"/>
    <n v="0"/>
    <n v="0"/>
    <n v="0"/>
    <n v="0"/>
    <n v="0"/>
    <n v="5.106539623836796"/>
    <n v="0"/>
    <n v="0"/>
    <n v="0"/>
    <n v="0"/>
    <n v="0"/>
    <n v="0"/>
    <n v="0"/>
    <n v="2.672104938747207"/>
    <n v="0"/>
    <n v="8.917539158697954e-05"/>
    <n v="0"/>
    <n v="0"/>
    <n v="0"/>
    <m/>
    <n v="0"/>
    <m/>
    <n v="0"/>
    <m/>
    <n v="0"/>
    <m/>
    <m/>
    <n v="0"/>
    <n v="0.1409862940990141"/>
    <n v="0"/>
    <n v="0"/>
    <m/>
    <n v="0"/>
    <n v="0"/>
    <n v="0"/>
    <n v="0"/>
    <n v="0"/>
    <x v="0"/>
    <m/>
    <x v="2"/>
    <x v="1"/>
    <s v="no root cause"/>
    <x v="1"/>
    <s v=""/>
  </r>
  <r>
    <s v="Bfsam-Eveche-Carrefour"/>
    <s v="OST_066"/>
    <s v="Bafoussam"/>
    <s v="IHS"/>
    <s v="Grid-Gen"/>
    <s v="OUEST"/>
    <s v="Bafoussam"/>
    <s v="Huawei"/>
    <n v="0"/>
    <n v="0"/>
    <n v="0"/>
    <n v="0"/>
    <n v="0"/>
    <n v="0"/>
    <n v="0"/>
    <n v="0"/>
    <n v="0"/>
    <n v="0"/>
    <n v="0"/>
    <n v="0"/>
    <n v="0"/>
    <n v="0"/>
    <n v="0"/>
    <n v="0"/>
    <n v="0"/>
    <n v="0"/>
    <n v="0"/>
    <n v="0"/>
    <m/>
    <n v="0"/>
    <n v="0"/>
    <n v="0"/>
    <m/>
    <n v="0"/>
    <m/>
    <n v="0"/>
    <m/>
    <n v="0"/>
    <m/>
    <m/>
    <n v="0"/>
    <n v="0.1298393701506422"/>
    <n v="0"/>
    <n v="0"/>
    <m/>
    <n v="0"/>
    <n v="0"/>
    <n v="0"/>
    <n v="0"/>
    <n v="0"/>
    <x v="0"/>
    <m/>
    <x v="2"/>
    <x v="1"/>
    <s v="no root cause"/>
    <x v="1"/>
    <s v=""/>
  </r>
  <r>
    <s v="Bfsam-Tamdja"/>
    <s v="OST_019"/>
    <s v="Bafoussam"/>
    <s v="CAMUSAT"/>
    <s v="Good Grid + GE"/>
    <s v="OUEST"/>
    <s v="Bafoussam"/>
    <s v="Huawei"/>
    <n v="12.35337782115269"/>
    <n v="11.80931875708053"/>
    <n v="11.63027240585219"/>
    <n v="13.1767698818319"/>
    <n v="6.979597383808031"/>
    <n v="9.144151663798786"/>
    <n v="7.810141310892524"/>
    <n v="8.500697708263775"/>
    <n v="9.705849620326852"/>
    <n v="7.995750970941665"/>
    <n v="8.331674671049814"/>
    <n v="6.462629803699994"/>
    <n v="0"/>
    <n v="0"/>
    <n v="0"/>
    <n v="0"/>
    <n v="0"/>
    <n v="0"/>
    <n v="0"/>
    <n v="0"/>
    <n v="10.0192119463635"/>
    <n v="0.0287679813259596"/>
    <n v="0"/>
    <n v="0"/>
    <m/>
    <n v="0"/>
    <m/>
    <n v="0"/>
    <m/>
    <n v="0"/>
    <m/>
    <m/>
    <n v="0"/>
    <n v="0.1213677079498792"/>
    <n v="0"/>
    <n v="0"/>
    <m/>
    <n v="0"/>
    <n v="0"/>
    <n v="0"/>
    <n v="0"/>
    <n v="0"/>
    <x v="0"/>
    <m/>
    <x v="2"/>
    <x v="1"/>
    <s v="no root cause"/>
    <x v="1"/>
    <s v=""/>
  </r>
  <r>
    <s v="Bfsam-Dienso"/>
    <s v="OST_120"/>
    <s v="Bafoussam"/>
    <s v="IHS"/>
    <s v="Grid-Gen (LL)"/>
    <s v="OUEST"/>
    <s v="Bafoussam"/>
    <s v="Huawei"/>
    <n v="0"/>
    <n v="0"/>
    <n v="0.9004039288537323"/>
    <n v="0"/>
    <n v="0"/>
    <n v="0"/>
    <n v="0"/>
    <n v="0"/>
    <n v="0"/>
    <n v="14.77295588600389"/>
    <n v="0"/>
    <n v="0"/>
    <n v="0"/>
    <n v="0"/>
    <n v="0"/>
    <n v="0.01608724064229111"/>
    <n v="0"/>
    <n v="0.1155713074967255"/>
    <n v="0"/>
    <n v="0"/>
    <n v="0"/>
    <n v="0"/>
    <n v="0"/>
    <n v="0"/>
    <m/>
    <n v="0"/>
    <m/>
    <n v="0"/>
    <m/>
    <n v="0"/>
    <m/>
    <m/>
    <n v="0"/>
    <n v="0.1151254305387906"/>
    <n v="0"/>
    <n v="0"/>
    <m/>
    <n v="0"/>
    <n v="0"/>
    <n v="0"/>
    <n v="0"/>
    <n v="0"/>
    <x v="0"/>
    <m/>
    <x v="2"/>
    <x v="1"/>
    <s v="no root cause"/>
    <x v="1"/>
    <s v=""/>
  </r>
  <r>
    <s v="Bfsam-Ndiandam"/>
    <s v="OST_119"/>
    <s v="Bafoussam"/>
    <s v="IHS"/>
    <s v="GridOnly"/>
    <s v="OUEST"/>
    <s v="Bafoussam"/>
    <s v="Huawei"/>
    <n v="0"/>
    <n v="0.03147891323020378"/>
    <n v="0"/>
    <n v="0"/>
    <n v="0"/>
    <n v="0"/>
    <n v="0"/>
    <n v="0"/>
    <n v="0"/>
    <n v="6.563308820801695"/>
    <n v="0"/>
    <n v="0"/>
    <n v="0"/>
    <n v="0"/>
    <n v="0"/>
    <n v="0.01738920135946101"/>
    <n v="0"/>
    <n v="0"/>
    <n v="0"/>
    <n v="0.01587321970248236"/>
    <n v="0"/>
    <n v="0.01553435321445183"/>
    <n v="0"/>
    <n v="0"/>
    <m/>
    <n v="0"/>
    <m/>
    <n v="0"/>
    <m/>
    <n v="0"/>
    <m/>
    <m/>
    <n v="0"/>
    <n v="0.1133240876287336"/>
    <n v="0"/>
    <n v="0"/>
    <m/>
    <n v="0"/>
    <n v="0"/>
    <n v="0"/>
    <n v="0"/>
    <n v="0"/>
    <x v="0"/>
    <m/>
    <x v="2"/>
    <x v="1"/>
    <s v="no root cause"/>
    <x v="1"/>
    <s v=""/>
  </r>
  <r>
    <s v="Bfsam-Ndiandam-School"/>
    <s v="OST_270"/>
    <s v="Bafoussam"/>
    <s v="CAMUSAT"/>
    <s v="Good Grid no GE - 8h"/>
    <s v="OUEST"/>
    <s v="Bafoussam"/>
    <s v="Huawei"/>
    <n v="12.45147075189836"/>
    <n v="17.21472078828192"/>
    <n v="6.556228294709689"/>
    <n v="0"/>
    <n v="0"/>
    <n v="0"/>
    <n v="0"/>
    <n v="0.2213333219188832"/>
    <n v="3.162605262632229"/>
    <n v="8.033989378854159"/>
    <n v="6.580501836299665"/>
    <n v="2.955593508602215"/>
    <n v="0"/>
    <n v="0"/>
    <n v="0"/>
    <n v="0.3027326193594782"/>
    <n v="0"/>
    <n v="0.459449452534436"/>
    <n v="0"/>
    <n v="0.2096513456209889"/>
    <n v="0.03830974822576649"/>
    <n v="0"/>
    <n v="0"/>
    <n v="0"/>
    <m/>
    <n v="0"/>
    <m/>
    <n v="0.4137916520419025"/>
    <m/>
    <n v="0"/>
    <m/>
    <m/>
    <n v="0"/>
    <n v="0.1129852211407031"/>
    <n v="0"/>
    <n v="0"/>
    <m/>
    <n v="0"/>
    <n v="0"/>
    <n v="0"/>
    <n v="0"/>
    <n v="0"/>
    <x v="0"/>
    <m/>
    <x v="2"/>
    <x v="1"/>
    <s v="no root cause"/>
    <x v="1"/>
    <s v=""/>
  </r>
  <r>
    <s v="Port-SUD"/>
    <s v="LIT_640"/>
    <s v="Douala"/>
    <s v="CAMUSAT"/>
    <s v="Good Grid + GE"/>
    <s v="LITTORAL"/>
    <s v="Douala"/>
    <s v="ZTE"/>
    <n v="0"/>
    <n v="0"/>
    <n v="0"/>
    <n v="0"/>
    <n v="0"/>
    <n v="0"/>
    <n v="0"/>
    <n v="0"/>
    <n v="0"/>
    <n v="0"/>
    <n v="0"/>
    <n v="0"/>
    <n v="0"/>
    <n v="0"/>
    <n v="0"/>
    <n v="3.214576680849122"/>
    <n v="0"/>
    <n v="0"/>
    <n v="0"/>
    <n v="0.1168375980572608"/>
    <n v="0"/>
    <n v="0"/>
    <n v="0"/>
    <n v="0"/>
    <m/>
    <n v="0"/>
    <m/>
    <n v="0"/>
    <m/>
    <n v="0"/>
    <m/>
    <m/>
    <n v="0"/>
    <n v="0.1052091269943182"/>
    <n v="0"/>
    <n v="0"/>
    <m/>
    <n v="0"/>
    <n v="0"/>
    <n v="0"/>
    <n v="0"/>
    <n v="0"/>
    <x v="0"/>
    <m/>
    <x v="2"/>
    <x v="1"/>
    <s v="no root cause"/>
    <x v="1"/>
    <s v=""/>
  </r>
  <r>
    <s v="Bfsam-Banengo"/>
    <s v="OST_003"/>
    <s v="Bafoussam"/>
    <s v="OCM/Strategique"/>
    <m/>
    <s v="OUEST"/>
    <s v="Bafoussam"/>
    <s v="Huawei"/>
    <n v="0"/>
    <n v="0"/>
    <n v="0"/>
    <n v="0"/>
    <n v="0"/>
    <n v="0"/>
    <n v="0"/>
    <n v="0"/>
    <n v="0"/>
    <n v="0"/>
    <n v="0"/>
    <n v="0"/>
    <n v="0"/>
    <n v="0"/>
    <n v="0"/>
    <n v="0"/>
    <n v="0"/>
    <n v="0"/>
    <n v="0"/>
    <n v="0"/>
    <m/>
    <n v="0"/>
    <n v="0"/>
    <n v="0"/>
    <m/>
    <n v="0"/>
    <m/>
    <n v="0"/>
    <m/>
    <n v="0"/>
    <m/>
    <m/>
    <n v="0"/>
    <n v="0.09185065333458892"/>
    <n v="0"/>
    <n v="0"/>
    <m/>
    <n v="0"/>
    <n v="0"/>
    <n v="0"/>
    <n v="0"/>
    <n v="0"/>
    <x v="0"/>
    <m/>
    <x v="2"/>
    <x v="1"/>
    <s v="no root cause"/>
    <x v="1"/>
    <s v=""/>
  </r>
  <r>
    <s v="Bfsam-Tyo-II"/>
    <s v="OST_232"/>
    <s v="Bafoussam"/>
    <s v="CAMUSAT"/>
    <s v="Good Grid + GE"/>
    <s v="OUEST"/>
    <s v="Bafoussam"/>
    <s v="Huawei"/>
    <n v="0"/>
    <n v="0"/>
    <n v="0"/>
    <n v="0"/>
    <n v="0"/>
    <n v="0"/>
    <n v="0"/>
    <n v="0"/>
    <n v="0"/>
    <n v="0"/>
    <n v="0.0002675261747609386"/>
    <n v="2.825433107041856"/>
    <n v="0"/>
    <n v="0"/>
    <n v="0"/>
    <n v="0"/>
    <n v="0"/>
    <n v="0"/>
    <n v="0"/>
    <n v="0"/>
    <n v="7.83621619539256"/>
    <n v="0"/>
    <n v="0"/>
    <n v="0"/>
    <m/>
    <n v="0"/>
    <m/>
    <n v="0"/>
    <m/>
    <n v="0"/>
    <m/>
    <m/>
    <n v="0"/>
    <n v="0.08428858012801306"/>
    <n v="0"/>
    <n v="0"/>
    <m/>
    <n v="0"/>
    <n v="0"/>
    <n v="0"/>
    <n v="0"/>
    <n v="0"/>
    <x v="0"/>
    <m/>
    <x v="2"/>
    <x v="1"/>
    <s v="no root cause"/>
    <x v="1"/>
    <s v=""/>
  </r>
  <r>
    <s v="Bfsam-Njinkwo"/>
    <s v="OST_076"/>
    <s v="Bafoussam"/>
    <s v="IHS"/>
    <s v="Grid-Gen"/>
    <s v="OUEST"/>
    <s v="Bafoussam"/>
    <s v="Huawei"/>
    <n v="0"/>
    <n v="0"/>
    <n v="0"/>
    <n v="0"/>
    <n v="0"/>
    <n v="0"/>
    <n v="0"/>
    <n v="0"/>
    <n v="0"/>
    <n v="0"/>
    <n v="0"/>
    <n v="0"/>
    <n v="0"/>
    <n v="0"/>
    <n v="0"/>
    <n v="0"/>
    <n v="0"/>
    <n v="0"/>
    <n v="0"/>
    <n v="0"/>
    <m/>
    <n v="0"/>
    <n v="0"/>
    <n v="0"/>
    <m/>
    <n v="0"/>
    <m/>
    <n v="0"/>
    <m/>
    <n v="0"/>
    <m/>
    <m/>
    <n v="0"/>
    <n v="0.08293311417589097"/>
    <n v="0"/>
    <n v="0"/>
    <m/>
    <n v="0"/>
    <n v="0"/>
    <n v="0"/>
    <n v="0"/>
    <n v="0"/>
    <x v="0"/>
    <m/>
    <x v="2"/>
    <x v="1"/>
    <s v="no root cause"/>
    <x v="1"/>
    <s v=""/>
  </r>
  <r>
    <s v="Bfsam-Tougang-EEC"/>
    <s v="OST_077"/>
    <s v="Bafoussam"/>
    <s v="IHS"/>
    <s v="Grid-Gen"/>
    <s v="OUEST"/>
    <s v="Bafoussam"/>
    <s v="Huawei"/>
    <n v="0"/>
    <n v="0"/>
    <n v="0"/>
    <n v="0"/>
    <n v="0"/>
    <n v="0"/>
    <n v="0"/>
    <n v="0"/>
    <n v="0"/>
    <n v="0"/>
    <n v="0"/>
    <n v="8.917539158697954e-05"/>
    <n v="0"/>
    <n v="0"/>
    <n v="0"/>
    <n v="0"/>
    <n v="0"/>
    <n v="0"/>
    <n v="0"/>
    <n v="0"/>
    <n v="0"/>
    <n v="0"/>
    <n v="0"/>
    <n v="0"/>
    <m/>
    <n v="0"/>
    <m/>
    <n v="0"/>
    <m/>
    <n v="0"/>
    <m/>
    <m/>
    <n v="0"/>
    <n v="0.07740423989749824"/>
    <n v="0"/>
    <n v="0"/>
    <m/>
    <n v="0"/>
    <n v="0"/>
    <n v="0"/>
    <n v="0"/>
    <n v="0"/>
    <x v="0"/>
    <m/>
    <x v="2"/>
    <x v="1"/>
    <s v="no root cause"/>
    <x v="1"/>
    <s v=""/>
  </r>
  <r>
    <s v="Bfsam-Centre"/>
    <s v="OST_078"/>
    <s v="Bafoussam"/>
    <s v="IHS"/>
    <s v="GridOnly"/>
    <s v="OUEST"/>
    <s v="Bafoussam"/>
    <s v="Huawei"/>
    <n v="0"/>
    <n v="0"/>
    <n v="0"/>
    <n v="0"/>
    <n v="0.004619285284205541"/>
    <n v="0"/>
    <n v="0"/>
    <n v="0"/>
    <n v="0"/>
    <n v="0"/>
    <n v="0"/>
    <n v="0"/>
    <n v="8.917539158697954e-05"/>
    <n v="0"/>
    <n v="0"/>
    <n v="0"/>
    <n v="0"/>
    <n v="0"/>
    <n v="0"/>
    <n v="0"/>
    <n v="0"/>
    <n v="0"/>
    <n v="0"/>
    <n v="0"/>
    <m/>
    <n v="0"/>
    <m/>
    <n v="0"/>
    <m/>
    <n v="0"/>
    <m/>
    <m/>
    <n v="0"/>
    <n v="0.07401557501719301"/>
    <n v="0"/>
    <n v="0"/>
    <m/>
    <n v="0"/>
    <n v="0"/>
    <n v="0"/>
    <n v="0"/>
    <n v="0"/>
    <x v="0"/>
    <m/>
    <x v="2"/>
    <x v="1"/>
    <s v="no root cause"/>
    <x v="1"/>
    <s v=""/>
  </r>
  <r>
    <s v="Base-Navale"/>
    <s v="LIT_347"/>
    <s v="Douala"/>
    <s v="IHS"/>
    <s v="Grid-Gen"/>
    <s v="LITTORAL"/>
    <s v="Douala"/>
    <s v="ZTE"/>
    <n v="0"/>
    <n v="0"/>
    <n v="0"/>
    <n v="0"/>
    <n v="0"/>
    <n v="0"/>
    <n v="0"/>
    <n v="0"/>
    <n v="0"/>
    <n v="0"/>
    <n v="0"/>
    <n v="0"/>
    <n v="0"/>
    <n v="0"/>
    <n v="0"/>
    <n v="0"/>
    <n v="0"/>
    <n v="0"/>
    <n v="0"/>
    <n v="0.07767176607225912"/>
    <n v="0"/>
    <n v="0"/>
    <n v="0"/>
    <n v="0"/>
    <m/>
    <n v="0"/>
    <m/>
    <n v="0"/>
    <m/>
    <n v="0"/>
    <m/>
    <m/>
    <n v="0"/>
    <n v="0.06975299129933539"/>
    <n v="0"/>
    <n v="0"/>
    <m/>
    <n v="0"/>
    <n v="0"/>
    <n v="0"/>
    <n v="0"/>
    <n v="0"/>
    <x v="0"/>
    <m/>
    <x v="2"/>
    <x v="1"/>
    <s v="no root cause"/>
    <x v="1"/>
    <s v=""/>
  </r>
  <r>
    <s v="Douroum-IHS"/>
    <s v="NRD_122"/>
    <s v="NORD"/>
    <s v="IHS"/>
    <s v="Grid-Gen"/>
    <s v="NORD"/>
    <s v="Douroum"/>
    <s v="NOKIA"/>
    <n v="0"/>
    <n v="0"/>
    <n v="0"/>
    <n v="0"/>
    <n v="0"/>
    <n v="0.001070166629983192"/>
    <n v="0"/>
    <n v="0"/>
    <n v="0"/>
    <n v="1.997322350721719"/>
    <n v="0"/>
    <n v="0"/>
    <n v="0.1437669640680442"/>
    <n v="0"/>
    <n v="0"/>
    <n v="0"/>
    <n v="0"/>
    <n v="0"/>
    <n v="0.03576140155193158"/>
    <n v="0"/>
    <n v="0"/>
    <n v="0.002586086356022412"/>
    <n v="0"/>
    <n v="0"/>
    <m/>
    <n v="0.03130237392700264"/>
    <m/>
    <n v="0"/>
    <m/>
    <n v="0"/>
    <m/>
    <m/>
    <n v="0.7054130176096427"/>
    <n v="0.05437915378973998"/>
    <n v="0"/>
    <n v="0"/>
    <m/>
    <n v="0"/>
    <n v="0"/>
    <n v="0"/>
    <n v="0"/>
    <n v="0"/>
    <x v="0"/>
    <m/>
    <x v="2"/>
    <x v="1"/>
    <s v="no root cause"/>
    <x v="1"/>
    <s v=""/>
  </r>
  <r>
    <s v="Bfsam-Marche-New"/>
    <s v="OST_223"/>
    <s v="Bafoussam"/>
    <s v="IHS"/>
    <s v="Grid-Gen"/>
    <s v="OUEST"/>
    <s v="Bafoussam"/>
    <s v="Huawei"/>
    <n v="0"/>
    <n v="0"/>
    <n v="0"/>
    <n v="0"/>
    <n v="0"/>
    <n v="0"/>
    <n v="0"/>
    <n v="0"/>
    <n v="0"/>
    <n v="0"/>
    <n v="0"/>
    <n v="0"/>
    <n v="0"/>
    <n v="0"/>
    <n v="0"/>
    <n v="0"/>
    <n v="0"/>
    <n v="0"/>
    <n v="0"/>
    <n v="0"/>
    <m/>
    <n v="0"/>
    <n v="0"/>
    <n v="0"/>
    <m/>
    <n v="0"/>
    <m/>
    <n v="0"/>
    <m/>
    <n v="0"/>
    <m/>
    <m/>
    <n v="0"/>
    <n v="0.05161471665054376"/>
    <n v="0"/>
    <n v="0"/>
    <m/>
    <n v="0"/>
    <n v="0"/>
    <n v="0"/>
    <n v="0"/>
    <n v="0"/>
    <x v="0"/>
    <m/>
    <x v="2"/>
    <x v="1"/>
    <s v="no root cause"/>
    <x v="1"/>
    <s v=""/>
  </r>
  <r>
    <s v="Bfsam-Stade"/>
    <s v="OST_110"/>
    <s v="Bafoussam"/>
    <s v="IHS"/>
    <s v="GridOnly"/>
    <s v="OUEST"/>
    <s v="Bafoussam"/>
    <s v="Huawei"/>
    <n v="0"/>
    <n v="0"/>
    <n v="0"/>
    <n v="0"/>
    <n v="0"/>
    <n v="0"/>
    <n v="0"/>
    <n v="0"/>
    <n v="0"/>
    <n v="0"/>
    <n v="0"/>
    <n v="0"/>
    <n v="0"/>
    <n v="0"/>
    <n v="0"/>
    <n v="0"/>
    <n v="0"/>
    <n v="0"/>
    <n v="0"/>
    <n v="0"/>
    <n v="0"/>
    <n v="0"/>
    <n v="0"/>
    <n v="0"/>
    <m/>
    <n v="0"/>
    <m/>
    <n v="0"/>
    <m/>
    <n v="0"/>
    <m/>
    <m/>
    <n v="0"/>
    <n v="0.0505624470298174"/>
    <n v="0"/>
    <n v="0"/>
    <m/>
    <n v="0"/>
    <n v="0"/>
    <n v="0"/>
    <n v="0"/>
    <n v="0"/>
    <x v="0"/>
    <m/>
    <x v="2"/>
    <x v="1"/>
    <s v="no root cause"/>
    <x v="1"/>
    <s v=""/>
  </r>
  <r>
    <s v="Bfsam-Tougang"/>
    <s v="OST_064"/>
    <s v="Bafoussam"/>
    <s v="IHS"/>
    <s v="Grid-Gen"/>
    <s v="OUEST"/>
    <s v="Bafoussam"/>
    <s v="Huawei"/>
    <n v="0"/>
    <n v="1.009750794017687"/>
    <n v="0.8563512854097645"/>
    <n v="0.8392474453033816"/>
    <n v="0"/>
    <n v="0"/>
    <n v="0"/>
    <n v="0"/>
    <n v="0"/>
    <n v="0"/>
    <n v="0"/>
    <n v="3.600064063601316"/>
    <n v="0"/>
    <n v="0"/>
    <n v="0"/>
    <n v="0"/>
    <n v="0"/>
    <n v="0"/>
    <n v="0"/>
    <n v="0"/>
    <n v="0"/>
    <n v="8.917539158697954e-05"/>
    <n v="0"/>
    <n v="0"/>
    <m/>
    <n v="0"/>
    <m/>
    <n v="0"/>
    <m/>
    <n v="0"/>
    <m/>
    <m/>
    <n v="0"/>
    <n v="0.04984904389712157"/>
    <n v="0"/>
    <n v="0"/>
    <m/>
    <n v="0"/>
    <n v="0"/>
    <n v="0"/>
    <n v="0"/>
    <n v="0"/>
    <x v="0"/>
    <m/>
    <x v="2"/>
    <x v="1"/>
    <s v="no root cause"/>
    <x v="1"/>
    <s v=""/>
  </r>
  <r>
    <s v="Bfsam-Tayim-IHS"/>
    <s v="OST_213"/>
    <s v="Bafoussam"/>
    <s v="IHS"/>
    <s v="Grid-Gen"/>
    <s v="OUEST"/>
    <s v="Bafoussam"/>
    <s v="Huawei"/>
    <n v="0"/>
    <n v="0"/>
    <n v="0"/>
    <n v="0"/>
    <n v="0"/>
    <n v="4.131674243007935"/>
    <n v="0"/>
    <n v="0"/>
    <n v="0"/>
    <n v="0"/>
    <n v="0"/>
    <n v="0"/>
    <n v="0"/>
    <n v="0"/>
    <n v="0"/>
    <n v="0"/>
    <n v="0"/>
    <n v="0"/>
    <n v="0"/>
    <n v="0"/>
    <n v="0"/>
    <n v="0"/>
    <n v="0"/>
    <n v="0"/>
    <m/>
    <n v="0"/>
    <m/>
    <n v="0"/>
    <m/>
    <n v="0"/>
    <m/>
    <m/>
    <n v="0"/>
    <n v="0.0496171878789954"/>
    <n v="0"/>
    <n v="0"/>
    <m/>
    <n v="0"/>
    <n v="0"/>
    <n v="0"/>
    <n v="0"/>
    <n v="0"/>
    <x v="0"/>
    <m/>
    <x v="2"/>
    <x v="1"/>
    <s v="no root cause"/>
    <x v="1"/>
    <s v=""/>
  </r>
  <r>
    <s v="Bfsam-Ndjinga"/>
    <s v="OST_075"/>
    <s v="Bafoussam"/>
    <s v="IHS"/>
    <s v="Grid-Gen"/>
    <s v="OUEST"/>
    <s v="Bafoussam"/>
    <s v="Huawei"/>
    <n v="0"/>
    <n v="0"/>
    <n v="0"/>
    <n v="0"/>
    <n v="0"/>
    <n v="0"/>
    <n v="7.44095518972243"/>
    <n v="18.43110879968496"/>
    <n v="18.47847876769596"/>
    <n v="18.49140919947608"/>
    <n v="29.69495952150626"/>
    <n v="2.024085203162944"/>
    <n v="0"/>
    <n v="0"/>
    <n v="0"/>
    <n v="0"/>
    <n v="0"/>
    <n v="0"/>
    <n v="0"/>
    <n v="0"/>
    <n v="2.583500269666384"/>
    <n v="0"/>
    <n v="0"/>
    <n v="0"/>
    <m/>
    <n v="0"/>
    <m/>
    <n v="0"/>
    <m/>
    <n v="0"/>
    <m/>
    <m/>
    <n v="0"/>
    <n v="0.04895728998125178"/>
    <n v="0"/>
    <n v="0"/>
    <m/>
    <n v="0"/>
    <n v="0"/>
    <n v="0"/>
    <n v="0"/>
    <n v="0"/>
    <x v="0"/>
    <m/>
    <x v="2"/>
    <x v="1"/>
    <s v="no root cause"/>
    <x v="1"/>
    <s v=""/>
  </r>
  <r>
    <s v="Bfsam-Leproserie-IHS"/>
    <s v="OST_166"/>
    <s v="Bafoussam"/>
    <s v="IHS"/>
    <s v="Grid-Gen"/>
    <s v="OUEST"/>
    <s v="Bafoussam"/>
    <s v="Huawei"/>
    <n v="0"/>
    <n v="0"/>
    <n v="0"/>
    <n v="0"/>
    <n v="0"/>
    <n v="0"/>
    <n v="0"/>
    <n v="0"/>
    <n v="0.6335019818339027"/>
    <n v="0"/>
    <n v="0"/>
    <n v="0.005619025195187256"/>
    <n v="0"/>
    <n v="0"/>
    <n v="0"/>
    <n v="0"/>
    <n v="0"/>
    <n v="0"/>
    <n v="0"/>
    <n v="0"/>
    <m/>
    <n v="0"/>
    <n v="0"/>
    <n v="0"/>
    <m/>
    <n v="0"/>
    <m/>
    <n v="0"/>
    <m/>
    <n v="0"/>
    <m/>
    <m/>
    <n v="0"/>
    <n v="0.0487789391980778"/>
    <n v="0"/>
    <n v="0"/>
    <m/>
    <n v="0"/>
    <n v="0"/>
    <n v="0"/>
    <n v="0"/>
    <n v="0"/>
    <x v="0"/>
    <m/>
    <x v="2"/>
    <x v="1"/>
    <s v="no root cause"/>
    <x v="1"/>
    <s v=""/>
  </r>
  <r>
    <s v="Bfsam-Tayim-II"/>
    <s v="OST_291"/>
    <s v="Bafoussam"/>
    <s v="CAMUSAT"/>
    <s v="Good Grid no GE - 8h"/>
    <s v="OUEST"/>
    <s v="Bafoussam"/>
    <s v="Huawei"/>
    <n v="0"/>
    <n v="0"/>
    <n v="0"/>
    <n v="0"/>
    <n v="0"/>
    <n v="4.438526765458733"/>
    <n v="0"/>
    <n v="0"/>
    <n v="0"/>
    <n v="0"/>
    <n v="0"/>
    <n v="0"/>
    <n v="0"/>
    <n v="0"/>
    <n v="0"/>
    <n v="0"/>
    <n v="0"/>
    <n v="0"/>
    <n v="0"/>
    <n v="0"/>
    <n v="0"/>
    <n v="0"/>
    <n v="0"/>
    <n v="0"/>
    <m/>
    <n v="0"/>
    <m/>
    <n v="0"/>
    <m/>
    <n v="0.001070104699043754"/>
    <m/>
    <m/>
    <n v="0"/>
    <n v="0.04824388684855593"/>
    <n v="0"/>
    <n v="0"/>
    <m/>
    <n v="0"/>
    <n v="0"/>
    <n v="0"/>
    <n v="0"/>
    <n v="0"/>
    <x v="0"/>
    <m/>
    <x v="2"/>
    <x v="1"/>
    <s v="no root cause"/>
    <x v="1"/>
    <s v=""/>
  </r>
  <r>
    <s v="Bfsam-Bamendzi-II"/>
    <s v="OST_135"/>
    <s v="Bafoussam"/>
    <s v="IHS"/>
    <s v="GridOnly"/>
    <s v="OUEST"/>
    <s v="Bafoussam"/>
    <s v="Huawei"/>
    <n v="18.49140919947608"/>
    <n v="18.49140919947608"/>
    <n v="18.49140919947608"/>
    <n v="18.49140919947608"/>
    <n v="18.49140919947608"/>
    <n v="18.49140919947608"/>
    <n v="18.49140919947608"/>
    <n v="18.49140919947608"/>
    <n v="18.49140919947608"/>
    <n v="0"/>
    <n v="0"/>
    <n v="0"/>
    <n v="0"/>
    <n v="0"/>
    <n v="0"/>
    <n v="0"/>
    <n v="0"/>
    <n v="0"/>
    <n v="0"/>
    <n v="0"/>
    <n v="4.062527644371392"/>
    <n v="0"/>
    <n v="0"/>
    <n v="0"/>
    <m/>
    <n v="0"/>
    <m/>
    <n v="0"/>
    <m/>
    <n v="0"/>
    <m/>
    <m/>
    <n v="0"/>
    <n v="0.04574697588412051"/>
    <n v="0"/>
    <n v="0"/>
    <m/>
    <n v="0"/>
    <n v="0"/>
    <n v="0"/>
    <n v="0"/>
    <n v="0"/>
    <x v="0"/>
    <m/>
    <x v="2"/>
    <x v="1"/>
    <s v="no root cause"/>
    <x v="1"/>
    <s v=""/>
  </r>
  <r>
    <s v="Bfsam-Bamendzi"/>
    <s v="OST_024"/>
    <s v="Bafoussam"/>
    <s v="IHS"/>
    <s v="Grid-Gen"/>
    <s v="OUEST"/>
    <s v="Bafoussam"/>
    <s v="Huawei"/>
    <n v="0"/>
    <n v="0"/>
    <n v="0"/>
    <n v="0"/>
    <n v="0"/>
    <n v="0"/>
    <n v="0"/>
    <n v="0"/>
    <n v="0"/>
    <n v="0"/>
    <n v="0"/>
    <n v="0"/>
    <n v="0"/>
    <n v="0"/>
    <n v="0"/>
    <n v="0"/>
    <n v="0"/>
    <n v="0"/>
    <n v="0"/>
    <n v="0"/>
    <m/>
    <n v="0"/>
    <n v="0"/>
    <n v="0"/>
    <m/>
    <n v="0"/>
    <m/>
    <n v="0"/>
    <m/>
    <n v="0"/>
    <m/>
    <m/>
    <n v="0"/>
    <n v="0.04253666178698923"/>
    <n v="0"/>
    <n v="0"/>
    <m/>
    <n v="0"/>
    <n v="0"/>
    <n v="0"/>
    <n v="0"/>
    <n v="0"/>
    <x v="0"/>
    <m/>
    <x v="2"/>
    <x v="1"/>
    <s v="no root cause"/>
    <x v="1"/>
    <s v=""/>
  </r>
  <r>
    <s v="CHR-Bafoussam"/>
    <s v="OST_307"/>
    <s v="Bafoussam"/>
    <s v="CAMUSAT"/>
    <s v="Medium Grid + GE"/>
    <s v="OUEST"/>
    <s v="Bafoussam"/>
    <s v="NOKIA"/>
    <n v="0"/>
    <n v="0"/>
    <n v="0"/>
    <n v="0"/>
    <n v="0"/>
    <n v="0.001082132283504853"/>
    <n v="7.254145538739332"/>
    <n v="27.73558446849535"/>
    <n v="23.16459746579178"/>
    <n v="23.16546317161858"/>
    <n v="19.56185651535661"/>
    <n v="0.01109341871342039"/>
    <n v="0"/>
    <n v="0"/>
    <n v="0"/>
    <n v="0"/>
    <n v="0"/>
    <n v="0"/>
    <n v="0"/>
    <n v="0"/>
    <n v="0"/>
    <n v="0"/>
    <n v="0"/>
    <n v="0"/>
    <m/>
    <n v="0"/>
    <m/>
    <n v="0"/>
    <m/>
    <n v="0"/>
    <m/>
    <m/>
    <n v="0"/>
    <n v="0.04134171153972348"/>
    <n v="0"/>
    <n v="0"/>
    <m/>
    <n v="0"/>
    <n v="0"/>
    <n v="0"/>
    <n v="0"/>
    <n v="0"/>
    <x v="0"/>
    <m/>
    <x v="2"/>
    <x v="1"/>
    <s v="no root cause"/>
    <x v="1"/>
    <s v=""/>
  </r>
  <r>
    <s v="Kouedjou-IHS"/>
    <s v="LIT_502"/>
    <s v="LITTORAL"/>
    <s v="IHS"/>
    <s v="Gen Only"/>
    <s v="LITTORAL"/>
    <s v="Kouedjou"/>
    <s v="NOKIA"/>
    <n v="0"/>
    <n v="0"/>
    <n v="0"/>
    <n v="0"/>
    <n v="0"/>
    <n v="0"/>
    <n v="0"/>
    <n v="0"/>
    <n v="0"/>
    <n v="0"/>
    <n v="0"/>
    <n v="0"/>
    <n v="0"/>
    <n v="0"/>
    <n v="0"/>
    <n v="0"/>
    <n v="0"/>
    <n v="0"/>
    <n v="0"/>
    <n v="0"/>
    <n v="0"/>
    <n v="0"/>
    <n v="0.07082534099492631"/>
    <n v="0.02768087761627829"/>
    <m/>
    <n v="0"/>
    <m/>
    <n v="0"/>
    <m/>
    <n v="0"/>
    <m/>
    <m/>
    <n v="0"/>
    <n v="0.03909575093416311"/>
    <n v="0"/>
    <n v="0"/>
    <m/>
    <n v="0"/>
    <n v="0"/>
    <n v="0"/>
    <n v="0"/>
    <n v="0"/>
    <x v="0"/>
    <m/>
    <x v="2"/>
    <x v="1"/>
    <s v="no root cause"/>
    <x v="1"/>
    <s v=""/>
  </r>
  <r>
    <s v="SGC_Bonanjo"/>
    <s v="LIT_742"/>
    <s v="Douala"/>
    <s v="CAMUSAT"/>
    <s v="Good Grid no GE - 8h"/>
    <s v="LITTORAL"/>
    <s v="Douala"/>
    <s v="ZTE"/>
    <n v="0"/>
    <n v="0"/>
    <n v="0"/>
    <n v="0"/>
    <n v="0"/>
    <n v="0"/>
    <n v="0"/>
    <n v="0"/>
    <n v="0"/>
    <n v="0"/>
    <n v="0"/>
    <n v="6.256795164838929"/>
    <n v="0"/>
    <n v="0"/>
    <n v="0"/>
    <n v="0.009381251194950289"/>
    <n v="0"/>
    <n v="0"/>
    <n v="0"/>
    <n v="0"/>
    <n v="0"/>
    <n v="0.008204136026002146"/>
    <n v="0"/>
    <n v="0"/>
    <m/>
    <n v="0.004226913561222807"/>
    <m/>
    <n v="0"/>
    <m/>
    <n v="0.01610507572060845"/>
    <m/>
    <m/>
    <n v="0.005564544435027366"/>
    <n v="0.03713263305681827"/>
    <n v="0"/>
    <n v="0"/>
    <m/>
    <n v="0"/>
    <n v="0"/>
    <n v="0"/>
    <n v="0"/>
    <n v="0"/>
    <x v="0"/>
    <m/>
    <x v="2"/>
    <x v="1"/>
    <s v="no root cause"/>
    <x v="1"/>
    <s v=""/>
  </r>
  <r>
    <s v="Bapa"/>
    <s v="OST_259"/>
    <s v="OUEST"/>
    <s v="CAMUSAT"/>
    <s v="Hybrid Solar - S1"/>
    <s v="OUEST"/>
    <s v="Bapa"/>
    <s v="NOKIA"/>
    <n v="0.001605157048565883"/>
    <n v="0"/>
    <n v="0.009177058621084817"/>
    <n v="0"/>
    <n v="0"/>
    <n v="0"/>
    <n v="0"/>
    <n v="0"/>
    <n v="0"/>
    <n v="0"/>
    <n v="0.003477840271892403"/>
    <n v="0"/>
    <n v="0"/>
    <n v="0"/>
    <n v="0"/>
    <n v="0.001694332440152762"/>
    <n v="0"/>
    <n v="0"/>
    <n v="0"/>
    <n v="0"/>
    <n v="0"/>
    <n v="0"/>
    <n v="0"/>
    <n v="0.001694332440152762"/>
    <m/>
    <n v="0.008150630791049782"/>
    <m/>
    <n v="0.001783507831739642"/>
    <m/>
    <n v="0"/>
    <m/>
    <m/>
    <n v="0"/>
    <n v="0.03536696030339585"/>
    <n v="0"/>
    <n v="0"/>
    <m/>
    <n v="0"/>
    <n v="0"/>
    <n v="0"/>
    <n v="0"/>
    <n v="0"/>
    <x v="0"/>
    <m/>
    <x v="2"/>
    <x v="1"/>
    <s v="no root cause"/>
    <x v="1"/>
    <s v=""/>
  </r>
  <r>
    <s v="Zokok"/>
    <s v="EXN_009"/>
    <s v="Maroua"/>
    <s v="OCM/Strategique"/>
    <m/>
    <s v="EXTREME-NORD"/>
    <s v="Maroua"/>
    <s v="Huawei"/>
    <n v="0"/>
    <n v="0"/>
    <n v="0"/>
    <n v="0"/>
    <n v="0"/>
    <n v="0"/>
    <n v="0"/>
    <n v="0"/>
    <n v="0"/>
    <n v="0"/>
    <n v="0"/>
    <n v="0"/>
    <n v="0"/>
    <n v="0"/>
    <n v="0"/>
    <n v="0"/>
    <n v="0"/>
    <n v="0"/>
    <n v="0"/>
    <n v="0"/>
    <m/>
    <n v="0"/>
    <n v="0"/>
    <n v="0"/>
    <m/>
    <n v="0"/>
    <m/>
    <n v="0"/>
    <m/>
    <n v="0"/>
    <m/>
    <m/>
    <n v="0"/>
    <n v="0.0270201436508548"/>
    <n v="0"/>
    <n v="0"/>
    <m/>
    <n v="0"/>
    <n v="0"/>
    <n v="0"/>
    <n v="0"/>
    <n v="0"/>
    <x v="0"/>
    <m/>
    <x v="2"/>
    <x v="1"/>
    <s v="no root cause"/>
    <x v="1"/>
    <s v=""/>
  </r>
  <r>
    <s v="Bati"/>
    <s v="OST_215"/>
    <s v="OUEST"/>
    <s v="IHS"/>
    <s v="Grid-Gen"/>
    <s v="OUEST"/>
    <s v="Bati"/>
    <s v="NOKIA"/>
    <n v="0"/>
    <n v="0"/>
    <n v="0.003567015663479283"/>
    <n v="0"/>
    <n v="0.2525331426418904"/>
    <n v="0"/>
    <n v="0"/>
    <n v="0"/>
    <n v="0"/>
    <n v="0"/>
    <n v="0"/>
    <n v="0"/>
    <n v="18.49140919947607"/>
    <n v="18.49140919947607"/>
    <n v="13.66819762978943"/>
    <n v="0"/>
    <n v="0"/>
    <n v="0"/>
    <n v="0"/>
    <n v="0"/>
    <n v="0"/>
    <n v="0"/>
    <n v="0"/>
    <n v="0.04699543136633814"/>
    <m/>
    <n v="0.04225130053391088"/>
    <m/>
    <n v="0.05646585795287553"/>
    <m/>
    <n v="0.8741863637271602"/>
    <m/>
    <m/>
    <n v="0"/>
    <n v="0.02033198928183126"/>
    <n v="0"/>
    <n v="0"/>
    <m/>
    <n v="0"/>
    <n v="0"/>
    <n v="0"/>
    <n v="0"/>
    <n v="0"/>
    <x v="0"/>
    <m/>
    <x v="2"/>
    <x v="1"/>
    <s v="no root cause"/>
    <x v="1"/>
    <s v=""/>
  </r>
  <r>
    <s v="Buea-Universite"/>
    <s v="SUO_062"/>
    <s v="SUD-OUEST"/>
    <s v="IHS"/>
    <s v="Grid-Gen"/>
    <s v="SUD-OUEST"/>
    <s v="Buea"/>
    <s v="Huawei"/>
    <n v="0"/>
    <n v="0.6248519688499655"/>
    <n v="0"/>
    <n v="0"/>
    <n v="0"/>
    <n v="0"/>
    <n v="0"/>
    <n v="0"/>
    <n v="0"/>
    <n v="0.008293311417589095"/>
    <n v="0"/>
    <n v="0"/>
    <n v="8.917539158697954e-05"/>
    <n v="0"/>
    <n v="0"/>
    <n v="0"/>
    <n v="2.285565286374286"/>
    <n v="0.8257106208604783"/>
    <n v="0"/>
    <n v="0"/>
    <n v="1.131814070021944"/>
    <n v="0"/>
    <n v="0"/>
    <n v="0"/>
    <m/>
    <n v="0"/>
    <m/>
    <n v="0.06197689715295077"/>
    <m/>
    <n v="0"/>
    <m/>
    <m/>
    <n v="0"/>
    <n v="0.003299489488718242"/>
    <n v="0"/>
    <n v="0"/>
    <m/>
    <n v="0"/>
    <n v="0"/>
    <n v="0"/>
    <n v="0"/>
    <n v="0"/>
    <x v="0"/>
    <m/>
    <x v="2"/>
    <x v="1"/>
    <s v="no root cause"/>
    <x v="1"/>
    <s v=""/>
  </r>
  <r>
    <s v="Galle"/>
    <s v="ADM_028"/>
    <s v="ADAMAOUA"/>
    <s v="IHS"/>
    <s v="Grid-Gen"/>
    <s v="ADAMAOUA"/>
    <s v="Galle"/>
    <s v="NOKIA"/>
    <n v="0"/>
    <n v="0"/>
    <n v="0"/>
    <n v="0"/>
    <n v="0"/>
    <n v="0"/>
    <n v="0"/>
    <n v="0.0004102068013000739"/>
    <n v="0"/>
    <n v="0"/>
    <n v="0"/>
    <n v="0"/>
    <n v="0"/>
    <n v="0"/>
    <n v="0"/>
    <n v="0"/>
    <n v="0"/>
    <n v="0"/>
    <n v="0"/>
    <n v="0"/>
    <n v="0"/>
    <n v="0"/>
    <n v="0"/>
    <n v="0"/>
    <m/>
    <n v="0.05314951401579646"/>
    <m/>
    <n v="0"/>
    <m/>
    <n v="0"/>
    <m/>
    <m/>
    <n v="0"/>
    <n v="0.0004280418796174818"/>
    <n v="0"/>
    <n v="0"/>
    <m/>
    <n v="0"/>
    <n v="0"/>
    <n v="0"/>
    <n v="0"/>
    <n v="0"/>
    <x v="0"/>
    <m/>
    <x v="2"/>
    <x v="1"/>
    <s v="no root cause"/>
    <x v="1"/>
    <s v=""/>
  </r>
  <r>
    <s v="Mboppi-New"/>
    <s v="LIT_736"/>
    <s v="Douala"/>
    <s v="CAMUSAT"/>
    <s v="Good Grid no GE - 8h"/>
    <s v="LITTORAL"/>
    <s v="Douala"/>
    <s v="ZTE"/>
    <n v="0"/>
    <n v="0"/>
    <n v="0"/>
    <n v="0"/>
    <n v="0"/>
    <n v="0"/>
    <n v="0"/>
    <n v="0"/>
    <n v="45.0039843564961"/>
    <n v="0"/>
    <n v="15.89569190116227"/>
    <n v="0"/>
    <n v="13.86855689960706"/>
    <n v="13.86855689960706"/>
    <n v="45.67442278552531"/>
    <n v="0"/>
    <n v="0"/>
    <n v="0"/>
    <n v="8.684529069889332e-17"/>
    <n v="0"/>
    <n v="0"/>
    <n v="0"/>
    <n v="0"/>
    <n v="0"/>
    <m/>
    <n v="0"/>
    <m/>
    <n v="0"/>
    <m/>
    <n v="0"/>
    <m/>
    <m/>
    <n v="0"/>
    <n v="2.894843023296444e-17"/>
    <n v="0"/>
    <n v="0"/>
    <m/>
    <n v="0"/>
    <n v="0"/>
    <n v="0"/>
    <n v="0"/>
    <n v="0"/>
    <x v="0"/>
    <m/>
    <x v="2"/>
    <x v="1"/>
    <s v="no root cause"/>
    <x v="1"/>
    <s v=""/>
  </r>
  <r>
    <s v="Kayo-Elie"/>
    <s v="LIT_047"/>
    <s v="Douala"/>
    <s v="IHS"/>
    <s v="Grid-Gen"/>
    <s v="LITTORAL"/>
    <s v="Douala"/>
    <s v="ZTE"/>
    <n v="0"/>
    <n v="0"/>
    <n v="0"/>
    <n v="0"/>
    <n v="0"/>
    <n v="0"/>
    <n v="4.071873225409707"/>
    <n v="6.038047929276066"/>
    <n v="0"/>
    <n v="0.7381760564786994"/>
    <n v="0"/>
    <n v="0"/>
    <n v="0"/>
    <n v="0"/>
    <n v="0"/>
    <n v="0"/>
    <n v="0"/>
    <n v="0"/>
    <n v="0"/>
    <n v="0"/>
    <n v="0"/>
    <n v="0"/>
    <n v="0"/>
    <n v="28.92978115645502"/>
    <m/>
    <n v="0"/>
    <m/>
    <n v="0"/>
    <m/>
    <n v="0"/>
    <m/>
    <m/>
    <n v="49.91514069736582"/>
    <n v="0"/>
    <n v="0"/>
    <n v="0"/>
    <m/>
    <n v="0"/>
    <n v="0"/>
    <n v="0"/>
    <n v="0"/>
    <n v="0"/>
    <x v="0"/>
    <m/>
    <x v="2"/>
    <x v="1"/>
    <s v="no root cause"/>
    <x v="1"/>
    <s v=""/>
  </r>
  <r>
    <s v="PK19"/>
    <s v="LIT_584"/>
    <s v="Douala"/>
    <s v="CAMUSAT"/>
    <s v="HGB"/>
    <s v="LITTORAL"/>
    <s v="Douala"/>
    <s v="ZTE"/>
    <n v="0"/>
    <n v="0"/>
    <n v="0"/>
    <n v="15.5231349501902"/>
    <n v="36.80036554776516"/>
    <n v="0"/>
    <n v="24.89302520025226"/>
    <n v="0"/>
    <n v="0"/>
    <n v="0"/>
    <n v="0"/>
    <n v="0"/>
    <n v="7.22420548293112"/>
    <n v="0"/>
    <n v="0"/>
    <n v="10.10589042698604"/>
    <n v="0"/>
    <n v="0"/>
    <n v="0"/>
    <n v="0"/>
    <n v="5.288207731577794"/>
    <n v="0"/>
    <n v="0"/>
    <n v="0"/>
    <m/>
    <n v="0"/>
    <m/>
    <n v="49.13701406545617"/>
    <m/>
    <n v="0"/>
    <m/>
    <m/>
    <n v="41.59917873031365"/>
    <n v="0"/>
    <n v="0"/>
    <n v="0"/>
    <m/>
    <n v="0"/>
    <n v="0"/>
    <n v="0"/>
    <n v="0"/>
    <n v="0"/>
    <x v="0"/>
    <m/>
    <x v="2"/>
    <x v="1"/>
    <s v="no root cause"/>
    <x v="1"/>
    <s v=""/>
  </r>
  <r>
    <s v="Emene-City"/>
    <s v="LIT_384"/>
    <s v="Douala"/>
    <s v="IHS"/>
    <s v="Grid-Gen"/>
    <s v="LITTORAL"/>
    <s v="Douala"/>
    <s v="ZTE"/>
    <n v="0"/>
    <n v="0"/>
    <n v="0"/>
    <n v="0"/>
    <n v="0"/>
    <n v="0"/>
    <n v="0"/>
    <n v="0"/>
    <n v="0"/>
    <n v="0"/>
    <n v="0"/>
    <n v="0"/>
    <n v="0"/>
    <n v="0"/>
    <n v="0"/>
    <n v="0"/>
    <n v="0"/>
    <n v="0"/>
    <n v="0"/>
    <n v="0"/>
    <n v="0"/>
    <n v="0"/>
    <n v="0"/>
    <n v="0"/>
    <m/>
    <n v="0"/>
    <m/>
    <n v="1.74721344736369"/>
    <m/>
    <n v="0"/>
    <m/>
    <m/>
    <n v="20.15258622903664"/>
    <n v="0"/>
    <n v="0"/>
    <n v="0"/>
    <m/>
    <n v="0"/>
    <n v="0"/>
    <n v="0"/>
    <n v="0"/>
    <n v="0"/>
    <x v="0"/>
    <m/>
    <x v="2"/>
    <x v="1"/>
    <s v="no root cause"/>
    <x v="1"/>
    <s v=""/>
  </r>
  <r>
    <s v="Nyalla-Kilimandjaro"/>
    <s v="LIT_343"/>
    <s v="Douala"/>
    <s v="IHS"/>
    <s v="Grid-Gen"/>
    <s v="LITTORAL"/>
    <s v="Douala"/>
    <s v="ZTE"/>
    <n v="0"/>
    <n v="0"/>
    <n v="0"/>
    <n v="0"/>
    <n v="0"/>
    <n v="0"/>
    <n v="0"/>
    <n v="0"/>
    <n v="0"/>
    <n v="0"/>
    <n v="0"/>
    <n v="0"/>
    <n v="0"/>
    <n v="0.002033198928183109"/>
    <n v="0"/>
    <n v="0.06982433161260503"/>
    <n v="0"/>
    <n v="0"/>
    <n v="0"/>
    <n v="0"/>
    <n v="0"/>
    <n v="2.0013811484649"/>
    <n v="0"/>
    <n v="0.8538187042886951"/>
    <m/>
    <n v="0"/>
    <m/>
    <n v="0"/>
    <m/>
    <n v="0"/>
    <m/>
    <m/>
    <n v="5.381164159768058"/>
    <n v="0"/>
    <n v="0"/>
    <n v="0"/>
    <m/>
    <n v="0"/>
    <n v="0"/>
    <n v="0"/>
    <n v="0"/>
    <n v="0"/>
    <x v="0"/>
    <m/>
    <x v="2"/>
    <x v="1"/>
    <s v="no root cause"/>
    <x v="1"/>
    <s v=""/>
  </r>
  <r>
    <s v="Bep-Yonyong"/>
    <s v="LIT_092"/>
    <s v="Douala"/>
    <s v="IHS"/>
    <s v="GridOnly"/>
    <s v="LITTORAL"/>
    <s v="Douala"/>
    <s v="ZTE"/>
    <n v="6.635951094788448"/>
    <n v="0"/>
    <n v="2.249467087859874"/>
    <n v="13.74399671263836"/>
    <n v="4.551975698635689"/>
    <n v="0"/>
    <n v="0"/>
    <n v="6.635665733535369"/>
    <n v="0"/>
    <n v="0"/>
    <n v="0"/>
    <n v="0"/>
    <n v="0"/>
    <n v="6.869269589336623"/>
    <n v="24.26439219479901"/>
    <n v="0"/>
    <n v="0"/>
    <n v="0"/>
    <n v="0"/>
    <n v="47.91796862738386"/>
    <n v="0.0308368504107773"/>
    <n v="0"/>
    <n v="0"/>
    <n v="0"/>
    <m/>
    <n v="0"/>
    <m/>
    <n v="0"/>
    <m/>
    <n v="16.15210682213148"/>
    <m/>
    <m/>
    <n v="5.225463926057193"/>
    <n v="0"/>
    <n v="0"/>
    <n v="0"/>
    <m/>
    <n v="0"/>
    <n v="0"/>
    <n v="0"/>
    <n v="0"/>
    <n v="0"/>
    <x v="0"/>
    <m/>
    <x v="2"/>
    <x v="1"/>
    <s v="no root cause"/>
    <x v="1"/>
    <s v=""/>
  </r>
  <r>
    <s v="Bepanda-Ambiance"/>
    <s v="LIT_687"/>
    <s v="Douala"/>
    <s v="CAMUSAT"/>
    <s v="Good Grid no GE - 8h"/>
    <s v="LITTORAL"/>
    <s v="Douala"/>
    <s v="ZTE"/>
    <n v="2.135590112803303"/>
    <n v="0"/>
    <n v="1.540094682863772"/>
    <n v="12.60563716887393"/>
    <n v="3.639176390351366"/>
    <n v="0"/>
    <n v="0"/>
    <n v="5.791210445363308"/>
    <n v="0"/>
    <n v="0"/>
    <n v="0"/>
    <n v="0.3482120690688366"/>
    <n v="0"/>
    <n v="6.291252536148139"/>
    <n v="22.10718596707502"/>
    <n v="0"/>
    <n v="0"/>
    <n v="0"/>
    <n v="0"/>
    <n v="43.51332851072816"/>
    <n v="0.9422450225863436"/>
    <n v="0"/>
    <n v="0"/>
    <n v="0"/>
    <m/>
    <n v="0"/>
    <m/>
    <n v="0"/>
    <m/>
    <n v="11.0174947850231"/>
    <m/>
    <m/>
    <n v="4.742918047101728"/>
    <n v="0"/>
    <n v="0"/>
    <n v="0"/>
    <m/>
    <n v="0"/>
    <n v="0"/>
    <n v="0"/>
    <n v="0"/>
    <n v="0"/>
    <x v="0"/>
    <m/>
    <x v="2"/>
    <x v="1"/>
    <s v="no root cause"/>
    <x v="1"/>
    <s v=""/>
  </r>
  <r>
    <s v="Lendi-Entree"/>
    <s v="LIT_297"/>
    <s v="Douala"/>
    <s v="IHS"/>
    <s v="Grid-Gen"/>
    <s v="LITTORAL"/>
    <s v="Douala"/>
    <s v="ZTE"/>
    <n v="0"/>
    <n v="0"/>
    <n v="0"/>
    <n v="0"/>
    <n v="0"/>
    <n v="0"/>
    <n v="0"/>
    <n v="0"/>
    <n v="0"/>
    <n v="0"/>
    <n v="0"/>
    <n v="0"/>
    <n v="0"/>
    <n v="0"/>
    <n v="0"/>
    <n v="0"/>
    <n v="0"/>
    <n v="0"/>
    <n v="0"/>
    <n v="0"/>
    <m/>
    <n v="0"/>
    <n v="0"/>
    <n v="0"/>
    <m/>
    <n v="0"/>
    <m/>
    <n v="0"/>
    <m/>
    <n v="2.007017033213196"/>
    <m/>
    <m/>
    <n v="2.041741930697167"/>
    <n v="0"/>
    <n v="0"/>
    <n v="0"/>
    <m/>
    <n v="0"/>
    <n v="0"/>
    <n v="0"/>
    <n v="0"/>
    <n v="0"/>
    <x v="0"/>
    <m/>
    <x v="2"/>
    <x v="1"/>
    <s v="no root cause"/>
    <x v="1"/>
    <s v=""/>
  </r>
  <r>
    <s v="EXN_355_H_Maroua-Hedjere-Miskine"/>
    <s v="EXN_355"/>
    <s v="Maroua"/>
    <s v="ESCO"/>
    <s v="Hybrid Solar - S3"/>
    <s v="EXN"/>
    <s v="Maroua"/>
    <s v="Huawei"/>
    <n v="0"/>
    <n v="0"/>
    <n v="0"/>
    <n v="0"/>
    <n v="0"/>
    <n v="0"/>
    <n v="0"/>
    <n v="0"/>
    <n v="0"/>
    <n v="0"/>
    <n v="0"/>
    <n v="0"/>
    <n v="0"/>
    <s v=""/>
    <n v="0"/>
    <n v="0"/>
    <n v="0"/>
    <n v="0"/>
    <n v="0"/>
    <n v="0"/>
    <n v="0"/>
    <n v="0"/>
    <n v="0"/>
    <n v="0"/>
    <m/>
    <n v="0.003923717229827099"/>
    <m/>
    <n v="0"/>
    <m/>
    <n v="0"/>
    <m/>
    <m/>
    <n v="2.012117865611972"/>
    <n v="0"/>
    <n v="0"/>
    <n v="0"/>
    <m/>
    <n v="0"/>
    <n v="0"/>
    <n v="0"/>
    <n v="0"/>
    <n v="0"/>
    <x v="0"/>
    <m/>
    <x v="2"/>
    <x v="1"/>
    <s v="no root cause"/>
    <x v="1"/>
    <s v=""/>
  </r>
  <r>
    <s v="Garoua-Foulbere"/>
    <s v="NRD_045"/>
    <s v="Garoua"/>
    <s v="IHS"/>
    <s v="Grid-Gen"/>
    <s v="NORD"/>
    <s v="Garoua"/>
    <s v="Huawei"/>
    <n v="0"/>
    <n v="0"/>
    <n v="0"/>
    <n v="0"/>
    <n v="0"/>
    <n v="0"/>
    <n v="0"/>
    <n v="0"/>
    <n v="0"/>
    <n v="2.278877132005262"/>
    <n v="0"/>
    <n v="0"/>
    <n v="0"/>
    <n v="0.9814643598062966"/>
    <n v="1.055569110215077"/>
    <n v="0"/>
    <n v="0"/>
    <n v="0"/>
    <n v="0"/>
    <n v="0"/>
    <n v="2.740359783467881"/>
    <n v="0"/>
    <n v="0"/>
    <n v="0"/>
    <m/>
    <n v="0"/>
    <m/>
    <n v="0"/>
    <m/>
    <n v="0.06046091549597213"/>
    <m/>
    <m/>
    <n v="1.898472746573525"/>
    <n v="0"/>
    <n v="0"/>
    <n v="0"/>
    <m/>
    <n v="0"/>
    <n v="0"/>
    <n v="0"/>
    <n v="0"/>
    <n v="0"/>
    <x v="0"/>
    <m/>
    <x v="2"/>
    <x v="1"/>
    <s v="no root cause"/>
    <x v="1"/>
    <s v=""/>
  </r>
  <r>
    <s v="Ngong-Marche"/>
    <s v="NRD_132"/>
    <s v="NORD"/>
    <s v="CAMUSAT"/>
    <s v="Good Grid + GE"/>
    <s v="NORD"/>
    <s v="Ngong"/>
    <s v="Huawei"/>
    <n v="0"/>
    <n v="0"/>
    <n v="6.62189705307434"/>
    <n v="0"/>
    <n v="0"/>
    <n v="0"/>
    <n v="0"/>
    <n v="0"/>
    <n v="0"/>
    <n v="0"/>
    <n v="1.802858891713965"/>
    <n v="0"/>
    <n v="0"/>
    <n v="0"/>
    <n v="0"/>
    <n v="0.007044855935371385"/>
    <n v="0.7568315483986955"/>
    <n v="0.962380826006683"/>
    <n v="2.425856012418922"/>
    <n v="0"/>
    <n v="0"/>
    <n v="0"/>
    <n v="1.561817808254359"/>
    <n v="0.6900570151783652"/>
    <m/>
    <n v="3.354421529935821"/>
    <m/>
    <n v="2.486602289167972"/>
    <m/>
    <n v="2.709237571804025"/>
    <m/>
    <m/>
    <n v="1.676764888009976"/>
    <n v="0"/>
    <n v="0"/>
    <n v="0"/>
    <m/>
    <n v="0"/>
    <n v="0"/>
    <n v="0"/>
    <n v="0"/>
    <n v="0"/>
    <x v="0"/>
    <m/>
    <x v="2"/>
    <x v="1"/>
    <s v="no root cause"/>
    <x v="1"/>
    <s v=""/>
  </r>
  <r>
    <s v="Bfsam-Gouache-IHS"/>
    <s v="OST_121"/>
    <s v="Bafoussam"/>
    <s v="IHS"/>
    <s v="Grid-Gen"/>
    <s v="OUEST"/>
    <s v="Bafoussam"/>
    <s v="Huawei"/>
    <n v="0"/>
    <n v="0"/>
    <n v="0"/>
    <n v="0"/>
    <n v="0"/>
    <n v="0"/>
    <n v="0"/>
    <n v="0"/>
    <n v="0"/>
    <n v="0"/>
    <n v="1.537562101742701"/>
    <n v="0"/>
    <n v="0"/>
    <n v="0"/>
    <n v="0.0261462248133024"/>
    <n v="0"/>
    <n v="0"/>
    <n v="0"/>
    <n v="0"/>
    <n v="0.08569755131508733"/>
    <n v="0"/>
    <n v="0"/>
    <n v="0"/>
    <n v="0"/>
    <m/>
    <n v="0"/>
    <m/>
    <n v="0.2864848630123304"/>
    <m/>
    <n v="0"/>
    <m/>
    <m/>
    <n v="0.7880429354541378"/>
    <n v="0"/>
    <n v="0"/>
    <n v="0"/>
    <m/>
    <n v="0"/>
    <n v="0"/>
    <n v="0"/>
    <n v="0"/>
    <n v="0"/>
    <x v="0"/>
    <m/>
    <x v="2"/>
    <x v="1"/>
    <s v="no root cause"/>
    <x v="1"/>
    <s v=""/>
  </r>
  <r>
    <s v="Foumban-Kounga"/>
    <s v="OST_028"/>
    <s v="OUEST"/>
    <s v="IHS"/>
    <s v="Grid-Gen"/>
    <s v="OUEST"/>
    <s v="Foumban"/>
    <s v="Huawei"/>
    <n v="0"/>
    <n v="0"/>
    <n v="0"/>
    <n v="0"/>
    <n v="0"/>
    <n v="0"/>
    <n v="0"/>
    <n v="0"/>
    <n v="0"/>
    <n v="0"/>
    <n v="0"/>
    <n v="0"/>
    <n v="0"/>
    <n v="0"/>
    <n v="0"/>
    <n v="0"/>
    <n v="0"/>
    <n v="0"/>
    <n v="0"/>
    <n v="0"/>
    <m/>
    <n v="0"/>
    <n v="0"/>
    <n v="0"/>
    <m/>
    <n v="0"/>
    <m/>
    <n v="0"/>
    <m/>
    <n v="0"/>
    <m/>
    <m/>
    <n v="0.6827803032248676"/>
    <n v="0"/>
    <n v="0"/>
    <n v="0"/>
    <m/>
    <n v="0"/>
    <n v="0"/>
    <n v="0"/>
    <n v="0"/>
    <n v="0"/>
    <x v="0"/>
    <m/>
    <x v="2"/>
    <x v="1"/>
    <s v="no root cause"/>
    <x v="1"/>
    <s v=""/>
  </r>
  <r>
    <s v="Zanay-IHS"/>
    <s v="EXN_131"/>
    <s v="EXTREME-NORD"/>
    <s v="IHS"/>
    <s v="Grid-Gen"/>
    <s v="EXTREME-NORD"/>
    <s v="Zanay"/>
    <s v="NOKIA"/>
    <n v="0.03633922717875355"/>
    <n v="0.04331317169615018"/>
    <n v="0.6463508226069982"/>
    <n v="0"/>
    <n v="0"/>
    <n v="0.001961972154968843"/>
    <n v="0"/>
    <n v="0"/>
    <n v="0.1730417334368091"/>
    <n v="0.001426888839977247"/>
    <n v="0"/>
    <n v="0.003763758967946228"/>
    <n v="0"/>
    <n v="0"/>
    <n v="0"/>
    <n v="0"/>
    <n v="0"/>
    <n v="0"/>
    <n v="0"/>
    <n v="0"/>
    <n v="0.00731365184135475"/>
    <n v="0"/>
    <n v="0"/>
    <n v="0"/>
    <m/>
    <n v="0.0454820817742771"/>
    <m/>
    <n v="0"/>
    <m/>
    <n v="0.001605249944974446"/>
    <m/>
    <m/>
    <n v="0.6074627674905045"/>
    <n v="0"/>
    <n v="0"/>
    <n v="0"/>
    <m/>
    <n v="0"/>
    <n v="0"/>
    <n v="0"/>
    <n v="0"/>
    <n v="0"/>
    <x v="1"/>
    <m/>
    <x v="2"/>
    <x v="1"/>
    <s v="no root cause"/>
    <x v="1"/>
    <s v=""/>
  </r>
  <r>
    <s v="Down-Beach"/>
    <s v="SUO_014"/>
    <s v="SUD-OUEST"/>
    <s v="IHS"/>
    <s v="Grid-Gen"/>
    <s v="SUD-OUEST"/>
    <s v="Limbe"/>
    <s v="Huawei"/>
    <n v="0"/>
    <n v="0"/>
    <n v="0"/>
    <n v="0"/>
    <n v="0"/>
    <n v="0"/>
    <n v="0"/>
    <n v="0"/>
    <n v="0"/>
    <n v="0"/>
    <n v="0"/>
    <n v="0"/>
    <n v="0"/>
    <n v="0"/>
    <n v="0"/>
    <n v="0"/>
    <n v="0"/>
    <n v="0"/>
    <n v="0"/>
    <n v="0"/>
    <n v="0"/>
    <n v="0"/>
    <n v="0"/>
    <n v="0.4889486720714088"/>
    <m/>
    <n v="0.2026064896856175"/>
    <m/>
    <n v="0"/>
    <m/>
    <n v="0"/>
    <m/>
    <m/>
    <n v="0.5943896550838533"/>
    <n v="0"/>
    <n v="0"/>
    <n v="0"/>
    <m/>
    <n v="0"/>
    <n v="0"/>
    <n v="0"/>
    <n v="0"/>
    <n v="0"/>
    <x v="0"/>
    <m/>
    <x v="2"/>
    <x v="1"/>
    <s v="no root cause"/>
    <x v="1"/>
    <s v=""/>
  </r>
  <r>
    <s v="Bberi-Excellence"/>
    <s v="LIT_645"/>
    <s v="Douala"/>
    <s v="CAMUSAT"/>
    <s v="Good Grid no GE - 8h"/>
    <s v="LITTORAL"/>
    <s v="Douala"/>
    <s v="ZTE"/>
    <n v="4.673896294013407"/>
    <n v="1.550367687974591"/>
    <n v="1.806283226750905"/>
    <n v="0"/>
    <n v="0"/>
    <n v="2.719011194721958"/>
    <n v="0"/>
    <n v="0"/>
    <n v="2.658960486027286"/>
    <n v="0.6176644322880557"/>
    <n v="1.289493997426042"/>
    <n v="0.007312382110132324"/>
    <n v="1.025624013720169"/>
    <n v="0"/>
    <n v="0"/>
    <n v="4.332194028530417"/>
    <n v="0"/>
    <n v="4.974453033818162"/>
    <n v="0.3700422049293304"/>
    <n v="0"/>
    <n v="0"/>
    <n v="10.7668227592721"/>
    <n v="0"/>
    <n v="0"/>
    <m/>
    <n v="2.9319976999883"/>
    <m/>
    <n v="0"/>
    <m/>
    <n v="1.557608729771454"/>
    <m/>
    <m/>
    <n v="0.5863103646060739"/>
    <n v="0"/>
    <n v="0"/>
    <n v="0"/>
    <m/>
    <n v="0"/>
    <n v="0"/>
    <n v="0"/>
    <n v="0"/>
    <n v="0"/>
    <x v="0"/>
    <m/>
    <x v="2"/>
    <x v="1"/>
    <s v="no root cause"/>
    <x v="1"/>
    <s v=""/>
  </r>
  <r>
    <s v="Mousgoy-IHS"/>
    <s v="EXN_136"/>
    <s v="EXTREME-NORD"/>
    <s v="IHS"/>
    <s v="Hybrid-Gen"/>
    <s v="EXTREME-NORD"/>
    <s v="Mousgoy"/>
    <s v="NOKIA"/>
    <n v="0"/>
    <n v="0"/>
    <n v="0"/>
    <n v="0"/>
    <n v="0"/>
    <n v="0.00276459712745598"/>
    <n v="0"/>
    <n v="0"/>
    <n v="0"/>
    <n v="0"/>
    <n v="0"/>
    <n v="13.86855689960706"/>
    <n v="0.09883744735115425"/>
    <n v="0"/>
    <n v="0"/>
    <n v="0"/>
    <n v="0"/>
    <n v="0"/>
    <n v="0"/>
    <n v="0"/>
    <n v="0"/>
    <n v="0.003299489488718302"/>
    <n v="0"/>
    <n v="0"/>
    <m/>
    <n v="0.04262830409432243"/>
    <m/>
    <n v="0"/>
    <m/>
    <n v="0.001426888839977247"/>
    <m/>
    <m/>
    <n v="0.5661923962640506"/>
    <n v="0"/>
    <n v="0"/>
    <n v="0"/>
    <m/>
    <n v="0"/>
    <n v="0"/>
    <n v="0"/>
    <n v="0"/>
    <n v="0"/>
    <x v="1"/>
    <m/>
    <x v="2"/>
    <x v="1"/>
    <s v="no root cause"/>
    <x v="1"/>
    <s v=""/>
  </r>
  <r>
    <s v="Kumba-Nkamlikum"/>
    <s v="SUO_216"/>
    <s v="SUD-OUEST"/>
    <s v="IHS"/>
    <s v="Grid-Gen"/>
    <s v="SUD-OUEST"/>
    <s v="Kumba"/>
    <s v="Huawei"/>
    <n v="0"/>
    <n v="0"/>
    <n v="2.898271566890104"/>
    <n v="0"/>
    <n v="0"/>
    <n v="0"/>
    <n v="0.006634649134071278"/>
    <n v="0"/>
    <n v="0"/>
    <n v="0"/>
    <n v="0"/>
    <n v="1.966406559884486"/>
    <n v="0"/>
    <n v="0"/>
    <n v="0"/>
    <n v="0"/>
    <n v="0.195829159925007"/>
    <n v="0"/>
    <n v="1.428268741813699"/>
    <n v="0"/>
    <n v="0"/>
    <n v="2.745799482354687"/>
    <n v="0"/>
    <n v="0.3435036083930451"/>
    <m/>
    <n v="0"/>
    <m/>
    <n v="0"/>
    <m/>
    <n v="0"/>
    <m/>
    <m/>
    <n v="0.5268482134958751"/>
    <n v="0"/>
    <n v="0"/>
    <n v="0"/>
    <m/>
    <n v="0"/>
    <n v="0"/>
    <n v="0"/>
    <n v="0"/>
    <n v="0"/>
    <x v="0"/>
    <m/>
    <x v="4"/>
    <x v="0"/>
    <s v="Defaut GE &amp; Power Cabinet"/>
    <x v="0"/>
    <s v="{hourly IHS}: 25/05/2026 10:22 12:03:45 Grid outage. Gen stopped due to low fuel"/>
  </r>
  <r>
    <s v="Dembo"/>
    <s v="NRD_024"/>
    <s v="NORD"/>
    <s v="IHS"/>
    <s v="Solar-Gen"/>
    <s v="NORD"/>
    <s v="Dembo"/>
    <s v="NOKIA"/>
    <n v="0"/>
    <n v="0"/>
    <n v="0.4662130225827261"/>
    <n v="0"/>
    <n v="0"/>
    <n v="0"/>
    <n v="0"/>
    <n v="0"/>
    <n v="0"/>
    <n v="0"/>
    <n v="0"/>
    <n v="0"/>
    <n v="0"/>
    <n v="0"/>
    <n v="0.3931183519228418"/>
    <n v="0"/>
    <n v="0"/>
    <n v="0"/>
    <n v="0"/>
    <n v="0"/>
    <n v="0"/>
    <n v="0"/>
    <n v="0"/>
    <n v="0"/>
    <m/>
    <n v="0"/>
    <m/>
    <n v="0"/>
    <m/>
    <n v="0"/>
    <m/>
    <m/>
    <n v="0.4285412618103888"/>
    <n v="0"/>
    <n v="0"/>
    <n v="0"/>
    <m/>
    <n v="0"/>
    <n v="0"/>
    <n v="0"/>
    <n v="0"/>
    <n v="0"/>
    <x v="0"/>
    <m/>
    <x v="2"/>
    <x v="1"/>
    <s v="no root cause"/>
    <x v="1"/>
    <s v=""/>
  </r>
  <r>
    <s v="Mendankwe"/>
    <s v="NRO_229"/>
    <s v="NORD-OUEST"/>
    <s v="IHS"/>
    <s v="Grid-Gen"/>
    <s v="NORD-OUEST"/>
    <s v="Bamenda"/>
    <s v="Huawei"/>
    <n v="0"/>
    <n v="0"/>
    <n v="0"/>
    <n v="0"/>
    <n v="0"/>
    <n v="0"/>
    <n v="0"/>
    <n v="0"/>
    <n v="0"/>
    <n v="0"/>
    <n v="0.006866505152197424"/>
    <n v="0.01187816215938565"/>
    <n v="0"/>
    <n v="0"/>
    <n v="0"/>
    <n v="0"/>
    <n v="0"/>
    <n v="0.2379199447540614"/>
    <n v="0"/>
    <n v="0"/>
    <n v="0"/>
    <n v="2.302776136950572"/>
    <n v="10.12830912043101"/>
    <n v="0.2436271698156281"/>
    <m/>
    <n v="0"/>
    <m/>
    <n v="0.6008637885130681"/>
    <m/>
    <n v="0.5035912713699909"/>
    <m/>
    <m/>
    <n v="0.3452692811464673"/>
    <n v="0"/>
    <n v="0"/>
    <n v="0"/>
    <m/>
    <n v="0"/>
    <n v="0"/>
    <n v="0"/>
    <n v="0"/>
    <n v="0"/>
    <x v="0"/>
    <m/>
    <x v="2"/>
    <x v="1"/>
    <s v="no root cause"/>
    <x v="1"/>
    <s v=""/>
  </r>
  <r>
    <s v="Tcheboa-MTN-IHS"/>
    <s v="NRD_025"/>
    <s v="NORD"/>
    <s v="IHS"/>
    <s v="Grid-Hybrid-Gen"/>
    <s v="NORD"/>
    <s v="Ngong"/>
    <s v="NOKIA"/>
    <n v="0"/>
    <n v="0"/>
    <n v="0"/>
    <n v="0.1539577123406803"/>
    <n v="0"/>
    <n v="0"/>
    <n v="0"/>
    <n v="0"/>
    <n v="0"/>
    <n v="0"/>
    <n v="0"/>
    <n v="0"/>
    <n v="6.493876791001734"/>
    <n v="0"/>
    <n v="0"/>
    <n v="0"/>
    <n v="0"/>
    <n v="0"/>
    <n v="0"/>
    <n v="0"/>
    <n v="0"/>
    <n v="0"/>
    <n v="0"/>
    <n v="0"/>
    <m/>
    <n v="0"/>
    <m/>
    <n v="0"/>
    <m/>
    <n v="0"/>
    <m/>
    <m/>
    <n v="0.342860606206471"/>
    <n v="0"/>
    <n v="0"/>
    <n v="0"/>
    <m/>
    <n v="0"/>
    <n v="0"/>
    <n v="0"/>
    <n v="0"/>
    <n v="0"/>
    <x v="0"/>
    <m/>
    <x v="2"/>
    <x v="1"/>
    <s v="no root cause"/>
    <x v="1"/>
    <s v=""/>
  </r>
  <r>
    <s v="Emombo-Tchad"/>
    <s v="CTR_417"/>
    <s v="Yaounde"/>
    <s v="IHS"/>
    <s v="GridOnly"/>
    <s v="CENTRE"/>
    <s v="Yaounde"/>
    <s v="ZTE"/>
    <n v="1.936978680660783"/>
    <n v="0"/>
    <n v="0"/>
    <n v="0"/>
    <n v="0"/>
    <n v="0"/>
    <n v="0"/>
    <n v="0"/>
    <n v="0"/>
    <n v="0"/>
    <n v="5.471641512072208"/>
    <n v="0"/>
    <n v="0"/>
    <n v="0"/>
    <n v="0"/>
    <n v="1.100567012809867"/>
    <n v="0"/>
    <n v="0"/>
    <n v="0"/>
    <n v="0"/>
    <n v="0"/>
    <n v="13.86855689960706"/>
    <n v="13.86855689960706"/>
    <n v="13.86855689960706"/>
    <m/>
    <n v="13.86855689960706"/>
    <m/>
    <n v="13.86855689960706"/>
    <m/>
    <n v="13.86855689960706"/>
    <m/>
    <m/>
    <n v="0.2699517454121044"/>
    <n v="0"/>
    <n v="0"/>
    <n v="0"/>
    <m/>
    <n v="0"/>
    <n v="0"/>
    <n v="0"/>
    <n v="0"/>
    <n v="0"/>
    <x v="0"/>
    <m/>
    <x v="2"/>
    <x v="1"/>
    <s v="no root cause"/>
    <x v="1"/>
    <s v=""/>
  </r>
  <r>
    <s v="Bidzar-MTN"/>
    <s v="NRD_027"/>
    <s v="NORD"/>
    <s v="IHS"/>
    <s v="Gen Only"/>
    <s v="NORD"/>
    <s v="Bidzar"/>
    <s v="NOKIA"/>
    <n v="0"/>
    <n v="0"/>
    <n v="0"/>
    <n v="0"/>
    <n v="0"/>
    <n v="0"/>
    <n v="0"/>
    <n v="0"/>
    <n v="0"/>
    <n v="0"/>
    <n v="0"/>
    <n v="0"/>
    <n v="0"/>
    <n v="0"/>
    <n v="0"/>
    <n v="0"/>
    <n v="0"/>
    <n v="0"/>
    <n v="0"/>
    <n v="0"/>
    <n v="0"/>
    <n v="0"/>
    <n v="0"/>
    <n v="0"/>
    <m/>
    <n v="0"/>
    <m/>
    <n v="0"/>
    <m/>
    <n v="0"/>
    <m/>
    <m/>
    <n v="0.251331923648743"/>
    <n v="0"/>
    <n v="0"/>
    <n v="0"/>
    <m/>
    <n v="0"/>
    <n v="0"/>
    <n v="0"/>
    <n v="0"/>
    <n v="0"/>
    <x v="0"/>
    <m/>
    <x v="2"/>
    <x v="1"/>
    <s v="no root cause"/>
    <x v="1"/>
    <s v=""/>
  </r>
  <r>
    <s v="Bafia-CRTV"/>
    <s v="CTR_101"/>
    <s v="CENTRE"/>
    <s v="CAMUSAT"/>
    <s v="Medium Grid + GE"/>
    <s v="CENTRE"/>
    <s v="Bafia"/>
    <s v="ZTE"/>
    <n v="36.98281839895215"/>
    <n v="36.98281839895215"/>
    <n v="36.98281839895215"/>
    <n v="36.98281839895215"/>
    <n v="30.68862307488165"/>
    <n v="18.49140919947608"/>
    <n v="0.743669260600457"/>
    <n v="0"/>
    <n v="3.524996218963397"/>
    <n v="0"/>
    <n v="1.97712544195324"/>
    <n v="0"/>
    <n v="0"/>
    <n v="0.8720283192507557"/>
    <n v="0"/>
    <n v="0"/>
    <n v="0"/>
    <n v="0"/>
    <n v="0"/>
    <n v="0"/>
    <m/>
    <n v="0"/>
    <n v="0"/>
    <n v="0"/>
    <m/>
    <n v="0"/>
    <m/>
    <n v="0"/>
    <m/>
    <n v="0"/>
    <m/>
    <m/>
    <n v="0.1064040772415841"/>
    <n v="0"/>
    <n v="0"/>
    <n v="0"/>
    <m/>
    <n v="0"/>
    <n v="0"/>
    <n v="0"/>
    <n v="0"/>
    <n v="0"/>
    <x v="2"/>
    <s v="site vandalise"/>
    <x v="9"/>
    <x v="5"/>
    <s v="EXCLU"/>
    <x v="4"/>
    <s v=""/>
  </r>
  <r>
    <s v="Mile16-Buea-HIS"/>
    <s v="SUO_243"/>
    <s v="SUD-OUEST"/>
    <s v="IHS"/>
    <s v="Grid-Gen"/>
    <s v="SUD-OUEST"/>
    <s v="Buea"/>
    <s v="Huawei"/>
    <n v="0"/>
    <n v="0"/>
    <n v="0"/>
    <n v="0"/>
    <n v="0"/>
    <n v="0"/>
    <n v="0"/>
    <n v="0"/>
    <n v="0"/>
    <n v="0"/>
    <n v="0.008025785242828159"/>
    <n v="0"/>
    <n v="0"/>
    <n v="0"/>
    <n v="0"/>
    <n v="0"/>
    <n v="1.667722503303056"/>
    <n v="0"/>
    <n v="0"/>
    <n v="0"/>
    <n v="0"/>
    <n v="0"/>
    <n v="0"/>
    <n v="0"/>
    <m/>
    <n v="0"/>
    <m/>
    <n v="20.99010367174324"/>
    <m/>
    <n v="0"/>
    <m/>
    <m/>
    <n v="0.06160236050828546"/>
    <n v="0"/>
    <n v="0"/>
    <n v="0"/>
    <m/>
    <n v="0"/>
    <n v="0"/>
    <n v="0"/>
    <n v="0"/>
    <n v="0"/>
    <x v="0"/>
    <m/>
    <x v="2"/>
    <x v="1"/>
    <s v="no root cause"/>
    <x v="1"/>
    <s v=""/>
  </r>
  <r>
    <s v="Mbidou-IHS"/>
    <s v="ADM_079"/>
    <s v="ADAMAOUA"/>
    <s v="IHS"/>
    <s v="Grid-Gen"/>
    <s v="ADAMAOUA"/>
    <s v="Mbidou"/>
    <s v="NOKIA"/>
    <n v="0"/>
    <n v="0"/>
    <n v="0.02502278429314279"/>
    <n v="0"/>
    <n v="0"/>
    <n v="0"/>
    <n v="0"/>
    <n v="0.06661680204843247"/>
    <n v="0.05224121622485618"/>
    <n v="0"/>
    <n v="0"/>
    <n v="21.48062183070659"/>
    <n v="0"/>
    <n v="0"/>
    <n v="0"/>
    <n v="0.540844739391015"/>
    <n v="2.630067612699523"/>
    <n v="0"/>
    <n v="0.06146592242638951"/>
    <n v="0"/>
    <n v="8.684529069889332e-17"/>
    <n v="0.0621883120151568"/>
    <n v="0"/>
    <n v="0"/>
    <m/>
    <n v="0"/>
    <m/>
    <n v="0"/>
    <m/>
    <n v="0"/>
    <m/>
    <m/>
    <n v="0.02363523168279845"/>
    <n v="0"/>
    <n v="0"/>
    <n v="0"/>
    <m/>
    <n v="0"/>
    <n v="0"/>
    <n v="0"/>
    <n v="0"/>
    <n v="0"/>
    <x v="0"/>
    <m/>
    <x v="2"/>
    <x v="1"/>
    <s v="no root cause"/>
    <x v="1"/>
    <s v=""/>
  </r>
  <r>
    <s v="NRD_262_H_Gra-Doualare-Ancien-LAWANAT"/>
    <s v="NRD_262"/>
    <s v=""/>
    <s v="ESCO"/>
    <s v="Good Grid + Solar + GE"/>
    <s v="NRD"/>
    <s v="Garoua"/>
    <s v="Huawei"/>
    <n v="0"/>
    <n v="0.8567258220544297"/>
    <n v="5.354821749093265"/>
    <n v="0"/>
    <n v="0"/>
    <n v="0"/>
    <n v="0"/>
    <n v="0"/>
    <n v="0"/>
    <n v="0"/>
    <n v="0"/>
    <n v="12.75008346816652"/>
    <n v="0"/>
    <s v=""/>
    <n v="0"/>
    <n v="0"/>
    <n v="10.18864519037876"/>
    <n v="0"/>
    <n v="0"/>
    <n v="0"/>
    <n v="0"/>
    <n v="0.2603029680423933"/>
    <n v="0"/>
    <n v="0"/>
    <m/>
    <n v="0"/>
    <m/>
    <n v="0"/>
    <m/>
    <n v="0"/>
    <m/>
    <m/>
    <n v="0.02166962015563603"/>
    <n v="0"/>
    <n v="0"/>
    <n v="0"/>
    <m/>
    <n v="0"/>
    <n v="0"/>
    <n v="0"/>
    <n v="0"/>
    <n v="0"/>
    <x v="0"/>
    <m/>
    <x v="2"/>
    <x v="1"/>
    <s v="no root cause"/>
    <x v="1"/>
    <s v=""/>
  </r>
  <r>
    <s v="Goyoum"/>
    <s v="EST_023"/>
    <s v="CENTRE"/>
    <s v="ESCO"/>
    <s v="Hybrid Solar - S2"/>
    <s v="EST"/>
    <s v="Goyoum"/>
    <s v="NOKIA"/>
    <n v="0.002496910964435532"/>
    <n v="0"/>
    <n v="0"/>
    <n v="0"/>
    <n v="0"/>
    <n v="0"/>
    <n v="0"/>
    <n v="0"/>
    <n v="0"/>
    <n v="0"/>
    <n v="0"/>
    <n v="0"/>
    <n v="0"/>
    <n v="0"/>
    <n v="0"/>
    <n v="0"/>
    <n v="0"/>
    <n v="0"/>
    <n v="0"/>
    <n v="0"/>
    <n v="0"/>
    <n v="0.01710384010638266"/>
    <n v="0"/>
    <n v="0"/>
    <m/>
    <n v="0"/>
    <m/>
    <n v="0"/>
    <m/>
    <n v="0"/>
    <m/>
    <m/>
    <n v="0.02042116467341826"/>
    <n v="0"/>
    <n v="0"/>
    <n v="0"/>
    <m/>
    <n v="0"/>
    <n v="0"/>
    <n v="0"/>
    <n v="0"/>
    <n v="0"/>
    <x v="0"/>
    <m/>
    <x v="2"/>
    <x v="1"/>
    <s v="no root cause"/>
    <x v="1"/>
    <s v=""/>
  </r>
  <r>
    <s v="Bagam-IHS"/>
    <s v="OST_160"/>
    <s v="OUEST"/>
    <s v="IHS"/>
    <s v="Grid-Gen"/>
    <s v="OUEST"/>
    <s v="Bagam"/>
    <s v="NOKIA"/>
    <n v="1.639479545500935"/>
    <n v="0.1259879877479453"/>
    <n v="0"/>
    <n v="0"/>
    <n v="0.02789089016435018"/>
    <n v="0"/>
    <n v="0.6831155672761932"/>
    <n v="1.556898162268299"/>
    <n v="0.8891148478096007"/>
    <n v="0"/>
    <n v="0.3020205201882043"/>
    <n v="0"/>
    <n v="0.09083876953993901"/>
    <n v="0.06401009608113381"/>
    <n v="0"/>
    <n v="0.009363416116632774"/>
    <n v="0.02290024055953642"/>
    <n v="0"/>
    <n v="0"/>
    <n v="0.1184784252624612"/>
    <n v="0.5950673880599144"/>
    <n v="8.031724323907852"/>
    <n v="4.454435655317849"/>
    <n v="0"/>
    <m/>
    <n v="0"/>
    <m/>
    <n v="0.007579908284893305"/>
    <m/>
    <n v="0.03513510428526982"/>
    <m/>
    <m/>
    <n v="0.005154337633727526"/>
    <n v="0"/>
    <n v="0"/>
    <n v="0"/>
    <m/>
    <n v="0"/>
    <n v="0"/>
    <n v="0"/>
    <n v="0"/>
    <n v="0"/>
    <x v="0"/>
    <m/>
    <x v="2"/>
    <x v="1"/>
    <s v="no root cause"/>
    <x v="1"/>
    <s v=""/>
  </r>
  <r>
    <s v="Bsadi-ZoneA-New"/>
    <s v="LIT_277"/>
    <s v="Douala"/>
    <s v="IHS"/>
    <s v="GridOnly"/>
    <s v="LITTORAL"/>
    <s v="Douala"/>
    <s v="ZTE"/>
    <n v="0"/>
    <n v="0"/>
    <n v="6.943748876390067"/>
    <n v="0"/>
    <n v="0"/>
    <n v="4.166541821118446"/>
    <n v="1.539185093869585"/>
    <n v="0"/>
    <n v="0"/>
    <n v="0"/>
    <n v="2.195587316263024"/>
    <n v="0"/>
    <n v="7.246695516689354"/>
    <n v="0"/>
    <n v="3.446771565463298"/>
    <n v="0"/>
    <n v="0"/>
    <n v="0"/>
    <n v="0.2215651779370099"/>
    <n v="0"/>
    <n v="0"/>
    <n v="0"/>
    <n v="0"/>
    <n v="0"/>
    <m/>
    <n v="0"/>
    <m/>
    <n v="0"/>
    <m/>
    <n v="34.21092619701912"/>
    <m/>
    <m/>
    <n v="0"/>
    <n v="0"/>
    <n v="0"/>
    <n v="0"/>
    <m/>
    <n v="0"/>
    <n v="0"/>
    <n v="0"/>
    <n v="0"/>
    <n v="0"/>
    <x v="0"/>
    <m/>
    <x v="2"/>
    <x v="1"/>
    <s v="no root cause"/>
    <x v="1"/>
    <s v=""/>
  </r>
  <r>
    <s v="Makepe-AES"/>
    <s v="LIT_357"/>
    <s v="Douala"/>
    <s v="IHS"/>
    <s v="Grid-Gen"/>
    <s v="LITTORAL"/>
    <s v="Douala"/>
    <s v="ZTE"/>
    <n v="0"/>
    <n v="0"/>
    <n v="18.5289520393342"/>
    <n v="0"/>
    <n v="0"/>
    <n v="11.38416616015044"/>
    <n v="4.186570614068881"/>
    <n v="0"/>
    <n v="0"/>
    <n v="0"/>
    <n v="5.860446219391439"/>
    <n v="0"/>
    <n v="19.34583429642756"/>
    <n v="0"/>
    <n v="3.06383459891049"/>
    <n v="0"/>
    <n v="0"/>
    <n v="0"/>
    <n v="0.5949603775900105"/>
    <n v="0"/>
    <n v="0"/>
    <n v="0"/>
    <n v="0"/>
    <n v="0"/>
    <m/>
    <n v="0"/>
    <m/>
    <n v="0"/>
    <m/>
    <n v="30.4063294552739"/>
    <m/>
    <m/>
    <n v="0"/>
    <n v="0"/>
    <n v="0"/>
    <n v="0"/>
    <m/>
    <n v="0"/>
    <n v="0"/>
    <n v="0"/>
    <n v="0"/>
    <n v="0"/>
    <x v="0"/>
    <m/>
    <x v="2"/>
    <x v="1"/>
    <s v="no root cause"/>
    <x v="1"/>
    <s v=""/>
  </r>
  <r>
    <s v="LIT_862_Z_Bonamatoumbe-Village"/>
    <s v="LIT_862"/>
    <s v="Douala"/>
    <s v="ESCO"/>
    <s v="GE"/>
    <s v="LITTORAL"/>
    <s v="Douala"/>
    <s v="ZTE"/>
    <n v="6.80490279168914"/>
    <n v="1.628538836239738"/>
    <n v="14.45278056005"/>
    <n v="0"/>
    <n v="0"/>
    <n v="0"/>
    <n v="0"/>
    <n v="0"/>
    <n v="1.988076180040122"/>
    <n v="0"/>
    <n v="0.3826159351430942"/>
    <n v="0.06272597044228155"/>
    <n v="1.02369782526189"/>
    <n v="0.001551651813613344"/>
    <n v="0"/>
    <n v="3.039882088730228"/>
    <n v="0"/>
    <n v="4.910674793755154"/>
    <n v="0"/>
    <n v="0"/>
    <n v="2.344207023881884"/>
    <n v="0"/>
    <n v="0"/>
    <n v="0"/>
    <m/>
    <n v="0"/>
    <m/>
    <n v="0"/>
    <m/>
    <n v="12.62851957435515"/>
    <m/>
    <m/>
    <n v="0"/>
    <n v="0"/>
    <n v="0"/>
    <n v="0"/>
    <m/>
    <n v="0"/>
    <n v="0"/>
    <n v="0"/>
    <n v="0"/>
    <n v="0"/>
    <x v="0"/>
    <m/>
    <x v="2"/>
    <x v="1"/>
    <s v="no root cause"/>
    <x v="1"/>
    <s v=""/>
  </r>
  <r>
    <s v="Nkolbong"/>
    <s v="CTR_271"/>
    <s v="Yaounde"/>
    <s v="IHS"/>
    <s v="Grid-Gen"/>
    <s v="CENTRE"/>
    <s v="Yaounde"/>
    <s v="ZTE"/>
    <n v="0"/>
    <n v="0"/>
    <n v="0"/>
    <n v="0"/>
    <n v="0"/>
    <n v="0"/>
    <n v="0"/>
    <n v="26.2647389087215"/>
    <n v="0"/>
    <n v="0"/>
    <n v="0"/>
    <n v="0"/>
    <n v="5.677404810620008"/>
    <n v="23.75172286856547"/>
    <n v="29.67685691701409"/>
    <n v="0"/>
    <n v="0"/>
    <n v="0"/>
    <n v="0"/>
    <n v="0"/>
    <n v="0"/>
    <n v="0"/>
    <n v="0.2959017843639148"/>
    <n v="0"/>
    <m/>
    <n v="0"/>
    <m/>
    <n v="0"/>
    <m/>
    <n v="7.087428267315"/>
    <m/>
    <m/>
    <n v="0"/>
    <n v="0"/>
    <n v="0"/>
    <n v="0"/>
    <m/>
    <n v="0"/>
    <n v="0"/>
    <n v="0"/>
    <n v="0"/>
    <n v="0"/>
    <x v="0"/>
    <m/>
    <x v="2"/>
    <x v="1"/>
    <s v="no root cause"/>
    <x v="1"/>
    <s v=""/>
  </r>
  <r>
    <s v="Mbouda-Marche-Ignames"/>
    <s v="OST_297"/>
    <s v="OUEST"/>
    <s v="CAMUSAT"/>
    <s v="Medium Grid + Solar + GE"/>
    <s v="OUEST"/>
    <s v="Mbouda"/>
    <s v="Huawei"/>
    <n v="0"/>
    <n v="0"/>
    <n v="0.1982368954978555"/>
    <n v="0"/>
    <n v="0.2124157827601852"/>
    <n v="0"/>
    <n v="0.2138425890255769"/>
    <n v="0"/>
    <n v="0.187357497724244"/>
    <n v="0"/>
    <n v="0"/>
    <n v="0"/>
    <n v="0"/>
    <n v="0"/>
    <n v="0"/>
    <n v="0"/>
    <n v="0"/>
    <n v="0"/>
    <n v="1.635209155530444"/>
    <n v="6.315668758364653"/>
    <n v="0.0002675261747609386"/>
    <n v="8.917539158697954e-05"/>
    <n v="3.027379698829733"/>
    <n v="0"/>
    <m/>
    <n v="4.90584148753114"/>
    <m/>
    <n v="27.73711379921411"/>
    <m/>
    <n v="5.555858751886952"/>
    <m/>
    <m/>
    <n v="0"/>
    <n v="0"/>
    <n v="0"/>
    <n v="0"/>
    <m/>
    <n v="0"/>
    <n v="0"/>
    <n v="0"/>
    <n v="0"/>
    <n v="0"/>
    <x v="0"/>
    <m/>
    <x v="2"/>
    <x v="1"/>
    <s v="no root cause"/>
    <x v="1"/>
    <s v=""/>
  </r>
  <r>
    <s v="Bonangang"/>
    <s v="LIT_358"/>
    <s v="Douala"/>
    <s v="IHS"/>
    <s v="Grid-Gen"/>
    <s v="LITTORAL"/>
    <s v="Douala"/>
    <s v="ZTE"/>
    <n v="0"/>
    <n v="0"/>
    <n v="0"/>
    <n v="0"/>
    <n v="0"/>
    <n v="0"/>
    <n v="0"/>
    <n v="0"/>
    <n v="0"/>
    <n v="9.223660442937739"/>
    <n v="0"/>
    <n v="0.7106565306349567"/>
    <n v="0"/>
    <n v="0"/>
    <n v="0"/>
    <n v="0"/>
    <n v="0"/>
    <n v="0"/>
    <n v="0"/>
    <n v="0"/>
    <n v="0.6200721678609042"/>
    <n v="0"/>
    <n v="0"/>
    <n v="0"/>
    <m/>
    <n v="0"/>
    <m/>
    <n v="0"/>
    <m/>
    <n v="3.957603878630152"/>
    <m/>
    <m/>
    <n v="0"/>
    <n v="0"/>
    <n v="0"/>
    <n v="0"/>
    <m/>
    <n v="0"/>
    <n v="0"/>
    <n v="0"/>
    <n v="0"/>
    <n v="0"/>
    <x v="0"/>
    <m/>
    <x v="2"/>
    <x v="1"/>
    <s v="no root cause"/>
    <x v="1"/>
    <s v=""/>
  </r>
  <r>
    <s v="Edea-Lom"/>
    <s v="LIT_321"/>
    <s v="LITTORAL"/>
    <s v="IHS"/>
    <s v="Grid-Gen"/>
    <s v="LITTORAL"/>
    <s v="Edea"/>
    <s v="ZTE"/>
    <n v="0"/>
    <n v="0"/>
    <n v="0"/>
    <n v="0"/>
    <n v="0"/>
    <n v="0.8971579445999658"/>
    <n v="1.008020791420899"/>
    <n v="1.817804687343943"/>
    <n v="0"/>
    <n v="0"/>
    <n v="0"/>
    <n v="0"/>
    <n v="1.144655326410469"/>
    <n v="10.45312156674743"/>
    <n v="2.710717883304368"/>
    <n v="0"/>
    <n v="0"/>
    <n v="0"/>
    <n v="0"/>
    <n v="0"/>
    <n v="0"/>
    <n v="0"/>
    <n v="0"/>
    <n v="0"/>
    <m/>
    <n v="0"/>
    <m/>
    <n v="0"/>
    <m/>
    <n v="3.637446387754576"/>
    <m/>
    <m/>
    <n v="0"/>
    <n v="0"/>
    <n v="0"/>
    <n v="0"/>
    <m/>
    <n v="0"/>
    <n v="0"/>
    <n v="0"/>
    <n v="0"/>
    <n v="0"/>
    <x v="0"/>
    <m/>
    <x v="2"/>
    <x v="1"/>
    <s v="no root cause"/>
    <x v="1"/>
    <s v=""/>
  </r>
  <r>
    <s v="Dschang-St-Augustin"/>
    <s v="OST_084"/>
    <s v="OUEST"/>
    <s v="IHS"/>
    <s v="Grid-Gen"/>
    <s v="OUEST"/>
    <s v="Dschang"/>
    <s v="Huawei"/>
    <n v="2.258545142723431"/>
    <n v="1.819409844392509"/>
    <n v="2.277004448781936"/>
    <n v="3.295369585626924"/>
    <n v="7.143590928936487"/>
    <n v="17.81328385169205"/>
    <n v="9.536737407721304"/>
    <n v="16.93954336492282"/>
    <n v="18.49140919947608"/>
    <n v="21.45269209806154"/>
    <n v="18.49114167330132"/>
    <n v="0"/>
    <n v="18.49140919947608"/>
    <n v="18.49140919947608"/>
    <n v="18.49114167330132"/>
    <n v="18.49140919947608"/>
    <n v="18.49140919947608"/>
    <n v="0"/>
    <n v="0"/>
    <n v="0"/>
    <n v="2.555142495141723"/>
    <n v="0"/>
    <n v="0"/>
    <n v="0"/>
    <m/>
    <n v="0"/>
    <m/>
    <n v="0.3036243732753479"/>
    <m/>
    <n v="3.529116122054714"/>
    <m/>
    <m/>
    <n v="0"/>
    <n v="0"/>
    <n v="0"/>
    <n v="0"/>
    <m/>
    <n v="0"/>
    <n v="0"/>
    <n v="0"/>
    <n v="0"/>
    <n v="0"/>
    <x v="0"/>
    <m/>
    <x v="2"/>
    <x v="1"/>
    <s v="no root cause"/>
    <x v="1"/>
    <s v=""/>
  </r>
  <r>
    <s v="Logpom-II"/>
    <s v="LIT_274"/>
    <s v="Douala"/>
    <s v="IHS"/>
    <s v="Grid-Gen"/>
    <s v="LITTORAL"/>
    <s v="Douala"/>
    <s v="ZTE"/>
    <n v="0"/>
    <n v="0"/>
    <n v="0"/>
    <n v="0"/>
    <n v="0"/>
    <n v="0"/>
    <n v="0"/>
    <n v="0"/>
    <n v="0"/>
    <n v="0"/>
    <n v="0"/>
    <n v="0"/>
    <n v="0"/>
    <n v="0"/>
    <n v="0"/>
    <n v="3.149014932954374"/>
    <n v="0"/>
    <n v="0"/>
    <n v="0"/>
    <n v="0"/>
    <n v="0"/>
    <n v="0"/>
    <n v="9.84908313429386"/>
    <n v="0"/>
    <m/>
    <n v="0"/>
    <m/>
    <n v="0"/>
    <m/>
    <n v="3.473113976138093"/>
    <m/>
    <m/>
    <n v="0"/>
    <n v="0"/>
    <n v="0"/>
    <n v="0"/>
    <m/>
    <n v="0"/>
    <n v="0"/>
    <n v="0"/>
    <n v="0"/>
    <n v="0"/>
    <x v="0"/>
    <m/>
    <x v="2"/>
    <x v="1"/>
    <s v="no root cause"/>
    <x v="1"/>
    <s v=""/>
  </r>
  <r>
    <s v="Dschang-Rectorat-MTN"/>
    <s v="OST_097"/>
    <s v="OUEST"/>
    <s v="IHS"/>
    <s v="Grid-Gen"/>
    <s v="OUEST"/>
    <s v="Dschang"/>
    <s v="Huawei"/>
    <n v="0"/>
    <n v="0"/>
    <n v="0"/>
    <n v="0"/>
    <n v="0"/>
    <n v="0"/>
    <n v="0"/>
    <n v="0"/>
    <n v="0"/>
    <n v="0"/>
    <n v="5.883970687692084"/>
    <n v="0"/>
    <n v="0"/>
    <n v="0"/>
    <n v="0"/>
    <n v="0"/>
    <n v="0"/>
    <n v="0"/>
    <n v="0"/>
    <n v="0"/>
    <n v="0"/>
    <n v="0"/>
    <n v="0"/>
    <n v="0"/>
    <m/>
    <n v="0"/>
    <m/>
    <n v="0"/>
    <m/>
    <n v="3.133177383408526"/>
    <m/>
    <m/>
    <n v="0"/>
    <n v="0"/>
    <n v="0"/>
    <n v="0"/>
    <m/>
    <n v="0"/>
    <n v="0"/>
    <n v="0"/>
    <n v="0"/>
    <n v="0"/>
    <x v="0"/>
    <m/>
    <x v="2"/>
    <x v="1"/>
    <s v="no root cause"/>
    <x v="1"/>
    <s v=""/>
  </r>
  <r>
    <s v="Dschang"/>
    <s v="OST_011"/>
    <s v="OUEST"/>
    <s v="CAMUSAT"/>
    <s v="Medium Grid + Solar + GE"/>
    <s v="OUEST"/>
    <s v="Dschang"/>
    <s v="Huawei"/>
    <n v="0"/>
    <n v="0"/>
    <n v="0"/>
    <n v="0"/>
    <n v="0"/>
    <n v="0"/>
    <n v="0"/>
    <n v="0"/>
    <n v="0"/>
    <n v="0"/>
    <n v="0"/>
    <n v="0"/>
    <n v="0"/>
    <n v="0"/>
    <n v="0"/>
    <n v="0"/>
    <n v="0"/>
    <n v="0"/>
    <n v="0"/>
    <n v="0"/>
    <m/>
    <n v="0"/>
    <n v="0"/>
    <n v="0"/>
    <m/>
    <n v="0"/>
    <m/>
    <n v="0"/>
    <m/>
    <n v="2.710218501111482"/>
    <m/>
    <m/>
    <n v="0"/>
    <n v="0"/>
    <n v="0"/>
    <n v="0"/>
    <m/>
    <n v="0"/>
    <n v="0"/>
    <n v="0"/>
    <n v="0"/>
    <n v="0"/>
    <x v="0"/>
    <m/>
    <x v="2"/>
    <x v="1"/>
    <s v="no root cause"/>
    <x v="1"/>
    <s v=""/>
  </r>
  <r>
    <s v="Nkeng-Likok-II"/>
    <s v="LIT_658"/>
    <s v="LITTORAL"/>
    <s v="CAMUSAT"/>
    <s v="Hybrid Solar - S3"/>
    <s v="LITTORAL"/>
    <s v="Nkeng-Likok-II"/>
    <s v="NOKIA"/>
    <n v="0"/>
    <n v="0"/>
    <n v="0"/>
    <n v="0"/>
    <n v="0"/>
    <n v="0"/>
    <n v="0"/>
    <n v="0"/>
    <n v="0"/>
    <n v="0"/>
    <n v="0"/>
    <n v="0"/>
    <n v="0"/>
    <n v="0"/>
    <n v="0"/>
    <n v="0"/>
    <n v="0"/>
    <n v="0"/>
    <n v="0"/>
    <n v="0"/>
    <n v="0"/>
    <n v="3.209743374625107"/>
    <n v="8.30986237026764"/>
    <n v="4.621782195169976"/>
    <m/>
    <n v="4.621996216109785"/>
    <m/>
    <n v="4.621782195169976"/>
    <m/>
    <n v="2.4905260063978"/>
    <m/>
    <m/>
    <n v="0"/>
    <n v="0"/>
    <n v="0"/>
    <n v="0"/>
    <m/>
    <n v="0"/>
    <n v="0"/>
    <n v="0"/>
    <n v="0"/>
    <n v="0"/>
    <x v="2"/>
    <m/>
    <x v="9"/>
    <x v="5"/>
    <s v="EXCLU"/>
    <x v="4"/>
    <s v=""/>
  </r>
  <r>
    <s v="Denver"/>
    <s v="LIT_106"/>
    <s v="Douala"/>
    <s v="IHS"/>
    <s v="Grid-Gen"/>
    <s v="LITTORAL"/>
    <s v="Douala"/>
    <s v="ZTE"/>
    <n v="0"/>
    <n v="0"/>
    <n v="0"/>
    <n v="0"/>
    <n v="0"/>
    <n v="0"/>
    <n v="0"/>
    <n v="0"/>
    <n v="0"/>
    <n v="0"/>
    <n v="0"/>
    <n v="0"/>
    <n v="0"/>
    <n v="0"/>
    <n v="0"/>
    <n v="0"/>
    <n v="0"/>
    <n v="0"/>
    <n v="0"/>
    <n v="0"/>
    <n v="0"/>
    <n v="0"/>
    <n v="0"/>
    <n v="0"/>
    <m/>
    <n v="0"/>
    <m/>
    <n v="0"/>
    <m/>
    <n v="2.413531973301601"/>
    <m/>
    <m/>
    <n v="0"/>
    <n v="0"/>
    <n v="0"/>
    <n v="0"/>
    <m/>
    <n v="0"/>
    <n v="0"/>
    <n v="0"/>
    <n v="0"/>
    <n v="0"/>
    <x v="0"/>
    <m/>
    <x v="2"/>
    <x v="1"/>
    <s v="no root cause"/>
    <x v="1"/>
    <s v=""/>
  </r>
  <r>
    <s v="Marche-Congo"/>
    <s v="LIT_547"/>
    <s v="Douala"/>
    <s v="CAMUSAT"/>
    <s v="Good Grid no GE - 8h"/>
    <s v="LITTORAL"/>
    <s v="Douala"/>
    <s v="ZTE"/>
    <n v="0"/>
    <n v="0"/>
    <n v="24.47522065558895"/>
    <n v="28.88096654710031"/>
    <n v="0"/>
    <n v="0"/>
    <n v="0"/>
    <n v="61.36729417606216"/>
    <n v="61.40524722272158"/>
    <n v="0"/>
    <n v="0"/>
    <n v="0.1225091529621925"/>
    <n v="16.59593274605988"/>
    <n v="13.86855689960706"/>
    <n v="36.32441864778717"/>
    <n v="5.042565197912294"/>
    <n v="0"/>
    <n v="0"/>
    <n v="0"/>
    <n v="16.5901006754501"/>
    <n v="0"/>
    <n v="2.047841527481716"/>
    <n v="0"/>
    <n v="0"/>
    <m/>
    <n v="0"/>
    <m/>
    <n v="0"/>
    <m/>
    <n v="2.274614548287405"/>
    <m/>
    <m/>
    <n v="0"/>
    <n v="0"/>
    <n v="0"/>
    <n v="0"/>
    <m/>
    <n v="0"/>
    <n v="0"/>
    <n v="0"/>
    <n v="0"/>
    <n v="0"/>
    <x v="0"/>
    <m/>
    <x v="2"/>
    <x v="1"/>
    <s v="no root cause"/>
    <x v="1"/>
    <s v=""/>
  </r>
  <r>
    <s v="Denver2"/>
    <s v="LIT_486"/>
    <s v="Douala"/>
    <s v="IHS"/>
    <s v="GridOnly"/>
    <s v="LITTORAL"/>
    <s v="Douala"/>
    <s v="ZTE"/>
    <n v="0"/>
    <n v="0"/>
    <n v="0"/>
    <n v="0"/>
    <n v="0"/>
    <n v="27.21645435789437"/>
    <n v="0"/>
    <n v="0"/>
    <n v="0"/>
    <n v="0"/>
    <n v="0"/>
    <n v="0"/>
    <n v="0"/>
    <n v="0"/>
    <n v="0"/>
    <n v="0"/>
    <n v="0"/>
    <n v="0"/>
    <n v="0"/>
    <n v="0"/>
    <n v="0.009898468466154909"/>
    <n v="0"/>
    <n v="0"/>
    <n v="0"/>
    <m/>
    <n v="0"/>
    <m/>
    <n v="0"/>
    <m/>
    <n v="2.134609183495846"/>
    <m/>
    <m/>
    <n v="0"/>
    <n v="0"/>
    <n v="0"/>
    <n v="0"/>
    <m/>
    <n v="0"/>
    <n v="0"/>
    <n v="0"/>
    <n v="0"/>
    <n v="0"/>
    <x v="0"/>
    <m/>
    <x v="2"/>
    <x v="1"/>
    <s v="no root cause"/>
    <x v="1"/>
    <s v=""/>
  </r>
  <r>
    <s v="Beedi"/>
    <s v="LIT_127"/>
    <s v="Douala"/>
    <s v="IHS"/>
    <s v="Grid-Gen"/>
    <s v="LITTORAL"/>
    <s v="Douala"/>
    <s v="ZTE"/>
    <n v="0"/>
    <n v="1.397628077264413"/>
    <n v="0"/>
    <n v="0"/>
    <n v="5.038534470212565"/>
    <n v="0"/>
    <n v="0"/>
    <n v="0"/>
    <n v="0"/>
    <n v="0"/>
    <n v="0"/>
    <n v="0"/>
    <n v="2.687015064220549"/>
    <n v="0"/>
    <n v="5.679259658765013"/>
    <n v="0.4211753744653046"/>
    <n v="0"/>
    <n v="1.357427810737002"/>
    <n v="0"/>
    <n v="0"/>
    <n v="0"/>
    <n v="0"/>
    <n v="1.084390596775988"/>
    <n v="0"/>
    <m/>
    <n v="0"/>
    <m/>
    <n v="0"/>
    <m/>
    <n v="2.101846144626788"/>
    <m/>
    <m/>
    <n v="0"/>
    <n v="0"/>
    <n v="0"/>
    <n v="0"/>
    <m/>
    <n v="0"/>
    <n v="0"/>
    <n v="0"/>
    <n v="0"/>
    <n v="0"/>
    <x v="0"/>
    <m/>
    <x v="2"/>
    <x v="1"/>
    <s v="no root cause"/>
    <x v="1"/>
    <s v=""/>
  </r>
  <r>
    <s v="Ngodi-Cite"/>
    <s v="LIT_626"/>
    <s v="Douala"/>
    <s v="CAMUSAT"/>
    <s v="Good Grid no GE - 8h"/>
    <s v="LITTORAL"/>
    <s v="Douala"/>
    <s v="ZTE"/>
    <n v="0"/>
    <n v="14.40794317316006"/>
    <n v="23.61501699326262"/>
    <n v="0"/>
    <n v="0"/>
    <n v="2.498516121483993"/>
    <n v="0"/>
    <n v="0"/>
    <n v="0"/>
    <n v="0.3392766948318227"/>
    <n v="0"/>
    <n v="0"/>
    <n v="0"/>
    <n v="0"/>
    <n v="0"/>
    <n v="0"/>
    <n v="0"/>
    <n v="0"/>
    <n v="0.02058168037827473"/>
    <n v="0"/>
    <n v="0"/>
    <n v="0"/>
    <n v="0"/>
    <n v="0"/>
    <m/>
    <n v="0"/>
    <m/>
    <n v="0"/>
    <m/>
    <n v="2.056973087580222"/>
    <m/>
    <m/>
    <n v="0"/>
    <n v="0"/>
    <n v="0"/>
    <n v="0"/>
    <m/>
    <n v="0"/>
    <n v="0"/>
    <n v="0"/>
    <n v="0"/>
    <n v="0"/>
    <x v="0"/>
    <m/>
    <x v="2"/>
    <x v="1"/>
    <s v="no root cause"/>
    <x v="1"/>
    <s v=""/>
  </r>
  <r>
    <s v="Koloko"/>
    <s v="LIT_079"/>
    <s v="Douala"/>
    <s v="IHS"/>
    <s v="Grid-Gen"/>
    <s v="LITTORAL"/>
    <s v="Douala"/>
    <s v="ZTE"/>
    <n v="0"/>
    <n v="0"/>
    <n v="0"/>
    <n v="0"/>
    <n v="0"/>
    <n v="0"/>
    <n v="0"/>
    <n v="0"/>
    <n v="0"/>
    <n v="0"/>
    <n v="0"/>
    <n v="0"/>
    <n v="0"/>
    <n v="0"/>
    <n v="0"/>
    <n v="0"/>
    <n v="0"/>
    <n v="0"/>
    <n v="0"/>
    <n v="0"/>
    <m/>
    <n v="0"/>
    <n v="0"/>
    <n v="0"/>
    <m/>
    <n v="0"/>
    <m/>
    <n v="0"/>
    <m/>
    <n v="1.586180525235921"/>
    <m/>
    <m/>
    <n v="0"/>
    <n v="0"/>
    <n v="0"/>
    <n v="0"/>
    <m/>
    <n v="0"/>
    <n v="0"/>
    <n v="0"/>
    <n v="0"/>
    <n v="0"/>
    <x v="0"/>
    <m/>
    <x v="2"/>
    <x v="1"/>
    <s v="no root cause"/>
    <x v="1"/>
    <s v=""/>
  </r>
  <r>
    <s v="Sable"/>
    <s v="LIT_267"/>
    <s v="Douala"/>
    <s v="IHS"/>
    <s v="Grid-Gen"/>
    <s v="LITTORAL"/>
    <s v="Douala"/>
    <s v="ZTE"/>
    <n v="0"/>
    <n v="0"/>
    <n v="0"/>
    <n v="0.9245347898171697"/>
    <n v="0"/>
    <n v="0"/>
    <n v="0"/>
    <n v="0"/>
    <n v="0"/>
    <n v="0"/>
    <n v="0"/>
    <n v="0"/>
    <n v="0"/>
    <n v="0"/>
    <n v="0"/>
    <n v="0"/>
    <n v="0"/>
    <n v="26.7787993710638"/>
    <n v="0"/>
    <n v="0"/>
    <n v="0"/>
    <n v="0"/>
    <n v="0"/>
    <n v="0"/>
    <m/>
    <n v="0"/>
    <m/>
    <n v="0"/>
    <m/>
    <n v="1.55832213290415"/>
    <m/>
    <m/>
    <n v="0"/>
    <n v="0"/>
    <n v="0"/>
    <n v="0"/>
    <m/>
    <n v="0"/>
    <n v="0"/>
    <n v="0"/>
    <n v="0"/>
    <n v="0"/>
    <x v="0"/>
    <m/>
    <x v="2"/>
    <x v="1"/>
    <s v="no root cause"/>
    <x v="1"/>
    <s v=""/>
  </r>
  <r>
    <s v="Ndoumbi"/>
    <s v="EST_185"/>
    <s v="CENTRE"/>
    <s v="ESCO"/>
    <s v="Hybrid Solar - S3"/>
    <s v="EST"/>
    <s v="Ndoumbi"/>
    <s v="NOKIA"/>
    <n v="3.081901533246013"/>
    <n v="3.081901533246013"/>
    <n v="3.081901533246013"/>
    <n v="3.081901533246013"/>
    <n v="3.081901533246013"/>
    <n v="3.081901533246013"/>
    <n v="3.081901533246013"/>
    <n v="3.081901533246013"/>
    <n v="3.397778605325412"/>
    <n v="3.081901533246013"/>
    <n v="3.081901533246013"/>
    <n v="0"/>
    <n v="3.081901533246013"/>
    <s v=""/>
    <n v="3.087311293306168"/>
    <n v="3.081901533246013"/>
    <n v="3.081901533246013"/>
    <n v="3.081901533246013"/>
    <n v="2.97309502809814"/>
    <n v="3.160589898782364"/>
    <n v="13.86855689960706"/>
    <n v="1.757932329432445"/>
    <n v="0.1020301464250644"/>
    <n v="0"/>
    <m/>
    <n v="1.540950766623006"/>
    <m/>
    <n v="1.540950766623006"/>
    <m/>
    <n v="1.540950766623006"/>
    <m/>
    <m/>
    <n v="0"/>
    <n v="0"/>
    <n v="0"/>
    <n v="0"/>
    <m/>
    <n v="0"/>
    <n v="0"/>
    <n v="0"/>
    <n v="0"/>
    <n v="0"/>
    <x v="0"/>
    <m/>
    <x v="2"/>
    <x v="1"/>
    <s v="no root cause"/>
    <x v="1"/>
    <s v=""/>
  </r>
  <r>
    <s v="Bamenda-CRTV"/>
    <s v="NRO_008"/>
    <s v="NORD-OUEST"/>
    <s v="CAMUSAT"/>
    <s v="Good Grid + GE"/>
    <s v="NORD-OUEST"/>
    <s v="Bamenda"/>
    <s v="Huawei"/>
    <n v="0"/>
    <n v="0"/>
    <n v="0"/>
    <n v="0"/>
    <n v="0"/>
    <n v="0"/>
    <n v="0"/>
    <n v="0"/>
    <n v="0"/>
    <n v="0"/>
    <n v="0"/>
    <n v="0"/>
    <n v="0"/>
    <n v="0"/>
    <n v="0"/>
    <n v="0"/>
    <n v="0"/>
    <n v="0.4248672356770052"/>
    <n v="0"/>
    <n v="0"/>
    <n v="0"/>
    <n v="0"/>
    <n v="0"/>
    <n v="0"/>
    <m/>
    <n v="0"/>
    <m/>
    <n v="0"/>
    <m/>
    <n v="1.361833075081399"/>
    <m/>
    <m/>
    <n v="0"/>
    <n v="0"/>
    <n v="0"/>
    <n v="0"/>
    <m/>
    <n v="0"/>
    <n v="0"/>
    <n v="0"/>
    <n v="0"/>
    <n v="0"/>
    <x v="0"/>
    <m/>
    <x v="2"/>
    <x v="1"/>
    <s v="no root cause"/>
    <x v="1"/>
    <s v=""/>
  </r>
  <r>
    <s v="LIT_863_Z_Kotto-Logpom-New"/>
    <s v="LIT_863"/>
    <s v="Douala"/>
    <m/>
    <e v="#N/A"/>
    <s v="LITTORAL"/>
    <s v="Douala"/>
    <s v="ZTE"/>
    <n v="0"/>
    <n v="0"/>
    <n v="0"/>
    <n v="0"/>
    <n v="0"/>
    <n v="0"/>
    <n v="0"/>
    <n v="0"/>
    <n v="0"/>
    <n v="0"/>
    <n v="0"/>
    <n v="0"/>
    <n v="0"/>
    <n v="0"/>
    <n v="0"/>
    <n v="0"/>
    <n v="0"/>
    <n v="0"/>
    <n v="0"/>
    <n v="0"/>
    <n v="0"/>
    <n v="0"/>
    <n v="5.645016308395616"/>
    <n v="0"/>
    <m/>
    <n v="0"/>
    <m/>
    <n v="0"/>
    <m/>
    <n v="1.251095073808688"/>
    <m/>
    <m/>
    <n v="0"/>
    <n v="0"/>
    <n v="0"/>
    <n v="0"/>
    <m/>
    <n v="0"/>
    <n v="0"/>
    <n v="0"/>
    <n v="0"/>
    <n v="0"/>
    <x v="0"/>
    <m/>
    <x v="2"/>
    <x v="1"/>
    <s v="no root cause"/>
    <x v="1"/>
    <s v=""/>
  </r>
  <r>
    <s v="Soa-II"/>
    <s v="CTR_317"/>
    <s v="Yaounde"/>
    <s v="IHS"/>
    <s v="Grid-Gen"/>
    <s v="CENTRE"/>
    <s v="Yaounde"/>
    <s v="ZTE"/>
    <n v="0"/>
    <n v="0"/>
    <n v="0"/>
    <n v="0"/>
    <n v="0"/>
    <n v="0"/>
    <n v="0"/>
    <n v="0"/>
    <n v="0"/>
    <n v="0"/>
    <n v="0"/>
    <n v="0"/>
    <n v="0"/>
    <n v="0"/>
    <n v="0"/>
    <n v="0"/>
    <n v="0"/>
    <n v="0"/>
    <n v="0"/>
    <n v="0.04308954921482839"/>
    <n v="0"/>
    <n v="0.01751404690768238"/>
    <n v="0"/>
    <n v="0"/>
    <m/>
    <n v="0"/>
    <m/>
    <n v="0.8556022121204334"/>
    <m/>
    <n v="1.24950775183844"/>
    <m/>
    <m/>
    <n v="0"/>
    <n v="0"/>
    <n v="0"/>
    <n v="0"/>
    <m/>
    <n v="0"/>
    <n v="0"/>
    <n v="0"/>
    <n v="0"/>
    <n v="0"/>
    <x v="0"/>
    <m/>
    <x v="2"/>
    <x v="1"/>
    <s v="no root cause"/>
    <x v="1"/>
    <s v=""/>
  </r>
  <r>
    <s v="Foumban-Kounga-II"/>
    <s v="OST_233"/>
    <s v="OUEST"/>
    <s v="CAMUSAT"/>
    <s v="Medium Grid + GE"/>
    <s v="OUEST"/>
    <s v="Foumban"/>
    <s v="Huawei"/>
    <n v="0"/>
    <n v="0.007223206718545342"/>
    <n v="6.93672185553301"/>
    <n v="12.39058179452278"/>
    <n v="0"/>
    <n v="1.288120696395602"/>
    <n v="0"/>
    <n v="0"/>
    <n v="13.0881830478294"/>
    <n v="18.49140919947608"/>
    <n v="18.25928565517517"/>
    <n v="0"/>
    <n v="0"/>
    <n v="0"/>
    <n v="0"/>
    <n v="1.725561662286371"/>
    <n v="0"/>
    <n v="0"/>
    <n v="0"/>
    <n v="0"/>
    <n v="0"/>
    <n v="0"/>
    <n v="0"/>
    <n v="0"/>
    <m/>
    <n v="0"/>
    <m/>
    <n v="0"/>
    <m/>
    <n v="1.228569369893817"/>
    <m/>
    <m/>
    <n v="0"/>
    <n v="0"/>
    <n v="0"/>
    <n v="0"/>
    <m/>
    <n v="0"/>
    <n v="0"/>
    <n v="0"/>
    <n v="0"/>
    <n v="0"/>
    <x v="0"/>
    <m/>
    <x v="2"/>
    <x v="1"/>
    <s v="no root cause"/>
    <x v="1"/>
    <s v=""/>
  </r>
  <r>
    <s v="Soa"/>
    <s v="CTR_031"/>
    <s v="Yaounde"/>
    <s v="IHS"/>
    <s v="Grid-Gen"/>
    <s v="CENTRE"/>
    <s v="Yaounde"/>
    <s v="ZTE"/>
    <n v="0"/>
    <n v="0"/>
    <n v="0"/>
    <n v="0"/>
    <n v="0"/>
    <n v="0"/>
    <n v="0"/>
    <n v="0"/>
    <n v="0"/>
    <n v="0"/>
    <n v="0"/>
    <n v="0"/>
    <n v="0"/>
    <n v="0"/>
    <n v="0"/>
    <n v="0"/>
    <n v="0"/>
    <n v="0"/>
    <n v="0"/>
    <n v="0.03158592370010813"/>
    <n v="0"/>
    <n v="0.03319108074867377"/>
    <n v="0"/>
    <n v="0"/>
    <m/>
    <n v="0"/>
    <m/>
    <n v="1.869258888289631"/>
    <m/>
    <n v="1.171122582633486"/>
    <m/>
    <m/>
    <n v="0"/>
    <n v="0"/>
    <n v="0"/>
    <n v="0"/>
    <m/>
    <n v="0"/>
    <n v="0"/>
    <n v="0"/>
    <n v="0"/>
    <n v="0"/>
    <x v="0"/>
    <m/>
    <x v="2"/>
    <x v="1"/>
    <s v="no root cause"/>
    <x v="1"/>
    <s v=""/>
  </r>
  <r>
    <s v="Sonara"/>
    <s v="SUO_171"/>
    <s v="SUD-OUEST"/>
    <s v="CAMUSAT"/>
    <s v="Medium Grid + GE"/>
    <s v="SUD-OUEST"/>
    <s v="Limbe"/>
    <s v="Huawei"/>
    <n v="5.585679002833638"/>
    <n v="0.04592532666729448"/>
    <n v="0"/>
    <n v="0"/>
    <n v="0"/>
    <n v="0"/>
    <n v="0"/>
    <n v="0"/>
    <n v="10.08163472047438"/>
    <n v="0"/>
    <n v="0"/>
    <n v="0.04055696809375831"/>
    <n v="0.789202215544769"/>
    <n v="0"/>
    <n v="0"/>
    <n v="2.078054150151384"/>
    <n v="3.825891825256183"/>
    <n v="13.86855689960706"/>
    <n v="13.8682893734323"/>
    <n v="13.86855689960706"/>
    <n v="0"/>
    <n v="13.86855689960706"/>
    <n v="8.389085788153514"/>
    <n v="0.7626279488518488"/>
    <m/>
    <n v="0.3076194308184446"/>
    <m/>
    <n v="0"/>
    <m/>
    <n v="1.123324572742864"/>
    <m/>
    <m/>
    <n v="0"/>
    <n v="0"/>
    <n v="0"/>
    <n v="0"/>
    <m/>
    <n v="0"/>
    <n v="0"/>
    <n v="0"/>
    <n v="0"/>
    <n v="0"/>
    <x v="0"/>
    <m/>
    <x v="2"/>
    <x v="1"/>
    <s v="no root cause"/>
    <x v="1"/>
    <s v=""/>
  </r>
  <r>
    <s v="Montee-Des-Soeurs-IHS"/>
    <s v="CTR_149"/>
    <s v="Yaounde"/>
    <s v="IHS"/>
    <s v="Grid-Gen"/>
    <s v="CENTRE"/>
    <s v="Yaounde"/>
    <s v="ZTE"/>
    <n v="0"/>
    <n v="0"/>
    <n v="0"/>
    <n v="0"/>
    <n v="0"/>
    <n v="0"/>
    <n v="0"/>
    <n v="5.568022275299416"/>
    <n v="18.68969960020888"/>
    <n v="0"/>
    <n v="0"/>
    <n v="0"/>
    <n v="0"/>
    <n v="0"/>
    <n v="0"/>
    <n v="0"/>
    <n v="0"/>
    <n v="0"/>
    <n v="0"/>
    <n v="0.02801890803662844"/>
    <n v="0"/>
    <n v="0"/>
    <n v="0"/>
    <n v="0"/>
    <m/>
    <n v="0"/>
    <m/>
    <n v="0"/>
    <m/>
    <n v="1.120863331935065"/>
    <m/>
    <m/>
    <n v="0"/>
    <n v="0"/>
    <n v="0"/>
    <n v="0"/>
    <m/>
    <n v="0"/>
    <n v="0"/>
    <n v="0"/>
    <n v="0"/>
    <n v="0"/>
    <x v="0"/>
    <m/>
    <x v="2"/>
    <x v="1"/>
    <s v="no root cause"/>
    <x v="1"/>
    <s v=""/>
  </r>
  <r>
    <s v="Ekombitie-II"/>
    <s v="CTR_723"/>
    <s v="Yaounde"/>
    <s v="CAMUSAT"/>
    <s v="Good Grid + GE"/>
    <s v="CENTRE"/>
    <s v="Yaounde"/>
    <s v="ZTE"/>
    <n v="5.330566042581607"/>
    <n v="0"/>
    <n v="0"/>
    <n v="1.443232372521994"/>
    <n v="0"/>
    <n v="2.328601330354162"/>
    <n v="0"/>
    <n v="0"/>
    <n v="0.5542428937913954"/>
    <n v="2.307538102861317"/>
    <n v="0"/>
    <n v="0"/>
    <n v="0"/>
    <n v="0"/>
    <n v="0.3645846709642068"/>
    <n v="12.94719675373038"/>
    <n v="0"/>
    <n v="0"/>
    <n v="0"/>
    <n v="0"/>
    <n v="0"/>
    <n v="0.7899156186774653"/>
    <n v="3.730438486101479"/>
    <n v="0"/>
    <m/>
    <n v="0"/>
    <m/>
    <n v="0"/>
    <m/>
    <n v="1.085799567963063"/>
    <m/>
    <m/>
    <n v="0"/>
    <n v="0"/>
    <n v="0"/>
    <n v="0"/>
    <m/>
    <n v="0"/>
    <n v="0"/>
    <n v="0"/>
    <n v="0"/>
    <n v="0"/>
    <x v="0"/>
    <m/>
    <x v="2"/>
    <x v="1"/>
    <s v="no root cause"/>
    <x v="1"/>
    <s v=""/>
  </r>
  <r>
    <s v="BBeri-Dikolo-Centre-Equestre"/>
    <s v="LIT_681"/>
    <s v="Douala"/>
    <s v="CAMUSAT"/>
    <s v="Good Grid no GE - 8h"/>
    <s v="LITTORAL"/>
    <s v="Douala"/>
    <s v="ZTE"/>
    <n v="10.86593228948187"/>
    <n v="0"/>
    <n v="0"/>
    <n v="13.80458247368256"/>
    <n v="1.186211058890002"/>
    <n v="4.996051313660529"/>
    <n v="0"/>
    <n v="0"/>
    <n v="0"/>
    <n v="0"/>
    <n v="0"/>
    <n v="0"/>
    <n v="0"/>
    <n v="0"/>
    <n v="0"/>
    <n v="1.795314653585707"/>
    <n v="0"/>
    <n v="0"/>
    <n v="0"/>
    <n v="0"/>
    <n v="11.36542149283885"/>
    <n v="0"/>
    <n v="6.434628730741681"/>
    <n v="0"/>
    <m/>
    <n v="0"/>
    <m/>
    <n v="0"/>
    <m/>
    <n v="0.9644675301698183"/>
    <m/>
    <m/>
    <n v="0"/>
    <n v="0"/>
    <n v="0"/>
    <n v="0"/>
    <m/>
    <n v="0"/>
    <n v="0"/>
    <n v="0"/>
    <n v="0"/>
    <n v="0"/>
    <x v="0"/>
    <m/>
    <x v="2"/>
    <x v="1"/>
    <s v="no root cause"/>
    <x v="1"/>
    <s v=""/>
  </r>
  <r>
    <s v="SOA-Vallee"/>
    <s v="CTR_714"/>
    <s v="Yaounde"/>
    <s v="CAMUSAT"/>
    <s v="Good Grid + GE"/>
    <s v="CENTRE"/>
    <s v="Yaounde"/>
    <s v="ZTE"/>
    <n v="4.366597894604674"/>
    <n v="5.770343403731954"/>
    <n v="0"/>
    <n v="0"/>
    <n v="0.9032932115411504"/>
    <n v="0"/>
    <n v="0"/>
    <n v="0"/>
    <n v="0"/>
    <n v="0"/>
    <n v="0"/>
    <n v="0"/>
    <n v="0"/>
    <n v="0"/>
    <n v="0"/>
    <n v="0"/>
    <n v="0"/>
    <n v="0"/>
    <n v="0"/>
    <n v="0.01334063858141217"/>
    <n v="0.07481815354147585"/>
    <n v="0.00927424072504641"/>
    <n v="0"/>
    <n v="0"/>
    <m/>
    <n v="0"/>
    <m/>
    <n v="0.6635184186420804"/>
    <m/>
    <n v="0.9608470092713876"/>
    <m/>
    <m/>
    <n v="0"/>
    <n v="0"/>
    <n v="0"/>
    <n v="0"/>
    <m/>
    <n v="0"/>
    <n v="0"/>
    <n v="0"/>
    <n v="0"/>
    <n v="0"/>
    <x v="0"/>
    <m/>
    <x v="2"/>
    <x v="1"/>
    <s v="no root cause"/>
    <x v="1"/>
    <s v=""/>
  </r>
  <r>
    <s v="Ange-raphael-II"/>
    <s v="LIT_696"/>
    <s v="Douala"/>
    <s v="CAMUSAT"/>
    <s v="Good Grid no GE - 8h"/>
    <s v="LITTORAL"/>
    <s v="Douala"/>
    <s v="ZTE"/>
    <n v="0"/>
    <n v="0"/>
    <n v="0"/>
    <n v="11.67425370898289"/>
    <n v="0"/>
    <n v="0"/>
    <n v="0.8589730419224211"/>
    <n v="10.66031167156062"/>
    <n v="1.062399945210639"/>
    <n v="3.88221500258252"/>
    <n v="4.697385092157417"/>
    <n v="0.07182186038415331"/>
    <n v="6.649131217665004"/>
    <n v="1.840134205397323"/>
    <n v="2.801462761783279"/>
    <n v="2.393645860977705"/>
    <n v="0"/>
    <n v="48.40038966079108"/>
    <n v="42.17364660291696"/>
    <n v="22.02815873505063"/>
    <n v="0.04275068272679799"/>
    <n v="0.6753430755665132"/>
    <n v="0"/>
    <n v="0"/>
    <m/>
    <n v="0"/>
    <m/>
    <n v="0"/>
    <m/>
    <n v="0.6155598930466013"/>
    <m/>
    <m/>
    <n v="0"/>
    <n v="0"/>
    <n v="0"/>
    <n v="0"/>
    <m/>
    <n v="0"/>
    <n v="0"/>
    <n v="0"/>
    <n v="0"/>
    <n v="0"/>
    <x v="0"/>
    <m/>
    <x v="2"/>
    <x v="1"/>
    <s v="no root cause"/>
    <x v="1"/>
    <s v=""/>
  </r>
  <r>
    <s v="Yassa-Dispensaire"/>
    <s v="LIT_639"/>
    <s v="Douala"/>
    <s v="CAMUSAT"/>
    <s v="Good Grid + GE"/>
    <s v="LITTORAL"/>
    <s v="Douala"/>
    <s v="ZTE"/>
    <n v="0"/>
    <n v="0"/>
    <n v="0"/>
    <n v="0"/>
    <n v="0.06704205939509081"/>
    <n v="0"/>
    <n v="0"/>
    <n v="0"/>
    <n v="0"/>
    <n v="0"/>
    <n v="0"/>
    <n v="0"/>
    <n v="0"/>
    <n v="0"/>
    <n v="0"/>
    <n v="0"/>
    <n v="0"/>
    <n v="0"/>
    <n v="0"/>
    <n v="0"/>
    <n v="0"/>
    <n v="0"/>
    <n v="0"/>
    <n v="0"/>
    <m/>
    <n v="0.0005707225061566442"/>
    <m/>
    <n v="0"/>
    <m/>
    <n v="0.4848287689800888"/>
    <m/>
    <m/>
    <n v="0"/>
    <n v="0"/>
    <n v="0"/>
    <n v="0"/>
    <m/>
    <n v="0"/>
    <n v="0"/>
    <n v="0"/>
    <n v="0"/>
    <n v="0"/>
    <x v="0"/>
    <m/>
    <x v="2"/>
    <x v="1"/>
    <s v="no root cause"/>
    <x v="1"/>
    <s v=""/>
  </r>
  <r>
    <s v="Logpom-Andem-IHS"/>
    <s v="LIT_140"/>
    <s v="Douala"/>
    <s v="IHS"/>
    <s v="Grid-Gen"/>
    <s v="LITTORAL"/>
    <s v="Douala"/>
    <s v="ZTE"/>
    <n v="0"/>
    <n v="0"/>
    <n v="0"/>
    <n v="0"/>
    <n v="0"/>
    <n v="0"/>
    <n v="0"/>
    <n v="0"/>
    <n v="0"/>
    <n v="0"/>
    <n v="0"/>
    <n v="0.3136476872897243"/>
    <n v="0"/>
    <n v="0"/>
    <n v="0"/>
    <n v="0"/>
    <n v="0"/>
    <n v="0"/>
    <n v="0"/>
    <n v="0"/>
    <n v="0"/>
    <n v="0"/>
    <n v="5.933801896510888"/>
    <n v="0"/>
    <m/>
    <n v="0"/>
    <m/>
    <n v="0"/>
    <m/>
    <n v="0.4156821703435468"/>
    <m/>
    <m/>
    <n v="0"/>
    <n v="0"/>
    <n v="0"/>
    <n v="0"/>
    <m/>
    <n v="0"/>
    <n v="0"/>
    <n v="0"/>
    <n v="0"/>
    <n v="0"/>
    <x v="0"/>
    <m/>
    <x v="2"/>
    <x v="1"/>
    <s v="no root cause"/>
    <x v="1"/>
    <s v=""/>
  </r>
  <r>
    <s v="Edea-Ekite"/>
    <s v="LIT_322"/>
    <s v="LITTORAL"/>
    <s v="IHS"/>
    <s v="Grid-Gen"/>
    <s v="LITTORAL"/>
    <s v="Edea"/>
    <s v="ZTE"/>
    <n v="34.71257344485252"/>
    <n v="0"/>
    <n v="4.689091780739827"/>
    <n v="31.98985255384054"/>
    <n v="5.095999092551216"/>
    <n v="2.428638284636435"/>
    <n v="0"/>
    <n v="0"/>
    <n v="0.189176675712619"/>
    <n v="0"/>
    <n v="0"/>
    <n v="0"/>
    <n v="0"/>
    <n v="0"/>
    <n v="6.256795164838929"/>
    <n v="22.6619282430593"/>
    <n v="0"/>
    <n v="0"/>
    <n v="0"/>
    <n v="0"/>
    <n v="0.000802578524282816"/>
    <n v="0"/>
    <n v="0"/>
    <n v="0.4989363159291512"/>
    <m/>
    <n v="11.22370396052883"/>
    <m/>
    <n v="0"/>
    <m/>
    <n v="0.2010726729503211"/>
    <m/>
    <m/>
    <n v="0"/>
    <n v="0"/>
    <n v="0"/>
    <n v="0"/>
    <m/>
    <n v="0"/>
    <n v="0"/>
    <n v="0"/>
    <n v="0"/>
    <n v="0"/>
    <x v="0"/>
    <m/>
    <x v="2"/>
    <x v="1"/>
    <s v="no root cause"/>
    <x v="1"/>
    <s v=""/>
  </r>
  <r>
    <s v="Bep-Safari"/>
    <s v="LIT_524"/>
    <s v="Douala"/>
    <s v="IHS"/>
    <s v="Grid-Gen"/>
    <s v="LITTORAL"/>
    <s v="Douala"/>
    <s v="ZTE"/>
    <n v="0"/>
    <n v="0"/>
    <n v="0"/>
    <n v="0"/>
    <n v="0"/>
    <n v="0"/>
    <n v="0"/>
    <n v="0"/>
    <n v="0"/>
    <n v="0"/>
    <n v="0"/>
    <n v="0"/>
    <n v="0"/>
    <n v="0"/>
    <n v="0"/>
    <n v="0"/>
    <n v="0"/>
    <n v="0"/>
    <n v="0"/>
    <n v="0.5423468965536913"/>
    <n v="0"/>
    <n v="10.88515850390802"/>
    <n v="0.1369912365559179"/>
    <n v="0.1098462473568413"/>
    <m/>
    <n v="0.08799827641803136"/>
    <m/>
    <n v="0.07975847023539454"/>
    <m/>
    <n v="0.183843987295717"/>
    <m/>
    <m/>
    <n v="0"/>
    <n v="0"/>
    <n v="0"/>
    <n v="0"/>
    <m/>
    <n v="0"/>
    <n v="0"/>
    <n v="0"/>
    <n v="0"/>
    <n v="0"/>
    <x v="0"/>
    <m/>
    <x v="2"/>
    <x v="1"/>
    <s v="no root cause"/>
    <x v="1"/>
    <s v=""/>
  </r>
  <r>
    <s v="Fongo-Tongo"/>
    <s v="SUO_136"/>
    <s v="SUD-OUEST"/>
    <s v="IHS"/>
    <s v="Grid-Gen"/>
    <s v="SUD-OUEST"/>
    <s v="Fongo-Tongo"/>
    <s v="NOKIA"/>
    <n v="0"/>
    <n v="0"/>
    <n v="0"/>
    <n v="0"/>
    <n v="0"/>
    <n v="0"/>
    <n v="0"/>
    <n v="0"/>
    <n v="0"/>
    <n v="0"/>
    <n v="0"/>
    <n v="0"/>
    <n v="0"/>
    <n v="0"/>
    <n v="0"/>
    <n v="0"/>
    <n v="0"/>
    <n v="0"/>
    <n v="0"/>
    <n v="0"/>
    <n v="0"/>
    <n v="0"/>
    <n v="0"/>
    <n v="0"/>
    <m/>
    <n v="0.003067633470592096"/>
    <m/>
    <n v="0"/>
    <m/>
    <n v="0.1758182020528889"/>
    <m/>
    <m/>
    <n v="0"/>
    <n v="0"/>
    <n v="0"/>
    <n v="0"/>
    <m/>
    <n v="0"/>
    <n v="0"/>
    <n v="0"/>
    <n v="0"/>
    <n v="0"/>
    <x v="1"/>
    <m/>
    <x v="2"/>
    <x v="1"/>
    <s v="no root cause"/>
    <x v="1"/>
    <s v=""/>
  </r>
  <r>
    <s v="be"/>
    <s v="SUD_240"/>
    <s v="CENTRE"/>
    <s v="IHS"/>
    <s v="Grid-Gen"/>
    <s v="SUD"/>
    <s v="Kribi"/>
    <s v="ZTE"/>
    <n v="0"/>
    <n v="0"/>
    <n v="0"/>
    <n v="0"/>
    <n v="0"/>
    <n v="0"/>
    <n v="0"/>
    <n v="0"/>
    <n v="0"/>
    <n v="0"/>
    <n v="0"/>
    <n v="0"/>
    <n v="0"/>
    <n v="0"/>
    <n v="0.01469610453353435"/>
    <n v="0"/>
    <n v="0"/>
    <n v="0"/>
    <n v="0"/>
    <n v="0"/>
    <n v="1.75948398124606"/>
    <n v="0"/>
    <n v="0"/>
    <n v="0"/>
    <m/>
    <n v="0"/>
    <m/>
    <n v="0"/>
    <m/>
    <n v="0.0979502501191383"/>
    <m/>
    <m/>
    <n v="0"/>
    <n v="0"/>
    <n v="0"/>
    <n v="0"/>
    <m/>
    <n v="0"/>
    <n v="0"/>
    <n v="0"/>
    <n v="0"/>
    <n v="0"/>
    <x v="0"/>
    <m/>
    <x v="2"/>
    <x v="1"/>
    <s v="no root cause"/>
    <x v="1"/>
    <s v=""/>
  </r>
  <r>
    <s v="Bonamouti"/>
    <s v="LIT_120"/>
    <s v="Douala"/>
    <s v="IHS"/>
    <s v="GridOnly"/>
    <s v="LITTORAL"/>
    <s v="Douala"/>
    <s v="ZTE"/>
    <n v="0"/>
    <n v="0"/>
    <n v="0.0004280418796175018"/>
    <n v="0"/>
    <n v="8.794655469091095"/>
    <n v="0"/>
    <n v="0.0004280418796175018"/>
    <n v="2.696824357295118"/>
    <n v="0.0004280418796175018"/>
    <n v="0"/>
    <n v="0"/>
    <n v="0.3176427448328211"/>
    <n v="0.0009630942291395296"/>
    <n v="0.0008025785242828159"/>
    <n v="0"/>
    <n v="0.000374536644665314"/>
    <n v="0.0004280418796175018"/>
    <n v="0"/>
    <n v="0.0004280418796175018"/>
    <n v="0.0008560837592350035"/>
    <n v="0"/>
    <n v="0"/>
    <n v="0.000374536644665314"/>
    <n v="0.3299311137935071"/>
    <m/>
    <n v="0.00117711516894813"/>
    <m/>
    <n v="0"/>
    <m/>
    <n v="0.09643426846215951"/>
    <m/>
    <m/>
    <n v="0"/>
    <n v="0"/>
    <n v="0"/>
    <n v="0"/>
    <m/>
    <n v="0"/>
    <n v="0"/>
    <n v="0"/>
    <n v="0"/>
    <n v="0"/>
    <x v="0"/>
    <m/>
    <x v="2"/>
    <x v="1"/>
    <s v="no root cause"/>
    <x v="1"/>
    <s v=""/>
  </r>
  <r>
    <s v="Ucac-Icam"/>
    <s v="LIT_758"/>
    <s v="Douala"/>
    <s v="CAMUSAT"/>
    <s v="Medium Grid + GE"/>
    <s v="LITTORAL"/>
    <s v="Douala"/>
    <s v="ZTE"/>
    <n v="14.82323297178063"/>
    <n v="0"/>
    <n v="0"/>
    <n v="0"/>
    <n v="0.07742207497581571"/>
    <n v="0"/>
    <n v="0"/>
    <n v="0"/>
    <n v="0"/>
    <n v="0"/>
    <n v="0"/>
    <n v="0"/>
    <n v="0"/>
    <n v="0"/>
    <n v="0"/>
    <n v="0.004030727699731363"/>
    <n v="0"/>
    <n v="0"/>
    <n v="0"/>
    <n v="0"/>
    <n v="0"/>
    <n v="0"/>
    <n v="15.98574121158681"/>
    <n v="0"/>
    <m/>
    <n v="0.0004993821928871064"/>
    <m/>
    <n v="0"/>
    <m/>
    <n v="0.09252838631065026"/>
    <m/>
    <m/>
    <n v="0"/>
    <n v="0"/>
    <n v="0"/>
    <n v="0"/>
    <m/>
    <n v="0"/>
    <n v="0"/>
    <n v="0"/>
    <n v="0"/>
    <n v="0"/>
    <x v="0"/>
    <m/>
    <x v="2"/>
    <x v="1"/>
    <s v="no root cause"/>
    <x v="1"/>
    <s v=""/>
  </r>
  <r>
    <s v="Bonawon"/>
    <s v="LIT_400"/>
    <s v="Douala"/>
    <s v="IHS"/>
    <s v="Grid-Gen"/>
    <s v="LITTORAL"/>
    <s v="Douala"/>
    <s v="ZTE"/>
    <n v="0"/>
    <n v="0"/>
    <n v="0"/>
    <n v="0"/>
    <n v="0"/>
    <n v="0"/>
    <n v="0"/>
    <n v="0"/>
    <n v="0"/>
    <n v="0"/>
    <n v="0"/>
    <n v="0"/>
    <n v="0"/>
    <n v="0"/>
    <n v="0"/>
    <n v="0"/>
    <n v="0"/>
    <n v="0"/>
    <n v="0"/>
    <n v="0"/>
    <m/>
    <n v="0"/>
    <n v="0"/>
    <n v="0"/>
    <m/>
    <n v="0"/>
    <m/>
    <n v="0"/>
    <m/>
    <n v="0.05618049669979768"/>
    <m/>
    <m/>
    <n v="0"/>
    <n v="0"/>
    <n v="0"/>
    <n v="0"/>
    <m/>
    <n v="0"/>
    <n v="0"/>
    <n v="0"/>
    <n v="0"/>
    <n v="0"/>
    <x v="0"/>
    <m/>
    <x v="2"/>
    <x v="1"/>
    <s v="no root cause"/>
    <x v="1"/>
    <s v=""/>
  </r>
  <r>
    <s v="Mbouda-Lepi"/>
    <s v="OST_071"/>
    <s v="OUEST"/>
    <s v="IHS"/>
    <s v="Grid-Gen"/>
    <s v="OUEST"/>
    <s v="Mbouda"/>
    <s v="Huawei"/>
    <n v="0"/>
    <n v="0"/>
    <n v="0"/>
    <n v="4.977502832210437"/>
    <n v="0"/>
    <n v="0"/>
    <n v="0"/>
    <n v="0"/>
    <n v="0"/>
    <n v="0"/>
    <n v="0"/>
    <n v="0"/>
    <n v="0"/>
    <n v="0"/>
    <n v="0"/>
    <n v="0"/>
    <n v="0"/>
    <n v="0"/>
    <n v="0"/>
    <n v="0"/>
    <n v="0.07818898334346311"/>
    <n v="0"/>
    <n v="0"/>
    <n v="0"/>
    <m/>
    <n v="0"/>
    <m/>
    <n v="0"/>
    <m/>
    <n v="0.03722180844840526"/>
    <m/>
    <m/>
    <n v="0"/>
    <n v="0"/>
    <n v="0"/>
    <n v="0"/>
    <m/>
    <n v="0"/>
    <n v="0"/>
    <n v="0"/>
    <n v="0"/>
    <n v="0"/>
    <x v="0"/>
    <m/>
    <x v="2"/>
    <x v="1"/>
    <s v="no root cause"/>
    <x v="1"/>
    <s v=""/>
  </r>
  <r>
    <s v="Mbouda"/>
    <s v="OST_141"/>
    <s v="OUEST"/>
    <s v="CAMUSAT"/>
    <e v="#N/A"/>
    <s v="OUEST"/>
    <s v="Mbouda"/>
    <s v="Huawei"/>
    <n v="0"/>
    <n v="0"/>
    <n v="0"/>
    <n v="0"/>
    <n v="0"/>
    <n v="0"/>
    <n v="0"/>
    <n v="0"/>
    <n v="0"/>
    <n v="0"/>
    <n v="0"/>
    <n v="0"/>
    <n v="0"/>
    <n v="0"/>
    <n v="0"/>
    <n v="0"/>
    <n v="0"/>
    <n v="0"/>
    <n v="0"/>
    <n v="0"/>
    <m/>
    <n v="0"/>
    <n v="0"/>
    <n v="0"/>
    <m/>
    <n v="0"/>
    <m/>
    <n v="0"/>
    <m/>
    <n v="0.02817942374148553"/>
    <m/>
    <m/>
    <n v="0"/>
    <n v="0"/>
    <n v="0"/>
    <n v="0"/>
    <m/>
    <n v="0"/>
    <n v="0"/>
    <n v="0"/>
    <n v="0"/>
    <n v="0"/>
    <x v="0"/>
    <m/>
    <x v="2"/>
    <x v="1"/>
    <s v="no root cause"/>
    <x v="1"/>
    <s v=""/>
  </r>
  <r>
    <s v="Mbouda-Batang-IHS"/>
    <s v="OST_142"/>
    <s v="OUEST"/>
    <s v="IHS"/>
    <s v="Grid-Gen"/>
    <s v="OUEST"/>
    <s v="Mbouda"/>
    <s v="Huawei"/>
    <n v="0"/>
    <n v="0"/>
    <n v="0"/>
    <n v="3.522481472920644"/>
    <n v="0"/>
    <n v="0"/>
    <n v="0"/>
    <n v="0"/>
    <n v="0"/>
    <n v="0"/>
    <n v="0"/>
    <n v="0"/>
    <n v="0"/>
    <n v="0"/>
    <n v="0"/>
    <n v="0"/>
    <n v="0"/>
    <n v="0"/>
    <n v="0"/>
    <n v="0"/>
    <n v="0.5255105826220704"/>
    <n v="0"/>
    <n v="0"/>
    <n v="0.389535945530244"/>
    <m/>
    <n v="0"/>
    <m/>
    <n v="0"/>
    <m/>
    <n v="0.02512962534921084"/>
    <m/>
    <m/>
    <n v="0"/>
    <n v="0"/>
    <n v="0"/>
    <n v="0"/>
    <m/>
    <n v="0"/>
    <n v="0"/>
    <n v="0"/>
    <n v="0"/>
    <n v="0"/>
    <x v="0"/>
    <m/>
    <x v="2"/>
    <x v="1"/>
    <s v="no root cause"/>
    <x v="1"/>
    <s v=""/>
  </r>
  <r>
    <s v="LIT_869_Z_Bonamikano"/>
    <s v="LIT_869"/>
    <s v="Douala"/>
    <s v="I_HS"/>
    <s v="Grid-Gen"/>
    <s v="LITTORAL"/>
    <s v="Douala"/>
    <s v="ZTE"/>
    <n v="0"/>
    <n v="0"/>
    <n v="0"/>
    <n v="0"/>
    <n v="0"/>
    <n v="0"/>
    <n v="0"/>
    <n v="0"/>
    <n v="0"/>
    <n v="0"/>
    <n v="0"/>
    <n v="0"/>
    <n v="0"/>
    <n v="0"/>
    <n v="0"/>
    <n v="0"/>
    <n v="0"/>
    <n v="0"/>
    <n v="0"/>
    <n v="0"/>
    <n v="2.727964404037291"/>
    <n v="0"/>
    <n v="0"/>
    <n v="0"/>
    <m/>
    <n v="0"/>
    <m/>
    <n v="0"/>
    <m/>
    <n v="0.01289476162347738"/>
    <m/>
    <m/>
    <n v="0"/>
    <n v="0"/>
    <n v="0"/>
    <n v="0"/>
    <m/>
    <n v="0"/>
    <n v="0"/>
    <n v="0"/>
    <n v="0"/>
    <n v="0"/>
    <x v="0"/>
    <m/>
    <x v="2"/>
    <x v="1"/>
    <s v="no root cause"/>
    <x v="1"/>
    <s v=""/>
  </r>
  <r>
    <s v="Bonaloka-IHS"/>
    <s v="LIT_156"/>
    <s v="Douala"/>
    <s v="IHS"/>
    <s v="Grid-Gen"/>
    <s v="LITTORAL"/>
    <s v="Douala"/>
    <s v="ZTE"/>
    <n v="0"/>
    <n v="0"/>
    <n v="0"/>
    <n v="0"/>
    <n v="0"/>
    <n v="0"/>
    <n v="0"/>
    <n v="0"/>
    <n v="0"/>
    <n v="0"/>
    <n v="0"/>
    <n v="0"/>
    <n v="0"/>
    <n v="0"/>
    <n v="0"/>
    <n v="0.003352994723670327"/>
    <n v="0"/>
    <n v="0"/>
    <n v="0"/>
    <n v="0"/>
    <n v="0"/>
    <n v="0"/>
    <n v="0"/>
    <n v="0"/>
    <m/>
    <n v="0"/>
    <m/>
    <n v="0"/>
    <m/>
    <n v="0.009452591508219827"/>
    <m/>
    <m/>
    <n v="0"/>
    <n v="0"/>
    <n v="0"/>
    <n v="0"/>
    <m/>
    <n v="0"/>
    <n v="0"/>
    <n v="0"/>
    <n v="0"/>
    <n v="0"/>
    <x v="0"/>
    <m/>
    <x v="2"/>
    <x v="1"/>
    <s v="no root cause"/>
    <x v="1"/>
    <s v=""/>
  </r>
  <r>
    <s v="Ngog-Mbog"/>
    <s v="LIT_121"/>
    <s v="LITTORAL"/>
    <s v="IHS"/>
    <s v="Hybrid-Gen"/>
    <s v="LITTORAL"/>
    <s v="Ngog-Mbog"/>
    <s v="NOKIA"/>
    <n v="0.2541212547738362"/>
    <n v="0.3225669955542922"/>
    <n v="0.06767419848423153"/>
    <n v="0"/>
    <n v="0.2807817425099269"/>
    <n v="0"/>
    <n v="0.1193799705662634"/>
    <n v="0.3074872986559475"/>
    <n v="0.1359976588226662"/>
    <n v="0.03722392617914774"/>
    <n v="0.3609634903002204"/>
    <n v="0.0001605157048567366"/>
    <n v="0"/>
    <n v="0"/>
    <n v="0"/>
    <n v="0.1493742256699317"/>
    <n v="0.03517077444190483"/>
    <n v="0.1364740192847134"/>
    <n v="0.002497055469960439"/>
    <n v="0.03868428487043171"/>
    <n v="5.350523495223587e-05"/>
    <n v="0.8315248563919493"/>
    <n v="0.7456707436624753"/>
    <n v="0"/>
    <m/>
    <n v="0"/>
    <m/>
    <n v="0"/>
    <m/>
    <n v="0.002497055469960439"/>
    <m/>
    <m/>
    <n v="0"/>
    <n v="0"/>
    <n v="0"/>
    <n v="0"/>
    <m/>
    <n v="0"/>
    <n v="0"/>
    <n v="0"/>
    <n v="0"/>
    <n v="0"/>
    <x v="0"/>
    <m/>
    <x v="2"/>
    <x v="1"/>
    <s v="no root cause"/>
    <x v="1"/>
    <s v=""/>
  </r>
  <r>
    <s v="Afeme-Nord"/>
    <s v="CTR_591"/>
    <s v="Yaounde"/>
    <s v="IHS"/>
    <s v="Grid-Gen"/>
    <s v="CENTRE"/>
    <s v="Yaounde"/>
    <s v="ZTE"/>
    <n v="0.2322305547708121"/>
    <n v="0"/>
    <n v="0"/>
    <n v="0"/>
    <n v="0"/>
    <n v="0"/>
    <n v="0.2354408688679438"/>
    <n v="0.8779495652521303"/>
    <n v="0"/>
    <n v="0"/>
    <n v="0.05935514064029357"/>
    <n v="0"/>
    <n v="0"/>
    <n v="0.002942787922370384"/>
    <n v="0"/>
    <n v="0"/>
    <n v="0"/>
    <n v="0"/>
    <n v="0"/>
    <n v="0.7978343934503879"/>
    <n v="0"/>
    <n v="0"/>
    <n v="0"/>
    <n v="0.544308755168605"/>
    <m/>
    <n v="0"/>
    <m/>
    <n v="0"/>
    <m/>
    <n v="0.001837013066691837"/>
    <m/>
    <m/>
    <n v="0"/>
    <n v="0"/>
    <n v="0"/>
    <n v="0"/>
    <m/>
    <n v="0"/>
    <n v="0"/>
    <n v="0"/>
    <n v="0"/>
    <n v="0"/>
    <x v="0"/>
    <m/>
    <x v="2"/>
    <x v="1"/>
    <s v="no root cause"/>
    <x v="1"/>
    <s v=""/>
  </r>
  <r>
    <s v="Galdi"/>
    <s v="ADM_031"/>
    <s v="ADAMAOUA"/>
    <s v="IHS"/>
    <s v="Grid-Gen"/>
    <s v="ADAMAOUA"/>
    <s v="Galdi"/>
    <s v="NOKIA"/>
    <n v="0"/>
    <n v="0"/>
    <n v="0"/>
    <n v="0"/>
    <n v="0"/>
    <n v="0"/>
    <n v="0"/>
    <n v="0"/>
    <n v="0.002318828564197051"/>
    <n v="0"/>
    <n v="0"/>
    <n v="0"/>
    <n v="0"/>
    <n v="0"/>
    <n v="0"/>
    <n v="0"/>
    <n v="0"/>
    <n v="0"/>
    <n v="0"/>
    <n v="0"/>
    <n v="0"/>
    <n v="0"/>
    <n v="0"/>
    <n v="0"/>
    <m/>
    <n v="0"/>
    <m/>
    <n v="0"/>
    <m/>
    <n v="0.001783714280151696"/>
    <m/>
    <m/>
    <n v="0"/>
    <n v="0"/>
    <n v="0"/>
    <n v="0"/>
    <m/>
    <n v="0"/>
    <n v="0"/>
    <n v="0"/>
    <n v="0"/>
    <n v="0"/>
    <x v="0"/>
    <m/>
    <x v="2"/>
    <x v="1"/>
    <s v="no root cause"/>
    <x v="1"/>
    <s v=""/>
  </r>
  <r>
    <s v="Camp-Yabassi-IHS"/>
    <s v="LIT_587"/>
    <s v="Douala"/>
    <s v="IHS"/>
    <s v="Grid-Gen"/>
    <s v="LITTORAL"/>
    <s v="Douala"/>
    <s v="ZTE"/>
    <n v="0"/>
    <n v="0.00383454183824012"/>
    <n v="0"/>
    <n v="0"/>
    <n v="5.789686046592889e-17"/>
    <n v="0.00251474604275291"/>
    <n v="0"/>
    <n v="5.789686046592889e-17"/>
    <n v="21.02140423419027"/>
    <n v="0"/>
    <n v="0"/>
    <n v="13.86855689960706"/>
    <n v="11.72567223977194"/>
    <n v="4.62531354067682"/>
    <n v="13.66518350155379"/>
    <n v="0"/>
    <n v="0"/>
    <n v="0"/>
    <n v="0"/>
    <n v="0"/>
    <n v="0"/>
    <n v="0"/>
    <n v="0"/>
    <n v="0.09989427365573447"/>
    <m/>
    <n v="0"/>
    <m/>
    <n v="0"/>
    <m/>
    <n v="8.684529069889332e-17"/>
    <m/>
    <m/>
    <n v="0"/>
    <n v="0"/>
    <n v="0"/>
    <n v="0"/>
    <m/>
    <n v="0"/>
    <n v="0"/>
    <n v="0"/>
    <n v="0"/>
    <n v="0"/>
    <x v="0"/>
    <m/>
    <x v="2"/>
    <x v="1"/>
    <s v="no root cause"/>
    <x v="1"/>
    <s v=""/>
  </r>
  <r>
    <s v="e-Technique"/>
    <s v="SUD_057"/>
    <s v="CENTRE"/>
    <s v="IHS"/>
    <s v="Grid-Gen"/>
    <s v="SUD"/>
    <s v="Kribi"/>
    <s v="ZTE"/>
    <n v="0"/>
    <n v="0.87898399979454"/>
    <n v="0"/>
    <n v="0"/>
    <n v="0"/>
    <n v="0"/>
    <n v="0"/>
    <n v="0"/>
    <n v="0"/>
    <n v="0"/>
    <n v="0"/>
    <n v="0"/>
    <n v="0"/>
    <n v="0"/>
    <n v="0.01036218050240684"/>
    <n v="0"/>
    <n v="0"/>
    <n v="0"/>
    <n v="0"/>
    <n v="0"/>
    <n v="0"/>
    <n v="0"/>
    <n v="0"/>
    <n v="0"/>
    <m/>
    <n v="0"/>
    <m/>
    <n v="7.23710755824111e-17"/>
    <m/>
    <n v="5.789686046592889e-17"/>
    <m/>
    <m/>
    <n v="0"/>
    <n v="0"/>
    <n v="0"/>
    <n v="0"/>
    <m/>
    <n v="0"/>
    <n v="0"/>
    <n v="0"/>
    <n v="0"/>
    <n v="0"/>
    <x v="0"/>
    <m/>
    <x v="2"/>
    <x v="1"/>
    <s v="no root cause"/>
    <x v="1"/>
    <s v=""/>
  </r>
  <r>
    <s v="Bonadibong-Crf-Tif"/>
    <s v="LIT_412"/>
    <s v="Douala"/>
    <s v="IHS"/>
    <s v="GridOnly"/>
    <s v="LITTORAL"/>
    <s v="Douala"/>
    <s v="ZTE"/>
    <n v="0"/>
    <n v="0"/>
    <n v="0"/>
    <n v="0"/>
    <n v="0"/>
    <n v="0"/>
    <n v="0"/>
    <n v="0"/>
    <n v="0"/>
    <n v="0"/>
    <n v="0"/>
    <n v="0"/>
    <n v="0"/>
    <n v="0"/>
    <n v="0"/>
    <n v="0"/>
    <n v="0"/>
    <n v="0"/>
    <n v="0"/>
    <n v="0"/>
    <n v="0.1775303695713588"/>
    <n v="0"/>
    <n v="0"/>
    <n v="0"/>
    <m/>
    <n v="13.86855689960706"/>
    <m/>
    <n v="26.90596347946684"/>
    <m/>
    <n v="0"/>
    <m/>
    <m/>
    <n v="0"/>
    <n v="0"/>
    <n v="0"/>
    <n v="0"/>
    <m/>
    <n v="0"/>
    <n v="0"/>
    <n v="0"/>
    <n v="0"/>
    <n v="0"/>
    <x v="0"/>
    <m/>
    <x v="2"/>
    <x v="1"/>
    <s v="no root cause"/>
    <x v="1"/>
    <s v=""/>
  </r>
  <r>
    <s v="Edea-Nkakanzock"/>
    <s v="LIT_314"/>
    <s v="LITTORAL"/>
    <s v="IHS"/>
    <s v="Grid-Gen"/>
    <s v="LITTORAL"/>
    <s v="Edea"/>
    <s v="ZTE"/>
    <n v="0"/>
    <n v="0"/>
    <n v="0"/>
    <n v="0"/>
    <n v="0.4110807201376574"/>
    <n v="4.157713457351334"/>
    <n v="0"/>
    <n v="2.419096517736628"/>
    <n v="3.197740366917498"/>
    <n v="4.489035707253599"/>
    <n v="2.238248823598234"/>
    <n v="0.02648509130133292"/>
    <n v="0"/>
    <n v="0"/>
    <n v="0"/>
    <n v="0"/>
    <n v="0"/>
    <n v="0"/>
    <n v="0"/>
    <n v="0"/>
    <n v="0"/>
    <n v="0"/>
    <n v="0"/>
    <n v="0"/>
    <m/>
    <n v="0"/>
    <m/>
    <n v="25.84663116772678"/>
    <m/>
    <n v="0"/>
    <m/>
    <m/>
    <n v="0"/>
    <n v="0"/>
    <n v="0"/>
    <n v="0"/>
    <m/>
    <n v="0"/>
    <n v="0"/>
    <n v="0"/>
    <n v="0"/>
    <n v="0"/>
    <x v="0"/>
    <m/>
    <x v="2"/>
    <x v="1"/>
    <s v="no root cause"/>
    <x v="1"/>
    <s v=""/>
  </r>
  <r>
    <s v="De-La-Salle"/>
    <s v="LIT_245"/>
    <s v="Douala"/>
    <s v="IHS"/>
    <s v="Grid-GenLithium"/>
    <s v="LITTORAL"/>
    <s v="Douala"/>
    <s v="ZTE"/>
    <n v="0"/>
    <n v="0"/>
    <n v="0"/>
    <n v="0"/>
    <n v="0"/>
    <n v="0"/>
    <n v="0"/>
    <n v="0"/>
    <n v="0"/>
    <n v="0.322868422779818"/>
    <n v="0"/>
    <n v="0"/>
    <n v="0"/>
    <n v="0"/>
    <n v="0"/>
    <n v="0"/>
    <n v="0"/>
    <n v="0"/>
    <n v="0.6708129656738953"/>
    <n v="0"/>
    <n v="0"/>
    <n v="0"/>
    <n v="0.4898047558306436"/>
    <n v="0"/>
    <m/>
    <n v="21.72241198745552"/>
    <m/>
    <n v="13.32863557370453"/>
    <m/>
    <n v="0"/>
    <m/>
    <m/>
    <n v="0"/>
    <n v="0"/>
    <n v="0"/>
    <n v="0"/>
    <m/>
    <n v="0"/>
    <n v="0"/>
    <n v="0"/>
    <n v="0"/>
    <n v="0"/>
    <x v="0"/>
    <m/>
    <x v="2"/>
    <x v="1"/>
    <s v="no root cause"/>
    <x v="1"/>
    <s v=""/>
  </r>
  <r>
    <s v="Laquintinie-Camtel"/>
    <s v="LIT_644"/>
    <s v="Douala"/>
    <s v="CAMUSAT"/>
    <s v="Good Grid no GE - 8h"/>
    <s v="LITTORAL"/>
    <s v="Douala"/>
    <s v="ZTE"/>
    <n v="0"/>
    <n v="0"/>
    <n v="0"/>
    <n v="0"/>
    <n v="0"/>
    <n v="0"/>
    <n v="12.76624204912209"/>
    <n v="24.49079067896003"/>
    <n v="18.84449024492556"/>
    <n v="0.3393123649884575"/>
    <n v="0"/>
    <n v="0"/>
    <n v="0"/>
    <n v="0"/>
    <n v="0"/>
    <n v="0"/>
    <n v="0"/>
    <n v="0"/>
    <n v="0"/>
    <n v="0"/>
    <n v="6.879596099682391"/>
    <n v="0"/>
    <n v="0"/>
    <n v="0"/>
    <m/>
    <n v="0"/>
    <m/>
    <n v="5.630534224801888"/>
    <m/>
    <n v="0"/>
    <m/>
    <m/>
    <n v="0"/>
    <n v="0"/>
    <n v="0"/>
    <n v="0"/>
    <m/>
    <n v="0"/>
    <n v="0"/>
    <n v="0"/>
    <n v="0"/>
    <n v="0"/>
    <x v="0"/>
    <m/>
    <x v="2"/>
    <x v="1"/>
    <s v="no root cause"/>
    <x v="1"/>
    <s v=""/>
  </r>
  <r>
    <s v="Odza-PK10"/>
    <s v="CTR_330"/>
    <s v="Yaounde"/>
    <s v="IHS"/>
    <s v="Grid-Gen"/>
    <s v="CENTRE"/>
    <s v="Yaounde"/>
    <s v="ZTE"/>
    <n v="0"/>
    <n v="0"/>
    <n v="0"/>
    <n v="0"/>
    <n v="0"/>
    <n v="0"/>
    <n v="0"/>
    <n v="0"/>
    <n v="0.6641426463831883"/>
    <n v="0"/>
    <n v="5.794420759460443"/>
    <n v="0.002622205563943016"/>
    <n v="0"/>
    <n v="0"/>
    <n v="0"/>
    <n v="0"/>
    <n v="0"/>
    <n v="0"/>
    <n v="0"/>
    <n v="0"/>
    <n v="0.01221884033708742"/>
    <n v="0"/>
    <n v="0"/>
    <n v="0"/>
    <m/>
    <n v="0"/>
    <m/>
    <n v="3.001715021131002"/>
    <m/>
    <n v="0"/>
    <m/>
    <m/>
    <n v="0"/>
    <n v="0"/>
    <n v="0"/>
    <n v="0"/>
    <m/>
    <n v="0"/>
    <n v="0"/>
    <n v="0"/>
    <n v="0"/>
    <n v="0"/>
    <x v="0"/>
    <m/>
    <x v="5"/>
    <x v="2"/>
    <s v="IP &amp; VLAN"/>
    <x v="2"/>
    <s v="{05-25-2026 goupe whatsapp incident}:    impacted by    CTR_351_Z_Mimboman-Nodal(CTR-351)  ,Cause: Boucle ethernet  ,Action: Desactivation de la boucle      ;      {hourly IHS}: 25/05/2026 22:17 0:42:29 FME isinformed and managing ETA ASAP      ;      {05-25-2026 ticket}: INC-20260525-00025264...Grid Outage"/>
  </r>
  <r>
    <s v="Ikiliwindi-MTN"/>
    <s v="SUO_048"/>
    <s v="SUD-OUEST"/>
    <s v="IHS"/>
    <s v="Gen Only"/>
    <s v="SUD-OUEST"/>
    <s v="Ikiliwindi"/>
    <s v="NOKIA"/>
    <n v="0"/>
    <n v="0"/>
    <n v="0"/>
    <n v="0"/>
    <n v="0"/>
    <n v="0"/>
    <n v="0.071924478255655"/>
    <n v="0"/>
    <n v="0"/>
    <n v="0"/>
    <n v="0"/>
    <n v="0"/>
    <n v="0"/>
    <n v="0"/>
    <n v="0"/>
    <n v="0"/>
    <n v="0.02996293157322511"/>
    <n v="0"/>
    <n v="0"/>
    <n v="0.0006242277411088403"/>
    <n v="0"/>
    <n v="0.5262239857547661"/>
    <n v="0"/>
    <n v="0"/>
    <m/>
    <n v="0"/>
    <m/>
    <n v="2.979135811981178"/>
    <m/>
    <n v="0"/>
    <m/>
    <m/>
    <n v="0"/>
    <n v="0"/>
    <n v="0"/>
    <n v="0"/>
    <m/>
    <n v="0"/>
    <n v="0"/>
    <n v="0"/>
    <n v="0"/>
    <n v="0"/>
    <x v="1"/>
    <m/>
    <x v="2"/>
    <x v="1"/>
    <s v="no root cause"/>
    <x v="1"/>
    <s v=""/>
  </r>
  <r>
    <s v="Maroua-Douggoy-II"/>
    <s v="EXN_212"/>
    <s v="Maroua"/>
    <s v="CAMUSAT"/>
    <s v="Bad Grid + GE"/>
    <s v="EXTREME-NORD"/>
    <s v="Maroua"/>
    <s v="Huawei"/>
    <n v="0.2712715412075918"/>
    <n v="0.6961566119629146"/>
    <n v="0"/>
    <n v="0"/>
    <n v="0"/>
    <n v="0"/>
    <n v="3.09233505406169"/>
    <n v="4.622852299869019"/>
    <n v="4.662624524516811"/>
    <n v="3.13924131003644"/>
    <n v="0"/>
    <n v="0.1576620923257798"/>
    <n v="0"/>
    <n v="0"/>
    <n v="0"/>
    <n v="0"/>
    <n v="0"/>
    <n v="2.253462145402973"/>
    <n v="0"/>
    <n v="0"/>
    <n v="0.8105508042906918"/>
    <n v="2.834439821592144"/>
    <n v="5.347491531904816"/>
    <n v="0"/>
    <m/>
    <n v="0"/>
    <m/>
    <n v="2.34641857359324"/>
    <m/>
    <n v="0"/>
    <m/>
    <m/>
    <n v="0"/>
    <n v="0"/>
    <n v="0"/>
    <n v="0"/>
    <m/>
    <n v="0"/>
    <n v="0"/>
    <n v="0"/>
    <n v="0"/>
    <n v="0"/>
    <x v="0"/>
    <m/>
    <x v="2"/>
    <x v="1"/>
    <s v="no root cause"/>
    <x v="1"/>
    <s v=""/>
  </r>
  <r>
    <s v="Mabanda4-IHS"/>
    <s v="LIT_489"/>
    <s v="Douala"/>
    <s v="IHS"/>
    <s v="Grid-Gen"/>
    <s v="LITTORAL"/>
    <s v="Douala"/>
    <s v="ZTE"/>
    <n v="0"/>
    <n v="3.499616902517742"/>
    <n v="0.08384270317007858"/>
    <n v="0"/>
    <n v="2.135572277724986"/>
    <n v="0"/>
    <n v="0"/>
    <n v="0"/>
    <n v="0"/>
    <n v="0"/>
    <n v="0"/>
    <n v="0"/>
    <n v="0"/>
    <n v="0"/>
    <n v="5.603068204193098"/>
    <n v="0"/>
    <n v="0"/>
    <n v="0.09495395696181622"/>
    <n v="1.818464585241687"/>
    <n v="1.067197581278019"/>
    <n v="0"/>
    <n v="0"/>
    <n v="0.7594354698330349"/>
    <n v="0.9053264104693339"/>
    <m/>
    <n v="0.6440246780411667"/>
    <m/>
    <n v="1.985436588449148"/>
    <m/>
    <n v="0"/>
    <m/>
    <m/>
    <n v="0"/>
    <n v="0"/>
    <n v="0"/>
    <n v="0"/>
    <m/>
    <n v="0"/>
    <n v="0"/>
    <n v="0"/>
    <n v="0"/>
    <n v="0"/>
    <x v="0"/>
    <m/>
    <x v="2"/>
    <x v="1"/>
    <s v="no root cause"/>
    <x v="1"/>
    <s v=""/>
  </r>
  <r>
    <s v="Soa-UNIV-MTN"/>
    <s v="CTR_431"/>
    <s v="Yaounde"/>
    <s v="IHS"/>
    <s v="Grid-Gen"/>
    <s v="CENTRE"/>
    <s v="Yaounde"/>
    <s v="ZTE"/>
    <n v="0"/>
    <n v="0"/>
    <n v="0"/>
    <n v="0"/>
    <n v="0"/>
    <n v="0"/>
    <n v="0"/>
    <n v="0.7640904252738752"/>
    <n v="0"/>
    <n v="0"/>
    <n v="0"/>
    <n v="0"/>
    <n v="0"/>
    <n v="0"/>
    <n v="0"/>
    <n v="0"/>
    <n v="0"/>
    <n v="0"/>
    <n v="0"/>
    <n v="0.02314993165597997"/>
    <n v="0"/>
    <n v="0"/>
    <n v="0"/>
    <n v="0"/>
    <m/>
    <n v="0"/>
    <m/>
    <n v="0.7598456766343352"/>
    <m/>
    <n v="0"/>
    <m/>
    <m/>
    <n v="0"/>
    <n v="0"/>
    <n v="0"/>
    <n v="0"/>
    <m/>
    <n v="0"/>
    <n v="0"/>
    <n v="0"/>
    <n v="0"/>
    <n v="0"/>
    <x v="0"/>
    <m/>
    <x v="2"/>
    <x v="1"/>
    <s v="no root cause"/>
    <x v="1"/>
    <s v=""/>
  </r>
  <r>
    <s v="Nkometou"/>
    <s v="CTR_061"/>
    <s v="CENTRE"/>
    <s v="IHS"/>
    <s v="Grid-Gen"/>
    <s v="CENTRE"/>
    <s v="Nkometou"/>
    <s v="ZTE"/>
    <n v="0"/>
    <n v="0"/>
    <n v="0.6843676251951158"/>
    <n v="1.540950766623006"/>
    <n v="1.540950766623006"/>
    <n v="1.540950766623006"/>
    <n v="1.540950766623006"/>
    <n v="1.540950766623006"/>
    <n v="1.540950766623006"/>
    <n v="1.540950766623006"/>
    <n v="1.390119509292789"/>
    <n v="0"/>
    <n v="0"/>
    <n v="0"/>
    <n v="0"/>
    <n v="0"/>
    <n v="0"/>
    <n v="0"/>
    <n v="0"/>
    <n v="0.01874466731158315"/>
    <n v="0"/>
    <n v="0.02921385828389444"/>
    <n v="0"/>
    <n v="0"/>
    <m/>
    <n v="0"/>
    <m/>
    <n v="0.7596316556945266"/>
    <m/>
    <n v="0"/>
    <m/>
    <m/>
    <n v="0"/>
    <n v="0"/>
    <n v="0"/>
    <n v="0"/>
    <m/>
    <n v="0"/>
    <n v="0"/>
    <n v="0"/>
    <n v="0"/>
    <n v="0"/>
    <x v="0"/>
    <m/>
    <x v="2"/>
    <x v="1"/>
    <s v="no root cause"/>
    <x v="1"/>
    <s v=""/>
  </r>
  <r>
    <s v="Baaba-II"/>
    <s v="CTR_879"/>
    <s v="CENTRE"/>
    <s v="CAMUSAT"/>
    <s v="Hybrid Solar - S3"/>
    <s v="CENTRE"/>
    <s v="Baaba"/>
    <s v="ZTE"/>
    <n v="0.07422959595700204"/>
    <n v="0"/>
    <n v="0"/>
    <n v="0"/>
    <n v="0"/>
    <n v="0"/>
    <n v="0"/>
    <n v="0"/>
    <n v="2.167657583617982"/>
    <n v="0"/>
    <n v="0"/>
    <n v="0.09095889941871914"/>
    <n v="0"/>
    <n v="0"/>
    <n v="0"/>
    <n v="0"/>
    <n v="0"/>
    <n v="0"/>
    <n v="0"/>
    <n v="0.03558098124320468"/>
    <n v="0.3386524670907135"/>
    <n v="1.952316848013743"/>
    <n v="0"/>
    <n v="0"/>
    <m/>
    <n v="0"/>
    <m/>
    <n v="0.7595603153812569"/>
    <m/>
    <n v="0"/>
    <m/>
    <m/>
    <n v="0"/>
    <n v="0"/>
    <n v="0"/>
    <n v="0"/>
    <m/>
    <n v="0"/>
    <n v="0"/>
    <n v="0"/>
    <n v="0"/>
    <n v="0"/>
    <x v="0"/>
    <m/>
    <x v="2"/>
    <x v="1"/>
    <s v="no root cause"/>
    <x v="1"/>
    <s v=""/>
  </r>
  <r>
    <s v="Ebogo-II"/>
    <s v="CTR_867"/>
    <s v="CENTRE"/>
    <s v="CAMUSAT"/>
    <s v="HGB"/>
    <s v="CENTRE"/>
    <s v="Ebogo"/>
    <s v="ZTE"/>
    <n v="0"/>
    <n v="0"/>
    <n v="0"/>
    <n v="0"/>
    <n v="0"/>
    <n v="0.1154286268701863"/>
    <n v="0"/>
    <n v="0"/>
    <n v="2.162003863791366"/>
    <n v="0"/>
    <n v="0"/>
    <n v="0.685045358171177"/>
    <n v="0"/>
    <n v="0"/>
    <n v="0"/>
    <n v="0"/>
    <n v="0"/>
    <n v="0"/>
    <n v="0"/>
    <n v="0.02666344208450661"/>
    <n v="1.102849902834493"/>
    <n v="1.952138497230569"/>
    <n v="0"/>
    <n v="0"/>
    <m/>
    <n v="0"/>
    <m/>
    <n v="0.7590787682666873"/>
    <m/>
    <n v="0"/>
    <m/>
    <m/>
    <n v="0"/>
    <n v="0"/>
    <n v="0"/>
    <n v="0"/>
    <m/>
    <n v="0"/>
    <n v="0"/>
    <n v="0"/>
    <n v="0"/>
    <n v="0"/>
    <x v="0"/>
    <m/>
    <x v="2"/>
    <x v="1"/>
    <s v="no root cause"/>
    <x v="1"/>
    <s v=""/>
  </r>
  <r>
    <s v="Maroua-Djoudandou"/>
    <s v="EXN_090"/>
    <s v="Maroua"/>
    <s v="IHS"/>
    <s v="Grid-Gen"/>
    <s v="EXTREME-NORD"/>
    <s v="Maroua"/>
    <s v="Huawei"/>
    <n v="0.8091775032602523"/>
    <n v="0.5928201681919225"/>
    <n v="0.00383454183824012"/>
    <n v="0.4009860658100121"/>
    <n v="0"/>
    <n v="0"/>
    <n v="0.3186236741402778"/>
    <n v="0.1694867492502133"/>
    <n v="0.1602481786818022"/>
    <n v="0.3206747081467785"/>
    <n v="0.8372855866884683"/>
    <n v="0.001551651813613444"/>
    <n v="0"/>
    <n v="0.1544517782286486"/>
    <n v="0.6806757639834147"/>
    <n v="0.8063060556511517"/>
    <n v="0.8840669971149977"/>
    <n v="0"/>
    <n v="0"/>
    <n v="0"/>
    <n v="0.0008025785242828159"/>
    <n v="0"/>
    <n v="0"/>
    <n v="0.0117711516894813"/>
    <m/>
    <n v="0.01025517003250265"/>
    <m/>
    <n v="0.7348944020682983"/>
    <m/>
    <n v="0"/>
    <m/>
    <m/>
    <n v="0"/>
    <n v="0"/>
    <n v="0"/>
    <n v="0"/>
    <m/>
    <n v="0"/>
    <n v="0"/>
    <n v="0"/>
    <n v="0"/>
    <n v="0"/>
    <x v="0"/>
    <m/>
    <x v="2"/>
    <x v="1"/>
    <s v="no root cause"/>
    <x v="1"/>
    <s v=""/>
  </r>
  <r>
    <s v="Soa-Town-IHS"/>
    <s v="CTR_649"/>
    <s v="Yaounde"/>
    <s v="IHS"/>
    <s v="Grid-Gen"/>
    <s v="CENTRE"/>
    <s v="Yaounde"/>
    <s v="ZTE"/>
    <n v="0"/>
    <n v="0.9027403241133112"/>
    <n v="0"/>
    <n v="0"/>
    <n v="0"/>
    <n v="0"/>
    <n v="0"/>
    <n v="0"/>
    <n v="0.02634241067479381"/>
    <n v="0"/>
    <n v="0"/>
    <n v="0"/>
    <n v="0"/>
    <n v="0"/>
    <n v="0"/>
    <n v="0"/>
    <n v="0"/>
    <n v="0"/>
    <n v="0"/>
    <n v="0.02980241586836853"/>
    <n v="0"/>
    <n v="0.009898468466154584"/>
    <n v="0"/>
    <n v="0"/>
    <m/>
    <n v="0"/>
    <m/>
    <n v="0.664766874124298"/>
    <m/>
    <n v="0"/>
    <m/>
    <m/>
    <n v="0"/>
    <n v="0"/>
    <n v="0"/>
    <n v="0"/>
    <m/>
    <n v="0"/>
    <n v="0"/>
    <n v="0"/>
    <n v="0"/>
    <n v="0"/>
    <x v="0"/>
    <m/>
    <x v="2"/>
    <x v="1"/>
    <s v="no root cause"/>
    <x v="1"/>
    <s v=""/>
  </r>
  <r>
    <s v="Bamenda-Sisia-Quater-IHS"/>
    <s v="NRO_118"/>
    <s v="NORD-OUEST"/>
    <s v="IHS"/>
    <s v="Grid-Gen"/>
    <s v="NORD-OUEST"/>
    <s v="Bamenda"/>
    <s v="Huawei"/>
    <n v="0"/>
    <n v="0"/>
    <n v="0"/>
    <n v="0"/>
    <n v="0"/>
    <n v="0"/>
    <n v="0"/>
    <n v="0"/>
    <n v="0"/>
    <n v="0.1957043143767853"/>
    <n v="0"/>
    <n v="0"/>
    <n v="0"/>
    <n v="2.674477004163421"/>
    <n v="0"/>
    <n v="0"/>
    <n v="0"/>
    <n v="0.2599997717109975"/>
    <n v="0"/>
    <n v="0"/>
    <n v="0"/>
    <n v="0"/>
    <n v="0"/>
    <n v="0"/>
    <m/>
    <n v="0"/>
    <m/>
    <n v="0.6607004762679312"/>
    <m/>
    <n v="0"/>
    <m/>
    <m/>
    <n v="0"/>
    <n v="0"/>
    <n v="0"/>
    <n v="0"/>
    <m/>
    <n v="0"/>
    <n v="0"/>
    <n v="0"/>
    <n v="0"/>
    <n v="0"/>
    <x v="0"/>
    <m/>
    <x v="2"/>
    <x v="1"/>
    <s v="no root cause"/>
    <x v="1"/>
    <s v=""/>
  </r>
  <r>
    <s v="PK18-Crf-Lapaix"/>
    <s v="LIT_731"/>
    <s v="Douala"/>
    <s v="CAMUSAT"/>
    <s v="Good Grid + GE"/>
    <s v="LITTORAL"/>
    <s v="Douala"/>
    <s v="ZTE"/>
    <n v="0"/>
    <n v="0"/>
    <n v="0"/>
    <n v="0"/>
    <n v="0"/>
    <n v="0"/>
    <n v="0"/>
    <n v="0"/>
    <n v="0"/>
    <n v="0"/>
    <n v="0"/>
    <n v="0.593462231011349"/>
    <n v="0"/>
    <n v="0"/>
    <n v="0"/>
    <n v="0"/>
    <n v="0"/>
    <n v="0"/>
    <n v="0"/>
    <n v="0"/>
    <n v="0.146301147437599"/>
    <n v="0"/>
    <n v="0"/>
    <n v="0"/>
    <m/>
    <n v="0"/>
    <m/>
    <n v="0.591714393336244"/>
    <m/>
    <n v="0"/>
    <m/>
    <m/>
    <n v="0"/>
    <n v="0"/>
    <n v="0"/>
    <n v="0"/>
    <m/>
    <n v="0"/>
    <n v="0"/>
    <n v="0"/>
    <n v="0"/>
    <n v="0"/>
    <x v="0"/>
    <m/>
    <x v="2"/>
    <x v="1"/>
    <s v="no root cause"/>
    <x v="1"/>
    <s v=""/>
  </r>
  <r>
    <s v="Upper-Mawo-IHS"/>
    <s v="SUO_166"/>
    <s v="SUD-OUEST"/>
    <s v="IHS"/>
    <s v="Grid-Gen"/>
    <s v="SUD-OUEST"/>
    <s v="Limbe"/>
    <s v="Huawei"/>
    <n v="0"/>
    <n v="0"/>
    <n v="0"/>
    <n v="0"/>
    <n v="0"/>
    <n v="0"/>
    <n v="0"/>
    <n v="0"/>
    <n v="0"/>
    <n v="0"/>
    <n v="0"/>
    <n v="0"/>
    <n v="0"/>
    <n v="0"/>
    <n v="0"/>
    <n v="0"/>
    <n v="0"/>
    <n v="0"/>
    <n v="0"/>
    <n v="0"/>
    <m/>
    <n v="0"/>
    <n v="0"/>
    <n v="0.4333924031127205"/>
    <m/>
    <n v="0.1746054167273059"/>
    <m/>
    <n v="0.5663707470472245"/>
    <m/>
    <n v="0"/>
    <m/>
    <m/>
    <n v="0"/>
    <n v="0"/>
    <n v="0"/>
    <n v="0"/>
    <m/>
    <n v="0"/>
    <n v="0"/>
    <n v="0"/>
    <n v="0"/>
    <n v="0"/>
    <x v="0"/>
    <m/>
    <x v="2"/>
    <x v="1"/>
    <s v="no root cause"/>
    <x v="1"/>
    <s v=""/>
  </r>
  <r>
    <s v="Colline-du-loup"/>
    <s v="LIT_133"/>
    <s v="LITTORAL"/>
    <s v="IHS"/>
    <s v="Solar-Gen"/>
    <s v="LITTORAL"/>
    <s v="Ebodje"/>
    <s v="NOKIA"/>
    <n v="0"/>
    <n v="0.002051034006500451"/>
    <n v="0"/>
    <n v="0"/>
    <n v="0"/>
    <n v="0"/>
    <n v="0"/>
    <n v="0"/>
    <n v="0"/>
    <n v="0"/>
    <n v="3.372724681748496"/>
    <n v="0"/>
    <n v="0"/>
    <n v="0"/>
    <n v="0"/>
    <n v="0"/>
    <n v="0"/>
    <n v="0.04605017221551629"/>
    <n v="0"/>
    <n v="0"/>
    <n v="0"/>
    <n v="0.0429647036666068"/>
    <n v="0"/>
    <n v="0"/>
    <m/>
    <n v="0"/>
    <m/>
    <n v="0.5369785379801559"/>
    <m/>
    <n v="0"/>
    <m/>
    <m/>
    <n v="0"/>
    <n v="0"/>
    <n v="0"/>
    <n v="0"/>
    <m/>
    <n v="0"/>
    <n v="0"/>
    <n v="0"/>
    <n v="0"/>
    <n v="0"/>
    <x v="0"/>
    <m/>
    <x v="2"/>
    <x v="1"/>
    <s v="no root cause"/>
    <x v="1"/>
    <s v=""/>
  </r>
  <r>
    <s v="Bfsam-Kamkouop"/>
    <s v="OST_002"/>
    <s v="Bafoussam"/>
    <s v="IHS"/>
    <s v="Grid-Gen"/>
    <s v="OUEST"/>
    <s v="Bafoussam"/>
    <s v="Huawei"/>
    <n v="0"/>
    <n v="0"/>
    <n v="0"/>
    <n v="0"/>
    <n v="0"/>
    <n v="0"/>
    <n v="0"/>
    <n v="0"/>
    <n v="0"/>
    <n v="0"/>
    <n v="0"/>
    <n v="0"/>
    <n v="0"/>
    <n v="0"/>
    <n v="0.02027848404687915"/>
    <n v="0"/>
    <n v="0"/>
    <n v="0"/>
    <n v="0"/>
    <n v="0.09479344125695924"/>
    <n v="0"/>
    <n v="0"/>
    <n v="0"/>
    <n v="0"/>
    <m/>
    <n v="0"/>
    <m/>
    <n v="0.449497478833329"/>
    <m/>
    <n v="0"/>
    <m/>
    <m/>
    <n v="0"/>
    <n v="0"/>
    <n v="0"/>
    <n v="0"/>
    <m/>
    <n v="0"/>
    <n v="0"/>
    <n v="0"/>
    <n v="0"/>
    <n v="0"/>
    <x v="0"/>
    <m/>
    <x v="2"/>
    <x v="1"/>
    <s v="no root cause"/>
    <x v="1"/>
    <s v=""/>
  </r>
  <r>
    <s v="OST_360_H_Bandjoun-Yom-V"/>
    <s v="OST_360"/>
    <s v="OUEST"/>
    <s v="ESCO"/>
    <s v="Hybrid Solar - S1"/>
    <s v="OST"/>
    <s v="Bandjoun"/>
    <s v="Huawei"/>
    <n v="0"/>
    <n v="0"/>
    <n v="0"/>
    <n v="0"/>
    <n v="0"/>
    <n v="0"/>
    <n v="0"/>
    <n v="0.1228836896068578"/>
    <n v="0"/>
    <n v="0"/>
    <n v="0"/>
    <n v="0"/>
    <n v="0"/>
    <s v=""/>
    <n v="0.03336943153184774"/>
    <n v="0"/>
    <n v="0"/>
    <n v="0"/>
    <n v="0"/>
    <n v="0.1127176949659422"/>
    <n v="0"/>
    <n v="0"/>
    <n v="0"/>
    <n v="0"/>
    <m/>
    <n v="0"/>
    <m/>
    <n v="0.381831191697129"/>
    <m/>
    <n v="0"/>
    <m/>
    <m/>
    <n v="0"/>
    <n v="0"/>
    <n v="0"/>
    <n v="0"/>
    <m/>
    <n v="0"/>
    <n v="0"/>
    <n v="0"/>
    <n v="0"/>
    <n v="0"/>
    <x v="0"/>
    <m/>
    <x v="2"/>
    <x v="1"/>
    <s v="no root cause"/>
    <x v="1"/>
    <s v=""/>
  </r>
  <r>
    <s v="Lemla"/>
    <s v="OST_261"/>
    <s v="OUEST"/>
    <s v="CAMUSAT"/>
    <s v="Hybrid Solar - S3"/>
    <s v="OUEST"/>
    <s v="Bandjoun"/>
    <s v="Huawei"/>
    <n v="4.630343032762326"/>
    <n v="4.626419315532499"/>
    <n v="4.622852299869019"/>
    <n v="4.622852299869019"/>
    <n v="4.622584773694258"/>
    <n v="2.578952324695448"/>
    <n v="0"/>
    <n v="0.1519548672642131"/>
    <n v="0"/>
    <n v="0"/>
    <n v="0"/>
    <n v="0"/>
    <n v="0"/>
    <n v="0"/>
    <n v="0.0331019053570868"/>
    <n v="0"/>
    <n v="0"/>
    <n v="0"/>
    <n v="0"/>
    <n v="0.1136986242733989"/>
    <n v="0"/>
    <n v="0"/>
    <n v="0"/>
    <n v="0"/>
    <m/>
    <n v="0"/>
    <m/>
    <n v="0.3811177885644331"/>
    <m/>
    <n v="0"/>
    <m/>
    <m/>
    <n v="0"/>
    <n v="0"/>
    <n v="0"/>
    <n v="0"/>
    <m/>
    <n v="0"/>
    <n v="0"/>
    <n v="0"/>
    <n v="0"/>
    <n v="0"/>
    <x v="0"/>
    <m/>
    <x v="2"/>
    <x v="1"/>
    <s v="no root cause"/>
    <x v="1"/>
    <s v=""/>
  </r>
  <r>
    <s v="Tombel-MTN"/>
    <s v="LIT_225"/>
    <s v="SUD-OUEST"/>
    <s v="IHS"/>
    <s v="Grid-Gen"/>
    <s v="LITTORAL"/>
    <s v="Tombel"/>
    <s v="NOKIA"/>
    <n v="1.547424900052221"/>
    <n v="1.54120045771945"/>
    <n v="1.54120045771945"/>
    <n v="1.179397687246441"/>
    <n v="0.006420628194262459"/>
    <n v="0.01262723544871649"/>
    <n v="0.09856829133402947"/>
    <n v="0.0001783507831739459"/>
    <n v="0.006868910669089733"/>
    <n v="0.2599461117819064"/>
    <n v="0.0001961858614913579"/>
    <n v="58.59212031971875"/>
    <n v="0.0001783507831740038"/>
    <n v="0.0001961858614914157"/>
    <n v="0.0001783507831740038"/>
    <n v="0.0001605157048567076"/>
    <n v="0.122384307413971"/>
    <n v="0.0001694680261438733"/>
    <n v="0.0001961858614913579"/>
    <n v="0.001712167518470132"/>
    <n v="0"/>
    <n v="1.203081060556532"/>
    <n v="0"/>
    <n v="1.440436220077968"/>
    <m/>
    <n v="0"/>
    <m/>
    <n v="0.3746362800707777"/>
    <m/>
    <n v="0"/>
    <m/>
    <m/>
    <n v="0"/>
    <n v="0"/>
    <n v="0"/>
    <n v="0"/>
    <m/>
    <n v="0"/>
    <n v="0"/>
    <n v="0"/>
    <n v="0"/>
    <n v="0"/>
    <x v="0"/>
    <m/>
    <x v="2"/>
    <x v="1"/>
    <s v="no root cause"/>
    <x v="1"/>
    <s v=""/>
  </r>
  <r>
    <s v="Bfsam-Kouogouo"/>
    <s v="OST_065"/>
    <s v="Bafoussam"/>
    <s v="IHS"/>
    <s v="Grid-Gen"/>
    <s v="OUEST"/>
    <s v="Bafoussam"/>
    <s v="Huawei"/>
    <n v="0"/>
    <n v="0"/>
    <n v="0"/>
    <n v="0"/>
    <n v="0"/>
    <n v="0"/>
    <n v="0"/>
    <n v="0"/>
    <n v="0"/>
    <n v="0"/>
    <n v="0"/>
    <n v="0"/>
    <n v="0"/>
    <n v="8.917539158697954e-05"/>
    <n v="0.02113456780611415"/>
    <n v="0"/>
    <n v="0"/>
    <n v="0"/>
    <n v="0"/>
    <n v="0.09675529987187279"/>
    <n v="0"/>
    <n v="0"/>
    <n v="0"/>
    <n v="0"/>
    <m/>
    <n v="0"/>
    <m/>
    <n v="0.3651375583920463"/>
    <m/>
    <n v="0"/>
    <m/>
    <m/>
    <n v="0"/>
    <n v="0"/>
    <n v="0"/>
    <n v="0"/>
    <m/>
    <n v="0"/>
    <n v="0"/>
    <n v="0"/>
    <n v="0"/>
    <n v="0"/>
    <x v="0"/>
    <m/>
    <x v="2"/>
    <x v="1"/>
    <s v="no root cause"/>
    <x v="1"/>
    <s v=""/>
  </r>
  <r>
    <s v="Bfsam-Q-Admin"/>
    <s v="OST_111"/>
    <s v="Bafoussam"/>
    <s v="IHS"/>
    <s v="Grid-Gen"/>
    <s v="OUEST"/>
    <s v="Bafoussam"/>
    <s v="Huawei"/>
    <n v="0"/>
    <n v="0"/>
    <n v="0"/>
    <n v="6.938469693208121"/>
    <n v="0"/>
    <n v="8.917539158697954e-05"/>
    <n v="0"/>
    <n v="0"/>
    <n v="0"/>
    <n v="0"/>
    <n v="0"/>
    <n v="0"/>
    <n v="0"/>
    <n v="0"/>
    <n v="0.01944023536596154"/>
    <n v="0"/>
    <n v="0"/>
    <n v="0"/>
    <n v="0"/>
    <n v="0.09684447526345975"/>
    <n v="0"/>
    <n v="0"/>
    <n v="0"/>
    <n v="0"/>
    <m/>
    <n v="0"/>
    <m/>
    <n v="0.3650662180787768"/>
    <m/>
    <n v="0"/>
    <m/>
    <m/>
    <n v="0"/>
    <n v="0"/>
    <n v="0"/>
    <n v="0"/>
    <m/>
    <n v="0"/>
    <n v="0"/>
    <n v="0"/>
    <n v="0"/>
    <n v="0"/>
    <x v="0"/>
    <m/>
    <x v="2"/>
    <x v="1"/>
    <s v="no root cause"/>
    <x v="1"/>
    <s v=""/>
  </r>
  <r>
    <s v="Maroua-Ouro-Tchede"/>
    <s v="EXN_092"/>
    <s v="Maroua"/>
    <s v="IHS"/>
    <s v="Grid-Gen"/>
    <s v="EXTREME-NORD"/>
    <s v="Maroua"/>
    <s v="Huawei"/>
    <n v="0"/>
    <n v="0"/>
    <n v="0"/>
    <n v="0"/>
    <n v="0"/>
    <n v="0"/>
    <n v="0"/>
    <n v="0"/>
    <n v="0"/>
    <n v="0.3619629144515499"/>
    <n v="8.917539158697954e-05"/>
    <n v="0"/>
    <n v="0"/>
    <n v="0"/>
    <n v="0"/>
    <n v="0"/>
    <n v="0"/>
    <n v="0"/>
    <n v="0"/>
    <n v="0"/>
    <n v="0"/>
    <n v="0"/>
    <n v="0"/>
    <n v="0"/>
    <m/>
    <n v="0.008828363767110974"/>
    <m/>
    <n v="0.3520466109070778"/>
    <m/>
    <n v="0"/>
    <m/>
    <m/>
    <n v="0"/>
    <n v="0"/>
    <n v="0"/>
    <n v="0"/>
    <m/>
    <n v="0"/>
    <n v="0"/>
    <n v="0"/>
    <n v="0"/>
    <n v="0"/>
    <x v="0"/>
    <m/>
    <x v="2"/>
    <x v="1"/>
    <s v="no root cause"/>
    <x v="1"/>
    <s v=""/>
  </r>
  <r>
    <s v="Bfsam-Brasserie"/>
    <s v="OST_134"/>
    <s v="Bafoussam"/>
    <s v="IHS"/>
    <s v="Grid-Gen"/>
    <s v="OUEST"/>
    <s v="Bafoussam"/>
    <s v="Huawei"/>
    <n v="0"/>
    <n v="0"/>
    <n v="0"/>
    <n v="0"/>
    <n v="0"/>
    <n v="0"/>
    <n v="0"/>
    <n v="0"/>
    <n v="0"/>
    <n v="0"/>
    <n v="0"/>
    <n v="0"/>
    <n v="0"/>
    <n v="0"/>
    <n v="0.02591436879517625"/>
    <n v="0"/>
    <n v="0"/>
    <n v="0"/>
    <n v="0"/>
    <n v="0.0954176689980681"/>
    <n v="0"/>
    <n v="0"/>
    <n v="0"/>
    <n v="0"/>
    <m/>
    <n v="0"/>
    <m/>
    <n v="0.3362090613612303"/>
    <m/>
    <n v="0"/>
    <m/>
    <m/>
    <n v="0"/>
    <n v="0"/>
    <n v="0"/>
    <n v="0"/>
    <m/>
    <n v="0"/>
    <n v="0"/>
    <n v="0"/>
    <n v="0"/>
    <n v="0"/>
    <x v="0"/>
    <m/>
    <x v="2"/>
    <x v="1"/>
    <s v="no root cause"/>
    <x v="1"/>
    <s v=""/>
  </r>
  <r>
    <s v="Bfsam-Centre-II"/>
    <s v="OST_170"/>
    <s v="Bafoussam"/>
    <s v="IHS"/>
    <s v="GridOnly"/>
    <s v="OUEST"/>
    <s v="Bafoussam"/>
    <s v="Huawei"/>
    <n v="0"/>
    <n v="0"/>
    <n v="0"/>
    <n v="0"/>
    <n v="0"/>
    <n v="0"/>
    <n v="0"/>
    <n v="0"/>
    <n v="8.917539158697954e-05"/>
    <n v="0"/>
    <n v="1.827560475183559"/>
    <n v="13.86855689960706"/>
    <n v="0"/>
    <n v="0"/>
    <n v="0.02778705201850282"/>
    <n v="0"/>
    <n v="0"/>
    <n v="0"/>
    <n v="0"/>
    <n v="0.09684447526345978"/>
    <n v="0.9916660246038469"/>
    <n v="0.01913703903456581"/>
    <n v="0"/>
    <n v="0"/>
    <m/>
    <n v="0"/>
    <m/>
    <n v="0.3359593702647867"/>
    <m/>
    <n v="0"/>
    <m/>
    <m/>
    <n v="0"/>
    <n v="0"/>
    <n v="0"/>
    <n v="0"/>
    <m/>
    <n v="0"/>
    <n v="0"/>
    <n v="0"/>
    <n v="0"/>
    <n v="0"/>
    <x v="0"/>
    <m/>
    <x v="2"/>
    <x v="1"/>
    <s v="no root cause"/>
    <x v="1"/>
    <s v=""/>
  </r>
  <r>
    <s v="Bfsam-Toket"/>
    <s v="OST_045"/>
    <s v="Bafoussam"/>
    <s v="IHS"/>
    <s v="Grid-Gen"/>
    <s v="OUEST"/>
    <s v="Bafoussam"/>
    <s v="Huawei"/>
    <n v="0"/>
    <n v="0"/>
    <n v="0"/>
    <n v="0"/>
    <n v="0"/>
    <n v="0"/>
    <n v="0"/>
    <n v="0"/>
    <n v="0"/>
    <n v="0"/>
    <n v="0"/>
    <n v="0"/>
    <n v="0"/>
    <n v="0"/>
    <n v="0.02689529810263303"/>
    <n v="0"/>
    <n v="0"/>
    <n v="0"/>
    <n v="0"/>
    <n v="0.09568519517282906"/>
    <n v="0"/>
    <n v="0"/>
    <n v="0"/>
    <n v="0"/>
    <m/>
    <n v="0"/>
    <m/>
    <n v="0.3349427708006952"/>
    <m/>
    <n v="0"/>
    <m/>
    <m/>
    <n v="0"/>
    <n v="0"/>
    <n v="0"/>
    <n v="0"/>
    <m/>
    <n v="0"/>
    <n v="0"/>
    <n v="0"/>
    <n v="0"/>
    <n v="0"/>
    <x v="0"/>
    <m/>
    <x v="2"/>
    <x v="1"/>
    <s v="no root cause"/>
    <x v="1"/>
    <s v=""/>
  </r>
  <r>
    <s v="Bfsam-Nylon"/>
    <s v="OST_107"/>
    <s v="Bafoussam"/>
    <s v="IHS"/>
    <s v="Grid-Gen"/>
    <s v="OUEST"/>
    <s v="Bafoussam"/>
    <s v="Huawei"/>
    <n v="0"/>
    <n v="0"/>
    <n v="0"/>
    <n v="0"/>
    <n v="0"/>
    <n v="0"/>
    <n v="0"/>
    <n v="0"/>
    <n v="0"/>
    <n v="0"/>
    <n v="1.863587333384699"/>
    <n v="0"/>
    <n v="0"/>
    <n v="0"/>
    <n v="0.02746602060878969"/>
    <n v="0"/>
    <n v="0"/>
    <n v="0"/>
    <n v="0"/>
    <n v="0.09666612448028582"/>
    <n v="0"/>
    <n v="0"/>
    <n v="0"/>
    <n v="0"/>
    <m/>
    <n v="0"/>
    <m/>
    <n v="0.3346039043126646"/>
    <m/>
    <n v="0"/>
    <m/>
    <m/>
    <n v="0"/>
    <n v="0"/>
    <n v="0"/>
    <n v="0"/>
    <m/>
    <n v="0"/>
    <n v="0"/>
    <n v="0"/>
    <n v="0"/>
    <n v="0"/>
    <x v="0"/>
    <m/>
    <x v="2"/>
    <x v="1"/>
    <s v="no root cause"/>
    <x v="1"/>
    <s v=""/>
  </r>
  <r>
    <s v="Bfsam-Megom"/>
    <s v="OST_238"/>
    <s v="Bafoussam"/>
    <s v="CAMUSAT"/>
    <s v="Good Grid no GE - 8h"/>
    <s v="OUEST"/>
    <s v="Bafoussam"/>
    <s v="Huawei"/>
    <n v="0"/>
    <n v="0"/>
    <n v="0"/>
    <n v="0"/>
    <n v="0"/>
    <n v="0"/>
    <n v="0"/>
    <n v="0"/>
    <n v="0"/>
    <n v="0"/>
    <n v="0"/>
    <n v="0"/>
    <n v="0"/>
    <n v="0"/>
    <n v="0.02634241067479376"/>
    <n v="0"/>
    <n v="0"/>
    <n v="0"/>
    <n v="0"/>
    <n v="0.09131560098506704"/>
    <n v="0"/>
    <n v="0"/>
    <n v="0"/>
    <n v="0"/>
    <m/>
    <n v="0"/>
    <m/>
    <n v="0.3101520119395149"/>
    <m/>
    <n v="0"/>
    <m/>
    <m/>
    <n v="0"/>
    <n v="0"/>
    <n v="0"/>
    <n v="0"/>
    <m/>
    <n v="0"/>
    <n v="0"/>
    <n v="0"/>
    <n v="0"/>
    <n v="0"/>
    <x v="0"/>
    <m/>
    <x v="2"/>
    <x v="1"/>
    <s v="no root cause"/>
    <x v="1"/>
    <s v=""/>
  </r>
  <r>
    <s v="Bfsam-Tyo"/>
    <s v="OST_118"/>
    <s v="Bafoussam"/>
    <s v="IHS"/>
    <s v="Grid-Gen"/>
    <s v="OUEST"/>
    <s v="Bafoussam"/>
    <s v="Huawei"/>
    <n v="0"/>
    <n v="0"/>
    <n v="0"/>
    <n v="0"/>
    <n v="0"/>
    <n v="0"/>
    <n v="0"/>
    <n v="0"/>
    <n v="0"/>
    <n v="0"/>
    <n v="0"/>
    <n v="0"/>
    <n v="0"/>
    <n v="0"/>
    <n v="0.02664560700618949"/>
    <n v="0"/>
    <n v="0"/>
    <n v="0"/>
    <n v="0"/>
    <n v="0.0857867267066743"/>
    <n v="0"/>
    <n v="0"/>
    <n v="0"/>
    <n v="0"/>
    <m/>
    <n v="0"/>
    <m/>
    <n v="0.2852720776867476"/>
    <m/>
    <n v="0"/>
    <m/>
    <m/>
    <n v="0"/>
    <n v="0"/>
    <n v="0"/>
    <n v="0"/>
    <m/>
    <n v="0"/>
    <n v="0"/>
    <n v="0"/>
    <n v="0"/>
    <n v="0"/>
    <x v="0"/>
    <m/>
    <x v="2"/>
    <x v="1"/>
    <s v="no root cause"/>
    <x v="1"/>
    <s v=""/>
  </r>
  <r>
    <s v="vence"/>
    <s v="CTR_326"/>
    <s v="Yaounde"/>
    <s v="IHS"/>
    <s v="Grid-Gen"/>
    <s v="CENTRE"/>
    <s v="Yaounde"/>
    <s v="ZTE"/>
    <n v="0"/>
    <n v="0"/>
    <n v="0"/>
    <n v="0"/>
    <n v="0"/>
    <n v="0"/>
    <n v="0"/>
    <n v="0"/>
    <n v="0"/>
    <n v="0"/>
    <n v="0"/>
    <n v="0.02113456780611415"/>
    <n v="0"/>
    <n v="0"/>
    <n v="0"/>
    <n v="0"/>
    <n v="0"/>
    <n v="0"/>
    <n v="0"/>
    <n v="0"/>
    <n v="0"/>
    <n v="0"/>
    <n v="0"/>
    <n v="0"/>
    <m/>
    <n v="0"/>
    <m/>
    <n v="0.2128616597181206"/>
    <m/>
    <n v="0"/>
    <m/>
    <m/>
    <n v="0"/>
    <n v="0"/>
    <n v="0"/>
    <n v="0"/>
    <m/>
    <n v="0"/>
    <n v="0"/>
    <n v="0"/>
    <n v="0"/>
    <n v="0"/>
    <x v="0"/>
    <m/>
    <x v="2"/>
    <x v="1"/>
    <s v="no root cause"/>
    <x v="1"/>
    <s v=""/>
  </r>
  <r>
    <s v="Ngd-Agence"/>
    <s v="ADM_026"/>
    <s v="Ngaoundere"/>
    <s v="OCM/Strategique"/>
    <m/>
    <s v="ADAMAOUA"/>
    <s v="Ngaoundere"/>
    <s v="Huawei"/>
    <n v="0"/>
    <n v="0.02150910445077946"/>
    <n v="0"/>
    <n v="0"/>
    <n v="0"/>
    <n v="1.725008774858532"/>
    <n v="4.622763124477433"/>
    <n v="4.622852299869019"/>
    <n v="4.622763124477433"/>
    <n v="3.381441673586677"/>
    <n v="0"/>
    <n v="0"/>
    <n v="0"/>
    <n v="0"/>
    <n v="0"/>
    <n v="0"/>
    <n v="0"/>
    <n v="0"/>
    <n v="0"/>
    <n v="0"/>
    <n v="0"/>
    <n v="0.02434488190324541"/>
    <n v="0.09013848581611891"/>
    <n v="0"/>
    <m/>
    <n v="0"/>
    <m/>
    <n v="0.1052269620726359"/>
    <m/>
    <n v="0"/>
    <m/>
    <m/>
    <n v="0"/>
    <n v="0"/>
    <n v="0"/>
    <n v="0"/>
    <m/>
    <n v="0"/>
    <n v="0"/>
    <n v="0"/>
    <n v="0"/>
    <n v="0"/>
    <x v="0"/>
    <m/>
    <x v="8"/>
    <x v="4"/>
    <s v="SPARE-ISSUE"/>
    <x v="3"/>
    <s v="(05/25/2026 cell huawei): 18/05/2026 : Spare pas disponible au HW SPMS || Mail sent to OCM SPMS || Feedback OCM SPMS attendu_x000a_15/05/2026 : Relance faite ce jour au HW SPMS_x000a_13/05/2026 : Check de toute la chaine antennaire en cours  || ETR 13H || RF Jumper MQ5 || Cde passee a HW SPMS || Feedback HW SPMS attendu_x000a_12/05/2026 : Fme sur Site || Intervention en cours || Remplacement RF Jumpers OK, mais pas de changement. VSWR toujours dispo || Suite des checks interrompus par la forte pluie dans la ville_x000a_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05/25/2026 cell huawei): 18/05/2026 : Spare pas disponible au HW SPMS || Mail sent to OCM SPMS || Feedback OCM SPMS attendu_x000a_15/05/2026 : Relance faite ce jour au HW SPMS_x000a_13/05/2026 : Check de toute la chaine antennaire en cours  || ETR 13H || RF Jumper MQ5 || Cde passee a HW SPMS || Feedback HW SPMS attendu_x000a_12/05/2026 : Fme sur Site || Intervention en cours || Remplacement RF Jumpers OK, mais pas de changement. VSWR toujours dispo || Suite des checks interrompus par la forte pluie dans la ville_x000a_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05/25/2026 cell huawei): 18/05/2026 : Spare pas disponible au HW SPMS || Mail sent to OCM SPMS || Feedback OCM SPMS attendu_x000a_15/05/2026 : Relance faite ce jour au HW SPMS_x000a_13/05/2026 : Check de toute la chaine antennaire en cours  || ETR 13H || RF Jumper MQ5 || Cde passee a HW SPMS || Feedback HW SPMS attendu_x000a_12/05/2026 : Fme sur Site || Intervention en cours || Remplacement RF Jumpers OK, mais pas de changement. VSWR toujours dispo || Suite des checks interrompus par la forte pluie dans la ville_x000a_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r>
  <r>
    <s v="Kumba-Centre"/>
    <s v="SUO_071"/>
    <s v="SUD-OUEST"/>
    <s v="IHS"/>
    <s v="Grid-Gen"/>
    <s v="SUD-OUEST"/>
    <s v="Kumba"/>
    <s v="Huawei"/>
    <n v="0"/>
    <n v="0"/>
    <n v="0"/>
    <n v="0.6658726489799763"/>
    <n v="0"/>
    <n v="0"/>
    <n v="0.006295782646040755"/>
    <n v="0"/>
    <n v="0.001605157048565632"/>
    <n v="0"/>
    <n v="0.07200021116732729"/>
    <n v="0"/>
    <n v="0.05726843647715826"/>
    <n v="0"/>
    <n v="0"/>
    <n v="0"/>
    <n v="0.1367772156161092"/>
    <n v="0"/>
    <n v="0.2300546752160898"/>
    <n v="0"/>
    <n v="0"/>
    <n v="2.453393373340981"/>
    <n v="0"/>
    <n v="0"/>
    <m/>
    <n v="0"/>
    <m/>
    <n v="0.0736767085291625"/>
    <m/>
    <n v="0"/>
    <m/>
    <m/>
    <n v="0"/>
    <n v="0"/>
    <n v="0"/>
    <n v="0"/>
    <m/>
    <n v="0"/>
    <n v="0"/>
    <n v="0"/>
    <n v="0"/>
    <n v="0"/>
    <x v="0"/>
    <m/>
    <x v="2"/>
    <x v="1"/>
    <s v="no root cause"/>
    <x v="1"/>
    <s v=""/>
  </r>
  <r>
    <s v="T-junction-IHS"/>
    <s v="NRO_124"/>
    <s v="NORD-OUEST"/>
    <s v="IHS"/>
    <s v="Grid-Gen"/>
    <s v="NORD-OUEST"/>
    <s v="Bamenda"/>
    <s v="Huawei"/>
    <n v="7.66435738072613"/>
    <n v="4.08994015974523"/>
    <n v="0.007936609851241179"/>
    <n v="0"/>
    <n v="6.581928642565057"/>
    <n v="0"/>
    <n v="0"/>
    <n v="1.707869264595515"/>
    <n v="15.0068272679799"/>
    <n v="0.8741863637271604"/>
    <n v="0.9194339574183938"/>
    <n v="0"/>
    <n v="23.11426149934509"/>
    <n v="21.02666558229391"/>
    <n v="0.04018243144909298"/>
    <n v="0"/>
    <n v="0"/>
    <n v="2.049946066723168"/>
    <n v="0"/>
    <n v="0"/>
    <n v="2.660529972919214"/>
    <n v="0"/>
    <n v="0"/>
    <n v="0"/>
    <m/>
    <n v="0"/>
    <m/>
    <n v="0.05678688936258856"/>
    <m/>
    <n v="0"/>
    <m/>
    <m/>
    <n v="0"/>
    <n v="0"/>
    <n v="0"/>
    <n v="0"/>
    <m/>
    <n v="0"/>
    <n v="0"/>
    <n v="0"/>
    <n v="0"/>
    <n v="0"/>
    <x v="0"/>
    <m/>
    <x v="2"/>
    <x v="1"/>
    <s v="no root cause"/>
    <x v="1"/>
    <s v=""/>
  </r>
  <r>
    <s v="Kumba-Barombi-Kang-II-IHS"/>
    <s v="SUO_108"/>
    <s v="SUD-OUEST"/>
    <s v="IHS"/>
    <s v="Grid-Gen"/>
    <s v="SUD-OUEST"/>
    <s v="Kumba"/>
    <s v="Huawei"/>
    <n v="0"/>
    <n v="0"/>
    <n v="0"/>
    <n v="0"/>
    <n v="0"/>
    <n v="0"/>
    <n v="0.008025785242828159"/>
    <n v="0"/>
    <n v="0"/>
    <n v="0"/>
    <n v="0"/>
    <n v="0"/>
    <n v="0"/>
    <n v="0"/>
    <n v="0"/>
    <n v="0"/>
    <n v="0.1485662023839079"/>
    <n v="0"/>
    <n v="0"/>
    <n v="0"/>
    <n v="0"/>
    <n v="2.740359783467881"/>
    <n v="0"/>
    <n v="0"/>
    <m/>
    <n v="2.019983135149943"/>
    <m/>
    <n v="0.0518109025120351"/>
    <m/>
    <n v="0"/>
    <m/>
    <m/>
    <n v="0"/>
    <n v="0"/>
    <n v="0"/>
    <n v="0"/>
    <m/>
    <n v="0"/>
    <n v="0"/>
    <n v="0"/>
    <n v="0"/>
    <n v="0"/>
    <x v="0"/>
    <m/>
    <x v="2"/>
    <x v="1"/>
    <s v="no root cause"/>
    <x v="1"/>
    <s v=""/>
  </r>
  <r>
    <s v="Cite-Sic-II"/>
    <s v="LIT_161"/>
    <s v="Douala"/>
    <s v="IHS"/>
    <s v="GridOnly"/>
    <s v="LITTORAL"/>
    <s v="Douala"/>
    <s v="ZTE"/>
    <n v="13.86855689960706"/>
    <n v="13.86855689960706"/>
    <n v="13.86855689960706"/>
    <n v="13.86855689960706"/>
    <n v="24.21409727394395"/>
    <n v="0"/>
    <n v="0"/>
    <n v="0.5190542842711733"/>
    <n v="0"/>
    <n v="0.2991120984610469"/>
    <n v="0"/>
    <n v="0"/>
    <n v="0"/>
    <n v="0"/>
    <n v="0"/>
    <n v="18.06529350831685"/>
    <n v="13.86855689960706"/>
    <n v="0"/>
    <n v="0"/>
    <n v="0"/>
    <n v="0"/>
    <n v="0"/>
    <n v="0"/>
    <n v="0"/>
    <m/>
    <n v="0"/>
    <m/>
    <n v="0.04936749678255194"/>
    <m/>
    <n v="0"/>
    <m/>
    <m/>
    <n v="0"/>
    <n v="0"/>
    <n v="0"/>
    <n v="0"/>
    <m/>
    <n v="0"/>
    <n v="0"/>
    <n v="0"/>
    <n v="0"/>
    <n v="0"/>
    <x v="0"/>
    <m/>
    <x v="2"/>
    <x v="1"/>
    <s v="no root cause"/>
    <x v="1"/>
    <s v=""/>
  </r>
  <r>
    <s v="Limbon-IHS"/>
    <s v="ADM_080"/>
    <s v="ADAMAOUA"/>
    <s v="IHS"/>
    <s v="Grid-Gen"/>
    <s v="ADAMAOUA"/>
    <s v="Limbon"/>
    <s v="NOKIA"/>
    <n v="0"/>
    <n v="0"/>
    <n v="0.06946832020887404"/>
    <n v="0"/>
    <n v="0"/>
    <n v="0"/>
    <n v="0"/>
    <n v="0"/>
    <n v="0"/>
    <n v="0.003602974847890946"/>
    <n v="0"/>
    <n v="0"/>
    <n v="0"/>
    <n v="0.0008919087611408398"/>
    <n v="5.319724840598405"/>
    <n v="6.597169749805228"/>
    <n v="0"/>
    <n v="0.2135403583201284"/>
    <n v="0"/>
    <n v="0"/>
    <n v="0"/>
    <n v="0"/>
    <n v="0.01009562985285363"/>
    <n v="0.01987018184241269"/>
    <m/>
    <n v="0.01009530464014397"/>
    <m/>
    <n v="0.01005995969621884"/>
    <m/>
    <n v="0"/>
    <m/>
    <m/>
    <n v="0"/>
    <n v="0"/>
    <n v="0"/>
    <n v="0"/>
    <m/>
    <n v="0"/>
    <n v="0"/>
    <n v="0"/>
    <n v="0"/>
    <n v="0"/>
    <x v="0"/>
    <m/>
    <x v="2"/>
    <x v="1"/>
    <s v="no root cause"/>
    <x v="1"/>
    <s v=""/>
  </r>
  <r>
    <s v="Ngwelle-II"/>
    <s v="LIT_377"/>
    <s v="Douala"/>
    <s v="IHS"/>
    <s v="Grid-Gen"/>
    <s v="LITTORAL"/>
    <s v="Douala"/>
    <s v="ZTE"/>
    <n v="1.540950766623006"/>
    <n v="1.540950766623006"/>
    <n v="1.540950766623006"/>
    <n v="1.540950766623006"/>
    <n v="1.540950766623006"/>
    <n v="1.540950766623006"/>
    <n v="1.540950766623006"/>
    <n v="1.540950766623006"/>
    <n v="1.540950766623006"/>
    <n v="2.01500714829939"/>
    <n v="1.540950766623006"/>
    <n v="0"/>
    <n v="0"/>
    <n v="0"/>
    <n v="0"/>
    <n v="0"/>
    <n v="0"/>
    <n v="0"/>
    <n v="0"/>
    <n v="0"/>
    <n v="1.314177745817317"/>
    <n v="0"/>
    <n v="0"/>
    <n v="0"/>
    <m/>
    <n v="0"/>
    <m/>
    <n v="0.009274240725045724"/>
    <m/>
    <n v="0"/>
    <m/>
    <m/>
    <n v="0"/>
    <n v="0"/>
    <n v="0"/>
    <n v="0"/>
    <m/>
    <n v="0"/>
    <n v="0"/>
    <n v="0"/>
    <n v="0"/>
    <n v="0"/>
    <x v="0"/>
    <m/>
    <x v="2"/>
    <x v="1"/>
    <s v="no root cause"/>
    <x v="1"/>
    <s v=""/>
  </r>
  <r>
    <s v="Indoor-Orange-shop-PlaYce"/>
    <s v="CTR_882"/>
    <s v="Yaounde"/>
    <m/>
    <m/>
    <s v="CENTRE"/>
    <s v="Yaounde"/>
    <s v="ZTE"/>
    <n v="0"/>
    <n v="0"/>
    <n v="0"/>
    <n v="0"/>
    <n v="0"/>
    <n v="0"/>
    <n v="0"/>
    <n v="0"/>
    <n v="0"/>
    <n v="0"/>
    <n v="0"/>
    <n v="0"/>
    <n v="0"/>
    <n v="0"/>
    <n v="0.008543002514032665"/>
    <n v="0"/>
    <n v="0"/>
    <n v="0"/>
    <n v="2.333987524006016"/>
    <n v="0"/>
    <n v="0.3373505063735435"/>
    <n v="0"/>
    <n v="0"/>
    <n v="3.367797838673869"/>
    <m/>
    <n v="0"/>
    <m/>
    <n v="0.003031963313957322"/>
    <m/>
    <n v="0"/>
    <m/>
    <m/>
    <n v="0"/>
    <n v="0"/>
    <n v="0"/>
    <n v="0"/>
    <m/>
    <n v="0"/>
    <n v="0"/>
    <n v="0"/>
    <n v="0"/>
    <n v="0"/>
    <x v="0"/>
    <m/>
    <x v="2"/>
    <x v="1"/>
    <s v="no root cause"/>
    <x v="1"/>
    <s v=""/>
  </r>
  <r>
    <s v="PK17-University-IHS"/>
    <s v="LIT_234"/>
    <s v="Douala"/>
    <s v="IHS"/>
    <s v="Grid-Gen"/>
    <s v="LITTORAL"/>
    <s v="Douala"/>
    <s v="ZTE"/>
    <n v="0"/>
    <n v="0"/>
    <n v="0"/>
    <n v="0"/>
    <n v="0"/>
    <n v="0"/>
    <n v="0"/>
    <n v="0"/>
    <n v="0"/>
    <n v="0"/>
    <n v="0"/>
    <n v="0"/>
    <n v="0"/>
    <n v="0"/>
    <n v="0"/>
    <n v="0"/>
    <n v="0"/>
    <n v="0"/>
    <n v="0"/>
    <n v="0"/>
    <n v="0"/>
    <n v="0"/>
    <n v="0"/>
    <n v="0"/>
    <m/>
    <n v="0"/>
    <m/>
    <n v="0.0007490732893306281"/>
    <m/>
    <n v="0"/>
    <m/>
    <m/>
    <n v="0"/>
    <n v="0"/>
    <n v="0"/>
    <n v="0"/>
    <m/>
    <n v="0"/>
    <n v="0"/>
    <n v="0"/>
    <n v="0"/>
    <n v="0"/>
    <x v="0"/>
    <m/>
    <x v="2"/>
    <x v="1"/>
    <s v="no root cause"/>
    <x v="1"/>
    <s v=""/>
  </r>
  <r>
    <s v="Akwa-Palace-Micro"/>
    <s v="LIT_705"/>
    <s v="Douala"/>
    <s v="CAMUSAT"/>
    <s v="Good Grid no GE - 8h"/>
    <s v="LITTORAL"/>
    <s v="Douala"/>
    <s v="ZTE"/>
    <n v="0"/>
    <n v="0.0235423033789626"/>
    <n v="0"/>
    <n v="0"/>
    <n v="0"/>
    <n v="0"/>
    <n v="0"/>
    <n v="0.02384549971035829"/>
    <n v="0"/>
    <n v="0.023916840023628"/>
    <n v="0"/>
    <n v="1.505869167572689"/>
    <n v="0"/>
    <n v="0.02377415939708875"/>
    <n v="0.02402385049353239"/>
    <n v="0.02405952065016707"/>
    <n v="0"/>
    <n v="0.07142948866117058"/>
    <n v="0"/>
    <n v="0"/>
    <n v="0"/>
    <n v="0"/>
    <n v="0"/>
    <n v="0"/>
    <m/>
    <n v="0.02386333478867575"/>
    <m/>
    <n v="0.0003567015663478598"/>
    <m/>
    <n v="0"/>
    <m/>
    <m/>
    <n v="0"/>
    <n v="0"/>
    <n v="0"/>
    <n v="0"/>
    <m/>
    <n v="0"/>
    <n v="0"/>
    <n v="0"/>
    <n v="0"/>
    <n v="0"/>
    <x v="0"/>
    <m/>
    <x v="2"/>
    <x v="1"/>
    <s v="no root cause"/>
    <x v="1"/>
    <s v=""/>
  </r>
  <r>
    <s v="Bafang"/>
    <s v="OST_015"/>
    <s v="OUEST"/>
    <s v="IHS"/>
    <s v="Grid-Gen"/>
    <s v="OUEST"/>
    <s v="Bafang"/>
    <s v="Huawei"/>
    <n v="4.622852299869019"/>
    <n v="4.622852299869019"/>
    <n v="4.622852299869019"/>
    <n v="4.622852299869019"/>
    <n v="4.622852299869019"/>
    <n v="4.622852299869019"/>
    <n v="4.622852299869019"/>
    <n v="4.623387352218542"/>
    <n v="4.622852299869019"/>
    <n v="0"/>
    <n v="0"/>
    <n v="1.548316653968091"/>
    <n v="0"/>
    <n v="0.0002675261747609386"/>
    <n v="0"/>
    <n v="0"/>
    <n v="0"/>
    <n v="0"/>
    <n v="0"/>
    <n v="0"/>
    <n v="0"/>
    <n v="0"/>
    <n v="0"/>
    <n v="0"/>
    <m/>
    <n v="0"/>
    <m/>
    <n v="0.0002675261747609386"/>
    <m/>
    <n v="0"/>
    <m/>
    <m/>
    <n v="0"/>
    <n v="0"/>
    <n v="0"/>
    <n v="0"/>
    <m/>
    <n v="0"/>
    <n v="0"/>
    <n v="0"/>
    <n v="0"/>
    <n v="0"/>
    <x v="0"/>
    <m/>
    <x v="2"/>
    <x v="1"/>
    <s v="no root cause"/>
    <x v="1"/>
    <s v=""/>
  </r>
  <r>
    <s v="Evidence-building-IHS"/>
    <s v="NRO_123"/>
    <s v="NORD-OUEST"/>
    <s v="IHS"/>
    <s v="Grid-Gen"/>
    <s v="NORD-OUEST"/>
    <s v="Bamenda"/>
    <s v="Huawei"/>
    <n v="0"/>
    <n v="1.333439630400105"/>
    <n v="7.697869492884516"/>
    <n v="0.1211001817751182"/>
    <n v="0"/>
    <n v="0"/>
    <n v="0"/>
    <n v="0"/>
    <n v="0"/>
    <n v="0.007579908284893261"/>
    <n v="0"/>
    <n v="0"/>
    <n v="0"/>
    <n v="0"/>
    <n v="0"/>
    <n v="0"/>
    <n v="0"/>
    <n v="0.2376524185793004"/>
    <n v="0"/>
    <n v="0"/>
    <n v="0"/>
    <n v="0"/>
    <n v="0"/>
    <n v="0"/>
    <m/>
    <n v="0"/>
    <m/>
    <n v="8.917539158697954e-05"/>
    <m/>
    <n v="0"/>
    <m/>
    <m/>
    <n v="0"/>
    <n v="0"/>
    <n v="0"/>
    <n v="0"/>
    <m/>
    <n v="0"/>
    <n v="0"/>
    <n v="0"/>
    <n v="0"/>
    <n v="0"/>
    <x v="0"/>
    <m/>
    <x v="2"/>
    <x v="1"/>
    <s v="no root cause"/>
    <x v="1"/>
    <s v=""/>
  </r>
  <r>
    <s v="Bitotol-Ecole-Publique"/>
    <s v="CTR_794"/>
    <s v="Yaounde"/>
    <s v="ESCO "/>
    <s v="Good Grid no GE 8H"/>
    <s v="CENTRE"/>
    <s v="Yaounde"/>
    <s v="ZTE"/>
    <n v="0"/>
    <n v="0"/>
    <n v="3.091050928422839"/>
    <n v="18.09211746610621"/>
    <n v="0"/>
    <n v="0"/>
    <n v="0"/>
    <n v="0"/>
    <n v="0"/>
    <n v="0"/>
    <n v="0"/>
    <n v="0"/>
    <n v="0"/>
    <n v="0.7320764596941499"/>
    <n v="11.79815399805384"/>
    <n v="9.066301546943352"/>
    <n v="12.32760613298405"/>
    <n v="12.32760613298405"/>
    <n v="12.32760613298405"/>
    <n v="12.32760613298405"/>
    <n v="0"/>
    <n v="6.344775606178642"/>
    <n v="1.014691110711606"/>
    <n v="9.216472906375827"/>
    <m/>
    <n v="33.13174344311182"/>
    <m/>
    <n v="0"/>
    <m/>
    <n v="0"/>
    <m/>
    <m/>
    <n v="0"/>
    <n v="0"/>
    <n v="0"/>
    <n v="0"/>
    <m/>
    <n v="0"/>
    <n v="0"/>
    <n v="0"/>
    <n v="0"/>
    <n v="0"/>
    <x v="0"/>
    <m/>
    <x v="2"/>
    <x v="1"/>
    <s v="no root cause"/>
    <x v="1"/>
    <s v=""/>
  </r>
  <r>
    <s v="Montee-Jouvence-II-IHS"/>
    <s v="CTR_154"/>
    <s v="Yaounde"/>
    <s v="IHS"/>
    <s v="Grid-Gen"/>
    <s v="CENTRE"/>
    <s v="Yaounde"/>
    <s v="ZTE"/>
    <n v="0"/>
    <n v="0"/>
    <n v="16.03685654604446"/>
    <n v="13.86855689960706"/>
    <n v="21.05932161069305"/>
    <n v="0"/>
    <n v="0"/>
    <n v="0"/>
    <n v="0"/>
    <n v="0"/>
    <n v="0"/>
    <n v="0.9620241244403351"/>
    <n v="0"/>
    <n v="0"/>
    <n v="0"/>
    <n v="0.01111125379173773"/>
    <n v="7.571793324258845"/>
    <n v="0"/>
    <n v="0"/>
    <n v="0"/>
    <n v="0"/>
    <n v="0"/>
    <n v="0"/>
    <n v="0"/>
    <m/>
    <n v="30.38155653149103"/>
    <m/>
    <n v="0"/>
    <m/>
    <n v="0"/>
    <m/>
    <m/>
    <n v="0"/>
    <n v="0"/>
    <n v="0"/>
    <n v="0"/>
    <m/>
    <n v="0"/>
    <n v="0"/>
    <n v="0"/>
    <n v="0"/>
    <n v="0"/>
    <x v="0"/>
    <m/>
    <x v="2"/>
    <x v="1"/>
    <s v="no root cause"/>
    <x v="1"/>
    <s v=""/>
  </r>
  <r>
    <s v="Bonamoussongo-IHS"/>
    <s v="LIT_154"/>
    <s v="Douala"/>
    <s v="IHS"/>
    <s v="Grid-Gen"/>
    <s v="LITTORAL"/>
    <s v="Douala"/>
    <s v="ZTE"/>
    <n v="42.64458184588781"/>
    <n v="0"/>
    <n v="0"/>
    <n v="0"/>
    <n v="0"/>
    <n v="31.2778940624884"/>
    <n v="0"/>
    <n v="13.39516041582842"/>
    <n v="0"/>
    <n v="0"/>
    <n v="0"/>
    <n v="0"/>
    <n v="8.515714844207023"/>
    <n v="0"/>
    <n v="0.4823853632506073"/>
    <n v="0"/>
    <n v="0"/>
    <n v="0"/>
    <n v="0"/>
    <n v="9.449791400923999"/>
    <n v="0"/>
    <n v="13.86855689960706"/>
    <n v="13.86855689960706"/>
    <n v="28.65795672781959"/>
    <m/>
    <n v="27.41417403612103"/>
    <m/>
    <n v="0"/>
    <m/>
    <n v="0"/>
    <m/>
    <m/>
    <n v="0"/>
    <n v="0"/>
    <n v="0"/>
    <n v="0"/>
    <m/>
    <n v="0"/>
    <n v="0"/>
    <n v="0"/>
    <n v="0"/>
    <n v="0"/>
    <x v="0"/>
    <m/>
    <x v="2"/>
    <x v="1"/>
    <s v="no root cause"/>
    <x v="1"/>
    <s v=""/>
  </r>
  <r>
    <s v="Nkong-CRTV-II"/>
    <s v="LIT_558"/>
    <s v="LITTORAL"/>
    <s v="IHS"/>
    <s v="Grid-Gen"/>
    <s v="LITTORAL"/>
    <s v="Nkongsamba"/>
    <s v="ZTE"/>
    <n v="0"/>
    <n v="0"/>
    <n v="0"/>
    <n v="0"/>
    <n v="0"/>
    <n v="0"/>
    <n v="0"/>
    <n v="0"/>
    <n v="0.0004280418796175018"/>
    <n v="0"/>
    <n v="0"/>
    <n v="0"/>
    <n v="0"/>
    <n v="0"/>
    <n v="0"/>
    <n v="0"/>
    <n v="0"/>
    <n v="0"/>
    <n v="0"/>
    <n v="0"/>
    <n v="0"/>
    <n v="13.19749424283672"/>
    <n v="23.11426149934509"/>
    <n v="23.11426149934509"/>
    <m/>
    <n v="21.83509401226483"/>
    <m/>
    <n v="0"/>
    <m/>
    <n v="0"/>
    <m/>
    <m/>
    <n v="0"/>
    <n v="0"/>
    <n v="0"/>
    <n v="0"/>
    <m/>
    <n v="0"/>
    <n v="0"/>
    <n v="0"/>
    <n v="0"/>
    <n v="0"/>
    <x v="0"/>
    <m/>
    <x v="2"/>
    <x v="1"/>
    <s v="no root cause"/>
    <x v="1"/>
    <s v=""/>
  </r>
  <r>
    <s v="Cellucam-New"/>
    <s v="LIT_209"/>
    <s v="LITTORAL"/>
    <s v="CAMUSAT"/>
    <s v="Grid-Gen"/>
    <s v="LITTORAL"/>
    <s v="Edea"/>
    <s v="ZTE"/>
    <n v="34.50796942639534"/>
    <n v="0"/>
    <n v="0"/>
    <n v="37.87039890649567"/>
    <n v="12.22013195104342"/>
    <n v="2.938828534983862"/>
    <n v="0"/>
    <n v="0"/>
    <n v="0"/>
    <n v="0"/>
    <n v="0"/>
    <n v="0"/>
    <n v="0"/>
    <n v="0"/>
    <n v="6.256153102019502"/>
    <n v="25.06829051487731"/>
    <n v="0"/>
    <n v="0"/>
    <n v="0"/>
    <n v="0"/>
    <n v="0"/>
    <n v="0"/>
    <n v="0"/>
    <n v="0"/>
    <m/>
    <n v="13.84617387631872"/>
    <m/>
    <n v="0"/>
    <m/>
    <n v="0"/>
    <m/>
    <m/>
    <n v="0"/>
    <n v="0"/>
    <n v="0"/>
    <n v="0"/>
    <m/>
    <n v="0"/>
    <n v="0"/>
    <n v="0"/>
    <n v="0"/>
    <n v="0"/>
    <x v="0"/>
    <m/>
    <x v="2"/>
    <x v="1"/>
    <s v="no root cause"/>
    <x v="1"/>
    <s v=""/>
  </r>
  <r>
    <s v="Edea-Beon"/>
    <s v="LIT_186"/>
    <s v="LITTORAL"/>
    <s v="IHS"/>
    <s v="Grid-Gen"/>
    <s v="LITTORAL"/>
    <s v="Edea"/>
    <s v="ZTE"/>
    <n v="16.1305977176807"/>
    <n v="35.31003073340695"/>
    <n v="0"/>
    <n v="0"/>
    <n v="0"/>
    <n v="1.939154560215504"/>
    <n v="0"/>
    <n v="0.06342153849665974"/>
    <n v="0"/>
    <n v="0"/>
    <n v="0"/>
    <n v="0"/>
    <n v="0"/>
    <n v="0"/>
    <n v="0"/>
    <n v="0"/>
    <n v="0"/>
    <n v="0"/>
    <n v="0"/>
    <n v="0"/>
    <n v="0"/>
    <n v="0"/>
    <n v="1.402711074584871"/>
    <n v="0"/>
    <m/>
    <n v="10.67736200643204"/>
    <m/>
    <n v="0"/>
    <m/>
    <n v="0"/>
    <m/>
    <m/>
    <n v="0"/>
    <n v="0"/>
    <n v="0"/>
    <n v="0"/>
    <m/>
    <n v="0"/>
    <n v="0"/>
    <n v="0"/>
    <n v="0"/>
    <n v="0"/>
    <x v="0"/>
    <m/>
    <x v="2"/>
    <x v="1"/>
    <s v="no root cause"/>
    <x v="1"/>
    <s v=""/>
  </r>
  <r>
    <s v="Scalom-EHS-IHS"/>
    <s v="CTR_155"/>
    <s v="Yaounde"/>
    <s v="IHS"/>
    <s v="Grid-Lithium"/>
    <s v="CENTRE"/>
    <s v="Yaounde"/>
    <s v="ZTE"/>
    <n v="0"/>
    <n v="0"/>
    <n v="0"/>
    <n v="0"/>
    <n v="0"/>
    <n v="0"/>
    <n v="0"/>
    <n v="0"/>
    <n v="0"/>
    <n v="0"/>
    <n v="0"/>
    <n v="1.153572865569167"/>
    <n v="0.0109329030085638"/>
    <n v="0.01285909146684252"/>
    <n v="0.01164630614125952"/>
    <n v="0"/>
    <n v="0"/>
    <n v="0"/>
    <n v="0"/>
    <n v="0"/>
    <n v="0"/>
    <n v="0"/>
    <n v="0"/>
    <n v="0"/>
    <m/>
    <n v="3.785869909511946"/>
    <m/>
    <n v="0"/>
    <m/>
    <n v="0"/>
    <m/>
    <m/>
    <n v="0"/>
    <n v="0"/>
    <n v="0"/>
    <n v="0"/>
    <m/>
    <n v="0"/>
    <n v="0"/>
    <n v="0"/>
    <n v="0"/>
    <n v="0"/>
    <x v="0"/>
    <m/>
    <x v="2"/>
    <x v="1"/>
    <s v="no root cause"/>
    <x v="1"/>
    <s v=""/>
  </r>
  <r>
    <s v="EXN_368_H_Maroua-Walya-Mosquee"/>
    <s v="EXN_368"/>
    <s v=""/>
    <s v="ESCO"/>
    <s v="Hybrid Solar - S1"/>
    <s v="EXN"/>
    <s v="Maroua"/>
    <s v="Huawei"/>
    <n v="0.2704689626833089"/>
    <n v="0.7016676511629898"/>
    <n v="0"/>
    <n v="0"/>
    <n v="0"/>
    <n v="0"/>
    <n v="0"/>
    <n v="0"/>
    <n v="0"/>
    <n v="0"/>
    <n v="0"/>
    <n v="0"/>
    <n v="0"/>
    <s v=""/>
    <n v="0.001070104699043754"/>
    <n v="0"/>
    <n v="0"/>
    <n v="0"/>
    <n v="0"/>
    <n v="0.001070104699043754"/>
    <n v="2.0013811484649"/>
    <n v="3.656743942494"/>
    <n v="0.3143432553441028"/>
    <n v="0"/>
    <m/>
    <n v="2.670892153421624"/>
    <m/>
    <n v="0"/>
    <m/>
    <n v="0"/>
    <m/>
    <m/>
    <n v="0"/>
    <n v="0"/>
    <n v="0"/>
    <n v="0"/>
    <m/>
    <n v="0"/>
    <n v="0"/>
    <n v="0"/>
    <n v="0"/>
    <n v="0"/>
    <x v="0"/>
    <m/>
    <x v="2"/>
    <x v="1"/>
    <s v="no root cause"/>
    <x v="1"/>
    <s v=""/>
  </r>
  <r>
    <s v="Tongolo"/>
    <s v="CTR_390"/>
    <s v="Yaounde"/>
    <s v="IHS"/>
    <s v="Grid-Gen"/>
    <s v="CENTRE"/>
    <s v="Yaounde"/>
    <s v="ZTE"/>
    <n v="0.04558646017926388"/>
    <n v="4.828187556537202"/>
    <n v="34.89288608664138"/>
    <n v="49.98585678289429"/>
    <n v="50.55941506650343"/>
    <n v="17.6593492907346"/>
    <n v="0"/>
    <n v="0"/>
    <n v="0.04580048111907301"/>
    <n v="0"/>
    <n v="0"/>
    <n v="0.000802578524282816"/>
    <n v="23.93993645004894"/>
    <n v="0"/>
    <n v="0.3059964386915615"/>
    <n v="0"/>
    <n v="0.04565780049253376"/>
    <n v="0"/>
    <n v="0"/>
    <n v="0"/>
    <n v="0"/>
    <n v="0"/>
    <n v="0.2482107849431983"/>
    <n v="0"/>
    <m/>
    <n v="2.452572959738381"/>
    <m/>
    <n v="0"/>
    <m/>
    <n v="0"/>
    <m/>
    <m/>
    <n v="0"/>
    <n v="0"/>
    <n v="0"/>
    <n v="0"/>
    <m/>
    <n v="0"/>
    <n v="0"/>
    <n v="0"/>
    <n v="0"/>
    <n v="0"/>
    <x v="0"/>
    <m/>
    <x v="2"/>
    <x v="1"/>
    <s v="no root cause"/>
    <x v="1"/>
    <s v=""/>
  </r>
  <r>
    <s v="Logbessou-OCM"/>
    <s v="LIT_680"/>
    <s v="Douala"/>
    <s v="CAMUSAT"/>
    <s v="Good Grid + GE"/>
    <s v="LITTORAL"/>
    <s v="Douala"/>
    <s v="ZTE"/>
    <n v="4.082681282870049"/>
    <n v="7.279208864461966"/>
    <n v="1.583701449349805"/>
    <n v="1.951478599332825"/>
    <n v="0"/>
    <n v="5.881866148450631"/>
    <n v="0"/>
    <n v="0"/>
    <n v="0"/>
    <n v="0"/>
    <n v="0"/>
    <n v="0"/>
    <n v="0"/>
    <n v="0"/>
    <n v="0"/>
    <n v="1.519530837563814"/>
    <n v="8.22116852579523"/>
    <n v="0"/>
    <n v="0.2542568764927964"/>
    <n v="6.513396802416999e-17"/>
    <n v="0"/>
    <n v="4.800150813422252"/>
    <n v="9.855414587096535"/>
    <n v="0.09737952761298209"/>
    <m/>
    <n v="1.33477726127391"/>
    <m/>
    <n v="0"/>
    <m/>
    <n v="0"/>
    <m/>
    <m/>
    <n v="0"/>
    <n v="0"/>
    <n v="0"/>
    <n v="0"/>
    <m/>
    <n v="0"/>
    <n v="0"/>
    <n v="0"/>
    <n v="0"/>
    <n v="0"/>
    <x v="0"/>
    <m/>
    <x v="2"/>
    <x v="1"/>
    <s v="no root cause"/>
    <x v="1"/>
    <s v=""/>
  </r>
  <r>
    <s v="Logbessou-Sunshine-City"/>
    <s v="LIT_638"/>
    <s v="Douala"/>
    <s v="CAMUSAT"/>
    <s v="Good Grid + GE"/>
    <s v="LITTORAL"/>
    <s v="Douala"/>
    <s v="ZTE"/>
    <n v="2.568911175602753"/>
    <n v="4.192152993582225"/>
    <n v="1.175973723935817"/>
    <n v="1.420902854468614"/>
    <n v="0"/>
    <n v="3.771191640056729"/>
    <n v="0"/>
    <n v="0"/>
    <n v="0"/>
    <n v="0"/>
    <n v="0"/>
    <n v="0"/>
    <n v="0"/>
    <n v="0"/>
    <n v="0"/>
    <n v="1.09266607311526"/>
    <n v="4.914152634027046"/>
    <n v="0"/>
    <n v="0.3681695217060033"/>
    <n v="0"/>
    <n v="0"/>
    <n v="2.928555529873043"/>
    <n v="6.014862327463451"/>
    <n v="0.5621259984076854"/>
    <m/>
    <n v="1.082232552299583"/>
    <m/>
    <n v="0"/>
    <m/>
    <n v="0"/>
    <m/>
    <m/>
    <n v="0"/>
    <n v="0"/>
    <n v="0"/>
    <n v="0"/>
    <m/>
    <n v="0"/>
    <n v="0"/>
    <n v="0"/>
    <n v="0"/>
    <n v="0"/>
    <x v="0"/>
    <m/>
    <x v="2"/>
    <x v="1"/>
    <s v="no root cause"/>
    <x v="1"/>
    <s v=""/>
  </r>
  <r>
    <s v="Ngd-La-Gare"/>
    <s v="ADM_002"/>
    <s v="Ngaoundere"/>
    <s v="OCM/Strategique"/>
    <m/>
    <s v="ADAMAOUA"/>
    <s v="Ngaoundere"/>
    <s v="Huawei"/>
    <n v="0"/>
    <n v="0"/>
    <n v="0"/>
    <n v="0"/>
    <n v="0"/>
    <n v="0"/>
    <n v="0"/>
    <n v="0"/>
    <n v="0"/>
    <n v="0"/>
    <n v="0"/>
    <n v="0"/>
    <n v="0"/>
    <n v="0"/>
    <n v="0"/>
    <n v="0"/>
    <n v="0"/>
    <n v="0"/>
    <n v="0"/>
    <n v="0"/>
    <m/>
    <n v="0"/>
    <n v="0"/>
    <n v="0.0209383819446228"/>
    <m/>
    <n v="0.8136362728396013"/>
    <m/>
    <n v="0"/>
    <m/>
    <n v="0"/>
    <m/>
    <m/>
    <n v="0"/>
    <n v="0"/>
    <n v="0"/>
    <n v="0"/>
    <m/>
    <n v="0"/>
    <n v="0"/>
    <n v="0"/>
    <n v="0"/>
    <n v="0"/>
    <x v="0"/>
    <m/>
    <x v="2"/>
    <x v="1"/>
    <s v="no root cause"/>
    <x v="1"/>
    <s v=""/>
  </r>
  <r>
    <s v="Bondjo-Hill-IHS"/>
    <s v="SUO_167"/>
    <s v="SUD-OUEST"/>
    <s v="IHS"/>
    <s v="Grid-Gen"/>
    <s v="SUD-OUEST"/>
    <s v="Limbe"/>
    <s v="Huawei"/>
    <n v="0"/>
    <n v="0"/>
    <n v="0"/>
    <n v="0"/>
    <n v="0"/>
    <n v="0"/>
    <n v="0"/>
    <n v="0.1095073808688109"/>
    <n v="0"/>
    <n v="0"/>
    <n v="0"/>
    <n v="0"/>
    <n v="0"/>
    <n v="0"/>
    <n v="0"/>
    <n v="0"/>
    <n v="0"/>
    <n v="0"/>
    <n v="0"/>
    <n v="0"/>
    <n v="0.001212785325582997"/>
    <n v="0"/>
    <n v="0"/>
    <n v="0.4894837244209307"/>
    <m/>
    <n v="0.6901283554916346"/>
    <m/>
    <n v="0"/>
    <m/>
    <n v="0"/>
    <m/>
    <m/>
    <n v="0"/>
    <n v="0"/>
    <n v="0"/>
    <n v="0"/>
    <m/>
    <n v="0"/>
    <n v="0"/>
    <n v="0"/>
    <n v="0"/>
    <n v="0"/>
    <x v="0"/>
    <m/>
    <x v="2"/>
    <x v="1"/>
    <s v="no root cause"/>
    <x v="1"/>
    <s v=""/>
  </r>
  <r>
    <s v="Garoua-Plage"/>
    <s v="NRD_053"/>
    <s v="Garoua"/>
    <s v="IHS"/>
    <s v="Grid-Gen"/>
    <s v="NORD"/>
    <s v="Garoua"/>
    <s v="Huawei"/>
    <n v="0"/>
    <n v="0"/>
    <n v="0.9444565722977002"/>
    <n v="0"/>
    <n v="0"/>
    <n v="0"/>
    <n v="0"/>
    <n v="0"/>
    <n v="0"/>
    <n v="0.0697173211427006"/>
    <n v="1.40401303530204"/>
    <n v="0"/>
    <n v="0"/>
    <n v="0"/>
    <n v="0"/>
    <n v="0"/>
    <n v="0"/>
    <n v="0.1466935191605813"/>
    <n v="0"/>
    <n v="0"/>
    <n v="0"/>
    <n v="0"/>
    <n v="0"/>
    <n v="0"/>
    <m/>
    <n v="0.6253870211994875"/>
    <m/>
    <n v="0"/>
    <m/>
    <n v="0"/>
    <m/>
    <m/>
    <n v="0"/>
    <n v="0"/>
    <n v="0"/>
    <n v="0"/>
    <m/>
    <n v="0"/>
    <n v="0"/>
    <n v="0"/>
    <n v="0"/>
    <n v="0"/>
    <x v="0"/>
    <m/>
    <x v="2"/>
    <x v="1"/>
    <s v="no root cause"/>
    <x v="1"/>
    <s v=""/>
  </r>
  <r>
    <s v="Nkong-8Bis-MTN"/>
    <s v="LIT_288"/>
    <s v="LITTORAL"/>
    <s v="IHS"/>
    <s v="Grid-Gen"/>
    <s v="LITTORAL"/>
    <s v="Nkongsamba"/>
    <s v="ZTE"/>
    <n v="0"/>
    <n v="0"/>
    <n v="0"/>
    <n v="0"/>
    <n v="0"/>
    <n v="0"/>
    <n v="0"/>
    <n v="0"/>
    <n v="0"/>
    <n v="0"/>
    <n v="0"/>
    <n v="0"/>
    <n v="0"/>
    <n v="0"/>
    <n v="0"/>
    <n v="0"/>
    <n v="0"/>
    <n v="0"/>
    <n v="0"/>
    <n v="0"/>
    <n v="0"/>
    <n v="0.08555487068854893"/>
    <n v="0"/>
    <n v="0.1270749330114447"/>
    <m/>
    <n v="0.3602150767764454"/>
    <m/>
    <n v="0"/>
    <m/>
    <n v="0"/>
    <m/>
    <m/>
    <n v="0"/>
    <n v="0"/>
    <n v="0"/>
    <n v="0"/>
    <m/>
    <n v="0"/>
    <n v="0"/>
    <n v="0"/>
    <n v="0"/>
    <n v="0"/>
    <x v="0"/>
    <m/>
    <x v="2"/>
    <x v="1"/>
    <s v="no root cause"/>
    <x v="1"/>
    <s v=""/>
  </r>
  <r>
    <s v="Emombo"/>
    <s v="CTR_212"/>
    <s v="Yaounde"/>
    <s v="IHS"/>
    <s v="Grid-Gen"/>
    <s v="CENTRE"/>
    <s v="Yaounde"/>
    <s v="ZTE"/>
    <n v="0"/>
    <n v="0"/>
    <n v="0"/>
    <n v="0"/>
    <n v="4.511329555150343"/>
    <n v="3.341437592920758"/>
    <n v="3.660489308940653"/>
    <n v="2.595913484175291"/>
    <n v="0"/>
    <n v="0"/>
    <n v="0"/>
    <n v="0"/>
    <n v="2.055635456706418"/>
    <n v="11.41555589798906"/>
    <n v="0"/>
    <n v="0"/>
    <n v="0"/>
    <n v="0"/>
    <n v="0"/>
    <n v="0"/>
    <n v="0"/>
    <n v="0"/>
    <n v="0.1278596764574112"/>
    <n v="0"/>
    <m/>
    <n v="0.3064244805711782"/>
    <m/>
    <n v="0"/>
    <m/>
    <n v="0"/>
    <m/>
    <m/>
    <n v="0"/>
    <n v="0"/>
    <n v="0"/>
    <n v="0"/>
    <m/>
    <n v="0"/>
    <n v="0"/>
    <n v="0"/>
    <n v="0"/>
    <n v="0"/>
    <x v="0"/>
    <m/>
    <x v="2"/>
    <x v="1"/>
    <s v="no root cause"/>
    <x v="1"/>
    <s v=""/>
  </r>
  <r>
    <s v="Limbe-Ngueme"/>
    <s v="SUO_235"/>
    <s v="SUD-OUEST"/>
    <s v="CAMUSAT"/>
    <s v="Medium Grid + GE"/>
    <s v="SUD-OUEST"/>
    <s v="Limbe"/>
    <s v="Huawei"/>
    <n v="0.1061008809101883"/>
    <n v="0.05154337633727418"/>
    <n v="0.03509943412863514"/>
    <n v="0.2146451675498598"/>
    <n v="0.05079430304794355"/>
    <n v="0"/>
    <n v="0"/>
    <n v="0"/>
    <n v="0"/>
    <n v="0"/>
    <n v="0"/>
    <n v="13.86855689960706"/>
    <n v="4.052308144495524"/>
    <n v="0"/>
    <n v="0"/>
    <n v="0"/>
    <n v="4.921589861685401"/>
    <n v="0"/>
    <n v="0"/>
    <n v="0"/>
    <n v="0"/>
    <n v="4.924889351174119"/>
    <n v="0"/>
    <n v="0.4894302191859785"/>
    <m/>
    <n v="0.204425667673992"/>
    <m/>
    <n v="0"/>
    <m/>
    <n v="0"/>
    <m/>
    <m/>
    <n v="0"/>
    <n v="0"/>
    <n v="0"/>
    <n v="0"/>
    <m/>
    <n v="0"/>
    <n v="0"/>
    <n v="0"/>
    <n v="0"/>
    <n v="0"/>
    <x v="0"/>
    <m/>
    <x v="2"/>
    <x v="1"/>
    <s v="no root cause"/>
    <x v="1"/>
    <s v=""/>
  </r>
  <r>
    <s v="Limbe-Fini-Hotel"/>
    <s v="SUO_078"/>
    <s v="SUD-OUEST"/>
    <s v="IHS"/>
    <s v="Grid-Gen"/>
    <s v="SUD-OUEST"/>
    <s v="Limbe"/>
    <s v="Huawei"/>
    <n v="0.4318764214557419"/>
    <n v="0.0766016613732154"/>
    <n v="0"/>
    <n v="0"/>
    <n v="0"/>
    <n v="0"/>
    <n v="0"/>
    <n v="0"/>
    <n v="0"/>
    <n v="0"/>
    <n v="0"/>
    <n v="0"/>
    <n v="0"/>
    <n v="0"/>
    <n v="0"/>
    <n v="0"/>
    <n v="0"/>
    <n v="0"/>
    <n v="0"/>
    <n v="0"/>
    <n v="0"/>
    <n v="0"/>
    <n v="0"/>
    <n v="0.4887703212882348"/>
    <m/>
    <n v="0.2031415420351393"/>
    <m/>
    <n v="0"/>
    <m/>
    <n v="0"/>
    <m/>
    <m/>
    <n v="0"/>
    <n v="0"/>
    <n v="0"/>
    <n v="0"/>
    <m/>
    <n v="0"/>
    <n v="0"/>
    <n v="0"/>
    <n v="0"/>
    <n v="0"/>
    <x v="0"/>
    <m/>
    <x v="2"/>
    <x v="1"/>
    <s v="no root cause"/>
    <x v="1"/>
    <s v=""/>
  </r>
  <r>
    <s v="Limbe-Down-Beach-II"/>
    <s v="SUO_050"/>
    <s v="SUD-OUEST"/>
    <s v="IHS"/>
    <s v="GridOnly"/>
    <s v="SUD-OUEST"/>
    <s v="Limbe"/>
    <s v="Huawei"/>
    <n v="2.834421986513827"/>
    <n v="0.07695836293956335"/>
    <n v="0"/>
    <n v="0"/>
    <n v="0"/>
    <n v="0"/>
    <n v="0"/>
    <n v="0"/>
    <n v="0"/>
    <n v="0"/>
    <n v="0"/>
    <n v="0"/>
    <n v="0"/>
    <n v="0"/>
    <n v="0"/>
    <n v="0"/>
    <n v="0"/>
    <n v="0"/>
    <n v="0"/>
    <n v="0"/>
    <n v="0"/>
    <n v="0"/>
    <n v="0"/>
    <n v="0.4895728998125177"/>
    <m/>
    <n v="0.2027670053904741"/>
    <m/>
    <n v="0"/>
    <m/>
    <n v="0"/>
    <m/>
    <m/>
    <n v="0"/>
    <n v="0"/>
    <n v="0"/>
    <n v="0"/>
    <m/>
    <n v="0"/>
    <n v="0"/>
    <n v="0"/>
    <n v="0"/>
    <n v="0"/>
    <x v="0"/>
    <m/>
    <x v="2"/>
    <x v="1"/>
    <s v="no root cause"/>
    <x v="1"/>
    <s v=""/>
  </r>
  <r>
    <s v="Limbe-Bota-IHS"/>
    <s v="SUO_207"/>
    <s v="SUD-OUEST"/>
    <s v="IHS"/>
    <s v="Grid-Gen"/>
    <s v="SUD-OUEST"/>
    <s v="Limbe"/>
    <s v="Huawei"/>
    <n v="0"/>
    <n v="0"/>
    <n v="0.007936609851241179"/>
    <n v="0"/>
    <n v="0"/>
    <n v="0"/>
    <n v="0"/>
    <n v="0"/>
    <n v="0"/>
    <n v="0"/>
    <n v="0"/>
    <n v="0"/>
    <n v="0"/>
    <n v="0"/>
    <n v="0"/>
    <n v="0"/>
    <n v="0"/>
    <n v="0"/>
    <n v="0"/>
    <n v="0"/>
    <n v="0"/>
    <n v="0"/>
    <n v="0"/>
    <n v="0.4887703212882348"/>
    <m/>
    <n v="0.2018752514746042"/>
    <m/>
    <n v="0"/>
    <m/>
    <n v="0"/>
    <m/>
    <m/>
    <n v="0"/>
    <n v="0"/>
    <n v="0"/>
    <n v="0"/>
    <m/>
    <n v="0"/>
    <n v="0"/>
    <n v="0"/>
    <n v="0"/>
    <n v="0"/>
    <x v="0"/>
    <m/>
    <x v="2"/>
    <x v="1"/>
    <s v="no root cause"/>
    <x v="1"/>
    <s v=""/>
  </r>
  <r>
    <s v="Limbe-Kie"/>
    <s v="SUO_002"/>
    <s v="SUD-OUEST"/>
    <s v="IHS"/>
    <s v="Grid-Gen"/>
    <s v="SUD-OUEST"/>
    <s v="Limbe"/>
    <s v="Huawei"/>
    <n v="0"/>
    <n v="0"/>
    <n v="0"/>
    <n v="0"/>
    <n v="0"/>
    <n v="0"/>
    <n v="0"/>
    <n v="0"/>
    <n v="0"/>
    <n v="0"/>
    <n v="0"/>
    <n v="0"/>
    <n v="0"/>
    <n v="0"/>
    <n v="0"/>
    <n v="0"/>
    <n v="0"/>
    <n v="0"/>
    <n v="0"/>
    <n v="0"/>
    <m/>
    <n v="0"/>
    <n v="0"/>
    <n v="0.4896620752041047"/>
    <m/>
    <n v="0.2017147357697477"/>
    <m/>
    <n v="0"/>
    <m/>
    <n v="0"/>
    <m/>
    <m/>
    <n v="0"/>
    <n v="0"/>
    <n v="0"/>
    <n v="0"/>
    <m/>
    <n v="0"/>
    <n v="0"/>
    <n v="0"/>
    <n v="0"/>
    <n v="0"/>
    <x v="0"/>
    <m/>
    <x v="2"/>
    <x v="1"/>
    <s v="no root cause"/>
    <x v="1"/>
    <s v=""/>
  </r>
  <r>
    <s v="Limbe-UQ"/>
    <s v="SUO_003"/>
    <s v="SUD-OUEST"/>
    <s v="IHS"/>
    <s v="Grid-Gen"/>
    <s v="SUD-OUEST"/>
    <s v="Limbe"/>
    <s v="Huawei"/>
    <n v="0"/>
    <n v="0"/>
    <n v="0"/>
    <n v="0"/>
    <n v="0"/>
    <n v="0"/>
    <n v="0"/>
    <n v="1.654150008703518"/>
    <n v="0.3959387386461892"/>
    <n v="0"/>
    <n v="0"/>
    <n v="0.000802578524282816"/>
    <n v="1.418334603190909"/>
    <n v="0"/>
    <n v="0"/>
    <n v="0"/>
    <n v="0"/>
    <n v="0"/>
    <n v="0"/>
    <n v="0"/>
    <n v="0.002140209398087509"/>
    <n v="0"/>
    <n v="0"/>
    <n v="0.6093354507138311"/>
    <m/>
    <n v="0.1782437727040547"/>
    <m/>
    <n v="0"/>
    <m/>
    <n v="0"/>
    <m/>
    <m/>
    <n v="0"/>
    <n v="0"/>
    <n v="0"/>
    <n v="0"/>
    <m/>
    <n v="0"/>
    <n v="0"/>
    <n v="0"/>
    <n v="0"/>
    <n v="0"/>
    <x v="0"/>
    <m/>
    <x v="2"/>
    <x v="1"/>
    <s v="no root cause"/>
    <x v="1"/>
    <s v=""/>
  </r>
  <r>
    <s v="Meiganga-EELC-MTN-IHS"/>
    <s v="ADM_106"/>
    <s v="Ngaoundere"/>
    <s v="IHS"/>
    <s v="Grid-Gen"/>
    <s v="ADAMAOUA"/>
    <s v="Meiganga"/>
    <s v="Huawei"/>
    <n v="0"/>
    <n v="0"/>
    <n v="0"/>
    <n v="0"/>
    <n v="0"/>
    <n v="0"/>
    <n v="0"/>
    <n v="0"/>
    <n v="0"/>
    <n v="0"/>
    <n v="0"/>
    <n v="0"/>
    <n v="0"/>
    <n v="0"/>
    <n v="0"/>
    <n v="0"/>
    <n v="0"/>
    <n v="0"/>
    <n v="0"/>
    <n v="0"/>
    <m/>
    <n v="0"/>
    <n v="0"/>
    <n v="0"/>
    <m/>
    <n v="0.0862147685862918"/>
    <m/>
    <n v="0"/>
    <m/>
    <n v="0"/>
    <m/>
    <m/>
    <n v="0"/>
    <n v="0"/>
    <n v="0"/>
    <n v="0"/>
    <m/>
    <n v="0"/>
    <n v="0"/>
    <n v="0"/>
    <n v="0"/>
    <n v="0"/>
    <x v="0"/>
    <m/>
    <x v="2"/>
    <x v="1"/>
    <s v="no root cause"/>
    <x v="1"/>
    <s v=""/>
  </r>
  <r>
    <s v="Ngam"/>
    <s v="ADM_023"/>
    <s v="ADAMAOUA"/>
    <s v="IHS"/>
    <s v="Hybrid-Gen"/>
    <s v="ADAMAOUA"/>
    <s v="Ngam"/>
    <s v="NOKIA"/>
    <n v="0"/>
    <n v="0"/>
    <n v="0"/>
    <n v="0"/>
    <n v="0"/>
    <n v="0"/>
    <n v="0"/>
    <n v="0"/>
    <n v="0"/>
    <n v="0"/>
    <n v="0"/>
    <n v="0"/>
    <n v="0"/>
    <n v="0"/>
    <n v="0"/>
    <n v="0"/>
    <n v="0"/>
    <n v="0"/>
    <n v="0"/>
    <n v="0"/>
    <n v="0"/>
    <n v="0"/>
    <n v="0"/>
    <n v="0"/>
    <m/>
    <n v="0.07350120833817847"/>
    <m/>
    <n v="0"/>
    <m/>
    <n v="0"/>
    <m/>
    <m/>
    <n v="0"/>
    <n v="0"/>
    <n v="0"/>
    <n v="0"/>
    <m/>
    <n v="0"/>
    <n v="0"/>
    <n v="0"/>
    <n v="0"/>
    <n v="0"/>
    <x v="0"/>
    <m/>
    <x v="2"/>
    <x v="1"/>
    <s v="no root cause"/>
    <x v="1"/>
    <s v=""/>
  </r>
  <r>
    <s v="Meiganga-Markt-MTN-IHS"/>
    <s v="ADM_107"/>
    <s v="ADAMAOUA"/>
    <s v="IHS"/>
    <s v="Grid-Gen"/>
    <s v="ADAMAOUA"/>
    <s v="Meiganga"/>
    <s v="Huawei"/>
    <n v="0"/>
    <n v="0"/>
    <n v="0"/>
    <n v="0"/>
    <n v="0"/>
    <n v="0"/>
    <n v="0"/>
    <n v="0"/>
    <n v="0"/>
    <n v="0"/>
    <n v="0"/>
    <n v="0"/>
    <n v="0"/>
    <n v="0"/>
    <n v="0"/>
    <n v="0"/>
    <n v="0"/>
    <n v="0"/>
    <n v="0"/>
    <n v="0"/>
    <n v="0"/>
    <n v="0"/>
    <n v="0"/>
    <n v="0"/>
    <m/>
    <n v="0.05134719047578282"/>
    <m/>
    <n v="0"/>
    <m/>
    <n v="0"/>
    <m/>
    <m/>
    <n v="0"/>
    <n v="0"/>
    <n v="0"/>
    <n v="0"/>
    <m/>
    <n v="0"/>
    <n v="0"/>
    <n v="0"/>
    <n v="0"/>
    <n v="0"/>
    <x v="0"/>
    <m/>
    <x v="2"/>
    <x v="1"/>
    <s v="no root cause"/>
    <x v="1"/>
    <s v=""/>
  </r>
  <r>
    <s v="Douala-Grand-Mall-FZ"/>
    <s v="LIT_727"/>
    <s v="Douala"/>
    <m/>
    <m/>
    <s v="LITTORAL"/>
    <s v="Douala"/>
    <s v="ZTE"/>
    <n v="0"/>
    <n v="0.07458629752334971"/>
    <n v="0"/>
    <n v="0"/>
    <n v="0"/>
    <n v="0"/>
    <n v="0"/>
    <n v="0.4602877012153536"/>
    <n v="0"/>
    <n v="0"/>
    <n v="0"/>
    <n v="0"/>
    <n v="0"/>
    <n v="0"/>
    <n v="0"/>
    <n v="0"/>
    <n v="0"/>
    <n v="0"/>
    <n v="0"/>
    <n v="0"/>
    <n v="0"/>
    <n v="0"/>
    <n v="0"/>
    <n v="0.1361351527966828"/>
    <m/>
    <n v="0.03913016182836652"/>
    <m/>
    <n v="0"/>
    <m/>
    <n v="0"/>
    <m/>
    <m/>
    <n v="0"/>
    <n v="0"/>
    <n v="0"/>
    <n v="0"/>
    <m/>
    <n v="0"/>
    <n v="0"/>
    <n v="0"/>
    <n v="0"/>
    <n v="0"/>
    <x v="0"/>
    <m/>
    <x v="2"/>
    <x v="1"/>
    <s v="no root cause"/>
    <x v="1"/>
    <s v=""/>
  </r>
  <r>
    <s v="EST_064_N_Garga-Salari-MTN"/>
    <s v="EST_064"/>
    <s v="CENTRE"/>
    <s v="IHS"/>
    <s v="Solar-Gen"/>
    <s v="EST"/>
    <s v="Garga-Salari"/>
    <s v="NOKIA"/>
    <n v="0.001070104699043751"/>
    <n v="0"/>
    <n v="0"/>
    <n v="0"/>
    <n v="0"/>
    <n v="0"/>
    <n v="0"/>
    <n v="0"/>
    <n v="0"/>
    <n v="0"/>
    <n v="0"/>
    <n v="0"/>
    <n v="0.4662446173733641"/>
    <n v="0"/>
    <n v="0"/>
    <n v="0"/>
    <n v="0"/>
    <n v="0"/>
    <n v="0"/>
    <n v="0"/>
    <n v="0"/>
    <n v="0"/>
    <n v="0"/>
    <n v="0"/>
    <m/>
    <n v="0.005350523495218753"/>
    <m/>
    <n v="0"/>
    <m/>
    <n v="0"/>
    <m/>
    <m/>
    <n v="0"/>
    <n v="0"/>
    <n v="0"/>
    <n v="0"/>
    <m/>
    <n v="0"/>
    <n v="0"/>
    <n v="0"/>
    <n v="0"/>
    <n v="0"/>
    <x v="0"/>
    <m/>
    <x v="2"/>
    <x v="1"/>
    <s v="no root cause"/>
    <x v="1"/>
    <s v=""/>
  </r>
  <r>
    <s v="Meidougou-MTN"/>
    <s v="ADM_062"/>
    <s v="ADAMAOUA"/>
    <s v="IHS"/>
    <s v="Grid-Gen"/>
    <s v="ADAMAOUA"/>
    <s v="Meidougou"/>
    <s v="NOKIA"/>
    <n v="0"/>
    <n v="0"/>
    <n v="0"/>
    <n v="0"/>
    <n v="0"/>
    <n v="0"/>
    <n v="0"/>
    <n v="2.715827391912129"/>
    <n v="1.602205058957285"/>
    <n v="0"/>
    <n v="0"/>
    <n v="0.005796400453153663"/>
    <n v="0"/>
    <n v="0"/>
    <n v="0.1044065484700356"/>
    <n v="0"/>
    <n v="0"/>
    <n v="0"/>
    <n v="0"/>
    <n v="0"/>
    <n v="0.04096717489505831"/>
    <n v="0.2922455933088494"/>
    <n v="0"/>
    <n v="0"/>
    <m/>
    <n v="0.002158044476404905"/>
    <m/>
    <n v="0"/>
    <m/>
    <n v="0"/>
    <m/>
    <m/>
    <n v="0"/>
    <n v="0"/>
    <n v="0"/>
    <n v="0"/>
    <m/>
    <n v="0"/>
    <n v="0"/>
    <n v="0"/>
    <n v="0"/>
    <n v="0"/>
    <x v="0"/>
    <m/>
    <x v="4"/>
    <x v="0"/>
    <s v="Defaut GE &amp; Power Cabinet"/>
    <x v="0"/>
    <s v="{05-25-2026 ticket}: INC-20260525-00021255...Grid Outage"/>
  </r>
  <r>
    <s v="Bobongo"/>
    <s v="LIT_250"/>
    <s v="Douala"/>
    <s v="IHS"/>
    <s v="Grid-Gen"/>
    <s v="LITTORAL"/>
    <s v="Douala"/>
    <s v="ZTE"/>
    <n v="0"/>
    <n v="0"/>
    <n v="0"/>
    <n v="0"/>
    <n v="0"/>
    <n v="0"/>
    <n v="0"/>
    <n v="0"/>
    <n v="0"/>
    <n v="0"/>
    <n v="0"/>
    <n v="0"/>
    <n v="0"/>
    <n v="0"/>
    <n v="0"/>
    <n v="0.08890786541221844"/>
    <n v="0"/>
    <n v="0"/>
    <n v="0"/>
    <n v="0"/>
    <n v="0"/>
    <n v="0"/>
    <n v="0"/>
    <n v="0"/>
    <m/>
    <n v="0.001569486891930857"/>
    <m/>
    <n v="0"/>
    <m/>
    <n v="0"/>
    <m/>
    <m/>
    <n v="0"/>
    <n v="0"/>
    <n v="0"/>
    <n v="0"/>
    <m/>
    <n v="0"/>
    <n v="0"/>
    <n v="0"/>
    <n v="0"/>
    <n v="0"/>
    <x v="0"/>
    <m/>
    <x v="2"/>
    <x v="1"/>
    <s v="no root cause"/>
    <x v="1"/>
    <s v=""/>
  </r>
  <r>
    <s v="Nkoabang"/>
    <s v="CTR_084"/>
    <s v="Yaounde"/>
    <s v="IHS"/>
    <s v="Grid-Gen"/>
    <s v="CENTRE"/>
    <s v="Yaounde"/>
    <s v="ZTE"/>
    <n v="0"/>
    <n v="0"/>
    <n v="0"/>
    <n v="0"/>
    <n v="0"/>
    <n v="0"/>
    <n v="0"/>
    <n v="0"/>
    <n v="0"/>
    <n v="0"/>
    <n v="3.68674254422386"/>
    <n v="0"/>
    <n v="0"/>
    <n v="0"/>
    <n v="0"/>
    <n v="0"/>
    <n v="0"/>
    <n v="0"/>
    <n v="0"/>
    <n v="0"/>
    <n v="0"/>
    <n v="0"/>
    <n v="0"/>
    <n v="0"/>
    <m/>
    <n v="0.001159280090630801"/>
    <m/>
    <n v="0"/>
    <m/>
    <n v="0"/>
    <m/>
    <m/>
    <n v="0"/>
    <n v="0"/>
    <n v="0"/>
    <n v="0"/>
    <m/>
    <n v="0"/>
    <n v="0"/>
    <n v="0"/>
    <n v="0"/>
    <n v="0"/>
    <x v="0"/>
    <m/>
    <x v="2"/>
    <x v="1"/>
    <s v="no root cause"/>
    <x v="1"/>
    <s v=""/>
  </r>
  <r>
    <s v="LIT_834_Z_Ngodi-Bakoko-IHS"/>
    <s v="LIT_834"/>
    <s v="Douala"/>
    <s v="ESCO"/>
    <s v="Grid-Gen"/>
    <s v="LITTORAL"/>
    <s v="Douala"/>
    <s v="ZTE"/>
    <n v="0"/>
    <n v="0"/>
    <n v="0"/>
    <n v="0"/>
    <n v="0.2237945627266837"/>
    <n v="0"/>
    <n v="0"/>
    <n v="0"/>
    <n v="0"/>
    <n v="0.9832657027163538"/>
    <n v="0"/>
    <n v="0"/>
    <n v="0"/>
    <n v="0"/>
    <n v="0"/>
    <n v="0.003406499958622865"/>
    <n v="0"/>
    <n v="0"/>
    <n v="0"/>
    <n v="0"/>
    <n v="0.6683160547094594"/>
    <n v="0"/>
    <n v="0"/>
    <n v="0"/>
    <m/>
    <n v="0.0005885575844739859"/>
    <m/>
    <n v="0"/>
    <m/>
    <n v="0"/>
    <m/>
    <m/>
    <n v="0"/>
    <n v="0"/>
    <n v="0"/>
    <n v="0"/>
    <m/>
    <n v="0"/>
    <n v="0"/>
    <n v="0"/>
    <n v="0"/>
    <n v="0"/>
    <x v="0"/>
    <m/>
    <x v="2"/>
    <x v="1"/>
    <s v="no root cause"/>
    <x v="1"/>
    <s v=""/>
  </r>
  <r>
    <s v="Bonewonda-Chefferie"/>
    <s v="LIT_379"/>
    <s v="Douala"/>
    <s v="IHS"/>
    <s v="GridOnly"/>
    <s v="LITTORAL"/>
    <s v="Douala"/>
    <s v="ZTE"/>
    <n v="0"/>
    <n v="0"/>
    <n v="0"/>
    <n v="0"/>
    <n v="22.64191728518718"/>
    <n v="36.68046031623735"/>
    <n v="0"/>
    <n v="0"/>
    <n v="0"/>
    <n v="0"/>
    <n v="0"/>
    <n v="0"/>
    <n v="0"/>
    <n v="0"/>
    <n v="0"/>
    <n v="0"/>
    <n v="0"/>
    <n v="0"/>
    <n v="0"/>
    <n v="0"/>
    <n v="0"/>
    <n v="20.59898040424275"/>
    <n v="13.86855689960706"/>
    <n v="40.74332682709676"/>
    <m/>
    <n v="0"/>
    <m/>
    <n v="0"/>
    <m/>
    <n v="0"/>
    <m/>
    <m/>
    <n v="0"/>
    <n v="0"/>
    <n v="0"/>
    <n v="0"/>
    <m/>
    <n v="0"/>
    <n v="0"/>
    <n v="0"/>
    <n v="0"/>
    <n v="0"/>
    <x v="0"/>
    <m/>
    <x v="2"/>
    <x v="1"/>
    <s v="no root cause"/>
    <x v="1"/>
    <s v=""/>
  </r>
  <r>
    <s v="SUD_191_Z_Kribi-Terre-Promise"/>
    <s v="SUD_191"/>
    <s v="CENTRE"/>
    <s v="ESCO"/>
    <s v="Hybrid Solar - S1"/>
    <s v="SUD"/>
    <s v="Kribi"/>
    <s v="ZTE"/>
    <n v="0"/>
    <n v="0"/>
    <n v="0"/>
    <n v="0"/>
    <n v="0"/>
    <n v="0"/>
    <n v="0"/>
    <n v="0"/>
    <n v="0"/>
    <n v="0"/>
    <n v="0"/>
    <n v="0.0996980877942432"/>
    <n v="0"/>
    <s v=""/>
    <n v="0.008650012983937055"/>
    <n v="0"/>
    <n v="0"/>
    <n v="0"/>
    <n v="0"/>
    <n v="0"/>
    <n v="0.0008917539158698208"/>
    <n v="0"/>
    <n v="0"/>
    <n v="29.49411870457405"/>
    <m/>
    <n v="0"/>
    <m/>
    <n v="0"/>
    <m/>
    <n v="0"/>
    <m/>
    <m/>
    <n v="0"/>
    <n v="0"/>
    <n v="0"/>
    <n v="0"/>
    <m/>
    <n v="0"/>
    <n v="0"/>
    <n v="0"/>
    <n v="0"/>
    <n v="0"/>
    <x v="2"/>
    <m/>
    <x v="9"/>
    <x v="5"/>
    <s v="EXCLU"/>
    <x v="4"/>
    <s v=""/>
  </r>
  <r>
    <s v="Aeroport"/>
    <s v="LIT_033"/>
    <s v="Douala"/>
    <s v="IHS"/>
    <s v="Grid-Gen (LL)"/>
    <s v="LITTORAL"/>
    <s v="Douala"/>
    <s v="ZTE"/>
    <n v="0"/>
    <n v="0"/>
    <n v="0"/>
    <n v="0.02530797613238481"/>
    <n v="0"/>
    <n v="0"/>
    <n v="0.02751952584374202"/>
    <n v="0"/>
    <n v="0"/>
    <n v="0"/>
    <n v="0"/>
    <n v="0"/>
    <n v="0"/>
    <n v="0"/>
    <n v="0"/>
    <n v="0"/>
    <n v="0"/>
    <n v="0"/>
    <n v="0"/>
    <n v="0"/>
    <n v="0"/>
    <n v="0"/>
    <n v="0"/>
    <n v="18.86703378391875"/>
    <m/>
    <n v="0"/>
    <m/>
    <n v="0"/>
    <m/>
    <n v="0"/>
    <m/>
    <m/>
    <n v="0"/>
    <n v="0"/>
    <n v="0"/>
    <n v="0"/>
    <m/>
    <n v="0"/>
    <n v="0"/>
    <n v="0"/>
    <n v="0"/>
    <n v="0"/>
    <x v="0"/>
    <m/>
    <x v="2"/>
    <x v="1"/>
    <s v="no root cause"/>
    <x v="1"/>
    <s v=""/>
  </r>
  <r>
    <s v="Bep-Cafrad"/>
    <s v="LIT_649"/>
    <s v="Douala"/>
    <s v="CAMUSAT"/>
    <s v="Good Grid no GE - 12h"/>
    <s v="LITTORAL"/>
    <s v="Douala"/>
    <s v="ZTE"/>
    <n v="27.36815953406214"/>
    <n v="0"/>
    <n v="0"/>
    <n v="0"/>
    <n v="0"/>
    <n v="20.37245707453351"/>
    <n v="0"/>
    <n v="10.16378309120431"/>
    <n v="0"/>
    <n v="0"/>
    <n v="0"/>
    <n v="0"/>
    <n v="6.235928123207573"/>
    <n v="0"/>
    <n v="0.3046588078177567"/>
    <n v="0"/>
    <n v="0"/>
    <n v="0"/>
    <n v="0"/>
    <n v="6.95207785796429"/>
    <n v="0"/>
    <n v="13.86855689960706"/>
    <n v="13.86855689960706"/>
    <n v="18.4816890817931"/>
    <m/>
    <n v="0"/>
    <m/>
    <n v="0"/>
    <m/>
    <n v="0"/>
    <m/>
    <m/>
    <n v="0"/>
    <n v="0"/>
    <n v="0"/>
    <n v="0"/>
    <m/>
    <n v="0"/>
    <n v="0"/>
    <n v="0"/>
    <n v="0"/>
    <n v="0"/>
    <x v="0"/>
    <m/>
    <x v="2"/>
    <x v="1"/>
    <s v="no root cause"/>
    <x v="1"/>
    <s v=""/>
  </r>
  <r>
    <s v="Camp-Yabassi"/>
    <s v="LIT_162"/>
    <s v="Douala"/>
    <s v="IHS"/>
    <s v="Grid-Gen-Lithium"/>
    <s v="LITTORAL"/>
    <s v="Douala"/>
    <s v="ZTE"/>
    <n v="0"/>
    <n v="0.003941552308144496"/>
    <n v="0"/>
    <n v="0"/>
    <n v="0"/>
    <n v="0.00358485074179651"/>
    <n v="0"/>
    <n v="0"/>
    <n v="33.03814495210212"/>
    <n v="0"/>
    <n v="0"/>
    <n v="0"/>
    <n v="18.40844041514355"/>
    <n v="7.321870371797174"/>
    <n v="21.48062183070659"/>
    <n v="0"/>
    <n v="0"/>
    <n v="0"/>
    <n v="0"/>
    <n v="0"/>
    <n v="13.86855689960706"/>
    <n v="8.684529069889332e-17"/>
    <n v="0"/>
    <n v="6.541817551429233"/>
    <m/>
    <n v="0"/>
    <m/>
    <n v="0"/>
    <m/>
    <n v="0"/>
    <m/>
    <m/>
    <n v="0"/>
    <n v="0"/>
    <n v="0"/>
    <n v="0"/>
    <m/>
    <n v="0"/>
    <n v="0"/>
    <n v="0"/>
    <n v="0"/>
    <n v="0"/>
    <x v="0"/>
    <m/>
    <x v="2"/>
    <x v="1"/>
    <s v="no root cause"/>
    <x v="1"/>
    <s v=""/>
  </r>
  <r>
    <s v="Bois-Des-Singes"/>
    <s v="LIT_564"/>
    <s v="Douala"/>
    <s v="CAMUSAT"/>
    <s v="Medium Grid + GE"/>
    <s v="LITTORAL"/>
    <s v="Douala"/>
    <s v="ZTE"/>
    <n v="5.77278680946144"/>
    <n v="7.811140075278298"/>
    <n v="0"/>
    <n v="0"/>
    <n v="0"/>
    <n v="0"/>
    <n v="0"/>
    <n v="0"/>
    <n v="6.382746487916378"/>
    <n v="2.203095884234646"/>
    <n v="1.461334977014151"/>
    <n v="9.245704599738039"/>
    <n v="0"/>
    <n v="0"/>
    <n v="0"/>
    <n v="0"/>
    <n v="0"/>
    <n v="0"/>
    <n v="0"/>
    <n v="0"/>
    <n v="9.245704599738039"/>
    <n v="0"/>
    <n v="0"/>
    <n v="1.419707904221349"/>
    <m/>
    <n v="0"/>
    <m/>
    <n v="0"/>
    <m/>
    <n v="0"/>
    <m/>
    <m/>
    <n v="0"/>
    <n v="0"/>
    <n v="0"/>
    <n v="0"/>
    <m/>
    <n v="0"/>
    <n v="0"/>
    <n v="0"/>
    <n v="0"/>
    <n v="0"/>
    <x v="0"/>
    <m/>
    <x v="2"/>
    <x v="1"/>
    <s v="no root cause"/>
    <x v="1"/>
    <s v=""/>
  </r>
  <r>
    <s v="Cinema-ABC"/>
    <s v="LIT_061"/>
    <s v="Douala"/>
    <s v="IHS"/>
    <s v="Grid-Lithium"/>
    <s v="LITTORAL"/>
    <s v="Douala"/>
    <s v="ZTE"/>
    <n v="0"/>
    <n v="17.26283982958226"/>
    <n v="0"/>
    <n v="0"/>
    <n v="0"/>
    <n v="0"/>
    <n v="0"/>
    <n v="0"/>
    <n v="0.3369402995722433"/>
    <n v="0"/>
    <n v="0.1619603462002722"/>
    <n v="0"/>
    <n v="0.6833331906527067"/>
    <n v="0"/>
    <n v="8.986453901316372"/>
    <n v="0"/>
    <n v="0"/>
    <n v="0"/>
    <n v="0"/>
    <n v="0"/>
    <n v="0"/>
    <n v="0"/>
    <n v="0"/>
    <n v="1.403477982952519"/>
    <m/>
    <n v="0"/>
    <m/>
    <n v="0"/>
    <m/>
    <n v="0"/>
    <m/>
    <m/>
    <n v="0"/>
    <n v="0"/>
    <n v="0"/>
    <n v="0"/>
    <m/>
    <n v="0"/>
    <n v="0"/>
    <n v="0"/>
    <n v="0"/>
    <n v="0"/>
    <x v="0"/>
    <m/>
    <x v="2"/>
    <x v="1"/>
    <s v="no root cause"/>
    <x v="1"/>
    <s v=""/>
  </r>
  <r>
    <s v="Garoua-Djamboutou-Village-IHS"/>
    <s v="NRD_086"/>
    <s v="Garoua"/>
    <s v="IHS"/>
    <s v="Grid-Gen"/>
    <s v="NORD"/>
    <s v="Garoua"/>
    <s v="Huawei"/>
    <n v="0"/>
    <n v="1.069409130989376"/>
    <n v="0"/>
    <n v="0"/>
    <n v="0"/>
    <n v="0.1308202994580989"/>
    <n v="0"/>
    <n v="0.220512908316283"/>
    <n v="0.2981846743885421"/>
    <n v="0.144695990389033"/>
    <n v="2.299066440660554"/>
    <n v="0.0008027178850268243"/>
    <n v="3.890972026036361"/>
    <n v="3.457008900417484"/>
    <n v="2.244348420382783"/>
    <n v="0.05528874278392731"/>
    <n v="0"/>
    <n v="0"/>
    <n v="0"/>
    <n v="0"/>
    <n v="0.001873008398395695"/>
    <n v="0"/>
    <n v="0"/>
    <n v="1.319528269312536"/>
    <m/>
    <n v="0"/>
    <m/>
    <n v="0"/>
    <m/>
    <n v="0"/>
    <m/>
    <m/>
    <n v="0"/>
    <n v="0"/>
    <n v="0"/>
    <n v="0"/>
    <m/>
    <n v="0"/>
    <n v="0"/>
    <n v="0"/>
    <n v="0"/>
    <n v="0"/>
    <x v="0"/>
    <m/>
    <x v="2"/>
    <x v="1"/>
    <s v="no root cause"/>
    <x v="1"/>
    <s v=""/>
  </r>
  <r>
    <s v="SABC-Bali"/>
    <s v="LIT_242"/>
    <s v="Douala"/>
    <s v="IHS"/>
    <s v="Grid-Gen"/>
    <s v="LITTORAL"/>
    <s v="Douala"/>
    <s v="ZTE"/>
    <n v="0"/>
    <n v="0"/>
    <n v="0"/>
    <n v="0"/>
    <n v="0"/>
    <n v="0"/>
    <n v="0"/>
    <n v="0"/>
    <n v="0"/>
    <n v="0"/>
    <n v="0"/>
    <n v="0"/>
    <n v="0"/>
    <n v="0"/>
    <n v="0"/>
    <n v="0"/>
    <n v="0"/>
    <n v="0"/>
    <n v="0"/>
    <n v="0"/>
    <n v="0"/>
    <n v="0"/>
    <n v="0"/>
    <n v="1.096768141128261"/>
    <m/>
    <n v="0"/>
    <m/>
    <n v="0"/>
    <m/>
    <n v="0"/>
    <m/>
    <m/>
    <n v="0"/>
    <n v="0"/>
    <n v="0"/>
    <n v="0"/>
    <m/>
    <n v="0"/>
    <n v="0"/>
    <n v="0"/>
    <n v="0"/>
    <n v="0"/>
    <x v="0"/>
    <m/>
    <x v="2"/>
    <x v="1"/>
    <s v="no root cause"/>
    <x v="1"/>
    <s v=""/>
  </r>
  <r>
    <s v="Emana-MTN"/>
    <s v="CTR_370"/>
    <s v="Yaounde"/>
    <s v="IHS"/>
    <s v="Grid-Gen"/>
    <s v="CENTRE"/>
    <s v="Yaounde"/>
    <s v="ZTE"/>
    <n v="0"/>
    <n v="0"/>
    <n v="0"/>
    <n v="0"/>
    <n v="0"/>
    <n v="0"/>
    <n v="0"/>
    <n v="0"/>
    <n v="0"/>
    <n v="0"/>
    <n v="0"/>
    <n v="0.4047849374916169"/>
    <n v="0"/>
    <n v="0"/>
    <n v="0.03468922732733509"/>
    <n v="0.1329605088561866"/>
    <n v="0.1151789357737427"/>
    <n v="0"/>
    <n v="3.657475180705013"/>
    <n v="0"/>
    <n v="2.562597557878397"/>
    <n v="0"/>
    <n v="0.06096029768885906"/>
    <n v="1.047810851147009"/>
    <m/>
    <n v="0"/>
    <m/>
    <n v="0"/>
    <m/>
    <n v="0"/>
    <m/>
    <m/>
    <n v="0"/>
    <n v="0"/>
    <n v="0"/>
    <n v="0"/>
    <m/>
    <n v="0"/>
    <n v="0"/>
    <n v="0"/>
    <n v="0"/>
    <n v="0"/>
    <x v="0"/>
    <m/>
    <x v="2"/>
    <x v="1"/>
    <s v="no root cause"/>
    <x v="1"/>
    <s v=""/>
  </r>
  <r>
    <s v="Bberi-Warehouse-IHS"/>
    <s v="LIT_597"/>
    <s v="Douala"/>
    <s v="IHS"/>
    <s v="Grid-Gen"/>
    <s v="LITTORAL"/>
    <s v="Douala"/>
    <s v="ZTE"/>
    <n v="0"/>
    <n v="0"/>
    <n v="0"/>
    <n v="0"/>
    <n v="0"/>
    <n v="0"/>
    <n v="0"/>
    <n v="0"/>
    <n v="0"/>
    <n v="0"/>
    <n v="0"/>
    <n v="0"/>
    <n v="0"/>
    <n v="0"/>
    <n v="0"/>
    <n v="0"/>
    <n v="0"/>
    <n v="0"/>
    <n v="0"/>
    <n v="0"/>
    <n v="0"/>
    <n v="0"/>
    <n v="0"/>
    <n v="0.9980331475631579"/>
    <m/>
    <n v="0"/>
    <m/>
    <n v="0"/>
    <m/>
    <n v="0"/>
    <m/>
    <m/>
    <n v="0"/>
    <n v="0"/>
    <n v="0"/>
    <n v="0"/>
    <m/>
    <n v="0"/>
    <n v="0"/>
    <n v="0"/>
    <n v="0"/>
    <n v="0"/>
    <x v="0"/>
    <m/>
    <x v="2"/>
    <x v="1"/>
    <s v="no root cause"/>
    <x v="1"/>
    <s v=""/>
  </r>
  <r>
    <s v="Kumba-CCAS-IHS"/>
    <s v="SUO_109"/>
    <s v="SUD-OUEST"/>
    <s v="IHS"/>
    <s v="Grid-Gen"/>
    <s v="SUD-OUEST"/>
    <s v="Kumba"/>
    <s v="Huawei"/>
    <n v="0"/>
    <n v="0.004102068013001059"/>
    <n v="0"/>
    <n v="0"/>
    <n v="0"/>
    <n v="0.007562073206575864"/>
    <n v="0.01585538462416496"/>
    <n v="0"/>
    <n v="0.007472897814988885"/>
    <n v="0.007472897814988885"/>
    <n v="0.007312382110132322"/>
    <n v="32.69858289601721"/>
    <n v="0.00766908367648024"/>
    <n v="0"/>
    <n v="2.988695413959302"/>
    <n v="0"/>
    <n v="0.1494579562997777"/>
    <n v="0"/>
    <n v="0"/>
    <n v="0"/>
    <n v="28.08111678980005"/>
    <n v="2.781291288206304"/>
    <n v="0"/>
    <n v="0.903899604203942"/>
    <m/>
    <n v="0"/>
    <m/>
    <n v="0"/>
    <m/>
    <n v="0"/>
    <m/>
    <m/>
    <n v="0"/>
    <n v="0"/>
    <n v="0"/>
    <n v="0"/>
    <m/>
    <n v="0"/>
    <n v="0"/>
    <n v="0"/>
    <n v="0"/>
    <n v="0"/>
    <x v="0"/>
    <m/>
    <x v="2"/>
    <x v="1"/>
    <s v="no root cause"/>
    <x v="1"/>
    <s v=""/>
  </r>
  <r>
    <s v="NEW-BELL-CAMTEL"/>
    <s v="LIT_752"/>
    <s v="Douala"/>
    <s v="CAMUSAT"/>
    <s v="Good Grid + GE"/>
    <s v="LITTORAL"/>
    <s v="Douala"/>
    <s v="ZTE"/>
    <n v="0"/>
    <n v="0"/>
    <n v="0"/>
    <n v="0"/>
    <n v="0"/>
    <n v="0"/>
    <n v="0"/>
    <n v="0"/>
    <n v="0"/>
    <n v="0"/>
    <n v="0"/>
    <n v="0"/>
    <n v="0"/>
    <n v="0"/>
    <n v="0"/>
    <n v="0"/>
    <n v="0"/>
    <n v="0"/>
    <n v="0"/>
    <n v="0"/>
    <n v="0"/>
    <n v="0.009898468466154909"/>
    <n v="0"/>
    <n v="0.7951591317027793"/>
    <m/>
    <n v="0"/>
    <m/>
    <n v="0"/>
    <m/>
    <n v="0"/>
    <m/>
    <m/>
    <n v="0"/>
    <n v="0"/>
    <n v="0"/>
    <n v="0"/>
    <m/>
    <n v="0"/>
    <n v="0"/>
    <n v="0"/>
    <n v="0"/>
    <n v="0"/>
    <x v="0"/>
    <m/>
    <x v="2"/>
    <x v="1"/>
    <s v="no root cause"/>
    <x v="1"/>
    <s v=""/>
  </r>
  <r>
    <s v="IPD"/>
    <s v="LIT_100"/>
    <s v="Douala"/>
    <m/>
    <m/>
    <s v="LITTORAL"/>
    <s v="Douala"/>
    <s v="ZTE"/>
    <n v="0"/>
    <n v="0"/>
    <n v="0"/>
    <n v="0"/>
    <n v="0"/>
    <n v="0"/>
    <n v="0"/>
    <n v="0"/>
    <n v="0"/>
    <n v="0"/>
    <n v="0.1423952652860884"/>
    <n v="0.002960623000687784"/>
    <n v="0"/>
    <n v="0"/>
    <n v="0"/>
    <n v="0"/>
    <n v="0"/>
    <n v="0"/>
    <n v="0"/>
    <n v="0"/>
    <n v="0"/>
    <n v="0"/>
    <n v="0"/>
    <n v="0.78303127844695"/>
    <m/>
    <n v="0"/>
    <m/>
    <n v="0"/>
    <m/>
    <n v="0"/>
    <m/>
    <m/>
    <n v="0"/>
    <n v="0"/>
    <n v="0"/>
    <n v="0"/>
    <m/>
    <n v="0"/>
    <n v="0"/>
    <n v="0"/>
    <n v="0"/>
    <n v="0"/>
    <x v="0"/>
    <m/>
    <x v="2"/>
    <x v="1"/>
    <s v="no root cause"/>
    <x v="1"/>
    <s v=""/>
  </r>
  <r>
    <s v="Soboum-IHS"/>
    <s v="LIT_579"/>
    <s v="Douala"/>
    <s v="IHS"/>
    <s v="Grid-Gen"/>
    <s v="LITTORAL"/>
    <s v="Douala"/>
    <s v="ZTE"/>
    <n v="0"/>
    <n v="0"/>
    <n v="0"/>
    <n v="0"/>
    <n v="0"/>
    <n v="0"/>
    <n v="0"/>
    <n v="0"/>
    <n v="0"/>
    <n v="4.854476461977037"/>
    <n v="0"/>
    <n v="0"/>
    <n v="0"/>
    <n v="0"/>
    <n v="0"/>
    <n v="0"/>
    <n v="0"/>
    <n v="1.978837609471712"/>
    <n v="0"/>
    <n v="0"/>
    <n v="0.2603029680423933"/>
    <n v="0"/>
    <n v="0"/>
    <n v="0.4847752637451381"/>
    <m/>
    <n v="0"/>
    <m/>
    <n v="0"/>
    <m/>
    <n v="0"/>
    <m/>
    <m/>
    <n v="0"/>
    <n v="0"/>
    <n v="0"/>
    <n v="0"/>
    <m/>
    <n v="0"/>
    <n v="0"/>
    <n v="0"/>
    <n v="0"/>
    <n v="0"/>
    <x v="0"/>
    <m/>
    <x v="2"/>
    <x v="1"/>
    <s v="no root cause"/>
    <x v="1"/>
    <s v=""/>
  </r>
  <r>
    <s v="Nkong"/>
    <s v="LIT_021"/>
    <s v="LITTORAL"/>
    <s v="IHS"/>
    <s v="Grid-Gen"/>
    <s v="LITTORAL"/>
    <s v="Nkongsamba"/>
    <s v="ZTE"/>
    <n v="0"/>
    <n v="0"/>
    <n v="0"/>
    <n v="0"/>
    <n v="0"/>
    <n v="0"/>
    <n v="0"/>
    <n v="0"/>
    <n v="0.000374536644665314"/>
    <n v="0"/>
    <n v="0"/>
    <n v="9.245704599738039"/>
    <n v="0"/>
    <n v="0"/>
    <n v="0"/>
    <n v="0"/>
    <n v="0"/>
    <n v="0"/>
    <n v="0"/>
    <n v="0"/>
    <n v="0.2179803271952134"/>
    <n v="0"/>
    <n v="0"/>
    <n v="0.3105978888974494"/>
    <m/>
    <n v="0"/>
    <m/>
    <n v="0"/>
    <m/>
    <n v="0"/>
    <m/>
    <m/>
    <n v="0"/>
    <n v="0"/>
    <n v="0"/>
    <n v="0"/>
    <m/>
    <n v="0"/>
    <n v="0"/>
    <n v="0"/>
    <n v="0"/>
    <n v="0"/>
    <x v="0"/>
    <m/>
    <x v="2"/>
    <x v="1"/>
    <s v="no root cause"/>
    <x v="1"/>
    <s v=""/>
  </r>
  <r>
    <s v="Newb-Srce-Quartier"/>
    <s v="LIT_095"/>
    <s v="Douala"/>
    <s v="IHS"/>
    <s v="GridOnly"/>
    <s v="LITTORAL"/>
    <s v="Douala"/>
    <s v="ZTE"/>
    <n v="0"/>
    <n v="0"/>
    <n v="6.977778205819659"/>
    <n v="0"/>
    <n v="0"/>
    <n v="0"/>
    <n v="0"/>
    <n v="0"/>
    <n v="1.352309143259911"/>
    <n v="0"/>
    <n v="0"/>
    <n v="0"/>
    <n v="0"/>
    <n v="0"/>
    <n v="2.825433107041856"/>
    <n v="6.4220371654496"/>
    <n v="0"/>
    <n v="0"/>
    <n v="0"/>
    <n v="11.38980204489873"/>
    <n v="0.03920150214163576"/>
    <n v="7.83621619539256"/>
    <n v="0"/>
    <n v="0.2794756772335942"/>
    <m/>
    <n v="0"/>
    <m/>
    <n v="0"/>
    <m/>
    <n v="0"/>
    <m/>
    <m/>
    <n v="0"/>
    <n v="0"/>
    <n v="0"/>
    <n v="0"/>
    <m/>
    <n v="0"/>
    <n v="0"/>
    <n v="0"/>
    <n v="0"/>
    <n v="0"/>
    <x v="0"/>
    <m/>
    <x v="2"/>
    <x v="1"/>
    <s v="no root cause"/>
    <x v="1"/>
    <s v=""/>
  </r>
  <r>
    <s v="Emana-Lycee2-MTN-IHS"/>
    <s v="CTR_518"/>
    <s v="Yaounde"/>
    <s v="IHS"/>
    <s v="Grid-Gen"/>
    <s v="CENTRE"/>
    <s v="Yaounde"/>
    <s v="ZTE"/>
    <n v="0"/>
    <n v="0"/>
    <n v="0"/>
    <n v="0"/>
    <n v="0"/>
    <n v="0"/>
    <n v="0"/>
    <n v="0"/>
    <n v="0"/>
    <n v="0"/>
    <n v="0"/>
    <n v="0"/>
    <n v="0"/>
    <n v="0"/>
    <n v="0.1308202994580995"/>
    <n v="0.2600711120242667"/>
    <n v="0.2174452748456912"/>
    <n v="0"/>
    <n v="0"/>
    <n v="0"/>
    <n v="0"/>
    <n v="0"/>
    <n v="0"/>
    <n v="0.2624788475971154"/>
    <m/>
    <n v="0"/>
    <m/>
    <n v="0"/>
    <m/>
    <n v="0"/>
    <m/>
    <m/>
    <n v="0"/>
    <n v="0"/>
    <n v="0"/>
    <n v="0"/>
    <m/>
    <n v="0"/>
    <n v="0"/>
    <n v="0"/>
    <n v="0"/>
    <n v="0"/>
    <x v="0"/>
    <m/>
    <x v="2"/>
    <x v="1"/>
    <s v="no root cause"/>
    <x v="1"/>
    <s v=""/>
  </r>
  <r>
    <s v="Bpriso-Hydrocarbure"/>
    <s v="LIT_676"/>
    <s v="Douala"/>
    <s v="CAMUSAT"/>
    <s v="Good Grid no GE - 8h"/>
    <s v="LITTORAL"/>
    <s v="Douala"/>
    <s v="ZTE"/>
    <n v="0"/>
    <n v="0"/>
    <n v="0"/>
    <n v="16.76684630157548"/>
    <n v="0"/>
    <n v="4.79604874540925"/>
    <n v="0"/>
    <n v="0"/>
    <n v="0"/>
    <n v="0"/>
    <n v="0"/>
    <n v="0"/>
    <n v="0"/>
    <n v="0"/>
    <n v="0"/>
    <n v="0"/>
    <n v="0"/>
    <n v="0"/>
    <n v="0"/>
    <n v="0"/>
    <n v="0"/>
    <n v="0"/>
    <n v="0"/>
    <n v="0.2151980549776989"/>
    <m/>
    <n v="0"/>
    <m/>
    <n v="0"/>
    <m/>
    <n v="0"/>
    <m/>
    <m/>
    <n v="0"/>
    <n v="0"/>
    <n v="0"/>
    <n v="0"/>
    <m/>
    <n v="0"/>
    <n v="0"/>
    <n v="0"/>
    <n v="0"/>
    <n v="0"/>
    <x v="0"/>
    <m/>
    <x v="2"/>
    <x v="1"/>
    <s v="no root cause"/>
    <x v="1"/>
    <s v=""/>
  </r>
  <r>
    <s v="Madagascar-Nodal"/>
    <s v="LIT_814"/>
    <s v="Douala"/>
    <m/>
    <m/>
    <s v="LITTORAL"/>
    <s v="Douala"/>
    <s v="ZTE"/>
    <n v="0"/>
    <n v="0"/>
    <n v="0"/>
    <n v="0"/>
    <n v="0.7095329207009614"/>
    <n v="0"/>
    <n v="0"/>
    <n v="0"/>
    <n v="0"/>
    <n v="0"/>
    <n v="0"/>
    <n v="0"/>
    <n v="0"/>
    <n v="0"/>
    <n v="0"/>
    <n v="0"/>
    <n v="0"/>
    <n v="0"/>
    <n v="0"/>
    <n v="0"/>
    <n v="0"/>
    <n v="0"/>
    <n v="0"/>
    <n v="0.1858771862239001"/>
    <m/>
    <n v="0"/>
    <m/>
    <n v="0"/>
    <m/>
    <n v="0"/>
    <m/>
    <m/>
    <n v="0"/>
    <n v="0"/>
    <n v="0"/>
    <n v="0"/>
    <m/>
    <n v="0"/>
    <n v="0"/>
    <n v="0"/>
    <n v="0"/>
    <n v="0"/>
    <x v="0"/>
    <m/>
    <x v="2"/>
    <x v="1"/>
    <s v="no root cause"/>
    <x v="1"/>
    <s v=""/>
  </r>
  <r>
    <s v="CTR_1052_Z_Santa-Barbara-Gottam-IHS"/>
    <s v="CTR_1052"/>
    <s v="Yaounde"/>
    <s v="IHS"/>
    <s v=""/>
    <s v="CTR"/>
    <s v="Yaoundé"/>
    <s v="ZTE"/>
    <n v="0"/>
    <n v="0"/>
    <n v="0"/>
    <n v="0"/>
    <n v="0"/>
    <n v="0"/>
    <n v="0"/>
    <n v="0"/>
    <n v="0"/>
    <n v="3.289876381505167"/>
    <n v="0"/>
    <n v="0.08824796751447504"/>
    <n v="0.787935924984234"/>
    <s v=""/>
    <n v="3.887030473728216"/>
    <n v="0.2382053060071399"/>
    <n v="0.1268074068366848"/>
    <n v="0"/>
    <n v="0"/>
    <n v="0"/>
    <n v="0"/>
    <n v="0"/>
    <n v="0"/>
    <n v="0.1750334586069238"/>
    <m/>
    <n v="0"/>
    <m/>
    <n v="0"/>
    <m/>
    <n v="0"/>
    <m/>
    <m/>
    <n v="0"/>
    <n v="0"/>
    <n v="0"/>
    <n v="0"/>
    <m/>
    <n v="0"/>
    <n v="0"/>
    <n v="0"/>
    <n v="0"/>
    <n v="0"/>
    <x v="0"/>
    <m/>
    <x v="2"/>
    <x v="1"/>
    <s v="no root cause"/>
    <x v="1"/>
    <s v=""/>
  </r>
  <r>
    <s v="LIT_263_Z_CCC"/>
    <s v="LIT_263"/>
    <s v="Douala"/>
    <s v="IHS"/>
    <s v="Grid-Gen"/>
    <s v="LITTORAL"/>
    <s v="Douala"/>
    <s v="ZTE"/>
    <n v="0"/>
    <n v="0"/>
    <n v="0"/>
    <n v="0"/>
    <n v="0"/>
    <n v="0"/>
    <n v="0"/>
    <n v="0"/>
    <n v="0"/>
    <n v="0"/>
    <n v="0"/>
    <n v="0"/>
    <n v="0"/>
    <n v="0"/>
    <n v="0"/>
    <n v="0"/>
    <n v="0"/>
    <n v="0"/>
    <n v="0"/>
    <n v="0"/>
    <n v="0"/>
    <n v="0"/>
    <n v="0"/>
    <n v="0.1578939483439059"/>
    <m/>
    <n v="0"/>
    <m/>
    <n v="0"/>
    <m/>
    <n v="0"/>
    <m/>
    <m/>
    <n v="0"/>
    <n v="0"/>
    <n v="0"/>
    <n v="0"/>
    <m/>
    <n v="0"/>
    <n v="0"/>
    <n v="0"/>
    <n v="0"/>
    <n v="0"/>
    <x v="0"/>
    <m/>
    <x v="2"/>
    <x v="1"/>
    <s v="no root cause"/>
    <x v="1"/>
    <s v=""/>
  </r>
  <r>
    <s v="Nkong-C-Fultang"/>
    <s v="LIT_353"/>
    <s v="LITTORAL"/>
    <m/>
    <m/>
    <s v="LITTORAL"/>
    <s v="Nkongsamba"/>
    <s v="ZTE"/>
    <n v="0"/>
    <n v="0"/>
    <n v="0"/>
    <n v="0"/>
    <n v="0"/>
    <n v="0"/>
    <n v="0"/>
    <n v="0"/>
    <n v="0.0004280418796175018"/>
    <n v="0"/>
    <n v="0"/>
    <n v="0"/>
    <n v="0"/>
    <n v="0"/>
    <n v="0"/>
    <n v="0"/>
    <n v="0"/>
    <n v="0"/>
    <n v="0"/>
    <n v="0"/>
    <n v="0"/>
    <n v="0"/>
    <n v="0"/>
    <n v="0.1275029748910631"/>
    <m/>
    <n v="0"/>
    <m/>
    <n v="0"/>
    <m/>
    <n v="0"/>
    <m/>
    <m/>
    <n v="0"/>
    <n v="0"/>
    <n v="0"/>
    <n v="0"/>
    <m/>
    <n v="0"/>
    <n v="0"/>
    <n v="0"/>
    <n v="0"/>
    <n v="0"/>
    <x v="0"/>
    <m/>
    <x v="2"/>
    <x v="1"/>
    <s v="no root cause"/>
    <x v="1"/>
    <s v=""/>
  </r>
  <r>
    <s v="Pont-Emana-MTN"/>
    <s v="CTR_799"/>
    <s v="Yaounde"/>
    <m/>
    <m/>
    <s v="CENTRE"/>
    <s v="Yaounde"/>
    <s v="ZTE"/>
    <n v="0.0004280418796175018"/>
    <n v="0"/>
    <n v="0"/>
    <n v="0"/>
    <n v="0"/>
    <n v="0"/>
    <n v="0"/>
    <n v="0"/>
    <n v="0"/>
    <n v="0"/>
    <n v="0"/>
    <n v="0"/>
    <n v="1.321436622692497"/>
    <n v="0.2540428555529869"/>
    <n v="13.92851843291014"/>
    <n v="12.92989672776251"/>
    <n v="18.71299221249141"/>
    <n v="0"/>
    <n v="0"/>
    <n v="0"/>
    <n v="0"/>
    <n v="0"/>
    <n v="0"/>
    <n v="0.09429405906407262"/>
    <m/>
    <n v="0"/>
    <m/>
    <n v="0"/>
    <m/>
    <n v="0"/>
    <m/>
    <m/>
    <n v="0"/>
    <n v="0"/>
    <n v="0"/>
    <n v="0"/>
    <m/>
    <n v="0"/>
    <n v="0"/>
    <n v="0"/>
    <n v="0"/>
    <n v="0"/>
    <x v="0"/>
    <m/>
    <x v="2"/>
    <x v="1"/>
    <s v="no root cause"/>
    <x v="1"/>
    <s v=""/>
  </r>
  <r>
    <s v="Chevreuil"/>
    <s v="LIT_018"/>
    <s v="Douala"/>
    <s v="IHS"/>
    <s v="Grid-Gen"/>
    <s v="LITTORAL"/>
    <s v="Douala"/>
    <s v="ZTE"/>
    <n v="0"/>
    <n v="0"/>
    <n v="0"/>
    <n v="0"/>
    <n v="0"/>
    <n v="0"/>
    <n v="0"/>
    <n v="0"/>
    <n v="0"/>
    <n v="0"/>
    <n v="0"/>
    <n v="0"/>
    <n v="0"/>
    <n v="0"/>
    <n v="0"/>
    <n v="0"/>
    <n v="0"/>
    <n v="0"/>
    <n v="0"/>
    <n v="0"/>
    <m/>
    <n v="0"/>
    <n v="0"/>
    <n v="0.06987783684755733"/>
    <m/>
    <n v="0"/>
    <m/>
    <n v="0"/>
    <m/>
    <n v="0"/>
    <m/>
    <m/>
    <n v="0"/>
    <n v="0"/>
    <n v="0"/>
    <n v="0"/>
    <m/>
    <n v="0"/>
    <n v="0"/>
    <n v="0"/>
    <n v="0"/>
    <n v="0"/>
    <x v="0"/>
    <m/>
    <x v="2"/>
    <x v="1"/>
    <s v="no root cause"/>
    <x v="1"/>
    <s v=""/>
  </r>
  <r>
    <s v="Mbingo-IHS"/>
    <s v="NRO_031"/>
    <s v="NORD-OUEST"/>
    <s v="IHS"/>
    <s v="Grid-Gen"/>
    <s v="NORD-OUEST"/>
    <s v="Mbingo"/>
    <s v="NOKIA"/>
    <n v="2.092446272084247"/>
    <n v="0"/>
    <n v="0"/>
    <n v="0"/>
    <n v="1.079522173119286"/>
    <n v="0"/>
    <n v="0"/>
    <n v="0"/>
    <n v="0"/>
    <n v="0"/>
    <n v="0"/>
    <n v="0"/>
    <n v="0"/>
    <n v="0.3670637468503251"/>
    <n v="0"/>
    <n v="0"/>
    <n v="0"/>
    <n v="0.2747850516361189"/>
    <n v="0.3670459117720076"/>
    <n v="0"/>
    <n v="0"/>
    <n v="0"/>
    <n v="0"/>
    <n v="0.05147203602400464"/>
    <m/>
    <n v="0"/>
    <m/>
    <n v="0"/>
    <m/>
    <n v="0"/>
    <m/>
    <m/>
    <n v="0"/>
    <n v="0"/>
    <n v="0"/>
    <n v="0"/>
    <m/>
    <n v="0"/>
    <n v="0"/>
    <n v="0"/>
    <n v="0"/>
    <n v="0"/>
    <x v="1"/>
    <m/>
    <x v="2"/>
    <x v="1"/>
    <s v="no root cause"/>
    <x v="1"/>
    <s v=""/>
  </r>
  <r>
    <s v="Youpwe"/>
    <s v="LIT_268"/>
    <s v="Douala"/>
    <s v="IHS"/>
    <s v="Grid-Gen"/>
    <s v="LITTORAL"/>
    <s v="Douala"/>
    <s v="ZTE"/>
    <n v="0"/>
    <n v="0"/>
    <n v="0"/>
    <n v="0"/>
    <n v="0.1360281423267788"/>
    <n v="0"/>
    <n v="0"/>
    <n v="0"/>
    <n v="0"/>
    <n v="0"/>
    <n v="0"/>
    <n v="0"/>
    <n v="0"/>
    <n v="0"/>
    <n v="0"/>
    <n v="0.1293399879577554"/>
    <n v="0"/>
    <n v="0"/>
    <n v="0"/>
    <n v="0"/>
    <n v="0"/>
    <n v="0"/>
    <n v="0"/>
    <n v="0.03754283985811848"/>
    <m/>
    <n v="0"/>
    <m/>
    <n v="0"/>
    <m/>
    <n v="0"/>
    <m/>
    <m/>
    <n v="0"/>
    <n v="0"/>
    <n v="0"/>
    <n v="0"/>
    <m/>
    <n v="0"/>
    <n v="0"/>
    <n v="0"/>
    <n v="0"/>
    <n v="0"/>
    <x v="0"/>
    <m/>
    <x v="2"/>
    <x v="1"/>
    <s v="no root cause"/>
    <x v="1"/>
    <s v=""/>
  </r>
  <r>
    <s v="Shell-Newbell"/>
    <s v="LIT_053"/>
    <s v="Douala"/>
    <s v="IHS"/>
    <s v="Grid-Gen"/>
    <s v="LITTORAL"/>
    <s v="Douala"/>
    <s v="ZTE"/>
    <n v="0"/>
    <n v="0"/>
    <n v="0"/>
    <n v="0"/>
    <n v="0"/>
    <n v="0"/>
    <n v="0"/>
    <n v="0"/>
    <n v="0"/>
    <n v="0"/>
    <n v="0"/>
    <n v="0.03813139744259244"/>
    <n v="0"/>
    <n v="0"/>
    <n v="0"/>
    <n v="0"/>
    <n v="0"/>
    <n v="0"/>
    <n v="0"/>
    <n v="0"/>
    <m/>
    <n v="0"/>
    <n v="0"/>
    <n v="0.01888734793812248"/>
    <m/>
    <n v="0"/>
    <m/>
    <n v="0"/>
    <m/>
    <n v="0"/>
    <m/>
    <m/>
    <n v="0"/>
    <n v="0"/>
    <n v="0"/>
    <n v="0"/>
    <m/>
    <n v="0"/>
    <n v="0"/>
    <n v="0"/>
    <n v="0"/>
    <n v="0"/>
    <x v="0"/>
    <m/>
    <x v="2"/>
    <x v="1"/>
    <s v="no root cause"/>
    <x v="1"/>
    <s v=""/>
  </r>
  <r>
    <s v="Ancien-Aeroport"/>
    <s v="LIT_055"/>
    <s v="Douala"/>
    <s v="IHS"/>
    <s v="Grid-Gen"/>
    <s v="LITTORAL"/>
    <s v="Douala"/>
    <s v="ZTE"/>
    <n v="0"/>
    <n v="0"/>
    <n v="0"/>
    <n v="0"/>
    <n v="0.07488949385474554"/>
    <n v="0"/>
    <n v="0"/>
    <n v="0"/>
    <n v="0"/>
    <n v="0"/>
    <n v="0"/>
    <n v="0.2012866938901296"/>
    <n v="0"/>
    <n v="0"/>
    <n v="0"/>
    <n v="0.04603233713719858"/>
    <n v="0"/>
    <n v="0"/>
    <n v="0"/>
    <n v="0"/>
    <n v="0.08855116384587101"/>
    <n v="0"/>
    <n v="0"/>
    <n v="0.01316228779823818"/>
    <m/>
    <n v="0"/>
    <m/>
    <n v="0"/>
    <m/>
    <n v="0"/>
    <m/>
    <m/>
    <n v="0"/>
    <n v="0"/>
    <n v="0"/>
    <n v="0"/>
    <m/>
    <n v="0"/>
    <n v="0"/>
    <n v="0"/>
    <n v="0"/>
    <n v="0"/>
    <x v="0"/>
    <m/>
    <x v="2"/>
    <x v="1"/>
    <s v="no root cause"/>
    <x v="1"/>
    <s v=""/>
  </r>
  <r>
    <s v="Damas"/>
    <s v="CTR_074"/>
    <s v="Yaounde"/>
    <s v="IHS"/>
    <s v="Grid-Gen"/>
    <s v="CENTRE"/>
    <s v="Yaounde"/>
    <s v="ZTE"/>
    <n v="0"/>
    <n v="0"/>
    <n v="0"/>
    <n v="0"/>
    <n v="0"/>
    <n v="0"/>
    <n v="0"/>
    <n v="0"/>
    <n v="0"/>
    <n v="0"/>
    <n v="0"/>
    <n v="0"/>
    <n v="0"/>
    <n v="0"/>
    <n v="0"/>
    <n v="0"/>
    <n v="14.31339942299955"/>
    <n v="0"/>
    <n v="0"/>
    <n v="0"/>
    <n v="0"/>
    <n v="0"/>
    <n v="0"/>
    <n v="0.001141445012313288"/>
    <m/>
    <n v="0"/>
    <m/>
    <n v="0"/>
    <m/>
    <n v="0"/>
    <m/>
    <m/>
    <n v="0"/>
    <n v="0"/>
    <n v="0"/>
    <n v="0"/>
    <m/>
    <n v="0"/>
    <n v="0"/>
    <n v="0"/>
    <n v="0"/>
    <n v="0"/>
    <x v="0"/>
    <m/>
    <x v="2"/>
    <x v="1"/>
    <s v="no root cause"/>
    <x v="1"/>
    <s v=""/>
  </r>
  <r>
    <s v="Garoua-Lidire"/>
    <s v="NRD_075"/>
    <s v="Garoua"/>
    <s v="IHS"/>
    <s v="Grid-Gen"/>
    <s v="NORD"/>
    <s v="Garoua"/>
    <s v="Huawei"/>
    <n v="0"/>
    <n v="0"/>
    <n v="0"/>
    <n v="0"/>
    <n v="0"/>
    <n v="0"/>
    <n v="0"/>
    <n v="0"/>
    <n v="0"/>
    <n v="0"/>
    <n v="0"/>
    <n v="0"/>
    <n v="0"/>
    <n v="0"/>
    <n v="0"/>
    <n v="0"/>
    <n v="0"/>
    <n v="0"/>
    <n v="0"/>
    <n v="0"/>
    <m/>
    <n v="0"/>
    <n v="0"/>
    <n v="8.917539158697954e-05"/>
    <m/>
    <n v="0"/>
    <m/>
    <n v="0"/>
    <m/>
    <n v="0"/>
    <m/>
    <m/>
    <n v="0"/>
    <n v="0"/>
    <n v="0"/>
    <n v="0"/>
    <m/>
    <n v="0"/>
    <n v="0"/>
    <n v="0"/>
    <n v="0"/>
    <n v="0"/>
    <x v="0"/>
    <m/>
    <x v="2"/>
    <x v="1"/>
    <s v="no root cause"/>
    <x v="1"/>
    <s v=""/>
  </r>
  <r>
    <s v="Sim-barriere"/>
    <s v="CTR_748"/>
    <s v="Yaounde"/>
    <s v="CAMUSAT"/>
    <s v="Good Grid + GE"/>
    <s v="CENTRE"/>
    <s v="Yaounde"/>
    <s v="ZTE"/>
    <n v="0"/>
    <n v="0"/>
    <n v="0"/>
    <n v="0"/>
    <n v="0"/>
    <n v="0"/>
    <n v="0"/>
    <n v="0"/>
    <n v="12.66713251891232"/>
    <n v="0"/>
    <n v="0.03049798392274695"/>
    <n v="3.699227099046037"/>
    <n v="0"/>
    <n v="0"/>
    <n v="0"/>
    <n v="0"/>
    <n v="0"/>
    <n v="0"/>
    <n v="8.497719250184772"/>
    <n v="0"/>
    <n v="0"/>
    <n v="0"/>
    <n v="6.659743089263856"/>
    <n v="0"/>
    <m/>
    <n v="0"/>
    <m/>
    <n v="0"/>
    <m/>
    <n v="0"/>
    <m/>
    <m/>
    <n v="0"/>
    <n v="0"/>
    <n v="0"/>
    <n v="0"/>
    <m/>
    <n v="0"/>
    <n v="0"/>
    <n v="0"/>
    <n v="0"/>
    <n v="0"/>
    <x v="0"/>
    <m/>
    <x v="2"/>
    <x v="1"/>
    <s v="no root cause"/>
    <x v="1"/>
    <s v=""/>
  </r>
  <r>
    <s v="Bonewonda-II"/>
    <s v="LIT_378"/>
    <s v="Douala"/>
    <s v="IHS"/>
    <s v="Grid-Gen"/>
    <s v="LITTORAL"/>
    <s v="Douala"/>
    <s v="ZTE"/>
    <n v="0"/>
    <n v="0"/>
    <n v="9.293591785020245"/>
    <n v="0"/>
    <n v="0"/>
    <n v="0"/>
    <n v="0"/>
    <n v="0"/>
    <n v="1.016385443151758"/>
    <n v="15.94939332197595"/>
    <n v="0"/>
    <n v="0.01983586276452369"/>
    <n v="0"/>
    <n v="0"/>
    <n v="0.03747149954484912"/>
    <n v="0"/>
    <n v="0"/>
    <n v="0"/>
    <n v="0"/>
    <n v="0"/>
    <n v="0.03348196997792824"/>
    <n v="4.950857225204245"/>
    <n v="4.935786584026046"/>
    <n v="0"/>
    <m/>
    <n v="0"/>
    <m/>
    <n v="0"/>
    <m/>
    <n v="0"/>
    <m/>
    <m/>
    <n v="0"/>
    <n v="0"/>
    <n v="0"/>
    <n v="0"/>
    <m/>
    <n v="0"/>
    <n v="0"/>
    <n v="0"/>
    <n v="0"/>
    <n v="0"/>
    <x v="0"/>
    <m/>
    <x v="2"/>
    <x v="1"/>
    <s v="no root cause"/>
    <x v="1"/>
    <s v=""/>
  </r>
  <r>
    <s v="Crf-Patrick-Mboma"/>
    <s v="LIT_697"/>
    <s v="Douala"/>
    <s v="CAMUSAT"/>
    <s v="Good Grid + GE"/>
    <s v="LITTORAL"/>
    <s v="Douala"/>
    <s v="ZTE"/>
    <n v="0"/>
    <n v="0"/>
    <n v="25.58622118921449"/>
    <n v="0"/>
    <n v="0"/>
    <n v="15.79517339976544"/>
    <n v="5.93941994618087"/>
    <n v="0"/>
    <n v="0"/>
    <n v="0"/>
    <n v="8.200729526043494"/>
    <n v="0.08321847542896908"/>
    <n v="0"/>
    <n v="0"/>
    <n v="4.216604885955376"/>
    <n v="0"/>
    <n v="0"/>
    <n v="0"/>
    <n v="0.8206454586183372"/>
    <n v="0"/>
    <n v="0"/>
    <n v="13.84107304391995"/>
    <n v="4.238399351659235"/>
    <n v="0"/>
    <m/>
    <n v="0"/>
    <m/>
    <n v="0"/>
    <m/>
    <n v="0"/>
    <m/>
    <m/>
    <n v="0"/>
    <n v="0"/>
    <n v="0"/>
    <n v="0"/>
    <m/>
    <n v="0"/>
    <n v="0"/>
    <n v="0"/>
    <n v="0"/>
    <n v="0"/>
    <x v="0"/>
    <m/>
    <x v="2"/>
    <x v="1"/>
    <s v="no root cause"/>
    <x v="1"/>
    <s v=""/>
  </r>
  <r>
    <s v="Nkongmondo"/>
    <s v="LIT_091"/>
    <s v="Douala"/>
    <s v="IHS"/>
    <s v="GridOnly"/>
    <s v="LITTORAL"/>
    <s v="Douala"/>
    <s v="ZTE"/>
    <n v="0"/>
    <n v="0"/>
    <n v="0"/>
    <n v="4.245123176184891"/>
    <n v="4.588537609186349"/>
    <n v="2.412943415717127"/>
    <n v="4.477603422052146"/>
    <n v="2.693631878276304"/>
    <n v="5.87385819828612"/>
    <n v="4.641900163511999"/>
    <n v="12.45526962357997"/>
    <n v="18.49114167330132"/>
    <n v="0"/>
    <n v="0"/>
    <n v="0"/>
    <n v="0"/>
    <n v="0"/>
    <n v="0"/>
    <n v="0"/>
    <n v="0"/>
    <n v="0"/>
    <n v="0"/>
    <n v="1.495168120582251"/>
    <n v="0"/>
    <m/>
    <n v="0"/>
    <m/>
    <n v="0"/>
    <m/>
    <n v="0"/>
    <m/>
    <m/>
    <n v="0"/>
    <n v="0"/>
    <n v="0"/>
    <n v="0"/>
    <m/>
    <n v="0"/>
    <n v="0"/>
    <n v="0"/>
    <n v="0"/>
    <n v="0"/>
    <x v="0"/>
    <m/>
    <x v="2"/>
    <x v="1"/>
    <s v="no root cause"/>
    <x v="1"/>
    <s v=""/>
  </r>
  <r>
    <s v="CTR_950_Z_Nkolbisson-Claretains"/>
    <s v="CTR_950"/>
    <s v="Yaounde"/>
    <s v="ESCO"/>
    <e v="#N/A"/>
    <s v="CENTRE"/>
    <s v="Yaounde"/>
    <s v="ZTE"/>
    <n v="0"/>
    <n v="0"/>
    <n v="0"/>
    <n v="0"/>
    <n v="0"/>
    <n v="0"/>
    <n v="0"/>
    <n v="0"/>
    <n v="0"/>
    <n v="0"/>
    <n v="0"/>
    <n v="0"/>
    <n v="0"/>
    <n v="0"/>
    <n v="0"/>
    <n v="0"/>
    <n v="0"/>
    <n v="0"/>
    <n v="0"/>
    <n v="0"/>
    <n v="0"/>
    <n v="0"/>
    <n v="0.4111342253726109"/>
    <n v="0"/>
    <m/>
    <n v="0"/>
    <m/>
    <n v="0"/>
    <m/>
    <n v="0"/>
    <m/>
    <m/>
    <n v="0"/>
    <n v="0"/>
    <n v="0"/>
    <n v="0"/>
    <m/>
    <n v="0"/>
    <n v="0"/>
    <n v="0"/>
    <n v="0"/>
    <n v="0"/>
    <x v="0"/>
    <m/>
    <x v="2"/>
    <x v="1"/>
    <s v="no root cause"/>
    <x v="1"/>
    <s v=""/>
  </r>
  <r>
    <s v="Miende-MTN"/>
    <s v="CTR_307"/>
    <s v="CENTRE"/>
    <s v="IHS"/>
    <s v="Grid-Gen"/>
    <s v="CENTRE"/>
    <s v="Miende"/>
    <s v="NOKIA"/>
    <n v="0"/>
    <n v="0"/>
    <n v="0.04216212514232402"/>
    <n v="0"/>
    <n v="1.327942461782154"/>
    <n v="0"/>
    <n v="0"/>
    <n v="0"/>
    <n v="0.06803045242203201"/>
    <n v="0"/>
    <n v="0"/>
    <n v="0.009523931821489799"/>
    <n v="0"/>
    <n v="0"/>
    <n v="0"/>
    <n v="0"/>
    <n v="0"/>
    <n v="0"/>
    <n v="0"/>
    <n v="0"/>
    <n v="0"/>
    <n v="0"/>
    <n v="0.3746793252918529"/>
    <n v="0"/>
    <m/>
    <n v="0"/>
    <m/>
    <n v="0"/>
    <m/>
    <n v="0"/>
    <m/>
    <m/>
    <n v="0"/>
    <n v="0"/>
    <n v="0"/>
    <n v="0"/>
    <m/>
    <n v="0"/>
    <n v="0"/>
    <n v="0"/>
    <n v="0"/>
    <n v="0"/>
    <x v="0"/>
    <m/>
    <x v="2"/>
    <x v="1"/>
    <s v="no root cause"/>
    <x v="1"/>
    <s v=""/>
  </r>
  <r>
    <s v="Camp-Sonel"/>
    <s v="CTR_595"/>
    <s v="Yaounde"/>
    <s v="CAMUSAT"/>
    <s v="Good Grid no GE - 8h"/>
    <s v="CENTRE"/>
    <s v="Yaounde"/>
    <s v="ZTE"/>
    <n v="13.8375416984131"/>
    <n v="13.83816592615421"/>
    <n v="13.84776119828897"/>
    <n v="13.86855689960706"/>
    <n v="13.86855689960706"/>
    <n v="13.86855689960706"/>
    <n v="31.05752383479868"/>
    <n v="2.566967152066155"/>
    <n v="0"/>
    <n v="0"/>
    <n v="0"/>
    <n v="0"/>
    <n v="0"/>
    <n v="0"/>
    <n v="0"/>
    <n v="0"/>
    <n v="0"/>
    <n v="0"/>
    <n v="3.567015663485442e-05"/>
    <n v="0.002532581121070216"/>
    <n v="0.03128272736871282"/>
    <n v="5.350523495219608e-05"/>
    <n v="0.2636916329226981"/>
    <n v="0"/>
    <m/>
    <n v="0"/>
    <m/>
    <n v="0"/>
    <m/>
    <n v="0"/>
    <m/>
    <m/>
    <n v="0"/>
    <n v="0"/>
    <n v="0"/>
    <n v="0"/>
    <m/>
    <n v="0"/>
    <n v="0"/>
    <n v="0"/>
    <n v="0"/>
    <n v="0"/>
    <x v="0"/>
    <m/>
    <x v="2"/>
    <x v="1"/>
    <s v="no root cause"/>
    <x v="1"/>
    <s v=""/>
  </r>
  <r>
    <s v="Maroua-University-IHS"/>
    <s v="EXN_117"/>
    <s v="Maroua"/>
    <s v="IHS"/>
    <s v="Grid-Gen"/>
    <s v="EXTREME-NORD"/>
    <s v="Maroua"/>
    <s v="Huawei"/>
    <n v="0.2713607165991788"/>
    <n v="0.6971018711137364"/>
    <n v="0"/>
    <n v="0"/>
    <n v="0"/>
    <n v="0"/>
    <n v="0"/>
    <n v="0"/>
    <n v="0"/>
    <n v="0"/>
    <n v="0"/>
    <n v="0"/>
    <n v="0"/>
    <n v="0.3652445688619508"/>
    <n v="0"/>
    <n v="0.004815471145696893"/>
    <n v="0"/>
    <n v="0"/>
    <n v="0"/>
    <n v="0"/>
    <n v="0"/>
    <n v="0"/>
    <n v="0.2368141698983829"/>
    <n v="0"/>
    <m/>
    <n v="0"/>
    <m/>
    <n v="0"/>
    <m/>
    <n v="0"/>
    <m/>
    <m/>
    <n v="0"/>
    <n v="0"/>
    <n v="0"/>
    <n v="0"/>
    <m/>
    <n v="0"/>
    <n v="0"/>
    <n v="0"/>
    <n v="0"/>
    <n v="0"/>
    <x v="0"/>
    <m/>
    <x v="2"/>
    <x v="1"/>
    <s v="no root cause"/>
    <x v="1"/>
    <s v=""/>
  </r>
  <r>
    <s v="H-Plateau-New"/>
    <s v="CTR_484"/>
    <s v="Yaounde"/>
    <s v="IHS"/>
    <s v="Grid-Gen"/>
    <s v="CENTRE"/>
    <s v="Yaounde"/>
    <s v="ZTE"/>
    <n v="0"/>
    <n v="0"/>
    <n v="0"/>
    <n v="0"/>
    <n v="0"/>
    <n v="0"/>
    <n v="0"/>
    <n v="0"/>
    <n v="0"/>
    <n v="0"/>
    <n v="0"/>
    <n v="0"/>
    <n v="0"/>
    <n v="0"/>
    <n v="0"/>
    <n v="0"/>
    <n v="0"/>
    <n v="0"/>
    <n v="0"/>
    <n v="0.002300725102944261"/>
    <n v="2.282676003686865"/>
    <n v="0"/>
    <n v="0.2310177694452287"/>
    <n v="0"/>
    <m/>
    <n v="0"/>
    <m/>
    <n v="0"/>
    <m/>
    <n v="0"/>
    <m/>
    <m/>
    <n v="0"/>
    <n v="0"/>
    <n v="0"/>
    <n v="0"/>
    <m/>
    <n v="0"/>
    <n v="0"/>
    <n v="0"/>
    <n v="0"/>
    <n v="0"/>
    <x v="0"/>
    <m/>
    <x v="2"/>
    <x v="1"/>
    <s v="no root cause"/>
    <x v="1"/>
    <s v=""/>
  </r>
  <r>
    <s v="CTR_947_Z_Nkoabang-Tradex"/>
    <s v="CTR_947"/>
    <s v="Yaounde"/>
    <s v="ESCO"/>
    <s v="meduim grid + GE"/>
    <s v="CENTRE"/>
    <s v="Yaoundé"/>
    <s v="ZTE"/>
    <n v="0"/>
    <n v="16.12000368116017"/>
    <n v="0"/>
    <n v="0"/>
    <n v="0"/>
    <n v="0"/>
    <n v="0"/>
    <n v="0.6314152776707659"/>
    <n v="4.702628605182729"/>
    <n v="0"/>
    <n v="24.85286060388148"/>
    <n v="0"/>
    <n v="13.86855689960706"/>
    <n v="13.86855689960706"/>
    <n v="27.67536875807928"/>
    <n v="0"/>
    <n v="0"/>
    <n v="20.89152919388298"/>
    <n v="0"/>
    <n v="0"/>
    <n v="0"/>
    <n v="0"/>
    <n v="0.1858593511455821"/>
    <n v="0"/>
    <m/>
    <n v="0"/>
    <m/>
    <n v="0"/>
    <m/>
    <n v="0"/>
    <m/>
    <m/>
    <n v="0"/>
    <n v="0"/>
    <n v="0"/>
    <n v="0"/>
    <m/>
    <n v="0"/>
    <n v="0"/>
    <n v="0"/>
    <n v="0"/>
    <n v="0"/>
    <x v="0"/>
    <m/>
    <x v="2"/>
    <x v="1"/>
    <s v="no root cause"/>
    <x v="1"/>
    <s v=""/>
  </r>
  <r>
    <s v="Mimboman-Liberte-IHS"/>
    <s v="CTR_552"/>
    <s v="Yaounde"/>
    <s v="IHS"/>
    <s v="Grid-Gen"/>
    <s v="CENTRE"/>
    <s v="Yaounde"/>
    <s v="ZTE"/>
    <n v="0"/>
    <n v="0"/>
    <n v="0"/>
    <n v="0"/>
    <n v="0"/>
    <n v="0"/>
    <n v="0"/>
    <n v="6.11843062725257"/>
    <n v="5.539486149991581"/>
    <n v="0"/>
    <n v="0"/>
    <n v="1.540950766623006"/>
    <n v="0"/>
    <n v="0"/>
    <n v="0"/>
    <n v="0"/>
    <n v="0"/>
    <n v="0"/>
    <n v="0"/>
    <n v="0.0037275313683357"/>
    <n v="0"/>
    <n v="0"/>
    <n v="0.1744092308658146"/>
    <n v="0"/>
    <m/>
    <n v="0"/>
    <m/>
    <n v="0"/>
    <m/>
    <n v="0"/>
    <m/>
    <m/>
    <n v="0"/>
    <n v="0"/>
    <n v="0"/>
    <n v="0"/>
    <m/>
    <n v="0"/>
    <n v="0"/>
    <n v="0"/>
    <n v="0"/>
    <n v="0"/>
    <x v="0"/>
    <m/>
    <x v="2"/>
    <x v="1"/>
    <s v="no root cause"/>
    <x v="1"/>
    <s v=""/>
  </r>
  <r>
    <s v="Mvog-Ada-TKC"/>
    <s v="CTR_096"/>
    <s v="Yaounde"/>
    <s v="IHS"/>
    <s v="Grid-Lithium"/>
    <s v="CENTRE"/>
    <s v="Yaounde"/>
    <s v="ZTE"/>
    <n v="31.58483576033079"/>
    <n v="23.16114992024154"/>
    <n v="23.1142614993451"/>
    <n v="13.34128064423156"/>
    <n v="0"/>
    <n v="0"/>
    <n v="0"/>
    <n v="3.413366463774816"/>
    <n v="20.52885287629875"/>
    <n v="0.2926201299535146"/>
    <n v="0"/>
    <n v="0.7638764043340667"/>
    <n v="0"/>
    <n v="0"/>
    <n v="0"/>
    <n v="0"/>
    <n v="0"/>
    <n v="0"/>
    <n v="18.32700544754632"/>
    <n v="0"/>
    <n v="6.368014713226207"/>
    <n v="0"/>
    <n v="0.1107736714293464"/>
    <n v="0"/>
    <m/>
    <n v="0"/>
    <m/>
    <n v="0"/>
    <m/>
    <n v="0"/>
    <m/>
    <m/>
    <n v="0"/>
    <n v="0"/>
    <n v="0"/>
    <n v="0"/>
    <m/>
    <n v="0"/>
    <n v="0"/>
    <n v="0"/>
    <n v="0"/>
    <n v="0"/>
    <x v="0"/>
    <m/>
    <x v="2"/>
    <x v="1"/>
    <s v="no root cause"/>
    <x v="1"/>
    <s v=""/>
  </r>
  <r>
    <s v="Mimboman-Don-Bosco"/>
    <s v="CTR_654"/>
    <s v="Yaounde"/>
    <s v="CAMUSAT"/>
    <s v="Good Grid no GE - 8h"/>
    <s v="CENTRE"/>
    <s v="Yaounde"/>
    <s v="ZTE"/>
    <n v="0"/>
    <n v="0"/>
    <n v="0"/>
    <n v="0"/>
    <n v="5.114280047826546"/>
    <n v="2.246399454389284"/>
    <n v="2.60846937931074"/>
    <n v="1.414749752449113"/>
    <n v="6.513396802416999e-17"/>
    <n v="0"/>
    <n v="0"/>
    <n v="0"/>
    <n v="1.391153943835199"/>
    <n v="10.86702022925923"/>
    <n v="0"/>
    <n v="0"/>
    <n v="0"/>
    <n v="0"/>
    <n v="0"/>
    <n v="0.001070104699043751"/>
    <n v="0"/>
    <n v="0"/>
    <n v="0.09930571607126071"/>
    <n v="0"/>
    <m/>
    <n v="0"/>
    <m/>
    <n v="0"/>
    <m/>
    <n v="0"/>
    <m/>
    <m/>
    <n v="0"/>
    <n v="0"/>
    <n v="0"/>
    <n v="0"/>
    <m/>
    <n v="0"/>
    <n v="0"/>
    <n v="0"/>
    <n v="0"/>
    <n v="0"/>
    <x v="0"/>
    <m/>
    <x v="2"/>
    <x v="1"/>
    <s v="no root cause"/>
    <x v="1"/>
    <s v=""/>
  </r>
  <r>
    <s v="Berunda-MTN"/>
    <s v="SUO_066"/>
    <s v="SUD-OUEST"/>
    <s v="IHS"/>
    <s v="Grid-Gen"/>
    <s v="SUD-OUEST"/>
    <s v="Buea"/>
    <s v="Huawei"/>
    <n v="0"/>
    <n v="0"/>
    <n v="0"/>
    <n v="0"/>
    <n v="0"/>
    <n v="0"/>
    <n v="0"/>
    <n v="0"/>
    <n v="0"/>
    <n v="0"/>
    <n v="0"/>
    <n v="0"/>
    <n v="0"/>
    <n v="0"/>
    <n v="0"/>
    <n v="0"/>
    <n v="4.710957586756955"/>
    <n v="0"/>
    <n v="0"/>
    <n v="0"/>
    <n v="0"/>
    <n v="0"/>
    <n v="0.05605565115157535"/>
    <n v="0"/>
    <m/>
    <n v="0"/>
    <m/>
    <n v="0"/>
    <m/>
    <n v="0"/>
    <m/>
    <m/>
    <n v="0"/>
    <n v="0"/>
    <n v="0"/>
    <n v="0"/>
    <m/>
    <n v="0"/>
    <n v="0"/>
    <n v="0"/>
    <n v="0"/>
    <n v="0"/>
    <x v="0"/>
    <m/>
    <x v="2"/>
    <x v="1"/>
    <s v="no root cause"/>
    <x v="1"/>
    <s v=""/>
  </r>
  <r>
    <s v="Bonewonda"/>
    <s v="LIT_074"/>
    <s v="Douala"/>
    <s v="IHS"/>
    <s v="Grid-Gen"/>
    <s v="LITTORAL"/>
    <s v="Douala"/>
    <s v="ZTE"/>
    <n v="0"/>
    <n v="0"/>
    <n v="0"/>
    <n v="0"/>
    <n v="26.78263391290203"/>
    <n v="43.47649907400273"/>
    <n v="0"/>
    <n v="0"/>
    <n v="0"/>
    <n v="0"/>
    <n v="0"/>
    <n v="0"/>
    <n v="0"/>
    <n v="0"/>
    <n v="0"/>
    <n v="0"/>
    <n v="0"/>
    <n v="0"/>
    <n v="0"/>
    <n v="0"/>
    <n v="0"/>
    <n v="0"/>
    <n v="0.03028396298293832"/>
    <n v="0"/>
    <m/>
    <n v="0"/>
    <m/>
    <n v="0"/>
    <m/>
    <n v="0"/>
    <m/>
    <m/>
    <n v="0"/>
    <n v="0"/>
    <n v="0"/>
    <n v="0"/>
    <m/>
    <n v="0"/>
    <n v="0"/>
    <n v="0"/>
    <n v="0"/>
    <n v="0"/>
    <x v="0"/>
    <m/>
    <x v="2"/>
    <x v="1"/>
    <s v="no root cause"/>
    <x v="1"/>
    <s v=""/>
  </r>
  <r>
    <s v="Oyomabang-Ecole-IHS"/>
    <s v="CTR_553"/>
    <s v="Yaounde"/>
    <s v="IHS"/>
    <s v="Grid-Gen"/>
    <s v="CENTRE"/>
    <s v="Yaounde"/>
    <s v="ZTE"/>
    <n v="0.1658483932734643"/>
    <n v="0"/>
    <n v="0"/>
    <n v="0"/>
    <n v="0"/>
    <n v="0"/>
    <n v="0.3317146216252465"/>
    <n v="0"/>
    <n v="0"/>
    <n v="0"/>
    <n v="0"/>
    <n v="0"/>
    <n v="0"/>
    <n v="0"/>
    <n v="0"/>
    <n v="0"/>
    <n v="0"/>
    <n v="0"/>
    <n v="0"/>
    <n v="0"/>
    <n v="0"/>
    <n v="0"/>
    <n v="0.01252022497881194"/>
    <n v="0"/>
    <m/>
    <n v="0"/>
    <m/>
    <n v="0"/>
    <m/>
    <n v="0"/>
    <m/>
    <m/>
    <n v="0"/>
    <n v="0"/>
    <n v="0"/>
    <n v="0"/>
    <m/>
    <n v="0"/>
    <n v="0"/>
    <n v="0"/>
    <n v="0"/>
    <n v="0"/>
    <x v="0"/>
    <m/>
    <x v="2"/>
    <x v="1"/>
    <s v="no root cause"/>
    <x v="1"/>
    <s v=""/>
  </r>
  <r>
    <s v="Minisite_Crf-Nkoabang"/>
    <s v="CTR_881"/>
    <s v="Yaounde"/>
    <s v="IHS"/>
    <s v="Grid + Solar"/>
    <s v="CENTRE"/>
    <s v="Yaounde"/>
    <s v="ZTE"/>
    <n v="0"/>
    <n v="0"/>
    <n v="0"/>
    <n v="0"/>
    <n v="0"/>
    <n v="0"/>
    <n v="0"/>
    <n v="0"/>
    <n v="0"/>
    <n v="0"/>
    <n v="0"/>
    <n v="0"/>
    <n v="0"/>
    <n v="0"/>
    <n v="0"/>
    <n v="0"/>
    <n v="0"/>
    <n v="0"/>
    <n v="0"/>
    <n v="0"/>
    <n v="0"/>
    <n v="0"/>
    <n v="0.01212785325582912"/>
    <n v="0"/>
    <m/>
    <n v="0"/>
    <m/>
    <n v="0"/>
    <m/>
    <n v="0"/>
    <m/>
    <m/>
    <n v="0"/>
    <n v="0"/>
    <n v="0"/>
    <n v="0"/>
    <m/>
    <n v="0"/>
    <n v="0"/>
    <n v="0"/>
    <n v="0"/>
    <n v="0"/>
    <x v="0"/>
    <m/>
    <x v="2"/>
    <x v="1"/>
    <s v="no root cause"/>
    <x v="1"/>
    <s v=""/>
  </r>
  <r>
    <s v="Indoor-Agence-Ngaoundere"/>
    <s v="ADM_176"/>
    <s v="Ngaoundere"/>
    <m/>
    <m/>
    <s v="ADAMAOUA"/>
    <s v="Ngaoundere"/>
    <s v="Huawei"/>
    <n v="0"/>
    <n v="0.002942787922370325"/>
    <n v="0"/>
    <n v="0"/>
    <n v="0"/>
    <n v="0"/>
    <n v="0"/>
    <n v="0"/>
    <n v="0"/>
    <n v="0"/>
    <n v="0"/>
    <n v="0"/>
    <n v="0"/>
    <n v="0"/>
    <n v="0"/>
    <n v="0"/>
    <n v="0.01123609933995942"/>
    <n v="0"/>
    <n v="0"/>
    <n v="0"/>
    <n v="0"/>
    <n v="0"/>
    <n v="0.008025785242828159"/>
    <n v="0"/>
    <m/>
    <n v="0"/>
    <m/>
    <n v="0"/>
    <m/>
    <n v="0"/>
    <m/>
    <m/>
    <n v="0"/>
    <n v="0"/>
    <n v="0"/>
    <n v="0"/>
    <m/>
    <n v="0"/>
    <n v="0"/>
    <n v="0"/>
    <n v="0"/>
    <n v="0"/>
    <x v="0"/>
    <m/>
    <x v="2"/>
    <x v="1"/>
    <s v="no root cause"/>
    <x v="1"/>
    <s v=""/>
  </r>
  <r>
    <s v="Ngonga"/>
    <s v="LIT_135"/>
    <s v="LITTORAL"/>
    <s v="IHS"/>
    <s v="Grid-Gen"/>
    <s v="LITTORAL"/>
    <s v="Ngonga"/>
    <s v="NOKIA"/>
    <n v="0"/>
    <n v="0"/>
    <n v="0"/>
    <n v="0"/>
    <n v="0"/>
    <n v="1.330485828869245"/>
    <n v="0"/>
    <n v="0"/>
    <n v="0.003299489488718473"/>
    <n v="1.628174348160286"/>
    <n v="1.515870205255068"/>
    <n v="0"/>
    <n v="0"/>
    <n v="0"/>
    <n v="0"/>
    <n v="0"/>
    <n v="0"/>
    <n v="0"/>
    <n v="0"/>
    <n v="0.5157369597041374"/>
    <n v="0"/>
    <n v="0"/>
    <n v="0.0004459027624929111"/>
    <n v="0"/>
    <m/>
    <n v="0"/>
    <m/>
    <n v="0"/>
    <m/>
    <n v="0"/>
    <m/>
    <m/>
    <n v="0"/>
    <n v="0"/>
    <n v="0"/>
    <n v="0"/>
    <m/>
    <n v="0"/>
    <n v="0"/>
    <n v="0"/>
    <n v="0"/>
    <n v="0"/>
    <x v="0"/>
    <m/>
    <x v="2"/>
    <x v="1"/>
    <s v="no root cause"/>
    <x v="1"/>
    <s v=""/>
  </r>
  <r>
    <s v="Carrefour-Diderot"/>
    <s v="CTR_841"/>
    <s v="Yaounde"/>
    <s v="CAMUSAT"/>
    <s v="Good Grid no GE - 8h"/>
    <s v="CENTRE"/>
    <s v="Yaounde"/>
    <s v="ZTE"/>
    <n v="0"/>
    <n v="0"/>
    <n v="0"/>
    <n v="0"/>
    <n v="0"/>
    <n v="0"/>
    <n v="0"/>
    <n v="2.00623228976723"/>
    <n v="48.93103674596856"/>
    <n v="12.20684481769696"/>
    <n v="12.24872158158621"/>
    <n v="63.55505189294388"/>
    <n v="13.86855689960706"/>
    <n v="13.86855689960706"/>
    <n v="13.86855689960706"/>
    <n v="13.33971115733963"/>
    <n v="12.01030225463926"/>
    <n v="49.65612185496229"/>
    <n v="49.22947111145356"/>
    <n v="25.65096252350664"/>
    <n v="13.866755556697"/>
    <n v="37.72636281400439"/>
    <n v="0"/>
    <n v="0"/>
    <m/>
    <n v="0"/>
    <m/>
    <n v="0"/>
    <m/>
    <n v="0"/>
    <m/>
    <m/>
    <n v="0"/>
    <n v="0"/>
    <n v="0"/>
    <n v="0"/>
    <m/>
    <n v="0"/>
    <n v="0"/>
    <n v="0"/>
    <n v="0"/>
    <n v="0"/>
    <x v="0"/>
    <m/>
    <x v="2"/>
    <x v="1"/>
    <s v="no root cause"/>
    <x v="1"/>
    <s v=""/>
  </r>
  <r>
    <s v="Logpom-Bilingual-School"/>
    <s v="LIT_650"/>
    <s v="Douala"/>
    <s v="CAMUSAT"/>
    <s v="Good Grid no GE - 8h"/>
    <s v="LITTORAL"/>
    <s v="Douala"/>
    <s v="ZTE"/>
    <n v="0"/>
    <n v="15.02154120759175"/>
    <n v="13.86855689960706"/>
    <n v="3.595872820196731"/>
    <n v="0"/>
    <n v="0"/>
    <n v="20.20571692734416"/>
    <n v="48.29314733486859"/>
    <n v="63.49102396178444"/>
    <n v="0"/>
    <n v="9.331687512306203"/>
    <n v="0"/>
    <n v="0"/>
    <n v="0"/>
    <n v="0"/>
    <n v="0"/>
    <n v="0"/>
    <n v="13.86855689960706"/>
    <n v="14.49405093127645"/>
    <n v="0"/>
    <n v="17.24024278535413"/>
    <n v="17.24024278535413"/>
    <n v="0"/>
    <n v="0"/>
    <m/>
    <n v="0"/>
    <m/>
    <n v="0"/>
    <m/>
    <n v="0"/>
    <m/>
    <m/>
    <n v="0"/>
    <n v="0"/>
    <n v="0"/>
    <n v="0"/>
    <m/>
    <n v="0"/>
    <n v="0"/>
    <n v="0"/>
    <n v="0"/>
    <n v="0"/>
    <x v="0"/>
    <m/>
    <x v="2"/>
    <x v="1"/>
    <s v="no root cause"/>
    <x v="1"/>
    <s v=""/>
  </r>
  <r>
    <s v="Kumba-Kossala2-IHS"/>
    <s v="SUO_114"/>
    <s v="SUD-OUEST"/>
    <s v="IHS"/>
    <s v="Grid-Gen"/>
    <s v="SUD-OUEST"/>
    <s v="Kumba"/>
    <s v="Huawei"/>
    <n v="0.7998675923785716"/>
    <n v="0.9155637454235188"/>
    <n v="1.307578766839881"/>
    <n v="1.126552721918312"/>
    <n v="5.036483436206065"/>
    <n v="2.792973264504199"/>
    <n v="0.3220123390205831"/>
    <n v="0"/>
    <n v="0.001070104699043754"/>
    <n v="0"/>
    <n v="0"/>
    <n v="0"/>
    <n v="0.4442004605730625"/>
    <n v="0.1652955058456252"/>
    <n v="0"/>
    <n v="0"/>
    <n v="0.1510274431917085"/>
    <n v="0.1673465398521258"/>
    <n v="0"/>
    <n v="0"/>
    <n v="0"/>
    <n v="2.774692309228868"/>
    <n v="0"/>
    <n v="0"/>
    <m/>
    <n v="0"/>
    <m/>
    <n v="0"/>
    <m/>
    <n v="0"/>
    <m/>
    <m/>
    <n v="0"/>
    <n v="0"/>
    <n v="0"/>
    <n v="0"/>
    <m/>
    <n v="0"/>
    <n v="0"/>
    <n v="0"/>
    <n v="0"/>
    <n v="0"/>
    <x v="0"/>
    <m/>
    <x v="2"/>
    <x v="1"/>
    <s v="no root cause"/>
    <x v="1"/>
    <s v=""/>
  </r>
  <r>
    <s v="Kumba-Mbo-Street-IHS"/>
    <s v="SUO_116"/>
    <s v="SUD-OUEST"/>
    <s v="IHS"/>
    <s v="Grid-Gen"/>
    <s v="SUD-OUEST"/>
    <s v="Kumba"/>
    <s v="Huawei"/>
    <n v="0"/>
    <n v="0"/>
    <n v="0"/>
    <n v="0"/>
    <n v="0"/>
    <n v="0.1013567500777609"/>
    <n v="0.008471662200763055"/>
    <n v="0"/>
    <n v="0.001337630873804693"/>
    <n v="0"/>
    <n v="0"/>
    <n v="9.245704599738039"/>
    <n v="0"/>
    <n v="0"/>
    <n v="0"/>
    <n v="0"/>
    <n v="0.193350084038889"/>
    <n v="8.917539158697954e-05"/>
    <n v="0"/>
    <n v="0"/>
    <n v="0.1335847365972951"/>
    <n v="2.758729914134799"/>
    <n v="0"/>
    <n v="0"/>
    <m/>
    <n v="0"/>
    <m/>
    <n v="0"/>
    <m/>
    <n v="0"/>
    <m/>
    <m/>
    <n v="0"/>
    <n v="0"/>
    <n v="0"/>
    <n v="0"/>
    <m/>
    <n v="0"/>
    <n v="0"/>
    <n v="0"/>
    <n v="0"/>
    <n v="0"/>
    <x v="0"/>
    <m/>
    <x v="2"/>
    <x v="1"/>
    <s v="no root cause"/>
    <x v="1"/>
    <s v=""/>
  </r>
  <r>
    <s v="Kumba-Station-IHS"/>
    <s v="SUO_126"/>
    <s v="SUD-OUEST"/>
    <s v="IHS"/>
    <s v="Grid-Gen"/>
    <s v="SUD-OUEST"/>
    <s v="Kumba"/>
    <s v="Huawei"/>
    <n v="0"/>
    <n v="0"/>
    <n v="0"/>
    <n v="0"/>
    <n v="0"/>
    <n v="0"/>
    <n v="0.009434756429902434"/>
    <n v="0"/>
    <n v="0.000802578524282816"/>
    <n v="0"/>
    <n v="0"/>
    <n v="0"/>
    <n v="0"/>
    <n v="0"/>
    <n v="8.917539158697954e-05"/>
    <n v="0"/>
    <n v="0.1493687809081907"/>
    <n v="0"/>
    <n v="0"/>
    <n v="0"/>
    <n v="0"/>
    <n v="2.739646380335184"/>
    <n v="0"/>
    <n v="0"/>
    <m/>
    <n v="0"/>
    <m/>
    <n v="0"/>
    <m/>
    <n v="0"/>
    <m/>
    <m/>
    <n v="0"/>
    <n v="0"/>
    <n v="0"/>
    <n v="0"/>
    <m/>
    <n v="0"/>
    <n v="0"/>
    <n v="0"/>
    <n v="0"/>
    <n v="0"/>
    <x v="0"/>
    <m/>
    <x v="2"/>
    <x v="1"/>
    <s v="no root cause"/>
    <x v="1"/>
    <s v=""/>
  </r>
  <r>
    <s v="Kumba-Kossala-IHS"/>
    <s v="SUO_113"/>
    <s v="SUD-OUEST"/>
    <s v="IHS"/>
    <s v="Grid-Gen"/>
    <s v="SUD-OUEST"/>
    <s v="Kumba"/>
    <s v="Huawei"/>
    <n v="0"/>
    <n v="0"/>
    <n v="0"/>
    <n v="0"/>
    <n v="0"/>
    <n v="0"/>
    <n v="0.007758259068067219"/>
    <n v="0"/>
    <n v="0.000802578524282816"/>
    <n v="0"/>
    <n v="0"/>
    <n v="0"/>
    <n v="0"/>
    <n v="0"/>
    <n v="0"/>
    <n v="8.917539158697954e-05"/>
    <n v="0.1481738306609252"/>
    <n v="0"/>
    <n v="0"/>
    <n v="0"/>
    <n v="0"/>
    <n v="2.727964404037291"/>
    <n v="0"/>
    <n v="0"/>
    <m/>
    <n v="0"/>
    <m/>
    <n v="0"/>
    <m/>
    <n v="0"/>
    <m/>
    <m/>
    <n v="0"/>
    <n v="0"/>
    <n v="0"/>
    <n v="0"/>
    <m/>
    <n v="0"/>
    <n v="0"/>
    <n v="0"/>
    <n v="0"/>
    <n v="0"/>
    <x v="0"/>
    <m/>
    <x v="2"/>
    <x v="1"/>
    <s v="no root cause"/>
    <x v="1"/>
    <s v=""/>
  </r>
  <r>
    <s v="Kumba-Makata-IHS"/>
    <s v="SUO_111"/>
    <s v="SUD-OUEST"/>
    <s v="IHS"/>
    <s v="Grid-Gen"/>
    <s v="SUD-OUEST"/>
    <s v="Kumba"/>
    <s v="Huawei"/>
    <n v="0"/>
    <n v="0"/>
    <n v="0"/>
    <n v="0"/>
    <n v="0"/>
    <n v="0"/>
    <n v="0.005796400453153669"/>
    <n v="0"/>
    <n v="0.001159280090630734"/>
    <n v="0.007651248598162844"/>
    <n v="0"/>
    <n v="0"/>
    <n v="0"/>
    <n v="0"/>
    <n v="0"/>
    <n v="0"/>
    <n v="0.1373301030439485"/>
    <n v="0"/>
    <n v="0"/>
    <n v="0"/>
    <n v="0"/>
    <n v="2.466395145434363"/>
    <n v="0"/>
    <n v="0"/>
    <m/>
    <n v="0"/>
    <m/>
    <n v="0"/>
    <m/>
    <n v="0"/>
    <m/>
    <m/>
    <n v="0"/>
    <n v="0"/>
    <n v="0"/>
    <n v="0"/>
    <m/>
    <n v="0"/>
    <n v="0"/>
    <n v="0"/>
    <n v="0"/>
    <n v="0"/>
    <x v="0"/>
    <m/>
    <x v="2"/>
    <x v="1"/>
    <s v="no root cause"/>
    <x v="1"/>
    <s v=""/>
  </r>
  <r>
    <s v="H-Astoria"/>
    <s v="LIT_244"/>
    <s v="Douala"/>
    <s v="IHS"/>
    <s v="Grid-Gen (LL)"/>
    <s v="LITTORAL"/>
    <s v="Douala"/>
    <s v="ZTE"/>
    <n v="0"/>
    <n v="0"/>
    <n v="0"/>
    <n v="0"/>
    <n v="0"/>
    <n v="0"/>
    <n v="0"/>
    <n v="0"/>
    <n v="0"/>
    <n v="0"/>
    <n v="0"/>
    <n v="0"/>
    <n v="0"/>
    <n v="0"/>
    <n v="0"/>
    <n v="0"/>
    <n v="0"/>
    <n v="0"/>
    <n v="0"/>
    <n v="0"/>
    <n v="0"/>
    <n v="1.75948398124606"/>
    <n v="0"/>
    <n v="0"/>
    <m/>
    <n v="0"/>
    <m/>
    <n v="0"/>
    <m/>
    <n v="0"/>
    <m/>
    <m/>
    <n v="0"/>
    <n v="0"/>
    <n v="0"/>
    <n v="0"/>
    <m/>
    <n v="0"/>
    <n v="0"/>
    <n v="0"/>
    <n v="0"/>
    <n v="0"/>
    <x v="0"/>
    <m/>
    <x v="2"/>
    <x v="1"/>
    <s v="no root cause"/>
    <x v="1"/>
    <s v=""/>
  </r>
  <r>
    <s v="Bamenda-GRA-IHS"/>
    <s v="NRO_130"/>
    <s v="NORD-OUEST"/>
    <s v="IHS"/>
    <s v="Grid-Gen"/>
    <s v="NORD-OUEST"/>
    <s v="Bamenda"/>
    <s v="Huawei"/>
    <n v="1.992731135480962"/>
    <n v="1.070550576001689"/>
    <n v="5.540645430082212"/>
    <n v="0"/>
    <n v="0"/>
    <n v="0"/>
    <n v="0"/>
    <n v="0"/>
    <n v="0"/>
    <n v="1.16561154343341"/>
    <n v="0"/>
    <n v="0"/>
    <n v="0"/>
    <n v="0"/>
    <n v="0"/>
    <n v="0"/>
    <n v="0"/>
    <n v="0.2627107036152417"/>
    <n v="0"/>
    <n v="0.8726703820701815"/>
    <n v="0"/>
    <n v="0.8899525729597384"/>
    <n v="0"/>
    <n v="0"/>
    <m/>
    <n v="0"/>
    <m/>
    <n v="0"/>
    <m/>
    <n v="0"/>
    <m/>
    <m/>
    <n v="0"/>
    <n v="0"/>
    <n v="0"/>
    <n v="0"/>
    <m/>
    <n v="0"/>
    <n v="0"/>
    <n v="0"/>
    <n v="0"/>
    <n v="0"/>
    <x v="0"/>
    <m/>
    <x v="2"/>
    <x v="1"/>
    <s v="no root cause"/>
    <x v="1"/>
    <s v=""/>
  </r>
  <r>
    <s v="Ossombe-MTN"/>
    <s v="CTR_405"/>
    <s v="CENTRE"/>
    <s v="IHS"/>
    <s v="Hybrid-Gen"/>
    <s v="CENTRE"/>
    <s v="Ossombe"/>
    <s v="NOKIA"/>
    <n v="0"/>
    <n v="0"/>
    <n v="0"/>
    <n v="0"/>
    <n v="0"/>
    <n v="0"/>
    <n v="0.3005396481790701"/>
    <n v="0"/>
    <n v="0"/>
    <n v="0.4579675704417522"/>
    <n v="0"/>
    <n v="0"/>
    <n v="0.2123881095848693"/>
    <n v="0"/>
    <n v="0"/>
    <n v="0.0008917539158698208"/>
    <n v="0"/>
    <n v="0"/>
    <n v="0"/>
    <n v="0.1213320377932443"/>
    <n v="0"/>
    <n v="0.4843115517088857"/>
    <n v="0"/>
    <n v="0"/>
    <m/>
    <n v="0"/>
    <m/>
    <n v="0"/>
    <m/>
    <n v="0"/>
    <m/>
    <m/>
    <n v="0"/>
    <n v="0"/>
    <n v="0"/>
    <n v="0"/>
    <m/>
    <n v="0"/>
    <n v="0"/>
    <n v="0"/>
    <n v="0"/>
    <n v="0"/>
    <x v="0"/>
    <m/>
    <x v="2"/>
    <x v="1"/>
    <s v="no root cause"/>
    <x v="1"/>
    <s v=""/>
  </r>
  <r>
    <s v="Bobongo-Itba-HIS"/>
    <s v="LIT_426"/>
    <s v="Douala"/>
    <s v="IHS"/>
    <s v="Grid-Gen"/>
    <s v="LITTORAL"/>
    <s v="Douala"/>
    <s v="ZTE"/>
    <n v="0"/>
    <n v="0"/>
    <n v="0"/>
    <n v="0"/>
    <n v="0"/>
    <n v="0"/>
    <n v="0"/>
    <n v="0"/>
    <n v="0.1439112469430673"/>
    <n v="0"/>
    <n v="0"/>
    <n v="0"/>
    <n v="0"/>
    <n v="0"/>
    <n v="0"/>
    <n v="0"/>
    <n v="20.50800366974573"/>
    <n v="0"/>
    <n v="0"/>
    <n v="0"/>
    <n v="0"/>
    <n v="0.3832044927275683"/>
    <n v="0"/>
    <n v="0"/>
    <m/>
    <n v="0"/>
    <m/>
    <n v="0"/>
    <m/>
    <n v="0"/>
    <m/>
    <m/>
    <n v="0"/>
    <n v="0"/>
    <n v="0"/>
    <n v="0"/>
    <m/>
    <n v="0"/>
    <n v="0"/>
    <n v="0"/>
    <n v="0"/>
    <n v="0"/>
    <x v="0"/>
    <m/>
    <x v="2"/>
    <x v="1"/>
    <s v="no root cause"/>
    <x v="1"/>
    <s v=""/>
  </r>
  <r>
    <s v="Gd-Moulin"/>
    <s v="LIT_054"/>
    <s v="Douala"/>
    <s v="IHS"/>
    <s v="Grid-Gen"/>
    <s v="LITTORAL"/>
    <s v="Douala"/>
    <s v="ZTE"/>
    <n v="0"/>
    <n v="0"/>
    <n v="0"/>
    <n v="0"/>
    <n v="0"/>
    <n v="0"/>
    <n v="0"/>
    <n v="0"/>
    <n v="0"/>
    <n v="0"/>
    <n v="0"/>
    <n v="0"/>
    <n v="0"/>
    <n v="0"/>
    <n v="0"/>
    <n v="0"/>
    <n v="0"/>
    <n v="0"/>
    <n v="0"/>
    <n v="0"/>
    <n v="0"/>
    <n v="0.2112029974346025"/>
    <n v="0"/>
    <n v="0"/>
    <m/>
    <n v="0"/>
    <m/>
    <n v="0"/>
    <m/>
    <n v="0"/>
    <m/>
    <m/>
    <n v="0"/>
    <n v="0"/>
    <n v="0"/>
    <n v="0"/>
    <m/>
    <n v="0"/>
    <n v="0"/>
    <n v="0"/>
    <n v="0"/>
    <n v="0"/>
    <x v="0"/>
    <m/>
    <x v="2"/>
    <x v="1"/>
    <s v="no root cause"/>
    <x v="1"/>
    <s v=""/>
  </r>
  <r>
    <s v="Makepe-Maturite"/>
    <s v="LIT_401"/>
    <s v="Douala"/>
    <s v="IHS"/>
    <s v="Grid-Gen"/>
    <s v="LITTORAL"/>
    <s v="Douala"/>
    <s v="ZTE"/>
    <n v="0"/>
    <n v="0"/>
    <n v="0"/>
    <n v="0.002318560181261432"/>
    <n v="0"/>
    <n v="0"/>
    <n v="0"/>
    <n v="0"/>
    <n v="0"/>
    <n v="0"/>
    <n v="13.79655668843973"/>
    <n v="0"/>
    <n v="0"/>
    <n v="0"/>
    <n v="0"/>
    <n v="0.0278048870968203"/>
    <n v="0"/>
    <n v="0"/>
    <n v="0"/>
    <n v="0"/>
    <n v="0"/>
    <n v="0.02744818553047213"/>
    <n v="0"/>
    <n v="0"/>
    <m/>
    <n v="0"/>
    <m/>
    <n v="0"/>
    <m/>
    <n v="0"/>
    <m/>
    <m/>
    <n v="0"/>
    <n v="0"/>
    <n v="0"/>
    <n v="0"/>
    <m/>
    <n v="0"/>
    <n v="0"/>
    <n v="0"/>
    <n v="0"/>
    <n v="0"/>
    <x v="0"/>
    <m/>
    <x v="2"/>
    <x v="1"/>
    <s v="no root cause"/>
    <x v="1"/>
    <s v=""/>
  </r>
  <r>
    <s v="Kumba-Mabanda"/>
    <s v="SUO_027"/>
    <s v="SUD-OUEST"/>
    <s v="IHS"/>
    <s v="Grid-Gen"/>
    <s v="SUD-OUEST"/>
    <s v="Kumba"/>
    <s v="Huawei"/>
    <n v="0"/>
    <n v="0"/>
    <n v="0"/>
    <n v="0"/>
    <n v="0"/>
    <n v="0"/>
    <n v="0.007312382110132323"/>
    <n v="0"/>
    <n v="0"/>
    <n v="0"/>
    <n v="0"/>
    <n v="0"/>
    <n v="0"/>
    <n v="8.917539158697954e-05"/>
    <n v="0"/>
    <n v="0"/>
    <n v="0.1491369248900646"/>
    <n v="0"/>
    <n v="0"/>
    <n v="0"/>
    <n v="0"/>
    <n v="0.003299489488718243"/>
    <n v="0"/>
    <n v="0"/>
    <m/>
    <n v="0"/>
    <m/>
    <n v="0"/>
    <m/>
    <n v="0"/>
    <m/>
    <m/>
    <n v="0"/>
    <n v="0"/>
    <n v="0"/>
    <n v="0"/>
    <m/>
    <n v="0"/>
    <n v="0"/>
    <n v="0"/>
    <n v="0"/>
    <n v="0"/>
    <x v="0"/>
    <m/>
    <x v="2"/>
    <x v="1"/>
    <s v="no root cause"/>
    <x v="1"/>
    <s v=""/>
  </r>
  <r>
    <s v="Edea-Ville"/>
    <s v="LIT_078"/>
    <s v="LITTORAL"/>
    <s v="IHS"/>
    <s v="Grid-Gen"/>
    <s v="LITTORAL"/>
    <s v="Edea"/>
    <s v="ZTE"/>
    <n v="8.749925092671067"/>
    <n v="0"/>
    <n v="0"/>
    <n v="0"/>
    <n v="0"/>
    <n v="1.238093301715307"/>
    <n v="0"/>
    <n v="1.992035567426584"/>
    <n v="0"/>
    <n v="0"/>
    <n v="0"/>
    <n v="0.0005350523495218772"/>
    <n v="0"/>
    <n v="0"/>
    <n v="0"/>
    <n v="9.218381259755789"/>
    <n v="0.1617819954170982"/>
    <n v="2.566111068306923"/>
    <n v="4.491960660097651"/>
    <n v="1.407419535260663"/>
    <n v="0"/>
    <n v="0"/>
    <n v="0"/>
    <n v="0"/>
    <m/>
    <n v="0"/>
    <m/>
    <n v="0"/>
    <m/>
    <n v="0"/>
    <m/>
    <m/>
    <n v="0"/>
    <n v="0"/>
    <n v="0"/>
    <n v="0"/>
    <m/>
    <n v="0"/>
    <n v="0"/>
    <n v="0"/>
    <n v="0"/>
    <n v="0"/>
    <x v="0"/>
    <m/>
    <x v="2"/>
    <x v="1"/>
    <s v="no root cause"/>
    <x v="1"/>
    <s v=""/>
  </r>
  <r>
    <s v="Olembe-Terminus"/>
    <s v="CTR_383"/>
    <s v="Yaounde"/>
    <s v="IHS"/>
    <s v="Grid-Gen"/>
    <s v="CENTRE"/>
    <s v="Yaounde"/>
    <s v="ZTE"/>
    <n v="11.80987164450836"/>
    <n v="0"/>
    <n v="0"/>
    <n v="3.549269760553371"/>
    <n v="0"/>
    <n v="5.862889625120924"/>
    <n v="0"/>
    <n v="0"/>
    <n v="1.496915958257356"/>
    <n v="5.747389657937466"/>
    <n v="0"/>
    <n v="0"/>
    <n v="0"/>
    <n v="0"/>
    <n v="0.9723506347861082"/>
    <n v="0"/>
    <n v="0"/>
    <n v="0"/>
    <n v="0"/>
    <n v="0"/>
    <n v="0.126094003703989"/>
    <n v="0"/>
    <n v="0"/>
    <n v="0"/>
    <m/>
    <n v="0"/>
    <m/>
    <n v="0"/>
    <m/>
    <n v="0"/>
    <m/>
    <m/>
    <n v="0"/>
    <n v="0"/>
    <n v="0"/>
    <n v="0"/>
    <m/>
    <n v="0"/>
    <n v="0"/>
    <n v="0"/>
    <n v="0"/>
    <n v="0"/>
    <x v="0"/>
    <m/>
    <x v="2"/>
    <x v="1"/>
    <s v="no root cause"/>
    <x v="1"/>
    <s v=""/>
  </r>
  <r>
    <s v="Malangue"/>
    <s v="LIT_449"/>
    <s v="Douala"/>
    <s v="IHS"/>
    <s v="Grid-Gen"/>
    <s v="LITTORAL"/>
    <s v="Douala"/>
    <s v="ZTE"/>
    <n v="0"/>
    <n v="4.111627614979184"/>
    <n v="0"/>
    <n v="0"/>
    <n v="9.205468663053992"/>
    <n v="0"/>
    <n v="0"/>
    <n v="0"/>
    <n v="0"/>
    <n v="0"/>
    <n v="0"/>
    <n v="0"/>
    <n v="0"/>
    <n v="0.001997528771548255"/>
    <n v="0"/>
    <n v="0"/>
    <n v="0"/>
    <n v="0"/>
    <n v="0"/>
    <n v="0"/>
    <n v="0"/>
    <n v="0"/>
    <n v="0"/>
    <n v="0"/>
    <m/>
    <n v="0"/>
    <m/>
    <n v="0"/>
    <m/>
    <n v="0"/>
    <m/>
    <m/>
    <n v="0"/>
    <n v="0"/>
    <n v="0"/>
    <n v="0"/>
    <m/>
    <n v="0"/>
    <n v="0"/>
    <n v="0"/>
    <n v="0"/>
    <n v="0"/>
    <x v="0"/>
    <m/>
    <x v="2"/>
    <x v="1"/>
    <s v="no root cause"/>
    <x v="1"/>
    <s v=""/>
  </r>
  <r>
    <s v="C-D-Palmiers-II"/>
    <s v="LIT_371"/>
    <s v="Douala"/>
    <s v="CAMUSAT"/>
    <s v="Grid-Gen"/>
    <s v="LITTORAL"/>
    <s v="Douala"/>
    <s v="ZTE"/>
    <n v="0"/>
    <n v="31.17086575750572"/>
    <n v="53.2190711205851"/>
    <n v="22.29885955375207"/>
    <n v="49.41802355942509"/>
    <n v="20.37600625511867"/>
    <n v="0"/>
    <n v="0"/>
    <n v="12.85097650620804"/>
    <n v="0"/>
    <n v="0"/>
    <n v="0"/>
    <n v="0"/>
    <n v="0"/>
    <n v="0"/>
    <n v="0"/>
    <n v="0"/>
    <n v="0"/>
    <n v="0"/>
    <n v="0"/>
    <n v="0"/>
    <n v="0"/>
    <n v="0"/>
    <n v="0"/>
    <m/>
    <n v="0"/>
    <m/>
    <n v="0"/>
    <m/>
    <n v="0"/>
    <m/>
    <m/>
    <n v="0"/>
    <n v="0"/>
    <n v="0"/>
    <n v="0"/>
    <m/>
    <n v="0"/>
    <n v="0"/>
    <n v="0"/>
    <n v="0"/>
    <n v="0"/>
    <x v="0"/>
    <m/>
    <x v="2"/>
    <x v="1"/>
    <s v="no root cause"/>
    <x v="1"/>
    <s v=""/>
  </r>
  <r>
    <s v="Bonamikengue"/>
    <s v="LIT_336"/>
    <s v="Douala"/>
    <s v="IHS"/>
    <s v="Grid-Gen"/>
    <s v="LITTORAL"/>
    <s v="Douala"/>
    <s v="ZTE"/>
    <n v="0"/>
    <n v="0"/>
    <n v="0"/>
    <n v="0"/>
    <n v="0.03793521158110134"/>
    <n v="0"/>
    <n v="0"/>
    <n v="0"/>
    <n v="0"/>
    <n v="0"/>
    <n v="0"/>
    <n v="0"/>
    <n v="12.53540263046003"/>
    <n v="13.86855689960706"/>
    <n v="13.86855689960706"/>
    <n v="13.86855689960706"/>
    <n v="13.86855689960706"/>
    <n v="27.09553252690243"/>
    <n v="0"/>
    <n v="0"/>
    <n v="0"/>
    <n v="0"/>
    <n v="0"/>
    <n v="0"/>
    <m/>
    <n v="0"/>
    <m/>
    <n v="0"/>
    <m/>
    <n v="0"/>
    <m/>
    <m/>
    <n v="0"/>
    <n v="0"/>
    <n v="0"/>
    <n v="0"/>
    <m/>
    <n v="0"/>
    <n v="0"/>
    <n v="0"/>
    <n v="0"/>
    <n v="0"/>
    <x v="0"/>
    <m/>
    <x v="2"/>
    <x v="1"/>
    <s v="no root cause"/>
    <x v="1"/>
    <s v=""/>
  </r>
  <r>
    <s v="Bepanda-TSF"/>
    <s v="LIT_366"/>
    <s v="Douala"/>
    <s v="IHS"/>
    <s v="GridOnly"/>
    <s v="LITTORAL"/>
    <s v="Douala"/>
    <s v="ZTE"/>
    <n v="0"/>
    <n v="0"/>
    <n v="0"/>
    <n v="1.348171405090274"/>
    <n v="0"/>
    <n v="0.3958138930979673"/>
    <n v="0"/>
    <n v="0"/>
    <n v="0"/>
    <n v="0"/>
    <n v="0"/>
    <n v="0.03349427708006951"/>
    <n v="0"/>
    <n v="0"/>
    <n v="0.481101237611755"/>
    <n v="0"/>
    <n v="0"/>
    <n v="0"/>
    <n v="0"/>
    <n v="0"/>
    <n v="0"/>
    <n v="0"/>
    <n v="0"/>
    <n v="0"/>
    <m/>
    <n v="0"/>
    <m/>
    <n v="0"/>
    <m/>
    <n v="0"/>
    <m/>
    <m/>
    <n v="0"/>
    <n v="0"/>
    <n v="0"/>
    <n v="0"/>
    <m/>
    <n v="0"/>
    <n v="0"/>
    <n v="0"/>
    <n v="0"/>
    <n v="0"/>
    <x v="0"/>
    <m/>
    <x v="2"/>
    <x v="1"/>
    <s v="no root cause"/>
    <x v="1"/>
    <s v=""/>
  </r>
  <r>
    <s v="Edea-Peage-IHS"/>
    <s v="LIT_749"/>
    <s v="LITTORAL"/>
    <m/>
    <m/>
    <s v="LITTORAL"/>
    <s v="Edea"/>
    <s v="ZTE"/>
    <n v="0"/>
    <n v="0"/>
    <n v="0"/>
    <n v="0"/>
    <n v="0"/>
    <n v="1.942400544469271"/>
    <n v="0"/>
    <n v="0"/>
    <n v="0"/>
    <n v="0"/>
    <n v="0"/>
    <n v="0"/>
    <n v="0"/>
    <n v="0"/>
    <n v="0"/>
    <n v="0"/>
    <n v="0"/>
    <n v="0"/>
    <n v="0"/>
    <n v="0"/>
    <n v="0"/>
    <n v="0"/>
    <n v="0"/>
    <n v="0"/>
    <m/>
    <n v="0"/>
    <m/>
    <n v="0"/>
    <m/>
    <n v="0"/>
    <m/>
    <m/>
    <n v="0"/>
    <n v="0"/>
    <n v="0"/>
    <n v="0"/>
    <m/>
    <n v="0"/>
    <n v="0"/>
    <n v="0"/>
    <n v="0"/>
    <n v="0"/>
    <x v="0"/>
    <m/>
    <x v="2"/>
    <x v="1"/>
    <s v="no root cause"/>
    <x v="1"/>
    <s v=""/>
  </r>
  <r>
    <s v="Makepe-Ecole-Sira"/>
    <s v="LIT_167"/>
    <s v="Douala"/>
    <s v="IHS"/>
    <s v="Grid-Gen"/>
    <s v="LITTORAL"/>
    <s v="Douala"/>
    <s v="ZTE"/>
    <n v="0"/>
    <n v="0"/>
    <n v="18.78319108074867"/>
    <n v="0"/>
    <n v="0"/>
    <n v="11.33636815025982"/>
    <n v="4.393314841924135"/>
    <n v="0"/>
    <n v="0"/>
    <n v="0"/>
    <n v="5.970024940573518"/>
    <n v="0"/>
    <n v="0"/>
    <n v="0"/>
    <n v="3.064583672199821"/>
    <n v="0"/>
    <n v="0"/>
    <n v="0"/>
    <n v="0.5952635739214063"/>
    <n v="0"/>
    <n v="0"/>
    <n v="0"/>
    <n v="0"/>
    <n v="0"/>
    <m/>
    <n v="0"/>
    <m/>
    <n v="0"/>
    <m/>
    <n v="0"/>
    <m/>
    <m/>
    <n v="0"/>
    <n v="0"/>
    <n v="0"/>
    <n v="0"/>
    <m/>
    <n v="0"/>
    <n v="0"/>
    <n v="0"/>
    <n v="0"/>
    <n v="0"/>
    <x v="0"/>
    <m/>
    <x v="2"/>
    <x v="1"/>
    <s v="no root cause"/>
    <x v="1"/>
    <s v=""/>
  </r>
  <r>
    <s v="Bep-Axe-Lrd"/>
    <s v="LIT_097"/>
    <s v="Douala"/>
    <s v="IHS"/>
    <s v="GridOnly"/>
    <s v="LITTORAL"/>
    <s v="Douala"/>
    <s v="ZTE"/>
    <n v="0"/>
    <n v="0"/>
    <n v="0"/>
    <n v="0"/>
    <n v="0"/>
    <n v="0"/>
    <n v="0"/>
    <n v="0"/>
    <n v="0"/>
    <n v="0"/>
    <n v="0"/>
    <n v="0.3039097345284262"/>
    <n v="0"/>
    <n v="0"/>
    <n v="0"/>
    <n v="0"/>
    <n v="0.0634750437316121"/>
    <n v="0"/>
    <n v="0"/>
    <n v="0"/>
    <n v="1.0936291673444"/>
    <n v="0"/>
    <n v="0"/>
    <n v="0"/>
    <m/>
    <n v="0"/>
    <m/>
    <n v="0"/>
    <m/>
    <n v="0"/>
    <m/>
    <m/>
    <n v="0"/>
    <n v="0"/>
    <n v="0"/>
    <n v="0"/>
    <m/>
    <n v="0"/>
    <n v="0"/>
    <n v="0"/>
    <n v="0"/>
    <n v="0"/>
    <x v="0"/>
    <m/>
    <x v="2"/>
    <x v="1"/>
    <s v="no root cause"/>
    <x v="1"/>
    <s v=""/>
  </r>
  <r>
    <s v="Bepanda-Omnisport"/>
    <s v="LIT_405"/>
    <s v="Douala"/>
    <s v="CAMUSAT"/>
    <s v="Grid-Gen"/>
    <s v="LITTORAL"/>
    <s v="Douala"/>
    <s v="ZTE"/>
    <n v="0"/>
    <n v="0"/>
    <n v="0"/>
    <n v="0"/>
    <n v="0"/>
    <n v="0"/>
    <n v="0"/>
    <n v="4.684900537335241"/>
    <n v="0"/>
    <n v="0"/>
    <n v="0"/>
    <n v="0"/>
    <n v="0"/>
    <n v="0"/>
    <n v="0"/>
    <n v="0"/>
    <n v="0"/>
    <n v="0"/>
    <n v="0"/>
    <n v="0"/>
    <n v="0"/>
    <n v="0"/>
    <n v="0"/>
    <n v="0"/>
    <m/>
    <n v="0"/>
    <m/>
    <n v="0"/>
    <m/>
    <n v="0"/>
    <m/>
    <m/>
    <n v="0"/>
    <n v="0"/>
    <n v="0"/>
    <n v="0"/>
    <m/>
    <n v="0"/>
    <n v="0"/>
    <n v="0"/>
    <n v="0"/>
    <n v="0"/>
    <x v="0"/>
    <m/>
    <x v="2"/>
    <x v="1"/>
    <s v="no root cause"/>
    <x v="1"/>
    <s v=""/>
  </r>
  <r>
    <s v="Bessengue"/>
    <s v="LIT_022"/>
    <s v="Douala"/>
    <s v="CAMUSAT"/>
    <s v="Good grid 100%"/>
    <s v="LITTORAL"/>
    <s v="Douala"/>
    <s v="ZTE"/>
    <n v="0"/>
    <n v="0"/>
    <n v="0"/>
    <n v="0"/>
    <n v="0"/>
    <n v="0"/>
    <n v="0"/>
    <n v="0"/>
    <n v="0"/>
    <n v="0"/>
    <n v="0"/>
    <n v="0"/>
    <n v="0"/>
    <n v="0"/>
    <n v="0"/>
    <n v="0"/>
    <n v="0"/>
    <n v="0"/>
    <n v="0"/>
    <n v="0"/>
    <n v="0"/>
    <n v="0"/>
    <n v="0"/>
    <n v="0"/>
    <m/>
    <n v="0"/>
    <m/>
    <n v="0"/>
    <m/>
    <n v="0"/>
    <m/>
    <m/>
    <n v="0"/>
    <n v="0"/>
    <n v="0"/>
    <n v="0"/>
    <m/>
    <n v="0"/>
    <n v="0"/>
    <n v="0"/>
    <n v="0"/>
    <n v="0"/>
    <x v="0"/>
    <m/>
    <x v="2"/>
    <x v="1"/>
    <s v="no root cause"/>
    <x v="1"/>
    <s v=""/>
  </r>
  <r>
    <s v="Omnisport"/>
    <s v="LIT_102"/>
    <s v="Douala"/>
    <s v="IHS"/>
    <s v="GridOnly"/>
    <s v="LITTORAL"/>
    <s v="Douala"/>
    <s v="ZTE"/>
    <n v="0"/>
    <n v="0"/>
    <n v="0"/>
    <n v="0"/>
    <n v="0"/>
    <n v="0"/>
    <n v="0"/>
    <n v="0"/>
    <n v="0"/>
    <n v="0"/>
    <n v="0"/>
    <n v="0"/>
    <n v="0"/>
    <n v="0"/>
    <n v="0"/>
    <n v="0"/>
    <n v="0"/>
    <n v="0"/>
    <n v="0"/>
    <n v="0"/>
    <n v="1.909441319738724"/>
    <n v="0"/>
    <n v="0"/>
    <n v="0"/>
    <m/>
    <n v="0"/>
    <m/>
    <n v="0"/>
    <m/>
    <n v="0"/>
    <m/>
    <m/>
    <n v="0"/>
    <n v="0"/>
    <n v="0"/>
    <n v="0"/>
    <m/>
    <n v="0"/>
    <n v="0"/>
    <n v="0"/>
    <n v="0"/>
    <n v="0"/>
    <x v="0"/>
    <m/>
    <x v="2"/>
    <x v="1"/>
    <s v="no root cause"/>
    <x v="1"/>
    <s v=""/>
  </r>
  <r>
    <s v="Maroua-Zokok-Palar-IHS"/>
    <s v="EXN_116"/>
    <s v="Maroua"/>
    <s v="IHS"/>
    <s v="Grid-Gen"/>
    <s v="EXTREME-NORD"/>
    <s v="Maroua"/>
    <s v="Huawei"/>
    <n v="0"/>
    <n v="0"/>
    <n v="0"/>
    <n v="0"/>
    <n v="0"/>
    <n v="0"/>
    <n v="0"/>
    <n v="1.017063176127819"/>
    <n v="0"/>
    <n v="0"/>
    <n v="0"/>
    <n v="0"/>
    <n v="0"/>
    <n v="0"/>
    <n v="0"/>
    <n v="0"/>
    <n v="0"/>
    <n v="1.777586585738215"/>
    <n v="0"/>
    <n v="0"/>
    <n v="0"/>
    <n v="0"/>
    <n v="0"/>
    <n v="0"/>
    <m/>
    <n v="0"/>
    <m/>
    <n v="0"/>
    <m/>
    <n v="0"/>
    <m/>
    <m/>
    <n v="0"/>
    <n v="0"/>
    <n v="0"/>
    <n v="0"/>
    <m/>
    <n v="0"/>
    <n v="0"/>
    <n v="0"/>
    <n v="0"/>
    <n v="0"/>
    <x v="0"/>
    <m/>
    <x v="2"/>
    <x v="1"/>
    <s v="no root cause"/>
    <x v="1"/>
    <s v=""/>
  </r>
  <r>
    <s v="Nkolfoulou-II-IHS"/>
    <s v="CTR_621"/>
    <s v="Yaounde"/>
    <s v="IHS"/>
    <s v="Grid-Gen"/>
    <s v="CENTRE"/>
    <s v="Yaounde"/>
    <s v="ZTE"/>
    <n v="0"/>
    <n v="0"/>
    <n v="0"/>
    <n v="0"/>
    <n v="0"/>
    <n v="0"/>
    <n v="0"/>
    <n v="0"/>
    <n v="11.54885527333328"/>
    <n v="0"/>
    <n v="0"/>
    <n v="2.876817902095898"/>
    <n v="0"/>
    <n v="0"/>
    <n v="0"/>
    <n v="1.98158421153259"/>
    <n v="0"/>
    <n v="0"/>
    <n v="0"/>
    <n v="0.3640496186146852"/>
    <n v="3.732632200734519"/>
    <n v="0"/>
    <n v="0"/>
    <n v="0"/>
    <m/>
    <n v="0"/>
    <m/>
    <n v="0"/>
    <m/>
    <n v="0"/>
    <m/>
    <m/>
    <n v="0"/>
    <n v="0"/>
    <n v="0"/>
    <n v="0"/>
    <m/>
    <n v="0"/>
    <n v="0"/>
    <n v="0"/>
    <n v="0"/>
    <n v="0"/>
    <x v="0"/>
    <m/>
    <x v="2"/>
    <x v="1"/>
    <s v="no root cause"/>
    <x v="1"/>
    <s v=""/>
  </r>
  <r>
    <s v="Nkolfoulou"/>
    <s v="CTR_214"/>
    <s v="Yaounde"/>
    <s v="IHS"/>
    <s v="Grid-Gen"/>
    <s v="CENTRE"/>
    <s v="Yaounde"/>
    <s v="ZTE"/>
    <n v="0"/>
    <n v="0"/>
    <n v="0"/>
    <n v="0"/>
    <n v="0"/>
    <n v="0.5070869467202005"/>
    <n v="0"/>
    <n v="0"/>
    <n v="2.19526628485331"/>
    <n v="0"/>
    <n v="0"/>
    <n v="0.08833075089327394"/>
    <n v="0"/>
    <n v="0"/>
    <n v="0"/>
    <n v="0"/>
    <n v="0"/>
    <n v="0"/>
    <n v="0"/>
    <n v="0.2246863166425536"/>
    <n v="0.01064896633197883"/>
    <n v="0"/>
    <n v="0"/>
    <n v="0"/>
    <m/>
    <n v="0"/>
    <m/>
    <n v="0"/>
    <m/>
    <n v="0"/>
    <m/>
    <m/>
    <n v="0"/>
    <n v="0"/>
    <n v="0"/>
    <n v="0"/>
    <m/>
    <n v="0"/>
    <n v="0"/>
    <n v="0"/>
    <n v="0"/>
    <n v="0"/>
    <x v="0"/>
    <m/>
    <x v="2"/>
    <x v="1"/>
    <s v="no root cause"/>
    <x v="1"/>
    <s v=""/>
  </r>
  <r>
    <s v="Mulang-IHS"/>
    <s v="NRO_120"/>
    <s v="NORD-OUEST"/>
    <s v="IHS"/>
    <s v="Grid-Gen"/>
    <s v="NORD-OUEST"/>
    <s v="Bamenda"/>
    <s v="Huawei"/>
    <n v="0"/>
    <n v="0"/>
    <n v="0"/>
    <n v="0"/>
    <n v="0"/>
    <n v="0"/>
    <n v="0"/>
    <n v="0"/>
    <n v="0"/>
    <n v="0"/>
    <n v="0.000802578524282816"/>
    <n v="0"/>
    <n v="0"/>
    <n v="0"/>
    <n v="0"/>
    <n v="0"/>
    <n v="0"/>
    <n v="0.260249462807441"/>
    <n v="1.237397733660928"/>
    <n v="0"/>
    <n v="0"/>
    <n v="0"/>
    <n v="0"/>
    <n v="0"/>
    <m/>
    <n v="0"/>
    <m/>
    <n v="0"/>
    <m/>
    <n v="0"/>
    <m/>
    <m/>
    <n v="0"/>
    <n v="0"/>
    <n v="0"/>
    <n v="0"/>
    <m/>
    <n v="0"/>
    <n v="0"/>
    <n v="0"/>
    <n v="0"/>
    <n v="0"/>
    <x v="0"/>
    <m/>
    <x v="2"/>
    <x v="1"/>
    <s v="no root cause"/>
    <x v="1"/>
    <s v=""/>
  </r>
  <r>
    <s v="Deido-Pharmacie-La-Rive"/>
    <s v="LIT_436"/>
    <s v="Douala"/>
    <s v="IHS"/>
    <s v="Grid-Gen"/>
    <s v="LITTORAL"/>
    <s v="Douala"/>
    <s v="ZTE"/>
    <n v="0"/>
    <n v="0"/>
    <n v="4.628755710792078"/>
    <n v="0"/>
    <n v="0"/>
    <n v="0"/>
    <n v="0"/>
    <n v="0"/>
    <n v="0.4234939346465655"/>
    <n v="0"/>
    <n v="0"/>
    <n v="0"/>
    <n v="0"/>
    <n v="0"/>
    <n v="0.007776094146384748"/>
    <n v="0"/>
    <n v="0"/>
    <n v="0"/>
    <n v="0"/>
    <n v="0"/>
    <n v="0"/>
    <n v="0"/>
    <n v="0"/>
    <n v="0"/>
    <m/>
    <n v="0"/>
    <m/>
    <n v="0"/>
    <m/>
    <n v="0"/>
    <m/>
    <m/>
    <n v="0"/>
    <n v="0"/>
    <n v="0"/>
    <n v="0"/>
    <m/>
    <n v="0"/>
    <n v="0"/>
    <n v="0"/>
    <n v="0"/>
    <n v="0"/>
    <x v="0"/>
    <m/>
    <x v="2"/>
    <x v="1"/>
    <s v="no root cause"/>
    <x v="1"/>
    <s v=""/>
  </r>
  <r>
    <s v="YATCHIKA-IHS"/>
    <s v="LIT_482"/>
    <s v="Douala"/>
    <s v="IHS"/>
    <s v="Grid-Gen"/>
    <s v="LITTORAL"/>
    <s v="Douala"/>
    <s v="ZTE"/>
    <n v="0"/>
    <n v="0"/>
    <n v="0"/>
    <n v="0"/>
    <n v="0.309866650686436"/>
    <n v="0"/>
    <n v="0"/>
    <n v="0"/>
    <n v="0"/>
    <n v="0"/>
    <n v="0"/>
    <n v="0"/>
    <n v="0"/>
    <n v="0"/>
    <n v="0"/>
    <n v="0.003370829801988011"/>
    <n v="0"/>
    <n v="0"/>
    <n v="0"/>
    <n v="0"/>
    <n v="0.04141305185299304"/>
    <n v="0"/>
    <n v="0"/>
    <n v="0"/>
    <m/>
    <n v="0"/>
    <m/>
    <n v="0"/>
    <m/>
    <n v="0"/>
    <m/>
    <m/>
    <n v="0"/>
    <n v="0"/>
    <n v="0"/>
    <n v="0"/>
    <m/>
    <n v="0"/>
    <n v="0"/>
    <n v="0"/>
    <n v="0"/>
    <n v="0"/>
    <x v="0"/>
    <m/>
    <x v="2"/>
    <x v="1"/>
    <s v="no root cause"/>
    <x v="1"/>
    <s v=""/>
  </r>
  <r>
    <s v="Deido-plage"/>
    <s v="LIT_345"/>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Spectrum-Bonanjo-IHS"/>
    <s v="LIT_429"/>
    <s v="Douala"/>
    <s v="IHS"/>
    <s v="Grid-Gen"/>
    <s v="LITTORAL"/>
    <s v="Douala"/>
    <s v="ZTE"/>
    <n v="0"/>
    <n v="0"/>
    <n v="0"/>
    <n v="0"/>
    <n v="0"/>
    <n v="0"/>
    <n v="0"/>
    <n v="0"/>
    <n v="0"/>
    <n v="0"/>
    <n v="0"/>
    <n v="0"/>
    <n v="0"/>
    <n v="4.508297591836386"/>
    <n v="15.52547134544977"/>
    <n v="0"/>
    <n v="0.04405264344396748"/>
    <n v="0"/>
    <n v="0"/>
    <n v="0"/>
    <n v="0"/>
    <n v="0"/>
    <n v="0"/>
    <n v="0"/>
    <m/>
    <n v="0"/>
    <m/>
    <n v="0"/>
    <m/>
    <n v="0"/>
    <m/>
    <m/>
    <n v="0"/>
    <n v="0"/>
    <n v="0"/>
    <n v="0"/>
    <m/>
    <n v="0"/>
    <n v="0"/>
    <n v="0"/>
    <n v="0"/>
    <n v="0"/>
    <x v="0"/>
    <m/>
    <x v="2"/>
    <x v="1"/>
    <s v="no root cause"/>
    <x v="1"/>
    <s v=""/>
  </r>
  <r>
    <s v="Bonateki-New"/>
    <s v="LIT_527"/>
    <s v="Douala"/>
    <s v="IHS"/>
    <s v="Grid-Gen"/>
    <s v="LITTORAL"/>
    <s v="Douala"/>
    <s v="ZTE"/>
    <n v="0"/>
    <n v="0"/>
    <n v="5.778815065932718"/>
    <n v="0"/>
    <n v="0"/>
    <n v="0"/>
    <n v="0"/>
    <n v="0"/>
    <n v="0.5878441813413688"/>
    <n v="0"/>
    <n v="0"/>
    <n v="0"/>
    <n v="0"/>
    <n v="0"/>
    <n v="0.01487445531670812"/>
    <n v="0"/>
    <n v="0"/>
    <n v="0"/>
    <n v="0"/>
    <n v="0"/>
    <n v="0"/>
    <n v="0"/>
    <n v="0"/>
    <n v="0"/>
    <m/>
    <n v="0"/>
    <m/>
    <n v="0"/>
    <m/>
    <n v="0"/>
    <m/>
    <m/>
    <n v="0"/>
    <n v="0"/>
    <n v="0"/>
    <n v="0"/>
    <m/>
    <n v="0"/>
    <n v="0"/>
    <n v="0"/>
    <n v="0"/>
    <n v="0"/>
    <x v="0"/>
    <m/>
    <x v="2"/>
    <x v="1"/>
    <s v="no root cause"/>
    <x v="1"/>
    <s v=""/>
  </r>
  <r>
    <s v="Marche-Mboppi"/>
    <s v="LIT_236"/>
    <s v="Douala"/>
    <s v="IHS"/>
    <s v="Grid-Gen"/>
    <s v="LITTORAL"/>
    <s v="Douala"/>
    <s v="ZTE"/>
    <n v="0"/>
    <n v="0"/>
    <n v="0"/>
    <n v="0"/>
    <n v="0"/>
    <n v="0"/>
    <n v="0"/>
    <n v="0"/>
    <n v="31.06175074835989"/>
    <n v="1.847232566567645"/>
    <n v="0"/>
    <n v="22.97354273142084"/>
    <n v="16.76743485915995"/>
    <n v="6.60024526799702"/>
    <n v="19.52368569740863"/>
    <n v="0"/>
    <n v="0"/>
    <n v="0"/>
    <n v="0"/>
    <n v="0"/>
    <n v="13.86855689960706"/>
    <n v="0"/>
    <n v="0"/>
    <n v="0"/>
    <m/>
    <n v="0"/>
    <m/>
    <n v="0"/>
    <m/>
    <n v="0"/>
    <m/>
    <m/>
    <n v="0"/>
    <n v="0"/>
    <n v="0"/>
    <n v="0"/>
    <m/>
    <n v="0"/>
    <n v="0"/>
    <n v="0"/>
    <n v="0"/>
    <n v="0"/>
    <x v="0"/>
    <m/>
    <x v="2"/>
    <x v="1"/>
    <s v="no root cause"/>
    <x v="1"/>
    <s v=""/>
  </r>
  <r>
    <s v="Minoterie"/>
    <s v="LIT_023"/>
    <s v="Douala"/>
    <s v="IHS"/>
    <s v="Grid-Gen"/>
    <s v="LITTORAL"/>
    <s v="Douala"/>
    <s v="ZTE"/>
    <n v="0"/>
    <n v="0"/>
    <n v="0"/>
    <n v="0"/>
    <n v="0"/>
    <n v="0"/>
    <n v="0"/>
    <n v="0"/>
    <n v="0"/>
    <n v="0"/>
    <n v="0"/>
    <n v="0"/>
    <n v="0"/>
    <n v="0"/>
    <n v="11.29903933134151"/>
    <n v="0"/>
    <n v="0.1139304802915252"/>
    <n v="0"/>
    <n v="0"/>
    <n v="0"/>
    <n v="2.20018876646891"/>
    <n v="0"/>
    <n v="0"/>
    <n v="0"/>
    <m/>
    <n v="0"/>
    <m/>
    <n v="0"/>
    <m/>
    <n v="0"/>
    <m/>
    <m/>
    <n v="0"/>
    <n v="0"/>
    <n v="0"/>
    <n v="0"/>
    <m/>
    <n v="0"/>
    <n v="0"/>
    <n v="0"/>
    <n v="0"/>
    <n v="0"/>
    <x v="0"/>
    <m/>
    <x v="2"/>
    <x v="1"/>
    <s v="no root cause"/>
    <x v="1"/>
    <s v=""/>
  </r>
  <r>
    <s v="Bpriso-ASECNA"/>
    <s v="LIT_060"/>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BICEC-Indoor"/>
    <s v="LIT_700"/>
    <s v="Douala"/>
    <s v="CAMUSAT"/>
    <s v="Good Grid no GE - 8h"/>
    <s v="LITTORAL"/>
    <s v="Douala"/>
    <s v="ZTE"/>
    <n v="0"/>
    <n v="0"/>
    <n v="0"/>
    <n v="0"/>
    <n v="0"/>
    <n v="0"/>
    <n v="0"/>
    <n v="0"/>
    <n v="0"/>
    <n v="0"/>
    <n v="0"/>
    <n v="0.7348587319116635"/>
    <n v="0"/>
    <n v="0"/>
    <n v="0"/>
    <n v="0"/>
    <n v="0"/>
    <n v="0"/>
    <n v="0.2392219054712313"/>
    <n v="0"/>
    <n v="0"/>
    <n v="0"/>
    <n v="0"/>
    <n v="0"/>
    <m/>
    <n v="0"/>
    <m/>
    <n v="0"/>
    <m/>
    <n v="0"/>
    <m/>
    <m/>
    <n v="0"/>
    <n v="0"/>
    <n v="0"/>
    <n v="0"/>
    <m/>
    <n v="0"/>
    <n v="0"/>
    <n v="0"/>
    <n v="0"/>
    <n v="0"/>
    <x v="0"/>
    <m/>
    <x v="2"/>
    <x v="1"/>
    <s v="no root cause"/>
    <x v="1"/>
    <s v=""/>
  </r>
  <r>
    <s v="KRIBI-MAKAO"/>
    <s v="SUD_095"/>
    <s v="CENTRE"/>
    <s v="CAMUSAT"/>
    <s v="Good Grid + GE"/>
    <s v="SUD"/>
    <s v="Kribi"/>
    <s v="ZTE"/>
    <n v="0"/>
    <n v="0"/>
    <n v="2.603065350580568"/>
    <n v="0"/>
    <n v="0"/>
    <n v="0"/>
    <n v="0"/>
    <n v="0"/>
    <n v="0"/>
    <n v="0"/>
    <n v="0"/>
    <n v="0"/>
    <n v="0"/>
    <n v="2.796914816812344"/>
    <n v="6.557797781601617"/>
    <n v="0"/>
    <n v="0"/>
    <n v="0"/>
    <n v="0"/>
    <n v="4.727740395453623"/>
    <n v="0"/>
    <n v="0"/>
    <n v="0"/>
    <n v="0"/>
    <m/>
    <n v="0"/>
    <m/>
    <n v="0"/>
    <m/>
    <n v="0"/>
    <m/>
    <m/>
    <n v="0"/>
    <n v="0"/>
    <n v="0"/>
    <n v="0"/>
    <m/>
    <n v="0"/>
    <n v="0"/>
    <n v="0"/>
    <n v="0"/>
    <n v="0"/>
    <x v="0"/>
    <m/>
    <x v="2"/>
    <x v="1"/>
    <s v="no root cause"/>
    <x v="1"/>
    <s v=""/>
  </r>
  <r>
    <s v="Garoua-Mairie"/>
    <s v="NRD_142"/>
    <s v="Garoua"/>
    <s v="CAMUSAT"/>
    <s v="Bad Grid + GE"/>
    <s v="NORD"/>
    <s v="Garoua"/>
    <s v="Huawei"/>
    <n v="0"/>
    <n v="0"/>
    <n v="0"/>
    <n v="0"/>
    <n v="0"/>
    <n v="0.7000268239577894"/>
    <n v="0"/>
    <n v="2.057187108520031"/>
    <n v="0"/>
    <n v="0"/>
    <n v="1.858379490516019"/>
    <n v="0"/>
    <n v="2.570320146789829"/>
    <n v="1.284553680732123"/>
    <n v="0.9620241244403351"/>
    <n v="0.6854020597375248"/>
    <n v="2.955361652584089"/>
    <n v="1.726524756515511"/>
    <n v="0"/>
    <n v="0.2641018397239986"/>
    <n v="0.003299489488718302"/>
    <n v="0"/>
    <n v="0"/>
    <n v="0"/>
    <m/>
    <n v="0"/>
    <m/>
    <n v="0"/>
    <m/>
    <n v="0"/>
    <m/>
    <m/>
    <n v="0"/>
    <n v="0"/>
    <n v="0"/>
    <n v="0"/>
    <m/>
    <n v="0"/>
    <n v="0"/>
    <n v="0"/>
    <n v="0"/>
    <n v="0"/>
    <x v="0"/>
    <m/>
    <x v="2"/>
    <x v="1"/>
    <s v="no root cause"/>
    <x v="1"/>
    <s v=""/>
  </r>
  <r>
    <s v="Kouen"/>
    <s v="EST_071"/>
    <s v="CENTRE"/>
    <s v="IHS"/>
    <s v="Gen Only"/>
    <s v="EST"/>
    <s v="Kouen"/>
    <s v="NOKIA"/>
    <n v="0"/>
    <n v="0"/>
    <n v="0"/>
    <n v="0"/>
    <n v="1.034113510999249"/>
    <n v="0"/>
    <n v="0"/>
    <n v="0"/>
    <n v="0"/>
    <n v="0"/>
    <n v="0"/>
    <n v="0"/>
    <n v="0"/>
    <n v="0"/>
    <n v="0"/>
    <n v="0"/>
    <n v="0"/>
    <n v="0"/>
    <n v="0"/>
    <n v="0.1400945401831448"/>
    <n v="0"/>
    <n v="0"/>
    <n v="0"/>
    <n v="0"/>
    <m/>
    <n v="0"/>
    <m/>
    <n v="0"/>
    <m/>
    <n v="0"/>
    <m/>
    <m/>
    <n v="0"/>
    <n v="0"/>
    <n v="0"/>
    <n v="0"/>
    <m/>
    <n v="0"/>
    <n v="0"/>
    <n v="0"/>
    <n v="0"/>
    <n v="0"/>
    <x v="0"/>
    <m/>
    <x v="2"/>
    <x v="1"/>
    <s v="no root cause"/>
    <x v="1"/>
    <s v="{05-25-2026 ticket}: INC-20260525-00028100"/>
  </r>
  <r>
    <s v="Messassi"/>
    <s v="CTR_337"/>
    <s v="Yaounde"/>
    <s v="IHS"/>
    <s v="Grid-Gen"/>
    <s v="CENTRE"/>
    <s v="Yaounde"/>
    <s v="ZTE"/>
    <n v="0"/>
    <n v="0"/>
    <n v="0"/>
    <n v="0"/>
    <n v="0"/>
    <n v="0"/>
    <n v="0"/>
    <n v="0"/>
    <n v="0"/>
    <n v="0"/>
    <n v="2.785268510671081"/>
    <n v="0"/>
    <n v="0"/>
    <n v="0"/>
    <n v="1.153572865569167"/>
    <n v="0"/>
    <n v="0"/>
    <n v="0"/>
    <n v="0"/>
    <n v="0.003049798392274834"/>
    <n v="0"/>
    <n v="0"/>
    <n v="0"/>
    <n v="0"/>
    <m/>
    <n v="0"/>
    <m/>
    <n v="0"/>
    <m/>
    <n v="0"/>
    <m/>
    <m/>
    <n v="0"/>
    <n v="0"/>
    <n v="0"/>
    <n v="0"/>
    <m/>
    <n v="0"/>
    <n v="0"/>
    <n v="0"/>
    <n v="0"/>
    <n v="0"/>
    <x v="0"/>
    <m/>
    <x v="2"/>
    <x v="1"/>
    <s v="no root cause"/>
    <x v="1"/>
    <s v=""/>
  </r>
  <r>
    <s v="Rd-Pt-Express"/>
    <s v="CTR_012"/>
    <s v="Yaounde"/>
    <s v="IHS"/>
    <s v="GridOnly"/>
    <s v="CENTRE"/>
    <s v="Yaounde"/>
    <s v="ZTE"/>
    <n v="0"/>
    <n v="0"/>
    <n v="0"/>
    <n v="0"/>
    <n v="0"/>
    <n v="0"/>
    <n v="0"/>
    <n v="0"/>
    <n v="0"/>
    <n v="0"/>
    <n v="0"/>
    <n v="0"/>
    <n v="6.483532515487981"/>
    <n v="0"/>
    <n v="0"/>
    <n v="0"/>
    <n v="0"/>
    <n v="0"/>
    <n v="0"/>
    <n v="0.001997528771548426"/>
    <n v="0"/>
    <n v="0"/>
    <n v="0"/>
    <n v="0"/>
    <m/>
    <n v="0"/>
    <m/>
    <n v="0"/>
    <m/>
    <n v="0"/>
    <m/>
    <m/>
    <n v="0"/>
    <n v="0"/>
    <n v="0"/>
    <n v="0"/>
    <m/>
    <n v="0"/>
    <n v="0"/>
    <n v="0"/>
    <n v="0"/>
    <n v="0"/>
    <x v="0"/>
    <m/>
    <x v="2"/>
    <x v="1"/>
    <s v="no root cause"/>
    <x v="1"/>
    <s v=""/>
  </r>
  <r>
    <s v="Bpriso-Vanitex-New"/>
    <s v="LIT_410"/>
    <s v="Douala"/>
    <s v="IHS"/>
    <s v="Grid-Gen"/>
    <s v="LITTORAL"/>
    <s v="Douala"/>
    <s v="ZTE"/>
    <n v="0"/>
    <n v="0"/>
    <n v="0"/>
    <n v="0"/>
    <n v="0"/>
    <n v="0"/>
    <n v="0"/>
    <n v="0"/>
    <n v="0"/>
    <n v="0"/>
    <n v="0"/>
    <n v="0"/>
    <n v="0"/>
    <n v="0"/>
    <n v="0"/>
    <n v="0"/>
    <n v="0"/>
    <n v="0"/>
    <n v="0"/>
    <n v="0.001391136108756927"/>
    <n v="2.645905208698954"/>
    <n v="0"/>
    <n v="0"/>
    <n v="0"/>
    <m/>
    <n v="0"/>
    <m/>
    <n v="0"/>
    <m/>
    <n v="0"/>
    <m/>
    <m/>
    <n v="0"/>
    <n v="0"/>
    <n v="0"/>
    <n v="0"/>
    <m/>
    <n v="0"/>
    <n v="0"/>
    <n v="0"/>
    <n v="0"/>
    <n v="0"/>
    <x v="0"/>
    <m/>
    <x v="2"/>
    <x v="1"/>
    <s v="no root cause"/>
    <x v="1"/>
    <s v=""/>
  </r>
  <r>
    <s v="Nkozoa"/>
    <s v="CTR_079"/>
    <s v="Yaounde"/>
    <s v="IHS"/>
    <s v="Grid-Gen"/>
    <s v="CENTRE"/>
    <s v="Yaounde"/>
    <s v="ZTE"/>
    <n v="0.1282163780237588"/>
    <n v="0"/>
    <n v="0"/>
    <n v="0"/>
    <n v="0"/>
    <n v="0.02384549971035818"/>
    <n v="0"/>
    <n v="0"/>
    <n v="8.653669174992084"/>
    <n v="0"/>
    <n v="0"/>
    <n v="0"/>
    <n v="0"/>
    <n v="0"/>
    <n v="0.7764858047044658"/>
    <n v="0"/>
    <n v="0"/>
    <n v="0"/>
    <n v="0"/>
    <n v="0.0009452591508220168"/>
    <n v="0"/>
    <n v="0"/>
    <n v="0"/>
    <n v="0"/>
    <m/>
    <n v="0"/>
    <m/>
    <n v="0"/>
    <m/>
    <n v="0"/>
    <m/>
    <m/>
    <n v="0"/>
    <n v="0"/>
    <n v="0"/>
    <n v="0"/>
    <m/>
    <n v="0"/>
    <n v="0"/>
    <n v="0"/>
    <n v="0"/>
    <n v="0"/>
    <x v="0"/>
    <m/>
    <x v="2"/>
    <x v="1"/>
    <s v="no root cause"/>
    <x v="1"/>
    <s v=""/>
  </r>
  <r>
    <s v="Foumban-Njinka"/>
    <s v="OST_101"/>
    <s v="OUEST"/>
    <s v="IHS"/>
    <s v="Grid-Gen"/>
    <s v="OUEST"/>
    <s v="Foumban"/>
    <s v="Huawei"/>
    <n v="0.4553117143648001"/>
    <n v="0.03058715931433398"/>
    <n v="0"/>
    <n v="0"/>
    <n v="0"/>
    <n v="0"/>
    <n v="0"/>
    <n v="0"/>
    <n v="0"/>
    <n v="0"/>
    <n v="0"/>
    <n v="1.88261736194936"/>
    <n v="0"/>
    <n v="0"/>
    <n v="0"/>
    <n v="0"/>
    <n v="0"/>
    <n v="0"/>
    <n v="0"/>
    <n v="8.917539158697954e-05"/>
    <n v="0"/>
    <n v="0"/>
    <n v="0"/>
    <n v="0"/>
    <m/>
    <n v="0"/>
    <m/>
    <n v="0"/>
    <m/>
    <n v="0"/>
    <m/>
    <m/>
    <n v="0"/>
    <n v="0"/>
    <n v="0"/>
    <n v="0"/>
    <m/>
    <n v="0"/>
    <n v="0"/>
    <n v="0"/>
    <n v="0"/>
    <n v="0"/>
    <x v="0"/>
    <m/>
    <x v="2"/>
    <x v="1"/>
    <s v="no root cause"/>
    <x v="1"/>
    <s v=""/>
  </r>
  <r>
    <s v="Edea-Bisseke"/>
    <s v="LIT_313"/>
    <s v="LITTORAL"/>
    <s v="IHS"/>
    <s v="Grid-Gen"/>
    <s v="LITTORAL"/>
    <s v="Edea"/>
    <s v="ZTE"/>
    <n v="0"/>
    <n v="0"/>
    <n v="5.789686046592889e-17"/>
    <n v="0"/>
    <n v="0"/>
    <n v="1.824350161086427"/>
    <n v="0"/>
    <n v="0"/>
    <n v="0"/>
    <n v="0"/>
    <n v="0"/>
    <n v="0"/>
    <n v="0"/>
    <n v="0"/>
    <n v="0"/>
    <n v="0"/>
    <n v="0"/>
    <n v="0"/>
    <n v="0"/>
    <n v="1.157937209318578e-16"/>
    <n v="0"/>
    <n v="0"/>
    <n v="0"/>
    <n v="0"/>
    <m/>
    <n v="0"/>
    <m/>
    <n v="0"/>
    <m/>
    <n v="0"/>
    <m/>
    <m/>
    <n v="0"/>
    <n v="0"/>
    <n v="0"/>
    <n v="0"/>
    <m/>
    <n v="0"/>
    <n v="0"/>
    <n v="0"/>
    <n v="0"/>
    <n v="0"/>
    <x v="0"/>
    <m/>
    <x v="2"/>
    <x v="1"/>
    <s v="no root cause"/>
    <x v="1"/>
    <s v=""/>
  </r>
  <r>
    <s v="Bonendale-II"/>
    <s v="LIT_641"/>
    <s v="Douala"/>
    <s v="CAMUSAT"/>
    <s v="Good Grid + GE"/>
    <s v="LITTORAL"/>
    <s v="Douala"/>
    <s v="ZTE"/>
    <n v="4.80626824528512"/>
    <n v="1.600609103594696"/>
    <n v="1.897224291091307"/>
    <n v="13.46921166100224"/>
    <n v="0"/>
    <n v="2.149733329908998"/>
    <n v="0"/>
    <n v="0"/>
    <n v="4.854619142603579"/>
    <n v="0"/>
    <n v="0.3825624299081419"/>
    <n v="0.008899704080380523"/>
    <n v="5.550419053000146"/>
    <n v="0.001230620403900168"/>
    <n v="0"/>
    <n v="1.885274788618652"/>
    <n v="0"/>
    <n v="9.934316973572693"/>
    <n v="4.573805834496182"/>
    <n v="0"/>
    <n v="1.76981049159183"/>
    <n v="0"/>
    <n v="0"/>
    <n v="0"/>
    <m/>
    <n v="0"/>
    <m/>
    <n v="0"/>
    <m/>
    <n v="0"/>
    <m/>
    <m/>
    <n v="0"/>
    <n v="0"/>
    <n v="0"/>
    <n v="0"/>
    <m/>
    <n v="0"/>
    <n v="0"/>
    <n v="0"/>
    <n v="0"/>
    <n v="0"/>
    <x v="0"/>
    <m/>
    <x v="2"/>
    <x v="1"/>
    <s v="no root cause"/>
    <x v="1"/>
    <s v=""/>
  </r>
  <r>
    <s v="Maroua-Makabaye"/>
    <s v="EXN_234"/>
    <s v="Maroua"/>
    <s v="CAMUSAT"/>
    <s v="Medium Grid + GE"/>
    <s v="EXTREME-NORD"/>
    <s v="Maroua"/>
    <s v="Huawei"/>
    <n v="0"/>
    <n v="0"/>
    <n v="0"/>
    <n v="0"/>
    <n v="1.760054703752215"/>
    <n v="0"/>
    <n v="3.497815559607686"/>
    <n v="0"/>
    <n v="3.027504544377956"/>
    <n v="0"/>
    <n v="1.153697711117389"/>
    <n v="0"/>
    <n v="0"/>
    <n v="0"/>
    <n v="0"/>
    <n v="8.414233248581041"/>
    <n v="0"/>
    <n v="0"/>
    <n v="4.226110982698547"/>
    <n v="0"/>
    <n v="0"/>
    <n v="0"/>
    <n v="0"/>
    <n v="0"/>
    <m/>
    <n v="0"/>
    <m/>
    <n v="0"/>
    <m/>
    <n v="0"/>
    <m/>
    <m/>
    <n v="0"/>
    <n v="0"/>
    <n v="0"/>
    <n v="0"/>
    <m/>
    <n v="0"/>
    <n v="0"/>
    <n v="0"/>
    <n v="0"/>
    <n v="0"/>
    <x v="0"/>
    <m/>
    <x v="2"/>
    <x v="1"/>
    <s v="no root cause"/>
    <x v="1"/>
    <s v=""/>
  </r>
  <r>
    <s v="PK10-Marche"/>
    <s v="LIT_278"/>
    <s v="Douala"/>
    <s v="IHS"/>
    <s v="Grid-Gen-Lithium"/>
    <s v="LITTORAL"/>
    <s v="Douala"/>
    <s v="ZTE"/>
    <n v="0"/>
    <n v="0"/>
    <n v="0"/>
    <n v="0.6679950232997464"/>
    <n v="0"/>
    <n v="0"/>
    <n v="0"/>
    <n v="0"/>
    <n v="0"/>
    <n v="0"/>
    <n v="3.421499259487548"/>
    <n v="0"/>
    <n v="0"/>
    <n v="0"/>
    <n v="0"/>
    <n v="0"/>
    <n v="0"/>
    <n v="0"/>
    <n v="1.723724649219679"/>
    <n v="0"/>
    <n v="0"/>
    <n v="0"/>
    <n v="0"/>
    <n v="0"/>
    <m/>
    <n v="0"/>
    <m/>
    <n v="0"/>
    <m/>
    <n v="0"/>
    <m/>
    <m/>
    <n v="0"/>
    <n v="0"/>
    <n v="0"/>
    <n v="0"/>
    <m/>
    <n v="0"/>
    <n v="0"/>
    <n v="0"/>
    <n v="0"/>
    <n v="0"/>
    <x v="0"/>
    <m/>
    <x v="2"/>
    <x v="1"/>
    <s v="no root cause"/>
    <x v="1"/>
    <s v=""/>
  </r>
  <r>
    <s v="Foumban-Ndjisse"/>
    <s v="OST_083"/>
    <s v="OUEST"/>
    <s v="IHS"/>
    <s v="Grid-Gen"/>
    <s v="OUEST"/>
    <s v="Foumban"/>
    <s v="Huawei"/>
    <n v="0"/>
    <n v="0"/>
    <n v="0"/>
    <n v="0"/>
    <n v="0"/>
    <n v="0"/>
    <n v="0"/>
    <n v="0"/>
    <n v="0"/>
    <n v="0"/>
    <n v="0"/>
    <n v="0"/>
    <n v="0"/>
    <n v="0"/>
    <n v="0"/>
    <n v="0"/>
    <n v="0"/>
    <n v="1.803572294846661"/>
    <n v="1.665974665627952"/>
    <n v="0"/>
    <n v="0"/>
    <n v="0"/>
    <n v="0"/>
    <n v="0"/>
    <m/>
    <n v="0"/>
    <m/>
    <n v="0"/>
    <m/>
    <n v="0"/>
    <m/>
    <m/>
    <n v="0"/>
    <n v="0"/>
    <n v="0"/>
    <n v="0"/>
    <m/>
    <n v="0"/>
    <n v="0"/>
    <n v="0"/>
    <n v="0"/>
    <n v="0"/>
    <x v="0"/>
    <m/>
    <x v="2"/>
    <x v="1"/>
    <s v="no root cause"/>
    <x v="1"/>
    <s v=""/>
  </r>
  <r>
    <s v="Parcours-Vita"/>
    <s v="LIT_666"/>
    <s v="Douala"/>
    <s v="CAMUSAT"/>
    <s v="Good Grid no GE - 12h"/>
    <s v="LITTORAL"/>
    <s v="Douala"/>
    <s v="ZTE"/>
    <n v="0"/>
    <n v="0"/>
    <n v="23.87952903978792"/>
    <n v="0"/>
    <n v="0"/>
    <n v="18.15997993910391"/>
    <n v="8.521475574503542"/>
    <n v="0"/>
    <n v="0"/>
    <n v="0"/>
    <n v="7.387770986179954"/>
    <n v="0"/>
    <n v="0"/>
    <n v="0"/>
    <n v="4.083037984436398"/>
    <n v="0"/>
    <n v="0"/>
    <n v="0"/>
    <n v="0.9094819837172877"/>
    <n v="0"/>
    <n v="0"/>
    <n v="0"/>
    <n v="0"/>
    <n v="0"/>
    <m/>
    <n v="0"/>
    <m/>
    <n v="0"/>
    <m/>
    <n v="0"/>
    <m/>
    <m/>
    <n v="0"/>
    <n v="0"/>
    <n v="0"/>
    <n v="0"/>
    <m/>
    <n v="0"/>
    <n v="0"/>
    <n v="0"/>
    <n v="0"/>
    <n v="0"/>
    <x v="0"/>
    <m/>
    <x v="2"/>
    <x v="1"/>
    <s v="no root cause"/>
    <x v="1"/>
    <s v=""/>
  </r>
  <r>
    <s v="Foumban-Ndjisse-III"/>
    <s v="OST_229"/>
    <s v="OUEST"/>
    <s v="CAMUSAT"/>
    <s v="HGB"/>
    <s v="OUEST"/>
    <s v="Foumban"/>
    <s v="Huawei"/>
    <n v="0"/>
    <n v="0"/>
    <n v="0"/>
    <n v="0"/>
    <n v="0"/>
    <n v="0"/>
    <n v="0.008061455399462951"/>
    <n v="0"/>
    <n v="0"/>
    <n v="0"/>
    <n v="0"/>
    <n v="0"/>
    <n v="0"/>
    <n v="0"/>
    <n v="0"/>
    <n v="0"/>
    <n v="0"/>
    <n v="5.922672807640832"/>
    <n v="0.4596099682392925"/>
    <n v="0"/>
    <n v="0"/>
    <n v="0"/>
    <n v="0"/>
    <n v="0"/>
    <m/>
    <n v="0"/>
    <m/>
    <n v="0"/>
    <m/>
    <n v="0"/>
    <m/>
    <m/>
    <n v="0"/>
    <n v="0"/>
    <n v="0"/>
    <n v="0"/>
    <m/>
    <n v="0"/>
    <n v="0"/>
    <n v="0"/>
    <n v="0"/>
    <n v="0"/>
    <x v="0"/>
    <m/>
    <x v="2"/>
    <x v="1"/>
    <s v="no root cause"/>
    <x v="1"/>
    <s v=""/>
  </r>
  <r>
    <s v="Rond-point"/>
    <s v="LIT_048"/>
    <s v="Douala"/>
    <s v="IHS"/>
    <s v="Grid-Gen"/>
    <s v="LITTORAL"/>
    <s v="Douala"/>
    <s v="ZTE"/>
    <n v="0"/>
    <n v="0"/>
    <n v="0"/>
    <n v="0"/>
    <n v="0"/>
    <n v="0"/>
    <n v="0"/>
    <n v="0"/>
    <n v="0"/>
    <n v="0"/>
    <n v="0"/>
    <n v="0"/>
    <n v="0"/>
    <n v="0"/>
    <n v="0"/>
    <n v="0"/>
    <n v="0"/>
    <n v="0"/>
    <n v="0.130695453909877"/>
    <n v="0"/>
    <n v="0"/>
    <n v="0"/>
    <n v="0"/>
    <n v="0"/>
    <m/>
    <n v="0"/>
    <m/>
    <n v="0"/>
    <m/>
    <n v="0"/>
    <m/>
    <m/>
    <n v="0"/>
    <n v="0"/>
    <n v="0"/>
    <n v="0"/>
    <m/>
    <n v="0"/>
    <n v="0"/>
    <n v="0"/>
    <n v="0"/>
    <n v="0"/>
    <x v="0"/>
    <m/>
    <x v="2"/>
    <x v="1"/>
    <s v="no root cause"/>
    <x v="1"/>
    <s v=""/>
  </r>
  <r>
    <s v="Bpriso-Croissanterie"/>
    <s v="LIT_675"/>
    <s v="Douala"/>
    <s v="CAMUSAT"/>
    <s v="Good Grid + GE"/>
    <s v="LITTORAL"/>
    <s v="Douala"/>
    <s v="ZTE"/>
    <n v="0"/>
    <n v="0"/>
    <n v="0"/>
    <n v="0"/>
    <n v="0"/>
    <n v="0"/>
    <n v="0"/>
    <n v="0"/>
    <n v="0"/>
    <n v="0"/>
    <n v="0"/>
    <n v="0"/>
    <n v="0"/>
    <n v="0"/>
    <n v="0"/>
    <n v="0"/>
    <n v="0"/>
    <n v="0"/>
    <n v="0.00222938478967421"/>
    <n v="0"/>
    <n v="0"/>
    <n v="0"/>
    <n v="0"/>
    <n v="0"/>
    <m/>
    <n v="0"/>
    <m/>
    <n v="0"/>
    <m/>
    <n v="0"/>
    <m/>
    <m/>
    <n v="0"/>
    <n v="0"/>
    <n v="0"/>
    <n v="0"/>
    <m/>
    <n v="0"/>
    <n v="0"/>
    <n v="0"/>
    <n v="0"/>
    <n v="0"/>
    <x v="0"/>
    <m/>
    <x v="2"/>
    <x v="1"/>
    <s v="no root cause"/>
    <x v="1"/>
    <s v=""/>
  </r>
  <r>
    <s v="Reserve-Benoue"/>
    <s v="NRD_168"/>
    <s v="NORD"/>
    <s v="CAMUSAT"/>
    <s v="Hybrid Solar - S3"/>
    <s v="NORD"/>
    <s v="Reserve Benoue"/>
    <s v="Huawei"/>
    <n v="0"/>
    <n v="0"/>
    <n v="0"/>
    <n v="0"/>
    <n v="0"/>
    <n v="0"/>
    <n v="0"/>
    <n v="0"/>
    <n v="0"/>
    <n v="0"/>
    <n v="0"/>
    <n v="0"/>
    <n v="0"/>
    <n v="18.49140919947607"/>
    <n v="18.49140919947607"/>
    <n v="18.49140919947607"/>
    <n v="18.49140919947607"/>
    <n v="0"/>
    <n v="0"/>
    <n v="0"/>
    <n v="0"/>
    <n v="0"/>
    <n v="0"/>
    <n v="0"/>
    <m/>
    <n v="0"/>
    <m/>
    <n v="0"/>
    <m/>
    <n v="0"/>
    <m/>
    <m/>
    <n v="0"/>
    <n v="0"/>
    <n v="0"/>
    <n v="0"/>
    <m/>
    <n v="0"/>
    <n v="0"/>
    <n v="0"/>
    <n v="0"/>
    <n v="0"/>
    <x v="0"/>
    <m/>
    <x v="8"/>
    <x v="4"/>
    <s v="SPARE-ISSUE"/>
    <x v="3"/>
    <s v="{05-25-2026 ocm ran 22H}: 23/05/2026: defaut ODU MPT MC 8GHZ 3DB20773CB. en attente demantelement des liaisons ci dessous pour recuperer l'ODU_x000a_22/05/2026: defaut ODU MPT MC 8GHZ 3DB20773CB. en attente demantelement des liaisons ci dessous pour recuperer l'ODU_x000a_21/05/2026: defaut ODU MPT MC 8GHZ 3DB20773CB. en attente demantelement des liaisons ci dessous pour recuperer l'ODU_x000a_14/05/2026 : defaut ODU MPT MC 8GHZ 3DB20773CB. en attente demantelement des liaisons ci dessous pour recuperer l'ODU_x000a_Nyom-II-IHS_Nkometou; Ndogbong_PK10-Sœurs-Dominicaines; Nkog-Edzen_Monatele_x000a_12/05/2026 6 radio à demanteler pour le 12/05 sur les liaisons ci dessous_x000a_Nyom-II-IHS_Nkometou_x000a_Ndogbong_PK10-Sœurs-Dominicaines_x000a_Nkog-Edzen_Monatele_x000a_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05-25-2026 ocm ran 17H}: 23/05/2026: defaut ODU MPT MC 8GHZ 3DB20773CB. en attente demantelement des liaisons ci dessous pour recuperer l'ODU_x000a_22/05/2026: defaut ODU MPT MC 8GHZ 3DB20773CB. en attente demantelement des liaisons ci dessous pour recuperer l'ODU_x000a_21/05/2026: defaut ODU MPT MC 8GHZ 3DB20773CB. en attente demantelement des liaisons ci dessous pour recuperer l'ODU_x000a_14/05/2026 : defaut ODU MPT MC 8GHZ 3DB20773CB. en attente demantelement des liaisons ci dessous pour recuperer l'ODU_x000a_Nyom-II-IHS_Nkometou; Ndogbong_PK10-Sœurs-Dominicaines; Nkog-Edzen_Monatele_x000a_12/05/2026 6 radio à demanteler pour le 12/05 sur les liaisons ci dessous_x000a_Nyom-II-IHS_Nkometou_x000a_Ndogbong_PK10-Sœurs-Dominicaines_x000a_Nkog-Edzen_Monatele_x000a_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r>
  <r>
    <s v="Okolo"/>
    <s v="CTR_213"/>
    <s v="Yaounde"/>
    <s v="IHS"/>
    <s v="Grid-Gen"/>
    <s v="CENTRE"/>
    <s v="Yaounde"/>
    <s v="ZTE"/>
    <n v="0"/>
    <n v="0"/>
    <n v="0"/>
    <n v="0"/>
    <n v="0"/>
    <n v="0"/>
    <n v="0"/>
    <n v="0"/>
    <n v="0"/>
    <n v="0"/>
    <n v="0"/>
    <n v="0"/>
    <n v="0"/>
    <n v="0"/>
    <n v="0.04287552827501956"/>
    <n v="3.638284636435496"/>
    <n v="13.5087341945536"/>
    <n v="0"/>
    <n v="0"/>
    <n v="0"/>
    <n v="0"/>
    <n v="0"/>
    <n v="0"/>
    <n v="0"/>
    <m/>
    <n v="0"/>
    <m/>
    <n v="0"/>
    <m/>
    <n v="0"/>
    <m/>
    <m/>
    <n v="0"/>
    <n v="0"/>
    <n v="0"/>
    <n v="0"/>
    <m/>
    <n v="0"/>
    <n v="0"/>
    <n v="0"/>
    <n v="0"/>
    <n v="0"/>
    <x v="0"/>
    <m/>
    <x v="2"/>
    <x v="1"/>
    <s v="no root cause"/>
    <x v="1"/>
    <s v=""/>
  </r>
  <r>
    <s v="PK9"/>
    <s v="LIT_370"/>
    <s v="Douala"/>
    <s v="IHS"/>
    <s v="Grid-Gen"/>
    <s v="LITTORAL"/>
    <s v="Douala"/>
    <s v="ZTE"/>
    <n v="0"/>
    <n v="0"/>
    <n v="0"/>
    <n v="0"/>
    <n v="0"/>
    <n v="0"/>
    <n v="0"/>
    <n v="0"/>
    <n v="0"/>
    <n v="0"/>
    <n v="0"/>
    <n v="0.4823853632506073"/>
    <n v="0"/>
    <n v="0.002211549711357039"/>
    <n v="0"/>
    <n v="2.187597201176831"/>
    <n v="10.74262055799539"/>
    <n v="0"/>
    <n v="0"/>
    <n v="0"/>
    <n v="13.86855689960706"/>
    <n v="0"/>
    <n v="0"/>
    <n v="0"/>
    <m/>
    <n v="0"/>
    <m/>
    <n v="0"/>
    <m/>
    <n v="0"/>
    <m/>
    <m/>
    <n v="0"/>
    <n v="0"/>
    <n v="0"/>
    <n v="0"/>
    <m/>
    <n v="0"/>
    <n v="0"/>
    <n v="0"/>
    <n v="0"/>
    <n v="0"/>
    <x v="0"/>
    <m/>
    <x v="2"/>
    <x v="1"/>
    <s v="no root cause"/>
    <x v="1"/>
    <s v=""/>
  </r>
  <r>
    <s v="Mankon-II"/>
    <s v="NRO_141"/>
    <s v="NORD-OUEST"/>
    <s v="CAMUSAT"/>
    <s v="HGB"/>
    <s v="NORD-OUEST"/>
    <s v="Bamenda"/>
    <s v="Huawei"/>
    <n v="0"/>
    <n v="0"/>
    <n v="0"/>
    <n v="0"/>
    <n v="0"/>
    <n v="0"/>
    <n v="0"/>
    <n v="0"/>
    <n v="0"/>
    <n v="0"/>
    <n v="0"/>
    <n v="0"/>
    <n v="0"/>
    <n v="2.620757748271425"/>
    <n v="5.233650227004876"/>
    <n v="4.757667656870215"/>
    <n v="10.40248777940434"/>
    <n v="0"/>
    <n v="0"/>
    <n v="0"/>
    <n v="0"/>
    <n v="0"/>
    <n v="0"/>
    <n v="0"/>
    <m/>
    <n v="0"/>
    <m/>
    <n v="0"/>
    <m/>
    <n v="0"/>
    <m/>
    <m/>
    <n v="0"/>
    <n v="0"/>
    <n v="0"/>
    <n v="0"/>
    <m/>
    <n v="0"/>
    <n v="0"/>
    <n v="0"/>
    <n v="0"/>
    <n v="0"/>
    <x v="0"/>
    <m/>
    <x v="0"/>
    <x v="0"/>
    <s v="AKTIVCO Defaut GE &amp; Power Cabinet"/>
    <x v="0"/>
    <s v="(05/25/2026 cell huawei): 25/05/2026 : Besoin d'analyse BO RAN || intabilite des radio due to power || Mail snt to camusat || up after power return"/>
  </r>
  <r>
    <s v="Mayo-Oulo"/>
    <s v="NRD_010"/>
    <s v="NORD"/>
    <s v="IHS"/>
    <s v="Grid-Gen"/>
    <s v="NORD"/>
    <s v="Mayo-Oulo"/>
    <s v="Huawei"/>
    <n v="0"/>
    <n v="0"/>
    <n v="0"/>
    <n v="0"/>
    <n v="0"/>
    <n v="0"/>
    <n v="0"/>
    <n v="0"/>
    <n v="0"/>
    <n v="0"/>
    <n v="0"/>
    <n v="0"/>
    <n v="0"/>
    <n v="0.005867740766423252"/>
    <n v="0.8227321627814732"/>
    <n v="5.148630408665851"/>
    <n v="6.338230132436157"/>
    <n v="0"/>
    <n v="0"/>
    <n v="0"/>
    <n v="0"/>
    <n v="0"/>
    <n v="0"/>
    <n v="0"/>
    <m/>
    <n v="0"/>
    <m/>
    <n v="0"/>
    <m/>
    <n v="0"/>
    <m/>
    <m/>
    <n v="0"/>
    <n v="0"/>
    <n v="0"/>
    <n v="0"/>
    <m/>
    <n v="0"/>
    <n v="0"/>
    <n v="0"/>
    <n v="0"/>
    <n v="0"/>
    <x v="0"/>
    <m/>
    <x v="2"/>
    <x v="1"/>
    <s v="no root cause"/>
    <x v="1"/>
    <s v=""/>
  </r>
  <r>
    <s v="Lagdo-Ville"/>
    <s v="NRD_131"/>
    <s v="NORD"/>
    <s v="CAMUSAT"/>
    <s v="Good Grid + GE"/>
    <s v="NORD"/>
    <s v="Lagdo"/>
    <s v="Huawei"/>
    <n v="0"/>
    <n v="0"/>
    <n v="0"/>
    <n v="0"/>
    <n v="0"/>
    <n v="0"/>
    <n v="0"/>
    <n v="0"/>
    <n v="0"/>
    <n v="0"/>
    <n v="0"/>
    <n v="0"/>
    <n v="0"/>
    <n v="0.1076525327238017"/>
    <n v="0"/>
    <n v="0"/>
    <n v="4.846950058927099"/>
    <n v="0"/>
    <n v="0"/>
    <n v="0"/>
    <n v="0"/>
    <n v="0"/>
    <n v="0"/>
    <n v="0"/>
    <m/>
    <n v="0"/>
    <m/>
    <n v="0"/>
    <m/>
    <n v="0"/>
    <m/>
    <m/>
    <n v="0"/>
    <n v="0"/>
    <n v="0"/>
    <n v="0"/>
    <m/>
    <n v="0"/>
    <n v="0"/>
    <n v="0"/>
    <n v="0"/>
    <n v="0"/>
    <x v="0"/>
    <m/>
    <x v="2"/>
    <x v="1"/>
    <s v="no root cause"/>
    <x v="1"/>
    <s v=""/>
  </r>
  <r>
    <s v="PK10-Genie-Militaire"/>
    <s v="LIT_447"/>
    <s v="Douala"/>
    <s v="IHS"/>
    <s v="Grid-Gen"/>
    <s v="LITTORAL"/>
    <s v="Douala"/>
    <s v="ZTE"/>
    <n v="0"/>
    <n v="0"/>
    <n v="5.041869629857919"/>
    <n v="20.03235996609908"/>
    <n v="20.03235996609908"/>
    <n v="20.03235996609908"/>
    <n v="0"/>
    <n v="0.681567517899285"/>
    <n v="0"/>
    <n v="1.039232178476342"/>
    <n v="4.675251759965528"/>
    <n v="0"/>
    <n v="0"/>
    <n v="0.001801342910056812"/>
    <n v="0"/>
    <n v="0"/>
    <n v="4.742436499987159"/>
    <n v="0"/>
    <n v="0"/>
    <n v="0"/>
    <n v="0"/>
    <n v="0"/>
    <n v="0"/>
    <n v="0"/>
    <m/>
    <n v="0"/>
    <m/>
    <n v="0"/>
    <m/>
    <n v="0"/>
    <m/>
    <m/>
    <n v="0"/>
    <n v="0"/>
    <n v="0"/>
    <n v="0"/>
    <m/>
    <n v="0"/>
    <n v="0"/>
    <n v="0"/>
    <n v="0"/>
    <n v="0"/>
    <x v="0"/>
    <m/>
    <x v="2"/>
    <x v="1"/>
    <s v="no root cause"/>
    <x v="1"/>
    <s v=""/>
  </r>
  <r>
    <s v="Zone-Papass"/>
    <s v="LIT_270"/>
    <s v="Douala"/>
    <s v="IHS"/>
    <s v="Grid-Gen"/>
    <s v="LITTORAL"/>
    <s v="Douala"/>
    <s v="ZTE"/>
    <n v="0"/>
    <n v="0"/>
    <n v="0"/>
    <n v="0"/>
    <n v="0"/>
    <n v="0"/>
    <n v="0"/>
    <n v="0"/>
    <n v="0"/>
    <n v="0"/>
    <n v="0"/>
    <n v="0"/>
    <n v="0"/>
    <n v="0"/>
    <n v="0"/>
    <n v="0"/>
    <n v="4.678765270394052"/>
    <n v="0.4207294975073693"/>
    <n v="0"/>
    <n v="0"/>
    <n v="1.370340407438797"/>
    <n v="0"/>
    <n v="0"/>
    <n v="0"/>
    <m/>
    <n v="0"/>
    <m/>
    <n v="0"/>
    <m/>
    <n v="0"/>
    <m/>
    <m/>
    <n v="0"/>
    <n v="0"/>
    <n v="0"/>
    <n v="0"/>
    <m/>
    <n v="0"/>
    <n v="0"/>
    <n v="0"/>
    <n v="0"/>
    <n v="0"/>
    <x v="0"/>
    <m/>
    <x v="2"/>
    <x v="1"/>
    <s v="no root cause"/>
    <x v="1"/>
    <s v=""/>
  </r>
  <r>
    <s v="Sakdje"/>
    <s v="NRD_172"/>
    <s v="NORD"/>
    <s v="CAMUSAT"/>
    <s v="Hybrid Solar - S3"/>
    <s v="NORD"/>
    <s v="Sakdje"/>
    <s v="Huawei"/>
    <n v="0"/>
    <n v="0"/>
    <n v="0"/>
    <n v="0"/>
    <n v="0"/>
    <n v="0"/>
    <n v="0"/>
    <n v="0"/>
    <n v="0"/>
    <n v="0"/>
    <n v="0"/>
    <n v="0"/>
    <n v="0"/>
    <n v="0"/>
    <n v="0"/>
    <n v="1.616839024863526"/>
    <n v="4.528326384786821"/>
    <n v="0"/>
    <n v="0"/>
    <n v="0"/>
    <n v="0"/>
    <n v="0"/>
    <n v="0"/>
    <n v="0"/>
    <m/>
    <n v="0"/>
    <m/>
    <n v="0"/>
    <m/>
    <n v="0"/>
    <m/>
    <m/>
    <n v="0"/>
    <n v="0"/>
    <n v="0"/>
    <n v="0"/>
    <m/>
    <n v="0"/>
    <n v="0"/>
    <n v="0"/>
    <n v="0"/>
    <n v="0"/>
    <x v="0"/>
    <m/>
    <x v="2"/>
    <x v="1"/>
    <s v="no root cause"/>
    <x v="1"/>
    <s v=""/>
  </r>
  <r>
    <s v="Tchollire-Centre"/>
    <s v="NRD_180"/>
    <s v="NORD"/>
    <s v="CAMUSAT"/>
    <s v="HGB"/>
    <s v="NORD"/>
    <s v="Tchollire"/>
    <s v="Huawei"/>
    <n v="0"/>
    <n v="0"/>
    <n v="0"/>
    <n v="0"/>
    <n v="0"/>
    <n v="0"/>
    <n v="0"/>
    <n v="0"/>
    <n v="0"/>
    <n v="0"/>
    <n v="0"/>
    <n v="0"/>
    <n v="0"/>
    <n v="1.708868028981289"/>
    <n v="5.383215193774558"/>
    <n v="6.172524419789232"/>
    <n v="3.87939706020837"/>
    <n v="0"/>
    <n v="0"/>
    <n v="0"/>
    <n v="0"/>
    <n v="0"/>
    <n v="0"/>
    <n v="0"/>
    <m/>
    <n v="0"/>
    <m/>
    <n v="0"/>
    <m/>
    <n v="0"/>
    <m/>
    <m/>
    <n v="0"/>
    <n v="0"/>
    <n v="0"/>
    <n v="0"/>
    <m/>
    <n v="0"/>
    <n v="0"/>
    <n v="0"/>
    <n v="0"/>
    <n v="0"/>
    <x v="0"/>
    <m/>
    <x v="5"/>
    <x v="2"/>
    <s v="MPR ISSUE"/>
    <x v="2"/>
    <s v="{05-25-2026 ocm ran 22H}: 25.05.26: ODU 3DB29118AA faulty, carte core Evo 1G faulty (pas disponible en stock) et carte EAC faulty (pas disponible en stock)_x000a_24/05/2026 Site foudroyé, carte core Evo, carte EAC et ODU en defaut, commande en cours, update ASAP_x000a_23/05/2026 Site foudroyé, plusieurs breaker faulty, FME activé pour inventaire, ETA 15H _x000a_22.05.26: Site foudroyé, plusieurs breaker faulty,  FME activé pour inventaire, ETA 23/05/2026_x000a_21.05.26: Site foudroyé, plusieurs breaker faulty, inventaire en cours, updates ASAP_x000a_20.05.26: Site frappé par la foudre, plusieurs CB faulty, investigations en cours_x000a_20.05.26: Besoin d'un FME sur site pour vérifier le chaine antennaire de l'ODU 3.1; CM-20260520-00002569; FME Franc activé pour investigations, update ASAP      ;      {05-25-2026 ocm ran 17H}: 24/05/2026 Site foudroyé, carte core Evo, carte EAC et ODU en defaut, commande en cours, update ASAP_x000a_23/05/2026 Site foudroyé, plusieurs breaker faulty, FME activé pour inventaire, ETA 15H _x000a_22.05.26: Site foudroyé, plusieurs breaker faulty,  FME activé pour inventaire, ETA 23/05/2026_x000a_21.05.26: Site foudroyé, plusieurs breaker faulty, inventaire en cours, updates ASAP_x000a_20.05.26: Site frappé par la foudre, plusieurs CB faulty, investigations en cours_x000a_20.05.26: Besoin d'un FME sur site pour vérifier le chaine antennaire de l'ODU 3.1; CM-20260520-00002569; FME Franc activé pour investigations, update ASAP"/>
  </r>
  <r>
    <s v="Kribi-Ndjibo"/>
    <s v="SUD_081"/>
    <s v="LITTORAL"/>
    <s v="CAMUSAT"/>
    <s v="Good Grid + Solar + GE"/>
    <s v="SUD"/>
    <s v="Kribi"/>
    <s v="ZTE"/>
    <n v="13.39858475086536"/>
    <n v="0"/>
    <n v="0"/>
    <n v="0"/>
    <n v="0"/>
    <n v="0"/>
    <n v="0"/>
    <n v="0"/>
    <n v="0"/>
    <n v="0"/>
    <n v="0"/>
    <n v="0"/>
    <n v="0"/>
    <n v="0"/>
    <n v="0.008025785242828045"/>
    <n v="0"/>
    <n v="3.806291074185365"/>
    <n v="0"/>
    <n v="0"/>
    <n v="0"/>
    <n v="0.01539167258791291"/>
    <n v="0"/>
    <n v="0"/>
    <n v="0"/>
    <m/>
    <n v="0"/>
    <m/>
    <n v="0"/>
    <m/>
    <n v="0"/>
    <m/>
    <m/>
    <n v="0"/>
    <n v="0"/>
    <n v="0"/>
    <n v="0"/>
    <m/>
    <n v="0"/>
    <n v="0"/>
    <n v="0"/>
    <n v="0"/>
    <n v="0"/>
    <x v="0"/>
    <m/>
    <x v="2"/>
    <x v="1"/>
    <s v="no root cause"/>
    <x v="1"/>
    <s v=""/>
  </r>
  <r>
    <s v="Bankim"/>
    <s v="ADM_012"/>
    <s v="ADAMAOUA"/>
    <s v="IHS"/>
    <s v="Grid-Gen"/>
    <s v="ADAMAOUA"/>
    <s v="Bankim"/>
    <s v="Huawei"/>
    <n v="0"/>
    <n v="0"/>
    <n v="0"/>
    <n v="0"/>
    <n v="0"/>
    <n v="0"/>
    <n v="0"/>
    <n v="0"/>
    <n v="0"/>
    <n v="0"/>
    <n v="0"/>
    <n v="0"/>
    <n v="0"/>
    <n v="0"/>
    <n v="0"/>
    <n v="0"/>
    <n v="2.822204957866411"/>
    <n v="0"/>
    <n v="0"/>
    <n v="0"/>
    <n v="0"/>
    <n v="0"/>
    <n v="0"/>
    <n v="0"/>
    <m/>
    <n v="0"/>
    <m/>
    <n v="0"/>
    <m/>
    <n v="0"/>
    <m/>
    <m/>
    <n v="0"/>
    <n v="0"/>
    <n v="0"/>
    <n v="0"/>
    <m/>
    <n v="0"/>
    <n v="0"/>
    <n v="0"/>
    <n v="0"/>
    <n v="0"/>
    <x v="0"/>
    <m/>
    <x v="2"/>
    <x v="1"/>
    <s v="no root cause"/>
    <x v="1"/>
    <s v=""/>
  </r>
  <r>
    <s v="Mbamti-Katarko"/>
    <s v="ADM_163"/>
    <s v="ADAMAOUA"/>
    <s v="CAMUSAT"/>
    <s v="HGB"/>
    <s v="ADAMAOUA"/>
    <s v="Mbamti"/>
    <s v="Huawei"/>
    <n v="0"/>
    <n v="0"/>
    <n v="0"/>
    <n v="0"/>
    <n v="0"/>
    <n v="0"/>
    <n v="0"/>
    <n v="0"/>
    <n v="0"/>
    <n v="0"/>
    <n v="0"/>
    <n v="0"/>
    <n v="0"/>
    <n v="0.170824380124018"/>
    <n v="1.228034317544295"/>
    <n v="2.356798589173965"/>
    <n v="2.759371976954226"/>
    <n v="0"/>
    <n v="0"/>
    <n v="0"/>
    <n v="0"/>
    <n v="0"/>
    <n v="0"/>
    <n v="0"/>
    <m/>
    <n v="0"/>
    <m/>
    <n v="0"/>
    <m/>
    <n v="0"/>
    <m/>
    <m/>
    <n v="0"/>
    <n v="0"/>
    <n v="0"/>
    <n v="0"/>
    <m/>
    <n v="0"/>
    <n v="0"/>
    <n v="0"/>
    <n v="0"/>
    <n v="0"/>
    <x v="0"/>
    <m/>
    <x v="2"/>
    <x v="1"/>
    <s v="no root cause"/>
    <x v="1"/>
    <s v=""/>
  </r>
  <r>
    <s v="Limbe-Bimbia-CRTV"/>
    <s v="SUO_081"/>
    <s v="SUD-OUEST"/>
    <s v="CAMUSAT"/>
    <s v="Bad Grid solar + SE"/>
    <s v="SUD-OUEST"/>
    <s v="Limbe"/>
    <s v="Huawei"/>
    <n v="0"/>
    <n v="0"/>
    <n v="0"/>
    <n v="0"/>
    <n v="0"/>
    <n v="0"/>
    <n v="0"/>
    <n v="0"/>
    <n v="0"/>
    <n v="0"/>
    <n v="0"/>
    <n v="0"/>
    <n v="0"/>
    <n v="0"/>
    <n v="0"/>
    <n v="2.897361977895918"/>
    <n v="2.519508008663568"/>
    <n v="0"/>
    <n v="0"/>
    <n v="0"/>
    <n v="0"/>
    <n v="0"/>
    <n v="0"/>
    <n v="0"/>
    <m/>
    <n v="0"/>
    <m/>
    <n v="0"/>
    <m/>
    <n v="0"/>
    <m/>
    <m/>
    <n v="0"/>
    <n v="0"/>
    <n v="0"/>
    <n v="0"/>
    <m/>
    <n v="0"/>
    <n v="0"/>
    <n v="0"/>
    <n v="0"/>
    <n v="0"/>
    <x v="0"/>
    <m/>
    <x v="2"/>
    <x v="1"/>
    <s v="no root cause"/>
    <x v="1"/>
    <s v="(05/25/2026 cell huawei): 25/05/2026 : Besoin d'analyse BO RAN      ;      (05/25/2026 cell huawei): 25/05/2026 : Besoin d'analyse BO RAN || Feedback BO RAN : Site unstable due to transmission"/>
  </r>
  <r>
    <s v="Magba"/>
    <s v="OST_023"/>
    <s v="OUEST"/>
    <s v="ESCO"/>
    <s v="Bad Grid + Solar + GE"/>
    <s v="OUEST"/>
    <s v="Magba"/>
    <s v="Huawei"/>
    <n v="0"/>
    <n v="0"/>
    <n v="0"/>
    <n v="0"/>
    <n v="0"/>
    <n v="0"/>
    <n v="0"/>
    <n v="0"/>
    <n v="0"/>
    <n v="0"/>
    <n v="0"/>
    <n v="0"/>
    <n v="0"/>
    <n v="0"/>
    <n v="0"/>
    <n v="0"/>
    <n v="2.371619539255721"/>
    <n v="0"/>
    <n v="0"/>
    <n v="0"/>
    <n v="0"/>
    <n v="0"/>
    <n v="0"/>
    <n v="0"/>
    <m/>
    <n v="0"/>
    <m/>
    <n v="0"/>
    <m/>
    <n v="0"/>
    <m/>
    <m/>
    <n v="0"/>
    <n v="0"/>
    <n v="0"/>
    <n v="0"/>
    <m/>
    <n v="0"/>
    <n v="0"/>
    <n v="0"/>
    <n v="0"/>
    <n v="0"/>
    <x v="0"/>
    <m/>
    <x v="2"/>
    <x v="1"/>
    <s v="no root cause"/>
    <x v="1"/>
    <s v=""/>
  </r>
  <r>
    <s v="Mbouda-CEBEC-MTN"/>
    <s v="OST_313"/>
    <s v="OUEST"/>
    <s v="MTN"/>
    <m/>
    <s v="OUEST"/>
    <s v="Mbouda"/>
    <s v="Huawei"/>
    <n v="0"/>
    <n v="0"/>
    <n v="0"/>
    <n v="0"/>
    <n v="0"/>
    <n v="0"/>
    <n v="0"/>
    <n v="0"/>
    <n v="0"/>
    <n v="0"/>
    <n v="0"/>
    <n v="0"/>
    <n v="0"/>
    <n v="0"/>
    <n v="0.4538135677861388"/>
    <n v="0.4496044893032334"/>
    <n v="2.013937043600346"/>
    <n v="0"/>
    <n v="0"/>
    <n v="0"/>
    <n v="0"/>
    <n v="0"/>
    <n v="0"/>
    <n v="0"/>
    <m/>
    <n v="0"/>
    <m/>
    <n v="0"/>
    <m/>
    <n v="0"/>
    <m/>
    <m/>
    <n v="0"/>
    <n v="0"/>
    <n v="0"/>
    <n v="0"/>
    <m/>
    <n v="0"/>
    <n v="0"/>
    <n v="0"/>
    <n v="0"/>
    <n v="0"/>
    <x v="0"/>
    <m/>
    <x v="2"/>
    <x v="1"/>
    <s v="no root cause"/>
    <x v="1"/>
    <s v=""/>
  </r>
  <r>
    <s v="Molyko-Paramount-Street-IHS"/>
    <s v="SUO_179"/>
    <s v="SUD-OUEST"/>
    <s v="IHS"/>
    <s v="Grid-Gen"/>
    <s v="SUD-OUEST"/>
    <s v="Buea"/>
    <s v="Huawei"/>
    <n v="0"/>
    <n v="0"/>
    <n v="4.34244919856292"/>
    <n v="0"/>
    <n v="1.251861982176336"/>
    <n v="0"/>
    <n v="0"/>
    <n v="10.01403977365145"/>
    <n v="1.244531764987887"/>
    <n v="0"/>
    <n v="0"/>
    <n v="0.1159458441413908"/>
    <n v="0"/>
    <n v="0"/>
    <n v="0"/>
    <n v="0"/>
    <n v="1.947073334988429"/>
    <n v="0"/>
    <n v="0"/>
    <n v="0"/>
    <n v="0.9663580484714628"/>
    <n v="0"/>
    <n v="0"/>
    <n v="0"/>
    <m/>
    <n v="0"/>
    <m/>
    <n v="0"/>
    <m/>
    <n v="0"/>
    <m/>
    <m/>
    <n v="0"/>
    <n v="0"/>
    <n v="0"/>
    <n v="0"/>
    <m/>
    <n v="0"/>
    <n v="0"/>
    <n v="0"/>
    <n v="0"/>
    <n v="0"/>
    <x v="0"/>
    <m/>
    <x v="2"/>
    <x v="1"/>
    <s v="no root cause"/>
    <x v="1"/>
    <s v=""/>
  </r>
  <r>
    <s v="Buea-David-Square"/>
    <s v="SUO_077"/>
    <s v="SUD-OUEST"/>
    <s v="IHS"/>
    <s v="Grid-Gen"/>
    <s v="SUD-OUEST"/>
    <s v="Buea"/>
    <s v="Huawei"/>
    <n v="0"/>
    <n v="0"/>
    <n v="2.359277665060083"/>
    <n v="0"/>
    <n v="0.9479522476479099"/>
    <n v="0"/>
    <n v="0"/>
    <n v="8.481739020012382"/>
    <n v="0"/>
    <n v="0"/>
    <n v="0"/>
    <n v="0"/>
    <n v="0"/>
    <n v="0"/>
    <n v="0"/>
    <n v="0"/>
    <n v="1.757058410594893"/>
    <n v="0"/>
    <n v="0"/>
    <n v="0"/>
    <n v="0"/>
    <n v="0"/>
    <n v="0"/>
    <n v="0"/>
    <m/>
    <n v="0"/>
    <m/>
    <n v="0"/>
    <m/>
    <n v="0"/>
    <m/>
    <m/>
    <n v="0"/>
    <n v="0"/>
    <n v="0"/>
    <n v="0"/>
    <m/>
    <n v="0"/>
    <n v="0"/>
    <n v="0"/>
    <n v="0"/>
    <n v="0"/>
    <x v="0"/>
    <m/>
    <x v="2"/>
    <x v="1"/>
    <s v="no root cause"/>
    <x v="1"/>
    <s v=""/>
  </r>
  <r>
    <s v="Mountain-Hotel-IHS"/>
    <s v="SUO_202"/>
    <s v="SUD-OUEST"/>
    <s v="IHS"/>
    <s v="Grid-Gen (LL)"/>
    <s v="SUD-OUEST"/>
    <s v="Buea"/>
    <s v="Huawei"/>
    <n v="2.573334275025468"/>
    <n v="0.07455062736671489"/>
    <n v="0"/>
    <n v="0"/>
    <n v="8.917539158697954e-05"/>
    <n v="0"/>
    <n v="0"/>
    <n v="0"/>
    <n v="0"/>
    <n v="0"/>
    <n v="0"/>
    <n v="0"/>
    <n v="8.917539158697954e-05"/>
    <n v="0"/>
    <n v="0"/>
    <n v="0"/>
    <n v="1.741417046910536"/>
    <n v="0"/>
    <n v="0"/>
    <n v="0"/>
    <n v="0"/>
    <n v="0"/>
    <n v="0"/>
    <n v="0"/>
    <m/>
    <n v="0"/>
    <m/>
    <n v="0"/>
    <m/>
    <n v="0"/>
    <m/>
    <m/>
    <n v="0"/>
    <n v="0"/>
    <n v="0"/>
    <n v="0"/>
    <m/>
    <n v="0"/>
    <n v="0"/>
    <n v="0"/>
    <n v="0"/>
    <n v="0"/>
    <x v="0"/>
    <m/>
    <x v="2"/>
    <x v="1"/>
    <s v="no root cause"/>
    <x v="1"/>
    <s v=""/>
  </r>
  <r>
    <s v="Buea-Street2"/>
    <s v="SUO_240"/>
    <s v="SUD-OUEST"/>
    <s v="CAMUSAT"/>
    <s v="Medium Grid + GE"/>
    <s v="SUD-OUEST"/>
    <s v="Buea"/>
    <s v="Huawei"/>
    <n v="0"/>
    <n v="0"/>
    <n v="0"/>
    <n v="0"/>
    <n v="0"/>
    <n v="4.011965197341573"/>
    <n v="8.917539158697954e-05"/>
    <n v="0"/>
    <n v="0"/>
    <n v="0"/>
    <n v="0"/>
    <n v="0"/>
    <n v="0"/>
    <n v="0"/>
    <n v="0"/>
    <n v="0"/>
    <n v="1.729217853341437"/>
    <n v="0"/>
    <n v="0"/>
    <n v="0"/>
    <n v="0"/>
    <n v="0"/>
    <n v="0"/>
    <n v="0"/>
    <m/>
    <n v="0"/>
    <m/>
    <n v="0"/>
    <m/>
    <n v="0"/>
    <m/>
    <m/>
    <n v="0"/>
    <n v="0"/>
    <n v="0"/>
    <n v="0"/>
    <m/>
    <n v="0"/>
    <n v="0"/>
    <n v="0"/>
    <n v="0"/>
    <n v="0"/>
    <x v="0"/>
    <m/>
    <x v="2"/>
    <x v="1"/>
    <s v="no root cause"/>
    <x v="1"/>
    <s v=""/>
  </r>
  <r>
    <s v="Buea-Soppo-University-IHS"/>
    <s v="SUO_199"/>
    <s v="SUD-OUEST"/>
    <s v="IHS"/>
    <s v="Grid-Gen"/>
    <s v="SUD-OUEST"/>
    <s v="Buea"/>
    <s v="Huawei"/>
    <n v="0"/>
    <n v="0.6242277411088567"/>
    <n v="0"/>
    <n v="0"/>
    <n v="0"/>
    <n v="0"/>
    <n v="0"/>
    <n v="0"/>
    <n v="0"/>
    <n v="0"/>
    <n v="0"/>
    <n v="0.4080309217453835"/>
    <n v="0"/>
    <n v="0"/>
    <n v="0"/>
    <n v="0"/>
    <n v="1.711097413770963"/>
    <n v="0"/>
    <n v="0"/>
    <n v="0"/>
    <n v="0"/>
    <n v="0"/>
    <n v="0"/>
    <n v="0"/>
    <m/>
    <n v="0"/>
    <m/>
    <n v="0"/>
    <m/>
    <n v="0"/>
    <m/>
    <m/>
    <n v="0"/>
    <n v="0"/>
    <n v="0"/>
    <n v="0"/>
    <m/>
    <n v="0"/>
    <n v="0"/>
    <n v="0"/>
    <n v="0"/>
    <n v="0"/>
    <x v="0"/>
    <m/>
    <x v="2"/>
    <x v="1"/>
    <s v="no root cause"/>
    <x v="1"/>
    <s v=""/>
  </r>
  <r>
    <s v="Buea-Centre-Ville"/>
    <s v="SUO_063"/>
    <s v="SUD-OUEST"/>
    <s v="IHS"/>
    <s v="Grid-Gen"/>
    <s v="SUD-OUEST"/>
    <s v="Buea"/>
    <s v="Huawei"/>
    <n v="0"/>
    <n v="0"/>
    <n v="0"/>
    <n v="0"/>
    <n v="0"/>
    <n v="0"/>
    <n v="0"/>
    <n v="0"/>
    <n v="0"/>
    <n v="0"/>
    <n v="0"/>
    <n v="0"/>
    <n v="0"/>
    <n v="0"/>
    <n v="0"/>
    <n v="0"/>
    <n v="1.681312832980912"/>
    <n v="0"/>
    <n v="0"/>
    <n v="0"/>
    <n v="0"/>
    <n v="0"/>
    <n v="0"/>
    <n v="0"/>
    <m/>
    <n v="0"/>
    <m/>
    <n v="0"/>
    <m/>
    <n v="0"/>
    <m/>
    <m/>
    <n v="0"/>
    <n v="0"/>
    <n v="0"/>
    <n v="0"/>
    <m/>
    <n v="0"/>
    <n v="0"/>
    <n v="0"/>
    <n v="0"/>
    <n v="0"/>
    <x v="0"/>
    <m/>
    <x v="2"/>
    <x v="1"/>
    <s v="no root cause"/>
    <x v="1"/>
    <s v=""/>
  </r>
  <r>
    <s v="CDC-Delmonte-IHS"/>
    <s v="LIT_173"/>
    <s v="SUD-OUEST"/>
    <s v="IHS"/>
    <s v="Grid-Gen"/>
    <s v="LITTORAL"/>
    <s v="CDC-Delmonte"/>
    <s v="Huawei"/>
    <n v="0"/>
    <n v="0"/>
    <n v="0"/>
    <n v="0"/>
    <n v="0"/>
    <n v="0"/>
    <n v="0"/>
    <n v="0"/>
    <n v="0"/>
    <n v="0"/>
    <n v="0"/>
    <n v="0"/>
    <n v="0"/>
    <n v="0"/>
    <n v="0"/>
    <n v="1.264703238564861"/>
    <n v="1.568149261057036"/>
    <n v="0"/>
    <n v="0"/>
    <n v="0"/>
    <n v="0.1779049062160241"/>
    <n v="0"/>
    <n v="0"/>
    <n v="0"/>
    <m/>
    <n v="0"/>
    <m/>
    <n v="0"/>
    <m/>
    <n v="0"/>
    <m/>
    <m/>
    <n v="0"/>
    <n v="0"/>
    <n v="0"/>
    <n v="0"/>
    <m/>
    <n v="0"/>
    <n v="0"/>
    <n v="0"/>
    <n v="0"/>
    <n v="0"/>
    <x v="0"/>
    <m/>
    <x v="2"/>
    <x v="1"/>
    <s v="no root cause"/>
    <x v="1"/>
    <s v=""/>
  </r>
  <r>
    <s v="BANKA"/>
    <s v="OST_286"/>
    <s v="OUEST"/>
    <s v="CAMUSAT"/>
    <s v="Bad Grid + GE"/>
    <s v="OUEST"/>
    <s v="Banka"/>
    <s v="Huawei"/>
    <n v="0"/>
    <n v="0"/>
    <n v="0"/>
    <n v="0"/>
    <n v="0"/>
    <n v="0"/>
    <n v="0"/>
    <n v="0"/>
    <n v="0"/>
    <n v="0"/>
    <n v="0"/>
    <n v="0"/>
    <n v="0"/>
    <n v="0.0008025785242828158"/>
    <n v="0"/>
    <n v="0.8450081755999007"/>
    <n v="1.541664169755702"/>
    <n v="0"/>
    <n v="0"/>
    <n v="0"/>
    <n v="0"/>
    <n v="0"/>
    <n v="0"/>
    <n v="0"/>
    <m/>
    <n v="0"/>
    <m/>
    <n v="0"/>
    <m/>
    <n v="0"/>
    <m/>
    <m/>
    <n v="0"/>
    <n v="0"/>
    <n v="0"/>
    <n v="0"/>
    <m/>
    <n v="0"/>
    <n v="0"/>
    <n v="0"/>
    <n v="0"/>
    <n v="0"/>
    <x v="0"/>
    <m/>
    <x v="2"/>
    <x v="1"/>
    <s v="no root cause"/>
    <x v="1"/>
    <s v=""/>
  </r>
  <r>
    <s v="Mamegnam"/>
    <s v="OST_272"/>
    <s v="OUEST"/>
    <s v="CAMUSAT"/>
    <s v="Hybrid Solar - S3"/>
    <s v="OUEST"/>
    <s v="Mamegnam"/>
    <s v="Huawei"/>
    <n v="0"/>
    <n v="0"/>
    <n v="0"/>
    <n v="0"/>
    <n v="0"/>
    <n v="0"/>
    <n v="0"/>
    <n v="0"/>
    <n v="0"/>
    <n v="0"/>
    <n v="0"/>
    <n v="0"/>
    <n v="0"/>
    <n v="0"/>
    <n v="0.174427065944132"/>
    <n v="0"/>
    <n v="1.231476487659553"/>
    <n v="0"/>
    <n v="0"/>
    <n v="0"/>
    <n v="0"/>
    <n v="0"/>
    <n v="0"/>
    <n v="0"/>
    <m/>
    <n v="0"/>
    <m/>
    <n v="0"/>
    <m/>
    <n v="0"/>
    <m/>
    <m/>
    <n v="0"/>
    <n v="0"/>
    <n v="0"/>
    <n v="0"/>
    <m/>
    <n v="0"/>
    <n v="0"/>
    <n v="0"/>
    <n v="0"/>
    <n v="0"/>
    <x v="0"/>
    <m/>
    <x v="4"/>
    <x v="0"/>
    <s v="Defaut GE &amp; Power Cabinet"/>
    <x v="0"/>
    <s v="{05-25-2026  incident}:   impacted by Massangam_G9U9U21L8_OST_057_MRBTS1   ,Cause: Power issue    Action: En attente RCA IHS      ;      {05-25-2026 ocm ran 22H}: Power status check Ongoing"/>
  </r>
  <r>
    <s v="Massangam"/>
    <s v="OST_057"/>
    <s v="OUEST"/>
    <s v="IHS"/>
    <s v="Solar-Grid-Gen"/>
    <s v="OUEST"/>
    <s v="Massangam"/>
    <s v="Huawei"/>
    <n v="0"/>
    <n v="0"/>
    <n v="0"/>
    <n v="0"/>
    <n v="0"/>
    <n v="0"/>
    <n v="0"/>
    <n v="0"/>
    <n v="0"/>
    <n v="0"/>
    <n v="0"/>
    <n v="0.007009185778737002"/>
    <n v="0"/>
    <n v="0.004494439735983769"/>
    <n v="0.2141992905919248"/>
    <n v="0"/>
    <n v="1.230977105466665"/>
    <n v="0"/>
    <n v="0"/>
    <n v="0"/>
    <n v="0"/>
    <n v="0"/>
    <n v="0"/>
    <n v="0"/>
    <m/>
    <n v="0"/>
    <m/>
    <n v="0"/>
    <m/>
    <n v="0"/>
    <m/>
    <m/>
    <n v="0"/>
    <n v="0"/>
    <n v="0"/>
    <n v="0"/>
    <m/>
    <n v="0"/>
    <n v="0"/>
    <n v="0"/>
    <n v="0"/>
    <n v="0"/>
    <x v="0"/>
    <m/>
    <x v="4"/>
    <x v="0"/>
    <s v="Defaut GE &amp; Power Cabinet"/>
    <x v="0"/>
    <s v="{05-25-2026  incident}:   impacted by Massangam_G9U9U21L8_OST_057_MRBTS1   ,Cause: Power issue    Action: En attente RCA IHS      ;      {hourly IHS}: 25/05/2026 00:32 5:50:50 50.4V SUP Achille is informed and managing      ;      {05-25-2026 ocm ran 22H}: 25.05.26: Besoin d'un FME sur site pour vérifier le statut de la BBU et son interco avec le MPR S1P5; CM-20260525-00006182; FME Wylli activé pour investigations, update ASAP      ;      {05-25-2026 ocm ran 17H}: 25.05.26: Besoin d'un FME sur site pour vérifier le statut de la BBU et son interco avec le MPR S1P5; CM-20260525-00006182; FME Wylli activé pour investigations, update ASAP"/>
  </r>
  <r>
    <s v="Lamape"/>
    <s v="OST_027"/>
    <s v="OUEST"/>
    <s v="IHS"/>
    <s v="Grid-Gen"/>
    <s v="OUEST"/>
    <s v="Lamape"/>
    <s v="Huawei"/>
    <n v="0"/>
    <n v="0"/>
    <n v="0"/>
    <n v="0"/>
    <n v="0"/>
    <n v="0"/>
    <n v="0"/>
    <n v="0"/>
    <n v="0"/>
    <n v="0"/>
    <n v="0"/>
    <n v="0"/>
    <n v="0"/>
    <n v="2.065302069154446"/>
    <n v="0"/>
    <n v="0.1516695060111348"/>
    <n v="1.145564915404657"/>
    <n v="0"/>
    <n v="0"/>
    <n v="0"/>
    <n v="0"/>
    <n v="0"/>
    <n v="0"/>
    <n v="0"/>
    <m/>
    <n v="0"/>
    <m/>
    <n v="0"/>
    <m/>
    <n v="0"/>
    <m/>
    <m/>
    <n v="0"/>
    <n v="0"/>
    <n v="0"/>
    <n v="0"/>
    <m/>
    <n v="0"/>
    <n v="0"/>
    <n v="0"/>
    <n v="0"/>
    <n v="0"/>
    <x v="0"/>
    <m/>
    <x v="2"/>
    <x v="1"/>
    <s v="no root cause"/>
    <x v="1"/>
    <s v=""/>
  </r>
  <r>
    <s v="Mboulai-MTN"/>
    <s v="ADM_029"/>
    <s v="ADAMAOUA"/>
    <s v="IHS"/>
    <s v="Gen Only"/>
    <s v="ADAMAOUA"/>
    <s v="Mboulai"/>
    <s v="NOKIA"/>
    <n v="0"/>
    <n v="0"/>
    <n v="0"/>
    <n v="0"/>
    <n v="0"/>
    <n v="0"/>
    <n v="0"/>
    <n v="0"/>
    <n v="0"/>
    <n v="0"/>
    <n v="0"/>
    <n v="0"/>
    <n v="0"/>
    <n v="0"/>
    <n v="1.076760902639553"/>
    <n v="1.540950766623006"/>
    <n v="0.9361474356934119"/>
    <n v="0"/>
    <n v="0"/>
    <n v="0"/>
    <n v="0"/>
    <n v="0"/>
    <n v="0"/>
    <n v="0"/>
    <m/>
    <n v="0"/>
    <m/>
    <n v="0"/>
    <m/>
    <n v="0"/>
    <m/>
    <m/>
    <n v="0"/>
    <n v="0"/>
    <n v="0"/>
    <n v="0"/>
    <m/>
    <n v="0"/>
    <n v="0"/>
    <n v="0"/>
    <n v="0"/>
    <n v="0"/>
    <x v="0"/>
    <m/>
    <x v="2"/>
    <x v="1"/>
    <s v="no root cause"/>
    <x v="1"/>
    <s v=""/>
  </r>
  <r>
    <s v="Tibati-Market-MTN-IHS"/>
    <s v="ADM_105"/>
    <s v="ADAMAOUA"/>
    <s v="IHS"/>
    <s v="Grid-Gen"/>
    <s v="ADAMAOUA"/>
    <s v="Tibati"/>
    <s v="Huawei"/>
    <n v="0"/>
    <n v="0"/>
    <n v="0"/>
    <n v="0"/>
    <n v="0"/>
    <n v="0"/>
    <n v="0"/>
    <n v="0"/>
    <n v="0"/>
    <n v="0"/>
    <n v="0"/>
    <n v="0"/>
    <n v="0"/>
    <n v="0"/>
    <n v="0"/>
    <n v="0"/>
    <n v="0.7756475560235478"/>
    <n v="0"/>
    <n v="0"/>
    <n v="0"/>
    <n v="0"/>
    <n v="0"/>
    <n v="0"/>
    <n v="0"/>
    <m/>
    <n v="0"/>
    <m/>
    <n v="0"/>
    <m/>
    <n v="0"/>
    <m/>
    <m/>
    <n v="0"/>
    <n v="0"/>
    <n v="0"/>
    <n v="0"/>
    <m/>
    <n v="0"/>
    <n v="0"/>
    <n v="0"/>
    <n v="0"/>
    <n v="0"/>
    <x v="0"/>
    <m/>
    <x v="2"/>
    <x v="1"/>
    <s v="no root cause"/>
    <x v="1"/>
    <s v=""/>
  </r>
  <r>
    <s v="Tibati-II"/>
    <s v="ADM_044"/>
    <s v="ADAMAOUA"/>
    <s v="IHS"/>
    <s v="Grid-Gen"/>
    <s v="ADAMAOUA"/>
    <s v="Tibati"/>
    <s v="Huawei"/>
    <n v="0"/>
    <n v="0"/>
    <n v="0"/>
    <n v="0"/>
    <n v="0"/>
    <n v="0"/>
    <n v="0"/>
    <n v="0"/>
    <n v="0"/>
    <n v="0"/>
    <n v="0"/>
    <n v="0"/>
    <n v="0"/>
    <n v="0"/>
    <n v="0"/>
    <n v="0"/>
    <n v="0.7279922267594664"/>
    <n v="0"/>
    <n v="0"/>
    <n v="0"/>
    <n v="0"/>
    <n v="0"/>
    <n v="0"/>
    <n v="0"/>
    <m/>
    <n v="0"/>
    <m/>
    <n v="0"/>
    <m/>
    <n v="0"/>
    <m/>
    <m/>
    <n v="0"/>
    <n v="0"/>
    <n v="0"/>
    <n v="0"/>
    <m/>
    <n v="0"/>
    <n v="0"/>
    <n v="0"/>
    <n v="0"/>
    <n v="0"/>
    <x v="0"/>
    <m/>
    <x v="2"/>
    <x v="1"/>
    <s v="no root cause"/>
    <x v="1"/>
    <s v=""/>
  </r>
  <r>
    <s v="Tignere"/>
    <s v="ADM_011"/>
    <s v="ADAMAOUA"/>
    <s v="IHS"/>
    <s v="Grid-Gen"/>
    <s v="ADAMAOUA"/>
    <s v="Tignere"/>
    <s v="Huawei"/>
    <n v="0"/>
    <n v="0"/>
    <n v="0"/>
    <n v="0"/>
    <n v="0"/>
    <n v="0"/>
    <n v="0"/>
    <n v="0"/>
    <n v="0"/>
    <n v="0"/>
    <n v="0"/>
    <n v="0"/>
    <n v="0"/>
    <n v="0"/>
    <n v="0"/>
    <n v="0.0684867007388003"/>
    <n v="0.7255309859516657"/>
    <n v="0"/>
    <n v="0"/>
    <n v="0"/>
    <n v="0"/>
    <n v="0"/>
    <n v="0"/>
    <n v="0"/>
    <m/>
    <n v="0"/>
    <m/>
    <n v="0"/>
    <m/>
    <n v="0"/>
    <m/>
    <m/>
    <n v="0"/>
    <n v="0"/>
    <n v="0"/>
    <n v="0"/>
    <m/>
    <n v="0"/>
    <n v="0"/>
    <n v="0"/>
    <n v="0"/>
    <n v="0"/>
    <x v="0"/>
    <m/>
    <x v="2"/>
    <x v="1"/>
    <s v="no root cause"/>
    <x v="1"/>
    <s v=""/>
  </r>
  <r>
    <s v="Borongo"/>
    <s v="ADM_162"/>
    <s v="ADAMAOUA"/>
    <s v="CAMUSAT"/>
    <s v="Bad Grid + GE"/>
    <s v="ADAMAOUA"/>
    <s v="Borongo"/>
    <s v="Huawei"/>
    <n v="0"/>
    <n v="0"/>
    <n v="0"/>
    <n v="0"/>
    <n v="0"/>
    <n v="0"/>
    <n v="0"/>
    <n v="0"/>
    <n v="0"/>
    <n v="0"/>
    <n v="0"/>
    <n v="12.32760613298405"/>
    <n v="0"/>
    <n v="0"/>
    <n v="0"/>
    <n v="0.01890518301643966"/>
    <n v="0.5694027103611817"/>
    <n v="0"/>
    <n v="0"/>
    <n v="0"/>
    <n v="0"/>
    <n v="0"/>
    <n v="0"/>
    <n v="0"/>
    <m/>
    <n v="0"/>
    <m/>
    <n v="0"/>
    <m/>
    <n v="0"/>
    <m/>
    <m/>
    <n v="0"/>
    <n v="0"/>
    <n v="0"/>
    <n v="0"/>
    <m/>
    <n v="0"/>
    <n v="0"/>
    <n v="0"/>
    <n v="0"/>
    <n v="0"/>
    <x v="0"/>
    <m/>
    <x v="2"/>
    <x v="1"/>
    <s v="no root cause"/>
    <x v="1"/>
    <s v=""/>
  </r>
  <r>
    <s v="Bonadibong"/>
    <s v="LIT_126"/>
    <s v="Douala"/>
    <s v="IHS"/>
    <s v="Grid-Gen"/>
    <s v="LITTORAL"/>
    <s v="Douala"/>
    <s v="ZTE"/>
    <n v="0"/>
    <n v="0"/>
    <n v="0"/>
    <n v="0"/>
    <n v="0"/>
    <n v="0"/>
    <n v="0"/>
    <n v="0"/>
    <n v="0"/>
    <n v="0"/>
    <n v="0"/>
    <n v="0"/>
    <n v="9.950208028353495"/>
    <n v="13.86855689960706"/>
    <n v="21.82658667990743"/>
    <n v="0"/>
    <n v="0.4590749158897711"/>
    <n v="0"/>
    <n v="0"/>
    <n v="0"/>
    <n v="0"/>
    <n v="0"/>
    <n v="0"/>
    <n v="0"/>
    <m/>
    <n v="0"/>
    <m/>
    <n v="0"/>
    <m/>
    <n v="0"/>
    <m/>
    <m/>
    <n v="0"/>
    <n v="0"/>
    <n v="0"/>
    <n v="0"/>
    <m/>
    <n v="0"/>
    <n v="0"/>
    <n v="0"/>
    <n v="0"/>
    <n v="0"/>
    <x v="0"/>
    <m/>
    <x v="2"/>
    <x v="1"/>
    <s v="no root cause"/>
    <x v="1"/>
    <s v=""/>
  </r>
  <r>
    <s v="Djoa-IHS"/>
    <s v="ADM_187"/>
    <s v="ADAMAOUA"/>
    <m/>
    <m/>
    <s v="ADAMAOUA"/>
    <s v="Tibati"/>
    <s v="Huawei"/>
    <n v="0"/>
    <n v="0"/>
    <n v="0"/>
    <n v="0"/>
    <n v="0"/>
    <n v="0"/>
    <n v="0"/>
    <n v="0"/>
    <n v="0"/>
    <n v="0"/>
    <n v="0"/>
    <n v="0"/>
    <n v="0"/>
    <n v="0"/>
    <n v="0"/>
    <n v="0.06213741285780734"/>
    <n v="0.4348905496913818"/>
    <n v="0"/>
    <n v="0"/>
    <n v="0"/>
    <n v="0"/>
    <n v="0"/>
    <n v="0"/>
    <n v="0"/>
    <m/>
    <n v="0"/>
    <m/>
    <n v="0"/>
    <m/>
    <n v="0"/>
    <m/>
    <m/>
    <n v="0"/>
    <n v="0"/>
    <n v="0"/>
    <n v="0"/>
    <m/>
    <n v="0"/>
    <n v="0"/>
    <n v="0"/>
    <n v="0"/>
    <n v="0"/>
    <x v="0"/>
    <m/>
    <x v="2"/>
    <x v="1"/>
    <s v="no root cause"/>
    <x v="1"/>
    <s v=""/>
  </r>
  <r>
    <s v="Mile4"/>
    <s v="SUO_021"/>
    <s v="SUD-OUEST"/>
    <s v="IHS"/>
    <s v="Grid-Gen"/>
    <s v="SUD-OUEST"/>
    <s v="Limbe"/>
    <s v="Huawei"/>
    <n v="0"/>
    <n v="0"/>
    <n v="0"/>
    <n v="0"/>
    <n v="0"/>
    <n v="0"/>
    <n v="0"/>
    <n v="0"/>
    <n v="0"/>
    <n v="0"/>
    <n v="0"/>
    <n v="0"/>
    <n v="0"/>
    <n v="0"/>
    <n v="0"/>
    <n v="0"/>
    <n v="0.3369046294156087"/>
    <n v="0"/>
    <n v="0"/>
    <n v="0"/>
    <n v="0"/>
    <n v="0"/>
    <n v="0"/>
    <n v="0"/>
    <m/>
    <n v="0"/>
    <m/>
    <n v="0"/>
    <m/>
    <n v="0"/>
    <m/>
    <m/>
    <n v="0"/>
    <n v="0"/>
    <n v="0"/>
    <n v="0"/>
    <m/>
    <n v="0"/>
    <n v="0"/>
    <n v="0"/>
    <n v="0"/>
    <n v="0"/>
    <x v="0"/>
    <m/>
    <x v="4"/>
    <x v="0"/>
    <s v="Defaut GE &amp; Power Cabinet"/>
    <x v="0"/>
    <s v="{hourly IHS}: 25/05/2026 16:08 6:16:57 Jeff is going to site, ETA 06:30 PM      ;      {05-25-2026 ocm ran 17H}: Power status check Ongoing"/>
  </r>
  <r>
    <s v="Koundoum"/>
    <s v="OST_252"/>
    <s v="OUEST"/>
    <s v="IHS"/>
    <s v="Gen-Lithium"/>
    <s v="OUEST"/>
    <s v="Koundoum"/>
    <s v="Huawei"/>
    <n v="0"/>
    <n v="0"/>
    <n v="0"/>
    <n v="0"/>
    <n v="0"/>
    <n v="0"/>
    <n v="0"/>
    <n v="0"/>
    <n v="0"/>
    <n v="0"/>
    <n v="0"/>
    <n v="0"/>
    <n v="0"/>
    <n v="4.923123678420696"/>
    <n v="3.827033270268496"/>
    <n v="0.1833981103377821"/>
    <n v="0.2991656036959989"/>
    <n v="0"/>
    <n v="0"/>
    <n v="0"/>
    <n v="0"/>
    <n v="0"/>
    <n v="0"/>
    <n v="0"/>
    <m/>
    <n v="0"/>
    <m/>
    <n v="0"/>
    <m/>
    <n v="0"/>
    <m/>
    <m/>
    <n v="0"/>
    <n v="0"/>
    <n v="0"/>
    <n v="0"/>
    <m/>
    <n v="0"/>
    <n v="0"/>
    <n v="0"/>
    <n v="0"/>
    <n v="0"/>
    <x v="0"/>
    <m/>
    <x v="4"/>
    <x v="0"/>
    <s v="Defaut GE &amp; Power Cabinet"/>
    <x v="0"/>
    <s v="{05-25-2026 groupe whatsapp incident}:    impacted by OST_005_H_Foumbot ,Cause: Probleme energie    Action: RCA attendu de IHS      ;      {hourly IHS}: 25/05/2026 10:50 0:10:00 43 FME is informed and managing      ;      {05-25-2026 ocm ran 17H}: Power status check Ongoing"/>
  </r>
  <r>
    <s v="Limbe-Semme-Beach-MTN"/>
    <s v="SUO_082"/>
    <s v="SUD-OUEST"/>
    <s v="IHS"/>
    <s v="Grid-Gen"/>
    <s v="SUD-OUEST"/>
    <s v="Limbe"/>
    <s v="Huawei"/>
    <n v="0"/>
    <n v="0"/>
    <n v="0"/>
    <n v="0"/>
    <n v="0"/>
    <n v="0"/>
    <n v="0"/>
    <n v="0"/>
    <n v="0"/>
    <n v="0"/>
    <n v="0"/>
    <n v="0"/>
    <n v="0"/>
    <n v="0"/>
    <n v="0.2916035304894231"/>
    <n v="0"/>
    <n v="0.2246328114076014"/>
    <n v="0"/>
    <n v="0"/>
    <n v="0"/>
    <n v="0"/>
    <n v="0"/>
    <n v="0"/>
    <n v="0"/>
    <m/>
    <n v="0"/>
    <m/>
    <n v="0"/>
    <m/>
    <n v="0"/>
    <m/>
    <m/>
    <n v="0"/>
    <n v="0"/>
    <n v="0"/>
    <n v="0"/>
    <m/>
    <n v="0"/>
    <n v="0"/>
    <n v="0"/>
    <n v="0"/>
    <n v="0"/>
    <x v="0"/>
    <m/>
    <x v="4"/>
    <x v="0"/>
    <s v="Defaut GE &amp; Power Cabinet"/>
    <x v="0"/>
    <s v="{05-25-2026  incident}:    impacted by SUO_011_H_Monkey-Hill,   RCA: Power issue / En attente RCA IHS"/>
  </r>
  <r>
    <s v="Boudva-IHS"/>
    <s v="NRD_092"/>
    <s v="NORD"/>
    <s v="IHS"/>
    <s v="Gen Only"/>
    <s v="NORD"/>
    <s v="Boudva"/>
    <s v="Huawei"/>
    <n v="0"/>
    <n v="0"/>
    <n v="0"/>
    <n v="0"/>
    <n v="0"/>
    <n v="0"/>
    <n v="0"/>
    <n v="0"/>
    <n v="0"/>
    <n v="0"/>
    <n v="0"/>
    <n v="0.005618699982477767"/>
    <n v="0"/>
    <n v="0.07223206718545343"/>
    <n v="0.8725098663653252"/>
    <n v="0.2063518561322707"/>
    <n v="0.2020714373360956"/>
    <n v="0"/>
    <n v="0"/>
    <n v="0"/>
    <n v="0"/>
    <n v="0"/>
    <n v="0"/>
    <n v="0"/>
    <m/>
    <n v="0"/>
    <m/>
    <n v="0"/>
    <m/>
    <n v="0"/>
    <m/>
    <m/>
    <n v="0"/>
    <n v="0"/>
    <n v="0"/>
    <n v="0"/>
    <m/>
    <n v="0"/>
    <n v="0"/>
    <n v="0"/>
    <n v="0"/>
    <n v="0"/>
    <x v="0"/>
    <m/>
    <x v="2"/>
    <x v="1"/>
    <s v="no root cause"/>
    <x v="1"/>
    <s v=""/>
  </r>
  <r>
    <s v="Ashum-MTN"/>
    <s v="SUO_089"/>
    <s v="SUD-OUEST"/>
    <s v="IHS"/>
    <s v="Gen Only"/>
    <s v="SUD-OUEST"/>
    <s v="Ashum"/>
    <s v="Huawei"/>
    <n v="0"/>
    <n v="0"/>
    <n v="0"/>
    <n v="0"/>
    <n v="0"/>
    <n v="0"/>
    <n v="0"/>
    <n v="0"/>
    <n v="0"/>
    <n v="0"/>
    <n v="0"/>
    <n v="0"/>
    <n v="0"/>
    <n v="1.561354096218107"/>
    <n v="1.945040136060246"/>
    <n v="1.913097510793789"/>
    <n v="0.1673465398521258"/>
    <n v="0"/>
    <n v="0"/>
    <n v="0"/>
    <n v="0.08555487068854893"/>
    <n v="0"/>
    <n v="0"/>
    <n v="0"/>
    <m/>
    <n v="0"/>
    <m/>
    <n v="0"/>
    <m/>
    <n v="0"/>
    <m/>
    <m/>
    <n v="0"/>
    <n v="0"/>
    <n v="0"/>
    <n v="0"/>
    <m/>
    <n v="0"/>
    <n v="0"/>
    <n v="0"/>
    <n v="0"/>
    <n v="0"/>
    <x v="0"/>
    <m/>
    <x v="13"/>
    <x v="8"/>
    <s v="ACCESS-ISSUE"/>
    <x v="6"/>
    <s v="{05-25-2026 ocm ran 22H}: Impacted by SUO_040_H_Tinto (TX issue)      ;      {05-25-2026 ocm ran 17H}: Impacted by SUO_040_H_Tinto (TX issue)  ;{05-25-2026   groupe whatsapp   incident}:    &quot;SUO_040_H_Tinto_U -{ 24/05/2026 Apres travaux avec le level 0 probleme sur site de fainschang red zone "/>
  </r>
  <r>
    <s v="Nyamboya-MTN"/>
    <s v="ADM_179"/>
    <s v="ADAMAOUA"/>
    <m/>
    <m/>
    <s v="ADAMAOUA"/>
    <s v="Nyamboya"/>
    <s v="Huawei"/>
    <n v="0"/>
    <n v="0"/>
    <n v="0"/>
    <n v="0"/>
    <n v="0"/>
    <n v="0"/>
    <n v="0"/>
    <n v="0"/>
    <n v="0"/>
    <n v="0"/>
    <n v="0"/>
    <n v="0"/>
    <n v="0"/>
    <n v="0"/>
    <n v="0"/>
    <n v="0.8927348451772522"/>
    <n v="0.1484770269923209"/>
    <n v="0"/>
    <n v="0"/>
    <n v="0"/>
    <n v="2.819190829630771"/>
    <n v="0"/>
    <n v="0"/>
    <n v="0"/>
    <m/>
    <n v="0"/>
    <m/>
    <n v="0"/>
    <m/>
    <n v="0"/>
    <m/>
    <m/>
    <n v="0"/>
    <n v="0"/>
    <n v="0"/>
    <n v="0"/>
    <m/>
    <n v="0"/>
    <n v="0"/>
    <n v="0"/>
    <n v="0"/>
    <n v="0"/>
    <x v="0"/>
    <m/>
    <x v="2"/>
    <x v="1"/>
    <s v="no root cause"/>
    <x v="1"/>
    <s v=""/>
  </r>
  <r>
    <s v="H-Sawa"/>
    <s v="LIT_099"/>
    <s v="Douala"/>
    <s v="IHS"/>
    <s v="Grid-Gen (LL)"/>
    <s v="LITTORAL"/>
    <s v="Douala"/>
    <s v="ZTE"/>
    <n v="0"/>
    <n v="0"/>
    <n v="0"/>
    <n v="0"/>
    <n v="0"/>
    <n v="0"/>
    <n v="0"/>
    <n v="0"/>
    <n v="0"/>
    <n v="0"/>
    <n v="0"/>
    <n v="0"/>
    <n v="0"/>
    <n v="0"/>
    <n v="14.53084469784523"/>
    <n v="0"/>
    <n v="0.1476744484680385"/>
    <n v="0"/>
    <n v="0"/>
    <n v="0"/>
    <n v="0"/>
    <n v="0"/>
    <n v="0"/>
    <n v="0"/>
    <m/>
    <n v="0"/>
    <m/>
    <n v="0"/>
    <m/>
    <n v="0"/>
    <m/>
    <m/>
    <n v="0"/>
    <n v="0"/>
    <n v="0"/>
    <n v="0"/>
    <m/>
    <n v="0"/>
    <n v="0"/>
    <n v="0"/>
    <n v="0"/>
    <n v="0"/>
    <x v="0"/>
    <m/>
    <x v="2"/>
    <x v="1"/>
    <s v="no root cause"/>
    <x v="1"/>
    <s v=""/>
  </r>
  <r>
    <s v="Fotouni-IHS"/>
    <s v="OST_153"/>
    <s v="OUEST"/>
    <s v="IHS"/>
    <s v="Hybrid-Gen"/>
    <s v="OUEST"/>
    <s v="Fotouni"/>
    <s v="Huawei"/>
    <n v="0"/>
    <n v="0"/>
    <n v="0"/>
    <n v="0"/>
    <n v="0"/>
    <n v="0"/>
    <n v="0"/>
    <n v="0"/>
    <n v="0"/>
    <n v="0"/>
    <n v="0"/>
    <n v="0"/>
    <n v="0"/>
    <n v="0.1395773229119403"/>
    <n v="0.1088474829710672"/>
    <n v="0.00552887427839273"/>
    <n v="0.08872951462904465"/>
    <n v="0"/>
    <n v="0"/>
    <n v="0"/>
    <n v="0"/>
    <n v="0"/>
    <n v="0"/>
    <n v="0"/>
    <m/>
    <n v="0"/>
    <m/>
    <n v="0"/>
    <m/>
    <n v="0"/>
    <m/>
    <m/>
    <n v="0"/>
    <n v="0"/>
    <n v="0"/>
    <n v="0"/>
    <m/>
    <n v="0"/>
    <n v="0"/>
    <n v="0"/>
    <n v="0"/>
    <n v="0"/>
    <x v="0"/>
    <m/>
    <x v="2"/>
    <x v="1"/>
    <s v="no root cause"/>
    <x v="1"/>
    <s v=""/>
  </r>
  <r>
    <s v="Ngaoundal3-IHS"/>
    <s v="ADM_119"/>
    <s v="Ngaoundere"/>
    <s v="IHS"/>
    <s v="Grid-Gen"/>
    <s v="ADAMAOUA"/>
    <s v="Ngaoundal"/>
    <s v="Huawei"/>
    <n v="0"/>
    <n v="0"/>
    <n v="0"/>
    <n v="0"/>
    <n v="0"/>
    <n v="0"/>
    <n v="0"/>
    <n v="0"/>
    <n v="0"/>
    <n v="0"/>
    <n v="0"/>
    <n v="0"/>
    <n v="0"/>
    <n v="0.00383454183824012"/>
    <n v="0.001605157048565631"/>
    <n v="0.04893945490293437"/>
    <n v="0.06293999138209015"/>
    <n v="0"/>
    <n v="0"/>
    <n v="0"/>
    <n v="0"/>
    <n v="0"/>
    <n v="0"/>
    <n v="0"/>
    <m/>
    <n v="0"/>
    <m/>
    <n v="0"/>
    <m/>
    <n v="0"/>
    <m/>
    <m/>
    <n v="0"/>
    <n v="0"/>
    <n v="0"/>
    <n v="0"/>
    <m/>
    <n v="0"/>
    <n v="0"/>
    <n v="0"/>
    <n v="0"/>
    <n v="0"/>
    <x v="0"/>
    <m/>
    <x v="2"/>
    <x v="1"/>
    <s v="no root cause"/>
    <x v="1"/>
    <s v=""/>
  </r>
  <r>
    <s v="Batsaa"/>
    <s v="OST_290"/>
    <s v="OUEST"/>
    <s v="CAMUSAT"/>
    <s v="Hybrid Solar - S3"/>
    <s v="OUEST"/>
    <s v="Batsaa"/>
    <s v="Huawei"/>
    <n v="0"/>
    <n v="0"/>
    <n v="0"/>
    <n v="0"/>
    <n v="0"/>
    <n v="0"/>
    <n v="0"/>
    <n v="0"/>
    <n v="0"/>
    <n v="0"/>
    <n v="0"/>
    <n v="0"/>
    <n v="0"/>
    <n v="0.1868581155313569"/>
    <n v="0"/>
    <n v="0"/>
    <n v="0.06153102019501588"/>
    <n v="0"/>
    <n v="0"/>
    <n v="0"/>
    <n v="0"/>
    <n v="0"/>
    <n v="0"/>
    <n v="0"/>
    <m/>
    <n v="0"/>
    <m/>
    <n v="0"/>
    <m/>
    <n v="0"/>
    <m/>
    <m/>
    <n v="0"/>
    <n v="0"/>
    <n v="0"/>
    <n v="0"/>
    <m/>
    <n v="0"/>
    <n v="0"/>
    <n v="0"/>
    <n v="0"/>
    <n v="0"/>
    <x v="0"/>
    <m/>
    <x v="2"/>
    <x v="1"/>
    <s v="no root cause"/>
    <x v="1"/>
    <s v=""/>
  </r>
  <r>
    <s v="Ngaoundal"/>
    <s v="ADM_010"/>
    <s v="Ngaoundere"/>
    <s v="IHS"/>
    <s v="Medium Grid + Solar + GE"/>
    <s v="ADAMAOUA"/>
    <s v="Ngaoundal"/>
    <s v="Huawei"/>
    <n v="0"/>
    <n v="0"/>
    <n v="0"/>
    <n v="0"/>
    <n v="0"/>
    <n v="0"/>
    <n v="0"/>
    <n v="0"/>
    <n v="0"/>
    <n v="0"/>
    <n v="0"/>
    <n v="0"/>
    <n v="0"/>
    <n v="0.00187268322332657"/>
    <n v="0.002496910964435427"/>
    <n v="0.04068181364198007"/>
    <n v="0.05964050189337192"/>
    <n v="0"/>
    <n v="0"/>
    <n v="0"/>
    <n v="0"/>
    <n v="0"/>
    <n v="0"/>
    <n v="0"/>
    <m/>
    <n v="0"/>
    <m/>
    <n v="0"/>
    <m/>
    <n v="0"/>
    <m/>
    <m/>
    <n v="0"/>
    <n v="0"/>
    <n v="0"/>
    <n v="0"/>
    <m/>
    <n v="0"/>
    <n v="0"/>
    <n v="0"/>
    <n v="0"/>
    <n v="0"/>
    <x v="0"/>
    <m/>
    <x v="2"/>
    <x v="1"/>
    <s v="no root cause"/>
    <x v="1"/>
    <s v=""/>
  </r>
  <r>
    <s v="Bawa-IHS"/>
    <s v="ADM_143"/>
    <s v="ADAMAOUA"/>
    <s v="IHS"/>
    <s v="Solar-Gen"/>
    <s v="ADAMAOUA"/>
    <s v="Bawa"/>
    <s v="Huawei"/>
    <n v="0"/>
    <n v="0"/>
    <n v="0"/>
    <n v="0"/>
    <n v="0"/>
    <n v="0"/>
    <n v="0"/>
    <n v="0"/>
    <n v="0"/>
    <n v="0"/>
    <n v="0"/>
    <n v="0"/>
    <n v="0"/>
    <n v="0.004547944970935956"/>
    <n v="0.001070104699043754"/>
    <n v="0.0466208947216729"/>
    <n v="0.03442170115257411"/>
    <n v="0"/>
    <n v="0"/>
    <n v="0"/>
    <n v="1.483664727335437"/>
    <n v="0"/>
    <n v="0"/>
    <n v="0"/>
    <m/>
    <n v="0"/>
    <m/>
    <n v="0"/>
    <m/>
    <n v="0"/>
    <m/>
    <m/>
    <n v="0"/>
    <n v="0"/>
    <n v="0"/>
    <n v="0"/>
    <m/>
    <n v="0"/>
    <n v="0"/>
    <n v="0"/>
    <n v="0"/>
    <n v="0"/>
    <x v="0"/>
    <m/>
    <x v="4"/>
    <x v="0"/>
    <s v="Defaut GE &amp; Power Cabinet"/>
    <x v="0"/>
    <s v="{hourly IHS}: 25/05/2026 19:39 3:20:21 FME isinformed and managing ETA ASAP      ;      {05-25-2026 ocm ran 22H}: Power status check Ongoing"/>
  </r>
  <r>
    <s v="Tekel-IHS"/>
    <s v="ADM_140"/>
    <s v="ADAMAOUA"/>
    <m/>
    <m/>
    <s v="ADAMAOUA"/>
    <s v="Martap"/>
    <s v="Huawei"/>
    <n v="0"/>
    <n v="0"/>
    <n v="0"/>
    <n v="0"/>
    <n v="0"/>
    <n v="0"/>
    <n v="0"/>
    <n v="0"/>
    <n v="0"/>
    <n v="0"/>
    <n v="0"/>
    <n v="0"/>
    <n v="0"/>
    <n v="0.4323044633353594"/>
    <n v="0.001337630873804693"/>
    <n v="0.04294686858828935"/>
    <n v="0.03219231636289961"/>
    <n v="0"/>
    <n v="0"/>
    <n v="0"/>
    <n v="0"/>
    <n v="0"/>
    <n v="0"/>
    <n v="0"/>
    <m/>
    <n v="0"/>
    <m/>
    <n v="0"/>
    <m/>
    <n v="0"/>
    <m/>
    <m/>
    <n v="0"/>
    <n v="0"/>
    <n v="0"/>
    <n v="0"/>
    <m/>
    <n v="0"/>
    <n v="0"/>
    <n v="0"/>
    <n v="0"/>
    <n v="0"/>
    <x v="0"/>
    <m/>
    <x v="2"/>
    <x v="1"/>
    <s v="no root cause"/>
    <x v="1"/>
    <s v=""/>
  </r>
  <r>
    <s v="Bawa"/>
    <s v="ADM_183"/>
    <s v="ADAMAOUA"/>
    <m/>
    <m/>
    <s v="ADAMAOUA"/>
    <s v="Bawa"/>
    <s v="Huawei"/>
    <n v="0"/>
    <n v="0"/>
    <n v="0"/>
    <n v="0"/>
    <n v="0"/>
    <n v="0"/>
    <n v="0"/>
    <n v="0"/>
    <n v="0"/>
    <n v="0"/>
    <n v="0"/>
    <n v="0"/>
    <n v="0"/>
    <n v="0.002086704163135321"/>
    <n v="0.0008917539158697954"/>
    <n v="0.03185344987486909"/>
    <n v="0.02491560440940208"/>
    <n v="0"/>
    <n v="0"/>
    <n v="0"/>
    <n v="0"/>
    <n v="0"/>
    <n v="0"/>
    <n v="0"/>
    <m/>
    <n v="0"/>
    <m/>
    <n v="0"/>
    <m/>
    <n v="0"/>
    <m/>
    <m/>
    <n v="0"/>
    <n v="0"/>
    <n v="0"/>
    <n v="0"/>
    <m/>
    <n v="0"/>
    <n v="0"/>
    <n v="0"/>
    <n v="0"/>
    <n v="0"/>
    <x v="0"/>
    <m/>
    <x v="2"/>
    <x v="1"/>
    <s v="no root cause"/>
    <x v="1"/>
    <s v=""/>
  </r>
  <r>
    <s v="Njimom-IHS"/>
    <s v="OST_149"/>
    <s v="OUEST"/>
    <s v="IHS"/>
    <s v="Grid-Gen"/>
    <s v="OUEST"/>
    <s v="Njimom"/>
    <s v="Huawei"/>
    <n v="0"/>
    <n v="0"/>
    <n v="0"/>
    <n v="0"/>
    <n v="0"/>
    <n v="0"/>
    <n v="0"/>
    <n v="0"/>
    <n v="0"/>
    <n v="0"/>
    <n v="0"/>
    <n v="0"/>
    <n v="0"/>
    <n v="0.8145636969121058"/>
    <n v="0"/>
    <n v="0"/>
    <n v="0.02471941854791072"/>
    <n v="0"/>
    <n v="0"/>
    <n v="0"/>
    <n v="0"/>
    <n v="0"/>
    <n v="0"/>
    <n v="0"/>
    <m/>
    <n v="0"/>
    <m/>
    <n v="0"/>
    <m/>
    <n v="0"/>
    <m/>
    <m/>
    <n v="0"/>
    <n v="0"/>
    <n v="0"/>
    <n v="0"/>
    <m/>
    <n v="0"/>
    <n v="0"/>
    <n v="0"/>
    <n v="0"/>
    <n v="0"/>
    <x v="0"/>
    <m/>
    <x v="2"/>
    <x v="1"/>
    <s v="no root cause"/>
    <x v="1"/>
    <s v=""/>
  </r>
  <r>
    <s v="Mbonge"/>
    <s v="SUO_134"/>
    <s v="SUD-OUEST"/>
    <s v="IHS"/>
    <s v="Hybrid-Gen"/>
    <s v="SUD-OUEST"/>
    <s v="Mbonge"/>
    <s v="Huawei"/>
    <n v="0"/>
    <n v="0"/>
    <n v="0"/>
    <n v="0"/>
    <n v="0"/>
    <n v="0"/>
    <n v="0"/>
    <n v="0"/>
    <n v="0"/>
    <n v="0"/>
    <n v="0"/>
    <n v="0"/>
    <n v="0"/>
    <n v="0"/>
    <n v="0"/>
    <n v="0.1023733495418525"/>
    <n v="0.0204746699083705"/>
    <n v="0"/>
    <n v="0"/>
    <n v="0"/>
    <n v="0"/>
    <n v="0"/>
    <n v="0"/>
    <n v="0"/>
    <m/>
    <n v="0"/>
    <m/>
    <n v="0"/>
    <m/>
    <n v="0"/>
    <m/>
    <m/>
    <n v="0"/>
    <n v="0"/>
    <n v="0"/>
    <n v="0"/>
    <m/>
    <n v="0"/>
    <n v="0"/>
    <n v="0"/>
    <n v="0"/>
    <n v="0"/>
    <x v="0"/>
    <m/>
    <x v="2"/>
    <x v="1"/>
    <s v="no root cause"/>
    <x v="1"/>
    <s v=""/>
  </r>
  <r>
    <s v="Bombe-Bakundu-MTN"/>
    <s v="SUO_086"/>
    <s v="SUD-OUEST"/>
    <s v="IHS"/>
    <s v="Gen Only"/>
    <s v="SUD-OUEST"/>
    <s v="Bombe-Bakundu"/>
    <s v="Huawei"/>
    <n v="0"/>
    <n v="0"/>
    <n v="0"/>
    <n v="0"/>
    <n v="0"/>
    <n v="0"/>
    <n v="0"/>
    <n v="0"/>
    <n v="0"/>
    <n v="0"/>
    <n v="0"/>
    <n v="0"/>
    <n v="0"/>
    <n v="0"/>
    <n v="0"/>
    <n v="0.00631361772435815"/>
    <n v="0.01985044216726164"/>
    <n v="0"/>
    <n v="0"/>
    <n v="0"/>
    <n v="0"/>
    <n v="0"/>
    <n v="0"/>
    <n v="0"/>
    <m/>
    <n v="0"/>
    <m/>
    <n v="0"/>
    <m/>
    <n v="0"/>
    <m/>
    <m/>
    <n v="0"/>
    <n v="0"/>
    <n v="0"/>
    <n v="0"/>
    <m/>
    <n v="0"/>
    <n v="0"/>
    <n v="0"/>
    <n v="0"/>
    <n v="0"/>
    <x v="0"/>
    <m/>
    <x v="2"/>
    <x v="1"/>
    <s v="no root cause"/>
    <x v="1"/>
    <s v=""/>
  </r>
  <r>
    <s v="BAHAM-NGOUGOUM"/>
    <s v="OST_282"/>
    <s v="OUEST"/>
    <s v="CAMUSAT"/>
    <s v="Bad Grid + GE"/>
    <s v="OUEST"/>
    <s v="Bafang"/>
    <s v="Huawei"/>
    <n v="0"/>
    <n v="0"/>
    <n v="0"/>
    <n v="0"/>
    <n v="0"/>
    <n v="0"/>
    <n v="0"/>
    <n v="0"/>
    <n v="0"/>
    <n v="0"/>
    <n v="0"/>
    <n v="0.03468922732733509"/>
    <n v="0"/>
    <n v="0"/>
    <n v="0.02425570651165843"/>
    <n v="0.02487993425276729"/>
    <n v="0.01915487411288321"/>
    <n v="0"/>
    <n v="0"/>
    <n v="0"/>
    <n v="0"/>
    <n v="0"/>
    <n v="0"/>
    <n v="0"/>
    <m/>
    <n v="0"/>
    <m/>
    <n v="0"/>
    <m/>
    <n v="0"/>
    <m/>
    <m/>
    <n v="0"/>
    <n v="0"/>
    <n v="0"/>
    <n v="0"/>
    <m/>
    <n v="0"/>
    <n v="0"/>
    <n v="0"/>
    <n v="0"/>
    <n v="0"/>
    <x v="0"/>
    <m/>
    <x v="2"/>
    <x v="1"/>
    <s v="no root cause"/>
    <x v="1"/>
    <s v=""/>
  </r>
  <r>
    <s v="Adoumre-IHS"/>
    <s v="NRD_078"/>
    <s v="NORD"/>
    <s v="IHS"/>
    <s v="Grid-Gen"/>
    <s v="NORD"/>
    <s v="Adoumre"/>
    <s v="Huawei"/>
    <n v="0"/>
    <n v="0"/>
    <n v="0"/>
    <n v="0"/>
    <n v="0"/>
    <n v="0"/>
    <n v="0"/>
    <n v="0"/>
    <n v="0"/>
    <n v="0"/>
    <n v="0"/>
    <n v="0"/>
    <n v="0"/>
    <n v="0.2363861280187654"/>
    <n v="0.08464528169436097"/>
    <n v="0.02029631912519654"/>
    <n v="0.01676497361835215"/>
    <n v="0"/>
    <n v="0"/>
    <n v="0"/>
    <n v="0"/>
    <n v="0"/>
    <n v="0"/>
    <n v="0"/>
    <m/>
    <n v="0"/>
    <m/>
    <n v="0"/>
    <m/>
    <n v="0"/>
    <m/>
    <m/>
    <n v="0"/>
    <n v="0"/>
    <n v="0"/>
    <n v="0"/>
    <m/>
    <n v="0"/>
    <n v="0"/>
    <n v="0"/>
    <n v="0"/>
    <n v="0"/>
    <x v="0"/>
    <m/>
    <x v="4"/>
    <x v="0"/>
    <s v="Defaut GE &amp; Power Cabinet"/>
    <x v="0"/>
    <s v="  {05-25-2026 groupe whatsapp incident}:    impacted by  Boula-Ibi-IHS_G_NRD_105 ,RCA: Power issue / En attente RCA IHS"/>
  </r>
  <r>
    <s v="Mbe-IHS"/>
    <s v="ADM_092"/>
    <s v="ADAMAOUA"/>
    <s v="IHS"/>
    <s v="Solar-Gen"/>
    <s v="ADAMAOUA"/>
    <s v="Mbe"/>
    <s v="Huawei"/>
    <n v="0"/>
    <n v="0"/>
    <n v="0"/>
    <n v="0"/>
    <n v="0"/>
    <n v="0"/>
    <n v="0"/>
    <n v="0"/>
    <n v="0"/>
    <n v="0"/>
    <n v="0"/>
    <n v="0"/>
    <n v="0"/>
    <n v="0"/>
    <n v="0"/>
    <n v="0"/>
    <n v="0.01605157048565632"/>
    <n v="0"/>
    <n v="0"/>
    <n v="0"/>
    <n v="0"/>
    <n v="0"/>
    <n v="0"/>
    <n v="0"/>
    <m/>
    <n v="0"/>
    <m/>
    <n v="0"/>
    <m/>
    <n v="0"/>
    <m/>
    <m/>
    <n v="0"/>
    <n v="0"/>
    <n v="0"/>
    <n v="0"/>
    <m/>
    <n v="0"/>
    <n v="0"/>
    <n v="0"/>
    <n v="0"/>
    <n v="0"/>
    <x v="0"/>
    <m/>
    <x v="4"/>
    <x v="0"/>
    <s v="Defaut GE &amp; Power Cabinet"/>
    <x v="0"/>
    <s v="{hourly IHS}: 25/05/2026 09:47 0:13:00 25 FME is informed and managing"/>
  </r>
  <r>
    <s v="Ribao"/>
    <s v="NRD_028"/>
    <s v="NORD"/>
    <s v="IHS"/>
    <s v="Solar-Gen"/>
    <s v="NORD"/>
    <s v="Ribao"/>
    <s v="Huawei"/>
    <n v="0"/>
    <n v="0"/>
    <n v="0"/>
    <n v="0"/>
    <n v="0"/>
    <n v="0"/>
    <n v="0"/>
    <n v="0"/>
    <n v="0"/>
    <n v="0"/>
    <n v="0"/>
    <n v="0"/>
    <n v="0"/>
    <n v="0.02113456780611415"/>
    <n v="0.06072844167073306"/>
    <n v="0.1016242762525219"/>
    <n v="0.01551651813613444"/>
    <n v="0"/>
    <n v="0"/>
    <n v="0"/>
    <n v="1.553115823003654"/>
    <n v="0"/>
    <n v="0"/>
    <n v="0"/>
    <m/>
    <n v="0"/>
    <m/>
    <n v="0"/>
    <m/>
    <n v="0"/>
    <m/>
    <m/>
    <n v="0"/>
    <n v="0"/>
    <n v="0"/>
    <n v="0"/>
    <m/>
    <n v="0"/>
    <n v="0"/>
    <n v="0"/>
    <n v="0"/>
    <n v="0"/>
    <x v="0"/>
    <m/>
    <x v="2"/>
    <x v="1"/>
    <s v="no root cause"/>
    <x v="1"/>
    <s v=""/>
  </r>
  <r>
    <s v="Ngongo-MTN"/>
    <s v="SUO_085"/>
    <s v="SUD-OUEST"/>
    <s v="IHS"/>
    <s v=""/>
    <s v="SUD-OUEST"/>
    <s v="Ngongo"/>
    <s v="Huawei"/>
    <n v="0"/>
    <n v="0"/>
    <n v="0"/>
    <n v="0"/>
    <n v="0"/>
    <n v="0"/>
    <n v="0"/>
    <n v="0"/>
    <n v="0"/>
    <n v="0"/>
    <n v="0"/>
    <n v="0"/>
    <n v="0"/>
    <n v="0"/>
    <n v="0"/>
    <n v="0.06777329760610444"/>
    <n v="0.01359032967785568"/>
    <n v="0"/>
    <n v="0"/>
    <n v="0"/>
    <n v="0"/>
    <n v="0"/>
    <n v="0"/>
    <n v="0"/>
    <m/>
    <n v="0"/>
    <m/>
    <n v="0"/>
    <m/>
    <n v="0"/>
    <m/>
    <m/>
    <n v="0"/>
    <n v="0"/>
    <n v="0"/>
    <n v="0"/>
    <m/>
    <n v="0"/>
    <n v="0"/>
    <n v="0"/>
    <n v="0"/>
    <n v="0"/>
    <x v="0"/>
    <m/>
    <x v="2"/>
    <x v="1"/>
    <s v="no root cause"/>
    <x v="1"/>
    <s v=""/>
  </r>
  <r>
    <s v="FOSSET"/>
    <s v="OST_264"/>
    <s v="NORD-OUEST"/>
    <s v="IHS"/>
    <s v="Grid-Gen"/>
    <s v="OUEST"/>
    <s v="Foumbot"/>
    <s v="Huawei"/>
    <n v="0"/>
    <n v="0"/>
    <n v="0"/>
    <n v="0"/>
    <n v="0"/>
    <n v="0"/>
    <n v="0"/>
    <n v="0"/>
    <n v="0"/>
    <n v="0"/>
    <n v="0"/>
    <n v="0"/>
    <n v="0"/>
    <n v="0"/>
    <n v="0"/>
    <n v="0"/>
    <n v="0.004815471145696894"/>
    <n v="0"/>
    <n v="0"/>
    <n v="0"/>
    <n v="0"/>
    <n v="0"/>
    <n v="0"/>
    <n v="0"/>
    <m/>
    <n v="0"/>
    <m/>
    <n v="0"/>
    <m/>
    <n v="0"/>
    <m/>
    <m/>
    <n v="0"/>
    <n v="0"/>
    <n v="0"/>
    <n v="0"/>
    <m/>
    <n v="0"/>
    <n v="0"/>
    <n v="0"/>
    <n v="0"/>
    <n v="0"/>
    <x v="0"/>
    <m/>
    <x v="4"/>
    <x v="0"/>
    <s v="Defaut GE &amp; Power Cabinet"/>
    <x v="0"/>
    <s v="{05-25-2026 groupe whatsapp incident}:    impacted by OST_005_H_Foumbot ,Cause: Probleme energie    Action: RCA attendu de IHS      ;      {hourly IHS}: 25/05/2026 04:16 1:05:01 47.5V Gen stopped due to fuel shortage.      ;      {05-25-2026 ocm ran 17H}: Power status check Ongoing"/>
  </r>
  <r>
    <s v="Bafou-Balepe-IHS"/>
    <s v="OST_255"/>
    <s v="OUEST"/>
    <s v="IHS"/>
    <s v="Grid-Gen"/>
    <s v="OUEST"/>
    <s v="Loung"/>
    <s v="Huawei"/>
    <n v="0"/>
    <n v="0"/>
    <n v="0"/>
    <n v="0"/>
    <n v="0"/>
    <n v="0"/>
    <n v="0"/>
    <n v="0"/>
    <n v="0"/>
    <n v="0"/>
    <n v="0"/>
    <n v="0"/>
    <n v="0"/>
    <n v="8.917539158697954e-05"/>
    <n v="0.710727870948227"/>
    <n v="0"/>
    <n v="0.002140209398087508"/>
    <n v="0"/>
    <n v="0"/>
    <n v="0"/>
    <n v="0"/>
    <n v="0"/>
    <n v="0"/>
    <n v="0"/>
    <m/>
    <n v="0"/>
    <m/>
    <n v="0"/>
    <m/>
    <n v="0"/>
    <m/>
    <m/>
    <n v="0"/>
    <n v="0"/>
    <n v="0"/>
    <n v="0"/>
    <m/>
    <n v="0"/>
    <n v="0"/>
    <n v="0"/>
    <n v="0"/>
    <n v="0"/>
    <x v="0"/>
    <m/>
    <x v="2"/>
    <x v="1"/>
    <s v="no root cause"/>
    <x v="1"/>
    <s v=""/>
  </r>
  <r>
    <s v="Fokoue"/>
    <s v="OST_059"/>
    <s v="OUEST"/>
    <s v="IHS"/>
    <s v="Grid-Gen"/>
    <s v="OUEST"/>
    <s v="Fokoue"/>
    <s v="Huawei"/>
    <n v="0"/>
    <n v="0"/>
    <n v="0"/>
    <n v="0"/>
    <n v="0"/>
    <n v="0"/>
    <n v="0"/>
    <n v="0"/>
    <n v="0"/>
    <n v="0"/>
    <n v="0"/>
    <n v="0"/>
    <n v="0"/>
    <n v="0"/>
    <n v="0.03263819332083451"/>
    <n v="0"/>
    <n v="0.002140209398087508"/>
    <n v="0"/>
    <n v="0"/>
    <n v="0"/>
    <n v="0"/>
    <n v="0"/>
    <n v="0"/>
    <n v="0"/>
    <m/>
    <n v="0"/>
    <m/>
    <n v="0"/>
    <m/>
    <n v="0"/>
    <m/>
    <m/>
    <n v="0"/>
    <n v="0"/>
    <n v="0"/>
    <n v="0"/>
    <m/>
    <n v="0"/>
    <n v="0"/>
    <n v="0"/>
    <n v="0"/>
    <n v="0"/>
    <x v="0"/>
    <m/>
    <x v="2"/>
    <x v="1"/>
    <s v="no root cause"/>
    <x v="1"/>
    <s v=""/>
  </r>
  <r>
    <s v="Fokoue-IHS"/>
    <s v="OST_139"/>
    <s v="OUEST"/>
    <s v="IHS"/>
    <s v="Grid-Gen"/>
    <s v="OUEST"/>
    <s v="Fokoue"/>
    <s v="Huawei"/>
    <n v="0"/>
    <n v="0"/>
    <n v="0"/>
    <n v="0"/>
    <n v="0"/>
    <n v="0"/>
    <n v="0"/>
    <n v="0"/>
    <n v="0"/>
    <n v="0"/>
    <n v="0"/>
    <n v="0"/>
    <n v="0"/>
    <n v="0"/>
    <n v="0.1822209951688339"/>
    <n v="0.1000726244389084"/>
    <n v="0.00196185861491355"/>
    <n v="0"/>
    <n v="0"/>
    <n v="0"/>
    <n v="0"/>
    <n v="0"/>
    <n v="0"/>
    <n v="0"/>
    <m/>
    <n v="0"/>
    <m/>
    <n v="0"/>
    <m/>
    <n v="0"/>
    <m/>
    <m/>
    <n v="0"/>
    <n v="0"/>
    <n v="0"/>
    <n v="0"/>
    <m/>
    <n v="0"/>
    <n v="0"/>
    <n v="0"/>
    <n v="0"/>
    <n v="0"/>
    <x v="0"/>
    <m/>
    <x v="2"/>
    <x v="1"/>
    <s v="no root cause"/>
    <x v="1"/>
    <s v=""/>
  </r>
  <r>
    <s v="Bawa-CAMRAIL"/>
    <s v="ADM_014"/>
    <s v="ADAMAOUA"/>
    <s v="CAMUSAT"/>
    <s v="Hybrid Solar - S3"/>
    <s v="ADAMAOUA"/>
    <s v="Bawa"/>
    <s v="Huawei"/>
    <n v="0"/>
    <n v="0"/>
    <n v="0"/>
    <n v="0"/>
    <n v="0"/>
    <n v="0"/>
    <n v="0"/>
    <n v="0"/>
    <n v="0"/>
    <n v="0"/>
    <n v="0"/>
    <n v="0"/>
    <n v="0"/>
    <n v="0.004280418796175018"/>
    <n v="0.001605157048565631"/>
    <n v="0.003210314097131263"/>
    <n v="0.00196185861491355"/>
    <n v="0"/>
    <n v="0"/>
    <n v="0"/>
    <n v="0"/>
    <n v="0"/>
    <n v="0"/>
    <n v="0"/>
    <m/>
    <n v="0"/>
    <m/>
    <n v="0"/>
    <m/>
    <n v="0"/>
    <m/>
    <m/>
    <n v="0"/>
    <n v="0"/>
    <n v="0"/>
    <n v="0"/>
    <m/>
    <n v="0"/>
    <n v="0"/>
    <n v="0"/>
    <n v="0"/>
    <n v="0"/>
    <x v="0"/>
    <m/>
    <x v="2"/>
    <x v="1"/>
    <s v="no root cause"/>
    <x v="1"/>
    <s v=""/>
  </r>
  <r>
    <s v="Bafou-Zinkop"/>
    <s v="OST_069"/>
    <s v="OUEST"/>
    <s v="IHS"/>
    <s v="Grid-Gen"/>
    <s v="OUEST"/>
    <s v="Bafou"/>
    <s v="Huawei"/>
    <n v="0"/>
    <n v="0"/>
    <n v="0"/>
    <n v="0"/>
    <n v="0"/>
    <n v="0"/>
    <n v="0"/>
    <n v="0"/>
    <n v="0"/>
    <n v="0"/>
    <n v="0"/>
    <n v="0"/>
    <n v="0"/>
    <n v="0"/>
    <n v="0.7116196248640967"/>
    <n v="0"/>
    <n v="0.00196185861491355"/>
    <n v="0"/>
    <n v="0"/>
    <n v="0"/>
    <n v="0"/>
    <n v="0"/>
    <n v="0"/>
    <n v="0"/>
    <m/>
    <n v="0"/>
    <m/>
    <n v="0"/>
    <m/>
    <n v="0"/>
    <m/>
    <m/>
    <n v="0"/>
    <n v="0"/>
    <n v="0"/>
    <n v="0"/>
    <m/>
    <n v="0"/>
    <n v="0"/>
    <n v="0"/>
    <n v="0"/>
    <n v="0"/>
    <x v="0"/>
    <m/>
    <x v="2"/>
    <x v="1"/>
    <s v="no root cause"/>
    <x v="1"/>
    <s v=""/>
  </r>
  <r>
    <s v="Bafou"/>
    <s v="OST_017"/>
    <s v="OUEST"/>
    <s v="IHS"/>
    <s v="Grid-Gen"/>
    <s v="OUEST"/>
    <s v="Bafou"/>
    <s v="Huawei"/>
    <n v="0"/>
    <n v="0"/>
    <n v="0"/>
    <n v="0"/>
    <n v="0"/>
    <n v="0"/>
    <n v="0"/>
    <n v="0"/>
    <n v="0"/>
    <n v="0"/>
    <n v="0"/>
    <n v="0"/>
    <n v="0"/>
    <n v="0"/>
    <n v="0"/>
    <n v="0"/>
    <n v="0.00187268322332657"/>
    <n v="0"/>
    <n v="0"/>
    <n v="0"/>
    <n v="0"/>
    <n v="0"/>
    <n v="0"/>
    <n v="0"/>
    <m/>
    <n v="0"/>
    <m/>
    <n v="0"/>
    <m/>
    <n v="0"/>
    <m/>
    <m/>
    <n v="0"/>
    <n v="0"/>
    <n v="0"/>
    <n v="0"/>
    <m/>
    <n v="0"/>
    <n v="0"/>
    <n v="0"/>
    <n v="0"/>
    <n v="0"/>
    <x v="0"/>
    <m/>
    <x v="2"/>
    <x v="1"/>
    <s v="no root cause"/>
    <x v="1"/>
    <s v=""/>
  </r>
  <r>
    <s v="Bafou-Badzifeng"/>
    <s v="OST_108"/>
    <s v="OUEST"/>
    <s v="IHS"/>
    <s v="Grid-Gen"/>
    <s v="OUEST"/>
    <s v="Bafou"/>
    <s v="Huawei"/>
    <n v="0"/>
    <n v="0"/>
    <n v="0"/>
    <n v="0"/>
    <n v="0"/>
    <n v="0"/>
    <n v="0"/>
    <n v="0"/>
    <n v="0"/>
    <n v="0"/>
    <n v="0"/>
    <n v="0"/>
    <n v="0"/>
    <n v="0"/>
    <n v="0"/>
    <n v="0"/>
    <n v="0.001605157048565631"/>
    <n v="0"/>
    <n v="0"/>
    <n v="0"/>
    <n v="0"/>
    <n v="0"/>
    <n v="0"/>
    <n v="0"/>
    <m/>
    <n v="0"/>
    <m/>
    <n v="0"/>
    <m/>
    <n v="0"/>
    <m/>
    <m/>
    <n v="0"/>
    <n v="0"/>
    <n v="0"/>
    <n v="0"/>
    <m/>
    <n v="0"/>
    <n v="0"/>
    <n v="0"/>
    <n v="0"/>
    <n v="0"/>
    <x v="0"/>
    <m/>
    <x v="2"/>
    <x v="1"/>
    <s v="no root cause"/>
    <x v="1"/>
    <s v=""/>
  </r>
  <r>
    <s v="Ndop"/>
    <s v="NRO_006"/>
    <s v="NORD-OUEST"/>
    <s v="IHS"/>
    <s v="Grid-Hybrid-Gen"/>
    <s v="NORD-OUEST"/>
    <s v="Ndop"/>
    <s v="Huawei"/>
    <n v="0"/>
    <n v="0"/>
    <n v="0"/>
    <n v="0"/>
    <n v="0"/>
    <n v="0"/>
    <n v="0"/>
    <n v="0"/>
    <n v="0"/>
    <n v="0"/>
    <n v="0"/>
    <n v="0"/>
    <n v="0"/>
    <n v="0.0002496910964435427"/>
    <n v="0"/>
    <n v="0"/>
    <n v="0.0005350523495218772"/>
    <n v="0"/>
    <n v="0"/>
    <n v="0"/>
    <n v="0"/>
    <n v="0"/>
    <n v="0"/>
    <n v="0"/>
    <m/>
    <n v="0"/>
    <m/>
    <n v="0"/>
    <m/>
    <n v="0"/>
    <m/>
    <m/>
    <n v="0"/>
    <n v="0"/>
    <n v="0"/>
    <n v="0"/>
    <m/>
    <n v="0"/>
    <n v="0"/>
    <n v="0"/>
    <n v="0"/>
    <n v="0"/>
    <x v="0"/>
    <m/>
    <x v="2"/>
    <x v="1"/>
    <s v="no root cause"/>
    <x v="1"/>
    <s v=""/>
  </r>
  <r>
    <s v="Col-Batie-IHS"/>
    <s v="OST_164"/>
    <s v="OUEST"/>
    <s v="IHS"/>
    <s v="Grid-Gen"/>
    <s v="OUEST"/>
    <s v="Batie"/>
    <s v="Huawei"/>
    <n v="0"/>
    <n v="0"/>
    <n v="0"/>
    <n v="0"/>
    <n v="0"/>
    <n v="0"/>
    <n v="0"/>
    <n v="0"/>
    <n v="0"/>
    <n v="0"/>
    <n v="0"/>
    <n v="0"/>
    <n v="0"/>
    <n v="0"/>
    <n v="0.005225677946997001"/>
    <n v="0"/>
    <n v="0.0003567015663479182"/>
    <n v="0"/>
    <n v="0"/>
    <n v="0"/>
    <n v="0"/>
    <n v="0"/>
    <n v="0"/>
    <n v="0"/>
    <m/>
    <n v="0"/>
    <m/>
    <n v="0"/>
    <m/>
    <n v="0"/>
    <m/>
    <m/>
    <n v="0"/>
    <n v="0"/>
    <n v="0"/>
    <n v="0"/>
    <m/>
    <n v="0"/>
    <n v="0"/>
    <n v="0"/>
    <n v="0"/>
    <n v="0"/>
    <x v="0"/>
    <m/>
    <x v="2"/>
    <x v="1"/>
    <s v="no root cause"/>
    <x v="1"/>
    <s v=""/>
  </r>
  <r>
    <s v="Bayangam"/>
    <s v="OST_051"/>
    <s v="OUEST"/>
    <s v="IHS"/>
    <s v="Grid-Gen"/>
    <s v="OUEST"/>
    <s v="Bayangam"/>
    <s v="Huawei"/>
    <n v="0"/>
    <n v="0"/>
    <n v="0"/>
    <n v="0"/>
    <n v="0"/>
    <n v="0"/>
    <n v="0"/>
    <n v="0"/>
    <n v="0"/>
    <n v="0"/>
    <n v="0"/>
    <n v="0"/>
    <n v="0"/>
    <n v="1.331602617333413"/>
    <n v="0"/>
    <n v="0"/>
    <n v="8.917539158697954e-05"/>
    <n v="0"/>
    <n v="0"/>
    <n v="0"/>
    <n v="0"/>
    <n v="0"/>
    <n v="0"/>
    <n v="0"/>
    <m/>
    <n v="0"/>
    <m/>
    <n v="0"/>
    <m/>
    <n v="0"/>
    <m/>
    <m/>
    <n v="0"/>
    <n v="0"/>
    <n v="0"/>
    <n v="0"/>
    <m/>
    <n v="0"/>
    <n v="0"/>
    <n v="0"/>
    <n v="0"/>
    <n v="0"/>
    <x v="0"/>
    <m/>
    <x v="2"/>
    <x v="1"/>
    <s v="no root cause"/>
    <x v="1"/>
    <s v=""/>
  </r>
  <r>
    <s v="Gospel-Radio-IHS"/>
    <s v="NRO_126"/>
    <s v="NORD-OUEST"/>
    <s v="IHS"/>
    <s v="Grid-Gen"/>
    <s v="NORD-OUEST"/>
    <s v="Bamenda"/>
    <s v="Huawei"/>
    <n v="7.870976763033163"/>
    <n v="4.238328011345964"/>
    <n v="0"/>
    <n v="0"/>
    <n v="6.856249982164922"/>
    <n v="0"/>
    <n v="0"/>
    <n v="1.700717398190239"/>
    <n v="15.00174427065944"/>
    <n v="0.8575997408919822"/>
    <n v="1.035914853909307"/>
    <n v="13.86598864832935"/>
    <n v="0"/>
    <n v="0"/>
    <n v="0"/>
    <n v="0"/>
    <n v="8.917539158697954e-05"/>
    <n v="2.239318928297278"/>
    <n v="0"/>
    <n v="0"/>
    <n v="13.86588163785945"/>
    <n v="0"/>
    <n v="0"/>
    <n v="0"/>
    <m/>
    <n v="0"/>
    <m/>
    <n v="0"/>
    <m/>
    <n v="0"/>
    <m/>
    <m/>
    <n v="0"/>
    <n v="0"/>
    <n v="0"/>
    <n v="0"/>
    <m/>
    <n v="0"/>
    <n v="0"/>
    <n v="0"/>
    <n v="0"/>
    <n v="0"/>
    <x v="0"/>
    <m/>
    <x v="2"/>
    <x v="1"/>
    <s v="no root cause"/>
    <x v="1"/>
    <s v=""/>
  </r>
  <r>
    <s v="Bonassama"/>
    <s v="LIT_435"/>
    <s v="Douala"/>
    <s v="IHS"/>
    <s v="Grid-Gen"/>
    <s v="LITTORAL"/>
    <s v="Douala"/>
    <s v="ZTE"/>
    <n v="0"/>
    <n v="0"/>
    <n v="0"/>
    <n v="0"/>
    <n v="0"/>
    <n v="1.30791763332791"/>
    <n v="0"/>
    <n v="0"/>
    <n v="0"/>
    <n v="0"/>
    <n v="0"/>
    <n v="0"/>
    <n v="0"/>
    <n v="0"/>
    <n v="0"/>
    <n v="3.695535237834338"/>
    <n v="0"/>
    <n v="0"/>
    <n v="0"/>
    <n v="0"/>
    <n v="0"/>
    <n v="0"/>
    <n v="0"/>
    <n v="0"/>
    <m/>
    <n v="0"/>
    <m/>
    <n v="0"/>
    <m/>
    <n v="0"/>
    <m/>
    <m/>
    <n v="0"/>
    <n v="0"/>
    <n v="0"/>
    <n v="0"/>
    <m/>
    <n v="0"/>
    <n v="0"/>
    <n v="0"/>
    <n v="0"/>
    <n v="0"/>
    <x v="0"/>
    <m/>
    <x v="2"/>
    <x v="1"/>
    <s v="no root cause"/>
    <x v="1"/>
    <s v=""/>
  </r>
  <r>
    <s v="Yelwa-MTN-IHS"/>
    <s v="NRD_097"/>
    <s v="Garoua"/>
    <s v="IHS"/>
    <s v="Grid-Gen"/>
    <s v="NORD"/>
    <s v="Garoua"/>
    <s v="Huawei"/>
    <n v="0"/>
    <n v="0"/>
    <n v="0"/>
    <n v="0"/>
    <n v="0"/>
    <n v="0"/>
    <n v="0"/>
    <n v="0"/>
    <n v="0"/>
    <n v="0"/>
    <n v="0"/>
    <n v="0"/>
    <n v="0"/>
    <n v="3.181653126275208"/>
    <n v="6.163803066492026"/>
    <n v="2.555053319750138"/>
    <n v="0"/>
    <n v="0"/>
    <n v="0"/>
    <n v="0"/>
    <n v="0"/>
    <n v="0"/>
    <n v="0"/>
    <n v="0"/>
    <m/>
    <n v="0"/>
    <m/>
    <n v="0"/>
    <m/>
    <n v="0"/>
    <m/>
    <m/>
    <n v="0"/>
    <n v="0"/>
    <n v="0"/>
    <n v="0"/>
    <m/>
    <n v="0"/>
    <n v="0"/>
    <n v="0"/>
    <n v="0"/>
    <n v="0"/>
    <x v="0"/>
    <m/>
    <x v="2"/>
    <x v="1"/>
    <s v="no root cause"/>
    <x v="1"/>
    <s v=""/>
  </r>
  <r>
    <s v="Bonendale"/>
    <s v="LIT_181"/>
    <s v="Douala"/>
    <s v="IHS"/>
    <s v="Grid-Gen"/>
    <s v="LITTORAL"/>
    <s v="Douala"/>
    <s v="ZTE"/>
    <n v="4.949929801131741"/>
    <n v="1.85276144084604"/>
    <n v="2.226245815890627"/>
    <n v="0"/>
    <n v="0"/>
    <n v="0"/>
    <n v="0"/>
    <n v="0"/>
    <n v="1.98884308840777"/>
    <n v="0"/>
    <n v="0.3828656262395377"/>
    <n v="0.002978458079005126"/>
    <n v="1.026908139359021"/>
    <n v="0.001676497361835078"/>
    <n v="0"/>
    <n v="2.206127847548604"/>
    <n v="0"/>
    <n v="4.933503694001421"/>
    <n v="0"/>
    <n v="0"/>
    <n v="0.1024625249334396"/>
    <n v="0"/>
    <n v="0"/>
    <n v="0"/>
    <m/>
    <n v="0"/>
    <m/>
    <n v="0"/>
    <m/>
    <n v="0"/>
    <m/>
    <m/>
    <n v="0"/>
    <n v="0"/>
    <n v="0"/>
    <n v="0"/>
    <m/>
    <n v="0"/>
    <n v="0"/>
    <n v="0"/>
    <n v="0"/>
    <n v="0"/>
    <x v="0"/>
    <m/>
    <x v="2"/>
    <x v="1"/>
    <s v="no root cause"/>
    <x v="1"/>
    <s v=""/>
  </r>
  <r>
    <s v="Edea-Q-Haoussa"/>
    <s v="LIT_000"/>
    <s v="LITTORAL"/>
    <s v="CAMUSAT"/>
    <s v="Grid-Gen"/>
    <s v="LITTORAL"/>
    <s v="Edea"/>
    <s v="ZTE"/>
    <n v="0"/>
    <n v="0"/>
    <n v="0"/>
    <n v="0"/>
    <n v="0"/>
    <n v="1.439736697171784"/>
    <n v="0"/>
    <n v="0"/>
    <n v="0"/>
    <n v="0"/>
    <n v="0"/>
    <n v="0"/>
    <n v="0"/>
    <n v="0"/>
    <n v="0"/>
    <n v="1.925920932103996"/>
    <n v="0"/>
    <n v="0"/>
    <n v="0"/>
    <n v="0"/>
    <n v="0"/>
    <n v="0"/>
    <n v="0"/>
    <n v="0"/>
    <m/>
    <n v="0"/>
    <m/>
    <n v="0"/>
    <m/>
    <n v="0"/>
    <m/>
    <m/>
    <n v="0"/>
    <n v="0"/>
    <n v="0"/>
    <n v="0"/>
    <m/>
    <n v="0"/>
    <n v="0"/>
    <n v="0"/>
    <n v="0"/>
    <n v="0"/>
    <x v="0"/>
    <m/>
    <x v="2"/>
    <x v="1"/>
    <s v="no root cause"/>
    <x v="1"/>
    <s v=""/>
  </r>
  <r>
    <s v="Meyo"/>
    <s v="CTR_320"/>
    <s v="Yaounde"/>
    <s v="IHS"/>
    <s v="Grid-Gen"/>
    <s v="CENTRE"/>
    <s v="Yaounde"/>
    <s v="ZTE"/>
    <n v="0"/>
    <n v="0"/>
    <n v="0"/>
    <n v="0"/>
    <n v="0"/>
    <n v="0"/>
    <n v="0"/>
    <n v="0"/>
    <n v="0"/>
    <n v="0"/>
    <n v="0.001551651813613444"/>
    <n v="0"/>
    <n v="0"/>
    <n v="0"/>
    <n v="0"/>
    <n v="1.656468568884778"/>
    <n v="0"/>
    <n v="0"/>
    <n v="0"/>
    <n v="0"/>
    <n v="0"/>
    <n v="0"/>
    <n v="0"/>
    <n v="0"/>
    <m/>
    <n v="0"/>
    <m/>
    <n v="0"/>
    <m/>
    <n v="0"/>
    <m/>
    <m/>
    <n v="0"/>
    <n v="0"/>
    <n v="0"/>
    <n v="0"/>
    <m/>
    <n v="0"/>
    <n v="0"/>
    <n v="0"/>
    <n v="0"/>
    <n v="0"/>
    <x v="0"/>
    <m/>
    <x v="2"/>
    <x v="1"/>
    <s v="no root cause"/>
    <x v="1"/>
    <s v=""/>
  </r>
  <r>
    <s v="Bonamatoumbe"/>
    <s v="LIT_203"/>
    <s v="Douala"/>
    <s v="IHS"/>
    <s v="Grid-Gen"/>
    <s v="LITTORAL"/>
    <s v="Douala"/>
    <s v="ZTE"/>
    <n v="0"/>
    <n v="0"/>
    <n v="0"/>
    <n v="0"/>
    <n v="0.03691861211700913"/>
    <n v="0"/>
    <n v="0"/>
    <n v="0"/>
    <n v="0"/>
    <n v="0"/>
    <n v="0"/>
    <n v="0"/>
    <n v="0"/>
    <n v="0"/>
    <n v="0"/>
    <n v="1.168019279006258"/>
    <n v="0"/>
    <n v="0"/>
    <n v="0"/>
    <n v="0"/>
    <n v="0"/>
    <n v="0"/>
    <n v="0"/>
    <n v="0"/>
    <m/>
    <n v="0"/>
    <m/>
    <n v="0"/>
    <m/>
    <n v="0"/>
    <m/>
    <m/>
    <n v="0"/>
    <n v="0"/>
    <n v="0"/>
    <n v="0"/>
    <m/>
    <n v="0"/>
    <n v="0"/>
    <n v="0"/>
    <n v="0"/>
    <n v="0"/>
    <x v="0"/>
    <m/>
    <x v="2"/>
    <x v="1"/>
    <s v="no root cause"/>
    <x v="1"/>
    <s v=""/>
  </r>
  <r>
    <s v="Ndoumkain"/>
    <s v="OST_207"/>
    <s v="OUEST"/>
    <s v="IHS"/>
    <s v="Grid-Gen"/>
    <s v="OUEST"/>
    <s v="Ndoumkain"/>
    <s v="Huawei"/>
    <n v="0"/>
    <n v="0"/>
    <n v="0"/>
    <n v="0"/>
    <n v="0"/>
    <n v="0"/>
    <n v="0"/>
    <n v="0"/>
    <n v="0"/>
    <n v="0"/>
    <n v="0"/>
    <n v="0"/>
    <n v="0"/>
    <n v="0"/>
    <n v="1.669363330508256"/>
    <n v="0.871065225021616"/>
    <n v="0"/>
    <n v="0"/>
    <n v="0"/>
    <n v="0"/>
    <n v="0.2759621668050669"/>
    <n v="0"/>
    <n v="0"/>
    <n v="0"/>
    <m/>
    <n v="0"/>
    <m/>
    <n v="0"/>
    <m/>
    <n v="0"/>
    <m/>
    <m/>
    <n v="0"/>
    <n v="0"/>
    <n v="0"/>
    <n v="0"/>
    <m/>
    <n v="0"/>
    <n v="0"/>
    <n v="0"/>
    <n v="0"/>
    <n v="0"/>
    <x v="0"/>
    <m/>
    <x v="2"/>
    <x v="1"/>
    <s v="no root cause"/>
    <x v="1"/>
    <s v=""/>
  </r>
  <r>
    <s v="Poli-Ville-IHS"/>
    <s v="NRD_119"/>
    <s v="NORD"/>
    <s v="IHS"/>
    <s v="Grid-Gen"/>
    <s v="NORD"/>
    <s v="Poli"/>
    <s v="Huawei"/>
    <n v="0"/>
    <n v="0"/>
    <n v="0"/>
    <n v="0"/>
    <n v="0"/>
    <n v="0"/>
    <n v="0"/>
    <n v="0"/>
    <n v="0"/>
    <n v="0"/>
    <n v="0"/>
    <n v="0"/>
    <n v="0"/>
    <n v="0"/>
    <n v="0"/>
    <n v="0.8353593982301896"/>
    <n v="0"/>
    <n v="0"/>
    <n v="0"/>
    <n v="0"/>
    <n v="0"/>
    <n v="0"/>
    <n v="0"/>
    <n v="0"/>
    <m/>
    <n v="0"/>
    <m/>
    <n v="0"/>
    <m/>
    <n v="0"/>
    <m/>
    <m/>
    <n v="0"/>
    <n v="0"/>
    <n v="0"/>
    <n v="0"/>
    <m/>
    <n v="0"/>
    <n v="0"/>
    <n v="0"/>
    <n v="0"/>
    <n v="0"/>
    <x v="0"/>
    <m/>
    <x v="4"/>
    <x v="0"/>
    <s v="Defaut GE &amp; Power Cabinet"/>
    <x v="0"/>
    <s v="{hourly IHS}: 25/05/2026 12:20 1:40:00 44 FME is informed and managing with L0.      ;      {05-25-2026 ocm ran 17H}: 25.05.26: BO TRANS analysis ongoing"/>
  </r>
  <r>
    <s v="Bangang-Fokam-IHS"/>
    <s v="OST_212"/>
    <s v="OUEST"/>
    <s v="IHS"/>
    <s v="Grid-Gen"/>
    <s v="OUEST"/>
    <s v="Bangang"/>
    <s v="Huawei"/>
    <n v="0"/>
    <n v="0"/>
    <n v="0"/>
    <n v="0"/>
    <n v="0"/>
    <n v="0"/>
    <n v="0"/>
    <n v="0"/>
    <n v="0"/>
    <n v="0"/>
    <n v="0"/>
    <n v="0"/>
    <n v="0"/>
    <n v="0"/>
    <n v="0"/>
    <n v="0.5614839355882578"/>
    <n v="0"/>
    <n v="0"/>
    <n v="0"/>
    <n v="0"/>
    <n v="0"/>
    <n v="0"/>
    <n v="0"/>
    <n v="0"/>
    <m/>
    <n v="0"/>
    <m/>
    <n v="0"/>
    <m/>
    <n v="0"/>
    <m/>
    <m/>
    <n v="0"/>
    <n v="0"/>
    <n v="0"/>
    <n v="0"/>
    <m/>
    <n v="0"/>
    <n v="0"/>
    <n v="0"/>
    <n v="0"/>
    <n v="0"/>
    <x v="0"/>
    <m/>
    <x v="2"/>
    <x v="1"/>
    <s v="no root cause"/>
    <x v="1"/>
    <s v=""/>
  </r>
  <r>
    <s v="Bamendou-II"/>
    <s v="OST_310"/>
    <s v="OUEST"/>
    <s v="ESCO"/>
    <s v="Medium Grid + GE"/>
    <s v="OUEST"/>
    <s v="Bamendou"/>
    <s v="Huawei"/>
    <n v="0"/>
    <n v="0"/>
    <n v="0"/>
    <n v="0"/>
    <n v="0"/>
    <n v="0"/>
    <n v="0"/>
    <n v="0"/>
    <n v="0"/>
    <n v="0"/>
    <n v="0"/>
    <n v="0"/>
    <n v="0"/>
    <n v="0"/>
    <n v="0"/>
    <n v="0.4770526748337058"/>
    <n v="0"/>
    <n v="0"/>
    <n v="0"/>
    <n v="0"/>
    <n v="1.901683060670656"/>
    <n v="0"/>
    <n v="0"/>
    <n v="0"/>
    <m/>
    <n v="0"/>
    <m/>
    <n v="0"/>
    <m/>
    <n v="0"/>
    <m/>
    <m/>
    <n v="0"/>
    <n v="0"/>
    <n v="0"/>
    <n v="0"/>
    <m/>
    <n v="0"/>
    <n v="0"/>
    <n v="0"/>
    <n v="0"/>
    <n v="0"/>
    <x v="0"/>
    <m/>
    <x v="2"/>
    <x v="1"/>
    <s v="no root cause"/>
    <x v="1"/>
    <s v=""/>
  </r>
  <r>
    <s v="Bon-Marche-IHS"/>
    <s v="ADM_178"/>
    <s v="ADAMAOUA"/>
    <s v="IHS"/>
    <s v="Solar-Gen"/>
    <s v="ADAMAOUA"/>
    <s v="Banyo"/>
    <s v="Huawei"/>
    <n v="0"/>
    <n v="0"/>
    <n v="0"/>
    <n v="0"/>
    <n v="0"/>
    <n v="0"/>
    <n v="0"/>
    <n v="0"/>
    <n v="0"/>
    <n v="0"/>
    <n v="0"/>
    <n v="0"/>
    <n v="0"/>
    <n v="0"/>
    <n v="0"/>
    <n v="0.3584850741796577"/>
    <n v="0"/>
    <n v="0"/>
    <n v="0"/>
    <n v="0"/>
    <n v="0"/>
    <n v="0"/>
    <n v="0"/>
    <n v="0"/>
    <m/>
    <n v="0"/>
    <m/>
    <n v="0"/>
    <m/>
    <n v="0"/>
    <m/>
    <m/>
    <n v="0"/>
    <n v="0"/>
    <n v="0"/>
    <n v="0"/>
    <m/>
    <n v="0"/>
    <n v="0"/>
    <n v="0"/>
    <n v="0"/>
    <n v="0"/>
    <x v="0"/>
    <m/>
    <x v="2"/>
    <x v="1"/>
    <s v="no root cause"/>
    <x v="1"/>
    <s v=""/>
  </r>
  <r>
    <s v="Bberi-Q-Princes-II"/>
    <s v="LIT_444"/>
    <s v="Douala"/>
    <s v="IHS"/>
    <s v="Grid-Gen"/>
    <s v="LITTORAL"/>
    <s v="Douala"/>
    <s v="ZTE"/>
    <n v="0"/>
    <n v="0"/>
    <n v="0"/>
    <n v="0.0004280418796175018"/>
    <n v="0"/>
    <n v="0"/>
    <n v="0"/>
    <n v="0"/>
    <n v="0"/>
    <n v="0"/>
    <n v="0"/>
    <n v="0"/>
    <n v="0"/>
    <n v="0.000374536644665314"/>
    <n v="0"/>
    <n v="0.3096169595899934"/>
    <n v="0"/>
    <n v="0"/>
    <n v="0"/>
    <n v="0"/>
    <n v="0"/>
    <n v="0"/>
    <n v="0"/>
    <n v="0"/>
    <m/>
    <n v="0"/>
    <m/>
    <n v="0"/>
    <m/>
    <n v="0"/>
    <m/>
    <m/>
    <n v="0"/>
    <n v="0"/>
    <n v="0"/>
    <n v="0"/>
    <m/>
    <n v="0"/>
    <n v="0"/>
    <n v="0"/>
    <n v="0"/>
    <n v="0"/>
    <x v="0"/>
    <m/>
    <x v="2"/>
    <x v="1"/>
    <s v="no root cause"/>
    <x v="1"/>
    <s v=""/>
  </r>
  <r>
    <s v="Missellele"/>
    <s v="LIT_178"/>
    <s v="SUD-OUEST"/>
    <s v="IHS"/>
    <s v="Grid-Gen"/>
    <s v="LITTORAL"/>
    <s v="misselele"/>
    <s v="Huawei"/>
    <n v="0"/>
    <n v="0"/>
    <n v="0"/>
    <n v="0"/>
    <n v="0"/>
    <n v="0"/>
    <n v="0"/>
    <n v="0"/>
    <n v="0"/>
    <n v="0"/>
    <n v="0"/>
    <n v="0"/>
    <n v="0"/>
    <n v="0"/>
    <n v="0"/>
    <n v="0.2278431255047327"/>
    <n v="0"/>
    <n v="0"/>
    <n v="0"/>
    <n v="0"/>
    <n v="0"/>
    <n v="0"/>
    <n v="0"/>
    <n v="0"/>
    <m/>
    <n v="0"/>
    <m/>
    <n v="0"/>
    <m/>
    <n v="0"/>
    <m/>
    <m/>
    <n v="0"/>
    <n v="0"/>
    <n v="0"/>
    <n v="0"/>
    <m/>
    <n v="0"/>
    <n v="0"/>
    <n v="0"/>
    <n v="0"/>
    <n v="0"/>
    <x v="0"/>
    <m/>
    <x v="4"/>
    <x v="0"/>
    <s v="Defaut GE &amp; Power Cabinet"/>
    <x v="0"/>
    <s v="{hourly IHS}: 25/05/2026 13:14 9:45:44 Our FME JEFF is managig with level zero      ;      {05-25-2026 ocm ran 22H}: 25.05.26: IHS: FME Jeff is managing with level 0.      ;      {05-25-2026 ocm ran 17H}: 25.05.26: Power alarms; IHS feedback awaiting"/>
  </r>
  <r>
    <s v="Badenkop"/>
    <s v="OST_258"/>
    <s v="OUEST"/>
    <s v="CAMUSAT"/>
    <s v="Good Grid + GE"/>
    <s v="OUEST"/>
    <s v="Badenkop"/>
    <s v="Huawei"/>
    <n v="0"/>
    <n v="0"/>
    <n v="0"/>
    <n v="0"/>
    <n v="0"/>
    <n v="0"/>
    <n v="0"/>
    <n v="0"/>
    <n v="0"/>
    <n v="0"/>
    <n v="0"/>
    <n v="0"/>
    <n v="0"/>
    <n v="0"/>
    <n v="0.1317120533739688"/>
    <n v="0.1946342096777416"/>
    <n v="0"/>
    <n v="0"/>
    <n v="0"/>
    <n v="0"/>
    <n v="0"/>
    <n v="0"/>
    <n v="0"/>
    <n v="0"/>
    <m/>
    <n v="0"/>
    <m/>
    <n v="0"/>
    <m/>
    <n v="0"/>
    <m/>
    <m/>
    <n v="0"/>
    <n v="0"/>
    <n v="0"/>
    <n v="0"/>
    <m/>
    <n v="0"/>
    <n v="0"/>
    <n v="0"/>
    <n v="0"/>
    <n v="0"/>
    <x v="0"/>
    <m/>
    <x v="2"/>
    <x v="1"/>
    <s v="no root cause"/>
    <x v="1"/>
    <s v=""/>
  </r>
  <r>
    <s v="Kombou-IHS"/>
    <s v="OST_265"/>
    <s v="NORD-OUEST"/>
    <s v="IHS"/>
    <s v="Grid-Gen"/>
    <s v="OUEST"/>
    <s v="Kombou"/>
    <s v="Huawei"/>
    <n v="0"/>
    <n v="0"/>
    <n v="0"/>
    <n v="0"/>
    <n v="0"/>
    <n v="0"/>
    <n v="0"/>
    <n v="0"/>
    <n v="0"/>
    <n v="0"/>
    <n v="0"/>
    <n v="0"/>
    <n v="0"/>
    <n v="0"/>
    <n v="0"/>
    <n v="0.1604086943866588"/>
    <n v="0"/>
    <n v="0"/>
    <n v="0"/>
    <n v="0"/>
    <n v="0"/>
    <n v="0"/>
    <n v="0"/>
    <n v="0"/>
    <m/>
    <n v="0"/>
    <m/>
    <n v="0"/>
    <m/>
    <n v="0"/>
    <m/>
    <m/>
    <n v="0"/>
    <n v="0"/>
    <n v="0"/>
    <n v="0"/>
    <m/>
    <n v="0"/>
    <n v="0"/>
    <n v="0"/>
    <n v="0"/>
    <n v="0"/>
    <x v="0"/>
    <m/>
    <x v="2"/>
    <x v="1"/>
    <s v="no root cause"/>
    <x v="1"/>
    <s v=""/>
  </r>
  <r>
    <s v="Souza"/>
    <s v="LIT_016"/>
    <s v="LITTORAL"/>
    <m/>
    <m/>
    <s v="LITTORAL"/>
    <s v="Souza"/>
    <s v="ZTE"/>
    <n v="0"/>
    <n v="0"/>
    <n v="0"/>
    <n v="0"/>
    <n v="0"/>
    <n v="0"/>
    <n v="0"/>
    <n v="0"/>
    <n v="0"/>
    <n v="0"/>
    <n v="0"/>
    <n v="0"/>
    <n v="0"/>
    <n v="0"/>
    <n v="0"/>
    <n v="0.1465686736123596"/>
    <n v="0"/>
    <n v="0"/>
    <n v="0"/>
    <n v="0"/>
    <n v="0"/>
    <n v="0"/>
    <n v="0"/>
    <n v="0"/>
    <m/>
    <n v="0"/>
    <m/>
    <n v="0"/>
    <m/>
    <n v="0"/>
    <m/>
    <m/>
    <n v="0"/>
    <n v="0"/>
    <n v="0"/>
    <n v="0"/>
    <m/>
    <n v="0"/>
    <n v="0"/>
    <n v="0"/>
    <n v="0"/>
    <n v="0"/>
    <x v="0"/>
    <m/>
    <x v="2"/>
    <x v="1"/>
    <s v="no root cause"/>
    <x v="1"/>
    <s v=""/>
  </r>
  <r>
    <s v="Talla-Kribi-IHS"/>
    <s v="LIT_504"/>
    <s v="LITTORAL"/>
    <s v="IHS"/>
    <s v="Grid-Gen"/>
    <s v="LITTORAL"/>
    <s v="Kribi"/>
    <s v="ZTE"/>
    <n v="0"/>
    <n v="0"/>
    <n v="0"/>
    <n v="0"/>
    <n v="0"/>
    <n v="0"/>
    <n v="0"/>
    <n v="0"/>
    <n v="0"/>
    <n v="0"/>
    <n v="0"/>
    <n v="0"/>
    <n v="0"/>
    <n v="0"/>
    <n v="0"/>
    <n v="0.1027478861865179"/>
    <n v="0"/>
    <n v="0"/>
    <n v="0"/>
    <n v="0"/>
    <n v="0"/>
    <n v="0"/>
    <n v="0"/>
    <n v="0"/>
    <m/>
    <n v="0"/>
    <m/>
    <n v="0"/>
    <m/>
    <n v="0"/>
    <m/>
    <m/>
    <n v="0"/>
    <n v="0"/>
    <n v="0"/>
    <n v="0"/>
    <m/>
    <n v="0"/>
    <n v="0"/>
    <n v="0"/>
    <n v="0"/>
    <n v="0"/>
    <x v="0"/>
    <m/>
    <x v="2"/>
    <x v="1"/>
    <s v="no root cause"/>
    <x v="1"/>
    <s v=""/>
  </r>
  <r>
    <s v="Bangangte-Lycee-Classique-IHS"/>
    <s v="OST_266"/>
    <s v="OUEST"/>
    <s v="IHS"/>
    <s v="Grid-Gen"/>
    <s v="OUEST"/>
    <s v="Bangangte"/>
    <s v="Huawei"/>
    <n v="0"/>
    <n v="0"/>
    <n v="0"/>
    <n v="0"/>
    <n v="0"/>
    <n v="0"/>
    <n v="0"/>
    <n v="0"/>
    <n v="0"/>
    <n v="0"/>
    <n v="0"/>
    <n v="0"/>
    <n v="0"/>
    <n v="0"/>
    <n v="0"/>
    <n v="0.0993235511495778"/>
    <n v="0"/>
    <n v="0"/>
    <n v="0"/>
    <n v="0"/>
    <n v="0"/>
    <n v="0"/>
    <n v="0"/>
    <n v="0"/>
    <m/>
    <n v="0"/>
    <m/>
    <n v="0"/>
    <m/>
    <n v="0"/>
    <m/>
    <m/>
    <n v="0"/>
    <n v="0"/>
    <n v="0"/>
    <n v="0"/>
    <m/>
    <n v="0"/>
    <n v="0"/>
    <n v="0"/>
    <n v="0"/>
    <n v="0"/>
    <x v="0"/>
    <m/>
    <x v="2"/>
    <x v="1"/>
    <s v="no root cause"/>
    <x v="1"/>
    <s v=""/>
  </r>
  <r>
    <s v="Armee-de-l-AIR-IHS"/>
    <s v="LIT_748"/>
    <s v="Douala"/>
    <m/>
    <m/>
    <s v="LITTORAL"/>
    <s v="Douala"/>
    <s v="ZTE"/>
    <n v="0"/>
    <n v="0"/>
    <n v="0"/>
    <n v="0"/>
    <n v="0"/>
    <n v="0"/>
    <n v="0"/>
    <n v="0"/>
    <n v="0"/>
    <n v="0"/>
    <n v="0"/>
    <n v="0.004012892621414022"/>
    <n v="0"/>
    <n v="0"/>
    <n v="0"/>
    <n v="0.04893945490293422"/>
    <n v="0"/>
    <n v="0"/>
    <n v="0"/>
    <n v="0"/>
    <n v="0.04144872200962802"/>
    <n v="0"/>
    <n v="0"/>
    <n v="0"/>
    <m/>
    <n v="0"/>
    <m/>
    <n v="0"/>
    <m/>
    <n v="0"/>
    <m/>
    <m/>
    <n v="0"/>
    <n v="0"/>
    <n v="0"/>
    <n v="0"/>
    <m/>
    <n v="0"/>
    <n v="0"/>
    <n v="0"/>
    <n v="0"/>
    <n v="0"/>
    <x v="0"/>
    <m/>
    <x v="2"/>
    <x v="1"/>
    <s v="no root cause"/>
    <x v="1"/>
    <s v=""/>
  </r>
  <r>
    <s v="Muyuka"/>
    <s v="SUO_012"/>
    <s v="SUD-OUEST"/>
    <s v="IHS"/>
    <s v="Grid-Gen"/>
    <s v="SUD-OUEST"/>
    <s v="Muyuka"/>
    <s v="Huawei"/>
    <n v="0"/>
    <n v="0"/>
    <n v="0"/>
    <n v="0"/>
    <n v="0"/>
    <n v="0"/>
    <n v="0"/>
    <n v="0"/>
    <n v="0"/>
    <n v="0"/>
    <n v="0"/>
    <n v="0"/>
    <n v="0"/>
    <n v="0.5293094543036757"/>
    <n v="0"/>
    <n v="0.03595551788787015"/>
    <n v="0"/>
    <n v="0"/>
    <n v="0"/>
    <n v="0"/>
    <n v="0.0101124894059635"/>
    <n v="0"/>
    <n v="0"/>
    <n v="0"/>
    <m/>
    <n v="0"/>
    <m/>
    <n v="0"/>
    <m/>
    <n v="0"/>
    <m/>
    <m/>
    <n v="0"/>
    <n v="0"/>
    <n v="0"/>
    <n v="0"/>
    <m/>
    <n v="0"/>
    <n v="0"/>
    <n v="0"/>
    <n v="0"/>
    <n v="0"/>
    <x v="0"/>
    <m/>
    <x v="4"/>
    <x v="0"/>
    <s v="Defaut GE &amp; Power Cabinet"/>
    <x v="0"/>
    <s v="{05-25-2026   groupe whatsapp   incident}:    impacted by  SUO_008_N_Mpenda-Mbocko-IHS,Cause: Probleme energie    Action: RCA attendu de IHS      ;      {hourly IHS}: 25/05/2026 13:41 8:43:57 Fme is managing with level 0      ;      {05-25-2026 ocm ran 22H}: P2 incident at SUO_008_N_Mpenda-Mbocko-IHS; Power issue; IHS      ;      {05-25-2026 ocm ran 17H}: P2 incident at SUO_008_N_Mpenda-Mbocko-IHS"/>
  </r>
  <r>
    <s v="Bamoungoum"/>
    <s v="OST_274"/>
    <s v="OUEST"/>
    <s v="CAMUSAT"/>
    <s v="Good Grid + GE"/>
    <s v="OUEST"/>
    <s v="Bamoungoum"/>
    <s v="Huawei"/>
    <n v="0"/>
    <n v="0"/>
    <n v="0"/>
    <n v="0"/>
    <n v="0"/>
    <n v="0"/>
    <n v="0"/>
    <n v="0"/>
    <n v="0"/>
    <n v="0"/>
    <n v="0"/>
    <n v="0"/>
    <n v="0"/>
    <n v="0"/>
    <n v="0"/>
    <n v="0.02125941335433592"/>
    <n v="0"/>
    <n v="0"/>
    <n v="0"/>
    <n v="0"/>
    <n v="0"/>
    <n v="0"/>
    <n v="0"/>
    <n v="0"/>
    <m/>
    <n v="0"/>
    <m/>
    <n v="0"/>
    <m/>
    <n v="0"/>
    <m/>
    <m/>
    <n v="0"/>
    <n v="0"/>
    <n v="0"/>
    <n v="0"/>
    <m/>
    <n v="0"/>
    <n v="0"/>
    <n v="0"/>
    <n v="0"/>
    <n v="0"/>
    <x v="0"/>
    <m/>
    <x v="2"/>
    <x v="1"/>
    <s v="no root cause"/>
    <x v="1"/>
    <s v=""/>
  </r>
  <r>
    <s v="Bamendjou-MTN"/>
    <s v="OST_044"/>
    <s v="OUEST"/>
    <s v="IHS"/>
    <s v="Grid-Gen"/>
    <s v="OUEST"/>
    <s v="Bamendjou"/>
    <s v="Huawei"/>
    <n v="0"/>
    <n v="0"/>
    <n v="0"/>
    <n v="0"/>
    <n v="0"/>
    <n v="0"/>
    <n v="0"/>
    <n v="0"/>
    <n v="0"/>
    <n v="0"/>
    <n v="0"/>
    <n v="0"/>
    <n v="0"/>
    <n v="0"/>
    <n v="0"/>
    <n v="0.01599806525070413"/>
    <n v="0"/>
    <n v="0"/>
    <n v="0"/>
    <n v="0"/>
    <n v="0"/>
    <n v="0"/>
    <n v="0"/>
    <n v="0"/>
    <m/>
    <n v="0"/>
    <m/>
    <n v="0"/>
    <m/>
    <n v="0"/>
    <m/>
    <m/>
    <n v="0"/>
    <n v="0"/>
    <n v="0"/>
    <n v="0"/>
    <m/>
    <n v="0"/>
    <n v="0"/>
    <n v="0"/>
    <n v="0"/>
    <n v="0"/>
    <x v="0"/>
    <m/>
    <x v="2"/>
    <x v="1"/>
    <s v="no root cause"/>
    <x v="1"/>
    <s v=""/>
  </r>
  <r>
    <s v="Bahouan-IHS"/>
    <s v="OST_300"/>
    <s v="OUEST"/>
    <s v="HIS"/>
    <s v="Grid-Gen"/>
    <s v="OUEST"/>
    <s v="Bahouan"/>
    <s v="Huawei"/>
    <n v="0"/>
    <n v="0"/>
    <n v="0"/>
    <n v="0"/>
    <n v="0"/>
    <n v="0"/>
    <n v="0"/>
    <n v="0"/>
    <n v="0"/>
    <n v="0"/>
    <n v="0"/>
    <n v="0"/>
    <n v="0"/>
    <n v="0"/>
    <n v="0"/>
    <n v="0.01549868305781704"/>
    <n v="0"/>
    <n v="0"/>
    <n v="0"/>
    <n v="0"/>
    <n v="0"/>
    <n v="0"/>
    <n v="0"/>
    <n v="0"/>
    <m/>
    <n v="0"/>
    <m/>
    <n v="0"/>
    <m/>
    <n v="0"/>
    <m/>
    <m/>
    <n v="0"/>
    <n v="0"/>
    <n v="0"/>
    <n v="0"/>
    <m/>
    <n v="0"/>
    <n v="0"/>
    <n v="0"/>
    <n v="0"/>
    <n v="0"/>
    <x v="0"/>
    <m/>
    <x v="2"/>
    <x v="1"/>
    <s v="no root cause"/>
    <x v="1"/>
    <s v=""/>
  </r>
  <r>
    <s v="Banyo-Sabongari-MTN"/>
    <s v="ADM_174"/>
    <s v="ADAMAOUA"/>
    <s v="MTN sharing"/>
    <s v="MTN Sharing"/>
    <s v="ADAMAOUA"/>
    <s v="Banyo"/>
    <s v="Huawei"/>
    <n v="0"/>
    <n v="0"/>
    <n v="0"/>
    <n v="0"/>
    <n v="0"/>
    <n v="0"/>
    <n v="0"/>
    <n v="0"/>
    <n v="0"/>
    <n v="0"/>
    <n v="0"/>
    <n v="0"/>
    <n v="0"/>
    <n v="16.52947924424926"/>
    <n v="1.734639717149925"/>
    <n v="0.008917539158697953"/>
    <n v="0"/>
    <n v="0"/>
    <n v="0"/>
    <n v="0"/>
    <n v="0"/>
    <n v="0"/>
    <n v="0"/>
    <n v="0"/>
    <m/>
    <n v="0"/>
    <m/>
    <n v="0"/>
    <m/>
    <n v="0"/>
    <m/>
    <m/>
    <n v="0"/>
    <n v="0"/>
    <n v="0"/>
    <n v="0"/>
    <m/>
    <n v="0"/>
    <n v="0"/>
    <n v="0"/>
    <n v="0"/>
    <n v="0"/>
    <x v="0"/>
    <m/>
    <x v="2"/>
    <x v="1"/>
    <s v="no root cause"/>
    <x v="1"/>
    <s v=""/>
  </r>
  <r>
    <s v="Banyo"/>
    <s v="ADM_006"/>
    <s v="ADAMAOUA"/>
    <s v="CAMUSAT"/>
    <s v="Bad Grid + GE"/>
    <s v="ADAMAOUA"/>
    <s v="Banyo"/>
    <s v="Huawei"/>
    <n v="0"/>
    <n v="0"/>
    <n v="0"/>
    <n v="0"/>
    <n v="0"/>
    <n v="0"/>
    <n v="0"/>
    <n v="0"/>
    <n v="0"/>
    <n v="0"/>
    <n v="0"/>
    <n v="0"/>
    <n v="0"/>
    <n v="0"/>
    <n v="0"/>
    <n v="0.007312382110132323"/>
    <n v="0"/>
    <n v="0"/>
    <n v="0"/>
    <n v="0"/>
    <n v="0"/>
    <n v="0"/>
    <n v="0"/>
    <n v="0"/>
    <m/>
    <n v="0"/>
    <m/>
    <n v="0"/>
    <m/>
    <n v="0"/>
    <m/>
    <m/>
    <n v="0"/>
    <n v="0"/>
    <n v="0"/>
    <n v="0"/>
    <m/>
    <n v="0"/>
    <n v="0"/>
    <n v="0"/>
    <n v="0"/>
    <n v="0"/>
    <x v="0"/>
    <m/>
    <x v="2"/>
    <x v="1"/>
    <s v="no root cause"/>
    <x v="1"/>
    <s v=""/>
  </r>
  <r>
    <s v="Bangam-IHS"/>
    <s v="OST_211"/>
    <s v="OUEST"/>
    <s v="IHS"/>
    <s v="Grid-Gen"/>
    <s v="OUEST"/>
    <s v="Bangam"/>
    <s v="Huawei"/>
    <n v="0"/>
    <n v="0"/>
    <n v="0"/>
    <n v="0"/>
    <n v="0"/>
    <n v="0"/>
    <n v="0"/>
    <n v="0"/>
    <n v="0"/>
    <n v="0"/>
    <n v="0"/>
    <n v="0"/>
    <n v="0"/>
    <n v="0"/>
    <n v="0"/>
    <n v="0.006937845465467006"/>
    <n v="0"/>
    <n v="0"/>
    <n v="0"/>
    <n v="0"/>
    <n v="0"/>
    <n v="0"/>
    <n v="0"/>
    <n v="0"/>
    <m/>
    <n v="0"/>
    <m/>
    <n v="0"/>
    <m/>
    <n v="0"/>
    <m/>
    <m/>
    <n v="0"/>
    <n v="0"/>
    <n v="0"/>
    <n v="0"/>
    <m/>
    <n v="0"/>
    <n v="0"/>
    <n v="0"/>
    <n v="0"/>
    <n v="0"/>
    <x v="0"/>
    <m/>
    <x v="2"/>
    <x v="1"/>
    <s v="no root cause"/>
    <x v="1"/>
    <s v=""/>
  </r>
  <r>
    <s v="Bascheo-IHS"/>
    <s v="NRD_015"/>
    <s v="NORD"/>
    <s v="IHS"/>
    <s v="Hybrid-Gen"/>
    <s v="NORD"/>
    <s v="Bascheo"/>
    <s v="NOKIA"/>
    <n v="0.1113265588571852"/>
    <n v="0.145552074148268"/>
    <n v="0.1584646708500627"/>
    <n v="0.06317184740021629"/>
    <n v="0.04977770358385198"/>
    <n v="0.07326650172786239"/>
    <n v="0.09962674748097353"/>
    <n v="0.1047275798797488"/>
    <n v="0.0997337579508779"/>
    <n v="0.09252838631064997"/>
    <n v="0.1301247314037206"/>
    <n v="0.0001961858614914157"/>
    <n v="4.62140765852531"/>
    <n v="4.621461163760261"/>
    <n v="4.621354153290357"/>
    <n v="0"/>
    <n v="0"/>
    <n v="0"/>
    <n v="0"/>
    <n v="0"/>
    <n v="0.000178350783173888"/>
    <n v="0"/>
    <n v="0"/>
    <n v="0"/>
    <m/>
    <n v="0"/>
    <m/>
    <n v="0"/>
    <m/>
    <n v="0"/>
    <m/>
    <m/>
    <n v="0"/>
    <n v="0"/>
    <n v="0"/>
    <n v="0"/>
    <m/>
    <n v="0"/>
    <n v="0"/>
    <n v="0"/>
    <n v="0"/>
    <n v="0"/>
    <x v="0"/>
    <m/>
    <x v="2"/>
    <x v="1"/>
    <s v="no root cause"/>
    <x v="1"/>
    <s v=""/>
  </r>
  <r>
    <s v="Bansoa-II"/>
    <s v="OST_299"/>
    <s v="OUEST"/>
    <s v="CAMUSAT"/>
    <s v="Hybrid Solar - S3"/>
    <s v="OUEST"/>
    <s v="Bansoa"/>
    <s v="Huawei"/>
    <n v="0"/>
    <n v="0"/>
    <n v="0"/>
    <n v="0"/>
    <n v="0"/>
    <n v="0"/>
    <n v="0"/>
    <n v="0"/>
    <n v="0"/>
    <n v="0"/>
    <n v="0"/>
    <n v="0"/>
    <n v="0"/>
    <n v="0"/>
    <n v="3.289751535956945"/>
    <n v="0"/>
    <n v="0"/>
    <n v="0"/>
    <n v="0"/>
    <n v="0"/>
    <n v="0"/>
    <n v="0"/>
    <n v="0"/>
    <n v="0"/>
    <m/>
    <n v="0"/>
    <m/>
    <n v="0"/>
    <m/>
    <n v="0"/>
    <m/>
    <m/>
    <n v="0"/>
    <n v="0"/>
    <n v="0"/>
    <n v="0"/>
    <m/>
    <n v="0"/>
    <n v="0"/>
    <n v="0"/>
    <n v="0"/>
    <n v="0"/>
    <x v="0"/>
    <m/>
    <x v="2"/>
    <x v="1"/>
    <s v="no root cause"/>
    <x v="1"/>
    <s v=""/>
  </r>
  <r>
    <s v="Bansoa-IHS"/>
    <s v="OST_151"/>
    <s v="OUEST"/>
    <s v="IHS"/>
    <s v="Grid-Gen"/>
    <s v="OUEST"/>
    <s v="Bansoa"/>
    <s v="Huawei"/>
    <n v="0"/>
    <n v="0"/>
    <n v="0"/>
    <n v="0"/>
    <n v="0"/>
    <n v="0"/>
    <n v="0"/>
    <n v="0"/>
    <n v="0"/>
    <n v="0"/>
    <n v="0"/>
    <n v="0"/>
    <n v="0"/>
    <n v="0"/>
    <n v="2.55223537737599"/>
    <n v="0"/>
    <n v="0"/>
    <n v="0"/>
    <n v="0"/>
    <n v="0"/>
    <n v="0"/>
    <n v="0"/>
    <n v="0"/>
    <n v="0"/>
    <m/>
    <n v="0"/>
    <m/>
    <n v="0"/>
    <m/>
    <n v="0"/>
    <m/>
    <m/>
    <n v="0"/>
    <n v="0"/>
    <n v="0"/>
    <n v="0"/>
    <m/>
    <n v="0"/>
    <n v="0"/>
    <n v="0"/>
    <n v="0"/>
    <n v="0"/>
    <x v="0"/>
    <m/>
    <x v="2"/>
    <x v="1"/>
    <s v="no root cause"/>
    <x v="1"/>
    <s v=""/>
  </r>
  <r>
    <s v="Olembe"/>
    <s v="CTR_080"/>
    <s v="Yaounde"/>
    <s v="IHS"/>
    <s v="Grid-Gen"/>
    <s v="CENTRE"/>
    <s v="Yaounde"/>
    <s v="ZTE"/>
    <n v="3.517023938955519"/>
    <n v="8.297841527481713"/>
    <n v="0"/>
    <n v="0.7820860192961264"/>
    <n v="2.064071448750547"/>
    <n v="0.03056932423601669"/>
    <n v="0"/>
    <n v="0"/>
    <n v="0"/>
    <n v="0"/>
    <n v="0"/>
    <n v="0"/>
    <n v="0"/>
    <n v="0"/>
    <n v="1.141034805512038"/>
    <n v="0"/>
    <n v="0"/>
    <n v="0"/>
    <n v="0"/>
    <n v="0"/>
    <n v="0"/>
    <n v="0"/>
    <n v="0"/>
    <n v="0"/>
    <m/>
    <n v="0"/>
    <m/>
    <n v="0"/>
    <m/>
    <n v="0"/>
    <m/>
    <m/>
    <n v="0"/>
    <n v="0"/>
    <n v="0"/>
    <n v="0"/>
    <m/>
    <n v="0"/>
    <n v="0"/>
    <n v="0"/>
    <n v="0"/>
    <n v="0"/>
    <x v="0"/>
    <m/>
    <x v="2"/>
    <x v="1"/>
    <s v="no root cause"/>
    <x v="1"/>
    <s v=""/>
  </r>
  <r>
    <s v="Nyom"/>
    <s v="CTR_381"/>
    <s v="Yaounde"/>
    <s v="IHS"/>
    <s v="Grid-Gen"/>
    <s v="CENTRE"/>
    <s v="Yaounde"/>
    <s v="ZTE"/>
    <n v="0"/>
    <n v="0"/>
    <n v="0"/>
    <n v="0"/>
    <n v="0"/>
    <n v="0"/>
    <n v="0"/>
    <n v="0"/>
    <n v="0"/>
    <n v="0"/>
    <n v="0"/>
    <n v="0"/>
    <n v="0"/>
    <n v="0"/>
    <n v="0.4410793218675179"/>
    <n v="0"/>
    <n v="0"/>
    <n v="0"/>
    <n v="0"/>
    <n v="0"/>
    <n v="0"/>
    <n v="0"/>
    <n v="0"/>
    <n v="0"/>
    <m/>
    <n v="0"/>
    <m/>
    <n v="0"/>
    <m/>
    <n v="0"/>
    <m/>
    <m/>
    <n v="0"/>
    <n v="0"/>
    <n v="0"/>
    <n v="0"/>
    <m/>
    <n v="0"/>
    <n v="0"/>
    <n v="0"/>
    <n v="0"/>
    <n v="0"/>
    <x v="0"/>
    <m/>
    <x v="2"/>
    <x v="1"/>
    <s v="no root cause"/>
    <x v="1"/>
    <s v=""/>
  </r>
  <r>
    <s v="Olembe-CAMTEL"/>
    <s v="CTR_861"/>
    <s v="Yaounde"/>
    <s v="ESCO"/>
    <s v="Good Grid no GE - 8h"/>
    <s v="CENTRE"/>
    <s v="Yaounde"/>
    <s v="ZTE"/>
    <n v="0"/>
    <n v="0"/>
    <n v="0"/>
    <n v="0"/>
    <n v="0"/>
    <n v="0"/>
    <n v="0"/>
    <n v="0"/>
    <n v="0"/>
    <n v="0"/>
    <n v="0"/>
    <n v="0"/>
    <n v="0"/>
    <n v="0"/>
    <n v="0.3511726920695257"/>
    <n v="0"/>
    <n v="0"/>
    <n v="0"/>
    <n v="0"/>
    <n v="0"/>
    <n v="0"/>
    <n v="0"/>
    <n v="0"/>
    <n v="0"/>
    <m/>
    <n v="0"/>
    <m/>
    <n v="0"/>
    <m/>
    <n v="0"/>
    <m/>
    <m/>
    <n v="0"/>
    <n v="0"/>
    <n v="0"/>
    <n v="0"/>
    <m/>
    <n v="0"/>
    <n v="0"/>
    <n v="0"/>
    <n v="0"/>
    <n v="0"/>
    <x v="0"/>
    <m/>
    <x v="2"/>
    <x v="1"/>
    <s v="no root cause"/>
    <x v="1"/>
    <s v=""/>
  </r>
  <r>
    <s v="Kodek-Djarengol"/>
    <s v="EXN_053"/>
    <s v="Maroua"/>
    <s v="IHS"/>
    <s v="Grid-Gen"/>
    <s v="EXTREME-NORD"/>
    <s v="Maroua"/>
    <s v="Huawei"/>
    <n v="0.2713607165991788"/>
    <n v="0.6943195988962227"/>
    <n v="0"/>
    <n v="0"/>
    <n v="0"/>
    <n v="0"/>
    <n v="0"/>
    <n v="0"/>
    <n v="0"/>
    <n v="0"/>
    <n v="0"/>
    <n v="0"/>
    <n v="0"/>
    <n v="0"/>
    <n v="0.1864657438083742"/>
    <n v="0"/>
    <n v="0"/>
    <n v="0"/>
    <n v="0"/>
    <n v="0"/>
    <n v="0.003299489488718243"/>
    <n v="0"/>
    <n v="0"/>
    <n v="0"/>
    <m/>
    <n v="0"/>
    <m/>
    <n v="0"/>
    <m/>
    <n v="0"/>
    <m/>
    <m/>
    <n v="0"/>
    <n v="0"/>
    <n v="0"/>
    <n v="0"/>
    <m/>
    <n v="0"/>
    <n v="0"/>
    <n v="0"/>
    <n v="0"/>
    <n v="0"/>
    <x v="0"/>
    <m/>
    <x v="2"/>
    <x v="1"/>
    <s v="no root cause"/>
    <x v="1"/>
    <s v=""/>
  </r>
  <r>
    <s v="Mbaka"/>
    <s v="ADM_161"/>
    <s v="ADAMAOUA"/>
    <s v="CAMUSAT"/>
    <s v="Hybrid Solar - S3"/>
    <s v="ADAMAOUA"/>
    <s v="Mbaka"/>
    <s v="Huawei"/>
    <n v="0"/>
    <n v="0"/>
    <n v="0"/>
    <n v="0"/>
    <n v="0"/>
    <n v="0"/>
    <n v="0"/>
    <n v="0"/>
    <n v="0"/>
    <n v="0"/>
    <n v="0"/>
    <n v="0"/>
    <n v="0"/>
    <n v="0"/>
    <n v="0.1336560769105649"/>
    <n v="0"/>
    <n v="0"/>
    <n v="0"/>
    <n v="0"/>
    <n v="0"/>
    <n v="0"/>
    <n v="0"/>
    <n v="0"/>
    <n v="0"/>
    <m/>
    <n v="0"/>
    <m/>
    <n v="0"/>
    <m/>
    <n v="0"/>
    <m/>
    <m/>
    <n v="0"/>
    <n v="0"/>
    <n v="0"/>
    <n v="0"/>
    <m/>
    <n v="0"/>
    <n v="0"/>
    <n v="0"/>
    <n v="0"/>
    <n v="0"/>
    <x v="0"/>
    <m/>
    <x v="2"/>
    <x v="1"/>
    <s v="no root cause"/>
    <x v="1"/>
    <s v=""/>
  </r>
  <r>
    <s v="Bamoungoum-IHS"/>
    <s v="OST_163"/>
    <s v="OUEST"/>
    <s v="IHS"/>
    <s v="Grid-Gen"/>
    <s v="OUEST"/>
    <s v="Bamoungoum"/>
    <s v="Huawei"/>
    <n v="0"/>
    <n v="0"/>
    <n v="0"/>
    <n v="0"/>
    <n v="0"/>
    <n v="0"/>
    <n v="0"/>
    <n v="0"/>
    <n v="0"/>
    <n v="0"/>
    <n v="0"/>
    <n v="0"/>
    <n v="0"/>
    <n v="0"/>
    <n v="0.02564684262041531"/>
    <n v="0"/>
    <n v="0"/>
    <n v="0"/>
    <n v="0"/>
    <n v="0"/>
    <n v="0"/>
    <n v="0"/>
    <n v="0"/>
    <n v="0"/>
    <m/>
    <n v="0"/>
    <m/>
    <n v="0"/>
    <m/>
    <n v="0"/>
    <m/>
    <m/>
    <n v="0"/>
    <n v="0"/>
    <n v="0"/>
    <n v="0"/>
    <m/>
    <n v="0"/>
    <n v="0"/>
    <n v="0"/>
    <n v="0"/>
    <n v="0"/>
    <x v="0"/>
    <m/>
    <x v="2"/>
    <x v="1"/>
    <s v="no root cause"/>
    <x v="1"/>
    <s v=""/>
  </r>
  <r>
    <s v="be-HIS"/>
    <s v="SUD_043"/>
    <s v="CENTRE"/>
    <s v="IHS"/>
    <s v="Grid-Gen"/>
    <s v="SUD"/>
    <s v="Kribi"/>
    <s v="ZTE"/>
    <n v="0"/>
    <n v="0"/>
    <n v="0"/>
    <n v="0"/>
    <n v="0"/>
    <n v="0"/>
    <n v="0"/>
    <n v="0"/>
    <n v="0"/>
    <n v="0"/>
    <n v="0"/>
    <n v="0.008650012983937054"/>
    <n v="0"/>
    <n v="0"/>
    <n v="0.01243104958722529"/>
    <n v="0"/>
    <n v="0"/>
    <n v="0"/>
    <n v="0"/>
    <n v="0"/>
    <n v="0"/>
    <n v="0"/>
    <n v="0"/>
    <n v="0"/>
    <m/>
    <n v="0"/>
    <m/>
    <n v="0"/>
    <m/>
    <n v="0"/>
    <m/>
    <m/>
    <n v="0"/>
    <n v="0"/>
    <n v="0"/>
    <n v="0"/>
    <m/>
    <n v="0"/>
    <n v="0"/>
    <n v="0"/>
    <n v="0"/>
    <n v="0"/>
    <x v="0"/>
    <m/>
    <x v="2"/>
    <x v="1"/>
    <s v="no root cause"/>
    <x v="1"/>
    <s v=""/>
  </r>
  <r>
    <s v="Kribi-Port-Eau-Profonde-IHS"/>
    <s v="SUD_076"/>
    <s v="LITTORAL"/>
    <s v="IHS"/>
    <s v="Gen-Lithium"/>
    <s v="SUD"/>
    <s v="Kribi"/>
    <s v="ZTE"/>
    <n v="0"/>
    <n v="0.03203180065804297"/>
    <n v="0.001391136108756927"/>
    <n v="0"/>
    <n v="0"/>
    <n v="0"/>
    <n v="0"/>
    <n v="0"/>
    <n v="0"/>
    <n v="0"/>
    <n v="16.94325306121284"/>
    <n v="0.002603921434339924"/>
    <n v="0"/>
    <n v="0"/>
    <n v="0.01203867786424223"/>
    <n v="0"/>
    <n v="0"/>
    <n v="0"/>
    <n v="0"/>
    <n v="0"/>
    <n v="0"/>
    <n v="0"/>
    <n v="0"/>
    <n v="0"/>
    <m/>
    <n v="0"/>
    <m/>
    <n v="0"/>
    <m/>
    <n v="0"/>
    <m/>
    <m/>
    <n v="0"/>
    <n v="0"/>
    <n v="0"/>
    <n v="0"/>
    <m/>
    <n v="0"/>
    <n v="0"/>
    <n v="0"/>
    <n v="0"/>
    <n v="0"/>
    <x v="0"/>
    <m/>
    <x v="2"/>
    <x v="1"/>
    <s v="no root cause"/>
    <x v="1"/>
    <s v=""/>
  </r>
  <r>
    <s v="Kribi-Orange"/>
    <s v="SUD_002"/>
    <s v="LITTORAL"/>
    <m/>
    <m/>
    <s v="SUD"/>
    <s v="Kribi"/>
    <s v="ZTE"/>
    <n v="0"/>
    <n v="0"/>
    <n v="0"/>
    <n v="0"/>
    <n v="0"/>
    <n v="0"/>
    <n v="0"/>
    <n v="0"/>
    <n v="0"/>
    <n v="0"/>
    <n v="0"/>
    <n v="0"/>
    <n v="0"/>
    <n v="0"/>
    <n v="0.01187816215938565"/>
    <n v="0"/>
    <n v="0"/>
    <n v="0"/>
    <n v="0"/>
    <n v="0"/>
    <n v="0"/>
    <n v="0"/>
    <n v="0"/>
    <n v="0"/>
    <m/>
    <n v="0"/>
    <m/>
    <n v="0"/>
    <m/>
    <n v="0"/>
    <m/>
    <m/>
    <n v="0"/>
    <n v="0"/>
    <n v="0"/>
    <n v="0"/>
    <m/>
    <n v="0"/>
    <n v="0"/>
    <n v="0"/>
    <n v="0"/>
    <n v="0"/>
    <x v="0"/>
    <m/>
    <x v="2"/>
    <x v="1"/>
    <s v="no root cause"/>
    <x v="1"/>
    <s v=""/>
  </r>
  <r>
    <s v="Kribi-CRTV"/>
    <s v="SUD_010"/>
    <s v="CENTRE"/>
    <s v="CAMUSAT"/>
    <s v="Good Grid + GE"/>
    <s v="SUD"/>
    <s v="Kribi"/>
    <s v="ZTE"/>
    <n v="0.6507485025668247"/>
    <n v="0"/>
    <n v="0"/>
    <n v="0"/>
    <n v="0"/>
    <n v="0"/>
    <n v="0"/>
    <n v="0"/>
    <n v="0"/>
    <n v="0"/>
    <n v="0"/>
    <n v="0.02778705201850282"/>
    <n v="0"/>
    <n v="0"/>
    <n v="0.009951973701106759"/>
    <n v="0"/>
    <n v="0"/>
    <n v="0"/>
    <n v="0"/>
    <n v="0"/>
    <n v="0.01913703903456581"/>
    <n v="0"/>
    <n v="0"/>
    <n v="0"/>
    <m/>
    <n v="0"/>
    <m/>
    <n v="0"/>
    <m/>
    <n v="0"/>
    <m/>
    <m/>
    <n v="0"/>
    <n v="0"/>
    <n v="0"/>
    <n v="0"/>
    <m/>
    <n v="0"/>
    <n v="0"/>
    <n v="0"/>
    <n v="0"/>
    <n v="0"/>
    <x v="0"/>
    <m/>
    <x v="2"/>
    <x v="1"/>
    <s v="no root cause"/>
    <x v="1"/>
    <s v=""/>
  </r>
  <r>
    <s v="Kribi-Ebouyie"/>
    <s v="SUD_077"/>
    <s v="LITTORAL"/>
    <s v="IHS"/>
    <s v="Grid-Gen"/>
    <s v="SUD"/>
    <s v="Kribi"/>
    <s v="ZTE"/>
    <n v="0"/>
    <n v="0"/>
    <n v="0"/>
    <n v="0"/>
    <n v="0"/>
    <n v="0"/>
    <n v="0"/>
    <n v="0"/>
    <n v="0"/>
    <n v="0"/>
    <n v="0"/>
    <n v="0"/>
    <n v="0"/>
    <n v="0"/>
    <n v="0.007900939694606481"/>
    <n v="0"/>
    <n v="0"/>
    <n v="0"/>
    <n v="0"/>
    <n v="0"/>
    <n v="0"/>
    <n v="0"/>
    <n v="0"/>
    <n v="0"/>
    <m/>
    <n v="0"/>
    <m/>
    <n v="0"/>
    <m/>
    <n v="0"/>
    <m/>
    <m/>
    <n v="0"/>
    <n v="0"/>
    <n v="0"/>
    <n v="0"/>
    <m/>
    <n v="0"/>
    <n v="0"/>
    <n v="0"/>
    <n v="0"/>
    <n v="0"/>
    <x v="0"/>
    <m/>
    <x v="2"/>
    <x v="1"/>
    <s v="no root cause"/>
    <x v="1"/>
    <s v=""/>
  </r>
  <r>
    <s v="Kribi-Kienke-Bridge-IHS"/>
    <s v="SUD_042"/>
    <s v="LITTORAL"/>
    <s v="IHS"/>
    <s v="Grid-Gen"/>
    <s v="SUD"/>
    <s v="Kribi"/>
    <s v="ZTE"/>
    <n v="0"/>
    <n v="0"/>
    <n v="0"/>
    <n v="0"/>
    <n v="0"/>
    <n v="0"/>
    <n v="0"/>
    <n v="0"/>
    <n v="0"/>
    <n v="0"/>
    <n v="0"/>
    <n v="0"/>
    <n v="0"/>
    <n v="0"/>
    <n v="0.007294547031814641"/>
    <n v="0"/>
    <n v="0"/>
    <n v="0"/>
    <n v="0"/>
    <n v="0"/>
    <n v="0"/>
    <n v="0"/>
    <n v="0"/>
    <n v="0"/>
    <m/>
    <n v="0"/>
    <m/>
    <n v="0"/>
    <m/>
    <n v="0"/>
    <m/>
    <m/>
    <n v="0"/>
    <n v="0"/>
    <n v="0"/>
    <n v="0"/>
    <m/>
    <n v="0"/>
    <n v="0"/>
    <n v="0"/>
    <n v="0"/>
    <n v="0"/>
    <x v="0"/>
    <m/>
    <x v="2"/>
    <x v="1"/>
    <s v="no root cause"/>
    <x v="1"/>
    <s v=""/>
  </r>
  <r>
    <s v="Kribi-Ocean"/>
    <s v="SUD_006"/>
    <s v="LITTORAL"/>
    <s v="IHS"/>
    <s v="Grid-Gen"/>
    <s v="SUD"/>
    <s v="Kribi"/>
    <s v="ZTE"/>
    <n v="0"/>
    <n v="0"/>
    <n v="0"/>
    <n v="0"/>
    <n v="0"/>
    <n v="0"/>
    <n v="0"/>
    <n v="0"/>
    <n v="0"/>
    <n v="0"/>
    <n v="0"/>
    <n v="0"/>
    <n v="0"/>
    <n v="0"/>
    <n v="0.007009185778737002"/>
    <n v="0"/>
    <n v="0"/>
    <n v="0"/>
    <n v="0"/>
    <n v="0"/>
    <n v="0"/>
    <n v="0"/>
    <n v="0"/>
    <n v="0"/>
    <m/>
    <n v="0"/>
    <m/>
    <n v="0"/>
    <m/>
    <n v="0"/>
    <m/>
    <m/>
    <n v="0"/>
    <n v="0"/>
    <n v="0"/>
    <n v="0"/>
    <m/>
    <n v="0"/>
    <n v="0"/>
    <n v="0"/>
    <n v="0"/>
    <n v="0"/>
    <x v="0"/>
    <m/>
    <x v="2"/>
    <x v="1"/>
    <s v="no root cause"/>
    <x v="1"/>
    <s v=""/>
  </r>
  <r>
    <s v="Belel-MTN-IHS"/>
    <s v="ADM_096"/>
    <s v="ADAMAOUA"/>
    <s v="IHS"/>
    <s v="Solar-Gen"/>
    <s v="ADAMAOUA"/>
    <s v="Belel"/>
    <s v="Huawei"/>
    <n v="0"/>
    <n v="0"/>
    <n v="0"/>
    <n v="0"/>
    <n v="0"/>
    <n v="0"/>
    <n v="0"/>
    <n v="0"/>
    <n v="0"/>
    <n v="0"/>
    <n v="0"/>
    <n v="0"/>
    <n v="0"/>
    <n v="0"/>
    <n v="0.006420628194262525"/>
    <n v="0"/>
    <n v="0"/>
    <n v="0"/>
    <n v="0"/>
    <n v="0"/>
    <n v="0"/>
    <n v="0"/>
    <n v="0"/>
    <n v="0"/>
    <m/>
    <n v="0"/>
    <m/>
    <n v="0"/>
    <m/>
    <n v="0"/>
    <m/>
    <m/>
    <n v="0"/>
    <n v="0"/>
    <n v="0"/>
    <n v="0"/>
    <m/>
    <n v="0"/>
    <n v="0"/>
    <n v="0"/>
    <n v="0"/>
    <n v="0"/>
    <x v="0"/>
    <m/>
    <x v="2"/>
    <x v="1"/>
    <s v="no root cause"/>
    <x v="1"/>
    <s v=""/>
  </r>
  <r>
    <s v="Bantoum"/>
    <s v="OST_010"/>
    <s v="OUEST"/>
    <s v="IHS"/>
    <s v="Grid-Gen"/>
    <s v="OUEST"/>
    <s v="Bantoum"/>
    <s v="Huawei"/>
    <n v="0"/>
    <n v="0"/>
    <n v="0"/>
    <n v="0"/>
    <n v="0"/>
    <n v="0"/>
    <n v="0"/>
    <n v="0"/>
    <n v="0"/>
    <n v="0"/>
    <n v="0"/>
    <n v="0"/>
    <n v="0"/>
    <n v="0"/>
    <n v="8.917539158697954e-05"/>
    <n v="0"/>
    <n v="0"/>
    <n v="0"/>
    <n v="0"/>
    <n v="0"/>
    <n v="0"/>
    <n v="0"/>
    <n v="0"/>
    <n v="0"/>
    <m/>
    <n v="0"/>
    <m/>
    <n v="0"/>
    <m/>
    <n v="0"/>
    <m/>
    <m/>
    <n v="0"/>
    <n v="0"/>
    <n v="0"/>
    <n v="0"/>
    <m/>
    <n v="0"/>
    <n v="0"/>
    <n v="0"/>
    <n v="0"/>
    <n v="0"/>
    <x v="0"/>
    <m/>
    <x v="2"/>
    <x v="1"/>
    <s v="no root cause"/>
    <x v="1"/>
    <s v=""/>
  </r>
  <r>
    <s v="Ndom"/>
    <s v="SUD_028"/>
    <s v=""/>
    <s v="IHS"/>
    <s v="Grid Gen"/>
    <s v="SUD"/>
    <s v="Ndom"/>
    <s v="ZTE"/>
    <n v="18.49140919947607"/>
    <n v="18.49140919947607"/>
    <n v="18.49140919947607"/>
    <n v="18.49140919947607"/>
    <n v="0"/>
    <n v="0"/>
    <n v="0"/>
    <n v="0"/>
    <n v="0"/>
    <n v="0"/>
    <n v="0"/>
    <n v="0"/>
    <n v="0"/>
    <s v=""/>
    <n v="0"/>
    <n v="0"/>
    <n v="0"/>
    <n v="0"/>
    <n v="0"/>
    <n v="0"/>
    <n v="10.7668227592721"/>
    <n v="0"/>
    <n v="0"/>
    <n v="0"/>
    <m/>
    <n v="0"/>
    <m/>
    <n v="0"/>
    <m/>
    <n v="0"/>
    <m/>
    <m/>
    <n v="0"/>
    <n v="0"/>
    <n v="0"/>
    <n v="0"/>
    <m/>
    <n v="0"/>
    <n v="0"/>
    <n v="0"/>
    <n v="0"/>
    <n v="0"/>
    <x v="0"/>
    <m/>
    <x v="2"/>
    <x v="1"/>
    <s v="no root cause"/>
    <x v="1"/>
    <s v=""/>
  </r>
  <r>
    <s v="Manjo-New"/>
    <s v="LIT_062"/>
    <s v=""/>
    <s v="IHS"/>
    <e v="#REF!"/>
    <s v="LIT"/>
    <s v="Manjo"/>
    <s v="ZTE"/>
    <n v="0"/>
    <n v="0"/>
    <n v="0"/>
    <n v="0"/>
    <n v="0"/>
    <n v="0"/>
    <n v="0"/>
    <n v="0"/>
    <n v="0"/>
    <n v="0"/>
    <n v="0"/>
    <n v="0"/>
    <n v="0"/>
    <s v=""/>
    <n v="0"/>
    <n v="0"/>
    <n v="0"/>
    <n v="0"/>
    <n v="0"/>
    <n v="0"/>
    <n v="0"/>
    <n v="0"/>
    <n v="0"/>
    <n v="0"/>
    <m/>
    <n v="0"/>
    <m/>
    <n v="0"/>
    <m/>
    <n v="0"/>
    <m/>
    <m/>
    <n v="0"/>
    <n v="0"/>
    <n v="0"/>
    <n v="0"/>
    <m/>
    <n v="0"/>
    <n v="0"/>
    <n v="0"/>
    <n v="0"/>
    <n v="0"/>
    <x v="0"/>
    <m/>
    <x v="2"/>
    <x v="1"/>
    <s v="no root cause"/>
    <x v="1"/>
    <s v=""/>
  </r>
  <r>
    <s v="Ngoulmepa-New"/>
    <s v="LIT_067"/>
    <s v="LITTORAL"/>
    <s v="IHS"/>
    <s v="GRID GEN"/>
    <s v="LIT"/>
    <s v="Ngoulmepa"/>
    <s v="ZTE"/>
    <n v="0"/>
    <n v="0"/>
    <n v="0"/>
    <n v="0"/>
    <n v="0"/>
    <n v="0"/>
    <n v="0"/>
    <n v="0"/>
    <n v="0"/>
    <n v="0"/>
    <n v="0"/>
    <n v="0"/>
    <n v="0"/>
    <s v=""/>
    <n v="0"/>
    <n v="0"/>
    <n v="0"/>
    <n v="0"/>
    <n v="0"/>
    <n v="0"/>
    <n v="1.211554705179021"/>
    <n v="0"/>
    <n v="0"/>
    <n v="0"/>
    <m/>
    <n v="0"/>
    <m/>
    <n v="0"/>
    <m/>
    <n v="0"/>
    <m/>
    <m/>
    <n v="0"/>
    <n v="0"/>
    <n v="0"/>
    <n v="0"/>
    <m/>
    <n v="0"/>
    <n v="0"/>
    <n v="0"/>
    <n v="0"/>
    <n v="0"/>
    <x v="0"/>
    <m/>
    <x v="2"/>
    <x v="1"/>
    <s v="no root cause"/>
    <x v="1"/>
    <s v=""/>
  </r>
  <r>
    <s v="Tole-IHS"/>
    <s v="SUO_189"/>
    <s v=""/>
    <s v="IHS"/>
    <e v="#N/A"/>
    <s v="SUD-OUEST"/>
    <s v="Buea"/>
    <s v="ZTE"/>
    <n v="0"/>
    <n v="0"/>
    <n v="0"/>
    <n v="0"/>
    <n v="0"/>
    <n v="0"/>
    <n v="0"/>
    <n v="0"/>
    <n v="0"/>
    <n v="0"/>
    <n v="0"/>
    <n v="0"/>
    <n v="0"/>
    <s v=""/>
    <n v="0"/>
    <n v="0"/>
    <n v="0"/>
    <n v="0"/>
    <n v="0"/>
    <n v="0"/>
    <n v="0"/>
    <n v="0"/>
    <n v="0"/>
    <n v="0"/>
    <m/>
    <n v="0"/>
    <m/>
    <n v="0"/>
    <m/>
    <n v="0"/>
    <m/>
    <m/>
    <n v="0"/>
    <n v="0"/>
    <n v="0"/>
    <n v="0"/>
    <m/>
    <n v="0"/>
    <n v="0"/>
    <n v="0"/>
    <n v="0"/>
    <n v="0"/>
    <x v="0"/>
    <m/>
    <x v="2"/>
    <x v="1"/>
    <s v="no root cause"/>
    <x v="1"/>
    <s v=""/>
  </r>
  <r>
    <s v="OST_364_H_Dschang-Tchouale"/>
    <s v="OST_364"/>
    <s v=""/>
    <s v="ESCO"/>
    <s v="Hybrid Solar - S1"/>
    <s v="OST"/>
    <s v="Dschang"/>
    <s v="Huawei"/>
    <n v="0"/>
    <n v="0"/>
    <n v="0"/>
    <n v="0"/>
    <n v="0"/>
    <n v="0"/>
    <n v="0"/>
    <n v="0"/>
    <n v="0"/>
    <n v="0"/>
    <n v="0"/>
    <n v="0"/>
    <n v="0"/>
    <s v=""/>
    <n v="0"/>
    <n v="0"/>
    <n v="0"/>
    <n v="0"/>
    <n v="0"/>
    <n v="0"/>
    <n v="0"/>
    <n v="0"/>
    <n v="0"/>
    <n v="0"/>
    <m/>
    <n v="0"/>
    <m/>
    <n v="0"/>
    <m/>
    <n v="0"/>
    <m/>
    <m/>
    <n v="0"/>
    <n v="0"/>
    <n v="0"/>
    <n v="0"/>
    <m/>
    <n v="0"/>
    <n v="0"/>
    <n v="0"/>
    <n v="0"/>
    <n v="0"/>
    <x v="0"/>
    <m/>
    <x v="2"/>
    <x v="1"/>
    <s v="no root cause"/>
    <x v="1"/>
    <s v=""/>
  </r>
  <r>
    <s v="Ngoulmepa-New"/>
    <s v="LIT_523"/>
    <m/>
    <s v="HIS"/>
    <s v="GenOnly"/>
    <s v="LITTORAL"/>
    <m/>
    <s v="ZTE"/>
    <n v="0"/>
    <n v="0"/>
    <n v="0"/>
    <n v="0"/>
    <n v="0"/>
    <n v="0"/>
    <n v="0"/>
    <n v="0"/>
    <n v="0"/>
    <n v="0"/>
    <n v="0"/>
    <n v="0"/>
    <n v="0"/>
    <s v=""/>
    <n v="0"/>
    <n v="0"/>
    <n v="0"/>
    <n v="0"/>
    <n v="0"/>
    <n v="0"/>
    <n v="0"/>
    <n v="0"/>
    <n v="0"/>
    <n v="0"/>
    <m/>
    <n v="0"/>
    <m/>
    <n v="0"/>
    <m/>
    <n v="0"/>
    <m/>
    <m/>
    <n v="0"/>
    <n v="0"/>
    <n v="0"/>
    <n v="0"/>
    <m/>
    <n v="0"/>
    <n v="0"/>
    <n v="0"/>
    <n v="0"/>
    <n v="0"/>
    <x v="0"/>
    <m/>
    <x v="2"/>
    <x v="1"/>
    <s v="no root cause"/>
    <x v="1"/>
    <s v=""/>
  </r>
  <r>
    <s v="Sorawel-IHS"/>
    <s v="NRD_099"/>
    <s v="NORD"/>
    <s v="IHS"/>
    <s v="Grid-Gen"/>
    <s v="NORD"/>
    <s v="Sorawel"/>
    <s v="Huawei"/>
    <n v="0"/>
    <n v="0"/>
    <n v="0"/>
    <n v="0"/>
    <n v="0"/>
    <n v="0"/>
    <n v="0"/>
    <n v="0"/>
    <n v="0"/>
    <n v="0"/>
    <n v="0"/>
    <n v="0"/>
    <n v="0"/>
    <n v="6.399475791378094"/>
    <n v="0"/>
    <n v="0"/>
    <n v="0"/>
    <n v="0"/>
    <n v="0"/>
    <n v="0"/>
    <n v="0"/>
    <n v="0"/>
    <n v="0"/>
    <n v="0"/>
    <m/>
    <n v="0"/>
    <m/>
    <n v="0"/>
    <m/>
    <n v="0"/>
    <m/>
    <m/>
    <n v="0"/>
    <n v="0"/>
    <n v="0"/>
    <n v="0"/>
    <m/>
    <n v="0"/>
    <n v="0"/>
    <n v="0"/>
    <n v="0"/>
    <n v="0"/>
    <x v="0"/>
    <m/>
    <x v="4"/>
    <x v="0"/>
    <s v="Defaut GE &amp; Power Cabinet"/>
    <x v="0"/>
    <s v="{hourly IHS}: 25/05/2026 01:29 4:54:30 35V FME Maxime managing with level 0      ;      (05/25/2026 cell huawei): 25/05/2026 : Besoin d'analyse BO RAN || active un fme pour verifier la connexion des cables power de la RRU 60 &amp;62,72 || Fme active || Fme en chemin pour le site || ETA 14h || Feedback Fme : Disjonction au niveau du DCDU || Up apres apres soulevement des disjoncteurs"/>
  </r>
  <r>
    <s v="Biteng"/>
    <s v="CTR_211"/>
    <s v="Yaounde"/>
    <s v="IHS"/>
    <s v="Grid-Gen"/>
    <s v="CENTRE"/>
    <s v="Yaounde"/>
    <s v="ZTE"/>
    <n v="0"/>
    <n v="0"/>
    <n v="0"/>
    <n v="0"/>
    <n v="0"/>
    <n v="0"/>
    <n v="0"/>
    <n v="0"/>
    <n v="0"/>
    <n v="0"/>
    <n v="0"/>
    <n v="0"/>
    <n v="0"/>
    <n v="2.779168913886531"/>
    <n v="0"/>
    <n v="0"/>
    <n v="0"/>
    <n v="0"/>
    <n v="0"/>
    <n v="0"/>
    <n v="0"/>
    <n v="0"/>
    <n v="0"/>
    <n v="0"/>
    <m/>
    <n v="0"/>
    <m/>
    <n v="0"/>
    <m/>
    <n v="0"/>
    <m/>
    <m/>
    <n v="0"/>
    <n v="0"/>
    <n v="0"/>
    <n v="0"/>
    <m/>
    <n v="0"/>
    <n v="0"/>
    <n v="0"/>
    <n v="0"/>
    <n v="0"/>
    <x v="0"/>
    <m/>
    <x v="2"/>
    <x v="1"/>
    <s v="no root cause"/>
    <x v="1"/>
    <s v=""/>
  </r>
  <r>
    <s v="Djabi-IHS"/>
    <s v="NRD_069"/>
    <s v="NORD"/>
    <s v="IHS"/>
    <s v="Solar-Gen"/>
    <s v="NORD"/>
    <s v="Djabi"/>
    <s v="Huawei"/>
    <n v="0"/>
    <n v="0"/>
    <n v="0"/>
    <n v="0"/>
    <n v="0"/>
    <n v="0"/>
    <n v="0"/>
    <n v="0"/>
    <n v="0"/>
    <n v="0"/>
    <n v="0"/>
    <n v="0"/>
    <n v="0"/>
    <n v="1.244620940379473"/>
    <n v="0"/>
    <n v="0"/>
    <n v="0"/>
    <n v="0"/>
    <n v="0"/>
    <n v="0"/>
    <n v="0"/>
    <n v="0"/>
    <n v="0"/>
    <n v="0"/>
    <m/>
    <n v="0"/>
    <m/>
    <n v="0"/>
    <m/>
    <n v="0"/>
    <m/>
    <m/>
    <n v="0"/>
    <n v="0"/>
    <n v="0"/>
    <n v="0"/>
    <m/>
    <n v="0"/>
    <n v="0"/>
    <n v="0"/>
    <n v="0"/>
    <n v="0"/>
    <x v="0"/>
    <m/>
    <x v="2"/>
    <x v="1"/>
    <s v="no root cause"/>
    <x v="1"/>
    <s v=""/>
  </r>
  <r>
    <s v="Badankali-IHS"/>
    <s v="NRD_107"/>
    <s v="NORD"/>
    <s v="IHS"/>
    <s v="Hybrid-Gen"/>
    <s v="NORD"/>
    <s v="Badankali"/>
    <s v="Huawei"/>
    <n v="0"/>
    <n v="0"/>
    <n v="0"/>
    <n v="0"/>
    <n v="0"/>
    <n v="0"/>
    <n v="0"/>
    <n v="0"/>
    <n v="0"/>
    <n v="0"/>
    <n v="0"/>
    <n v="0"/>
    <n v="0"/>
    <n v="0.4021453459006429"/>
    <n v="0"/>
    <n v="0"/>
    <n v="0"/>
    <n v="0"/>
    <n v="0"/>
    <n v="0"/>
    <n v="0.7172020043774407"/>
    <n v="0"/>
    <n v="0"/>
    <n v="0"/>
    <m/>
    <n v="0"/>
    <m/>
    <n v="0"/>
    <m/>
    <n v="0"/>
    <m/>
    <m/>
    <n v="0"/>
    <n v="0"/>
    <n v="0"/>
    <n v="0"/>
    <m/>
    <n v="0"/>
    <n v="0"/>
    <n v="0"/>
    <n v="0"/>
    <n v="0"/>
    <x v="0"/>
    <m/>
    <x v="4"/>
    <x v="0"/>
    <s v="Defaut GE &amp; Power Cabinet"/>
    <x v="0"/>
    <s v="{hourly IHS}: 25/05/2026 09:48 1:12:00 1.7 V Our FME robert IS MANAGING with level zero"/>
  </r>
  <r>
    <s v="Port_Autonome_Kribi"/>
    <s v="SUD_092"/>
    <s v="CENTRE"/>
    <s v="CAMUSAT"/>
    <s v="Good Grid no GE - 8h"/>
    <s v="SUD"/>
    <s v="Kribi"/>
    <s v="ZTE"/>
    <n v="0"/>
    <n v="0.0002675261747609805"/>
    <n v="0"/>
    <n v="0.009416921351584973"/>
    <n v="0"/>
    <n v="0"/>
    <n v="0"/>
    <n v="0"/>
    <n v="0"/>
    <n v="0"/>
    <n v="1.41066551951443"/>
    <n v="0"/>
    <n v="0.04729862769773416"/>
    <n v="0.009523931821489535"/>
    <n v="0"/>
    <n v="0"/>
    <n v="0"/>
    <n v="0"/>
    <n v="0"/>
    <n v="0"/>
    <n v="0"/>
    <n v="0"/>
    <n v="0"/>
    <n v="0"/>
    <m/>
    <n v="0"/>
    <m/>
    <n v="0"/>
    <m/>
    <n v="0"/>
    <m/>
    <m/>
    <n v="0"/>
    <n v="0"/>
    <n v="0"/>
    <n v="0"/>
    <m/>
    <n v="0"/>
    <n v="0"/>
    <n v="0"/>
    <n v="0"/>
    <n v="0"/>
    <x v="0"/>
    <m/>
    <x v="2"/>
    <x v="1"/>
    <s v="no root cause"/>
    <x v="1"/>
    <s v=""/>
  </r>
  <r>
    <s v="GBHS-Muyuka"/>
    <s v="SUO_246"/>
    <s v="NORD-OUEST"/>
    <m/>
    <m/>
    <s v="SUD-OUEST"/>
    <s v="Bamenda"/>
    <s v="Huawei"/>
    <n v="0"/>
    <n v="0"/>
    <n v="0"/>
    <n v="0"/>
    <n v="0"/>
    <n v="0"/>
    <n v="0"/>
    <n v="0"/>
    <n v="0"/>
    <n v="0"/>
    <n v="0"/>
    <n v="0"/>
    <n v="0"/>
    <n v="0.00401289262141408"/>
    <n v="0"/>
    <n v="0"/>
    <n v="0"/>
    <n v="0"/>
    <n v="0"/>
    <n v="0"/>
    <n v="0"/>
    <n v="0"/>
    <n v="0"/>
    <n v="0"/>
    <m/>
    <n v="0"/>
    <m/>
    <n v="0"/>
    <m/>
    <n v="0"/>
    <m/>
    <m/>
    <n v="0"/>
    <n v="0"/>
    <n v="0"/>
    <n v="0"/>
    <m/>
    <n v="0"/>
    <n v="0"/>
    <n v="0"/>
    <n v="0"/>
    <n v="0"/>
    <x v="0"/>
    <m/>
    <x v="4"/>
    <x v="0"/>
    <s v="Defaut GE &amp; Power Cabinet"/>
    <x v="0"/>
    <s v="{05-25-2026   groupe whatsapp   incident}:    impacted by  SUO_008_N_Mpenda-Mbocko-IHS,Cause: Probleme energie    Action: RCA attendu de IHS      ;      {05-25-2026 ocm ran 22H}: P2 incident at SUO_008_N_Mpenda-Mbocko-IHS; Power issue; IHS      ;      {05-25-2026 ocm ran 17H}: P2 incident at SUO_008_N_Mpenda-Mbocko-IHS"/>
  </r>
  <r>
    <s v="PK8"/>
    <s v="LIT_255"/>
    <s v="Douala"/>
    <s v="IHS"/>
    <s v="Grid-Gen"/>
    <s v="LITTORAL"/>
    <s v="Douala"/>
    <s v="ZTE"/>
    <n v="0"/>
    <n v="0"/>
    <n v="0.3587704354327373"/>
    <n v="0"/>
    <n v="0"/>
    <n v="0"/>
    <n v="0"/>
    <n v="0"/>
    <n v="0"/>
    <n v="0"/>
    <n v="0.7771992078371616"/>
    <n v="0"/>
    <n v="0"/>
    <n v="0.002372065416213627"/>
    <n v="0"/>
    <n v="0"/>
    <n v="0"/>
    <n v="0"/>
    <n v="0"/>
    <n v="0"/>
    <n v="2.196675256040384"/>
    <n v="0"/>
    <n v="0"/>
    <n v="0"/>
    <m/>
    <n v="0"/>
    <m/>
    <n v="0"/>
    <m/>
    <n v="0"/>
    <m/>
    <m/>
    <n v="0"/>
    <n v="0"/>
    <n v="0"/>
    <n v="0"/>
    <m/>
    <n v="0"/>
    <n v="0"/>
    <n v="0"/>
    <n v="0"/>
    <n v="0"/>
    <x v="0"/>
    <m/>
    <x v="2"/>
    <x v="1"/>
    <s v="no root cause"/>
    <x v="1"/>
    <s v=""/>
  </r>
  <r>
    <s v="Bana-Centre"/>
    <s v="OST_036"/>
    <s v="OUEST"/>
    <s v="IHS"/>
    <s v="Grid-Gen"/>
    <s v="OUEST"/>
    <s v="Bana"/>
    <s v="Huawei"/>
    <n v="0"/>
    <n v="0"/>
    <n v="0"/>
    <n v="0"/>
    <n v="0"/>
    <n v="0"/>
    <n v="0"/>
    <n v="0"/>
    <n v="0"/>
    <n v="0"/>
    <n v="0"/>
    <n v="0"/>
    <n v="0"/>
    <n v="0.00187268322332657"/>
    <n v="0"/>
    <n v="0"/>
    <n v="0"/>
    <n v="0"/>
    <n v="0"/>
    <n v="0"/>
    <n v="0"/>
    <n v="0"/>
    <n v="0"/>
    <n v="0"/>
    <m/>
    <n v="0"/>
    <m/>
    <n v="0"/>
    <m/>
    <n v="0"/>
    <m/>
    <m/>
    <n v="0"/>
    <n v="0"/>
    <n v="0"/>
    <n v="0"/>
    <m/>
    <n v="0"/>
    <n v="0"/>
    <n v="0"/>
    <n v="0"/>
    <n v="0"/>
    <x v="0"/>
    <m/>
    <x v="2"/>
    <x v="1"/>
    <s v="no root cause"/>
    <x v="1"/>
    <s v=""/>
  </r>
  <r>
    <s v="Total-Ndobo"/>
    <s v="LIT_437"/>
    <s v="Douala"/>
    <s v="IHS"/>
    <s v="Grid-Gen"/>
    <s v="LITTORAL"/>
    <s v="Douala"/>
    <s v="ZTE"/>
    <n v="0"/>
    <n v="0"/>
    <n v="0"/>
    <n v="0"/>
    <n v="0"/>
    <n v="0"/>
    <n v="0"/>
    <n v="0"/>
    <n v="0"/>
    <n v="0"/>
    <n v="0"/>
    <n v="0"/>
    <n v="0"/>
    <n v="0.00178350783173947"/>
    <n v="0"/>
    <n v="0"/>
    <n v="0"/>
    <n v="0"/>
    <n v="0"/>
    <n v="0"/>
    <n v="0"/>
    <n v="0"/>
    <n v="0"/>
    <n v="0"/>
    <m/>
    <n v="0"/>
    <m/>
    <n v="0"/>
    <m/>
    <n v="0"/>
    <m/>
    <m/>
    <n v="0"/>
    <n v="0"/>
    <n v="0"/>
    <n v="0"/>
    <m/>
    <n v="0"/>
    <n v="0"/>
    <n v="0"/>
    <n v="0"/>
    <n v="0"/>
    <x v="0"/>
    <m/>
    <x v="2"/>
    <x v="1"/>
    <s v="no root cause"/>
    <x v="1"/>
    <s v=""/>
  </r>
  <r>
    <s v="Bberi-Enem"/>
    <s v="LIT_637"/>
    <s v="Douala"/>
    <s v="CAMUSAT"/>
    <s v="Good Grid + GE"/>
    <s v="LITTORAL"/>
    <s v="Douala"/>
    <s v="ZTE"/>
    <n v="0"/>
    <n v="0"/>
    <n v="0"/>
    <n v="0"/>
    <n v="0"/>
    <n v="0"/>
    <n v="0"/>
    <n v="0"/>
    <n v="0"/>
    <n v="0"/>
    <n v="0"/>
    <n v="8.917539158697954e-05"/>
    <n v="0"/>
    <n v="0.001640827205200224"/>
    <n v="0"/>
    <n v="0"/>
    <n v="0"/>
    <n v="0"/>
    <n v="0"/>
    <n v="0"/>
    <n v="2.739646380335184"/>
    <n v="0"/>
    <n v="0"/>
    <n v="0"/>
    <m/>
    <n v="0"/>
    <m/>
    <n v="0"/>
    <m/>
    <n v="0"/>
    <m/>
    <m/>
    <n v="0"/>
    <n v="0"/>
    <n v="0"/>
    <n v="0"/>
    <m/>
    <n v="0"/>
    <n v="0"/>
    <n v="0"/>
    <n v="0"/>
    <n v="0"/>
    <x v="0"/>
    <m/>
    <x v="2"/>
    <x v="1"/>
    <s v="no root cause"/>
    <x v="1"/>
    <s v=""/>
  </r>
  <r>
    <s v="Bomono-Gare-IHS"/>
    <s v="LIT_498"/>
    <s v="LITTORAL"/>
    <s v="IHS"/>
    <s v="Grid-Gen"/>
    <s v="LITTORAL"/>
    <s v="Bomono"/>
    <s v="ZTE"/>
    <n v="0"/>
    <n v="0"/>
    <n v="0"/>
    <n v="0"/>
    <n v="2.207162282091014"/>
    <n v="0"/>
    <n v="0"/>
    <n v="0"/>
    <n v="0"/>
    <n v="0"/>
    <n v="0"/>
    <n v="0"/>
    <n v="0"/>
    <n v="0.001355465952121902"/>
    <n v="0"/>
    <n v="0"/>
    <n v="0"/>
    <n v="0"/>
    <n v="0"/>
    <n v="0"/>
    <n v="1.585484957181544"/>
    <n v="0"/>
    <n v="0"/>
    <n v="0"/>
    <m/>
    <n v="0"/>
    <m/>
    <n v="0"/>
    <m/>
    <n v="0"/>
    <m/>
    <m/>
    <n v="0"/>
    <n v="0"/>
    <n v="0"/>
    <n v="0"/>
    <m/>
    <n v="0"/>
    <n v="0"/>
    <n v="0"/>
    <n v="0"/>
    <n v="0"/>
    <x v="0"/>
    <m/>
    <x v="2"/>
    <x v="1"/>
    <s v="no root cause"/>
    <x v="1"/>
    <s v=""/>
  </r>
  <r>
    <s v="Famkeu-IHS"/>
    <s v="OST_308"/>
    <s v="OUEST"/>
    <s v="IHS"/>
    <s v="Solar-Grid-Gen-Lithium"/>
    <s v="OUEST"/>
    <s v="Bafang"/>
    <s v="Huawei"/>
    <n v="0"/>
    <n v="0"/>
    <n v="0"/>
    <n v="0"/>
    <n v="0"/>
    <n v="0"/>
    <n v="0"/>
    <n v="0"/>
    <n v="0"/>
    <n v="0"/>
    <n v="0"/>
    <n v="0"/>
    <n v="0"/>
    <n v="0.0005350523495218772"/>
    <n v="0"/>
    <n v="0"/>
    <n v="0"/>
    <n v="0"/>
    <n v="0"/>
    <n v="0"/>
    <n v="0"/>
    <n v="0"/>
    <n v="0"/>
    <n v="0"/>
    <m/>
    <n v="0"/>
    <m/>
    <n v="0"/>
    <m/>
    <n v="0"/>
    <m/>
    <m/>
    <n v="0"/>
    <n v="0"/>
    <n v="0"/>
    <n v="0"/>
    <m/>
    <n v="0"/>
    <n v="0"/>
    <n v="0"/>
    <n v="0"/>
    <n v="0"/>
    <x v="0"/>
    <m/>
    <x v="2"/>
    <x v="1"/>
    <s v="no root cause"/>
    <x v="1"/>
    <s v=""/>
  </r>
  <r>
    <s v="NR-Omnisport"/>
    <s v="CTR_132"/>
    <s v="Yaounde"/>
    <s v="IHS"/>
    <s v="Grid-Gen"/>
    <s v="CENTRE"/>
    <s v="Yaounde"/>
    <s v="ZTE"/>
    <n v="0"/>
    <n v="0"/>
    <n v="0"/>
    <n v="0"/>
    <n v="0"/>
    <n v="0"/>
    <n v="0"/>
    <n v="0"/>
    <n v="0"/>
    <n v="0"/>
    <n v="0"/>
    <n v="0.02634241067479376"/>
    <n v="0"/>
    <n v="0"/>
    <n v="0"/>
    <n v="0"/>
    <n v="0"/>
    <n v="0"/>
    <n v="0"/>
    <n v="0"/>
    <n v="0"/>
    <n v="0"/>
    <n v="0"/>
    <n v="0"/>
    <m/>
    <n v="0"/>
    <m/>
    <n v="0"/>
    <m/>
    <n v="0"/>
    <m/>
    <m/>
    <n v="0"/>
    <n v="0"/>
    <n v="0"/>
    <n v="0"/>
    <m/>
    <n v="0"/>
    <n v="0"/>
    <n v="0"/>
    <n v="0"/>
    <n v="0"/>
    <x v="0"/>
    <m/>
    <x v="2"/>
    <x v="1"/>
    <s v="no root cause"/>
    <x v="1"/>
    <s v=""/>
  </r>
  <r>
    <s v="Ouro-Dara"/>
    <s v="ADM_148"/>
    <s v="Ngaoundere"/>
    <s v="CAMUSAT"/>
    <s v="Hybrid Solar - S3"/>
    <s v="ADAMAOUA"/>
    <s v="Oura-Dara"/>
    <s v="NOKIA"/>
    <n v="4.621675184700071"/>
    <n v="4.621568174230167"/>
    <n v="4.621461163760261"/>
    <n v="4.621621679465119"/>
    <n v="4.621514668995214"/>
    <n v="4.62188920563988"/>
    <n v="4.621835700404927"/>
    <n v="4.621782195169976"/>
    <n v="4.621354153290357"/>
    <n v="4.621728689935023"/>
    <n v="4.621835700404927"/>
    <n v="0"/>
    <n v="0"/>
    <n v="0"/>
    <n v="0"/>
    <n v="0"/>
    <n v="0"/>
    <n v="0"/>
    <n v="0"/>
    <n v="0"/>
    <n v="0"/>
    <n v="0"/>
    <n v="0"/>
    <n v="0"/>
    <m/>
    <n v="0"/>
    <m/>
    <n v="0"/>
    <m/>
    <n v="0"/>
    <m/>
    <m/>
    <n v="0"/>
    <n v="0"/>
    <n v="0"/>
    <n v="0"/>
    <m/>
    <n v="0"/>
    <n v="0"/>
    <n v="0"/>
    <n v="0"/>
    <n v="0"/>
    <x v="0"/>
    <m/>
    <x v="8"/>
    <x v="4"/>
    <s v="Warehouse HUAWEI"/>
    <x v="3"/>
    <s v="{05-25-2026 ocm ran 22H}: 22.05.26: LNB VSAT faulty. Spare pas disponible à Ngaoundéré, recherche en cours dans les autres WH, EXPEDITION DE YDE ver NGaoundere ETD=25/05/2026_x000a_21.05.26: FME sur site, travaux en cours avec le BO TX |Modem et BUC testés OK sur Home et FME en route pour Ouru Dara pour suite des investigations_x000a_21.05.26: L'intervention n'a pa pu avoir lieu ce 20.05.26 car réseau MTN également down dans la zone. FME sera sur le site ce 21.05.26 car intempéries dans la zone, ETA 14H_x000a_20.05.26: L'intervention n'a pa pu avoir lieu ce 20.05.26 car réseau MTN également down dans la zone. FME sera sur le site ce 21.05.26 car intempéries dans la zone_x000a_19.05.26: FME sur site et travaux en cours, update ASAP | FME parti tester le BUC sur Home, update ASAP_x000a_18/05/2026 BUC transféré de Ngaoundéré vers Touboro, ETD 11H, ETA 15H - FME sur site et travaux en cours_x000a_16.05.26: BUC en défaut, pièce de rechange envoyée depuis Garoua pour Ngaoundéré, nouvel ETD 16/05/26 soir_x000a_15/05/2026 BUC en défaut, pièce de rechange envoyée depuis Garoua pour Ngaoundéré, nouvel ETD 15/05/2026_x000a_13/05/2026 BUC en défaut, pièce de rechange envoyée depuis Garoua pour Ngaoundéré, ETD 14/05/2026_x000a_12.05.2026: Apres travaux BUC en defaut. Spare Disponible a Garoua sera expediee a Ngaoundere ETD=13.05.2026 et ensuite a TOUBORO ETD=14.05.2026_x000a_11/05/2026 Apres travaux BUC en defaut, commande en cours et update ASAP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      ;      {05-25-2026 ocm ran 17H}: 22.05.26: LNB VSAT faulty. Spare pas disponible à Ngaoundéré, recherche en cours dans les autres WH, EXPEDITION DE YDE ver NGaoundere ETD=25/05/2026_x000a_21.05.26: FME sur site, travaux en cours avec le BO TX |Modem et BUC testés OK sur Home et FME en route pour Ouru Dara pour suite des investigations_x000a_21.05.26: L'intervention n'a pa pu avoir lieu ce 20.05.26 car réseau MTN également down dans la zone. FME sera sur le site ce 21.05.26 car intempéries dans la zone, ETA 14H_x000a_20.05.26: L'intervention n'a pa pu avoir lieu ce 20.05.26 car réseau MTN également down dans la zone. FME sera sur le site ce 21.05.26 car intempéries dans la zone_x000a_19.05.26: FME sur site et travaux en cours, update ASAP | FME parti tester le BUC sur Home, update ASAP_x000a_18/05/2026 BUC transféré de Ngaoundéré vers Touboro, ETD 11H, ETA 15H - FME sur site et travaux en cours_x000a_16.05.26: BUC en défaut, pièce de rechange envoyée depuis Garoua pour Ngaoundéré, nouvel ETD 16/05/26 soir_x000a_15/05/2026 BUC en défaut, pièce de rechange envoyée depuis Garoua pour Ngaoundéré, nouvel ETD 15/05/2026_x000a_13/05/2026 BUC en défaut, pièce de rechange envoyée depuis Garoua pour Ngaoundéré, ETD 14/05/2026_x000a_12.05.2026: Apres travaux BUC en defaut. Spare Disponible a Garoua sera expediee a Ngaoundere ETD=13.05.2026 et ensuite a TOUBORO ETD=14.05.2026_x000a_11/05/2026 Apres travaux BUC en defaut, commande en cours et update ASAP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
  </r>
  <r>
    <s v="Soukounga-MTN"/>
    <s v="ADM_030"/>
    <s v="ADAMAOUA"/>
    <s v="IHS"/>
    <s v="Grid-Gen"/>
    <s v="ADAMAOUA"/>
    <s v="Soukounga"/>
    <s v="NOKIA"/>
    <n v="0"/>
    <n v="0"/>
    <n v="0"/>
    <n v="0"/>
    <n v="0"/>
    <n v="0"/>
    <n v="0"/>
    <n v="0"/>
    <n v="0"/>
    <n v="0"/>
    <n v="0"/>
    <n v="0"/>
    <n v="0"/>
    <n v="0"/>
    <n v="0"/>
    <n v="0"/>
    <n v="0"/>
    <n v="0"/>
    <n v="0"/>
    <n v="0"/>
    <n v="0"/>
    <n v="0"/>
    <n v="0"/>
    <n v="0"/>
    <m/>
    <n v="0"/>
    <m/>
    <n v="0"/>
    <m/>
    <n v="0"/>
    <m/>
    <m/>
    <n v="0"/>
    <n v="0"/>
    <n v="0"/>
    <n v="0"/>
    <m/>
    <n v="0"/>
    <n v="0"/>
    <n v="0"/>
    <n v="0"/>
    <n v="0"/>
    <x v="0"/>
    <m/>
    <x v="2"/>
    <x v="1"/>
    <s v="no root cause"/>
    <x v="1"/>
    <s v=""/>
  </r>
  <r>
    <s v="Mimboman-Village"/>
    <s v="CTR_245"/>
    <s v="Yaounde"/>
    <s v="IHS"/>
    <s v="Grid-Gen"/>
    <s v="CENTRE"/>
    <s v="Yaounde"/>
    <s v="ZTE"/>
    <n v="0"/>
    <n v="0"/>
    <n v="0"/>
    <n v="0"/>
    <n v="0"/>
    <n v="0"/>
    <n v="0"/>
    <n v="4.246246786118888"/>
    <n v="1.29341771465587"/>
    <n v="0"/>
    <n v="0"/>
    <n v="0"/>
    <n v="0"/>
    <n v="0"/>
    <n v="0"/>
    <n v="0"/>
    <n v="0"/>
    <n v="0"/>
    <n v="0"/>
    <n v="0"/>
    <n v="0.04366689909858488"/>
    <n v="0"/>
    <n v="0"/>
    <n v="0"/>
    <m/>
    <n v="0"/>
    <m/>
    <n v="0"/>
    <m/>
    <n v="0"/>
    <m/>
    <m/>
    <n v="0"/>
    <n v="0"/>
    <n v="0"/>
    <n v="0"/>
    <m/>
    <n v="0"/>
    <n v="0"/>
    <n v="0"/>
    <n v="0"/>
    <n v="0"/>
    <x v="0"/>
    <m/>
    <x v="2"/>
    <x v="1"/>
    <s v="no root cause"/>
    <x v="1"/>
    <s v=""/>
  </r>
  <r>
    <s v="Batchenga-MTN-IHS"/>
    <s v="CTR_180"/>
    <s v="CENTRE"/>
    <s v="IHS"/>
    <s v="Grid-Gen-Lithium"/>
    <s v="CENTRE"/>
    <s v="Batchenga"/>
    <s v="NOKIA"/>
    <n v="0"/>
    <n v="0"/>
    <n v="0"/>
    <n v="0"/>
    <n v="0"/>
    <n v="0"/>
    <n v="0"/>
    <n v="0"/>
    <n v="0"/>
    <n v="1.204557868342409"/>
    <n v="0"/>
    <n v="0"/>
    <n v="0"/>
    <n v="0"/>
    <n v="0"/>
    <n v="0"/>
    <n v="0"/>
    <n v="0"/>
    <n v="0"/>
    <n v="0"/>
    <n v="0"/>
    <n v="0"/>
    <n v="0"/>
    <n v="0"/>
    <m/>
    <n v="0"/>
    <m/>
    <n v="0"/>
    <m/>
    <n v="0"/>
    <m/>
    <m/>
    <n v="0"/>
    <n v="0"/>
    <n v="0"/>
    <n v="0"/>
    <m/>
    <n v="0"/>
    <n v="0"/>
    <n v="0"/>
    <n v="0"/>
    <n v="0"/>
    <x v="0"/>
    <m/>
    <x v="2"/>
    <x v="1"/>
    <s v="no root cause"/>
    <x v="1"/>
    <s v=""/>
  </r>
  <r>
    <s v="Tsomo-Assi"/>
    <s v="CTR_563"/>
    <s v="Yaounde"/>
    <s v="CAMUSAT"/>
    <s v="Good Grid no GE - 8h"/>
    <s v="CENTRE"/>
    <s v="Yaounde"/>
    <s v="ZTE"/>
    <n v="0"/>
    <n v="0"/>
    <n v="0"/>
    <n v="0"/>
    <n v="0"/>
    <n v="0"/>
    <n v="0"/>
    <n v="0"/>
    <n v="0"/>
    <n v="0"/>
    <n v="0"/>
    <n v="0"/>
    <n v="8.681866433811887"/>
    <n v="0"/>
    <n v="0"/>
    <n v="0"/>
    <n v="0"/>
    <n v="0"/>
    <n v="0"/>
    <n v="0"/>
    <n v="0"/>
    <n v="0"/>
    <n v="0"/>
    <n v="0"/>
    <m/>
    <n v="0"/>
    <m/>
    <n v="0"/>
    <m/>
    <n v="0"/>
    <m/>
    <m/>
    <n v="0"/>
    <n v="0"/>
    <n v="0"/>
    <n v="0"/>
    <m/>
    <n v="0"/>
    <n v="0"/>
    <n v="0"/>
    <n v="0"/>
    <n v="0"/>
    <x v="0"/>
    <m/>
    <x v="2"/>
    <x v="1"/>
    <s v="no root cause"/>
    <x v="1"/>
    <s v=""/>
  </r>
  <r>
    <s v="Mfandena"/>
    <s v="CTR_570"/>
    <s v="Yaounde"/>
    <m/>
    <m/>
    <s v="CENTRE"/>
    <s v="Yaounde"/>
    <s v="ZTE"/>
    <n v="0"/>
    <n v="0"/>
    <n v="0"/>
    <n v="0"/>
    <n v="0"/>
    <n v="0"/>
    <n v="0"/>
    <n v="0"/>
    <n v="0"/>
    <n v="0"/>
    <n v="0"/>
    <n v="0"/>
    <n v="0"/>
    <n v="0"/>
    <n v="0"/>
    <n v="0"/>
    <n v="0"/>
    <n v="0"/>
    <n v="0"/>
    <n v="0"/>
    <n v="0"/>
    <n v="0"/>
    <n v="0"/>
    <n v="0"/>
    <m/>
    <n v="0"/>
    <m/>
    <n v="0"/>
    <m/>
    <n v="0"/>
    <m/>
    <m/>
    <n v="0"/>
    <n v="0"/>
    <n v="0"/>
    <n v="0"/>
    <m/>
    <n v="0"/>
    <n v="0"/>
    <n v="0"/>
    <n v="0"/>
    <n v="0"/>
    <x v="0"/>
    <m/>
    <x v="2"/>
    <x v="1"/>
    <s v="no root cause"/>
    <x v="1"/>
    <s v=""/>
  </r>
  <r>
    <s v="Chapelle-Nsimeyong"/>
    <s v="CTR_238"/>
    <s v="Yaounde"/>
    <s v="IHS"/>
    <s v="Grid-Gen"/>
    <s v="CENTRE"/>
    <s v="Yaounde"/>
    <s v="ZTE"/>
    <n v="0"/>
    <n v="0"/>
    <n v="0"/>
    <n v="0"/>
    <n v="0"/>
    <n v="0"/>
    <n v="0"/>
    <n v="0"/>
    <n v="0"/>
    <n v="0"/>
    <n v="0"/>
    <n v="0"/>
    <n v="0"/>
    <n v="0"/>
    <n v="0"/>
    <n v="0"/>
    <n v="0"/>
    <n v="0"/>
    <n v="0"/>
    <n v="0"/>
    <n v="0"/>
    <n v="0"/>
    <n v="0"/>
    <n v="0"/>
    <m/>
    <n v="0"/>
    <m/>
    <n v="0"/>
    <m/>
    <n v="0"/>
    <m/>
    <m/>
    <n v="0"/>
    <n v="0"/>
    <n v="0"/>
    <n v="0"/>
    <m/>
    <n v="0"/>
    <n v="0"/>
    <n v="0"/>
    <n v="0"/>
    <n v="0"/>
    <x v="0"/>
    <m/>
    <x v="2"/>
    <x v="1"/>
    <s v="no root cause"/>
    <x v="1"/>
    <s v=""/>
  </r>
  <r>
    <s v="Fouda-New"/>
    <s v="CTR_327"/>
    <s v="Yaounde"/>
    <s v="IHS"/>
    <s v="Grid-Gen"/>
    <s v="CENTRE"/>
    <s v="Yaounde"/>
    <s v="ZTE"/>
    <n v="0"/>
    <n v="0"/>
    <n v="0"/>
    <n v="0"/>
    <n v="0"/>
    <n v="0"/>
    <n v="0"/>
    <n v="13.14045766237769"/>
    <n v="24.40093755439699"/>
    <n v="0"/>
    <n v="0"/>
    <n v="1.53811498917054"/>
    <n v="0"/>
    <n v="0"/>
    <n v="0"/>
    <n v="0"/>
    <n v="0"/>
    <n v="0"/>
    <n v="0"/>
    <n v="0"/>
    <n v="23.57524476861483"/>
    <n v="0"/>
    <n v="0"/>
    <n v="0"/>
    <m/>
    <n v="0"/>
    <m/>
    <n v="0"/>
    <m/>
    <n v="0"/>
    <m/>
    <m/>
    <n v="0"/>
    <n v="0"/>
    <n v="0"/>
    <n v="0"/>
    <m/>
    <n v="0"/>
    <n v="0"/>
    <n v="0"/>
    <n v="0"/>
    <n v="0"/>
    <x v="0"/>
    <m/>
    <x v="2"/>
    <x v="1"/>
    <s v="no root cause"/>
    <x v="1"/>
    <s v=""/>
  </r>
  <r>
    <s v="Damas-II"/>
    <s v="CTR_472"/>
    <s v="Yaounde"/>
    <s v="IHS"/>
    <s v="Grid-Gen"/>
    <s v="CENTRE"/>
    <s v="Yaounde"/>
    <s v="ZTE"/>
    <n v="0"/>
    <n v="0"/>
    <n v="0.2459814001535248"/>
    <n v="0"/>
    <n v="0"/>
    <n v="0"/>
    <n v="62.05836779070463"/>
    <n v="0"/>
    <n v="0"/>
    <n v="0"/>
    <n v="2.227815302782558"/>
    <n v="0"/>
    <n v="0"/>
    <n v="0"/>
    <n v="0"/>
    <n v="0"/>
    <n v="0"/>
    <n v="0"/>
    <n v="0"/>
    <n v="0"/>
    <n v="0"/>
    <n v="0"/>
    <n v="0"/>
    <n v="0"/>
    <m/>
    <n v="0"/>
    <m/>
    <n v="0"/>
    <m/>
    <n v="0"/>
    <m/>
    <m/>
    <n v="0"/>
    <n v="0"/>
    <n v="0"/>
    <n v="0"/>
    <m/>
    <n v="0"/>
    <n v="0"/>
    <n v="0"/>
    <n v="0"/>
    <n v="0"/>
    <x v="0"/>
    <m/>
    <x v="2"/>
    <x v="1"/>
    <s v="no root cause"/>
    <x v="1"/>
    <s v=""/>
  </r>
  <r>
    <s v="Ntaba"/>
    <s v="CTR_380"/>
    <s v="Yaounde"/>
    <s v="IHS"/>
    <s v="Grid-Gen"/>
    <s v="CENTRE"/>
    <s v="Yaounde"/>
    <s v="ZTE"/>
    <n v="2.578399437267608"/>
    <n v="5.019486606569586"/>
    <n v="0"/>
    <n v="0"/>
    <n v="0"/>
    <n v="0"/>
    <n v="0"/>
    <n v="6.093764713939612"/>
    <n v="0"/>
    <n v="0"/>
    <n v="0"/>
    <n v="0"/>
    <n v="0"/>
    <n v="0"/>
    <n v="0"/>
    <n v="0"/>
    <n v="0"/>
    <n v="0"/>
    <n v="0"/>
    <n v="0"/>
    <n v="0"/>
    <n v="0"/>
    <n v="0"/>
    <n v="0"/>
    <m/>
    <n v="0"/>
    <m/>
    <n v="0"/>
    <m/>
    <n v="0"/>
    <m/>
    <m/>
    <n v="0"/>
    <n v="0"/>
    <n v="0"/>
    <n v="0"/>
    <m/>
    <n v="0"/>
    <n v="0"/>
    <n v="0"/>
    <n v="0"/>
    <n v="0"/>
    <x v="0"/>
    <m/>
    <x v="2"/>
    <x v="1"/>
    <s v="no root cause"/>
    <x v="1"/>
    <s v=""/>
  </r>
  <r>
    <s v="Tamtam-Weekend-IHS"/>
    <s v="CTR_121"/>
    <s v="Yaounde"/>
    <s v="IHS"/>
    <s v="Grid-Gen"/>
    <s v="CENTRE"/>
    <s v="Yaounde"/>
    <s v="ZTE"/>
    <n v="0"/>
    <n v="0"/>
    <n v="0"/>
    <n v="0"/>
    <n v="0"/>
    <n v="0"/>
    <n v="0"/>
    <n v="0"/>
    <n v="0"/>
    <n v="0"/>
    <n v="0"/>
    <n v="0.01944023536596154"/>
    <n v="0"/>
    <n v="0"/>
    <n v="0"/>
    <n v="0"/>
    <n v="0"/>
    <n v="0"/>
    <n v="0"/>
    <n v="0"/>
    <n v="0"/>
    <n v="0"/>
    <n v="0"/>
    <n v="0"/>
    <m/>
    <n v="0"/>
    <m/>
    <n v="0"/>
    <m/>
    <n v="0"/>
    <m/>
    <m/>
    <n v="0"/>
    <n v="0"/>
    <n v="0"/>
    <n v="0"/>
    <m/>
    <n v="0"/>
    <n v="0"/>
    <n v="0"/>
    <n v="0"/>
    <n v="0"/>
    <x v="0"/>
    <m/>
    <x v="2"/>
    <x v="1"/>
    <s v="no root cause"/>
    <x v="1"/>
    <s v=""/>
  </r>
  <r>
    <s v="Oyomabang"/>
    <s v="CTR_340"/>
    <s v="Yaounde"/>
    <s v="IHS"/>
    <s v="Grid-Gen"/>
    <s v="CENTRE"/>
    <s v="Yaounde"/>
    <s v="ZTE"/>
    <n v="0.5850262389672215"/>
    <n v="0"/>
    <n v="0"/>
    <n v="0"/>
    <n v="0"/>
    <n v="0"/>
    <n v="0.7032906432898737"/>
    <n v="0"/>
    <n v="0"/>
    <n v="0"/>
    <n v="0"/>
    <n v="0"/>
    <n v="0"/>
    <n v="0"/>
    <n v="0"/>
    <n v="0"/>
    <n v="0"/>
    <n v="0"/>
    <n v="0"/>
    <n v="0"/>
    <n v="0"/>
    <n v="0"/>
    <n v="0"/>
    <n v="0"/>
    <m/>
    <n v="0"/>
    <m/>
    <n v="0"/>
    <m/>
    <n v="0"/>
    <m/>
    <m/>
    <n v="0"/>
    <n v="0"/>
    <n v="0"/>
    <n v="0"/>
    <m/>
    <n v="0"/>
    <n v="0"/>
    <n v="0"/>
    <n v="0"/>
    <n v="0"/>
    <x v="0"/>
    <m/>
    <x v="2"/>
    <x v="1"/>
    <s v="no root cause"/>
    <x v="1"/>
    <s v=""/>
  </r>
  <r>
    <s v="Febe-Village-IHS"/>
    <s v="CTR_692"/>
    <s v="Yaounde"/>
    <s v="IHS"/>
    <s v="Grid-Gen"/>
    <s v="CENTRE"/>
    <s v="Yaounde"/>
    <s v="ZTE"/>
    <n v="0"/>
    <n v="0"/>
    <n v="0"/>
    <n v="0"/>
    <n v="0"/>
    <n v="0"/>
    <n v="0"/>
    <n v="0"/>
    <n v="0"/>
    <n v="0"/>
    <n v="0"/>
    <n v="1.685432736072231"/>
    <n v="0"/>
    <n v="0"/>
    <n v="0"/>
    <n v="0"/>
    <n v="0"/>
    <n v="0"/>
    <n v="0"/>
    <n v="0"/>
    <n v="0.7843154040858031"/>
    <n v="0"/>
    <n v="0"/>
    <n v="0"/>
    <m/>
    <n v="0"/>
    <m/>
    <n v="0"/>
    <m/>
    <n v="0"/>
    <m/>
    <m/>
    <n v="0"/>
    <n v="0"/>
    <n v="0"/>
    <n v="0"/>
    <m/>
    <n v="0"/>
    <n v="0"/>
    <n v="0"/>
    <n v="0"/>
    <n v="0"/>
    <x v="0"/>
    <m/>
    <x v="2"/>
    <x v="1"/>
    <s v="no root cause"/>
    <x v="1"/>
    <s v=""/>
  </r>
  <r>
    <s v="GP-Etoudi"/>
    <s v="CTR_735"/>
    <s v="Yaounde"/>
    <s v="CAMUSAT"/>
    <s v="Good Grid no GE - 12h"/>
    <s v="CENTRE"/>
    <s v="Yaounde"/>
    <s v="ZTE"/>
    <n v="0"/>
    <n v="0"/>
    <n v="0"/>
    <n v="0"/>
    <n v="0"/>
    <n v="0"/>
    <n v="0"/>
    <n v="0"/>
    <n v="0"/>
    <n v="0"/>
    <n v="0"/>
    <n v="0.1044065484700356"/>
    <n v="0"/>
    <n v="0"/>
    <n v="0"/>
    <n v="0"/>
    <n v="0"/>
    <n v="0"/>
    <n v="0"/>
    <n v="0"/>
    <n v="0.2922455933088494"/>
    <n v="0"/>
    <n v="0"/>
    <n v="0"/>
    <m/>
    <n v="0"/>
    <m/>
    <n v="0"/>
    <m/>
    <n v="0"/>
    <m/>
    <m/>
    <n v="0"/>
    <n v="0"/>
    <n v="0"/>
    <n v="0"/>
    <m/>
    <n v="0"/>
    <n v="0"/>
    <n v="0"/>
    <n v="0"/>
    <n v="0"/>
    <x v="0"/>
    <m/>
    <x v="2"/>
    <x v="1"/>
    <s v="no root cause"/>
    <x v="1"/>
    <s v=""/>
  </r>
  <r>
    <s v="Nsimeyong-Chefferie"/>
    <s v="CTR_660"/>
    <s v="Yaounde"/>
    <s v="CAMUSAT"/>
    <s v="Good Grid no GE - 12h"/>
    <s v="CENTRE"/>
    <s v="Yaounde"/>
    <s v="ZTE"/>
    <n v="0"/>
    <n v="0"/>
    <n v="0"/>
    <n v="0"/>
    <n v="0.3807432519197685"/>
    <n v="0"/>
    <n v="0"/>
    <n v="0"/>
    <n v="0"/>
    <n v="0"/>
    <n v="0"/>
    <n v="0"/>
    <n v="9.488707541812557"/>
    <n v="0"/>
    <n v="0"/>
    <n v="0"/>
    <n v="0"/>
    <n v="0"/>
    <n v="0"/>
    <n v="0"/>
    <n v="0"/>
    <n v="0"/>
    <n v="0"/>
    <n v="0"/>
    <m/>
    <n v="0"/>
    <m/>
    <n v="0"/>
    <m/>
    <n v="0"/>
    <m/>
    <m/>
    <n v="0"/>
    <n v="0"/>
    <n v="0"/>
    <n v="0"/>
    <m/>
    <n v="0"/>
    <n v="0"/>
    <n v="0"/>
    <n v="0"/>
    <n v="0"/>
    <x v="0"/>
    <m/>
    <x v="2"/>
    <x v="1"/>
    <s v="no root cause"/>
    <x v="1"/>
    <s v=""/>
  </r>
  <r>
    <s v="Bonabappe"/>
    <s v="LIT_290"/>
    <s v="Douala"/>
    <s v="IHS"/>
    <s v="Grid-Gen"/>
    <s v="LITTORAL"/>
    <s v="Douala"/>
    <s v="ZTE"/>
    <n v="0"/>
    <n v="0"/>
    <n v="0"/>
    <n v="0"/>
    <n v="0"/>
    <n v="0"/>
    <n v="0"/>
    <n v="0"/>
    <n v="0"/>
    <n v="0"/>
    <n v="0"/>
    <n v="0"/>
    <n v="0"/>
    <n v="0"/>
    <n v="0"/>
    <n v="0"/>
    <n v="0"/>
    <n v="0"/>
    <n v="0"/>
    <n v="0"/>
    <n v="0.1418780480148844"/>
    <n v="0"/>
    <n v="0"/>
    <n v="0"/>
    <m/>
    <n v="0"/>
    <m/>
    <n v="0"/>
    <m/>
    <n v="0"/>
    <m/>
    <m/>
    <n v="0"/>
    <n v="0"/>
    <n v="0"/>
    <n v="0"/>
    <m/>
    <n v="0"/>
    <n v="0"/>
    <n v="0"/>
    <n v="0"/>
    <n v="0"/>
    <x v="0"/>
    <m/>
    <x v="2"/>
    <x v="1"/>
    <s v="no root cause"/>
    <x v="1"/>
    <s v=""/>
  </r>
  <r>
    <s v="Mabanda2-IHS"/>
    <s v="LIT_577"/>
    <s v="Douala"/>
    <s v="IHS"/>
    <s v="Grid-Gen"/>
    <s v="LITTORAL"/>
    <s v="Douala"/>
    <s v="ZTE"/>
    <n v="0"/>
    <n v="0"/>
    <n v="0"/>
    <n v="0"/>
    <n v="0.04740563816763785"/>
    <n v="0"/>
    <n v="0"/>
    <n v="1.64988742498566"/>
    <n v="0"/>
    <n v="0"/>
    <n v="0"/>
    <n v="0"/>
    <n v="0"/>
    <n v="0"/>
    <n v="0"/>
    <n v="0"/>
    <n v="0"/>
    <n v="0"/>
    <n v="0"/>
    <n v="0"/>
    <n v="0"/>
    <n v="0"/>
    <n v="0"/>
    <n v="0"/>
    <m/>
    <n v="0"/>
    <m/>
    <n v="0"/>
    <m/>
    <n v="0"/>
    <m/>
    <m/>
    <n v="0"/>
    <n v="0"/>
    <n v="0"/>
    <n v="0"/>
    <m/>
    <n v="0"/>
    <n v="0"/>
    <n v="0"/>
    <n v="0"/>
    <n v="0"/>
    <x v="0"/>
    <m/>
    <x v="2"/>
    <x v="1"/>
    <s v="no root cause"/>
    <x v="1"/>
    <s v=""/>
  </r>
  <r>
    <s v="Bberi-Centre"/>
    <s v="LIT_243"/>
    <s v="Douala"/>
    <s v="IHS"/>
    <s v="Grid-Gen"/>
    <s v="LITTORAL"/>
    <s v="Douala"/>
    <s v="ZTE"/>
    <n v="0"/>
    <n v="0"/>
    <n v="0.3674739536516251"/>
    <n v="0"/>
    <n v="0"/>
    <n v="0"/>
    <n v="0"/>
    <n v="0"/>
    <n v="0"/>
    <n v="0"/>
    <n v="0"/>
    <n v="0"/>
    <n v="0"/>
    <n v="0"/>
    <n v="0"/>
    <n v="0"/>
    <n v="0"/>
    <n v="0"/>
    <n v="0"/>
    <n v="0"/>
    <n v="0"/>
    <n v="0"/>
    <n v="0"/>
    <n v="0"/>
    <m/>
    <n v="0"/>
    <m/>
    <n v="0"/>
    <m/>
    <n v="0"/>
    <m/>
    <m/>
    <n v="0"/>
    <n v="0"/>
    <n v="0"/>
    <n v="0"/>
    <m/>
    <n v="0"/>
    <n v="0"/>
    <n v="0"/>
    <n v="0"/>
    <n v="0"/>
    <x v="0"/>
    <m/>
    <x v="2"/>
    <x v="1"/>
    <s v="no root cause"/>
    <x v="1"/>
    <s v=""/>
  </r>
  <r>
    <s v="Nkomba-II-IHS"/>
    <s v="LIT_155"/>
    <s v="Douala"/>
    <s v="IHS"/>
    <s v="Grid-Gen"/>
    <s v="LITTORAL"/>
    <s v="Douala"/>
    <s v="ZTE"/>
    <n v="0"/>
    <n v="3.725747860504003"/>
    <n v="3.325760559079767"/>
    <n v="0"/>
    <n v="0"/>
    <n v="0"/>
    <n v="13.51602874158542"/>
    <n v="0"/>
    <n v="0"/>
    <n v="0"/>
    <n v="0"/>
    <n v="0"/>
    <n v="0"/>
    <n v="0"/>
    <n v="0"/>
    <n v="0"/>
    <n v="0"/>
    <n v="0"/>
    <n v="0"/>
    <n v="0"/>
    <n v="2.774692309228868"/>
    <n v="0"/>
    <n v="0"/>
    <n v="0"/>
    <m/>
    <n v="0"/>
    <m/>
    <n v="0"/>
    <m/>
    <n v="0"/>
    <m/>
    <m/>
    <n v="0"/>
    <n v="0"/>
    <n v="0"/>
    <n v="0"/>
    <m/>
    <n v="0"/>
    <n v="0"/>
    <n v="0"/>
    <n v="0"/>
    <n v="0"/>
    <x v="0"/>
    <m/>
    <x v="2"/>
    <x v="1"/>
    <s v="no root cause"/>
    <x v="1"/>
    <s v=""/>
  </r>
  <r>
    <s v="FAYADOR-AKWA"/>
    <s v="LIT_689"/>
    <s v="Douala"/>
    <s v="CAMUSAT"/>
    <s v="Good Grid no GE - 8h"/>
    <s v="LITTORAL"/>
    <s v="Douala"/>
    <s v="ZTE"/>
    <n v="0"/>
    <n v="0"/>
    <n v="0"/>
    <n v="0"/>
    <n v="0"/>
    <n v="2.29252096691807"/>
    <n v="0"/>
    <n v="0"/>
    <n v="1.337809224587867"/>
    <n v="14.35515134134057"/>
    <n v="17.93698795490151"/>
    <n v="13.86855689960706"/>
    <n v="0"/>
    <n v="0"/>
    <n v="0"/>
    <n v="0"/>
    <n v="0"/>
    <n v="0"/>
    <n v="0"/>
    <n v="0"/>
    <n v="0"/>
    <n v="0"/>
    <n v="0"/>
    <n v="0"/>
    <m/>
    <n v="0"/>
    <m/>
    <n v="0"/>
    <m/>
    <n v="0"/>
    <m/>
    <m/>
    <n v="0"/>
    <n v="0"/>
    <n v="0"/>
    <n v="0"/>
    <m/>
    <n v="0"/>
    <n v="0"/>
    <n v="0"/>
    <n v="0"/>
    <n v="0"/>
    <x v="0"/>
    <m/>
    <x v="2"/>
    <x v="1"/>
    <s v="no root cause"/>
    <x v="1"/>
    <s v=""/>
  </r>
  <r>
    <s v="Shell-NewBell-Carrefour"/>
    <s v="LIT_407"/>
    <s v="Douala"/>
    <s v="IHS"/>
    <s v="GridOnly"/>
    <s v="LITTORAL"/>
    <s v="Douala"/>
    <s v="ZTE"/>
    <n v="0"/>
    <n v="0"/>
    <n v="0"/>
    <n v="4.963466625574646"/>
    <n v="0"/>
    <n v="0"/>
    <n v="0"/>
    <n v="0"/>
    <n v="0"/>
    <n v="0"/>
    <n v="6.797251543090981"/>
    <n v="0"/>
    <n v="0"/>
    <n v="0"/>
    <n v="0"/>
    <n v="0"/>
    <n v="0"/>
    <n v="0"/>
    <n v="0"/>
    <n v="0"/>
    <n v="0"/>
    <n v="0"/>
    <n v="0"/>
    <n v="0"/>
    <m/>
    <n v="0"/>
    <m/>
    <n v="0"/>
    <m/>
    <n v="0"/>
    <m/>
    <m/>
    <n v="0"/>
    <n v="0"/>
    <n v="0"/>
    <n v="0"/>
    <m/>
    <n v="0"/>
    <n v="0"/>
    <n v="0"/>
    <n v="0"/>
    <n v="0"/>
    <x v="0"/>
    <m/>
    <x v="2"/>
    <x v="1"/>
    <s v="no root cause"/>
    <x v="1"/>
    <s v=""/>
  </r>
  <r>
    <s v="Ndogbong-IUT"/>
    <s v="LIT_221"/>
    <s v="Douala"/>
    <s v="IHS"/>
    <s v="Grid-Gen"/>
    <s v="LITTORAL"/>
    <s v="Douala"/>
    <s v="ZTE"/>
    <n v="0"/>
    <n v="0"/>
    <n v="0"/>
    <n v="0.002193714633039698"/>
    <n v="0"/>
    <n v="0"/>
    <n v="0"/>
    <n v="0"/>
    <n v="0.51728861151775"/>
    <n v="26.77350235280355"/>
    <n v="4.099535431879986"/>
    <n v="0.0001783507831740038"/>
    <n v="0"/>
    <n v="0"/>
    <n v="0"/>
    <n v="0"/>
    <n v="0"/>
    <n v="0"/>
    <n v="0"/>
    <n v="0"/>
    <n v="1.203081060556532"/>
    <n v="0"/>
    <n v="0"/>
    <n v="0"/>
    <m/>
    <n v="0"/>
    <m/>
    <n v="0"/>
    <m/>
    <n v="0"/>
    <m/>
    <m/>
    <n v="0"/>
    <n v="0"/>
    <n v="0"/>
    <n v="0"/>
    <m/>
    <n v="0"/>
    <n v="0"/>
    <n v="0"/>
    <n v="0"/>
    <n v="0"/>
    <x v="0"/>
    <m/>
    <x v="2"/>
    <x v="1"/>
    <s v="no root cause"/>
    <x v="1"/>
    <s v=""/>
  </r>
  <r>
    <s v="Bamenda-hospital-roundabout-IHS"/>
    <s v="NRO_131"/>
    <s v="NORD-OUEST"/>
    <s v="IHS"/>
    <s v="Grid-Gen"/>
    <s v="NORD-OUEST"/>
    <s v="Bamenda"/>
    <s v="Huawei"/>
    <n v="7.938571709856092"/>
    <n v="4.260086806893186"/>
    <n v="10.32704539812175"/>
    <n v="24.11382846364355"/>
    <n v="9.704066112495115"/>
    <n v="0"/>
    <n v="0"/>
    <n v="1.700253686153987"/>
    <n v="15.12974662774339"/>
    <n v="0.9099278606752217"/>
    <n v="1.046972602466092"/>
    <n v="0"/>
    <n v="0"/>
    <n v="0"/>
    <n v="0"/>
    <n v="0"/>
    <n v="0"/>
    <n v="2.106108728344648"/>
    <n v="0"/>
    <n v="0"/>
    <n v="0"/>
    <n v="0"/>
    <n v="0"/>
    <n v="0"/>
    <m/>
    <n v="0"/>
    <m/>
    <n v="0"/>
    <m/>
    <n v="0"/>
    <m/>
    <m/>
    <n v="0"/>
    <n v="0"/>
    <n v="0"/>
    <n v="0"/>
    <m/>
    <n v="0"/>
    <n v="0"/>
    <n v="0"/>
    <n v="0"/>
    <n v="0"/>
    <x v="0"/>
    <m/>
    <x v="2"/>
    <x v="1"/>
    <s v="no root cause"/>
    <x v="1"/>
    <s v=""/>
  </r>
  <r>
    <s v="Bda-Agence"/>
    <s v="NRO_016"/>
    <s v="NORD-OUEST"/>
    <s v="CAMUSAT"/>
    <s v="Medium Grid + GE"/>
    <s v="NORD-OUEST"/>
    <s v="Bamenda"/>
    <s v="Huawei"/>
    <n v="5.603371400524495"/>
    <n v="2.783788199170741"/>
    <n v="0"/>
    <n v="0"/>
    <n v="5.834407005048041"/>
    <n v="0"/>
    <n v="0"/>
    <n v="1.367682980769505"/>
    <n v="6.120838362825419"/>
    <n v="0.4816362899612764"/>
    <n v="0.8359122856580289"/>
    <n v="1.129656025545539"/>
    <n v="0"/>
    <n v="0"/>
    <n v="0"/>
    <n v="0"/>
    <n v="0"/>
    <n v="2.366875408423294"/>
    <n v="0"/>
    <n v="0"/>
    <n v="16.54153575719182"/>
    <n v="0"/>
    <n v="0"/>
    <n v="0"/>
    <m/>
    <n v="0"/>
    <m/>
    <n v="0"/>
    <m/>
    <n v="0"/>
    <m/>
    <m/>
    <n v="0"/>
    <n v="0"/>
    <n v="0"/>
    <n v="0"/>
    <m/>
    <n v="0"/>
    <n v="0"/>
    <n v="0"/>
    <n v="0"/>
    <n v="0"/>
    <x v="0"/>
    <m/>
    <x v="2"/>
    <x v="1"/>
    <s v="no root cause"/>
    <x v="1"/>
    <s v=""/>
  </r>
  <r>
    <s v="St-Thomas"/>
    <s v="LIT_369"/>
    <s v="Douala"/>
    <s v="IHS"/>
    <s v="Grid-Gen"/>
    <s v="LITTORAL"/>
    <s v="Douala"/>
    <s v="ZTE"/>
    <n v="0"/>
    <n v="0"/>
    <n v="0"/>
    <n v="0"/>
    <n v="0"/>
    <n v="0"/>
    <n v="0"/>
    <n v="0"/>
    <n v="0"/>
    <n v="0"/>
    <n v="0.388822542397548"/>
    <n v="0"/>
    <n v="0"/>
    <n v="0"/>
    <n v="0"/>
    <n v="0"/>
    <n v="0"/>
    <n v="0"/>
    <n v="0"/>
    <n v="0"/>
    <n v="0"/>
    <n v="0"/>
    <n v="0"/>
    <n v="0"/>
    <m/>
    <n v="0"/>
    <m/>
    <n v="0"/>
    <m/>
    <n v="0"/>
    <m/>
    <m/>
    <n v="0"/>
    <n v="0"/>
    <n v="0"/>
    <n v="0"/>
    <m/>
    <n v="0"/>
    <n v="0"/>
    <n v="0"/>
    <n v="0"/>
    <n v="0"/>
    <x v="0"/>
    <m/>
    <x v="2"/>
    <x v="1"/>
    <s v="no root cause"/>
    <x v="1"/>
    <s v=""/>
  </r>
  <r>
    <s v="PK8-Essiac"/>
    <s v="LIT_443"/>
    <s v="Douala"/>
    <s v="IHS"/>
    <s v="Grid-Gen"/>
    <s v="LITTORAL"/>
    <s v="Douala"/>
    <s v="ZTE"/>
    <n v="0"/>
    <n v="0"/>
    <n v="0.1337630873804694"/>
    <n v="0"/>
    <n v="0"/>
    <n v="0"/>
    <n v="0"/>
    <n v="0"/>
    <n v="0"/>
    <n v="0"/>
    <n v="0.2031415420351388"/>
    <n v="0"/>
    <n v="0"/>
    <n v="0"/>
    <n v="0"/>
    <n v="0"/>
    <n v="0"/>
    <n v="0"/>
    <n v="0"/>
    <n v="0"/>
    <n v="0"/>
    <n v="0"/>
    <n v="0"/>
    <n v="0"/>
    <m/>
    <n v="0"/>
    <m/>
    <n v="0"/>
    <m/>
    <n v="0"/>
    <m/>
    <m/>
    <n v="0"/>
    <n v="0"/>
    <n v="0"/>
    <n v="0"/>
    <m/>
    <n v="0"/>
    <n v="0"/>
    <n v="0"/>
    <n v="0"/>
    <n v="0"/>
    <x v="0"/>
    <m/>
    <x v="2"/>
    <x v="1"/>
    <s v="no root cause"/>
    <x v="1"/>
    <s v=""/>
  </r>
  <r>
    <s v="Nkwein-MTN"/>
    <s v="NRO_221"/>
    <s v="NORD-OUEST"/>
    <s v="IHS"/>
    <s v="Grid-Gen"/>
    <s v="NORD-OUEST"/>
    <s v="Bamenda"/>
    <s v="Huawei"/>
    <n v="0"/>
    <n v="0"/>
    <n v="0"/>
    <n v="0"/>
    <n v="0"/>
    <n v="0"/>
    <n v="0"/>
    <n v="0"/>
    <n v="0"/>
    <n v="0"/>
    <n v="0.003299489488718243"/>
    <n v="0"/>
    <n v="0"/>
    <n v="0"/>
    <n v="0"/>
    <n v="0"/>
    <n v="0"/>
    <n v="0.2372778819346352"/>
    <n v="0"/>
    <n v="0"/>
    <n v="2.173025942191518"/>
    <n v="0"/>
    <n v="0"/>
    <n v="0"/>
    <m/>
    <n v="0"/>
    <m/>
    <n v="0"/>
    <m/>
    <n v="0"/>
    <m/>
    <m/>
    <n v="0"/>
    <n v="0"/>
    <n v="0"/>
    <n v="0"/>
    <m/>
    <n v="0"/>
    <n v="0"/>
    <n v="0"/>
    <n v="0"/>
    <n v="0"/>
    <x v="0"/>
    <m/>
    <x v="2"/>
    <x v="1"/>
    <s v="no root cause"/>
    <x v="1"/>
    <s v=""/>
  </r>
  <r>
    <s v="Banda"/>
    <s v="NRD_029"/>
    <s v="NORD"/>
    <s v="IHS"/>
    <s v="Solar-Gen"/>
    <s v="NORD"/>
    <s v="Banda"/>
    <s v="NOKIA"/>
    <n v="0"/>
    <n v="0"/>
    <n v="0"/>
    <n v="0"/>
    <n v="0"/>
    <n v="0"/>
    <n v="0"/>
    <n v="0.4453676591431903"/>
    <n v="0"/>
    <n v="0"/>
    <n v="0.001337630873804731"/>
    <n v="0.4816006198046421"/>
    <n v="0"/>
    <n v="0"/>
    <n v="0"/>
    <n v="0"/>
    <n v="0"/>
    <n v="0"/>
    <n v="0"/>
    <n v="0"/>
    <n v="13.86855689960706"/>
    <n v="0"/>
    <n v="0"/>
    <n v="0"/>
    <m/>
    <n v="0"/>
    <m/>
    <n v="0"/>
    <m/>
    <n v="0"/>
    <m/>
    <m/>
    <n v="0"/>
    <n v="0"/>
    <n v="0"/>
    <n v="0"/>
    <m/>
    <n v="0"/>
    <n v="0"/>
    <n v="0"/>
    <n v="0"/>
    <n v="0"/>
    <x v="0"/>
    <m/>
    <x v="2"/>
    <x v="1"/>
    <s v="no root cause"/>
    <x v="1"/>
    <s v=""/>
  </r>
  <r>
    <s v="Touboro-Ville"/>
    <s v="NRD_137"/>
    <s v="NORD"/>
    <s v="CAMUSAT"/>
    <s v="Medium Grid + GE"/>
    <s v="NORD"/>
    <s v="Touboro"/>
    <s v="Huawei"/>
    <n v="0.3095277841984059"/>
    <n v="0.1403620663579058"/>
    <n v="0.002942787922370325"/>
    <n v="0"/>
    <n v="1.473890872149598"/>
    <n v="0"/>
    <n v="0"/>
    <n v="0"/>
    <n v="1.09623308877874"/>
    <n v="6.535486098626557"/>
    <n v="0"/>
    <n v="0.05917678985712061"/>
    <n v="0"/>
    <n v="0"/>
    <n v="0"/>
    <n v="0"/>
    <n v="0"/>
    <n v="0"/>
    <n v="0"/>
    <n v="0"/>
    <n v="22.03327740252773"/>
    <n v="0"/>
    <n v="0"/>
    <n v="0"/>
    <m/>
    <n v="0"/>
    <m/>
    <n v="0"/>
    <m/>
    <n v="0"/>
    <m/>
    <m/>
    <n v="0"/>
    <n v="0"/>
    <n v="0"/>
    <n v="0"/>
    <m/>
    <n v="0"/>
    <n v="0"/>
    <n v="0"/>
    <n v="0"/>
    <n v="0"/>
    <x v="0"/>
    <m/>
    <x v="2"/>
    <x v="1"/>
    <s v="no root cause"/>
    <x v="1"/>
    <s v=""/>
  </r>
  <r>
    <s v="Hogmeni"/>
    <s v="LIT_325"/>
    <s v="Douala"/>
    <s v="IHS"/>
    <s v="GridOnly"/>
    <s v="LITTORAL"/>
    <s v="Douala"/>
    <s v="ZTE"/>
    <n v="0"/>
    <n v="0"/>
    <n v="0"/>
    <n v="0"/>
    <n v="0"/>
    <n v="0"/>
    <n v="0"/>
    <n v="0"/>
    <n v="8.627558620335414"/>
    <n v="3.688472546820648"/>
    <n v="0"/>
    <n v="0.1508632565389753"/>
    <n v="0"/>
    <n v="0"/>
    <n v="0"/>
    <n v="0"/>
    <n v="0"/>
    <n v="0"/>
    <n v="0"/>
    <n v="0"/>
    <n v="0.04131302883068116"/>
    <n v="0"/>
    <n v="0"/>
    <n v="0"/>
    <m/>
    <n v="0"/>
    <m/>
    <n v="0"/>
    <m/>
    <n v="0"/>
    <m/>
    <m/>
    <n v="0"/>
    <n v="0"/>
    <n v="0"/>
    <n v="0"/>
    <m/>
    <n v="0"/>
    <n v="0"/>
    <n v="0"/>
    <n v="0"/>
    <n v="0"/>
    <x v="0"/>
    <m/>
    <x v="2"/>
    <x v="1"/>
    <s v="no root cause"/>
    <x v="1"/>
    <s v=""/>
  </r>
  <r>
    <s v="Ngodi"/>
    <s v="LIT_294"/>
    <s v="Douala"/>
    <s v="IHS"/>
    <s v="Grid-Gen"/>
    <s v="LITTORAL"/>
    <s v="Douala"/>
    <s v="ZTE"/>
    <n v="0"/>
    <n v="0"/>
    <n v="0"/>
    <n v="0"/>
    <n v="0"/>
    <n v="0"/>
    <n v="0"/>
    <n v="0"/>
    <n v="0"/>
    <n v="0.4612151252878575"/>
    <n v="0"/>
    <n v="0"/>
    <n v="0"/>
    <n v="0"/>
    <n v="0"/>
    <n v="0"/>
    <n v="0"/>
    <n v="0"/>
    <n v="0"/>
    <n v="0"/>
    <n v="0"/>
    <n v="0"/>
    <n v="0"/>
    <n v="0"/>
    <m/>
    <n v="0"/>
    <m/>
    <n v="0"/>
    <m/>
    <n v="0"/>
    <m/>
    <m/>
    <n v="0"/>
    <n v="0"/>
    <n v="0"/>
    <n v="0"/>
    <m/>
    <n v="0"/>
    <n v="0"/>
    <n v="0"/>
    <n v="0"/>
    <n v="0"/>
    <x v="0"/>
    <m/>
    <x v="2"/>
    <x v="1"/>
    <s v="no root cause"/>
    <x v="1"/>
    <s v=""/>
  </r>
  <r>
    <s v="Laquintinie"/>
    <s v="LIT_082"/>
    <s v="Douala"/>
    <s v="IHS"/>
    <s v="Grid-Lithium"/>
    <s v="LITTORAL"/>
    <s v="Douala"/>
    <s v="ZTE"/>
    <n v="0"/>
    <n v="0"/>
    <n v="0"/>
    <n v="0"/>
    <n v="0"/>
    <n v="0"/>
    <n v="0"/>
    <n v="0"/>
    <n v="0"/>
    <n v="0.3389734985004267"/>
    <n v="0"/>
    <n v="0"/>
    <n v="0"/>
    <n v="0"/>
    <n v="0"/>
    <n v="0"/>
    <n v="0"/>
    <n v="0"/>
    <n v="0"/>
    <n v="0"/>
    <n v="15.2277682181758"/>
    <n v="0"/>
    <n v="0"/>
    <n v="0"/>
    <m/>
    <n v="0"/>
    <m/>
    <n v="0"/>
    <m/>
    <n v="0"/>
    <m/>
    <m/>
    <n v="0"/>
    <n v="0"/>
    <n v="0"/>
    <n v="0"/>
    <m/>
    <n v="0"/>
    <n v="0"/>
    <n v="0"/>
    <n v="0"/>
    <n v="0"/>
    <x v="0"/>
    <m/>
    <x v="2"/>
    <x v="1"/>
    <s v="no root cause"/>
    <x v="1"/>
    <s v=""/>
  </r>
  <r>
    <s v="Bangou-IHS"/>
    <s v="OST_145"/>
    <s v="OUEST"/>
    <s v="CAMUSAT"/>
    <s v="Good Grid + GE"/>
    <s v="OUEST"/>
    <s v="Bangou"/>
    <s v="NOKIA"/>
    <n v="0.0416092377144846"/>
    <n v="6.297690999420718"/>
    <n v="9.503907892120463"/>
    <n v="13.86855689960706"/>
    <n v="15.8701877391684"/>
    <n v="18.49140919947607"/>
    <n v="12.04759656918137"/>
    <n v="0"/>
    <n v="0"/>
    <n v="0.1072481022769807"/>
    <n v="0"/>
    <n v="0"/>
    <n v="0"/>
    <n v="0"/>
    <n v="0"/>
    <n v="0"/>
    <n v="0"/>
    <n v="0"/>
    <n v="0"/>
    <n v="0"/>
    <n v="0"/>
    <n v="0"/>
    <n v="0"/>
    <n v="0"/>
    <m/>
    <n v="0"/>
    <m/>
    <n v="0"/>
    <m/>
    <n v="0"/>
    <m/>
    <m/>
    <n v="0"/>
    <n v="0"/>
    <n v="0"/>
    <n v="0"/>
    <m/>
    <n v="0"/>
    <n v="0"/>
    <n v="0"/>
    <n v="0"/>
    <n v="0"/>
    <x v="0"/>
    <m/>
    <x v="2"/>
    <x v="1"/>
    <s v="no root cause"/>
    <x v="1"/>
    <s v=""/>
  </r>
  <r>
    <s v="Ngomedzap-MTN"/>
    <s v="CTR_532"/>
    <s v="CENTRE"/>
    <s v="IHS"/>
    <s v="Gen Only"/>
    <s v="CENTRE"/>
    <s v="Ngomedzap"/>
    <s v="NOKIA"/>
    <n v="4.456226076091338"/>
    <n v="13.9196503586522"/>
    <n v="12.48706898241035"/>
    <n v="6.267534725400385"/>
    <n v="0"/>
    <n v="0"/>
    <n v="5.367143223104385"/>
    <n v="13.9196503586522"/>
    <n v="0"/>
    <n v="0"/>
    <n v="0"/>
    <n v="0"/>
    <n v="0"/>
    <n v="0"/>
    <n v="0"/>
    <n v="0"/>
    <n v="0"/>
    <n v="0"/>
    <n v="0"/>
    <n v="0"/>
    <n v="0.005439698886805461"/>
    <n v="0"/>
    <n v="0"/>
    <n v="0"/>
    <m/>
    <n v="0"/>
    <m/>
    <n v="0"/>
    <m/>
    <n v="0"/>
    <m/>
    <m/>
    <n v="0"/>
    <n v="0"/>
    <n v="0"/>
    <n v="0"/>
    <m/>
    <n v="0"/>
    <n v="0"/>
    <n v="0"/>
    <n v="0"/>
    <n v="0"/>
    <x v="0"/>
    <m/>
    <x v="5"/>
    <x v="2"/>
    <s v="IP &amp; VLAN"/>
    <x v="2"/>
    <s v="{05-25-2026 goupe whatsapp incident}:    impacted by    CTR_351_Z_Mimboman-Nodal(CTR-351)  ,Cause: Boucle ethernet  ,Action: Desactivation de la boucle"/>
  </r>
  <r>
    <s v="Brazz-St-Bruno"/>
    <s v="LIT_089"/>
    <s v="Douala"/>
    <s v="IHS"/>
    <s v="Grid-Gen"/>
    <s v="LITTORAL"/>
    <s v="Douala"/>
    <s v="ZTE"/>
    <n v="0"/>
    <n v="0"/>
    <n v="0"/>
    <n v="0"/>
    <n v="0"/>
    <n v="0"/>
    <n v="0"/>
    <n v="3.693751730002597"/>
    <n v="0"/>
    <n v="0"/>
    <n v="0"/>
    <n v="0"/>
    <n v="0"/>
    <n v="0"/>
    <n v="0"/>
    <n v="0"/>
    <n v="0"/>
    <n v="0"/>
    <n v="0"/>
    <n v="0"/>
    <n v="0"/>
    <n v="0"/>
    <n v="0"/>
    <n v="0"/>
    <m/>
    <n v="0"/>
    <m/>
    <n v="0"/>
    <m/>
    <n v="0"/>
    <m/>
    <m/>
    <n v="0"/>
    <n v="0"/>
    <n v="0"/>
    <n v="0"/>
    <m/>
    <n v="0"/>
    <n v="0"/>
    <n v="0"/>
    <n v="0"/>
    <n v="0"/>
    <x v="0"/>
    <m/>
    <x v="2"/>
    <x v="1"/>
    <s v="no root cause"/>
    <x v="1"/>
    <s v=""/>
  </r>
  <r>
    <s v="Bberi-Sodiko-MTN"/>
    <s v="LIT_418"/>
    <s v="Douala"/>
    <s v="IHS"/>
    <s v="Grid-Gen"/>
    <s v="LITTORAL"/>
    <s v="Douala"/>
    <s v="ZTE"/>
    <n v="0"/>
    <n v="0"/>
    <n v="0"/>
    <n v="0"/>
    <n v="0.04783368004725611"/>
    <n v="0.6854912351291129"/>
    <n v="0"/>
    <n v="3.424852254211219"/>
    <n v="0.3477661921109015"/>
    <n v="0"/>
    <n v="0"/>
    <n v="0"/>
    <n v="0"/>
    <n v="0"/>
    <n v="0"/>
    <n v="0"/>
    <n v="0"/>
    <n v="0"/>
    <n v="0"/>
    <n v="0"/>
    <n v="0"/>
    <n v="0"/>
    <n v="0"/>
    <n v="0"/>
    <m/>
    <n v="0"/>
    <m/>
    <n v="0"/>
    <m/>
    <n v="0"/>
    <m/>
    <m/>
    <n v="0"/>
    <n v="0"/>
    <n v="0"/>
    <n v="0"/>
    <m/>
    <n v="0"/>
    <n v="0"/>
    <n v="0"/>
    <n v="0"/>
    <n v="0"/>
    <x v="0"/>
    <m/>
    <x v="2"/>
    <x v="1"/>
    <s v="no root cause"/>
    <x v="1"/>
    <s v=""/>
  </r>
  <r>
    <s v="Nylon"/>
    <s v="LIT_076"/>
    <s v="Douala"/>
    <s v="IHS"/>
    <s v="Grid-Gen"/>
    <s v="LITTORAL"/>
    <s v="Douala"/>
    <s v="ZTE"/>
    <n v="0"/>
    <n v="0"/>
    <n v="0"/>
    <n v="0"/>
    <n v="0"/>
    <n v="0"/>
    <n v="0"/>
    <n v="2.880989376000548"/>
    <n v="0"/>
    <n v="0"/>
    <n v="0"/>
    <n v="0"/>
    <n v="0"/>
    <n v="0"/>
    <n v="0"/>
    <n v="0"/>
    <n v="0"/>
    <n v="0"/>
    <n v="0"/>
    <n v="0"/>
    <n v="0"/>
    <n v="0"/>
    <n v="0"/>
    <n v="0"/>
    <m/>
    <n v="0"/>
    <m/>
    <n v="0"/>
    <m/>
    <n v="0"/>
    <m/>
    <m/>
    <n v="0"/>
    <n v="0"/>
    <n v="0"/>
    <n v="0"/>
    <m/>
    <n v="0"/>
    <n v="0"/>
    <n v="0"/>
    <n v="0"/>
    <n v="0"/>
    <x v="0"/>
    <m/>
    <x v="2"/>
    <x v="1"/>
    <s v="no root cause"/>
    <x v="1"/>
    <s v=""/>
  </r>
  <r>
    <s v="Bda-Ntamulung-MTN"/>
    <s v="NRO_253"/>
    <s v="NORD-OUEST"/>
    <s v="IHS"/>
    <s v="Grid-Gen"/>
    <s v="NORD-OUEST"/>
    <s v="Bamenda"/>
    <s v="Huawei"/>
    <n v="0"/>
    <n v="0"/>
    <n v="0.0078474344596542"/>
    <n v="0.0078474344596542"/>
    <n v="0"/>
    <n v="0"/>
    <n v="0"/>
    <n v="8.917539158697954e-05"/>
    <n v="0"/>
    <n v="0"/>
    <n v="0"/>
    <n v="0"/>
    <n v="0"/>
    <n v="0"/>
    <n v="0"/>
    <n v="0"/>
    <n v="0"/>
    <n v="0.2367963348200654"/>
    <n v="0"/>
    <n v="0"/>
    <n v="0"/>
    <n v="0"/>
    <n v="0"/>
    <n v="0"/>
    <m/>
    <n v="0"/>
    <m/>
    <n v="0"/>
    <m/>
    <n v="0"/>
    <m/>
    <m/>
    <n v="0"/>
    <n v="0"/>
    <n v="0"/>
    <n v="0"/>
    <m/>
    <n v="0"/>
    <n v="0"/>
    <n v="0"/>
    <n v="0"/>
    <n v="0"/>
    <x v="0"/>
    <m/>
    <x v="2"/>
    <x v="1"/>
    <s v="no root cause"/>
    <x v="1"/>
    <s v=""/>
  </r>
  <r>
    <s v="Bamenda-GTTC-IHS"/>
    <s v="NRO_063"/>
    <s v="NORD-OUEST"/>
    <s v="IHS"/>
    <s v="Grid-Gen"/>
    <s v="NORD-OUEST"/>
    <s v="Bamenda"/>
    <s v="Huawei"/>
    <n v="0"/>
    <n v="0"/>
    <n v="0"/>
    <n v="0"/>
    <n v="0"/>
    <n v="0"/>
    <n v="0"/>
    <n v="8.917539158697954e-05"/>
    <n v="0"/>
    <n v="0"/>
    <n v="0"/>
    <n v="0"/>
    <n v="0"/>
    <n v="0"/>
    <n v="0"/>
    <n v="0"/>
    <n v="0"/>
    <n v="0.2597857507711888"/>
    <n v="0"/>
    <n v="0"/>
    <n v="0"/>
    <n v="0"/>
    <n v="0"/>
    <n v="0"/>
    <m/>
    <n v="0"/>
    <m/>
    <n v="0"/>
    <m/>
    <n v="0"/>
    <m/>
    <m/>
    <n v="0"/>
    <n v="0"/>
    <n v="0"/>
    <n v="0"/>
    <m/>
    <n v="0"/>
    <n v="0"/>
    <n v="0"/>
    <n v="0"/>
    <n v="0"/>
    <x v="0"/>
    <m/>
    <x v="2"/>
    <x v="1"/>
    <s v="no root cause"/>
    <x v="1"/>
    <s v=""/>
  </r>
  <r>
    <s v="C-D-Palmiers"/>
    <s v="LIT_036"/>
    <s v="Douala"/>
    <s v="CAMUSAT"/>
    <s v="Good Grid + GE"/>
    <s v="LITTORAL"/>
    <s v="Douala"/>
    <s v="ZTE"/>
    <n v="0"/>
    <n v="21.53992346611193"/>
    <n v="37.28123492935882"/>
    <n v="16.28943692517543"/>
    <n v="34.20097422331802"/>
    <n v="14.24482354686916"/>
    <n v="0"/>
    <n v="0"/>
    <n v="8.202423858483648"/>
    <n v="0"/>
    <n v="0"/>
    <n v="0.8569398429942383"/>
    <n v="0"/>
    <n v="0"/>
    <n v="0"/>
    <n v="0"/>
    <n v="0"/>
    <n v="0"/>
    <n v="0"/>
    <n v="0"/>
    <n v="0"/>
    <n v="0"/>
    <n v="0"/>
    <n v="0"/>
    <m/>
    <n v="0"/>
    <m/>
    <n v="0"/>
    <m/>
    <n v="0"/>
    <m/>
    <m/>
    <n v="0"/>
    <n v="0"/>
    <n v="0"/>
    <n v="0"/>
    <m/>
    <n v="0"/>
    <n v="0"/>
    <n v="0"/>
    <n v="0"/>
    <n v="0"/>
    <x v="0"/>
    <m/>
    <x v="2"/>
    <x v="1"/>
    <s v="no root cause"/>
    <x v="1"/>
    <s v=""/>
  </r>
  <r>
    <s v="Edea"/>
    <s v="LIT_005"/>
    <s v="LITTORAL"/>
    <s v="OCM/Strategique"/>
    <m/>
    <s v="LITTORAL"/>
    <s v="Edea"/>
    <s v="ZTE"/>
    <n v="0"/>
    <n v="0"/>
    <n v="0"/>
    <n v="0"/>
    <n v="0"/>
    <n v="1.442447629076029"/>
    <n v="0"/>
    <n v="0"/>
    <n v="0"/>
    <n v="0"/>
    <n v="0"/>
    <n v="0"/>
    <n v="0"/>
    <n v="0"/>
    <n v="0"/>
    <n v="0"/>
    <n v="0"/>
    <n v="0"/>
    <n v="0"/>
    <n v="0"/>
    <n v="0"/>
    <n v="0"/>
    <n v="0"/>
    <n v="0"/>
    <m/>
    <n v="0"/>
    <m/>
    <n v="0"/>
    <m/>
    <n v="0"/>
    <m/>
    <m/>
    <n v="0"/>
    <n v="0"/>
    <n v="0"/>
    <n v="0"/>
    <m/>
    <n v="0"/>
    <n v="0"/>
    <n v="0"/>
    <n v="0"/>
    <n v="0"/>
    <x v="0"/>
    <m/>
    <x v="2"/>
    <x v="1"/>
    <s v="no root cause"/>
    <x v="1"/>
    <s v=""/>
  </r>
  <r>
    <s v="H-Lumiere"/>
    <s v="LIT_065"/>
    <s v="Douala"/>
    <s v="IHS"/>
    <s v="Grid-Gen (LL)"/>
    <s v="LITTORAL"/>
    <s v="Douala"/>
    <s v="ZTE"/>
    <n v="0"/>
    <n v="0"/>
    <n v="0"/>
    <n v="0"/>
    <n v="0"/>
    <n v="0.3817063461489076"/>
    <n v="0"/>
    <n v="0"/>
    <n v="0"/>
    <n v="0"/>
    <n v="0"/>
    <n v="0"/>
    <n v="0"/>
    <n v="0"/>
    <n v="0"/>
    <n v="0"/>
    <n v="0"/>
    <n v="0"/>
    <n v="0"/>
    <n v="0"/>
    <n v="0"/>
    <n v="0"/>
    <n v="0"/>
    <n v="0"/>
    <m/>
    <n v="0"/>
    <m/>
    <n v="0"/>
    <m/>
    <n v="0"/>
    <m/>
    <m/>
    <n v="0"/>
    <n v="0"/>
    <n v="0"/>
    <n v="0"/>
    <m/>
    <n v="0"/>
    <n v="0"/>
    <n v="0"/>
    <n v="0"/>
    <n v="0"/>
    <x v="0"/>
    <m/>
    <x v="2"/>
    <x v="1"/>
    <s v="no root cause"/>
    <x v="1"/>
    <s v=""/>
  </r>
  <r>
    <s v="Hot-Spot"/>
    <s v="NRO_028"/>
    <s v="NORD-OUEST"/>
    <s v="OCM/Strategique"/>
    <m/>
    <s v="NORD-OUEST"/>
    <s v="Bamenda"/>
    <s v="Huawei"/>
    <n v="0"/>
    <n v="0"/>
    <n v="0"/>
    <n v="0"/>
    <n v="0"/>
    <n v="0.007936609851241179"/>
    <n v="0"/>
    <n v="0"/>
    <n v="0"/>
    <n v="0"/>
    <n v="0"/>
    <n v="0"/>
    <n v="0"/>
    <n v="0"/>
    <n v="0"/>
    <n v="0"/>
    <n v="0"/>
    <n v="0.4163955734762422"/>
    <n v="0"/>
    <n v="0"/>
    <n v="0"/>
    <n v="0"/>
    <n v="0"/>
    <n v="0"/>
    <m/>
    <n v="0"/>
    <m/>
    <n v="0"/>
    <m/>
    <n v="0"/>
    <m/>
    <m/>
    <n v="0"/>
    <n v="0"/>
    <n v="0"/>
    <n v="0"/>
    <m/>
    <n v="0"/>
    <n v="0"/>
    <n v="0"/>
    <n v="0"/>
    <n v="0"/>
    <x v="0"/>
    <m/>
    <x v="2"/>
    <x v="1"/>
    <s v="no root cause"/>
    <x v="1"/>
    <s v=""/>
  </r>
  <r>
    <s v="Nkololoun-II"/>
    <s v="LIT_439"/>
    <s v="Douala"/>
    <s v="IHS"/>
    <s v="Grid-Gen"/>
    <s v="LITTORAL"/>
    <s v="Douala"/>
    <s v="ZTE"/>
    <n v="0"/>
    <n v="0"/>
    <n v="0"/>
    <n v="0"/>
    <n v="0"/>
    <n v="0.004565780049253496"/>
    <n v="0"/>
    <n v="0"/>
    <n v="0"/>
    <n v="0"/>
    <n v="0"/>
    <n v="0"/>
    <n v="0"/>
    <n v="0"/>
    <n v="0"/>
    <n v="0"/>
    <n v="0"/>
    <n v="0"/>
    <n v="0"/>
    <n v="0"/>
    <n v="0"/>
    <n v="0"/>
    <n v="0"/>
    <n v="0"/>
    <m/>
    <n v="0"/>
    <m/>
    <n v="0"/>
    <m/>
    <n v="0"/>
    <m/>
    <m/>
    <n v="0"/>
    <n v="0"/>
    <n v="0"/>
    <n v="0"/>
    <m/>
    <n v="0"/>
    <n v="0"/>
    <n v="0"/>
    <n v="0"/>
    <n v="0"/>
    <x v="0"/>
    <m/>
    <x v="2"/>
    <x v="1"/>
    <s v="no root cause"/>
    <x v="1"/>
    <s v=""/>
  </r>
  <r>
    <s v="Djamboutou-MTN-IHS"/>
    <s v="NRD_118"/>
    <s v="Garoua"/>
    <s v="IHS"/>
    <s v="Grid-Gen"/>
    <s v="NORD"/>
    <s v="Garoua"/>
    <s v="Huawei"/>
    <n v="0"/>
    <n v="1.974575025753853"/>
    <n v="3.755389760667517"/>
    <n v="9.529763892099202"/>
    <n v="1.194468700150956"/>
    <n v="0"/>
    <n v="0"/>
    <n v="0"/>
    <n v="0.8119419403994487"/>
    <n v="0"/>
    <n v="0"/>
    <n v="0.7029296700239994"/>
    <n v="0"/>
    <n v="0"/>
    <n v="0"/>
    <n v="0"/>
    <n v="0"/>
    <n v="0"/>
    <n v="0"/>
    <n v="0"/>
    <n v="1.670031830224664"/>
    <n v="0"/>
    <n v="0"/>
    <n v="0"/>
    <m/>
    <n v="0"/>
    <m/>
    <n v="0"/>
    <m/>
    <n v="0"/>
    <m/>
    <m/>
    <n v="0"/>
    <n v="0"/>
    <n v="0"/>
    <n v="0"/>
    <m/>
    <n v="0"/>
    <n v="0"/>
    <n v="0"/>
    <n v="0"/>
    <n v="0"/>
    <x v="0"/>
    <m/>
    <x v="2"/>
    <x v="1"/>
    <s v="no root cause"/>
    <x v="1"/>
    <s v=""/>
  </r>
  <r>
    <s v="Du-Levant"/>
    <s v="LIT_046"/>
    <s v="Douala"/>
    <s v="IHS"/>
    <s v="Grid-Gen"/>
    <s v="LITTORAL"/>
    <s v="Douala"/>
    <s v="ZTE"/>
    <n v="0"/>
    <n v="0"/>
    <n v="0"/>
    <n v="0"/>
    <n v="0.00148031150034386"/>
    <n v="0"/>
    <n v="0"/>
    <n v="0"/>
    <n v="0"/>
    <n v="0"/>
    <n v="0"/>
    <n v="0"/>
    <n v="0"/>
    <n v="0"/>
    <n v="0"/>
    <n v="0"/>
    <n v="0"/>
    <n v="0"/>
    <n v="0"/>
    <n v="0"/>
    <n v="0"/>
    <n v="0"/>
    <n v="0"/>
    <n v="0"/>
    <m/>
    <n v="0"/>
    <m/>
    <n v="0"/>
    <m/>
    <n v="0"/>
    <m/>
    <m/>
    <n v="0"/>
    <n v="0"/>
    <n v="0"/>
    <n v="0"/>
    <m/>
    <n v="0"/>
    <n v="0"/>
    <n v="0"/>
    <n v="0"/>
    <n v="0"/>
    <x v="0"/>
    <m/>
    <x v="2"/>
    <x v="1"/>
    <s v="no root cause"/>
    <x v="1"/>
    <s v=""/>
  </r>
  <r>
    <s v="Dschang-Q-Admin"/>
    <s v="OST_112"/>
    <s v="OUEST"/>
    <s v="IHS"/>
    <s v="Grid-Gen"/>
    <s v="OUEST"/>
    <s v="Dschang"/>
    <s v="Huawei"/>
    <n v="0"/>
    <n v="0"/>
    <n v="0"/>
    <n v="4.629005401888522"/>
    <n v="0"/>
    <n v="0"/>
    <n v="0"/>
    <n v="0"/>
    <n v="0"/>
    <n v="0"/>
    <n v="0"/>
    <n v="0"/>
    <n v="0"/>
    <n v="0"/>
    <n v="0"/>
    <n v="0"/>
    <n v="0"/>
    <n v="0"/>
    <n v="0"/>
    <n v="0"/>
    <n v="0"/>
    <n v="0"/>
    <n v="0"/>
    <n v="0"/>
    <m/>
    <n v="0"/>
    <m/>
    <n v="0"/>
    <m/>
    <n v="0"/>
    <m/>
    <m/>
    <n v="0"/>
    <n v="0"/>
    <n v="0"/>
    <n v="0"/>
    <m/>
    <n v="0"/>
    <n v="0"/>
    <n v="0"/>
    <n v="0"/>
    <n v="0"/>
    <x v="0"/>
    <m/>
    <x v="2"/>
    <x v="1"/>
    <s v="no root cause"/>
    <x v="1"/>
    <s v=""/>
  </r>
  <r>
    <s v="Mak-Village"/>
    <s v="LIT_531"/>
    <s v="Douala"/>
    <s v="IHS"/>
    <s v="Grid-Gen"/>
    <s v="LITTORAL"/>
    <s v="Douala"/>
    <s v="ZTE"/>
    <n v="0"/>
    <n v="4.173033789625978"/>
    <n v="0"/>
    <n v="2.963886820019805"/>
    <n v="0"/>
    <n v="0"/>
    <n v="0"/>
    <n v="0"/>
    <n v="0"/>
    <n v="0"/>
    <n v="0"/>
    <n v="1.734764562698148"/>
    <n v="0"/>
    <n v="0"/>
    <n v="0"/>
    <n v="0"/>
    <n v="0"/>
    <n v="0.001890518301643863"/>
    <n v="0"/>
    <n v="0"/>
    <n v="10.62934997560161"/>
    <n v="0"/>
    <n v="0"/>
    <n v="0"/>
    <m/>
    <n v="0"/>
    <m/>
    <n v="0"/>
    <m/>
    <n v="0"/>
    <m/>
    <m/>
    <n v="0"/>
    <n v="0"/>
    <n v="0"/>
    <n v="0"/>
    <m/>
    <n v="0"/>
    <n v="0"/>
    <n v="0"/>
    <n v="0"/>
    <n v="0"/>
    <x v="0"/>
    <m/>
    <x v="2"/>
    <x v="1"/>
    <s v="no root cause"/>
    <x v="1"/>
    <s v=""/>
  </r>
  <r>
    <s v="Franqueville"/>
    <s v="LIT_596"/>
    <s v="Douala"/>
    <s v="CAMUSAT"/>
    <s v="Good Grid no GE - 8h"/>
    <s v="LITTORAL"/>
    <s v="Douala"/>
    <s v="ZTE"/>
    <n v="0"/>
    <n v="0"/>
    <n v="0"/>
    <n v="2.108552134074132"/>
    <n v="0"/>
    <n v="0"/>
    <n v="0"/>
    <n v="0"/>
    <n v="0"/>
    <n v="0"/>
    <n v="0"/>
    <n v="0"/>
    <n v="0"/>
    <n v="0"/>
    <n v="0"/>
    <n v="0"/>
    <n v="0"/>
    <n v="0"/>
    <n v="0"/>
    <n v="0"/>
    <n v="0"/>
    <n v="0"/>
    <n v="0"/>
    <n v="0"/>
    <m/>
    <n v="0"/>
    <m/>
    <n v="0"/>
    <m/>
    <n v="0"/>
    <m/>
    <m/>
    <n v="0"/>
    <n v="0"/>
    <n v="0"/>
    <n v="0"/>
    <m/>
    <n v="0"/>
    <n v="0"/>
    <n v="0"/>
    <n v="0"/>
    <n v="0"/>
    <x v="0"/>
    <m/>
    <x v="2"/>
    <x v="1"/>
    <s v="no root cause"/>
    <x v="1"/>
    <s v=""/>
  </r>
  <r>
    <s v="Baloum-IHS"/>
    <s v="OST_167"/>
    <s v="OUEST"/>
    <s v="IHS"/>
    <s v="Gen Only"/>
    <s v="OUEST"/>
    <s v="Baloum"/>
    <s v="NOKIA"/>
    <n v="0"/>
    <n v="0"/>
    <n v="0"/>
    <n v="0.2851202946309973"/>
    <n v="0"/>
    <n v="0"/>
    <n v="0"/>
    <n v="0"/>
    <n v="0"/>
    <n v="0"/>
    <n v="0"/>
    <n v="0"/>
    <n v="0"/>
    <n v="0"/>
    <n v="0"/>
    <n v="0"/>
    <n v="0"/>
    <n v="0"/>
    <n v="0"/>
    <n v="0"/>
    <n v="0"/>
    <n v="0"/>
    <n v="0"/>
    <n v="0"/>
    <m/>
    <n v="0"/>
    <m/>
    <n v="0"/>
    <m/>
    <n v="0"/>
    <m/>
    <m/>
    <n v="0"/>
    <n v="0"/>
    <n v="0"/>
    <n v="0"/>
    <m/>
    <n v="0"/>
    <n v="0"/>
    <n v="0"/>
    <n v="0"/>
    <n v="0"/>
    <x v="0"/>
    <m/>
    <x v="2"/>
    <x v="1"/>
    <s v="no root cause"/>
    <x v="1"/>
    <s v=""/>
  </r>
  <r>
    <s v="Ndogbong-Seven"/>
    <s v="LIT_652"/>
    <s v="Douala"/>
    <s v="CAMUSAT"/>
    <s v="Good Grid no GE - 8h"/>
    <s v="LITTORAL"/>
    <s v="Douala"/>
    <s v="ZTE"/>
    <n v="0"/>
    <n v="0"/>
    <n v="0"/>
    <n v="0.00151598165697849"/>
    <n v="0"/>
    <n v="0"/>
    <n v="0"/>
    <n v="0"/>
    <n v="0"/>
    <n v="0"/>
    <n v="0"/>
    <n v="0"/>
    <n v="0"/>
    <n v="0"/>
    <n v="0"/>
    <n v="0"/>
    <n v="0"/>
    <n v="0"/>
    <n v="0"/>
    <n v="0"/>
    <n v="0"/>
    <n v="0"/>
    <n v="0"/>
    <n v="0"/>
    <m/>
    <n v="0"/>
    <m/>
    <n v="0"/>
    <m/>
    <n v="0"/>
    <m/>
    <m/>
    <n v="0"/>
    <n v="0"/>
    <n v="0"/>
    <n v="0"/>
    <m/>
    <n v="0"/>
    <n v="0"/>
    <n v="0"/>
    <n v="0"/>
    <n v="0"/>
    <x v="0"/>
    <m/>
    <x v="2"/>
    <x v="1"/>
    <s v="no root cause"/>
    <x v="1"/>
    <s v=""/>
  </r>
  <r>
    <s v="BTS-Mobile-Tagidor-Hotel"/>
    <s v="OST_306"/>
    <s v="Bafoussam"/>
    <s v="CAMUSAT"/>
    <s v="Medium Grid + GE"/>
    <s v="OUEST"/>
    <s v="Bafoussam"/>
    <s v="Huawei"/>
    <n v="18.49140919947607"/>
    <n v="18.49140919947607"/>
    <n v="18.49140919947607"/>
    <n v="18.49140919947607"/>
    <n v="0"/>
    <n v="0"/>
    <n v="0"/>
    <n v="0"/>
    <n v="0"/>
    <n v="0"/>
    <n v="0"/>
    <n v="0"/>
    <n v="0"/>
    <n v="0"/>
    <n v="0"/>
    <n v="0"/>
    <n v="0"/>
    <n v="0"/>
    <n v="0"/>
    <n v="0"/>
    <n v="0"/>
    <n v="0"/>
    <n v="0"/>
    <n v="0"/>
    <m/>
    <n v="0"/>
    <m/>
    <n v="0"/>
    <m/>
    <n v="0"/>
    <m/>
    <m/>
    <n v="0"/>
    <n v="0"/>
    <n v="0"/>
    <n v="0"/>
    <m/>
    <n v="0"/>
    <n v="0"/>
    <n v="0"/>
    <n v="0"/>
    <n v="0"/>
    <x v="0"/>
    <m/>
    <x v="2"/>
    <x v="1"/>
    <s v="no root cause"/>
    <x v="1"/>
    <s v=""/>
  </r>
  <r>
    <s v="Indoor-BEAC"/>
    <s v="CTR_878"/>
    <s v="Yaounde"/>
    <s v="CAMUSAT"/>
    <s v="Good Grid no GE - 8h"/>
    <s v="CENTRE"/>
    <s v="Yaounde"/>
    <s v="ZTE"/>
    <n v="13.86855689960706"/>
    <n v="13.86855689960706"/>
    <n v="13.86855689960706"/>
    <n v="13.86855689960706"/>
    <n v="0"/>
    <n v="0"/>
    <n v="0"/>
    <n v="0"/>
    <n v="0"/>
    <n v="0"/>
    <n v="0"/>
    <n v="25.07321299649291"/>
    <n v="0"/>
    <n v="0"/>
    <n v="0"/>
    <n v="0"/>
    <n v="0"/>
    <n v="0"/>
    <n v="0"/>
    <n v="0"/>
    <n v="2.717976760179549"/>
    <n v="0"/>
    <n v="0"/>
    <n v="0"/>
    <m/>
    <n v="0"/>
    <m/>
    <n v="0"/>
    <m/>
    <n v="0"/>
    <m/>
    <m/>
    <n v="0"/>
    <n v="0"/>
    <n v="0"/>
    <n v="0"/>
    <m/>
    <n v="0"/>
    <n v="0"/>
    <n v="0"/>
    <n v="0"/>
    <n v="0"/>
    <x v="0"/>
    <m/>
    <x v="2"/>
    <x v="1"/>
    <s v="no root cause"/>
    <x v="1"/>
    <s v=""/>
  </r>
  <r>
    <s v="Minisite-Tradex-Village"/>
    <s v="LIT_663"/>
    <s v="Douala"/>
    <s v="CAMUSAT"/>
    <s v="Good Grid no GE - 8h"/>
    <s v="LITTORAL"/>
    <s v="Douala"/>
    <s v="ZTE"/>
    <n v="2.188899161893999"/>
    <n v="2.685338566858715"/>
    <n v="2.182121832133389"/>
    <n v="2.155547565440469"/>
    <n v="0"/>
    <n v="0"/>
    <n v="0"/>
    <n v="0"/>
    <n v="0"/>
    <n v="0"/>
    <n v="0"/>
    <n v="0"/>
    <n v="0"/>
    <n v="0"/>
    <n v="0"/>
    <n v="0"/>
    <n v="0"/>
    <n v="0"/>
    <n v="0"/>
    <n v="0"/>
    <n v="0"/>
    <n v="0"/>
    <n v="0"/>
    <n v="0"/>
    <m/>
    <n v="0"/>
    <m/>
    <n v="0"/>
    <m/>
    <n v="0"/>
    <m/>
    <m/>
    <n v="0"/>
    <n v="0"/>
    <n v="0"/>
    <n v="0"/>
    <m/>
    <n v="0"/>
    <n v="0"/>
    <n v="0"/>
    <n v="0"/>
    <n v="0"/>
    <x v="0"/>
    <m/>
    <x v="2"/>
    <x v="1"/>
    <s v="no root cause"/>
    <x v="1"/>
    <s v=""/>
  </r>
  <r>
    <s v="Minisite-PK8-ESG-ISTA"/>
    <s v="LIT_630"/>
    <s v="Douala"/>
    <s v="CAMUSAT"/>
    <s v="Good Grid no GE - 8h"/>
    <s v="LITTORAL"/>
    <s v="Douala"/>
    <s v="ZTE"/>
    <n v="0.009363416116632774"/>
    <n v="3.428847311754315"/>
    <n v="0"/>
    <n v="0.003477840271892233"/>
    <n v="0"/>
    <n v="0"/>
    <n v="0"/>
    <n v="0"/>
    <n v="0"/>
    <n v="0"/>
    <n v="0"/>
    <n v="0.01487445531670812"/>
    <n v="0"/>
    <n v="0"/>
    <n v="0"/>
    <n v="0"/>
    <n v="0"/>
    <n v="0"/>
    <n v="0"/>
    <n v="0"/>
    <n v="0"/>
    <n v="0"/>
    <n v="0"/>
    <n v="0"/>
    <m/>
    <n v="0"/>
    <m/>
    <n v="0"/>
    <m/>
    <n v="0"/>
    <m/>
    <m/>
    <n v="0"/>
    <n v="0"/>
    <n v="0"/>
    <n v="0"/>
    <m/>
    <n v="0"/>
    <n v="0"/>
    <n v="0"/>
    <n v="0"/>
    <n v="0"/>
    <x v="0"/>
    <m/>
    <x v="2"/>
    <x v="1"/>
    <s v="no root cause"/>
    <x v="1"/>
    <s v=""/>
  </r>
  <r>
    <s v="CBC"/>
    <s v="CTR_805"/>
    <s v="Yaounde"/>
    <m/>
    <m/>
    <s v="CENTRE"/>
    <s v="Yaounde"/>
    <s v="ZTE"/>
    <n v="0.01733569612450849"/>
    <n v="8.91753915868282e-05"/>
    <n v="7.134031326964783e-05"/>
    <n v="7.134031326947414e-05"/>
    <n v="0"/>
    <n v="0"/>
    <n v="0"/>
    <n v="0"/>
    <n v="0"/>
    <n v="0"/>
    <n v="0"/>
    <n v="0"/>
    <n v="0"/>
    <n v="0"/>
    <n v="0"/>
    <n v="0"/>
    <n v="0"/>
    <n v="0"/>
    <n v="0"/>
    <n v="0"/>
    <n v="0"/>
    <n v="0"/>
    <n v="0"/>
    <n v="0"/>
    <m/>
    <n v="0"/>
    <m/>
    <n v="0"/>
    <m/>
    <n v="0"/>
    <m/>
    <m/>
    <n v="0"/>
    <n v="0"/>
    <n v="0"/>
    <n v="0"/>
    <m/>
    <n v="0"/>
    <n v="0"/>
    <n v="0"/>
    <n v="0"/>
    <n v="0"/>
    <x v="0"/>
    <m/>
    <x v="2"/>
    <x v="1"/>
    <s v="no root cause"/>
    <x v="1"/>
    <s v=""/>
  </r>
  <r>
    <s v="Ngoumou-Camrail"/>
    <s v="CTR_098"/>
    <s v="CENTRE"/>
    <s v="CAMUSAT"/>
    <s v="Medium Grid + Solar + GE"/>
    <s v="CENTRE"/>
    <s v="Ngoumou"/>
    <s v="NOKIA"/>
    <n v="0"/>
    <n v="0"/>
    <n v="0"/>
    <n v="0"/>
    <n v="0"/>
    <n v="0"/>
    <n v="0"/>
    <n v="0"/>
    <n v="0"/>
    <n v="0"/>
    <n v="0"/>
    <n v="0"/>
    <n v="0"/>
    <n v="0"/>
    <n v="0"/>
    <n v="0"/>
    <n v="0"/>
    <n v="0"/>
    <n v="0"/>
    <n v="0"/>
    <n v="0"/>
    <n v="0"/>
    <n v="0"/>
    <n v="0"/>
    <m/>
    <n v="0"/>
    <m/>
    <n v="0"/>
    <m/>
    <n v="0"/>
    <m/>
    <m/>
    <n v="0"/>
    <n v="0"/>
    <n v="0"/>
    <n v="0"/>
    <m/>
    <n v="0"/>
    <n v="0"/>
    <n v="0"/>
    <n v="0"/>
    <n v="0"/>
    <x v="0"/>
    <m/>
    <x v="2"/>
    <x v="1"/>
    <s v="no root cause"/>
    <x v="1"/>
    <s v=""/>
  </r>
  <r>
    <s v="Cogefar"/>
    <s v="LIT_198"/>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Nkolmeyos-IHS"/>
    <s v="SUD_111"/>
    <s v="CENTRE"/>
    <s v="IHS"/>
    <s v="Gen-Lithium"/>
    <s v="SUD"/>
    <s v="Nkolmeyos"/>
    <s v="ZTE"/>
    <n v="0"/>
    <n v="0"/>
    <n v="0"/>
    <n v="0"/>
    <n v="0"/>
    <n v="0"/>
    <n v="0"/>
    <n v="0"/>
    <n v="0"/>
    <n v="0"/>
    <n v="0"/>
    <n v="0"/>
    <n v="0"/>
    <n v="0"/>
    <n v="0"/>
    <n v="0"/>
    <n v="0"/>
    <n v="0"/>
    <n v="0"/>
    <n v="0"/>
    <n v="0"/>
    <n v="0"/>
    <n v="0"/>
    <n v="0"/>
    <m/>
    <n v="0"/>
    <m/>
    <n v="0"/>
    <m/>
    <n v="0"/>
    <m/>
    <m/>
    <n v="0"/>
    <n v="0"/>
    <n v="0"/>
    <n v="0"/>
    <m/>
    <n v="0"/>
    <n v="0"/>
    <n v="0"/>
    <n v="0"/>
    <n v="0"/>
    <x v="0"/>
    <m/>
    <x v="2"/>
    <x v="1"/>
    <s v="no root cause"/>
    <x v="1"/>
    <s v=""/>
  </r>
  <r>
    <s v="Meyo-Elie"/>
    <s v="SUD_124"/>
    <s v="CENTRE"/>
    <s v="CAMUSAT"/>
    <s v="Hybrid Solar - S3"/>
    <s v="SUD"/>
    <s v="Ambam"/>
    <s v="ZTE"/>
    <n v="0"/>
    <n v="0"/>
    <n v="0"/>
    <n v="0"/>
    <n v="0"/>
    <n v="0"/>
    <n v="0"/>
    <n v="0"/>
    <n v="0"/>
    <n v="0"/>
    <n v="0"/>
    <n v="0"/>
    <n v="0"/>
    <n v="0"/>
    <n v="0"/>
    <n v="0"/>
    <n v="0"/>
    <n v="0"/>
    <n v="0"/>
    <n v="0"/>
    <n v="0"/>
    <n v="0"/>
    <n v="0"/>
    <n v="0"/>
    <m/>
    <n v="0"/>
    <m/>
    <n v="0"/>
    <m/>
    <n v="0"/>
    <m/>
    <m/>
    <n v="0"/>
    <n v="0"/>
    <n v="0"/>
    <n v="0"/>
    <m/>
    <n v="0"/>
    <n v="0"/>
    <n v="0"/>
    <n v="0"/>
    <n v="0"/>
    <x v="0"/>
    <m/>
    <x v="2"/>
    <x v="1"/>
    <s v="no root cause"/>
    <x v="1"/>
    <s v=""/>
  </r>
  <r>
    <s v="Lycee-Koumassi-IHS"/>
    <s v="LIT_427"/>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Ndokoti-GUINNESS"/>
    <s v="LIT_525"/>
    <s v="Douala"/>
    <s v="IHS"/>
    <s v="Grid-Gen"/>
    <s v="LITTORAL"/>
    <s v="Douala"/>
    <s v="ZTE"/>
    <n v="0"/>
    <n v="0"/>
    <n v="0"/>
    <n v="0"/>
    <n v="0"/>
    <n v="0"/>
    <n v="0"/>
    <n v="0"/>
    <n v="0"/>
    <n v="0"/>
    <n v="0"/>
    <n v="0.2817228971015863"/>
    <n v="0"/>
    <n v="0"/>
    <n v="0"/>
    <n v="0"/>
    <n v="0"/>
    <n v="0"/>
    <n v="0"/>
    <n v="0"/>
    <n v="0.7741850796015223"/>
    <n v="0"/>
    <n v="0"/>
    <n v="0"/>
    <m/>
    <n v="0"/>
    <m/>
    <n v="0"/>
    <m/>
    <n v="0"/>
    <m/>
    <m/>
    <n v="0"/>
    <n v="0"/>
    <n v="0"/>
    <n v="0"/>
    <m/>
    <n v="0"/>
    <n v="0"/>
    <n v="0"/>
    <n v="0"/>
    <n v="0"/>
    <x v="0"/>
    <m/>
    <x v="2"/>
    <x v="1"/>
    <s v="no root cause"/>
    <x v="1"/>
    <s v=""/>
  </r>
  <r>
    <s v="Soudanaise-micro"/>
    <s v="LIT_703"/>
    <s v="Douala"/>
    <m/>
    <m/>
    <s v="LITTORAL"/>
    <s v="Douala"/>
    <s v="ZTE"/>
    <n v="0"/>
    <n v="0"/>
    <n v="0"/>
    <n v="0"/>
    <n v="0"/>
    <n v="0"/>
    <n v="0"/>
    <n v="0"/>
    <n v="0"/>
    <n v="0"/>
    <n v="0"/>
    <n v="0.6806757639834148"/>
    <n v="0"/>
    <n v="0"/>
    <n v="0"/>
    <n v="0"/>
    <n v="0"/>
    <n v="0"/>
    <n v="0"/>
    <n v="0"/>
    <n v="0"/>
    <n v="0"/>
    <n v="0"/>
    <n v="0"/>
    <m/>
    <n v="0"/>
    <m/>
    <n v="0"/>
    <m/>
    <n v="0"/>
    <m/>
    <m/>
    <n v="0"/>
    <n v="0"/>
    <n v="0"/>
    <n v="0"/>
    <m/>
    <n v="0"/>
    <n v="0"/>
    <n v="0"/>
    <n v="0"/>
    <n v="0"/>
    <x v="0"/>
    <m/>
    <x v="2"/>
    <x v="1"/>
    <s v="no root cause"/>
    <x v="1"/>
    <s v=""/>
  </r>
  <r>
    <s v="Sodiko-Gare-Rtiere-IHS"/>
    <s v="LIT_137"/>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Kribi-gd-batanga"/>
    <s v="LIT_107"/>
    <s v="LITTORAL"/>
    <s v="IHS"/>
    <s v="Grid-Gen"/>
    <s v="LITTORAL"/>
    <s v="Kribi"/>
    <s v="ZTE"/>
    <n v="0"/>
    <n v="0.02389900494531037"/>
    <n v="0"/>
    <n v="0"/>
    <n v="0"/>
    <n v="0"/>
    <n v="0"/>
    <n v="0"/>
    <n v="0"/>
    <n v="0"/>
    <n v="0"/>
    <n v="0"/>
    <n v="0"/>
    <n v="0"/>
    <n v="0"/>
    <n v="0"/>
    <n v="0"/>
    <n v="0"/>
    <n v="0"/>
    <n v="0"/>
    <n v="0"/>
    <n v="0"/>
    <n v="0"/>
    <n v="0"/>
    <m/>
    <n v="0"/>
    <m/>
    <n v="0"/>
    <m/>
    <n v="0"/>
    <m/>
    <m/>
    <n v="0"/>
    <n v="0"/>
    <n v="0"/>
    <n v="0"/>
    <m/>
    <n v="0"/>
    <n v="0"/>
    <n v="0"/>
    <n v="0"/>
    <n v="0"/>
    <x v="0"/>
    <m/>
    <x v="2"/>
    <x v="1"/>
    <s v="no root cause"/>
    <x v="1"/>
    <s v=""/>
  </r>
  <r>
    <s v="Menloh-Maloume-Camrail"/>
    <s v="CTR_451"/>
    <s v="CENTRE"/>
    <s v="CAMUSAT"/>
    <s v="Hybrid Solar - S3"/>
    <s v="CENTRE"/>
    <s v="Eseka"/>
    <s v="NOKIA"/>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      {05-25-2026 ocm ran 22H}: Power status check Ongoing"/>
  </r>
  <r>
    <s v="Bpriso-Nodal"/>
    <s v="LIT_104"/>
    <s v="Douala"/>
    <m/>
    <m/>
    <s v="LITTORAL"/>
    <s v="Douala"/>
    <s v="ZTE"/>
    <n v="0"/>
    <n v="0"/>
    <n v="0"/>
    <n v="0"/>
    <n v="0"/>
    <n v="0"/>
    <n v="0"/>
    <n v="0"/>
    <n v="0"/>
    <n v="0"/>
    <n v="0"/>
    <n v="0"/>
    <n v="0"/>
    <n v="0"/>
    <n v="0"/>
    <n v="0"/>
    <n v="0"/>
    <n v="0"/>
    <n v="0"/>
    <n v="0"/>
    <n v="0.08699951203225785"/>
    <n v="0"/>
    <n v="0"/>
    <n v="0"/>
    <m/>
    <n v="0"/>
    <m/>
    <n v="0"/>
    <m/>
    <n v="0"/>
    <m/>
    <m/>
    <n v="0"/>
    <n v="0"/>
    <n v="0"/>
    <n v="0"/>
    <m/>
    <n v="0"/>
    <n v="0"/>
    <n v="0"/>
    <n v="0"/>
    <n v="0"/>
    <x v="0"/>
    <m/>
    <x v="2"/>
    <x v="1"/>
    <s v="no root cause"/>
    <x v="1"/>
    <s v=""/>
  </r>
  <r>
    <s v="Otele-Camrail"/>
    <s v="CTR_452"/>
    <s v="CENTRE"/>
    <s v="CAMUSAT"/>
    <s v="Medium Grid + Solar + GE"/>
    <s v="CENTRE"/>
    <s v="Ngoumou"/>
    <s v="NOKIA"/>
    <n v="0"/>
    <n v="0"/>
    <n v="0"/>
    <n v="0"/>
    <n v="0"/>
    <n v="0"/>
    <n v="0"/>
    <n v="0"/>
    <n v="0"/>
    <n v="0"/>
    <n v="0"/>
    <n v="0"/>
    <n v="0"/>
    <n v="0"/>
    <n v="0"/>
    <n v="0"/>
    <n v="0"/>
    <n v="0"/>
    <n v="0"/>
    <n v="0"/>
    <n v="0.03319108074867377"/>
    <n v="0"/>
    <n v="0"/>
    <n v="0"/>
    <m/>
    <n v="0"/>
    <m/>
    <n v="0"/>
    <m/>
    <n v="0"/>
    <m/>
    <m/>
    <n v="0"/>
    <n v="0"/>
    <n v="0"/>
    <n v="0"/>
    <m/>
    <n v="0"/>
    <n v="0"/>
    <n v="0"/>
    <n v="0"/>
    <n v="0"/>
    <x v="0"/>
    <m/>
    <x v="2"/>
    <x v="1"/>
    <s v="no root cause"/>
    <x v="1"/>
    <s v=""/>
  </r>
  <r>
    <s v="Beedi-Hte-Tension"/>
    <s v="LIT_256"/>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ZI-Cimencam"/>
    <s v="LIT_258"/>
    <s v="Douala"/>
    <s v="OCM/Strategique"/>
    <s v="Grid-Gen"/>
    <s v="LITTORAL"/>
    <s v="Douala"/>
    <s v="ZTE"/>
    <n v="0"/>
    <n v="0"/>
    <n v="0"/>
    <n v="0"/>
    <n v="0"/>
    <n v="0"/>
    <n v="0"/>
    <n v="0"/>
    <n v="0"/>
    <n v="0"/>
    <n v="0"/>
    <n v="0"/>
    <n v="0"/>
    <n v="0"/>
    <n v="0"/>
    <n v="0"/>
    <n v="0"/>
    <n v="0"/>
    <n v="0"/>
    <n v="0"/>
    <n v="7.111345107338636"/>
    <n v="0"/>
    <n v="0"/>
    <n v="0"/>
    <m/>
    <n v="0"/>
    <m/>
    <n v="0"/>
    <m/>
    <n v="0"/>
    <m/>
    <m/>
    <n v="0"/>
    <n v="0"/>
    <n v="0"/>
    <n v="0"/>
    <m/>
    <n v="0"/>
    <n v="0"/>
    <n v="0"/>
    <n v="0"/>
    <n v="0"/>
    <x v="0"/>
    <m/>
    <x v="2"/>
    <x v="1"/>
    <s v="no root cause"/>
    <x v="1"/>
    <s v=""/>
  </r>
  <r>
    <s v="Touboro"/>
    <s v="ADM_005"/>
    <s v="ADAMAOUA"/>
    <s v="IHS"/>
    <s v="Grid-Gen"/>
    <s v="ADAMAOUA"/>
    <s v="Touboro"/>
    <s v="Huawei"/>
    <n v="0"/>
    <n v="0"/>
    <n v="0.003816706759922724"/>
    <n v="0"/>
    <n v="0"/>
    <n v="0"/>
    <n v="0"/>
    <n v="0"/>
    <n v="0"/>
    <n v="0"/>
    <n v="0"/>
    <n v="0"/>
    <n v="0"/>
    <n v="0"/>
    <n v="0"/>
    <n v="0"/>
    <n v="0"/>
    <n v="0"/>
    <n v="0"/>
    <n v="0"/>
    <n v="0"/>
    <n v="0"/>
    <n v="0"/>
    <n v="0"/>
    <m/>
    <n v="0"/>
    <m/>
    <n v="0"/>
    <m/>
    <n v="0"/>
    <m/>
    <m/>
    <n v="0"/>
    <n v="0"/>
    <n v="0"/>
    <n v="0"/>
    <m/>
    <n v="0"/>
    <n v="0"/>
    <n v="0"/>
    <n v="0"/>
    <n v="0"/>
    <x v="0"/>
    <m/>
    <x v="2"/>
    <x v="1"/>
    <s v="no root cause"/>
    <x v="1"/>
    <s v=""/>
  </r>
  <r>
    <s v="Foumban-CAMTEL"/>
    <s v="OST_047"/>
    <s v="OUEST"/>
    <s v="CAMUSAT"/>
    <s v="Medium Grid + Solar + GE"/>
    <s v="OUEST"/>
    <s v="Foumban"/>
    <s v="Huawei"/>
    <n v="1.290706782751624"/>
    <n v="0.9441890461229392"/>
    <n v="0"/>
    <n v="0"/>
    <n v="0"/>
    <n v="0"/>
    <n v="0"/>
    <n v="0"/>
    <n v="0"/>
    <n v="0"/>
    <n v="0"/>
    <n v="0"/>
    <n v="0"/>
    <n v="0"/>
    <n v="0"/>
    <n v="0"/>
    <n v="0"/>
    <n v="0"/>
    <n v="0"/>
    <n v="0"/>
    <n v="0"/>
    <n v="0"/>
    <n v="0"/>
    <n v="0"/>
    <m/>
    <n v="0"/>
    <m/>
    <n v="0"/>
    <m/>
    <n v="0"/>
    <m/>
    <m/>
    <n v="0"/>
    <n v="0"/>
    <n v="0"/>
    <n v="0"/>
    <m/>
    <n v="0"/>
    <n v="0"/>
    <n v="0"/>
    <n v="0"/>
    <n v="0"/>
    <x v="0"/>
    <m/>
    <x v="2"/>
    <x v="1"/>
    <s v="no root cause"/>
    <x v="1"/>
    <s v=""/>
  </r>
  <r>
    <s v="CTN"/>
    <s v="LIT_003"/>
    <s v="Douala"/>
    <s v="CAMUSAT"/>
    <s v="Good Grid 100%"/>
    <s v="LITTORAL"/>
    <s v="Douala"/>
    <s v="ZTE"/>
    <n v="0"/>
    <n v="0"/>
    <n v="0"/>
    <n v="0"/>
    <n v="0"/>
    <n v="0"/>
    <n v="0"/>
    <n v="0"/>
    <n v="0"/>
    <n v="0"/>
    <n v="0"/>
    <n v="0"/>
    <n v="0"/>
    <n v="0"/>
    <n v="0"/>
    <n v="0"/>
    <n v="0"/>
    <n v="0"/>
    <n v="0"/>
    <n v="0"/>
    <n v="0"/>
    <n v="0"/>
    <n v="0"/>
    <n v="0"/>
    <m/>
    <n v="0"/>
    <m/>
    <n v="0"/>
    <m/>
    <n v="0"/>
    <m/>
    <m/>
    <n v="0"/>
    <n v="0"/>
    <n v="0"/>
    <n v="0"/>
    <m/>
    <n v="0"/>
    <n v="0"/>
    <n v="0"/>
    <n v="0"/>
    <n v="0"/>
    <x v="0"/>
    <m/>
    <x v="2"/>
    <x v="1"/>
    <s v="no root cause"/>
    <x v="1"/>
    <s v=""/>
  </r>
  <r>
    <s v="La-Rose"/>
    <s v="LIT_009"/>
    <s v="Douala"/>
    <s v="IHS"/>
    <s v="Grid-Gen"/>
    <s v="LITTORAL"/>
    <s v="Douala"/>
    <s v="ZTE"/>
    <n v="0"/>
    <n v="0"/>
    <n v="0"/>
    <n v="0"/>
    <n v="0"/>
    <n v="0"/>
    <n v="0"/>
    <n v="0"/>
    <n v="0"/>
    <n v="0"/>
    <n v="0"/>
    <n v="0"/>
    <n v="0"/>
    <n v="0"/>
    <n v="0"/>
    <n v="0"/>
    <n v="0"/>
    <n v="0"/>
    <n v="0"/>
    <n v="0"/>
    <n v="0"/>
    <n v="0"/>
    <n v="0"/>
    <n v="0"/>
    <m/>
    <n v="0"/>
    <m/>
    <n v="0"/>
    <m/>
    <n v="0"/>
    <m/>
    <m/>
    <n v="0"/>
    <n v="0"/>
    <n v="0"/>
    <n v="0"/>
    <m/>
    <n v="0"/>
    <n v="0"/>
    <n v="0"/>
    <n v="0"/>
    <n v="0"/>
    <x v="0"/>
    <m/>
    <x v="11"/>
    <x v="7"/>
    <s v="BSS Hardware issue"/>
    <x v="2"/>
    <s v="(05/25/2026 cell zte): 25/05/2026 :  FME should check GPS feeder status, GPS cable, GPS module || FME activer "/>
  </r>
  <r>
    <s v="Minisite-Elig-Edzoa"/>
    <s v="CTR_684"/>
    <s v="Yaounde"/>
    <s v="CAMUSAT"/>
    <s v="Good Grid no GE - 8h"/>
    <s v="CENTRE"/>
    <s v="Yaounde"/>
    <s v="ZTE"/>
    <n v="0"/>
    <n v="0"/>
    <n v="0"/>
    <n v="0"/>
    <n v="0"/>
    <n v="0"/>
    <n v="0"/>
    <n v="0"/>
    <n v="0"/>
    <n v="0"/>
    <n v="0"/>
    <n v="0"/>
    <n v="0"/>
    <n v="0"/>
    <n v="0"/>
    <n v="0"/>
    <n v="0"/>
    <n v="0"/>
    <n v="0"/>
    <n v="0"/>
    <n v="0"/>
    <n v="0"/>
    <n v="0"/>
    <n v="0"/>
    <m/>
    <n v="0"/>
    <m/>
    <n v="0"/>
    <m/>
    <n v="0"/>
    <m/>
    <m/>
    <n v="0"/>
    <n v="0"/>
    <n v="0"/>
    <n v="0"/>
    <m/>
    <n v="0"/>
    <n v="0"/>
    <n v="0"/>
    <n v="0"/>
    <n v="0"/>
    <x v="0"/>
    <m/>
    <x v="2"/>
    <x v="1"/>
    <s v="no root cause"/>
    <x v="1"/>
    <s v="{05-25-2026 ticket}: INC-20260525-00016891...Auto TT closure RCA...Others"/>
  </r>
  <r>
    <s v="PK10-Plateau"/>
    <s v="LIT_223"/>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Sokelle-IHS"/>
    <s v="LIT_506"/>
    <s v="LITTORAL"/>
    <s v="IHS"/>
    <s v="Gen Only"/>
    <s v="LITTORAL"/>
    <s v="Sokelle"/>
    <s v="ZTE"/>
    <n v="0"/>
    <n v="0"/>
    <n v="0"/>
    <n v="0"/>
    <n v="0"/>
    <n v="0"/>
    <n v="0"/>
    <n v="0"/>
    <n v="0"/>
    <n v="0"/>
    <n v="0"/>
    <n v="0.008382486809176377"/>
    <n v="0"/>
    <n v="0"/>
    <n v="0"/>
    <n v="0"/>
    <n v="0"/>
    <n v="0"/>
    <n v="0"/>
    <n v="0"/>
    <n v="0"/>
    <n v="0"/>
    <n v="0"/>
    <n v="0"/>
    <m/>
    <n v="0"/>
    <m/>
    <n v="0"/>
    <m/>
    <n v="0"/>
    <m/>
    <m/>
    <n v="0"/>
    <n v="0"/>
    <n v="0"/>
    <n v="0"/>
    <m/>
    <n v="0"/>
    <n v="0"/>
    <n v="0"/>
    <n v="0"/>
    <n v="0"/>
    <x v="0"/>
    <m/>
    <x v="8"/>
    <x v="4"/>
    <s v="SPARE-ISSUE"/>
    <x v="3"/>
    <s v="{05-25-2026 ocm ran 22H}: 23/05/2026 ODUs Ngwei: 3DB20859AC et Sokelle: 3DB20858AC faulty, passée et escalade en cours vers OCM_x000a_22.05.26: ODUs Ngwei: 3DB20859AC et Sokelle: 3DB20858AC faulty, passée et escalade en cours vers OCM_x000a_21.05.26: ODUs Ngwei: 3DB20859AC et Sokelle: 3DB20858AC faulty, commande en cours, update ASAP_x000a_21.05.26: Besoin d'un FME sur Ngwei pour vérifier la chaine antennaire de l'ODU 4.2; CM-20260521-00004477; FME Charly activé pour investigations mais injoignable actuellement, escalade faite au RM      ;      {05-25-2026 ocm ran 17H}: 23/05/2026 ODUs Ngwei: 3DB20859AC et Sokelle: 3DB20858AC faulty, passée et escalade en cours vers OCM_x000a_22.05.26: ODUs Ngwei: 3DB20859AC et Sokelle: 3DB20858AC faulty, passée et escalade en cours vers OCM_x000a_21.05.26: ODUs Ngwei: 3DB20859AC et Sokelle: 3DB20858AC faulty, commande en cours, update ASAP_x000a_21.05.26: Besoin d'un FME sur Ngwei pour vérifier la chaine antennaire de l'ODU 4.2; CM-20260521-00004477; FME Charly activé pour investigations mais injoignable actuellement, escalade faite au RM"/>
  </r>
  <r>
    <s v="Song-Mahop"/>
    <s v="LIT_300"/>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Ngoung"/>
    <s v="CTR_115"/>
    <s v="CENTRE"/>
    <s v="IHS"/>
    <s v="Grid-Gen"/>
    <s v="CENTRE"/>
    <s v="Ngoung"/>
    <s v="ZTE"/>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r>
  <r>
    <s v="Bantoum-II-IHS"/>
    <s v="OST_301"/>
    <s v="OUEST"/>
    <s v="IHS"/>
    <s v="Grid-Gen"/>
    <s v="OUEST"/>
    <s v="Bantoum"/>
    <s v="Huawei"/>
    <n v="0"/>
    <n v="0"/>
    <n v="0"/>
    <n v="0"/>
    <n v="0"/>
    <n v="0"/>
    <n v="0"/>
    <n v="0"/>
    <n v="0"/>
    <n v="0"/>
    <n v="0"/>
    <n v="0"/>
    <n v="0"/>
    <n v="0"/>
    <n v="0"/>
    <n v="0"/>
    <n v="0"/>
    <n v="0"/>
    <n v="0"/>
    <n v="0"/>
    <n v="0"/>
    <n v="0"/>
    <n v="0"/>
    <n v="0"/>
    <m/>
    <n v="0"/>
    <m/>
    <n v="0"/>
    <m/>
    <n v="0"/>
    <m/>
    <m/>
    <n v="0"/>
    <n v="0"/>
    <n v="0"/>
    <n v="0"/>
    <m/>
    <n v="0"/>
    <n v="0"/>
    <n v="0"/>
    <n v="0"/>
    <n v="0"/>
    <x v="0"/>
    <m/>
    <x v="2"/>
    <x v="1"/>
    <s v="no root cause"/>
    <x v="1"/>
    <s v=""/>
  </r>
  <r>
    <s v="Bamendjing-MTN-IHS"/>
    <s v="OST_221"/>
    <s v="OUEST"/>
    <s v="IHS"/>
    <s v="Grid-Gen"/>
    <s v="OUEST"/>
    <s v="Bamendjing"/>
    <s v="Huawei"/>
    <n v="0"/>
    <n v="0"/>
    <n v="0"/>
    <n v="0"/>
    <n v="0"/>
    <n v="0"/>
    <n v="0"/>
    <n v="0"/>
    <n v="0"/>
    <n v="0"/>
    <n v="0"/>
    <n v="0"/>
    <n v="0"/>
    <n v="0"/>
    <n v="0"/>
    <n v="0"/>
    <n v="0"/>
    <n v="0"/>
    <n v="0"/>
    <n v="0"/>
    <n v="0"/>
    <n v="0"/>
    <n v="0"/>
    <n v="0"/>
    <m/>
    <n v="0"/>
    <m/>
    <n v="0"/>
    <m/>
    <n v="0"/>
    <m/>
    <m/>
    <n v="0"/>
    <n v="0"/>
    <n v="0"/>
    <n v="0"/>
    <m/>
    <n v="0"/>
    <n v="0"/>
    <n v="0"/>
    <n v="0"/>
    <n v="0"/>
    <x v="0"/>
    <m/>
    <x v="2"/>
    <x v="1"/>
    <s v="no root cause"/>
    <x v="1"/>
    <s v=""/>
  </r>
  <r>
    <s v="Bandjoun-Marche-Hiala"/>
    <s v="OST_276"/>
    <s v="OUEST"/>
    <s v="CAMUSAT"/>
    <s v="Medium Grid + GE"/>
    <s v="OUEST"/>
    <s v="Bandjoun"/>
    <s v="Huawei"/>
    <n v="0"/>
    <n v="0"/>
    <n v="0"/>
    <n v="0"/>
    <n v="0"/>
    <n v="0"/>
    <n v="0"/>
    <n v="0"/>
    <n v="0"/>
    <n v="0"/>
    <n v="0"/>
    <n v="0"/>
    <n v="0"/>
    <n v="0"/>
    <n v="0"/>
    <n v="0"/>
    <n v="0"/>
    <n v="0"/>
    <n v="0"/>
    <n v="0"/>
    <n v="15.76314159910739"/>
    <n v="0"/>
    <n v="0"/>
    <n v="0"/>
    <m/>
    <n v="0"/>
    <m/>
    <n v="0"/>
    <m/>
    <n v="0"/>
    <m/>
    <m/>
    <n v="0"/>
    <n v="0"/>
    <n v="0"/>
    <n v="0"/>
    <m/>
    <n v="0"/>
    <n v="0"/>
    <n v="0"/>
    <n v="0"/>
    <n v="0"/>
    <x v="0"/>
    <m/>
    <x v="2"/>
    <x v="1"/>
    <s v="no root cause"/>
    <x v="1"/>
    <s v=""/>
  </r>
  <r>
    <s v="Boga-Mahole"/>
    <s v="CTR_234"/>
    <s v="CENTRE"/>
    <s v="IHS"/>
    <s v="Grid-Gen"/>
    <s v="CENTRE"/>
    <s v="Boga-Mahole"/>
    <s v="ZTE"/>
    <n v="0"/>
    <n v="0"/>
    <n v="0"/>
    <n v="0"/>
    <n v="0"/>
    <n v="0"/>
    <n v="0"/>
    <n v="0"/>
    <n v="0"/>
    <n v="0"/>
    <n v="0"/>
    <n v="0"/>
    <n v="0"/>
    <n v="0"/>
    <n v="0"/>
    <n v="0"/>
    <n v="0"/>
    <n v="0"/>
    <n v="0"/>
    <n v="0"/>
    <n v="0"/>
    <n v="0"/>
    <n v="0"/>
    <n v="0"/>
    <m/>
    <n v="0"/>
    <m/>
    <n v="0"/>
    <m/>
    <n v="0"/>
    <m/>
    <m/>
    <n v="0"/>
    <n v="0"/>
    <n v="0"/>
    <n v="0"/>
    <m/>
    <n v="0"/>
    <n v="0"/>
    <n v="0"/>
    <n v="0"/>
    <n v="0"/>
    <x v="0"/>
    <m/>
    <x v="2"/>
    <x v="1"/>
    <s v="no root cause"/>
    <x v="1"/>
    <s v=""/>
  </r>
  <r>
    <s v="Jabane"/>
    <s v="SUO_173"/>
    <s v="SUD-OUEST"/>
    <s v="CAMUSAT"/>
    <s v="Good Grid no GE - 8h"/>
    <s v="SUD-OUEST"/>
    <s v="Jabane"/>
    <s v="NOKIA"/>
    <n v="0"/>
    <n v="0"/>
    <n v="0"/>
    <n v="0"/>
    <n v="0"/>
    <n v="0"/>
    <n v="0"/>
    <n v="0"/>
    <n v="0"/>
    <n v="0"/>
    <n v="0"/>
    <n v="0"/>
    <n v="0"/>
    <n v="0"/>
    <n v="0"/>
    <n v="0"/>
    <n v="0"/>
    <n v="0"/>
    <n v="0"/>
    <n v="0"/>
    <n v="0"/>
    <n v="0"/>
    <n v="0"/>
    <n v="0"/>
    <m/>
    <n v="0"/>
    <m/>
    <n v="0"/>
    <m/>
    <n v="0"/>
    <m/>
    <m/>
    <n v="0"/>
    <n v="0"/>
    <n v="0"/>
    <n v="0"/>
    <m/>
    <n v="0"/>
    <n v="0"/>
    <n v="0"/>
    <n v="0"/>
    <n v="0"/>
    <x v="0"/>
    <m/>
    <x v="2"/>
    <x v="1"/>
    <s v="no root cause"/>
    <x v="1"/>
    <s v="{05-25-2026 ocm ran 22H}: 25.05.26: BO TX analysis ongoing"/>
  </r>
  <r>
    <s v="Logbessou-II"/>
    <s v="LIT_669"/>
    <s v="Douala"/>
    <s v="CAMUSAT"/>
    <s v="Good Grid + GE"/>
    <s v="LITTORAL"/>
    <s v="Douala"/>
    <s v="ZTE"/>
    <n v="0"/>
    <n v="0"/>
    <n v="0"/>
    <n v="0"/>
    <n v="0"/>
    <n v="0"/>
    <n v="0"/>
    <n v="0"/>
    <n v="0"/>
    <n v="0"/>
    <n v="0"/>
    <n v="0"/>
    <n v="0"/>
    <n v="0"/>
    <n v="0"/>
    <n v="0"/>
    <n v="0"/>
    <n v="0"/>
    <n v="0"/>
    <n v="0"/>
    <n v="0"/>
    <n v="0"/>
    <n v="0"/>
    <n v="0"/>
    <m/>
    <n v="0"/>
    <m/>
    <n v="0"/>
    <m/>
    <n v="0"/>
    <m/>
    <m/>
    <n v="0"/>
    <n v="0"/>
    <n v="0"/>
    <n v="0"/>
    <m/>
    <n v="0"/>
    <n v="0"/>
    <n v="0"/>
    <n v="0"/>
    <n v="0"/>
    <x v="0"/>
    <m/>
    <x v="2"/>
    <x v="1"/>
    <s v="no root cause"/>
    <x v="1"/>
    <s v=""/>
  </r>
  <r>
    <s v="NR-PK5"/>
    <s v="LIT_096"/>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Ambam"/>
    <s v="CTR_394"/>
    <s v="CENTRE"/>
    <s v="ESCO"/>
    <s v="Bad Grid + Solar + GE"/>
    <s v="CENTRE"/>
    <s v="Ambam"/>
    <s v="ZTE"/>
    <n v="0"/>
    <n v="0"/>
    <n v="0"/>
    <n v="0"/>
    <n v="0"/>
    <n v="0"/>
    <n v="0"/>
    <n v="0"/>
    <n v="0"/>
    <n v="0"/>
    <n v="0"/>
    <n v="0"/>
    <n v="0"/>
    <n v="0"/>
    <n v="0"/>
    <n v="0"/>
    <n v="0"/>
    <n v="0"/>
    <n v="0"/>
    <n v="0"/>
    <n v="0"/>
    <n v="0"/>
    <n v="0"/>
    <n v="0"/>
    <m/>
    <n v="0"/>
    <m/>
    <n v="0"/>
    <m/>
    <n v="0"/>
    <m/>
    <m/>
    <n v="0"/>
    <n v="0"/>
    <n v="0"/>
    <n v="0"/>
    <m/>
    <n v="0"/>
    <n v="0"/>
    <n v="0"/>
    <n v="0"/>
    <n v="0"/>
    <x v="0"/>
    <m/>
    <x v="0"/>
    <x v="0"/>
    <s v="AKTIVCO Defaut GE &amp; Power Cabinet"/>
    <x v="0"/>
    <s v="(05/25/2026 cell zte): 22/05/2026 : En attente du Feedback de Camusat_x000a_19/05/2026 : Point transferer a Camusat en attente de leur Feedback _x000a_18/05/2026 : R.I recu pour interpeller le powerco || RI transferer a Camusat || En attente du Feedback de Camusat _x000a_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_x000a_3 radios disjonctés pour permettre de stabiliser le site. || En attente RI pour interpeller le powerco       ;      (05/25/2026 cell zte): 22/05/2026 : En attente du Feedback de Camusat_x000a_19/05/2026 : Point transferer a Camusat en attente de leur Feedback _x000a_18/05/2026 : R.I recu pour interpeller le powerco || RI transferer a Camusat || En attente du Feedback de Camusat _x000a_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_x000a_3 radios disjonctés pour permettre de stabiliser le site. || En attente RI pour interpeller le powerco       ;      (05/25/2026 cell zte): 22/05/2026 : En attente du Feedback de Camusat_x000a_19/05/2026 : Point transferer a Camusat en attente de leur Feedback _x000a_18/05/2026 : R.I recu pour interpeller le powerco || RI transferer a Camusat || En attente du Feedback de Camusat _x000a_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_x000a_3 radios disjonctés pour permettre de stabiliser le site. || En attente RI pour interpeller le powerco "/>
  </r>
  <r>
    <s v="Nomayos-IHS"/>
    <s v="CTR_527"/>
    <s v="CENTRE"/>
    <s v="IHS"/>
    <s v="Grid-Gen"/>
    <s v="CENTRE"/>
    <s v="Nomayos"/>
    <s v="ZTE"/>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r>
  <r>
    <s v="Koutaba-IHS"/>
    <s v="OST_138"/>
    <s v="OUEST"/>
    <s v="IHS"/>
    <s v="Grid-Gen"/>
    <s v="OUEST"/>
    <s v="Koutaba"/>
    <s v="Huawei"/>
    <n v="0"/>
    <n v="0"/>
    <n v="0"/>
    <n v="0"/>
    <n v="0"/>
    <n v="0"/>
    <n v="0"/>
    <n v="0"/>
    <n v="0"/>
    <n v="0"/>
    <n v="0"/>
    <n v="0"/>
    <n v="0"/>
    <n v="0"/>
    <n v="0"/>
    <n v="0"/>
    <n v="0"/>
    <n v="0"/>
    <n v="0"/>
    <n v="0"/>
    <n v="0"/>
    <n v="0"/>
    <n v="0"/>
    <n v="0"/>
    <m/>
    <n v="0"/>
    <m/>
    <n v="0"/>
    <m/>
    <n v="0"/>
    <m/>
    <m/>
    <n v="0"/>
    <n v="0"/>
    <n v="0"/>
    <n v="0"/>
    <m/>
    <n v="0"/>
    <n v="0"/>
    <n v="0"/>
    <n v="0"/>
    <n v="0"/>
    <x v="0"/>
    <m/>
    <x v="4"/>
    <x v="0"/>
    <s v="Defaut GE &amp; Power Cabinet"/>
    <x v="0"/>
    <s v="{05-25-2026 groupe whatsapp incident}:    impacted by OST_005_H_Foumbot ,Cause: Probleme energie    Action: RCA attendu de IHS      ;      {05-25-2026 ocm ran 17H}: Power status check Ongoing"/>
  </r>
  <r>
    <s v="Bamendjing-IHS"/>
    <s v="OST_030"/>
    <s v="OUEST"/>
    <s v="IHS"/>
    <s v="Grid-Hybrid-Gen"/>
    <s v="OUEST"/>
    <s v="Bamendjing"/>
    <s v="Huawei"/>
    <n v="0"/>
    <n v="0"/>
    <n v="0"/>
    <n v="0"/>
    <n v="0"/>
    <n v="0"/>
    <n v="0"/>
    <n v="0"/>
    <n v="0"/>
    <n v="0"/>
    <n v="0"/>
    <n v="0"/>
    <n v="0"/>
    <n v="0"/>
    <n v="0"/>
    <n v="0"/>
    <n v="0"/>
    <n v="0"/>
    <n v="0"/>
    <n v="0"/>
    <n v="0"/>
    <n v="0"/>
    <n v="0"/>
    <n v="0"/>
    <m/>
    <n v="0"/>
    <m/>
    <n v="0"/>
    <m/>
    <n v="0"/>
    <m/>
    <m/>
    <n v="0"/>
    <n v="0"/>
    <n v="0"/>
    <n v="0"/>
    <m/>
    <n v="0"/>
    <n v="0"/>
    <n v="0"/>
    <n v="0"/>
    <n v="0"/>
    <x v="0"/>
    <m/>
    <x v="2"/>
    <x v="1"/>
    <s v="no root cause"/>
    <x v="1"/>
    <s v=""/>
  </r>
  <r>
    <s v="Bamendou"/>
    <s v="OST_056"/>
    <s v="OUEST"/>
    <s v="IHS"/>
    <s v="Grid-Gen"/>
    <s v="OUEST"/>
    <s v="Bamendou"/>
    <s v="Huawei"/>
    <n v="0"/>
    <n v="0"/>
    <n v="0"/>
    <n v="0"/>
    <n v="0"/>
    <n v="0"/>
    <n v="0"/>
    <n v="0"/>
    <n v="0"/>
    <n v="0"/>
    <n v="0"/>
    <n v="0.0261462248133024"/>
    <n v="0"/>
    <n v="0"/>
    <n v="0"/>
    <n v="0"/>
    <n v="0"/>
    <n v="0"/>
    <n v="0"/>
    <n v="0"/>
    <n v="0"/>
    <n v="0"/>
    <n v="0"/>
    <n v="0"/>
    <m/>
    <n v="0"/>
    <m/>
    <n v="0"/>
    <m/>
    <n v="0"/>
    <m/>
    <m/>
    <n v="0"/>
    <n v="0"/>
    <n v="0"/>
    <n v="0"/>
    <m/>
    <n v="0"/>
    <n v="0"/>
    <n v="0"/>
    <n v="0"/>
    <n v="0"/>
    <x v="0"/>
    <m/>
    <x v="2"/>
    <x v="1"/>
    <s v="no root cause"/>
    <x v="1"/>
    <s v=""/>
  </r>
  <r>
    <s v="Yoke"/>
    <s v="SUO_070"/>
    <s v="SUD-OUEST"/>
    <s v="IHS"/>
    <m/>
    <s v="SUD-OUEST"/>
    <s v="Yoke"/>
    <s v="Huawei"/>
    <n v="0"/>
    <n v="0"/>
    <n v="0"/>
    <n v="0"/>
    <n v="0"/>
    <n v="0"/>
    <n v="0"/>
    <n v="0"/>
    <n v="0"/>
    <n v="0"/>
    <n v="0"/>
    <n v="0"/>
    <n v="0"/>
    <n v="0"/>
    <n v="0"/>
    <n v="0"/>
    <n v="0"/>
    <n v="0"/>
    <n v="0"/>
    <n v="0"/>
    <n v="0"/>
    <n v="0"/>
    <n v="0"/>
    <n v="0"/>
    <m/>
    <n v="0"/>
    <m/>
    <n v="0"/>
    <m/>
    <n v="0"/>
    <m/>
    <m/>
    <n v="0"/>
    <n v="0"/>
    <n v="0"/>
    <n v="0"/>
    <m/>
    <n v="0"/>
    <n v="0"/>
    <n v="0"/>
    <n v="0"/>
    <n v="0"/>
    <x v="0"/>
    <m/>
    <x v="4"/>
    <x v="0"/>
    <s v="Defaut GE &amp; Power Cabinet"/>
    <x v="0"/>
    <s v="{05-25-2026   groupe whatsapp   incident}:    impacted by  SUO_008_N_Mpenda-Mbocko-IHS,Cause: Probleme energie    Action: RCA attendu de IHS      ;      {05-25-2026 ocm ran 22H}: P2 incident at SUO_008_N_Mpenda-Mbocko-IHS; Power issue; IHS      ;      {05-25-2026 ocm ran 17H}: P2 incident at SUO_008_N_Mpenda-Mbocko-IHS"/>
  </r>
  <r>
    <s v="Malanden"/>
    <s v="OST_275"/>
    <s v="OUEST"/>
    <s v="CAMUSAT"/>
    <s v="Hybrid Solar - S3"/>
    <s v="OUEST"/>
    <s v="Malanden"/>
    <s v="Huawei"/>
    <n v="0"/>
    <n v="0"/>
    <n v="0"/>
    <n v="0"/>
    <n v="0"/>
    <n v="0"/>
    <n v="0"/>
    <n v="0"/>
    <n v="0"/>
    <n v="0"/>
    <n v="0"/>
    <n v="0"/>
    <n v="0"/>
    <n v="0"/>
    <n v="0"/>
    <n v="0"/>
    <n v="0"/>
    <n v="0"/>
    <n v="0"/>
    <n v="0"/>
    <n v="0"/>
    <n v="0"/>
    <n v="0"/>
    <n v="0"/>
    <m/>
    <n v="0"/>
    <m/>
    <n v="0"/>
    <m/>
    <n v="0"/>
    <m/>
    <m/>
    <n v="0"/>
    <n v="0"/>
    <n v="0"/>
    <n v="0"/>
    <m/>
    <n v="0"/>
    <n v="0"/>
    <n v="0"/>
    <n v="0"/>
    <n v="0"/>
    <x v="0"/>
    <m/>
    <x v="4"/>
    <x v="0"/>
    <s v="Defaut GE &amp; Power Cabinet"/>
    <x v="0"/>
    <s v="{05-25-2026 groupe whatsapp incident}:    impacted by OST_005_H_Foumbot ,Cause: Probleme energie    Action: RCA attendu de IHS"/>
  </r>
  <r>
    <s v="Tongo-IHS"/>
    <s v="NRD_112"/>
    <s v="NORD"/>
    <s v="IHS"/>
    <s v="Hybrid-Gen"/>
    <s v="NORD"/>
    <s v="Tongo"/>
    <s v="Huawei"/>
    <n v="0"/>
    <n v="0"/>
    <n v="0"/>
    <n v="0"/>
    <n v="0"/>
    <n v="0"/>
    <n v="0"/>
    <n v="0"/>
    <n v="0"/>
    <n v="0"/>
    <n v="0"/>
    <n v="0"/>
    <n v="0"/>
    <n v="0"/>
    <n v="0"/>
    <n v="0"/>
    <n v="0"/>
    <n v="0"/>
    <n v="0"/>
    <n v="0"/>
    <n v="0"/>
    <n v="0"/>
    <n v="0"/>
    <n v="0"/>
    <m/>
    <n v="0"/>
    <m/>
    <n v="0"/>
    <m/>
    <n v="0"/>
    <m/>
    <m/>
    <n v="0"/>
    <n v="0"/>
    <n v="0"/>
    <n v="0"/>
    <m/>
    <n v="0"/>
    <n v="0"/>
    <n v="0"/>
    <n v="0"/>
    <n v="0"/>
    <x v="0"/>
    <m/>
    <x v="2"/>
    <x v="1"/>
    <s v="no root cause"/>
    <x v="1"/>
    <s v=""/>
  </r>
  <r>
    <s v="Koupa-Matapit-IHS"/>
    <s v="OST_209"/>
    <s v="OUEST"/>
    <s v="IHS"/>
    <s v="Hybrid-Gen"/>
    <s v="OUEST"/>
    <s v="Koupa-Matapit"/>
    <s v="Huawei"/>
    <n v="0"/>
    <n v="0"/>
    <n v="0"/>
    <n v="0"/>
    <n v="0"/>
    <n v="0"/>
    <n v="0"/>
    <n v="0"/>
    <n v="0"/>
    <n v="0"/>
    <n v="0"/>
    <n v="0"/>
    <n v="0"/>
    <n v="0"/>
    <n v="0"/>
    <n v="0"/>
    <n v="0"/>
    <n v="0"/>
    <n v="0"/>
    <n v="0"/>
    <n v="0"/>
    <n v="0"/>
    <n v="0"/>
    <n v="0"/>
    <m/>
    <n v="0"/>
    <m/>
    <n v="0"/>
    <m/>
    <n v="0"/>
    <m/>
    <m/>
    <n v="0"/>
    <n v="0"/>
    <n v="0"/>
    <n v="0"/>
    <m/>
    <n v="0"/>
    <n v="0"/>
    <n v="0"/>
    <n v="0"/>
    <n v="0"/>
    <x v="0"/>
    <m/>
    <x v="2"/>
    <x v="1"/>
    <s v="no root cause"/>
    <x v="1"/>
    <s v=""/>
  </r>
  <r>
    <s v="Bandja"/>
    <s v="OST_022"/>
    <s v="OUEST"/>
    <s v="IHS"/>
    <s v="Grid-Gen"/>
    <s v="OUEST"/>
    <s v="Bandja"/>
    <s v="Huawei"/>
    <n v="0"/>
    <n v="0"/>
    <n v="0"/>
    <n v="0"/>
    <n v="0"/>
    <n v="0"/>
    <n v="0"/>
    <n v="0"/>
    <n v="0"/>
    <n v="0"/>
    <n v="0"/>
    <n v="0"/>
    <n v="0"/>
    <n v="0"/>
    <n v="0"/>
    <n v="0"/>
    <n v="0"/>
    <n v="0"/>
    <n v="0"/>
    <n v="0"/>
    <n v="0"/>
    <n v="0"/>
    <n v="0"/>
    <n v="0"/>
    <m/>
    <n v="0"/>
    <m/>
    <n v="0"/>
    <m/>
    <n v="0"/>
    <m/>
    <m/>
    <n v="0"/>
    <n v="0"/>
    <n v="0"/>
    <n v="0"/>
    <m/>
    <n v="0"/>
    <n v="0"/>
    <n v="0"/>
    <n v="0"/>
    <n v="0"/>
    <x v="0"/>
    <m/>
    <x v="2"/>
    <x v="1"/>
    <s v="no root cause"/>
    <x v="1"/>
    <s v=""/>
  </r>
  <r>
    <s v="Dizangue"/>
    <s v="LIT_113"/>
    <s v="LITTORAL"/>
    <s v="IHS"/>
    <s v="Grid-Gen"/>
    <s v="LITTORAL"/>
    <s v="Dizangue"/>
    <s v="ZTE"/>
    <n v="0"/>
    <n v="0"/>
    <n v="0"/>
    <n v="0"/>
    <n v="0"/>
    <n v="0"/>
    <n v="0"/>
    <n v="0"/>
    <n v="0"/>
    <n v="0"/>
    <n v="0"/>
    <n v="0"/>
    <n v="0"/>
    <n v="0"/>
    <n v="0"/>
    <n v="0"/>
    <n v="0"/>
    <n v="0"/>
    <n v="0"/>
    <n v="0"/>
    <n v="0"/>
    <n v="0"/>
    <n v="0"/>
    <n v="0"/>
    <m/>
    <n v="0"/>
    <m/>
    <n v="0"/>
    <m/>
    <n v="0"/>
    <m/>
    <m/>
    <n v="0"/>
    <n v="0"/>
    <n v="0"/>
    <n v="0"/>
    <m/>
    <n v="0"/>
    <n v="0"/>
    <n v="0"/>
    <n v="0"/>
    <n v="0"/>
    <x v="0"/>
    <m/>
    <x v="2"/>
    <x v="1"/>
    <s v="no root cause"/>
    <x v="1"/>
    <s v=""/>
  </r>
  <r>
    <s v="Nsimalene-Yemwak"/>
    <s v="SUD_122"/>
    <s v="CENTRE"/>
    <s v="CAMUSAT"/>
    <s v="Hybrid Solar - S3"/>
    <s v="SUD"/>
    <s v="Nsimalene-Yemwak"/>
    <s v="ZTE"/>
    <n v="0"/>
    <n v="0"/>
    <n v="0"/>
    <n v="0"/>
    <n v="0"/>
    <n v="0"/>
    <n v="0"/>
    <n v="0"/>
    <n v="0"/>
    <n v="0"/>
    <n v="0"/>
    <n v="0"/>
    <n v="0"/>
    <n v="0"/>
    <n v="0"/>
    <n v="0"/>
    <n v="0"/>
    <n v="0"/>
    <n v="0"/>
    <n v="0"/>
    <n v="0"/>
    <n v="0"/>
    <n v="0"/>
    <n v="0"/>
    <m/>
    <n v="0"/>
    <m/>
    <n v="0"/>
    <m/>
    <n v="0"/>
    <m/>
    <m/>
    <n v="0"/>
    <n v="0"/>
    <n v="0"/>
    <n v="0"/>
    <m/>
    <n v="0"/>
    <n v="0"/>
    <n v="0"/>
    <n v="0"/>
    <n v="0"/>
    <x v="0"/>
    <m/>
    <x v="7"/>
    <x v="3"/>
    <s v="Sites strategiques, MLL, Pylone, etc."/>
    <x v="0"/>
    <s v="(05/25/2026 cell zte): 11/05/2026: En attente du support de Camusat _x000a_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      (05/25/2026 cell zte): 11/05/2026: En attente du support de Camusat _x000a_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      (05/25/2026 cell zte): 11/05/2026: En attente du support de Camusat _x000a_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r>
  <r>
    <s v="Akom-II-IHS"/>
    <s v="SUD_054"/>
    <s v="CENTRE"/>
    <s v="IHS"/>
    <s v="Gen-Lithium"/>
    <s v="SUD"/>
    <s v="Akom II"/>
    <s v="ZTE"/>
    <n v="0"/>
    <n v="0"/>
    <n v="0"/>
    <n v="0"/>
    <n v="0"/>
    <n v="0"/>
    <n v="0"/>
    <n v="0"/>
    <n v="0"/>
    <n v="0"/>
    <n v="0"/>
    <n v="0"/>
    <n v="0"/>
    <n v="0"/>
    <n v="0"/>
    <n v="0"/>
    <n v="0"/>
    <n v="0"/>
    <n v="0"/>
    <n v="0"/>
    <n v="0"/>
    <n v="0"/>
    <n v="0"/>
    <n v="0"/>
    <m/>
    <n v="0"/>
    <m/>
    <n v="0"/>
    <m/>
    <n v="0"/>
    <m/>
    <m/>
    <n v="0"/>
    <n v="0"/>
    <n v="0"/>
    <n v="0"/>
    <m/>
    <n v="0"/>
    <n v="0"/>
    <n v="0"/>
    <n v="0"/>
    <n v="0"/>
    <x v="0"/>
    <m/>
    <x v="2"/>
    <x v="1"/>
    <s v="no root cause"/>
    <x v="1"/>
    <s v=""/>
  </r>
  <r>
    <s v="Manjo-PHP"/>
    <s v="LIT_592"/>
    <s v="LITTORAL"/>
    <s v="CAMUSAT"/>
    <s v="Good Grid no GE - 8h"/>
    <s v="LITTORAL"/>
    <s v="Manjo"/>
    <s v="ZTE"/>
    <n v="0"/>
    <n v="0"/>
    <n v="0"/>
    <n v="0"/>
    <n v="0"/>
    <n v="0"/>
    <n v="0"/>
    <n v="0"/>
    <n v="0"/>
    <n v="0"/>
    <n v="0"/>
    <n v="0"/>
    <n v="0"/>
    <n v="0"/>
    <n v="0"/>
    <n v="0"/>
    <n v="0"/>
    <n v="0"/>
    <n v="0"/>
    <n v="0"/>
    <n v="0"/>
    <n v="0"/>
    <n v="0"/>
    <n v="0"/>
    <m/>
    <n v="0"/>
    <m/>
    <n v="0"/>
    <m/>
    <n v="0"/>
    <m/>
    <m/>
    <n v="0"/>
    <n v="0"/>
    <n v="0"/>
    <n v="0"/>
    <m/>
    <n v="0"/>
    <n v="0"/>
    <n v="0"/>
    <n v="0"/>
    <n v="0"/>
    <x v="0"/>
    <m/>
    <x v="2"/>
    <x v="1"/>
    <s v="no root cause"/>
    <x v="1"/>
    <s v=""/>
  </r>
  <r>
    <s v="MBANGASSINA"/>
    <s v="CTR_226"/>
    <s v="CENTRE"/>
    <s v="IHS"/>
    <s v="Grid-Gen-Lithium"/>
    <s v="CENTRE"/>
    <s v="Mbangassina"/>
    <s v="ZTE"/>
    <n v="0"/>
    <n v="0"/>
    <n v="0"/>
    <n v="0"/>
    <n v="0"/>
    <n v="0"/>
    <n v="0"/>
    <n v="0"/>
    <n v="0"/>
    <n v="0"/>
    <n v="0"/>
    <n v="0"/>
    <n v="0"/>
    <n v="0"/>
    <n v="0"/>
    <n v="0"/>
    <n v="0"/>
    <n v="0"/>
    <n v="0"/>
    <n v="0"/>
    <n v="0"/>
    <n v="0"/>
    <n v="0"/>
    <n v="0"/>
    <m/>
    <n v="0"/>
    <m/>
    <n v="0"/>
    <m/>
    <n v="0"/>
    <m/>
    <m/>
    <n v="0"/>
    <n v="0"/>
    <n v="0"/>
    <n v="0"/>
    <m/>
    <n v="0"/>
    <n v="0"/>
    <n v="0"/>
    <n v="0"/>
    <n v="0"/>
    <x v="0"/>
    <m/>
    <x v="2"/>
    <x v="1"/>
    <s v="no root cause"/>
    <x v="1"/>
    <s v=""/>
  </r>
  <r>
    <s v="Bonepoupa-IHS"/>
    <s v="LIT_145"/>
    <s v="LITTORAL"/>
    <s v="IHS"/>
    <s v="Solar-Grid-Gen-Lithium"/>
    <s v="LITTORAL"/>
    <s v="Bonepoupa"/>
    <s v="ZTE"/>
    <n v="0"/>
    <n v="0"/>
    <n v="0"/>
    <n v="0"/>
    <n v="0"/>
    <n v="0"/>
    <n v="0"/>
    <n v="0"/>
    <n v="0"/>
    <n v="0"/>
    <n v="0"/>
    <n v="0"/>
    <n v="0"/>
    <n v="0"/>
    <n v="0"/>
    <n v="0"/>
    <n v="0"/>
    <n v="0"/>
    <n v="0"/>
    <n v="0"/>
    <n v="0"/>
    <n v="0"/>
    <n v="0"/>
    <n v="0"/>
    <m/>
    <n v="0"/>
    <m/>
    <n v="0"/>
    <m/>
    <n v="0"/>
    <m/>
    <m/>
    <n v="0"/>
    <n v="0"/>
    <n v="0"/>
    <n v="0"/>
    <m/>
    <n v="0"/>
    <n v="0"/>
    <n v="0"/>
    <n v="0"/>
    <n v="0"/>
    <x v="0"/>
    <m/>
    <x v="2"/>
    <x v="1"/>
    <s v="no root cause"/>
    <x v="1"/>
    <s v="(05/25/2026 cell zte): 25/05/2026 : Need BO RAN analysis"/>
  </r>
  <r>
    <s v="Bana"/>
    <s v="OST_007"/>
    <s v="OUEST"/>
    <s v="IHS"/>
    <s v="Grid-Gen"/>
    <s v="OUEST"/>
    <s v="Bana"/>
    <s v="NOKIA"/>
    <n v="0"/>
    <n v="0"/>
    <n v="0"/>
    <n v="0"/>
    <n v="0"/>
    <n v="0"/>
    <n v="0"/>
    <n v="0"/>
    <n v="0"/>
    <n v="0"/>
    <n v="0"/>
    <n v="0"/>
    <n v="0"/>
    <n v="0"/>
    <n v="0"/>
    <n v="0"/>
    <n v="0"/>
    <n v="0"/>
    <n v="0"/>
    <n v="0"/>
    <n v="0"/>
    <n v="0"/>
    <n v="0"/>
    <n v="0"/>
    <m/>
    <n v="0"/>
    <m/>
    <n v="0"/>
    <m/>
    <n v="0"/>
    <m/>
    <m/>
    <n v="0"/>
    <n v="0"/>
    <n v="0"/>
    <n v="0"/>
    <m/>
    <n v="0"/>
    <n v="0"/>
    <n v="0"/>
    <n v="0"/>
    <n v="0"/>
    <x v="0"/>
    <m/>
    <x v="2"/>
    <x v="1"/>
    <s v="no root cause"/>
    <x v="1"/>
    <s v=""/>
  </r>
  <r>
    <s v="Malantouen"/>
    <s v="OST_039"/>
    <s v="OUEST"/>
    <s v="IHS"/>
    <s v="Grid-Gen"/>
    <s v="OUEST"/>
    <s v="Malantouen"/>
    <s v="NOKIA"/>
    <n v="0"/>
    <n v="0"/>
    <n v="0"/>
    <n v="0"/>
    <n v="0"/>
    <n v="0"/>
    <n v="0"/>
    <n v="0"/>
    <n v="0"/>
    <n v="0"/>
    <n v="0"/>
    <n v="0"/>
    <n v="0"/>
    <n v="0"/>
    <n v="0"/>
    <n v="0"/>
    <n v="0"/>
    <n v="0"/>
    <n v="0"/>
    <n v="0"/>
    <n v="0"/>
    <n v="0"/>
    <n v="0"/>
    <n v="0"/>
    <m/>
    <n v="0"/>
    <m/>
    <n v="0"/>
    <m/>
    <n v="0"/>
    <m/>
    <m/>
    <n v="0"/>
    <n v="0"/>
    <n v="0"/>
    <n v="0"/>
    <m/>
    <n v="0"/>
    <n v="0"/>
    <n v="0"/>
    <n v="0"/>
    <n v="0"/>
    <x v="0"/>
    <m/>
    <x v="2"/>
    <x v="1"/>
    <s v="no root cause"/>
    <x v="1"/>
    <s v=""/>
  </r>
  <r>
    <s v="Ndjole"/>
    <s v="CTR_893"/>
    <s v="CENTRE"/>
    <m/>
    <m/>
    <s v="CENTRE"/>
    <s v="Ndjole"/>
    <s v="ZTE"/>
    <n v="0"/>
    <n v="0"/>
    <n v="0"/>
    <n v="0"/>
    <n v="0"/>
    <n v="0"/>
    <n v="0"/>
    <n v="0"/>
    <n v="0"/>
    <n v="0"/>
    <n v="0"/>
    <n v="0"/>
    <n v="0"/>
    <n v="0"/>
    <n v="0"/>
    <n v="0"/>
    <n v="0"/>
    <n v="0"/>
    <n v="0"/>
    <n v="0"/>
    <n v="0"/>
    <n v="0"/>
    <n v="0"/>
    <n v="0"/>
    <m/>
    <n v="0"/>
    <m/>
    <n v="0"/>
    <m/>
    <n v="0"/>
    <m/>
    <m/>
    <n v="0"/>
    <n v="0"/>
    <n v="0"/>
    <n v="0"/>
    <m/>
    <n v="0"/>
    <n v="0"/>
    <n v="0"/>
    <n v="0"/>
    <n v="0"/>
    <x v="0"/>
    <m/>
    <x v="2"/>
    <x v="1"/>
    <s v="no root cause"/>
    <x v="1"/>
    <s v=""/>
  </r>
  <r>
    <s v="Manmenye"/>
    <s v="CTR_117"/>
    <s v="CENTRE"/>
    <s v="IHS"/>
    <s v="Grid-Hybrid-Gen"/>
    <s v="CENTRE"/>
    <s v="Manmenye"/>
    <s v="ZTE"/>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r>
  <r>
    <s v="Obala-Mairie"/>
    <s v="CTR_113"/>
    <s v="CENTRE"/>
    <s v="IHS"/>
    <s v="Grid-Gen"/>
    <s v="CENTRE"/>
    <s v="Obala"/>
    <s v="ZTE"/>
    <n v="0"/>
    <n v="0"/>
    <n v="0"/>
    <n v="0"/>
    <n v="0"/>
    <n v="0"/>
    <n v="0"/>
    <n v="0"/>
    <n v="0"/>
    <n v="0"/>
    <n v="0"/>
    <n v="0"/>
    <n v="0"/>
    <n v="0"/>
    <n v="0"/>
    <n v="0"/>
    <n v="0"/>
    <n v="0"/>
    <n v="0"/>
    <n v="0"/>
    <n v="0"/>
    <n v="0"/>
    <n v="0"/>
    <n v="0"/>
    <m/>
    <n v="0"/>
    <m/>
    <n v="0"/>
    <m/>
    <n v="0"/>
    <m/>
    <m/>
    <n v="0"/>
    <n v="0"/>
    <n v="0"/>
    <n v="0"/>
    <m/>
    <n v="0"/>
    <n v="0"/>
    <n v="0"/>
    <n v="0"/>
    <n v="0"/>
    <x v="0"/>
    <m/>
    <x v="4"/>
    <x v="0"/>
    <s v="Defaut GE &amp; Power Cabinet"/>
    <x v="0"/>
    <s v="{hourly IHS}: 25/05/2026 13:09 0:51:00 32 Flix Bateu is on site"/>
  </r>
  <r>
    <s v="Penja-Shell-IHS"/>
    <s v="LIT_493"/>
    <s v="LITTORAL"/>
    <s v="IHS"/>
    <s v="Grid-Gen"/>
    <s v="LITTORAL"/>
    <s v="Penja"/>
    <s v="ZTE"/>
    <n v="0"/>
    <n v="0"/>
    <n v="0"/>
    <n v="0"/>
    <n v="0"/>
    <n v="0"/>
    <n v="0"/>
    <n v="0"/>
    <n v="0"/>
    <n v="0"/>
    <n v="0"/>
    <n v="0"/>
    <n v="0"/>
    <n v="0"/>
    <n v="0"/>
    <n v="0"/>
    <n v="0"/>
    <n v="0"/>
    <n v="0"/>
    <n v="0"/>
    <n v="0"/>
    <n v="0"/>
    <n v="0"/>
    <n v="0"/>
    <m/>
    <n v="0"/>
    <m/>
    <n v="0"/>
    <m/>
    <n v="0"/>
    <m/>
    <m/>
    <n v="0"/>
    <n v="0"/>
    <n v="0"/>
    <n v="0"/>
    <m/>
    <n v="0"/>
    <n v="0"/>
    <n v="0"/>
    <n v="0"/>
    <n v="0"/>
    <x v="0"/>
    <m/>
    <x v="2"/>
    <x v="1"/>
    <s v="no root cause"/>
    <x v="1"/>
    <s v=""/>
  </r>
  <r>
    <s v="Mouanko"/>
    <s v="LIT_191"/>
    <s v="LITTORAL"/>
    <s v="IHS"/>
    <s v="Grid-Gen"/>
    <s v="LITTORAL"/>
    <s v="Mouanko"/>
    <s v="ZTE"/>
    <n v="0"/>
    <n v="0"/>
    <n v="0"/>
    <n v="0"/>
    <n v="0"/>
    <n v="0"/>
    <n v="0"/>
    <n v="0"/>
    <n v="0"/>
    <n v="0"/>
    <n v="0"/>
    <n v="0"/>
    <n v="0"/>
    <n v="0"/>
    <n v="0"/>
    <n v="0"/>
    <n v="0"/>
    <n v="0"/>
    <n v="0"/>
    <n v="0"/>
    <n v="0"/>
    <n v="0"/>
    <n v="0"/>
    <n v="0"/>
    <m/>
    <n v="0"/>
    <m/>
    <n v="0"/>
    <m/>
    <n v="0"/>
    <m/>
    <m/>
    <n v="0"/>
    <n v="0"/>
    <n v="0"/>
    <n v="0"/>
    <m/>
    <n v="0"/>
    <n v="0"/>
    <n v="0"/>
    <n v="0"/>
    <n v="0"/>
    <x v="0"/>
    <m/>
    <x v="4"/>
    <x v="0"/>
    <s v="Defaut GE &amp; Power Cabinet"/>
    <x v="0"/>
    <s v="{05-25-2026 ticket}: INC-20260525-00021212...Grid Outage"/>
  </r>
  <r>
    <s v="Awae"/>
    <s v="CTR_112"/>
    <s v="CENTRE"/>
    <s v="IHS"/>
    <s v="Grid-Gen"/>
    <s v="CENTRE"/>
    <s v="Awae"/>
    <s v="ZTE"/>
    <n v="0"/>
    <n v="0"/>
    <n v="0"/>
    <n v="0"/>
    <n v="0"/>
    <n v="0"/>
    <n v="0"/>
    <n v="0"/>
    <n v="0"/>
    <n v="0"/>
    <n v="0"/>
    <n v="0"/>
    <n v="0"/>
    <n v="0"/>
    <n v="0"/>
    <n v="0"/>
    <n v="0"/>
    <n v="0"/>
    <n v="0"/>
    <n v="0"/>
    <n v="0"/>
    <n v="0"/>
    <n v="0"/>
    <n v="0"/>
    <m/>
    <n v="0"/>
    <m/>
    <n v="0"/>
    <m/>
    <n v="0"/>
    <m/>
    <m/>
    <n v="0"/>
    <n v="0"/>
    <n v="0"/>
    <n v="0"/>
    <m/>
    <n v="0"/>
    <n v="0"/>
    <n v="0"/>
    <n v="0"/>
    <n v="0"/>
    <x v="0"/>
    <m/>
    <x v="2"/>
    <x v="1"/>
    <s v="no root cause"/>
    <x v="1"/>
    <s v=""/>
  </r>
  <r>
    <s v="LIT_878_Z_Souza-New-IHS"/>
    <s v="LIT_878"/>
    <s v="LITTORAL"/>
    <s v="IHS"/>
    <s v=""/>
    <s v="LIT"/>
    <s v="Souza"/>
    <s v="ZTE"/>
    <n v="0"/>
    <n v="0"/>
    <n v="0"/>
    <n v="0"/>
    <n v="0"/>
    <n v="0"/>
    <n v="0"/>
    <n v="0"/>
    <n v="0"/>
    <n v="0"/>
    <n v="0"/>
    <n v="0"/>
    <n v="0"/>
    <n v="0"/>
    <n v="0"/>
    <n v="0"/>
    <n v="0"/>
    <n v="0"/>
    <n v="0"/>
    <n v="0"/>
    <n v="0"/>
    <n v="0"/>
    <n v="0"/>
    <n v="0"/>
    <m/>
    <n v="0"/>
    <m/>
    <n v="0"/>
    <m/>
    <n v="0"/>
    <m/>
    <m/>
    <n v="0"/>
    <n v="0"/>
    <n v="0"/>
    <n v="0"/>
    <m/>
    <n v="0"/>
    <n v="0"/>
    <n v="0"/>
    <n v="0"/>
    <n v="0"/>
    <x v="0"/>
    <m/>
    <x v="2"/>
    <x v="1"/>
    <s v="no root cause"/>
    <x v="1"/>
    <s v=""/>
  </r>
  <r>
    <s v="Ebeba"/>
    <s v="CTR_116"/>
    <s v="CENTRE"/>
    <s v="IHS"/>
    <s v="Grid-Gen-Lithium"/>
    <s v="CENTRE"/>
    <s v="Ebeba"/>
    <s v="ZTE"/>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r>
  <r>
    <s v="Binguela-Camrail"/>
    <s v="CTR_453"/>
    <s v="CENTRE"/>
    <s v="CAMUSAT"/>
    <s v="Hybrid Solar - S1"/>
    <s v="CENTRE"/>
    <s v="Mbankomo"/>
    <s v="NOKIA"/>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351_Z_Mimboman-Nodal(CTR-351)  ,Cause: Boucle ethernet  ,Action: Desactivation de la boucle"/>
  </r>
  <r>
    <s v="Safacam"/>
    <s v="LIT_040"/>
    <s v="LITTORAL"/>
    <s v="IHS"/>
    <s v="Grid-Gen"/>
    <s v="LITTORAL"/>
    <s v="Dizangue"/>
    <s v="ZTE"/>
    <n v="0"/>
    <n v="0"/>
    <n v="0"/>
    <n v="0"/>
    <n v="0"/>
    <n v="0"/>
    <n v="0"/>
    <n v="0"/>
    <n v="0"/>
    <n v="0"/>
    <n v="0"/>
    <n v="0"/>
    <n v="0"/>
    <n v="0"/>
    <n v="0"/>
    <n v="0"/>
    <n v="0"/>
    <n v="0"/>
    <n v="0"/>
    <n v="0"/>
    <n v="0"/>
    <n v="0"/>
    <n v="0"/>
    <n v="0"/>
    <m/>
    <n v="0"/>
    <m/>
    <n v="0"/>
    <m/>
    <n v="0"/>
    <m/>
    <m/>
    <n v="0"/>
    <n v="0"/>
    <n v="0"/>
    <n v="0"/>
    <m/>
    <n v="0"/>
    <n v="0"/>
    <n v="0"/>
    <n v="0"/>
    <n v="0"/>
    <x v="0"/>
    <m/>
    <x v="11"/>
    <x v="7"/>
    <s v="BSS Hardware issue"/>
    <x v="2"/>
    <s v="(05/25/2026 cell zte): _x000a_23/05/2026 : En attente du RI _x000a_21/05/2026 : FME sur le site de EBOMBE || Intervention apres ebombe || ETA : 14H || Intervention en cours || Check en cours avec le BO _x000a_20/05/2026 : Intervention ce jour apres Edea bonandi  _x000a_19/05/2026 : FME fera le site de Mouanko aujoud'hui || Intervention apresle site de  Mouanko_x000a_18/05/2026 FME activer mais il est sur le site de Dizangue il fera une investiguation apres le site  de Dizangue _x000a_17/05/2026 : FME sur site || Intervention en cours || Cell up apres le remplacement des jumpeurs _x000a_16/05/2026 :  FME presentement sur le site de BANGAWA || Intervention apres Bangawa _x000a_15/05/2026 : Intervention ce jour || ETA : 15H _x000a_13/05/2026 : Spare en cours d'expedition entre douala pou EDEA ce jour || ETD 14052026_x000a_12/05/2026 : Cde en cours _x000a_11/05/2026 : Cde en cours _x000a_09/05/2026 : Feedback FME : Commande Jumpeurs en cours _x000a_08/05/2026 : Check and clean RRU 52 ant 5 || FME activer et Presentement sur Dizangue || Intervention apres Dizangue       ;      (05/25/2026 cell zte): _x000a_23/05/2026 : En attente du RI _x000a_21/05/2026 : FME sur le site de EBOMBE || Intervention apres ebombe || ETA : 14H || Intervention en cours || Check en cours avec le BO _x000a_20/05/2026 : Intervention ce jour apres Edea bonandi  _x000a_19/05/2026 : FME fera le site de Mouanko aujoud'hui || Intervention apresle site de  Mouanko_x000a_18/05/2026 FME activer mais il est sur le site de Dizangue il fera une investiguation apres le site  de Dizangue _x000a_17/05/2026 : FME sur site || Intervention en cours || Cell up apres le remplacement des jumpeurs _x000a_16/05/2026 :  FME presentement sur le site de BANGAWA || Intervention apres Bangawa _x000a_15/05/2026 : Intervention ce jour || ETA : 15H _x000a_13/05/2026 : Spare en cours d'expedition entre douala pou EDEA ce jour || ETD 14052026_x000a_12/05/2026 : Cde en cours _x000a_11/05/2026 : Cde en cours _x000a_09/05/2026 : Feedback FME : Commande Jumpeurs en cours _x000a_08/05/2026 : Check and clean RRU 52 ant 5 || FME activer et Presentement sur Dizangue || Intervention apres Dizangue       ;      (05/25/2026 cell zte): _x000a_23/05/2026 : En attente du RI _x000a_21/05/2026 : FME sur le site de EBOMBE || Intervention apres ebombe || ETA : 14H || Intervention en cours || Check en cours avec le BO _x000a_20/05/2026 : Intervention ce jour apres Edea bonandi  _x000a_19/05/2026 : FME fera le site de Mouanko aujoud'hui || Intervention apresle site de  Mouanko_x000a_18/05/2026 FME activer mais il est sur le site de Dizangue il fera une investiguation apres le site  de Dizangue _x000a_17/05/2026 : FME sur site || Intervention en cours || Cell up apres le remplacement des jumpeurs _x000a_16/05/2026 :  FME presentement sur le site de BANGAWA || Intervention apres Bangawa _x000a_15/05/2026 : Intervention ce jour || ETA : 15H _x000a_13/05/2026 : Spare en cours d'expedition entre douala pou EDEA ce jour || ETD 14052026_x000a_12/05/2026 : Cde en cours _x000a_11/05/2026 : Cde en cours _x000a_09/05/2026 : Feedback FME : Commande Jumpeurs en cours _x000a_08/05/2026 : Check and clean RRU 52 ant 5 || FME activer et Presentement sur Dizangue || Intervention apres Dizangue "/>
  </r>
  <r>
    <s v="Nkolve-IHS"/>
    <s v="CTR_531"/>
    <s v="CENTRE"/>
    <s v="IHS"/>
    <s v="Hybrid-Gen"/>
    <s v="CENTRE"/>
    <s v="Nkolve"/>
    <s v="ZTE"/>
    <n v="0"/>
    <n v="0"/>
    <n v="0"/>
    <n v="0"/>
    <n v="0"/>
    <n v="0"/>
    <n v="0"/>
    <n v="0"/>
    <n v="0"/>
    <n v="0"/>
    <n v="0"/>
    <n v="0"/>
    <n v="0"/>
    <n v="0"/>
    <n v="0"/>
    <n v="0"/>
    <n v="0"/>
    <n v="0"/>
    <n v="0"/>
    <n v="0"/>
    <n v="0"/>
    <n v="0"/>
    <n v="0"/>
    <n v="0"/>
    <m/>
    <n v="0"/>
    <m/>
    <n v="0"/>
    <m/>
    <n v="0"/>
    <m/>
    <m/>
    <n v="0"/>
    <n v="0"/>
    <n v="0"/>
    <n v="0"/>
    <m/>
    <n v="0"/>
    <n v="0"/>
    <n v="0"/>
    <n v="0"/>
    <n v="0"/>
    <x v="0"/>
    <m/>
    <x v="2"/>
    <x v="1"/>
    <s v="no root cause"/>
    <x v="1"/>
    <s v=""/>
  </r>
  <r>
    <s v="Lengom-IHS"/>
    <s v="CTR_533"/>
    <s v="Yaounde"/>
    <s v="IHS"/>
    <s v="Grid-Gen"/>
    <s v="CENTRE"/>
    <s v="Yaounde"/>
    <s v="ZTE"/>
    <n v="0"/>
    <n v="0"/>
    <n v="0"/>
    <n v="0"/>
    <n v="0"/>
    <n v="0"/>
    <n v="0"/>
    <n v="0"/>
    <n v="0"/>
    <n v="0"/>
    <n v="0"/>
    <n v="0"/>
    <n v="0"/>
    <n v="0"/>
    <n v="0"/>
    <n v="0"/>
    <n v="0"/>
    <n v="0"/>
    <n v="0"/>
    <n v="0"/>
    <n v="0"/>
    <n v="0"/>
    <n v="0"/>
    <n v="0"/>
    <m/>
    <n v="0"/>
    <m/>
    <n v="0"/>
    <m/>
    <n v="0"/>
    <m/>
    <m/>
    <n v="0"/>
    <n v="0"/>
    <n v="0"/>
    <n v="0"/>
    <m/>
    <n v="0"/>
    <n v="0"/>
    <n v="0"/>
    <n v="0"/>
    <n v="0"/>
    <x v="0"/>
    <m/>
    <x v="2"/>
    <x v="1"/>
    <s v="no root cause"/>
    <x v="1"/>
    <s v=""/>
  </r>
  <r>
    <s v="Nguibassal"/>
    <s v="CTR_858"/>
    <s v="CENTRE"/>
    <s v="ESCO"/>
    <s v="Hybrid solar - S3"/>
    <s v="CENTRE"/>
    <s v="Nguibassal"/>
    <s v="ZTE"/>
    <n v="0"/>
    <n v="0"/>
    <n v="0"/>
    <n v="0"/>
    <n v="0"/>
    <n v="0"/>
    <n v="0"/>
    <n v="0"/>
    <n v="0"/>
    <n v="0"/>
    <n v="0"/>
    <n v="0"/>
    <n v="0"/>
    <n v="0"/>
    <n v="0"/>
    <n v="0"/>
    <n v="0"/>
    <n v="0"/>
    <n v="0"/>
    <n v="0"/>
    <n v="0"/>
    <n v="0"/>
    <n v="0"/>
    <n v="0"/>
    <m/>
    <n v="0"/>
    <m/>
    <n v="0"/>
    <m/>
    <n v="0"/>
    <m/>
    <m/>
    <n v="0"/>
    <n v="0"/>
    <n v="0"/>
    <n v="0"/>
    <m/>
    <n v="0"/>
    <n v="0"/>
    <n v="0"/>
    <n v="0"/>
    <n v="0"/>
    <x v="0"/>
    <m/>
    <x v="2"/>
    <x v="1"/>
    <s v="no root cause"/>
    <x v="1"/>
    <s v=""/>
  </r>
  <r>
    <s v="Nkoteng-IHS"/>
    <s v="CTR_152"/>
    <s v="CENTRE"/>
    <s v="IHS"/>
    <s v="Grid-Gen"/>
    <s v="CENTRE"/>
    <s v="Nkoteng"/>
    <s v="ZTE"/>
    <n v="0"/>
    <n v="0"/>
    <n v="0"/>
    <n v="0"/>
    <n v="0"/>
    <n v="0"/>
    <n v="0"/>
    <n v="0"/>
    <n v="0"/>
    <n v="0"/>
    <n v="0"/>
    <n v="0"/>
    <n v="0"/>
    <n v="0"/>
    <n v="0"/>
    <n v="0"/>
    <n v="0"/>
    <n v="0"/>
    <n v="0"/>
    <n v="0"/>
    <n v="0"/>
    <n v="0"/>
    <n v="0"/>
    <n v="0"/>
    <m/>
    <n v="0"/>
    <m/>
    <n v="0"/>
    <m/>
    <n v="0"/>
    <m/>
    <m/>
    <n v="0"/>
    <n v="0"/>
    <n v="0"/>
    <n v="0"/>
    <m/>
    <n v="0"/>
    <n v="0"/>
    <n v="0"/>
    <n v="0"/>
    <n v="0"/>
    <x v="0"/>
    <m/>
    <x v="2"/>
    <x v="1"/>
    <s v="no root cause"/>
    <x v="1"/>
    <s v=""/>
  </r>
  <r>
    <s v="Carrefour-Elat"/>
    <s v="CTR_835"/>
    <s v="CENTRE"/>
    <s v="CAMUSAT"/>
    <s v="Good Grid + GE"/>
    <s v="CENTRE"/>
    <s v="Elat"/>
    <s v="ZTE"/>
    <n v="0"/>
    <n v="0"/>
    <n v="0"/>
    <n v="0"/>
    <n v="0"/>
    <n v="0"/>
    <n v="0"/>
    <n v="0"/>
    <n v="0"/>
    <n v="0"/>
    <n v="0"/>
    <n v="0"/>
    <n v="0"/>
    <n v="0"/>
    <n v="0"/>
    <n v="0"/>
    <n v="0"/>
    <n v="0"/>
    <n v="0"/>
    <n v="0"/>
    <n v="0"/>
    <n v="0"/>
    <n v="0"/>
    <n v="0"/>
    <m/>
    <n v="0"/>
    <m/>
    <n v="0"/>
    <m/>
    <n v="0"/>
    <m/>
    <m/>
    <n v="0"/>
    <n v="0"/>
    <n v="0"/>
    <n v="0"/>
    <m/>
    <n v="0"/>
    <n v="0"/>
    <n v="0"/>
    <n v="0"/>
    <n v="0"/>
    <x v="0"/>
    <m/>
    <x v="2"/>
    <x v="1"/>
    <s v="no root cause"/>
    <x v="1"/>
    <s v="(05/25/2026 cell zte): 25/05/2026 : Need BO TX analysis"/>
  </r>
  <r>
    <s v="Njombe-PHP"/>
    <s v="LIT_590"/>
    <s v="LITTORAL"/>
    <s v="CAMUSAT"/>
    <s v="Good Grid no GE - 8h"/>
    <s v="LITTORAL"/>
    <s v="Njombe"/>
    <s v="ZTE"/>
    <n v="0"/>
    <n v="0"/>
    <n v="0"/>
    <n v="0"/>
    <n v="0"/>
    <n v="0"/>
    <n v="0"/>
    <n v="0"/>
    <n v="0"/>
    <n v="0"/>
    <n v="0"/>
    <n v="0"/>
    <n v="0"/>
    <n v="0"/>
    <n v="0"/>
    <n v="0"/>
    <n v="0"/>
    <n v="0"/>
    <n v="0"/>
    <n v="0"/>
    <n v="0"/>
    <n v="0"/>
    <n v="0"/>
    <n v="0"/>
    <m/>
    <n v="0"/>
    <m/>
    <n v="0"/>
    <m/>
    <n v="0"/>
    <m/>
    <m/>
    <n v="0"/>
    <n v="0"/>
    <n v="0"/>
    <n v="0"/>
    <m/>
    <n v="0"/>
    <n v="0"/>
    <n v="0"/>
    <n v="0"/>
    <n v="0"/>
    <x v="0"/>
    <m/>
    <x v="2"/>
    <x v="1"/>
    <s v="no root cause"/>
    <x v="1"/>
    <s v=""/>
  </r>
  <r>
    <s v="Mimbo"/>
    <s v="SUD_099"/>
    <s v="CENTRE"/>
    <s v="CAMUSAT"/>
    <s v="HGB"/>
    <s v="SUD"/>
    <s v="Mimbo"/>
    <s v="ZTE"/>
    <n v="0"/>
    <n v="0"/>
    <n v="0"/>
    <n v="0"/>
    <n v="0"/>
    <n v="0"/>
    <n v="0"/>
    <n v="0"/>
    <n v="0"/>
    <n v="0"/>
    <n v="0"/>
    <n v="0"/>
    <n v="0"/>
    <n v="0"/>
    <n v="0"/>
    <n v="0"/>
    <n v="0"/>
    <n v="0"/>
    <n v="0"/>
    <n v="0"/>
    <n v="0"/>
    <n v="0"/>
    <n v="0"/>
    <n v="0"/>
    <m/>
    <n v="0"/>
    <m/>
    <n v="0"/>
    <m/>
    <n v="0"/>
    <m/>
    <m/>
    <n v="0"/>
    <n v="0"/>
    <n v="0"/>
    <n v="0"/>
    <m/>
    <n v="0"/>
    <n v="0"/>
    <n v="0"/>
    <n v="0"/>
    <n v="0"/>
    <x v="0"/>
    <m/>
    <x v="2"/>
    <x v="1"/>
    <s v="no root cause"/>
    <x v="1"/>
    <s v=""/>
  </r>
  <r>
    <s v="Olama-IHS"/>
    <s v="CTR_441"/>
    <s v="CENTRE"/>
    <s v="IHS"/>
    <s v="Grid-Gen"/>
    <s v="CENTRE"/>
    <s v="Olama"/>
    <s v="ZTE"/>
    <n v="0"/>
    <n v="0"/>
    <n v="0"/>
    <n v="0"/>
    <n v="0"/>
    <n v="0"/>
    <n v="0"/>
    <n v="0"/>
    <n v="0"/>
    <n v="0"/>
    <n v="0"/>
    <n v="0"/>
    <n v="0"/>
    <n v="0"/>
    <n v="0"/>
    <n v="0"/>
    <n v="0"/>
    <n v="0"/>
    <n v="0"/>
    <n v="0"/>
    <n v="0"/>
    <n v="0"/>
    <n v="0"/>
    <n v="0"/>
    <m/>
    <n v="0"/>
    <m/>
    <n v="0"/>
    <m/>
    <n v="0"/>
    <m/>
    <m/>
    <n v="0"/>
    <n v="0"/>
    <n v="0"/>
    <n v="0"/>
    <m/>
    <n v="0"/>
    <n v="0"/>
    <n v="0"/>
    <n v="0"/>
    <n v="0"/>
    <x v="0"/>
    <m/>
    <x v="5"/>
    <x v="2"/>
    <s v="IP &amp; VLAN"/>
    <x v="2"/>
    <s v="{05-25-2026 goupe whatsapp incident}:    impacted by    CTR_007_Z_Messamendongo(CTR-007)  ,Cause: Boucle etherneet  ,Action: Desactivation de la bouclee      ;      {hourly IHS}: 25/05/2026 20:22 2:37:54 Fuel pump Faulty      ;      {05-25-2026 ocm ran 22H}: Power status check Ongoing"/>
  </r>
  <r>
    <s v="Liberte"/>
    <s v="LIT_019"/>
    <s v="Douala"/>
    <m/>
    <m/>
    <s v="LITTORAL"/>
    <s v="Douala"/>
    <s v="ZTE"/>
    <n v="0"/>
    <n v="0"/>
    <n v="0"/>
    <n v="0"/>
    <n v="0"/>
    <n v="0"/>
    <n v="0"/>
    <n v="0"/>
    <n v="0"/>
    <n v="0"/>
    <n v="0"/>
    <n v="0"/>
    <n v="0"/>
    <n v="0"/>
    <n v="0"/>
    <n v="0"/>
    <n v="0"/>
    <n v="0"/>
    <n v="0"/>
    <n v="0"/>
    <n v="0"/>
    <n v="0"/>
    <n v="0"/>
    <n v="0"/>
    <m/>
    <n v="0"/>
    <m/>
    <n v="0"/>
    <m/>
    <n v="0"/>
    <m/>
    <m/>
    <n v="0"/>
    <n v="0"/>
    <n v="0"/>
    <n v="0"/>
    <m/>
    <n v="0"/>
    <n v="0"/>
    <n v="0"/>
    <n v="0"/>
    <n v="0"/>
    <x v="0"/>
    <m/>
    <x v="2"/>
    <x v="1"/>
    <s v="no root cause"/>
    <x v="1"/>
    <s v=""/>
  </r>
  <r>
    <s v="Bali-SNEC"/>
    <s v="LIT_015"/>
    <s v="Douala"/>
    <s v="CAMUSAT"/>
    <s v="Good Grid + GE"/>
    <s v="LITTORAL"/>
    <s v="Douala"/>
    <s v="ZTE"/>
    <n v="0"/>
    <n v="0"/>
    <n v="0"/>
    <n v="0"/>
    <n v="0"/>
    <n v="0"/>
    <n v="0"/>
    <n v="0"/>
    <n v="0"/>
    <n v="0"/>
    <n v="0"/>
    <n v="0"/>
    <n v="0"/>
    <n v="0"/>
    <n v="0"/>
    <n v="0"/>
    <n v="0"/>
    <n v="0"/>
    <n v="0"/>
    <n v="0"/>
    <n v="0"/>
    <n v="0"/>
    <n v="0"/>
    <n v="0"/>
    <m/>
    <n v="0"/>
    <m/>
    <n v="0"/>
    <m/>
    <n v="0"/>
    <m/>
    <m/>
    <n v="0"/>
    <n v="0"/>
    <n v="0"/>
    <n v="0"/>
    <m/>
    <n v="0"/>
    <n v="0"/>
    <n v="0"/>
    <n v="0"/>
    <n v="0"/>
    <x v="0"/>
    <m/>
    <x v="2"/>
    <x v="1"/>
    <s v="no root cause"/>
    <x v="1"/>
    <s v=""/>
  </r>
  <r>
    <s v="SNAC"/>
    <s v="LIT_043"/>
    <s v="Douala"/>
    <s v="IHS"/>
    <s v="GridOnly"/>
    <s v="LITTORAL"/>
    <s v="Douala"/>
    <s v="ZTE"/>
    <n v="0"/>
    <n v="0"/>
    <n v="0"/>
    <n v="0"/>
    <n v="0"/>
    <n v="0"/>
    <n v="0"/>
    <n v="0"/>
    <n v="0"/>
    <n v="0"/>
    <n v="0"/>
    <n v="0"/>
    <n v="0"/>
    <n v="0"/>
    <n v="0"/>
    <n v="0"/>
    <n v="0"/>
    <n v="0"/>
    <n v="0"/>
    <n v="0"/>
    <n v="0.01191383231602058"/>
    <n v="0"/>
    <n v="0"/>
    <n v="0"/>
    <m/>
    <n v="0"/>
    <m/>
    <n v="0"/>
    <m/>
    <n v="0"/>
    <m/>
    <m/>
    <n v="0"/>
    <n v="0"/>
    <n v="0"/>
    <n v="0"/>
    <m/>
    <n v="0"/>
    <n v="0"/>
    <n v="0"/>
    <n v="0"/>
    <n v="0"/>
    <x v="0"/>
    <m/>
    <x v="2"/>
    <x v="1"/>
    <s v="no root cause"/>
    <x v="1"/>
    <s v=""/>
  </r>
  <r>
    <s v="Bali-Koumassi"/>
    <s v="LIT_413"/>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LIT_833_Z_Boko4-MTN-IHS"/>
    <s v="LIT_833"/>
    <s v="Yaounde"/>
    <s v="MTN sharing"/>
    <s v="Grid-Gen"/>
    <s v="LITTORAL"/>
    <s v="Yaounde"/>
    <s v="ZTE"/>
    <n v="0"/>
    <n v="0"/>
    <n v="0"/>
    <n v="0"/>
    <n v="0"/>
    <n v="0"/>
    <n v="0"/>
    <n v="0"/>
    <n v="0"/>
    <n v="0"/>
    <n v="0"/>
    <n v="0"/>
    <n v="0"/>
    <n v="0"/>
    <n v="0"/>
    <n v="0"/>
    <n v="0"/>
    <n v="0"/>
    <n v="0"/>
    <n v="0"/>
    <n v="0"/>
    <n v="0"/>
    <n v="0"/>
    <n v="0"/>
    <m/>
    <n v="0"/>
    <m/>
    <n v="0"/>
    <m/>
    <n v="0"/>
    <m/>
    <m/>
    <n v="0"/>
    <n v="0"/>
    <n v="0"/>
    <n v="0"/>
    <m/>
    <n v="0"/>
    <n v="0"/>
    <n v="0"/>
    <n v="0"/>
    <n v="0"/>
    <x v="0"/>
    <m/>
    <x v="2"/>
    <x v="1"/>
    <s v="no root cause"/>
    <x v="1"/>
    <s v=""/>
  </r>
  <r>
    <s v="LIT_857_Z_Bois-des-Singes-III-IHS"/>
    <s v="LIT_857"/>
    <s v="Yaounde"/>
    <s v="ESCO"/>
    <s v="Grid-Gen"/>
    <s v="LITTORAL"/>
    <s v="Yaounde"/>
    <s v="ZTE"/>
    <n v="0"/>
    <n v="0"/>
    <n v="0"/>
    <n v="0"/>
    <n v="0"/>
    <n v="0"/>
    <n v="0"/>
    <n v="0"/>
    <n v="0"/>
    <n v="0"/>
    <n v="0"/>
    <n v="0"/>
    <n v="0"/>
    <n v="0"/>
    <n v="0"/>
    <n v="0"/>
    <n v="0"/>
    <n v="0"/>
    <n v="0"/>
    <n v="0"/>
    <n v="0"/>
    <n v="0"/>
    <n v="0"/>
    <n v="0"/>
    <m/>
    <n v="0"/>
    <m/>
    <n v="0"/>
    <m/>
    <n v="0"/>
    <m/>
    <m/>
    <n v="0"/>
    <n v="0"/>
    <n v="0"/>
    <n v="0"/>
    <m/>
    <n v="0"/>
    <n v="0"/>
    <n v="0"/>
    <n v="0"/>
    <n v="0"/>
    <x v="0"/>
    <m/>
    <x v="2"/>
    <x v="1"/>
    <s v="no root cause"/>
    <x v="1"/>
    <s v=""/>
  </r>
  <r>
    <s v="Emana"/>
    <s v="CTR_023"/>
    <s v="Yaounde"/>
    <m/>
    <m/>
    <s v="CENTRE"/>
    <s v="Yaounde"/>
    <s v="ZTE"/>
    <n v="0"/>
    <n v="0"/>
    <n v="0"/>
    <n v="0"/>
    <n v="0"/>
    <n v="0"/>
    <n v="0"/>
    <n v="0"/>
    <n v="0"/>
    <n v="0"/>
    <n v="0"/>
    <n v="0"/>
    <n v="0"/>
    <n v="0"/>
    <n v="0"/>
    <n v="0"/>
    <n v="0"/>
    <n v="0"/>
    <n v="0"/>
    <n v="0"/>
    <n v="0"/>
    <n v="0"/>
    <n v="0"/>
    <n v="0"/>
    <m/>
    <n v="0"/>
    <m/>
    <n v="0"/>
    <m/>
    <n v="0"/>
    <m/>
    <m/>
    <n v="0"/>
    <n v="0"/>
    <n v="0"/>
    <n v="0"/>
    <m/>
    <n v="0"/>
    <n v="0"/>
    <n v="0"/>
    <n v="0"/>
    <n v="0"/>
    <x v="0"/>
    <m/>
    <x v="2"/>
    <x v="1"/>
    <s v="no root cause"/>
    <x v="1"/>
    <s v=""/>
  </r>
  <r>
    <s v="Mabanda"/>
    <s v="LIT_094"/>
    <s v="LITTORAL"/>
    <m/>
    <m/>
    <s v="LITTORAL"/>
    <m/>
    <s v="ZTE"/>
    <n v="0"/>
    <n v="0"/>
    <n v="0"/>
    <n v="0"/>
    <n v="0"/>
    <n v="0"/>
    <n v="0"/>
    <n v="0"/>
    <n v="0"/>
    <n v="0"/>
    <n v="0"/>
    <n v="0"/>
    <n v="0"/>
    <n v="0"/>
    <n v="0"/>
    <n v="0"/>
    <n v="0"/>
    <n v="0"/>
    <n v="0"/>
    <n v="0"/>
    <n v="0"/>
    <n v="0"/>
    <n v="0"/>
    <n v="0"/>
    <m/>
    <n v="0"/>
    <m/>
    <n v="0"/>
    <m/>
    <n v="0"/>
    <m/>
    <m/>
    <n v="0"/>
    <n v="0"/>
    <n v="0"/>
    <n v="0"/>
    <m/>
    <n v="0"/>
    <n v="0"/>
    <n v="0"/>
    <n v="0"/>
    <n v="0"/>
    <x v="0"/>
    <m/>
    <x v="2"/>
    <x v="1"/>
    <s v="no root cause"/>
    <x v="1"/>
    <s v=""/>
  </r>
  <r>
    <s v="Manjo-new"/>
    <s v="LIT_555"/>
    <s v="LITTORAL"/>
    <m/>
    <m/>
    <s v="LITTORAL"/>
    <m/>
    <s v="ZTE"/>
    <n v="0"/>
    <n v="0"/>
    <n v="0"/>
    <n v="0"/>
    <n v="0"/>
    <n v="0"/>
    <n v="0"/>
    <n v="0"/>
    <n v="0"/>
    <n v="0"/>
    <n v="0"/>
    <n v="0"/>
    <n v="0"/>
    <n v="0"/>
    <n v="0"/>
    <n v="0"/>
    <n v="0"/>
    <n v="0"/>
    <n v="0"/>
    <n v="0"/>
    <n v="0"/>
    <n v="0"/>
    <n v="0"/>
    <n v="0"/>
    <m/>
    <n v="0"/>
    <m/>
    <n v="0"/>
    <m/>
    <n v="0"/>
    <m/>
    <m/>
    <n v="0"/>
    <n v="0"/>
    <n v="0"/>
    <n v="0"/>
    <m/>
    <n v="0"/>
    <n v="0"/>
    <n v="0"/>
    <n v="0"/>
    <n v="0"/>
    <x v="0"/>
    <m/>
    <x v="2"/>
    <x v="1"/>
    <s v="no root cause"/>
    <x v="1"/>
    <s v=""/>
  </r>
  <r>
    <s v="Olembe-staduim"/>
    <s v="CTR_853"/>
    <s v="CENTRE"/>
    <m/>
    <m/>
    <s v="CENTRE"/>
    <m/>
    <s v="ZTE"/>
    <n v="0"/>
    <n v="0"/>
    <n v="0"/>
    <n v="0"/>
    <n v="0"/>
    <n v="0"/>
    <n v="0"/>
    <n v="0"/>
    <n v="0"/>
    <n v="0"/>
    <n v="0"/>
    <n v="0"/>
    <n v="0"/>
    <n v="0"/>
    <n v="0"/>
    <n v="0"/>
    <n v="0"/>
    <n v="0"/>
    <n v="0"/>
    <n v="0"/>
    <n v="0"/>
    <n v="0"/>
    <n v="0"/>
    <n v="0"/>
    <m/>
    <n v="0"/>
    <m/>
    <n v="0"/>
    <m/>
    <n v="0"/>
    <m/>
    <m/>
    <n v="0"/>
    <n v="0"/>
    <n v="0"/>
    <n v="0"/>
    <m/>
    <n v="0"/>
    <n v="0"/>
    <n v="0"/>
    <n v="0"/>
    <n v="0"/>
    <x v="0"/>
    <m/>
    <x v="2"/>
    <x v="1"/>
    <s v="no root cause"/>
    <x v="1"/>
    <s v=""/>
  </r>
  <r>
    <s v="Labogenie"/>
    <s v="CTR_015"/>
    <s v="Yaounde"/>
    <s v="IHS"/>
    <s v="GridOnly"/>
    <s v="CENTRE"/>
    <s v="Yaounde"/>
    <s v="ZTE"/>
    <n v="0"/>
    <n v="0"/>
    <n v="0"/>
    <n v="0"/>
    <n v="0"/>
    <n v="0"/>
    <n v="0"/>
    <n v="0"/>
    <n v="0"/>
    <n v="0"/>
    <n v="0"/>
    <n v="0"/>
    <n v="0"/>
    <n v="0"/>
    <n v="0"/>
    <n v="0"/>
    <n v="0"/>
    <n v="0"/>
    <n v="0"/>
    <n v="0"/>
    <n v="0"/>
    <n v="0"/>
    <n v="0"/>
    <n v="0"/>
    <m/>
    <n v="0"/>
    <m/>
    <n v="0"/>
    <m/>
    <n v="0"/>
    <m/>
    <m/>
    <n v="0"/>
    <n v="0"/>
    <n v="0"/>
    <n v="0"/>
    <m/>
    <n v="0"/>
    <n v="0"/>
    <n v="0"/>
    <n v="0"/>
    <n v="0"/>
    <x v="0"/>
    <m/>
    <x v="2"/>
    <x v="1"/>
    <s v="no root cause"/>
    <x v="1"/>
    <s v=""/>
  </r>
  <r>
    <s v="Ndisamba"/>
    <s v="CTR_008"/>
    <s v="Yaounde"/>
    <s v="IHS"/>
    <s v="Grid-Gen"/>
    <s v="CENTRE"/>
    <s v="Yaounde"/>
    <s v="ZTE"/>
    <n v="0"/>
    <n v="0"/>
    <n v="0"/>
    <n v="0"/>
    <n v="0"/>
    <n v="0"/>
    <n v="0"/>
    <n v="0"/>
    <n v="0"/>
    <n v="0"/>
    <n v="0"/>
    <n v="0"/>
    <n v="0"/>
    <n v="0"/>
    <n v="0"/>
    <n v="0"/>
    <n v="0"/>
    <n v="0"/>
    <n v="0"/>
    <n v="0"/>
    <n v="0"/>
    <n v="0"/>
    <n v="0"/>
    <n v="0"/>
    <m/>
    <n v="0"/>
    <m/>
    <n v="0"/>
    <m/>
    <n v="0"/>
    <m/>
    <m/>
    <n v="0"/>
    <n v="0"/>
    <n v="0"/>
    <n v="0"/>
    <m/>
    <n v="0"/>
    <n v="0"/>
    <n v="0"/>
    <n v="0"/>
    <n v="0"/>
    <x v="0"/>
    <m/>
    <x v="2"/>
    <x v="1"/>
    <s v="no root cause"/>
    <x v="1"/>
    <s v=""/>
  </r>
  <r>
    <s v="Foumban"/>
    <s v="OST_004"/>
    <s v="OUEST"/>
    <s v="IHS"/>
    <s v="Grid-Gen"/>
    <s v="OUEST"/>
    <s v="Foumban"/>
    <s v="Huawei"/>
    <n v="0"/>
    <n v="0"/>
    <n v="0"/>
    <n v="0"/>
    <n v="0"/>
    <n v="0"/>
    <n v="0"/>
    <n v="0"/>
    <n v="0"/>
    <n v="0"/>
    <n v="0"/>
    <n v="0"/>
    <n v="0"/>
    <n v="0"/>
    <n v="0"/>
    <n v="0"/>
    <n v="0"/>
    <n v="0"/>
    <n v="0"/>
    <n v="0"/>
    <n v="0"/>
    <n v="0"/>
    <n v="0"/>
    <n v="0"/>
    <m/>
    <n v="0"/>
    <m/>
    <n v="0"/>
    <m/>
    <n v="0"/>
    <m/>
    <m/>
    <n v="0"/>
    <n v="0"/>
    <n v="0"/>
    <n v="0"/>
    <m/>
    <n v="0"/>
    <n v="0"/>
    <n v="0"/>
    <n v="0"/>
    <n v="0"/>
    <x v="0"/>
    <m/>
    <x v="2"/>
    <x v="1"/>
    <s v="no root cause"/>
    <x v="1"/>
    <s v=""/>
  </r>
  <r>
    <s v="Zingui"/>
    <s v="SUD_136"/>
    <s v="CENTRE"/>
    <m/>
    <m/>
    <s v="SUD"/>
    <m/>
    <s v="ZTE"/>
    <n v="0"/>
    <n v="0"/>
    <n v="0"/>
    <n v="0"/>
    <n v="0"/>
    <n v="0"/>
    <n v="0"/>
    <n v="0"/>
    <n v="0"/>
    <n v="0"/>
    <n v="0"/>
    <n v="0"/>
    <n v="0"/>
    <n v="0"/>
    <n v="0"/>
    <n v="0"/>
    <n v="0"/>
    <n v="0"/>
    <n v="0"/>
    <n v="0"/>
    <n v="0"/>
    <n v="0"/>
    <n v="0"/>
    <n v="0"/>
    <m/>
    <n v="0"/>
    <m/>
    <n v="0"/>
    <m/>
    <n v="0"/>
    <m/>
    <m/>
    <n v="0"/>
    <n v="0"/>
    <n v="0"/>
    <n v="0"/>
    <m/>
    <n v="0"/>
    <n v="0"/>
    <n v="0"/>
    <n v="0"/>
    <n v="0"/>
    <x v="0"/>
    <m/>
    <x v="2"/>
    <x v="1"/>
    <s v="no root cause"/>
    <x v="1"/>
    <s v=""/>
  </r>
  <r>
    <s v="Bonantone"/>
    <s v="LIT_085"/>
    <s v="Douala"/>
    <s v="IHS"/>
    <s v="Grid-Gen"/>
    <s v="LITTORAL"/>
    <s v="Douala"/>
    <s v="ZTE"/>
    <n v="0"/>
    <n v="0"/>
    <n v="0"/>
    <n v="0"/>
    <n v="0"/>
    <n v="0"/>
    <n v="0"/>
    <n v="0"/>
    <n v="0"/>
    <n v="0"/>
    <n v="0"/>
    <n v="0"/>
    <n v="0"/>
    <n v="0"/>
    <n v="0"/>
    <n v="0"/>
    <n v="0"/>
    <n v="0"/>
    <n v="0"/>
    <n v="0"/>
    <n v="0"/>
    <n v="0"/>
    <n v="0"/>
    <n v="0"/>
    <m/>
    <n v="0"/>
    <m/>
    <n v="0"/>
    <m/>
    <n v="0"/>
    <m/>
    <m/>
    <n v="0"/>
    <n v="0"/>
    <n v="0"/>
    <n v="0"/>
    <m/>
    <n v="0"/>
    <n v="0"/>
    <n v="0"/>
    <n v="0"/>
    <n v="0"/>
    <x v="0"/>
    <m/>
    <x v="2"/>
    <x v="1"/>
    <s v="no root cause"/>
    <x v="1"/>
    <s v=""/>
  </r>
  <r>
    <s v="Newb-Q-Haoussa"/>
    <s v="LIT_395"/>
    <s v="Douala"/>
    <s v="CAMUSAT"/>
    <s v="Grid-Gen"/>
    <s v="LITTORAL"/>
    <s v="Douala"/>
    <s v="ZTE"/>
    <n v="0"/>
    <n v="0"/>
    <n v="0"/>
    <n v="0"/>
    <n v="0"/>
    <n v="0"/>
    <n v="0"/>
    <n v="0"/>
    <n v="0"/>
    <n v="0"/>
    <n v="0"/>
    <n v="0"/>
    <n v="0"/>
    <n v="0"/>
    <n v="0"/>
    <n v="0"/>
    <n v="0"/>
    <n v="0"/>
    <n v="0"/>
    <n v="0"/>
    <m/>
    <n v="0"/>
    <n v="0"/>
    <n v="0"/>
    <m/>
    <n v="0"/>
    <m/>
    <n v="0"/>
    <m/>
    <n v="0"/>
    <m/>
    <m/>
    <n v="0"/>
    <n v="0"/>
    <n v="0"/>
    <n v="0"/>
    <m/>
    <n v="0"/>
    <n v="0"/>
    <n v="0"/>
    <n v="0"/>
    <n v="0"/>
    <x v="0"/>
    <m/>
    <x v="2"/>
    <x v="1"/>
    <s v="no root cause"/>
    <x v="1"/>
    <s v=""/>
  </r>
  <r>
    <s v="Minisite-SOUDANAISE"/>
    <s v="LIT_665"/>
    <s v="Douala"/>
    <m/>
    <m/>
    <s v="LITTORAL"/>
    <s v="Douala"/>
    <s v="ZTE"/>
    <n v="0"/>
    <n v="0"/>
    <n v="0"/>
    <n v="0"/>
    <n v="0"/>
    <n v="0"/>
    <n v="0"/>
    <n v="0"/>
    <n v="0"/>
    <n v="0"/>
    <n v="0"/>
    <n v="0"/>
    <n v="0"/>
    <n v="0"/>
    <n v="0"/>
    <n v="0"/>
    <n v="0"/>
    <n v="0"/>
    <n v="0"/>
    <n v="0"/>
    <m/>
    <n v="0"/>
    <n v="0"/>
    <n v="0"/>
    <m/>
    <n v="0"/>
    <m/>
    <n v="0"/>
    <m/>
    <n v="0"/>
    <m/>
    <m/>
    <n v="0"/>
    <n v="0"/>
    <n v="0"/>
    <n v="0"/>
    <m/>
    <n v="0"/>
    <n v="0"/>
    <n v="0"/>
    <n v="0"/>
    <n v="0"/>
    <x v="0"/>
    <m/>
    <x v="2"/>
    <x v="1"/>
    <s v="no root cause"/>
    <x v="1"/>
    <s v=""/>
  </r>
  <r>
    <s v="Beka"/>
    <s v="NRD_020"/>
    <s v="NORD"/>
    <s v="IHS"/>
    <s v="Solar-Gen"/>
    <s v="NORD"/>
    <s v="Beka"/>
    <s v="Huawei"/>
    <n v="0"/>
    <n v="0"/>
    <n v="0"/>
    <n v="0"/>
    <n v="0"/>
    <n v="0"/>
    <n v="0"/>
    <n v="0"/>
    <n v="0"/>
    <n v="0"/>
    <n v="0"/>
    <n v="0"/>
    <n v="0"/>
    <n v="0"/>
    <n v="0"/>
    <n v="0"/>
    <n v="0"/>
    <n v="0"/>
    <n v="0"/>
    <n v="0"/>
    <m/>
    <n v="0"/>
    <n v="0"/>
    <n v="0"/>
    <m/>
    <n v="0"/>
    <m/>
    <n v="0"/>
    <m/>
    <n v="0"/>
    <m/>
    <m/>
    <n v="0"/>
    <n v="0"/>
    <n v="0"/>
    <n v="0"/>
    <m/>
    <n v="0"/>
    <n v="0"/>
    <n v="0"/>
    <n v="0"/>
    <n v="0"/>
    <x v="0"/>
    <m/>
    <x v="4"/>
    <x v="0"/>
    <s v="Defaut GE &amp; Power Cabinet"/>
    <x v="0"/>
    <s v="{05-25-2026  incident}:    impacted by  NRD_020_H_Beka,   RCA: Power issue / En attente RCA IHS      ;      {hourly IHS}: 25/05/2026 04:33 1:50:17 47.4V Ayang is informed and managing with L0."/>
  </r>
  <r>
    <s v="Nkong-Zem"/>
    <s v="OST_073"/>
    <s v="OUEST"/>
    <s v="IHS"/>
    <s v="Grid-Gen"/>
    <s v="OUEST"/>
    <s v="Nkong-Zem"/>
    <s v="Huawei"/>
    <n v="0"/>
    <n v="0"/>
    <n v="0"/>
    <n v="0"/>
    <n v="0"/>
    <n v="0"/>
    <n v="0"/>
    <n v="0"/>
    <n v="0"/>
    <n v="0"/>
    <n v="0"/>
    <n v="0"/>
    <n v="0"/>
    <n v="0"/>
    <n v="0"/>
    <n v="0"/>
    <n v="0"/>
    <n v="0"/>
    <n v="0"/>
    <n v="0"/>
    <m/>
    <n v="0"/>
    <n v="0"/>
    <n v="0"/>
    <m/>
    <n v="0"/>
    <m/>
    <n v="0"/>
    <m/>
    <n v="0"/>
    <m/>
    <m/>
    <n v="0"/>
    <n v="0"/>
    <n v="0"/>
    <n v="0"/>
    <m/>
    <n v="0"/>
    <n v="0"/>
    <n v="0"/>
    <n v="0"/>
    <n v="0"/>
    <x v="0"/>
    <m/>
    <x v="2"/>
    <x v="1"/>
    <s v="no root cause"/>
    <x v="1"/>
    <s v=""/>
  </r>
  <r>
    <s v="Hopital-Mbouo"/>
    <s v="OST_296"/>
    <s v="Bafoussam"/>
    <s v="CAMUSAT"/>
    <s v="Good Grid + GE"/>
    <s v="OUEST"/>
    <s v="Bafoussam"/>
    <s v="Huawei"/>
    <n v="0"/>
    <n v="0"/>
    <n v="0"/>
    <n v="0"/>
    <n v="0"/>
    <n v="0"/>
    <n v="0"/>
    <n v="0"/>
    <n v="0"/>
    <n v="0"/>
    <n v="0"/>
    <n v="0"/>
    <n v="0"/>
    <n v="0"/>
    <n v="0"/>
    <n v="0"/>
    <n v="0"/>
    <n v="0"/>
    <n v="0"/>
    <n v="0"/>
    <m/>
    <n v="0"/>
    <n v="0"/>
    <n v="0"/>
    <m/>
    <n v="0"/>
    <m/>
    <n v="0"/>
    <m/>
    <n v="0"/>
    <m/>
    <m/>
    <n v="0"/>
    <n v="0"/>
    <n v="0"/>
    <n v="0"/>
    <m/>
    <n v="0"/>
    <n v="0"/>
    <n v="0"/>
    <n v="0"/>
    <n v="0"/>
    <x v="0"/>
    <m/>
    <x v="2"/>
    <x v="1"/>
    <s v="no root cause"/>
    <x v="1"/>
    <s v=""/>
  </r>
  <r>
    <s v="Banekane"/>
    <s v="OST_052"/>
    <s v="OUEST"/>
    <s v="IHS"/>
    <s v="Grid-Gen"/>
    <s v="OUEST"/>
    <s v="Banekane"/>
    <s v="Huawei"/>
    <n v="0"/>
    <n v="0"/>
    <n v="0"/>
    <n v="0"/>
    <n v="0"/>
    <n v="0"/>
    <n v="0"/>
    <n v="0"/>
    <n v="0"/>
    <n v="0"/>
    <n v="0"/>
    <n v="0"/>
    <n v="0"/>
    <n v="0"/>
    <n v="0"/>
    <n v="0"/>
    <n v="0"/>
    <n v="0"/>
    <n v="0"/>
    <n v="0"/>
    <m/>
    <n v="0"/>
    <n v="0"/>
    <n v="0"/>
    <m/>
    <n v="0"/>
    <m/>
    <n v="0"/>
    <m/>
    <n v="0"/>
    <m/>
    <m/>
    <n v="0"/>
    <n v="0"/>
    <n v="0"/>
    <n v="0"/>
    <m/>
    <n v="0"/>
    <n v="0"/>
    <n v="0"/>
    <n v="0"/>
    <n v="0"/>
    <x v="0"/>
    <m/>
    <x v="2"/>
    <x v="1"/>
    <s v="no root cause"/>
    <x v="1"/>
    <s v=""/>
  </r>
  <r>
    <s v="Bangourain"/>
    <s v="OST_090"/>
    <s v="NORD-OUEST"/>
    <s v="IHS"/>
    <s v="Grid-Gen"/>
    <s v="OUEST"/>
    <s v="Bangourain"/>
    <s v="NOKIA"/>
    <n v="0"/>
    <n v="0"/>
    <n v="0"/>
    <n v="0"/>
    <n v="0"/>
    <n v="0"/>
    <n v="0"/>
    <n v="0"/>
    <n v="0"/>
    <n v="0"/>
    <n v="0"/>
    <n v="0"/>
    <n v="0"/>
    <n v="0"/>
    <n v="0"/>
    <n v="0"/>
    <n v="0"/>
    <n v="0"/>
    <n v="0"/>
    <n v="0"/>
    <m/>
    <n v="0"/>
    <n v="0"/>
    <n v="0"/>
    <m/>
    <n v="0"/>
    <m/>
    <n v="0"/>
    <m/>
    <n v="0"/>
    <m/>
    <m/>
    <n v="0"/>
    <n v="0"/>
    <n v="0"/>
    <n v="0"/>
    <m/>
    <n v="0"/>
    <n v="0"/>
    <n v="0"/>
    <n v="0"/>
    <n v="0"/>
    <x v="0"/>
    <m/>
    <x v="2"/>
    <x v="1"/>
    <s v="no root cause"/>
    <x v="1"/>
    <s v=""/>
  </r>
  <r>
    <s v="Kekem"/>
    <s v="OST_103"/>
    <s v="OUEST"/>
    <s v="IHS"/>
    <s v="Grid-Gen"/>
    <s v="OUEST"/>
    <s v="Kekem"/>
    <s v="Huawei"/>
    <n v="0"/>
    <n v="0"/>
    <n v="0"/>
    <n v="0"/>
    <n v="0"/>
    <n v="0"/>
    <n v="0"/>
    <n v="0"/>
    <n v="0"/>
    <n v="0"/>
    <n v="0"/>
    <n v="0"/>
    <n v="0"/>
    <n v="0"/>
    <n v="0"/>
    <n v="0"/>
    <n v="0"/>
    <n v="0"/>
    <n v="0"/>
    <n v="0"/>
    <m/>
    <n v="0"/>
    <n v="0"/>
    <n v="0"/>
    <m/>
    <n v="0"/>
    <m/>
    <n v="0"/>
    <m/>
    <n v="0"/>
    <m/>
    <m/>
    <n v="0"/>
    <n v="0"/>
    <n v="0"/>
    <n v="0"/>
    <m/>
    <n v="0"/>
    <n v="0"/>
    <n v="0"/>
    <n v="0"/>
    <n v="0"/>
    <x v="0"/>
    <m/>
    <x v="2"/>
    <x v="1"/>
    <s v="no root cause"/>
    <x v="1"/>
    <s v=""/>
  </r>
  <r>
    <s v="Camp-Bertaud"/>
    <s v="LIT_281"/>
    <s v="Douala"/>
    <s v="IHS"/>
    <m/>
    <s v="LITTORAL"/>
    <s v="Douala"/>
    <s v="ZTE"/>
    <n v="0"/>
    <n v="0"/>
    <n v="0"/>
    <n v="0"/>
    <n v="0"/>
    <n v="0"/>
    <n v="0"/>
    <n v="0"/>
    <n v="0"/>
    <n v="0"/>
    <n v="0"/>
    <n v="0"/>
    <n v="0"/>
    <n v="0"/>
    <n v="0"/>
    <n v="0"/>
    <n v="0"/>
    <n v="0"/>
    <n v="0"/>
    <n v="0"/>
    <m/>
    <n v="0"/>
    <n v="0"/>
    <n v="0"/>
    <m/>
    <n v="0"/>
    <m/>
    <n v="0"/>
    <m/>
    <n v="0"/>
    <m/>
    <m/>
    <n v="0"/>
    <n v="0"/>
    <n v="0"/>
    <n v="0"/>
    <m/>
    <n v="0"/>
    <n v="0"/>
    <n v="0"/>
    <n v="0"/>
    <n v="0"/>
    <x v="0"/>
    <m/>
    <x v="2"/>
    <x v="1"/>
    <s v="no root cause"/>
    <x v="1"/>
    <s v=""/>
  </r>
  <r>
    <s v="Santa-Barbara-Dla-IHS"/>
    <s v="LIT_171"/>
    <s v="Douala"/>
    <s v="IHS"/>
    <s v="Grid-Gen (LL)"/>
    <s v="LITTORAL"/>
    <s v="Douala"/>
    <s v="ZTE"/>
    <n v="0"/>
    <n v="0"/>
    <n v="0"/>
    <n v="0"/>
    <n v="0"/>
    <n v="0"/>
    <n v="0"/>
    <n v="0"/>
    <n v="0"/>
    <n v="0"/>
    <n v="0"/>
    <n v="0"/>
    <n v="0"/>
    <n v="0"/>
    <n v="0"/>
    <n v="0"/>
    <n v="0"/>
    <n v="0"/>
    <n v="0"/>
    <n v="0"/>
    <m/>
    <n v="0"/>
    <n v="0"/>
    <n v="0"/>
    <m/>
    <n v="0"/>
    <m/>
    <n v="0"/>
    <m/>
    <n v="0"/>
    <m/>
    <m/>
    <n v="0"/>
    <n v="0"/>
    <n v="0"/>
    <n v="0"/>
    <m/>
    <n v="0"/>
    <n v="0"/>
    <n v="0"/>
    <n v="0"/>
    <n v="0"/>
    <x v="0"/>
    <m/>
    <x v="2"/>
    <x v="1"/>
    <s v="no root cause"/>
    <x v="1"/>
    <s v=""/>
  </r>
  <r>
    <s v="Bberi-Q-Princes"/>
    <s v="LIT_535"/>
    <s v="Douala"/>
    <s v="IHS"/>
    <s v="Grid-Gen (LL)"/>
    <s v="LITTORAL"/>
    <s v="Douala"/>
    <s v="ZTE"/>
    <n v="0"/>
    <n v="0"/>
    <n v="0"/>
    <n v="0"/>
    <n v="0"/>
    <n v="0"/>
    <n v="0.001979693693230913"/>
    <n v="0"/>
    <n v="0"/>
    <n v="0"/>
    <n v="0"/>
    <n v="0"/>
    <n v="0"/>
    <n v="0"/>
    <n v="0"/>
    <n v="0"/>
    <n v="0"/>
    <n v="0"/>
    <n v="0"/>
    <n v="0"/>
    <m/>
    <n v="0"/>
    <n v="0"/>
    <n v="0"/>
    <m/>
    <n v="0"/>
    <m/>
    <n v="0"/>
    <m/>
    <n v="0"/>
    <m/>
    <m/>
    <n v="0"/>
    <n v="0"/>
    <n v="0"/>
    <n v="0"/>
    <m/>
    <n v="0"/>
    <n v="0"/>
    <n v="0"/>
    <n v="0"/>
    <n v="0"/>
    <x v="0"/>
    <m/>
    <x v="2"/>
    <x v="1"/>
    <s v="no root cause"/>
    <x v="1"/>
    <s v=""/>
  </r>
  <r>
    <s v="Dschang-Meka"/>
    <s v="OST_074"/>
    <s v="OUEST"/>
    <s v="IHS"/>
    <s v="Grid-Gen"/>
    <s v="OUEST"/>
    <s v="Dschang"/>
    <s v="Huawei"/>
    <n v="0"/>
    <n v="0"/>
    <n v="0"/>
    <n v="0"/>
    <n v="0"/>
    <n v="0"/>
    <n v="0"/>
    <n v="0"/>
    <n v="0"/>
    <n v="0"/>
    <n v="0"/>
    <n v="0"/>
    <n v="0"/>
    <n v="0"/>
    <n v="0"/>
    <n v="0"/>
    <n v="0"/>
    <n v="0"/>
    <n v="0"/>
    <n v="0"/>
    <m/>
    <n v="0"/>
    <n v="0"/>
    <n v="0"/>
    <m/>
    <n v="0"/>
    <m/>
    <n v="0"/>
    <m/>
    <n v="0"/>
    <m/>
    <m/>
    <n v="0"/>
    <n v="0"/>
    <n v="0"/>
    <n v="0"/>
    <m/>
    <n v="0"/>
    <n v="0"/>
    <n v="0"/>
    <n v="0"/>
    <n v="0"/>
    <x v="0"/>
    <m/>
    <x v="2"/>
    <x v="1"/>
    <s v="no root cause"/>
    <x v="1"/>
    <s v=""/>
  </r>
  <r>
    <s v="Newb-Mairie"/>
    <s v="LIT_090"/>
    <s v="Douala"/>
    <s v="IHS"/>
    <s v="Grid-Gen"/>
    <s v="LITTORAL"/>
    <s v="Douala"/>
    <s v="ZTE"/>
    <n v="0"/>
    <n v="0"/>
    <n v="0"/>
    <n v="0"/>
    <n v="0"/>
    <n v="0"/>
    <n v="0"/>
    <n v="0"/>
    <n v="0"/>
    <n v="0"/>
    <n v="0"/>
    <n v="27.83472518284523"/>
    <n v="0"/>
    <n v="0"/>
    <n v="0"/>
    <n v="0"/>
    <n v="0"/>
    <n v="0"/>
    <n v="0"/>
    <n v="0"/>
    <m/>
    <n v="0"/>
    <n v="0"/>
    <n v="0"/>
    <m/>
    <n v="0"/>
    <m/>
    <n v="0"/>
    <m/>
    <n v="0"/>
    <m/>
    <m/>
    <n v="0"/>
    <n v="0"/>
    <n v="0"/>
    <n v="0"/>
    <m/>
    <n v="0"/>
    <n v="0"/>
    <n v="0"/>
    <n v="0"/>
    <n v="0"/>
    <x v="0"/>
    <m/>
    <x v="2"/>
    <x v="1"/>
    <s v="no root cause"/>
    <x v="1"/>
    <s v=""/>
  </r>
  <r>
    <s v="Deido-Lycee"/>
    <s v="LIT_004"/>
    <s v="Douala"/>
    <m/>
    <m/>
    <s v="LITTORAL"/>
    <s v="Douala"/>
    <s v="ZTE"/>
    <n v="0"/>
    <n v="0"/>
    <n v="0"/>
    <n v="0"/>
    <n v="0"/>
    <n v="0"/>
    <n v="0"/>
    <n v="0"/>
    <n v="0"/>
    <n v="0"/>
    <n v="0"/>
    <n v="0"/>
    <n v="0"/>
    <n v="0"/>
    <n v="0"/>
    <n v="0"/>
    <n v="0"/>
    <n v="0"/>
    <n v="0"/>
    <n v="0"/>
    <m/>
    <n v="0"/>
    <n v="0"/>
    <n v="0"/>
    <m/>
    <n v="0"/>
    <m/>
    <n v="0"/>
    <m/>
    <n v="0"/>
    <m/>
    <m/>
    <n v="0"/>
    <n v="0"/>
    <n v="0"/>
    <n v="0"/>
    <m/>
    <n v="0"/>
    <n v="0"/>
    <n v="0"/>
    <n v="0"/>
    <n v="0"/>
    <x v="0"/>
    <m/>
    <x v="2"/>
    <x v="1"/>
    <s v="no root cause"/>
    <x v="1"/>
    <s v=""/>
  </r>
  <r>
    <s v="Bonateki-MRS"/>
    <s v="LIT_396"/>
    <s v="Douala"/>
    <s v="IHS"/>
    <s v="Grid-Gen"/>
    <s v="LITTORAL"/>
    <s v="Douala"/>
    <s v="ZTE"/>
    <n v="0"/>
    <n v="0"/>
    <n v="0"/>
    <n v="0"/>
    <n v="0"/>
    <n v="0"/>
    <n v="0"/>
    <n v="0"/>
    <n v="0"/>
    <n v="0"/>
    <n v="0"/>
    <n v="0"/>
    <n v="0"/>
    <n v="0"/>
    <n v="0"/>
    <n v="0"/>
    <n v="0"/>
    <n v="0"/>
    <n v="0"/>
    <n v="0"/>
    <m/>
    <n v="0"/>
    <n v="0"/>
    <n v="0"/>
    <m/>
    <n v="0"/>
    <m/>
    <n v="0"/>
    <m/>
    <n v="0"/>
    <m/>
    <m/>
    <n v="0"/>
    <n v="0"/>
    <n v="0"/>
    <n v="0"/>
    <m/>
    <n v="0"/>
    <n v="0"/>
    <n v="0"/>
    <n v="0"/>
    <n v="0"/>
    <x v="0"/>
    <m/>
    <x v="2"/>
    <x v="1"/>
    <s v="no root cause"/>
    <x v="1"/>
    <s v=""/>
  </r>
  <r>
    <s v="Deido-Bonateki"/>
    <s v="LIT_414"/>
    <s v="Douala"/>
    <s v="IHS"/>
    <s v="Grid-Gen"/>
    <s v="LITTORAL"/>
    <s v="Douala"/>
    <s v="ZTE"/>
    <n v="0.159588280784059"/>
    <n v="0"/>
    <n v="0"/>
    <n v="0"/>
    <n v="0"/>
    <n v="0"/>
    <n v="0"/>
    <n v="0"/>
    <n v="1.243211969192399"/>
    <n v="0"/>
    <n v="0"/>
    <n v="5.08103546184292"/>
    <n v="0"/>
    <n v="0"/>
    <n v="0"/>
    <n v="0"/>
    <n v="0"/>
    <n v="0"/>
    <n v="0"/>
    <n v="0"/>
    <m/>
    <n v="0"/>
    <n v="0"/>
    <n v="0"/>
    <m/>
    <n v="0"/>
    <m/>
    <n v="0"/>
    <m/>
    <n v="0"/>
    <m/>
    <m/>
    <n v="0"/>
    <n v="0"/>
    <n v="0"/>
    <n v="0"/>
    <m/>
    <n v="0"/>
    <n v="0"/>
    <n v="0"/>
    <n v="0"/>
    <n v="0"/>
    <x v="0"/>
    <m/>
    <x v="2"/>
    <x v="1"/>
    <s v="no root cause"/>
    <x v="1"/>
    <s v=""/>
  </r>
  <r>
    <s v="Batoufam-Chefferie"/>
    <s v="OST_277"/>
    <s v="OUEST"/>
    <s v="CAMUSAT"/>
    <s v="Good Grid + GE"/>
    <s v="OUEST"/>
    <s v="Batoufam"/>
    <s v="Huawei"/>
    <n v="0"/>
    <n v="0"/>
    <n v="0"/>
    <n v="0"/>
    <n v="0"/>
    <n v="0"/>
    <n v="0"/>
    <n v="0"/>
    <n v="0"/>
    <n v="0"/>
    <n v="0"/>
    <n v="0"/>
    <n v="0"/>
    <n v="0"/>
    <n v="0"/>
    <n v="0"/>
    <n v="0"/>
    <n v="0"/>
    <n v="0"/>
    <n v="0"/>
    <m/>
    <n v="0"/>
    <n v="0"/>
    <n v="0"/>
    <m/>
    <n v="0"/>
    <m/>
    <n v="0"/>
    <m/>
    <n v="0"/>
    <m/>
    <m/>
    <n v="0"/>
    <n v="0"/>
    <n v="0"/>
    <n v="0"/>
    <m/>
    <n v="0"/>
    <n v="0"/>
    <n v="0"/>
    <n v="0"/>
    <n v="0"/>
    <x v="0"/>
    <m/>
    <x v="2"/>
    <x v="1"/>
    <s v="no root cause"/>
    <x v="1"/>
    <s v=""/>
  </r>
  <r>
    <s v="Garoua-Djamboutou-CICAM"/>
    <s v="NRD_047"/>
    <s v="Garoua"/>
    <s v="IHS"/>
    <s v="Grid-Gen"/>
    <s v="NORD"/>
    <s v="Garoua"/>
    <s v="Huawei"/>
    <n v="0"/>
    <n v="0"/>
    <n v="0"/>
    <n v="0"/>
    <n v="0"/>
    <n v="0"/>
    <n v="0"/>
    <n v="0"/>
    <n v="0"/>
    <n v="0"/>
    <n v="0"/>
    <n v="0"/>
    <n v="0"/>
    <n v="0"/>
    <n v="0"/>
    <n v="0"/>
    <n v="0"/>
    <n v="0"/>
    <n v="0"/>
    <n v="0"/>
    <m/>
    <n v="0"/>
    <n v="0"/>
    <n v="0"/>
    <m/>
    <n v="0"/>
    <m/>
    <n v="0"/>
    <m/>
    <n v="0"/>
    <m/>
    <m/>
    <n v="0"/>
    <n v="0"/>
    <n v="0"/>
    <n v="0"/>
    <m/>
    <n v="0"/>
    <n v="0"/>
    <n v="0"/>
    <n v="0"/>
    <n v="0"/>
    <x v="0"/>
    <m/>
    <x v="2"/>
    <x v="1"/>
    <s v="no root cause"/>
    <x v="1"/>
    <s v=""/>
  </r>
  <r>
    <s v="Garoua-Orange"/>
    <s v="NRD_001"/>
    <s v="Garoua"/>
    <s v="OCM/Strategique"/>
    <m/>
    <s v="NORD"/>
    <s v="Garoua"/>
    <s v="Huawei"/>
    <n v="0"/>
    <n v="0"/>
    <n v="0"/>
    <n v="0"/>
    <n v="0"/>
    <n v="0"/>
    <n v="0"/>
    <n v="0"/>
    <n v="0"/>
    <n v="0"/>
    <n v="0"/>
    <n v="0"/>
    <n v="0"/>
    <n v="0"/>
    <n v="0"/>
    <n v="0"/>
    <n v="0"/>
    <n v="0"/>
    <n v="0"/>
    <n v="0"/>
    <m/>
    <n v="0"/>
    <n v="0"/>
    <n v="0"/>
    <m/>
    <n v="0"/>
    <m/>
    <n v="0"/>
    <m/>
    <n v="0"/>
    <m/>
    <m/>
    <n v="0"/>
    <n v="0"/>
    <n v="0"/>
    <n v="0"/>
    <m/>
    <n v="0"/>
    <n v="0"/>
    <n v="0"/>
    <n v="0"/>
    <n v="0"/>
    <x v="0"/>
    <m/>
    <x v="2"/>
    <x v="1"/>
    <s v="no root cause"/>
    <x v="1"/>
    <s v=""/>
  </r>
  <r>
    <s v="Koupa-Kagnam"/>
    <s v="OST_114"/>
    <s v="OUEST"/>
    <s v="IHS"/>
    <s v="Grid-Gen"/>
    <s v="OUEST"/>
    <s v="Koupa-Kagnam"/>
    <s v="Huawei"/>
    <n v="0"/>
    <n v="0"/>
    <n v="0"/>
    <n v="0"/>
    <n v="0"/>
    <n v="0"/>
    <n v="0"/>
    <n v="0"/>
    <n v="0"/>
    <n v="0"/>
    <n v="0"/>
    <n v="0"/>
    <n v="0"/>
    <n v="0"/>
    <n v="0"/>
    <n v="0"/>
    <n v="0"/>
    <n v="0"/>
    <n v="0"/>
    <n v="0"/>
    <m/>
    <n v="0"/>
    <n v="0"/>
    <n v="0"/>
    <m/>
    <n v="0"/>
    <m/>
    <n v="0"/>
    <m/>
    <n v="0"/>
    <m/>
    <m/>
    <n v="0"/>
    <n v="0"/>
    <n v="0"/>
    <n v="0"/>
    <m/>
    <n v="0"/>
    <n v="0"/>
    <n v="0"/>
    <n v="0"/>
    <n v="0"/>
    <x v="0"/>
    <m/>
    <x v="2"/>
    <x v="1"/>
    <s v="no root cause"/>
    <x v="1"/>
    <s v=""/>
  </r>
  <r>
    <s v="Rey-Bouba"/>
    <s v="NRD_023"/>
    <s v="NORD"/>
    <s v="IHS"/>
    <s v="Grid-Gen"/>
    <s v="NORD"/>
    <s v="Rey-bouba"/>
    <s v="Huawei"/>
    <n v="0"/>
    <n v="0"/>
    <n v="0"/>
    <n v="0"/>
    <n v="0"/>
    <n v="0"/>
    <n v="0"/>
    <n v="0"/>
    <n v="0"/>
    <n v="0"/>
    <n v="0"/>
    <n v="0"/>
    <n v="0"/>
    <n v="0"/>
    <n v="0"/>
    <n v="0"/>
    <n v="0"/>
    <n v="0"/>
    <n v="0"/>
    <n v="0"/>
    <m/>
    <n v="0"/>
    <n v="0"/>
    <n v="0"/>
    <m/>
    <n v="0"/>
    <m/>
    <n v="0"/>
    <m/>
    <n v="0"/>
    <m/>
    <m/>
    <n v="0"/>
    <n v="0"/>
    <n v="0"/>
    <n v="0"/>
    <m/>
    <n v="0"/>
    <n v="0"/>
    <n v="0"/>
    <n v="0"/>
    <n v="0"/>
    <x v="0"/>
    <m/>
    <x v="2"/>
    <x v="1"/>
    <s v="no root cause"/>
    <x v="1"/>
    <s v=""/>
  </r>
  <r>
    <s v="Tchollire"/>
    <s v="NRD_008"/>
    <s v="NORD"/>
    <s v="IHS"/>
    <s v="Grid-Hybrid-Gen"/>
    <s v="NORD"/>
    <s v="Tchollire"/>
    <s v="Huawei"/>
    <n v="0"/>
    <n v="0"/>
    <n v="0"/>
    <n v="0"/>
    <n v="0"/>
    <n v="0"/>
    <n v="0"/>
    <n v="0"/>
    <n v="0"/>
    <n v="0"/>
    <n v="0"/>
    <n v="0"/>
    <n v="0"/>
    <n v="0"/>
    <n v="0"/>
    <n v="0"/>
    <n v="0"/>
    <n v="0"/>
    <n v="0"/>
    <n v="0"/>
    <m/>
    <n v="0"/>
    <n v="0"/>
    <n v="0"/>
    <m/>
    <n v="0"/>
    <m/>
    <n v="0"/>
    <m/>
    <n v="0"/>
    <m/>
    <m/>
    <n v="0"/>
    <n v="0"/>
    <n v="0"/>
    <n v="0"/>
    <m/>
    <n v="0"/>
    <n v="0"/>
    <n v="0"/>
    <n v="0"/>
    <n v="0"/>
    <x v="0"/>
    <m/>
    <x v="5"/>
    <x v="2"/>
    <s v="MPR ISSUE"/>
    <x v="2"/>
    <s v="{05-25-2026 ocm ran 22H}: 25.05.26: Besoin d'un FME sur NRD_008_Tchollire pour vérifier le stacking MPR_TCHOLLIRE (S1P1) et MPR_TCHOLLIRE_2 (S1P3) ainsi que le statut de la BBU huawei et son interco avec le MPR_TCHOLLIRE_2 (S1P1); CM-20260525-00005769; FME Frank activé pour investigations, update ASAP      ;      {05-25-2026 ocm ran 17H}: 25.05.26: Besoin d'un FME sur NRD_008_Tchollire pour vérifier le stacking MPR_TCHOLLIRE (S1P1) et MPR_TCHOLLIRE_2 (S1P3) ainsi que le statut de la BBU huawei et son interco avec le MPR_TCHOLLIRE_2 (S1P1); CM-20260525-00005769; FME Frank activé pour investigations, update ASAP"/>
  </r>
  <r>
    <s v="Gouna"/>
    <s v="NRD_031"/>
    <s v="NORD"/>
    <s v="IHS"/>
    <s v="Solar-Gen"/>
    <s v="NORD"/>
    <s v="Gouna"/>
    <s v="Huawei"/>
    <n v="0"/>
    <n v="0"/>
    <n v="0"/>
    <n v="0"/>
    <n v="0"/>
    <n v="0"/>
    <n v="0"/>
    <n v="0"/>
    <n v="0"/>
    <n v="0"/>
    <n v="0"/>
    <n v="0"/>
    <n v="0"/>
    <n v="0"/>
    <n v="0"/>
    <n v="0"/>
    <n v="0"/>
    <n v="0"/>
    <n v="0"/>
    <n v="0"/>
    <m/>
    <n v="0"/>
    <n v="0"/>
    <n v="0"/>
    <m/>
    <n v="0"/>
    <m/>
    <n v="0"/>
    <m/>
    <n v="0"/>
    <m/>
    <m/>
    <n v="0"/>
    <n v="0"/>
    <n v="0"/>
    <n v="0"/>
    <m/>
    <n v="0"/>
    <n v="0"/>
    <n v="0"/>
    <n v="0"/>
    <n v="0"/>
    <x v="0"/>
    <m/>
    <x v="2"/>
    <x v="1"/>
    <s v="no root cause"/>
    <x v="1"/>
    <s v=""/>
  </r>
  <r>
    <s v="Pitchoumba"/>
    <s v="NRD_171"/>
    <s v="NORD"/>
    <s v="CAMUSAT"/>
    <s v="Hybrid Solar - S3"/>
    <s v="NORD"/>
    <s v="PITCHOUMBA"/>
    <s v="Huawei"/>
    <n v="0"/>
    <n v="0"/>
    <n v="0"/>
    <n v="0"/>
    <n v="0"/>
    <n v="0"/>
    <n v="0"/>
    <n v="0"/>
    <n v="0"/>
    <n v="0"/>
    <n v="0"/>
    <n v="0"/>
    <n v="0"/>
    <n v="0"/>
    <n v="0"/>
    <n v="0"/>
    <n v="0"/>
    <n v="0"/>
    <n v="0"/>
    <n v="0"/>
    <m/>
    <n v="0"/>
    <n v="0"/>
    <n v="0"/>
    <m/>
    <n v="0"/>
    <m/>
    <n v="0"/>
    <m/>
    <n v="0"/>
    <m/>
    <m/>
    <n v="0"/>
    <n v="0"/>
    <n v="0"/>
    <n v="0"/>
    <m/>
    <n v="0"/>
    <n v="0"/>
    <n v="0"/>
    <n v="0"/>
    <n v="0"/>
    <x v="0"/>
    <m/>
    <x v="2"/>
    <x v="1"/>
    <s v="no root cause"/>
    <x v="1"/>
    <s v=""/>
  </r>
  <r>
    <s v="Lagdo-Marche"/>
    <s v="NRD_077"/>
    <s v="NORD"/>
    <s v="IHS"/>
    <s v="Grid-Gen"/>
    <s v="NORD"/>
    <s v="Lagdo"/>
    <s v="Huawei"/>
    <n v="0"/>
    <n v="0"/>
    <n v="0"/>
    <n v="0"/>
    <n v="0"/>
    <n v="0"/>
    <n v="0"/>
    <n v="0"/>
    <n v="0"/>
    <n v="0"/>
    <n v="0"/>
    <n v="1.314557245481809"/>
    <n v="0"/>
    <n v="0"/>
    <n v="0"/>
    <n v="0"/>
    <n v="0"/>
    <n v="0"/>
    <n v="0"/>
    <n v="0"/>
    <m/>
    <n v="0"/>
    <n v="0"/>
    <n v="0"/>
    <m/>
    <n v="0"/>
    <m/>
    <n v="0"/>
    <m/>
    <n v="0"/>
    <m/>
    <m/>
    <n v="0"/>
    <n v="0"/>
    <n v="0"/>
    <n v="0"/>
    <m/>
    <n v="0"/>
    <n v="0"/>
    <n v="0"/>
    <n v="0"/>
    <n v="0"/>
    <x v="0"/>
    <m/>
    <x v="2"/>
    <x v="1"/>
    <s v="no root cause"/>
    <x v="1"/>
    <s v=""/>
  </r>
  <r>
    <s v="Lagdo"/>
    <s v="NRD_012"/>
    <s v="NORD"/>
    <s v="IHS"/>
    <s v="Grid-Gen"/>
    <s v="NORD"/>
    <s v="Lagdo"/>
    <s v="Huawei"/>
    <n v="0"/>
    <n v="0"/>
    <n v="0"/>
    <n v="0"/>
    <n v="0"/>
    <n v="0"/>
    <n v="0"/>
    <n v="0"/>
    <n v="0"/>
    <n v="0"/>
    <n v="0"/>
    <n v="0"/>
    <n v="0"/>
    <n v="0"/>
    <n v="0"/>
    <n v="0"/>
    <n v="0"/>
    <n v="0"/>
    <n v="0"/>
    <n v="0"/>
    <m/>
    <n v="0"/>
    <n v="0"/>
    <n v="0"/>
    <m/>
    <n v="0"/>
    <m/>
    <n v="0"/>
    <m/>
    <n v="0"/>
    <m/>
    <m/>
    <n v="0"/>
    <n v="0"/>
    <n v="0"/>
    <n v="0"/>
    <m/>
    <n v="0"/>
    <n v="0"/>
    <n v="0"/>
    <n v="0"/>
    <n v="0"/>
    <x v="0"/>
    <m/>
    <x v="2"/>
    <x v="1"/>
    <s v="no root cause"/>
    <x v="1"/>
    <s v=""/>
  </r>
  <r>
    <s v="Djarako"/>
    <s v="NRD_030"/>
    <s v="NORD"/>
    <s v="IHS"/>
    <s v="Gen Only"/>
    <s v="NORD"/>
    <s v="Djarako"/>
    <s v="Huawei"/>
    <n v="0"/>
    <n v="0"/>
    <n v="0"/>
    <n v="0"/>
    <n v="0"/>
    <n v="0"/>
    <n v="0"/>
    <n v="0"/>
    <n v="0"/>
    <n v="0"/>
    <n v="0"/>
    <n v="0"/>
    <n v="0"/>
    <n v="0"/>
    <n v="0"/>
    <n v="0"/>
    <n v="0"/>
    <n v="0"/>
    <n v="0"/>
    <n v="0"/>
    <m/>
    <n v="0"/>
    <n v="0"/>
    <n v="0"/>
    <m/>
    <n v="0"/>
    <m/>
    <n v="0"/>
    <m/>
    <n v="0"/>
    <m/>
    <m/>
    <n v="0"/>
    <n v="0"/>
    <n v="0"/>
    <n v="0"/>
    <m/>
    <n v="0"/>
    <n v="0"/>
    <n v="0"/>
    <n v="0"/>
    <n v="0"/>
    <x v="0"/>
    <m/>
    <x v="2"/>
    <x v="1"/>
    <s v="no root cause"/>
    <x v="1"/>
    <s v=""/>
  </r>
  <r>
    <s v="Bilongue"/>
    <s v="LIT_425"/>
    <s v="Douala"/>
    <s v="IHS"/>
    <s v="Grid-Gen"/>
    <s v="LITTORAL"/>
    <s v="Douala"/>
    <s v="ZTE"/>
    <n v="0"/>
    <n v="0"/>
    <n v="0"/>
    <n v="0"/>
    <n v="0"/>
    <n v="0"/>
    <n v="0"/>
    <n v="0"/>
    <n v="0.4585755336968832"/>
    <n v="0"/>
    <n v="0"/>
    <n v="0"/>
    <n v="0"/>
    <n v="0"/>
    <n v="0"/>
    <n v="0"/>
    <n v="0"/>
    <n v="0"/>
    <n v="0"/>
    <n v="0"/>
    <m/>
    <n v="0"/>
    <n v="0"/>
    <n v="0"/>
    <m/>
    <n v="0"/>
    <m/>
    <n v="0"/>
    <m/>
    <n v="0"/>
    <m/>
    <m/>
    <n v="0"/>
    <n v="0"/>
    <n v="0"/>
    <n v="0"/>
    <m/>
    <n v="0"/>
    <n v="0"/>
    <n v="0"/>
    <n v="0"/>
    <n v="0"/>
    <x v="0"/>
    <m/>
    <x v="2"/>
    <x v="1"/>
    <s v="no root cause"/>
    <x v="1"/>
    <s v=""/>
  </r>
  <r>
    <s v="Ferme-Suisse"/>
    <s v="LIT_006"/>
    <s v="LITTORAL"/>
    <s v="IHS"/>
    <s v="Grid-Gen"/>
    <s v="LITTORAL"/>
    <s v="Ferme-Suisse"/>
    <s v="ZTE"/>
    <n v="0"/>
    <n v="0"/>
    <n v="0"/>
    <n v="0"/>
    <n v="0"/>
    <n v="0"/>
    <n v="0"/>
    <n v="0"/>
    <n v="0"/>
    <n v="0"/>
    <n v="0"/>
    <n v="0"/>
    <n v="0"/>
    <n v="0"/>
    <n v="0"/>
    <n v="0"/>
    <n v="0"/>
    <n v="0"/>
    <n v="0"/>
    <n v="0"/>
    <m/>
    <n v="0"/>
    <n v="0"/>
    <n v="0"/>
    <m/>
    <n v="0"/>
    <m/>
    <n v="0"/>
    <m/>
    <n v="0"/>
    <m/>
    <m/>
    <n v="0"/>
    <n v="0"/>
    <n v="0"/>
    <n v="0"/>
    <m/>
    <n v="0"/>
    <n v="0"/>
    <n v="0"/>
    <n v="0"/>
    <n v="0"/>
    <x v="0"/>
    <m/>
    <x v="2"/>
    <x v="1"/>
    <s v="no root cause"/>
    <x v="1"/>
    <s v=""/>
  </r>
  <r>
    <s v="Kompigna"/>
    <s v="LIT_111"/>
    <s v="LITTORAL"/>
    <s v="IHS"/>
    <s v="Grid-Gen"/>
    <s v="LITTORAL"/>
    <s v="Kompigna"/>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351_Z_Mimboman-Nodal(CTR-351)  ,Cause: Boucle ethernet  ,Action: Desactivation de la boucle"/>
  </r>
  <r>
    <s v="Kopongo"/>
    <s v="LIT_509"/>
    <s v="LITTORAL"/>
    <s v="IHS"/>
    <s v="Grid-Gen"/>
    <s v="LITTORAL"/>
    <s v="Kopongo"/>
    <s v="ZTE"/>
    <n v="0"/>
    <n v="0"/>
    <n v="0"/>
    <n v="0"/>
    <n v="0"/>
    <n v="0"/>
    <n v="0"/>
    <n v="0"/>
    <n v="0"/>
    <n v="0"/>
    <n v="0"/>
    <n v="0"/>
    <n v="0"/>
    <n v="0"/>
    <n v="0"/>
    <n v="0"/>
    <n v="0"/>
    <n v="0"/>
    <n v="0"/>
    <n v="0"/>
    <m/>
    <n v="0"/>
    <n v="0"/>
    <n v="0"/>
    <m/>
    <n v="0"/>
    <m/>
    <n v="0"/>
    <m/>
    <n v="0"/>
    <m/>
    <m/>
    <n v="0"/>
    <n v="0"/>
    <n v="0"/>
    <n v="0"/>
    <m/>
    <n v="0"/>
    <n v="0"/>
    <n v="0"/>
    <n v="0"/>
    <n v="0"/>
    <x v="0"/>
    <m/>
    <x v="2"/>
    <x v="1"/>
    <s v="no root cause"/>
    <x v="1"/>
    <s v=""/>
  </r>
  <r>
    <s v="Bagofit"/>
    <s v="EST_082"/>
    <s v="CENTRE"/>
    <s v="IHS"/>
    <s v="GenOnly"/>
    <s v="EST"/>
    <s v="Bagofit"/>
    <s v="ZTE"/>
    <n v="0"/>
    <n v="0"/>
    <n v="0"/>
    <n v="0"/>
    <n v="0"/>
    <n v="0"/>
    <n v="0"/>
    <n v="0"/>
    <n v="0"/>
    <n v="0"/>
    <n v="0"/>
    <n v="0"/>
    <n v="0"/>
    <n v="0"/>
    <n v="0"/>
    <n v="0"/>
    <n v="0"/>
    <n v="0"/>
    <n v="0"/>
    <n v="0"/>
    <m/>
    <n v="0"/>
    <n v="0"/>
    <n v="0"/>
    <m/>
    <n v="0"/>
    <m/>
    <n v="0"/>
    <m/>
    <n v="0"/>
    <m/>
    <m/>
    <n v="0"/>
    <n v="0"/>
    <n v="0"/>
    <n v="0"/>
    <m/>
    <n v="0"/>
    <n v="0"/>
    <n v="0"/>
    <n v="0"/>
    <n v="0"/>
    <x v="0"/>
    <m/>
    <x v="2"/>
    <x v="1"/>
    <s v="no root cause"/>
    <x v="1"/>
    <s v=""/>
  </r>
  <r>
    <s v="Ntoumba"/>
    <s v="CTR_355"/>
    <s v="CENTRE"/>
    <s v="IHS"/>
    <s v="Grid-Gen"/>
    <s v="CENTRE"/>
    <s v="Ntoumba"/>
    <s v="ZTE"/>
    <n v="0"/>
    <n v="0"/>
    <n v="0"/>
    <n v="0"/>
    <n v="0"/>
    <n v="0"/>
    <n v="0"/>
    <n v="0"/>
    <n v="0"/>
    <n v="0"/>
    <n v="0"/>
    <n v="0"/>
    <n v="0"/>
    <n v="0"/>
    <n v="0"/>
    <n v="0"/>
    <n v="0"/>
    <n v="0"/>
    <n v="0"/>
    <n v="0"/>
    <m/>
    <n v="0"/>
    <n v="0"/>
    <n v="0"/>
    <m/>
    <n v="0"/>
    <m/>
    <n v="0"/>
    <m/>
    <n v="0"/>
    <m/>
    <m/>
    <n v="0"/>
    <n v="0"/>
    <n v="0"/>
    <n v="0"/>
    <m/>
    <n v="0"/>
    <n v="0"/>
    <n v="0"/>
    <n v="0"/>
    <n v="0"/>
    <x v="0"/>
    <m/>
    <x v="2"/>
    <x v="1"/>
    <s v="no root cause"/>
    <x v="1"/>
    <s v=""/>
  </r>
  <r>
    <s v="Meyo-Centre"/>
    <s v="CTR_145"/>
    <s v="CENTRE"/>
    <s v="IHS"/>
    <s v="Solar-Gen-Lithium"/>
    <s v="CENTRE"/>
    <s v="Meyo"/>
    <s v="ZTE"/>
    <n v="0"/>
    <n v="0"/>
    <n v="0"/>
    <n v="0"/>
    <n v="0"/>
    <n v="0"/>
    <n v="0"/>
    <n v="0"/>
    <n v="0"/>
    <n v="0"/>
    <n v="0"/>
    <n v="0"/>
    <n v="0"/>
    <n v="0"/>
    <n v="0"/>
    <n v="0"/>
    <n v="0"/>
    <n v="0"/>
    <n v="0"/>
    <n v="0"/>
    <m/>
    <n v="0"/>
    <n v="0"/>
    <n v="0"/>
    <m/>
    <n v="0"/>
    <m/>
    <n v="0"/>
    <m/>
    <n v="0"/>
    <m/>
    <m/>
    <n v="0"/>
    <n v="0"/>
    <n v="0"/>
    <n v="0"/>
    <m/>
    <n v="0"/>
    <n v="0"/>
    <n v="0"/>
    <n v="0"/>
    <n v="0"/>
    <x v="0"/>
    <m/>
    <x v="2"/>
    <x v="1"/>
    <s v="no root cause"/>
    <x v="1"/>
    <s v=""/>
  </r>
  <r>
    <s v="Mengang-MTN"/>
    <s v="CTR_306"/>
    <s v="CENTRE"/>
    <s v="IHS"/>
    <s v="Grid-Gen"/>
    <s v="CENTRE"/>
    <s v="Mengang"/>
    <s v="ZTE"/>
    <n v="0"/>
    <n v="0"/>
    <n v="0"/>
    <n v="0"/>
    <n v="0"/>
    <n v="0"/>
    <n v="0"/>
    <n v="0"/>
    <n v="0"/>
    <n v="0"/>
    <n v="0"/>
    <n v="0"/>
    <n v="0"/>
    <n v="0"/>
    <n v="0"/>
    <n v="0"/>
    <n v="0"/>
    <n v="0"/>
    <n v="0"/>
    <n v="0"/>
    <m/>
    <n v="0"/>
    <n v="0"/>
    <n v="0"/>
    <m/>
    <n v="0"/>
    <m/>
    <n v="0"/>
    <m/>
    <n v="0"/>
    <m/>
    <m/>
    <n v="0"/>
    <n v="0"/>
    <n v="0"/>
    <n v="0"/>
    <m/>
    <n v="0"/>
    <n v="0"/>
    <n v="0"/>
    <n v="0"/>
    <n v="0"/>
    <x v="0"/>
    <m/>
    <x v="2"/>
    <x v="1"/>
    <s v="no root cause"/>
    <x v="1"/>
    <s v=""/>
  </r>
  <r>
    <s v="Missole"/>
    <s v="LIT_227"/>
    <s v="LITTORAL"/>
    <s v="IHS"/>
    <s v="Hybrid-Gen"/>
    <s v="LITTORAL"/>
    <s v="Missole"/>
    <s v="ZTE"/>
    <n v="0"/>
    <n v="0"/>
    <n v="0"/>
    <n v="0"/>
    <n v="0"/>
    <n v="0"/>
    <n v="0"/>
    <n v="0"/>
    <n v="0"/>
    <n v="0"/>
    <n v="0"/>
    <n v="0"/>
    <n v="0"/>
    <n v="0"/>
    <n v="0"/>
    <n v="0"/>
    <n v="0"/>
    <n v="0"/>
    <n v="0"/>
    <n v="0"/>
    <m/>
    <n v="0"/>
    <n v="0"/>
    <n v="0"/>
    <m/>
    <n v="0"/>
    <m/>
    <n v="0"/>
    <m/>
    <n v="0"/>
    <m/>
    <m/>
    <n v="0"/>
    <n v="0"/>
    <n v="0"/>
    <n v="0"/>
    <m/>
    <n v="0"/>
    <n v="0"/>
    <n v="0"/>
    <n v="0"/>
    <n v="0"/>
    <x v="0"/>
    <m/>
    <x v="4"/>
    <x v="0"/>
    <s v="Defaut GE &amp; Power Cabinet"/>
    <x v="0"/>
    <s v="{hourly IHS}: 25/05/2026 05:39 0:43:51 51.9V FME is inform, ETA ASAP      ;      (05/25/2026 cell zte): 25/05/2026 : Need BO RAN analysis"/>
  </r>
  <r>
    <s v="Ndokohok-IHS"/>
    <s v="OST_025"/>
    <s v="CENTRE"/>
    <s v="IHS"/>
    <s v="Grid-Gen"/>
    <s v="OUEST"/>
    <s v="Makenene"/>
    <s v="ZTE"/>
    <n v="0"/>
    <n v="0"/>
    <n v="0"/>
    <n v="0"/>
    <n v="0"/>
    <n v="0"/>
    <n v="0"/>
    <n v="0"/>
    <n v="0"/>
    <n v="0"/>
    <n v="0"/>
    <n v="0"/>
    <n v="0"/>
    <n v="0"/>
    <n v="0"/>
    <n v="0"/>
    <n v="0"/>
    <n v="0"/>
    <n v="0"/>
    <n v="0"/>
    <m/>
    <n v="0"/>
    <n v="0"/>
    <n v="0"/>
    <m/>
    <n v="0"/>
    <m/>
    <n v="0"/>
    <m/>
    <n v="0"/>
    <m/>
    <m/>
    <n v="0"/>
    <n v="0"/>
    <n v="0"/>
    <n v="0"/>
    <m/>
    <n v="0"/>
    <n v="0"/>
    <n v="0"/>
    <n v="0"/>
    <n v="0"/>
    <x v="0"/>
    <m/>
    <x v="2"/>
    <x v="1"/>
    <s v="no root cause"/>
    <x v="1"/>
    <s v=""/>
  </r>
  <r>
    <s v="Dibombari"/>
    <s v="LIT_187"/>
    <s v="LITTORAL"/>
    <s v="IHS"/>
    <s v="Grid-Gen"/>
    <s v="LITTORAL"/>
    <s v="Dibombari"/>
    <s v="ZTE"/>
    <n v="0"/>
    <n v="0"/>
    <n v="0"/>
    <n v="0"/>
    <n v="0"/>
    <n v="0"/>
    <n v="0"/>
    <n v="0"/>
    <n v="0"/>
    <n v="0"/>
    <n v="0"/>
    <n v="0"/>
    <n v="0"/>
    <n v="0"/>
    <n v="0"/>
    <n v="0"/>
    <n v="0"/>
    <n v="0"/>
    <n v="0"/>
    <n v="0"/>
    <m/>
    <n v="0"/>
    <n v="0"/>
    <n v="0"/>
    <m/>
    <n v="0"/>
    <m/>
    <n v="0"/>
    <m/>
    <n v="0"/>
    <m/>
    <m/>
    <n v="0"/>
    <n v="0"/>
    <n v="0"/>
    <n v="0"/>
    <m/>
    <n v="0"/>
    <n v="0"/>
    <n v="0"/>
    <n v="0"/>
    <n v="0"/>
    <x v="0"/>
    <m/>
    <x v="2"/>
    <x v="1"/>
    <s v="no root cause"/>
    <x v="1"/>
    <s v=""/>
  </r>
  <r>
    <s v="Sud-Cameroun-Hevea-Camtel"/>
    <s v="SUD_055"/>
    <s v="LITTORAL"/>
    <s v="CAMUSAT"/>
    <s v="Good Grid no GE - 8h"/>
    <s v="SUD"/>
    <s v="Niete"/>
    <s v="ZTE"/>
    <n v="0"/>
    <n v="0"/>
    <n v="0"/>
    <n v="0"/>
    <n v="0"/>
    <n v="0"/>
    <n v="0"/>
    <n v="0"/>
    <n v="0"/>
    <n v="0"/>
    <n v="0"/>
    <n v="0"/>
    <n v="0"/>
    <n v="0"/>
    <n v="0"/>
    <n v="0"/>
    <n v="0"/>
    <n v="0"/>
    <n v="0"/>
    <n v="0"/>
    <m/>
    <n v="0"/>
    <n v="0"/>
    <n v="0"/>
    <m/>
    <n v="0"/>
    <m/>
    <n v="0"/>
    <m/>
    <n v="0"/>
    <m/>
    <m/>
    <n v="0"/>
    <n v="0"/>
    <n v="0"/>
    <n v="0"/>
    <m/>
    <n v="0"/>
    <n v="0"/>
    <n v="0"/>
    <n v="0"/>
    <n v="0"/>
    <x v="0"/>
    <m/>
    <x v="2"/>
    <x v="1"/>
    <s v="no root cause"/>
    <x v="1"/>
    <s v=""/>
  </r>
  <r>
    <s v="Bonalea"/>
    <s v="LIT_296"/>
    <s v="LITTORAL"/>
    <s v="IHS"/>
    <s v="Grid-Gen"/>
    <s v="LITTORAL"/>
    <s v="Bonalea"/>
    <s v="ZTE"/>
    <n v="0"/>
    <n v="0"/>
    <n v="0"/>
    <n v="0"/>
    <n v="0"/>
    <n v="0"/>
    <n v="0"/>
    <n v="0"/>
    <n v="0"/>
    <n v="0"/>
    <n v="0"/>
    <n v="0"/>
    <n v="0"/>
    <n v="0"/>
    <n v="0"/>
    <n v="0"/>
    <n v="0"/>
    <n v="0"/>
    <n v="0"/>
    <n v="0"/>
    <m/>
    <n v="0"/>
    <n v="0"/>
    <n v="0"/>
    <m/>
    <n v="0"/>
    <m/>
    <n v="0"/>
    <m/>
    <n v="0"/>
    <m/>
    <m/>
    <n v="0"/>
    <n v="0"/>
    <n v="0"/>
    <n v="0"/>
    <m/>
    <n v="0"/>
    <n v="0"/>
    <n v="0"/>
    <n v="0"/>
    <n v="0"/>
    <x v="0"/>
    <m/>
    <x v="2"/>
    <x v="1"/>
    <s v="no root cause"/>
    <x v="1"/>
    <s v=""/>
  </r>
  <r>
    <s v="Bare"/>
    <s v="LIT_112"/>
    <s v="LITTORAL"/>
    <s v="IHS"/>
    <s v="Grid-Gen"/>
    <s v="LITTORAL"/>
    <s v="Bare"/>
    <s v="ZTE"/>
    <n v="0"/>
    <n v="0"/>
    <n v="0"/>
    <n v="0"/>
    <n v="0"/>
    <n v="0"/>
    <n v="0"/>
    <n v="0"/>
    <n v="0"/>
    <n v="0"/>
    <n v="0"/>
    <n v="0"/>
    <n v="0"/>
    <n v="0"/>
    <n v="0"/>
    <n v="0"/>
    <n v="0"/>
    <n v="0"/>
    <n v="0"/>
    <n v="0"/>
    <m/>
    <n v="0"/>
    <n v="0"/>
    <n v="0"/>
    <m/>
    <n v="0"/>
    <m/>
    <n v="0"/>
    <m/>
    <n v="0"/>
    <m/>
    <m/>
    <n v="0"/>
    <n v="0"/>
    <n v="0"/>
    <n v="0"/>
    <m/>
    <n v="0"/>
    <n v="0"/>
    <n v="0"/>
    <n v="0"/>
    <n v="0"/>
    <x v="0"/>
    <m/>
    <x v="2"/>
    <x v="1"/>
    <s v="no root cause"/>
    <x v="1"/>
    <s v=""/>
  </r>
  <r>
    <s v="Kola-IHS"/>
    <s v="LIT_764"/>
    <s v="LITTORAL"/>
    <s v="IHS"/>
    <s v="Grid-Gen"/>
    <s v="LITTORAL"/>
    <s v="Baaba"/>
    <s v="ZTE"/>
    <n v="0"/>
    <n v="0"/>
    <n v="0"/>
    <n v="0"/>
    <n v="0"/>
    <n v="0"/>
    <n v="0"/>
    <n v="0"/>
    <n v="0"/>
    <n v="0"/>
    <n v="0"/>
    <n v="0"/>
    <n v="0"/>
    <n v="0"/>
    <n v="0"/>
    <n v="0"/>
    <n v="0"/>
    <n v="0"/>
    <n v="0"/>
    <n v="0"/>
    <m/>
    <n v="0"/>
    <n v="0"/>
    <n v="0"/>
    <m/>
    <n v="0"/>
    <m/>
    <n v="0"/>
    <m/>
    <n v="0"/>
    <m/>
    <m/>
    <n v="0"/>
    <n v="0"/>
    <n v="0"/>
    <n v="0"/>
    <m/>
    <n v="0"/>
    <n v="0"/>
    <n v="0"/>
    <n v="0"/>
    <n v="0"/>
    <x v="0"/>
    <m/>
    <x v="2"/>
    <x v="1"/>
    <s v="no root cause"/>
    <x v="1"/>
    <s v=""/>
  </r>
  <r>
    <s v="Ndoulou-IHS"/>
    <s v="LIT_431"/>
    <s v="LITTORAL"/>
    <s v="IHS"/>
    <s v="Grid-Gen"/>
    <s v="LITTORAL"/>
    <s v="Ndoulou"/>
    <s v="ZTE"/>
    <n v="0"/>
    <n v="0"/>
    <n v="0"/>
    <n v="0"/>
    <n v="0"/>
    <n v="0"/>
    <n v="0"/>
    <n v="0"/>
    <n v="0"/>
    <n v="0"/>
    <n v="0"/>
    <n v="0"/>
    <n v="0"/>
    <n v="0"/>
    <n v="0"/>
    <n v="0"/>
    <n v="0"/>
    <n v="0"/>
    <n v="0"/>
    <n v="0"/>
    <m/>
    <n v="0"/>
    <n v="0"/>
    <n v="0"/>
    <m/>
    <n v="0"/>
    <m/>
    <n v="0"/>
    <m/>
    <n v="0"/>
    <m/>
    <m/>
    <n v="0"/>
    <n v="0"/>
    <n v="0"/>
    <n v="0"/>
    <m/>
    <n v="0"/>
    <n v="0"/>
    <n v="0"/>
    <n v="0"/>
    <n v="0"/>
    <x v="0"/>
    <m/>
    <x v="2"/>
    <x v="1"/>
    <s v="no root cause"/>
    <x v="1"/>
    <s v=""/>
  </r>
  <r>
    <s v="Manengole"/>
    <s v="LIT_356"/>
    <s v="LITTORAL"/>
    <s v="IHS"/>
    <s v="Grid-Gen"/>
    <s v="LITTORAL"/>
    <s v="Manengole"/>
    <s v="ZTE"/>
    <n v="0"/>
    <n v="0"/>
    <n v="0"/>
    <n v="0"/>
    <n v="0"/>
    <n v="0"/>
    <n v="0"/>
    <n v="0"/>
    <n v="0"/>
    <n v="0"/>
    <n v="0"/>
    <n v="0"/>
    <n v="0"/>
    <n v="0"/>
    <n v="0"/>
    <n v="0"/>
    <n v="0"/>
    <n v="0"/>
    <n v="0"/>
    <n v="0"/>
    <m/>
    <n v="0"/>
    <n v="0"/>
    <n v="0"/>
    <m/>
    <n v="0"/>
    <m/>
    <n v="0"/>
    <m/>
    <n v="0"/>
    <m/>
    <m/>
    <n v="0"/>
    <n v="0"/>
    <n v="0"/>
    <n v="0"/>
    <m/>
    <n v="0"/>
    <n v="0"/>
    <n v="0"/>
    <n v="0"/>
    <n v="0"/>
    <x v="0"/>
    <m/>
    <x v="2"/>
    <x v="1"/>
    <s v="no root cause"/>
    <x v="1"/>
    <s v=""/>
  </r>
  <r>
    <s v="Logbadjeck-IHS"/>
    <s v="LIT_503"/>
    <s v="LITTORAL"/>
    <s v="IHS"/>
    <s v="Grid-Gen"/>
    <s v="LITTORAL"/>
    <s v="Logbadjeck"/>
    <s v="ZTE"/>
    <n v="0"/>
    <n v="0"/>
    <n v="0"/>
    <n v="0"/>
    <n v="0"/>
    <n v="0"/>
    <n v="0"/>
    <n v="0"/>
    <n v="0"/>
    <n v="0"/>
    <n v="0"/>
    <n v="0"/>
    <n v="0"/>
    <n v="0"/>
    <n v="0"/>
    <n v="0"/>
    <n v="0"/>
    <n v="0"/>
    <n v="0"/>
    <n v="0"/>
    <m/>
    <n v="0"/>
    <n v="0"/>
    <n v="0"/>
    <m/>
    <n v="0"/>
    <m/>
    <n v="0"/>
    <m/>
    <n v="0"/>
    <m/>
    <m/>
    <n v="0"/>
    <n v="0"/>
    <n v="0"/>
    <n v="0"/>
    <m/>
    <n v="0"/>
    <n v="0"/>
    <n v="0"/>
    <n v="0"/>
    <n v="0"/>
    <x v="0"/>
    <m/>
    <x v="2"/>
    <x v="1"/>
    <s v="no root cause"/>
    <x v="1"/>
    <s v=""/>
  </r>
  <r>
    <s v="Dizangue-KM14-IHS"/>
    <s v="LIT_496"/>
    <s v="LITTORAL"/>
    <s v="IHS"/>
    <s v="Grid-Gen"/>
    <s v="LITTORAL"/>
    <s v="Dizangue"/>
    <s v="ZTE"/>
    <n v="0"/>
    <n v="0"/>
    <n v="0"/>
    <n v="0"/>
    <n v="0"/>
    <n v="0"/>
    <n v="0"/>
    <n v="0"/>
    <n v="0"/>
    <n v="0"/>
    <n v="0"/>
    <n v="0"/>
    <n v="0"/>
    <n v="0"/>
    <n v="0"/>
    <n v="0"/>
    <n v="0"/>
    <n v="0"/>
    <n v="0"/>
    <n v="0"/>
    <m/>
    <n v="0"/>
    <n v="0"/>
    <n v="0"/>
    <m/>
    <n v="0"/>
    <m/>
    <n v="0"/>
    <m/>
    <n v="0"/>
    <m/>
    <m/>
    <n v="0"/>
    <n v="0"/>
    <n v="0"/>
    <n v="0"/>
    <m/>
    <n v="0"/>
    <n v="0"/>
    <n v="0"/>
    <n v="0"/>
    <n v="0"/>
    <x v="0"/>
    <m/>
    <x v="2"/>
    <x v="1"/>
    <s v="no root cause"/>
    <x v="1"/>
    <s v=""/>
  </r>
  <r>
    <s v="Meyo-Nkoulou"/>
    <s v="SUD_117"/>
    <s v="CENTRE"/>
    <m/>
    <m/>
    <s v="SUD"/>
    <s v="Kyé-Ossi"/>
    <s v="ZTE"/>
    <n v="0"/>
    <n v="0"/>
    <n v="0"/>
    <n v="0"/>
    <n v="0"/>
    <n v="0"/>
    <n v="0"/>
    <n v="0"/>
    <n v="0"/>
    <n v="0"/>
    <n v="0"/>
    <n v="0"/>
    <n v="0"/>
    <n v="0"/>
    <n v="0"/>
    <n v="0"/>
    <n v="0"/>
    <n v="0"/>
    <n v="0"/>
    <n v="0"/>
    <m/>
    <n v="0"/>
    <n v="0"/>
    <n v="0"/>
    <m/>
    <n v="0"/>
    <m/>
    <n v="0"/>
    <m/>
    <n v="0"/>
    <m/>
    <m/>
    <n v="0"/>
    <n v="0"/>
    <n v="0"/>
    <n v="0"/>
    <m/>
    <n v="0"/>
    <n v="0"/>
    <n v="0"/>
    <n v="0"/>
    <n v="0"/>
    <x v="0"/>
    <m/>
    <x v="2"/>
    <x v="1"/>
    <s v="no root cause"/>
    <x v="1"/>
    <s v=""/>
  </r>
  <r>
    <s v="Mbongo-IHS"/>
    <s v="LIT_480"/>
    <s v="LITTORAL"/>
    <s v="IHS"/>
    <s v="Grid-Gen"/>
    <s v="LITTORAL"/>
    <s v="Mbongo"/>
    <s v="ZTE"/>
    <n v="0"/>
    <n v="0"/>
    <n v="0"/>
    <n v="0"/>
    <n v="0"/>
    <n v="0"/>
    <n v="0"/>
    <n v="0"/>
    <n v="0"/>
    <n v="0"/>
    <n v="0"/>
    <n v="0"/>
    <n v="0"/>
    <n v="0"/>
    <n v="0"/>
    <n v="0"/>
    <n v="0"/>
    <n v="0"/>
    <n v="0"/>
    <n v="0"/>
    <m/>
    <n v="0"/>
    <n v="0"/>
    <n v="0"/>
    <m/>
    <n v="0"/>
    <m/>
    <n v="0"/>
    <m/>
    <n v="0"/>
    <m/>
    <m/>
    <n v="0"/>
    <n v="0"/>
    <n v="0"/>
    <n v="0"/>
    <m/>
    <n v="0"/>
    <n v="0"/>
    <n v="0"/>
    <n v="0"/>
    <n v="0"/>
    <x v="0"/>
    <m/>
    <x v="2"/>
    <x v="1"/>
    <s v="no root cause"/>
    <x v="1"/>
    <s v=""/>
  </r>
  <r>
    <s v="Apouh"/>
    <s v="LIT_512"/>
    <s v="LITTORAL"/>
    <s v="IHS"/>
    <s v="Grid-Gen"/>
    <s v="LITTORAL"/>
    <s v="Apouh"/>
    <s v="ZTE"/>
    <n v="0"/>
    <n v="0"/>
    <n v="0"/>
    <n v="0"/>
    <n v="0"/>
    <n v="0"/>
    <n v="0"/>
    <n v="0"/>
    <n v="0"/>
    <n v="0"/>
    <n v="0"/>
    <n v="0"/>
    <n v="0"/>
    <n v="0"/>
    <n v="0"/>
    <n v="0"/>
    <n v="0"/>
    <n v="0"/>
    <n v="0"/>
    <n v="0"/>
    <m/>
    <n v="0"/>
    <n v="0"/>
    <n v="0"/>
    <m/>
    <n v="0"/>
    <m/>
    <n v="0"/>
    <m/>
    <n v="0"/>
    <m/>
    <m/>
    <n v="0"/>
    <n v="0"/>
    <n v="0"/>
    <n v="0"/>
    <m/>
    <n v="0"/>
    <n v="0"/>
    <n v="0"/>
    <n v="0"/>
    <n v="0"/>
    <x v="0"/>
    <m/>
    <x v="2"/>
    <x v="1"/>
    <s v="no root cause"/>
    <x v="1"/>
    <s v=""/>
  </r>
  <r>
    <s v="Ndokok"/>
    <s v="CTR_059"/>
    <s v="LITTORAL"/>
    <s v="IHS"/>
    <s v="Grid-Gen"/>
    <s v="CENTRE"/>
    <s v="Ndokok"/>
    <s v="ZTE"/>
    <n v="0"/>
    <n v="0"/>
    <n v="0"/>
    <n v="0"/>
    <n v="0"/>
    <n v="0"/>
    <n v="0"/>
    <n v="0"/>
    <n v="0"/>
    <n v="0"/>
    <n v="0"/>
    <n v="0"/>
    <n v="0"/>
    <n v="0"/>
    <n v="0"/>
    <n v="0"/>
    <n v="0"/>
    <n v="0"/>
    <n v="0"/>
    <n v="0"/>
    <m/>
    <n v="0"/>
    <n v="0"/>
    <n v="0"/>
    <m/>
    <n v="0"/>
    <m/>
    <n v="0"/>
    <m/>
    <n v="0"/>
    <m/>
    <m/>
    <n v="0"/>
    <n v="0"/>
    <n v="0"/>
    <n v="0"/>
    <m/>
    <n v="0"/>
    <n v="0"/>
    <n v="0"/>
    <n v="0"/>
    <n v="0"/>
    <x v="0"/>
    <m/>
    <x v="2"/>
    <x v="1"/>
    <s v="no root cause"/>
    <x v="1"/>
    <s v=""/>
  </r>
  <r>
    <s v="MISSOLE-II-PK35-IHS"/>
    <s v="LIT_750"/>
    <s v="LITTORAL"/>
    <m/>
    <m/>
    <s v="LITTORAL"/>
    <s v="Missole"/>
    <s v="ZTE"/>
    <n v="0"/>
    <n v="0"/>
    <n v="0"/>
    <n v="0"/>
    <n v="0"/>
    <n v="0"/>
    <n v="0"/>
    <n v="0"/>
    <n v="0"/>
    <n v="0"/>
    <n v="0"/>
    <n v="0"/>
    <n v="0"/>
    <n v="0"/>
    <n v="0"/>
    <n v="0"/>
    <n v="0"/>
    <n v="0"/>
    <n v="0"/>
    <n v="0"/>
    <m/>
    <n v="0"/>
    <n v="0"/>
    <n v="0"/>
    <m/>
    <n v="0"/>
    <m/>
    <n v="0"/>
    <m/>
    <n v="0"/>
    <m/>
    <m/>
    <n v="0"/>
    <n v="0"/>
    <n v="0"/>
    <n v="0"/>
    <m/>
    <n v="0"/>
    <n v="0"/>
    <n v="0"/>
    <n v="0"/>
    <n v="0"/>
    <x v="0"/>
    <m/>
    <x v="2"/>
    <x v="1"/>
    <s v="no root cause"/>
    <x v="1"/>
    <s v=""/>
  </r>
  <r>
    <s v="Yembon"/>
    <s v="SUD_243"/>
    <s v="CENTRE"/>
    <s v="CAMUSAT"/>
    <s v="HGB"/>
    <s v="SUD"/>
    <s v="Yembon"/>
    <s v="ZTE"/>
    <n v="0"/>
    <n v="0"/>
    <n v="0"/>
    <n v="0"/>
    <n v="0"/>
    <n v="0"/>
    <n v="0"/>
    <n v="0"/>
    <n v="0"/>
    <n v="0"/>
    <n v="0"/>
    <n v="0"/>
    <n v="0"/>
    <n v="0"/>
    <n v="0"/>
    <n v="0"/>
    <n v="0"/>
    <n v="0"/>
    <n v="0"/>
    <n v="0"/>
    <m/>
    <n v="0"/>
    <n v="0"/>
    <n v="0"/>
    <m/>
    <n v="0"/>
    <m/>
    <n v="0"/>
    <m/>
    <n v="0"/>
    <m/>
    <m/>
    <n v="0"/>
    <n v="0"/>
    <n v="0"/>
    <n v="0"/>
    <m/>
    <n v="0"/>
    <n v="0"/>
    <n v="0"/>
    <n v="0"/>
    <n v="0"/>
    <x v="0"/>
    <m/>
    <x v="2"/>
    <x v="1"/>
    <s v="no root cause"/>
    <x v="1"/>
    <s v=""/>
  </r>
  <r>
    <s v="Mbomela-IHS"/>
    <s v="SUD_105"/>
    <s v="CENTRE"/>
    <s v="IHS"/>
    <s v="Gen-Lithium"/>
    <s v="SUD"/>
    <s v="Mbomela"/>
    <s v="ZTE"/>
    <n v="0"/>
    <n v="0"/>
    <n v="0"/>
    <n v="0"/>
    <n v="0"/>
    <n v="0"/>
    <n v="0"/>
    <n v="0"/>
    <n v="0"/>
    <n v="0"/>
    <n v="0"/>
    <n v="0"/>
    <n v="0"/>
    <n v="0"/>
    <n v="0"/>
    <n v="0"/>
    <n v="0"/>
    <n v="0"/>
    <n v="0"/>
    <n v="0"/>
    <m/>
    <n v="0"/>
    <n v="0"/>
    <n v="0"/>
    <m/>
    <n v="0"/>
    <m/>
    <n v="0"/>
    <m/>
    <n v="0"/>
    <m/>
    <m/>
    <n v="0"/>
    <n v="0"/>
    <n v="0"/>
    <n v="0"/>
    <m/>
    <n v="0"/>
    <n v="0"/>
    <n v="0"/>
    <n v="0"/>
    <n v="0"/>
    <x v="0"/>
    <m/>
    <x v="2"/>
    <x v="1"/>
    <s v="no root cause"/>
    <x v="1"/>
    <s v=""/>
  </r>
  <r>
    <s v="Mekoto"/>
    <s v="SUD_126"/>
    <s v="CENTRE"/>
    <s v="CAMUSAT"/>
    <s v="Hybrid Solar S3"/>
    <s v="SUD"/>
    <s v="Ekombitié"/>
    <s v="ZTE"/>
    <n v="0"/>
    <n v="0"/>
    <n v="0"/>
    <n v="0"/>
    <n v="0"/>
    <n v="0"/>
    <n v="0"/>
    <n v="0"/>
    <n v="0"/>
    <n v="0"/>
    <n v="0"/>
    <n v="0"/>
    <n v="0"/>
    <n v="0"/>
    <n v="0"/>
    <n v="0"/>
    <n v="0"/>
    <n v="0"/>
    <n v="0"/>
    <n v="0"/>
    <m/>
    <n v="0"/>
    <n v="0"/>
    <n v="0"/>
    <m/>
    <n v="0"/>
    <m/>
    <n v="0"/>
    <m/>
    <n v="0"/>
    <m/>
    <m/>
    <n v="0"/>
    <n v="0"/>
    <n v="0"/>
    <n v="0"/>
    <m/>
    <n v="0"/>
    <n v="0"/>
    <n v="0"/>
    <n v="0"/>
    <n v="0"/>
    <x v="0"/>
    <m/>
    <x v="2"/>
    <x v="1"/>
    <s v="no root cause"/>
    <x v="1"/>
    <s v=""/>
  </r>
  <r>
    <s v="Avobengon"/>
    <s v="SUD_244"/>
    <s v="CENTRE"/>
    <s v="IHS"/>
    <s v="Gen-Lithium"/>
    <s v="SUD"/>
    <s v="Avobengon"/>
    <s v="ZTE"/>
    <n v="0"/>
    <n v="0"/>
    <n v="0"/>
    <n v="0"/>
    <n v="0"/>
    <n v="0"/>
    <n v="0"/>
    <n v="0"/>
    <n v="0"/>
    <n v="0"/>
    <n v="0"/>
    <n v="0"/>
    <n v="0"/>
    <n v="0"/>
    <n v="0"/>
    <n v="0"/>
    <n v="0"/>
    <n v="0"/>
    <n v="0"/>
    <n v="0"/>
    <m/>
    <n v="0"/>
    <n v="0"/>
    <n v="0"/>
    <m/>
    <n v="0"/>
    <m/>
    <n v="0"/>
    <m/>
    <n v="0"/>
    <m/>
    <m/>
    <n v="0"/>
    <n v="0"/>
    <n v="0"/>
    <n v="0"/>
    <m/>
    <n v="0"/>
    <n v="0"/>
    <n v="0"/>
    <n v="0"/>
    <n v="0"/>
    <x v="0"/>
    <m/>
    <x v="2"/>
    <x v="1"/>
    <s v="no root cause"/>
    <x v="1"/>
    <s v=""/>
  </r>
  <r>
    <s v="Koungoulou-MTN"/>
    <s v="SUD_248"/>
    <s v="CENTRE"/>
    <s v="IHS"/>
    <s v="Gen-Lithium"/>
    <s v="SUD"/>
    <s v="Koungoulou"/>
    <s v="ZTE"/>
    <n v="0"/>
    <n v="0"/>
    <n v="0"/>
    <n v="0"/>
    <n v="0"/>
    <n v="0"/>
    <n v="0"/>
    <n v="0"/>
    <n v="0"/>
    <n v="0"/>
    <n v="0"/>
    <n v="0"/>
    <n v="0"/>
    <n v="0"/>
    <n v="0"/>
    <n v="0"/>
    <n v="0"/>
    <n v="0"/>
    <n v="0"/>
    <n v="0"/>
    <m/>
    <n v="0"/>
    <n v="0"/>
    <n v="0"/>
    <m/>
    <n v="0"/>
    <m/>
    <n v="0"/>
    <m/>
    <n v="0"/>
    <m/>
    <m/>
    <n v="0"/>
    <n v="0"/>
    <n v="0"/>
    <n v="0"/>
    <m/>
    <n v="0"/>
    <n v="0"/>
    <n v="0"/>
    <n v="0"/>
    <n v="0"/>
    <x v="0"/>
    <m/>
    <x v="2"/>
    <x v="1"/>
    <s v="no root cause"/>
    <x v="1"/>
    <s v=""/>
  </r>
  <r>
    <s v="Bikoula-MTN"/>
    <s v="SUD_232"/>
    <s v="CENTRE"/>
    <s v="IHS"/>
    <s v="Gen-Lithium"/>
    <s v="SUD"/>
    <s v="Bikoula"/>
    <s v="ZTE"/>
    <n v="0"/>
    <n v="0"/>
    <n v="0"/>
    <n v="0"/>
    <n v="0"/>
    <n v="0"/>
    <n v="0"/>
    <n v="0"/>
    <n v="0"/>
    <n v="0"/>
    <n v="0"/>
    <n v="0"/>
    <n v="0"/>
    <n v="0"/>
    <n v="0"/>
    <n v="0"/>
    <n v="0"/>
    <n v="0"/>
    <n v="0"/>
    <n v="0"/>
    <m/>
    <n v="0"/>
    <n v="0"/>
    <n v="0"/>
    <m/>
    <n v="0"/>
    <m/>
    <n v="0"/>
    <m/>
    <n v="0"/>
    <m/>
    <m/>
    <n v="0"/>
    <n v="0"/>
    <n v="0"/>
    <n v="0"/>
    <m/>
    <n v="0"/>
    <n v="0"/>
    <n v="0"/>
    <n v="0"/>
    <n v="0"/>
    <x v="0"/>
    <m/>
    <x v="2"/>
    <x v="1"/>
    <s v="no root cause"/>
    <x v="1"/>
    <s v=""/>
  </r>
  <r>
    <s v="Ngoulemakong-MTN"/>
    <s v="EST_067"/>
    <s v="CENTRE"/>
    <s v="IHS"/>
    <s v="Grid-Hybrid-Gen"/>
    <s v="EST"/>
    <s v="Ngoulemakong"/>
    <s v="ZTE"/>
    <n v="0"/>
    <n v="0"/>
    <n v="0"/>
    <n v="0"/>
    <n v="0"/>
    <n v="0"/>
    <n v="0"/>
    <n v="0"/>
    <n v="0"/>
    <n v="0"/>
    <n v="0"/>
    <n v="0"/>
    <n v="0"/>
    <n v="0"/>
    <n v="0"/>
    <n v="0"/>
    <n v="0"/>
    <n v="0"/>
    <n v="0"/>
    <n v="0"/>
    <m/>
    <n v="0"/>
    <n v="0"/>
    <n v="0"/>
    <m/>
    <n v="0"/>
    <m/>
    <n v="0"/>
    <m/>
    <n v="0"/>
    <m/>
    <m/>
    <n v="0"/>
    <n v="0"/>
    <n v="0"/>
    <n v="0"/>
    <m/>
    <n v="0"/>
    <n v="0"/>
    <n v="0"/>
    <n v="0"/>
    <n v="0"/>
    <x v="0"/>
    <m/>
    <x v="2"/>
    <x v="1"/>
    <s v="no root cause"/>
    <x v="1"/>
    <s v=""/>
  </r>
  <r>
    <s v="Motcheboum"/>
    <s v="EST_062"/>
    <s v="CENTRE"/>
    <s v="IHS"/>
    <s v="Grid-Gen"/>
    <s v="EST"/>
    <s v="Motcheboum"/>
    <s v="ZTE"/>
    <n v="0"/>
    <n v="0"/>
    <n v="0"/>
    <n v="0"/>
    <n v="0"/>
    <n v="0"/>
    <n v="0"/>
    <n v="0"/>
    <n v="0"/>
    <n v="0"/>
    <n v="0"/>
    <n v="0.05491754028111692"/>
    <n v="0"/>
    <n v="0"/>
    <n v="0"/>
    <n v="0"/>
    <n v="0"/>
    <n v="0"/>
    <n v="0"/>
    <n v="0"/>
    <m/>
    <n v="0"/>
    <n v="0"/>
    <n v="0"/>
    <m/>
    <n v="0"/>
    <m/>
    <n v="0"/>
    <m/>
    <n v="0"/>
    <m/>
    <m/>
    <n v="0"/>
    <n v="0"/>
    <n v="0"/>
    <n v="0"/>
    <m/>
    <n v="0"/>
    <n v="0"/>
    <n v="0"/>
    <n v="0"/>
    <n v="0"/>
    <x v="0"/>
    <m/>
    <x v="2"/>
    <x v="1"/>
    <s v="no root cause"/>
    <x v="1"/>
    <s v=""/>
  </r>
  <r>
    <s v="Nkoum"/>
    <s v="EST_022"/>
    <s v="CENTRE"/>
    <s v="IHS"/>
    <s v="Grid-Gen"/>
    <s v="EST"/>
    <s v="Nkoum"/>
    <s v="ZTE"/>
    <n v="0"/>
    <n v="0"/>
    <n v="0"/>
    <n v="0"/>
    <n v="0"/>
    <n v="0"/>
    <n v="0"/>
    <n v="0"/>
    <n v="0"/>
    <n v="0"/>
    <n v="0"/>
    <n v="0"/>
    <n v="0"/>
    <n v="0"/>
    <n v="0"/>
    <n v="0"/>
    <n v="0"/>
    <n v="0"/>
    <n v="0"/>
    <n v="0"/>
    <m/>
    <n v="0"/>
    <n v="0"/>
    <n v="0"/>
    <m/>
    <n v="0"/>
    <m/>
    <n v="0"/>
    <m/>
    <n v="0"/>
    <m/>
    <m/>
    <n v="0"/>
    <n v="0"/>
    <n v="0"/>
    <n v="0"/>
    <m/>
    <n v="0"/>
    <n v="0"/>
    <n v="0"/>
    <n v="0"/>
    <n v="0"/>
    <x v="0"/>
    <m/>
    <x v="2"/>
    <x v="1"/>
    <s v="no root cause"/>
    <x v="1"/>
    <s v=""/>
  </r>
  <r>
    <s v="Messok"/>
    <s v="SUD_106"/>
    <s v="CENTRE"/>
    <s v="CAMUSAT"/>
    <s v="Hybrid Solar - S3"/>
    <s v="SUD"/>
    <s v="Messok"/>
    <s v="ZTE"/>
    <n v="0"/>
    <n v="0"/>
    <n v="0"/>
    <n v="0"/>
    <n v="0"/>
    <n v="0"/>
    <n v="0"/>
    <n v="0"/>
    <n v="0"/>
    <n v="0"/>
    <n v="0"/>
    <n v="0"/>
    <n v="0"/>
    <n v="0"/>
    <n v="0"/>
    <n v="0"/>
    <n v="0"/>
    <n v="0"/>
    <n v="0"/>
    <n v="0"/>
    <m/>
    <n v="0"/>
    <n v="0"/>
    <n v="0"/>
    <m/>
    <n v="0"/>
    <m/>
    <n v="0"/>
    <m/>
    <n v="0"/>
    <m/>
    <m/>
    <n v="0"/>
    <n v="0"/>
    <n v="0"/>
    <n v="0"/>
    <m/>
    <n v="0"/>
    <n v="0"/>
    <n v="0"/>
    <n v="0"/>
    <n v="0"/>
    <x v="0"/>
    <m/>
    <x v="2"/>
    <x v="1"/>
    <s v="no root cause"/>
    <x v="1"/>
    <s v=""/>
  </r>
  <r>
    <s v="Ndonkol-MTN-IHS"/>
    <s v="SUD_062"/>
    <s v="LITTORAL"/>
    <s v="IHS"/>
    <s v="Grid-Gen"/>
    <s v="SUD"/>
    <s v="Ndonkol"/>
    <s v="ZTE"/>
    <n v="0"/>
    <n v="0"/>
    <n v="0"/>
    <n v="0"/>
    <n v="0"/>
    <n v="0"/>
    <n v="0"/>
    <n v="0"/>
    <n v="0"/>
    <n v="0"/>
    <n v="0"/>
    <n v="0"/>
    <n v="0"/>
    <n v="0"/>
    <n v="0"/>
    <n v="0"/>
    <n v="0"/>
    <n v="0"/>
    <n v="0"/>
    <n v="0"/>
    <m/>
    <n v="0"/>
    <n v="0"/>
    <n v="0"/>
    <m/>
    <n v="0"/>
    <m/>
    <n v="0"/>
    <m/>
    <n v="0"/>
    <m/>
    <m/>
    <n v="0"/>
    <n v="0"/>
    <n v="0"/>
    <n v="0"/>
    <m/>
    <n v="0"/>
    <n v="0"/>
    <n v="0"/>
    <n v="0"/>
    <n v="0"/>
    <x v="0"/>
    <m/>
    <x v="2"/>
    <x v="1"/>
    <s v="no root cause"/>
    <x v="1"/>
    <s v=""/>
  </r>
  <r>
    <s v="Adouma"/>
    <s v="EST_134"/>
    <s v="CENTRE"/>
    <s v="CAMUSAT"/>
    <s v="Hybrid Solar - S3"/>
    <s v="EST"/>
    <s v="Adouma"/>
    <s v="ZTE"/>
    <n v="0"/>
    <n v="0"/>
    <n v="0"/>
    <n v="0"/>
    <n v="0"/>
    <n v="0"/>
    <n v="0"/>
    <n v="0"/>
    <n v="0"/>
    <n v="0"/>
    <n v="0"/>
    <n v="1.313629842054145"/>
    <n v="0"/>
    <n v="0"/>
    <n v="0"/>
    <n v="0"/>
    <n v="0"/>
    <n v="0"/>
    <n v="0"/>
    <n v="0"/>
    <m/>
    <n v="0"/>
    <n v="0"/>
    <n v="0"/>
    <m/>
    <n v="0"/>
    <m/>
    <n v="0"/>
    <m/>
    <n v="0"/>
    <m/>
    <m/>
    <n v="0"/>
    <n v="0"/>
    <n v="0"/>
    <n v="0"/>
    <m/>
    <n v="0"/>
    <n v="0"/>
    <n v="0"/>
    <n v="0"/>
    <n v="0"/>
    <x v="0"/>
    <m/>
    <x v="2"/>
    <x v="1"/>
    <s v="no root cause"/>
    <x v="1"/>
    <s v=""/>
  </r>
  <r>
    <s v="GADJI"/>
    <s v="EST_147"/>
    <s v="CENTRE"/>
    <m/>
    <m/>
    <s v="EST"/>
    <s v="Gadji"/>
    <s v="ZTE"/>
    <n v="0"/>
    <n v="0"/>
    <n v="0"/>
    <n v="0"/>
    <n v="0"/>
    <n v="0"/>
    <n v="0"/>
    <n v="0"/>
    <n v="0"/>
    <n v="0"/>
    <n v="0"/>
    <n v="0"/>
    <n v="0"/>
    <n v="0"/>
    <n v="0"/>
    <n v="0"/>
    <n v="0"/>
    <n v="0"/>
    <n v="0"/>
    <n v="0"/>
    <m/>
    <n v="0"/>
    <n v="0"/>
    <n v="0"/>
    <m/>
    <n v="0"/>
    <m/>
    <n v="0"/>
    <m/>
    <n v="0"/>
    <m/>
    <m/>
    <n v="0"/>
    <n v="0"/>
    <n v="0"/>
    <n v="0"/>
    <m/>
    <n v="0"/>
    <n v="0"/>
    <n v="0"/>
    <n v="0"/>
    <n v="0"/>
    <x v="0"/>
    <m/>
    <x v="5"/>
    <x v="2"/>
    <s v="ODU HS"/>
    <x v="2"/>
    <s v="{05-25-2026 ocm ran 22H}: Impacted by Fio-MTN_EST_084 (TX issue, ODU fault)      ;      {05-25-2026 ocm ran 17H}: Impacted by Fio-MTN_EST_084 (TX issue, ODU fault)"/>
  </r>
  <r>
    <s v="Badongoue-MTN-IHS"/>
    <s v="EST_089"/>
    <s v="CENTRE"/>
    <s v="IHS"/>
    <s v="Grid-Gen-Lithium"/>
    <s v="EST"/>
    <s v="Badongoue"/>
    <s v="ZTE"/>
    <n v="0"/>
    <n v="0"/>
    <n v="0"/>
    <n v="0"/>
    <n v="0"/>
    <n v="0"/>
    <n v="0"/>
    <n v="0"/>
    <n v="0"/>
    <n v="0"/>
    <n v="0"/>
    <n v="0"/>
    <n v="0"/>
    <n v="0"/>
    <n v="0"/>
    <n v="0"/>
    <n v="0"/>
    <n v="0"/>
    <n v="0"/>
    <n v="0"/>
    <m/>
    <n v="0"/>
    <n v="0"/>
    <n v="0"/>
    <m/>
    <n v="0"/>
    <m/>
    <n v="0"/>
    <m/>
    <n v="0"/>
    <m/>
    <m/>
    <n v="0"/>
    <n v="0"/>
    <n v="0"/>
    <n v="0"/>
    <m/>
    <n v="0"/>
    <n v="0"/>
    <n v="0"/>
    <n v="0"/>
    <n v="0"/>
    <x v="0"/>
    <m/>
    <x v="4"/>
    <x v="0"/>
    <s v="Defaut GE &amp; Power Cabinet"/>
    <x v="0"/>
    <s v="{hourly IHS}: 25/05/2026 03:55 2:27:50 42.1V FME is informed and managing"/>
  </r>
  <r>
    <s v="Dimako"/>
    <s v="EST_019"/>
    <s v="CENTRE"/>
    <s v="IHS"/>
    <s v="Grid-Gen"/>
    <s v="EST"/>
    <s v="Dimako"/>
    <s v="ZTE"/>
    <n v="0"/>
    <n v="0"/>
    <n v="0"/>
    <n v="0"/>
    <n v="0"/>
    <n v="0"/>
    <n v="0"/>
    <n v="0"/>
    <n v="0"/>
    <n v="0"/>
    <n v="0"/>
    <n v="0"/>
    <n v="0"/>
    <n v="0"/>
    <n v="0"/>
    <n v="0"/>
    <n v="0"/>
    <n v="0"/>
    <n v="0"/>
    <n v="0"/>
    <m/>
    <n v="0"/>
    <n v="0"/>
    <n v="0"/>
    <m/>
    <n v="0"/>
    <m/>
    <n v="0"/>
    <m/>
    <n v="0"/>
    <m/>
    <m/>
    <n v="0"/>
    <n v="0"/>
    <n v="0"/>
    <n v="0"/>
    <m/>
    <n v="0"/>
    <n v="0"/>
    <n v="0"/>
    <n v="0"/>
    <n v="0"/>
    <x v="0"/>
    <m/>
    <x v="2"/>
    <x v="1"/>
    <s v="no root cause"/>
    <x v="1"/>
    <s v=""/>
  </r>
  <r>
    <s v="Atok"/>
    <s v="EST_017"/>
    <s v="CENTRE"/>
    <s v="IHS"/>
    <s v="Grid-Gen-Lithium"/>
    <s v="EST"/>
    <s v="Atok"/>
    <s v="ZTE"/>
    <n v="0"/>
    <n v="0"/>
    <n v="0"/>
    <n v="0"/>
    <n v="0"/>
    <n v="0"/>
    <n v="0"/>
    <n v="0"/>
    <n v="0"/>
    <n v="0"/>
    <n v="0"/>
    <n v="0"/>
    <n v="0"/>
    <n v="0"/>
    <n v="0"/>
    <n v="0"/>
    <n v="0"/>
    <n v="0"/>
    <n v="0"/>
    <n v="0"/>
    <m/>
    <n v="0"/>
    <n v="0"/>
    <n v="0"/>
    <m/>
    <n v="0"/>
    <m/>
    <n v="0"/>
    <m/>
    <n v="0"/>
    <m/>
    <m/>
    <n v="0"/>
    <n v="0"/>
    <n v="0"/>
    <n v="0"/>
    <m/>
    <n v="0"/>
    <n v="0"/>
    <n v="0"/>
    <n v="0"/>
    <n v="0"/>
    <x v="0"/>
    <m/>
    <x v="2"/>
    <x v="1"/>
    <s v="no root cause"/>
    <x v="1"/>
    <s v=""/>
  </r>
  <r>
    <s v="Bigoens-IHS"/>
    <s v="EST_029"/>
    <s v="CENTRE"/>
    <s v="IHS"/>
    <s v="Gen-Lithium"/>
    <s v="EST"/>
    <s v="Bigoens"/>
    <s v="ZTE"/>
    <n v="0"/>
    <n v="0"/>
    <n v="0"/>
    <n v="0"/>
    <n v="0"/>
    <n v="0"/>
    <n v="0"/>
    <n v="0"/>
    <n v="0"/>
    <n v="0"/>
    <n v="0"/>
    <n v="0"/>
    <n v="0"/>
    <n v="0"/>
    <n v="0"/>
    <n v="0"/>
    <n v="0"/>
    <n v="0"/>
    <n v="0"/>
    <n v="0"/>
    <m/>
    <n v="0"/>
    <n v="0"/>
    <n v="0"/>
    <m/>
    <n v="0"/>
    <m/>
    <n v="0"/>
    <m/>
    <n v="0"/>
    <m/>
    <m/>
    <n v="0"/>
    <n v="0"/>
    <n v="0"/>
    <n v="0"/>
    <m/>
    <n v="0"/>
    <n v="0"/>
    <n v="0"/>
    <n v="0"/>
    <n v="0"/>
    <x v="0"/>
    <m/>
    <x v="2"/>
    <x v="1"/>
    <s v="no root cause"/>
    <x v="1"/>
    <s v=""/>
  </r>
  <r>
    <s v="Andom-MTN"/>
    <s v="CTR_305"/>
    <s v="CENTRE"/>
    <s v="IHS"/>
    <s v="Hybrid-Gen"/>
    <s v="CENTRE"/>
    <s v="Andom"/>
    <s v="ZTE"/>
    <n v="0"/>
    <n v="0"/>
    <n v="0"/>
    <n v="0"/>
    <n v="0"/>
    <n v="0"/>
    <n v="0"/>
    <n v="0"/>
    <n v="0"/>
    <n v="0"/>
    <n v="0"/>
    <n v="0"/>
    <n v="0"/>
    <n v="0"/>
    <n v="0"/>
    <n v="0"/>
    <n v="0"/>
    <n v="0"/>
    <n v="0"/>
    <n v="0"/>
    <m/>
    <n v="0"/>
    <n v="0"/>
    <n v="0"/>
    <m/>
    <n v="0"/>
    <m/>
    <n v="0"/>
    <m/>
    <n v="0"/>
    <m/>
    <m/>
    <n v="0"/>
    <n v="0"/>
    <n v="0"/>
    <n v="0"/>
    <m/>
    <n v="0"/>
    <n v="0"/>
    <n v="0"/>
    <n v="0"/>
    <n v="0"/>
    <x v="0"/>
    <m/>
    <x v="2"/>
    <x v="1"/>
    <s v="no root cause"/>
    <x v="1"/>
    <s v=""/>
  </r>
  <r>
    <s v="Nyazanga"/>
    <s v="SUD_249"/>
    <s v="CENTRE"/>
    <s v="IHS"/>
    <s v="Grid-Gen-Lithium"/>
    <s v="SUD"/>
    <s v="Nyazanga"/>
    <s v="ZTE"/>
    <n v="0"/>
    <n v="0"/>
    <n v="0"/>
    <n v="0"/>
    <n v="0"/>
    <n v="0"/>
    <n v="0"/>
    <n v="0"/>
    <n v="0"/>
    <n v="0"/>
    <n v="0"/>
    <n v="0"/>
    <n v="0"/>
    <n v="0"/>
    <n v="0"/>
    <n v="0"/>
    <n v="0"/>
    <n v="0"/>
    <n v="0"/>
    <n v="0"/>
    <m/>
    <n v="0"/>
    <n v="0"/>
    <n v="0"/>
    <m/>
    <n v="0"/>
    <m/>
    <n v="0"/>
    <m/>
    <n v="0"/>
    <m/>
    <m/>
    <n v="0"/>
    <n v="0"/>
    <n v="0"/>
    <n v="0"/>
    <m/>
    <n v="0"/>
    <n v="0"/>
    <n v="0"/>
    <n v="0"/>
    <n v="0"/>
    <x v="0"/>
    <m/>
    <x v="2"/>
    <x v="1"/>
    <s v="no root cause"/>
    <x v="1"/>
    <s v=""/>
  </r>
  <r>
    <s v="Melane"/>
    <s v="SUD_256"/>
    <s v="CENTRE"/>
    <s v="IHS"/>
    <s v="Grid-Gen"/>
    <s v="SUD"/>
    <s v="Melane"/>
    <s v="ZTE"/>
    <n v="0"/>
    <n v="0"/>
    <n v="0"/>
    <n v="0"/>
    <n v="0"/>
    <n v="0"/>
    <n v="0"/>
    <n v="0"/>
    <n v="0"/>
    <n v="0"/>
    <n v="0"/>
    <n v="0"/>
    <n v="0"/>
    <n v="0"/>
    <n v="0"/>
    <n v="0"/>
    <n v="0"/>
    <n v="0"/>
    <n v="0"/>
    <n v="0"/>
    <m/>
    <n v="0"/>
    <n v="0"/>
    <n v="0"/>
    <m/>
    <n v="0"/>
    <m/>
    <n v="0"/>
    <m/>
    <n v="0"/>
    <m/>
    <m/>
    <n v="0"/>
    <n v="0"/>
    <n v="0"/>
    <n v="0"/>
    <m/>
    <n v="0"/>
    <n v="0"/>
    <n v="0"/>
    <n v="0"/>
    <n v="0"/>
    <x v="0"/>
    <m/>
    <x v="2"/>
    <x v="1"/>
    <s v="no root cause"/>
    <x v="1"/>
    <s v=""/>
  </r>
  <r>
    <s v="Kpwang-MTN"/>
    <s v="SUD_239"/>
    <s v="CENTRE"/>
    <s v="IHS"/>
    <s v="Grid-Gen"/>
    <s v="SUD"/>
    <s v="Kpwang"/>
    <s v="ZTE"/>
    <n v="0"/>
    <n v="0"/>
    <n v="0"/>
    <n v="0"/>
    <n v="0"/>
    <n v="0"/>
    <n v="0"/>
    <n v="0"/>
    <n v="0"/>
    <n v="0"/>
    <n v="0"/>
    <n v="0"/>
    <n v="0"/>
    <n v="0"/>
    <n v="0"/>
    <n v="0"/>
    <n v="0"/>
    <n v="0"/>
    <n v="0"/>
    <n v="0"/>
    <m/>
    <n v="0"/>
    <n v="0"/>
    <n v="0"/>
    <m/>
    <n v="0"/>
    <m/>
    <n v="0"/>
    <m/>
    <n v="0"/>
    <m/>
    <m/>
    <n v="0"/>
    <n v="0"/>
    <n v="0"/>
    <n v="0"/>
    <m/>
    <n v="0"/>
    <n v="0"/>
    <n v="0"/>
    <n v="0"/>
    <n v="0"/>
    <x v="0"/>
    <m/>
    <x v="2"/>
    <x v="1"/>
    <s v="no root cause"/>
    <x v="1"/>
    <s v=""/>
  </r>
  <r>
    <s v="Ebanga-Ngoulou-New"/>
    <s v="SUD_019"/>
    <s v="CENTRE"/>
    <s v="CAMUSAT"/>
    <s v="Medium Grid + GE"/>
    <s v="SUD"/>
    <s v="Ebanga-Ngoulou"/>
    <s v="ZTE"/>
    <n v="0"/>
    <n v="0"/>
    <n v="0"/>
    <n v="0"/>
    <n v="0"/>
    <n v="0"/>
    <n v="0"/>
    <n v="0"/>
    <n v="0"/>
    <n v="0"/>
    <n v="0"/>
    <n v="0"/>
    <n v="0"/>
    <n v="0"/>
    <n v="0"/>
    <n v="0"/>
    <n v="0"/>
    <n v="0"/>
    <n v="0"/>
    <n v="0"/>
    <m/>
    <n v="0"/>
    <n v="0"/>
    <n v="0"/>
    <m/>
    <n v="0"/>
    <m/>
    <n v="0"/>
    <m/>
    <n v="0"/>
    <m/>
    <m/>
    <n v="0"/>
    <n v="0"/>
    <n v="0"/>
    <n v="0"/>
    <m/>
    <n v="0"/>
    <n v="0"/>
    <n v="0"/>
    <n v="0"/>
    <n v="0"/>
    <x v="0"/>
    <m/>
    <x v="2"/>
    <x v="1"/>
    <s v="no root cause"/>
    <x v="1"/>
    <s v=""/>
  </r>
  <r>
    <s v="EMINEMVOM-IHS"/>
    <s v="SUD_107"/>
    <s v="CENTRE"/>
    <s v="IHS"/>
    <s v="Hybrid-Gen-Lithium"/>
    <s v="SUD"/>
    <s v="Eminevom"/>
    <s v="ZTE"/>
    <n v="0"/>
    <n v="0"/>
    <n v="0"/>
    <n v="0"/>
    <n v="0"/>
    <n v="0"/>
    <n v="0"/>
    <n v="0"/>
    <n v="0"/>
    <n v="0"/>
    <n v="0"/>
    <n v="0"/>
    <n v="0"/>
    <n v="0"/>
    <n v="0"/>
    <n v="0"/>
    <n v="0"/>
    <n v="0"/>
    <n v="0"/>
    <n v="0"/>
    <m/>
    <n v="0"/>
    <n v="0"/>
    <n v="0"/>
    <m/>
    <n v="0"/>
    <m/>
    <n v="0"/>
    <m/>
    <n v="0"/>
    <m/>
    <m/>
    <n v="0"/>
    <n v="0"/>
    <n v="0"/>
    <n v="0"/>
    <m/>
    <n v="0"/>
    <n v="0"/>
    <n v="0"/>
    <n v="0"/>
    <n v="0"/>
    <x v="0"/>
    <m/>
    <x v="2"/>
    <x v="1"/>
    <s v="no root cause"/>
    <x v="1"/>
    <s v=""/>
  </r>
  <r>
    <s v="Evelessi-IHS"/>
    <s v="SUD_138"/>
    <s v="CENTRE"/>
    <s v="IHS"/>
    <s v="Gen-Lithium"/>
    <s v="SUD"/>
    <s v="Sangmelima"/>
    <s v="ZTE"/>
    <n v="0"/>
    <n v="0"/>
    <n v="0"/>
    <n v="0"/>
    <n v="0"/>
    <n v="0"/>
    <n v="0"/>
    <n v="0"/>
    <n v="0"/>
    <n v="0"/>
    <n v="0"/>
    <n v="0"/>
    <n v="0"/>
    <n v="0"/>
    <n v="0"/>
    <n v="0"/>
    <n v="0"/>
    <n v="0"/>
    <n v="0"/>
    <n v="0"/>
    <m/>
    <n v="0"/>
    <n v="0"/>
    <n v="0"/>
    <m/>
    <n v="0"/>
    <m/>
    <n v="0"/>
    <m/>
    <n v="0"/>
    <m/>
    <m/>
    <n v="0"/>
    <n v="0"/>
    <n v="0"/>
    <n v="0"/>
    <m/>
    <n v="0"/>
    <n v="0"/>
    <n v="0"/>
    <n v="0"/>
    <n v="0"/>
    <x v="0"/>
    <m/>
    <x v="2"/>
    <x v="1"/>
    <s v="no root cause"/>
    <x v="1"/>
    <s v=""/>
  </r>
  <r>
    <s v="Olounou-MTN"/>
    <s v="CTR_298"/>
    <s v="CENTRE"/>
    <s v="IHS"/>
    <s v="Grid-Gen-Lithium"/>
    <s v="CENTRE"/>
    <s v="Olounou"/>
    <s v="ZTE"/>
    <n v="0"/>
    <n v="0"/>
    <n v="0"/>
    <n v="0"/>
    <n v="0"/>
    <n v="0"/>
    <n v="0"/>
    <n v="0"/>
    <n v="0"/>
    <n v="0"/>
    <n v="0"/>
    <n v="0"/>
    <n v="0"/>
    <n v="0"/>
    <n v="0"/>
    <n v="0"/>
    <n v="0"/>
    <n v="0"/>
    <n v="0"/>
    <n v="0"/>
    <m/>
    <n v="0"/>
    <n v="0"/>
    <n v="0"/>
    <m/>
    <n v="0"/>
    <m/>
    <n v="0"/>
    <m/>
    <n v="0"/>
    <m/>
    <m/>
    <n v="0"/>
    <n v="0"/>
    <n v="0"/>
    <n v="0"/>
    <m/>
    <n v="0"/>
    <n v="0"/>
    <n v="0"/>
    <n v="0"/>
    <n v="0"/>
    <x v="0"/>
    <m/>
    <x v="2"/>
    <x v="1"/>
    <s v="no root cause"/>
    <x v="1"/>
    <s v=""/>
  </r>
  <r>
    <s v="Koundou-MTN"/>
    <s v="CTR_823"/>
    <s v="CENTRE"/>
    <s v="CAMUSAT"/>
    <s v="HGB"/>
    <s v="CENTRE"/>
    <s v="Koundou"/>
    <s v="ZTE"/>
    <n v="0"/>
    <n v="0"/>
    <n v="0"/>
    <n v="0"/>
    <n v="0"/>
    <n v="0"/>
    <n v="0"/>
    <n v="0"/>
    <n v="0"/>
    <n v="0"/>
    <n v="0"/>
    <n v="0"/>
    <n v="0"/>
    <n v="0"/>
    <n v="0"/>
    <n v="0"/>
    <n v="0"/>
    <n v="0"/>
    <n v="0"/>
    <n v="0"/>
    <m/>
    <n v="0"/>
    <n v="0"/>
    <n v="0"/>
    <m/>
    <n v="0"/>
    <m/>
    <n v="0"/>
    <m/>
    <n v="0"/>
    <m/>
    <m/>
    <n v="0"/>
    <n v="0"/>
    <n v="0"/>
    <n v="0"/>
    <m/>
    <n v="0"/>
    <n v="0"/>
    <n v="0"/>
    <n v="0"/>
    <n v="0"/>
    <x v="0"/>
    <m/>
    <x v="2"/>
    <x v="1"/>
    <s v="no root cause"/>
    <x v="1"/>
    <s v=""/>
  </r>
  <r>
    <s v="Mvoutessi-MTN"/>
    <s v="SUD_237"/>
    <s v="CENTRE"/>
    <s v="IHS"/>
    <s v="Gen Only"/>
    <s v="SUD"/>
    <s v="Mvoutessi"/>
    <s v="ZTE"/>
    <n v="0"/>
    <n v="0"/>
    <n v="0"/>
    <n v="0"/>
    <n v="0"/>
    <n v="0"/>
    <n v="0"/>
    <n v="0"/>
    <n v="0"/>
    <n v="0"/>
    <n v="0"/>
    <n v="0"/>
    <n v="0"/>
    <n v="0"/>
    <n v="0"/>
    <n v="0"/>
    <n v="0"/>
    <n v="0"/>
    <n v="0"/>
    <n v="0"/>
    <m/>
    <n v="0"/>
    <n v="0"/>
    <n v="0"/>
    <m/>
    <n v="0"/>
    <m/>
    <n v="0"/>
    <m/>
    <n v="0"/>
    <m/>
    <m/>
    <n v="0"/>
    <n v="0"/>
    <n v="0"/>
    <n v="0"/>
    <m/>
    <n v="0"/>
    <n v="0"/>
    <n v="0"/>
    <n v="0"/>
    <n v="0"/>
    <x v="0"/>
    <m/>
    <x v="2"/>
    <x v="1"/>
    <s v="no root cause"/>
    <x v="1"/>
    <s v=""/>
  </r>
  <r>
    <s v="Nkout"/>
    <s v="SUD_012"/>
    <s v="CENTRE"/>
    <s v="IHS"/>
    <s v="Grid-Gen"/>
    <s v="SUD"/>
    <s v="Nkout"/>
    <s v="ZTE"/>
    <n v="0"/>
    <n v="0"/>
    <n v="0"/>
    <n v="0"/>
    <n v="0"/>
    <n v="0"/>
    <n v="0"/>
    <n v="0"/>
    <n v="0"/>
    <n v="0"/>
    <n v="0"/>
    <n v="0"/>
    <n v="0"/>
    <n v="0"/>
    <n v="0"/>
    <n v="0"/>
    <n v="0"/>
    <n v="0"/>
    <n v="0"/>
    <n v="0"/>
    <m/>
    <n v="0"/>
    <n v="0"/>
    <n v="0"/>
    <m/>
    <n v="0"/>
    <m/>
    <n v="0"/>
    <m/>
    <n v="0"/>
    <m/>
    <m/>
    <n v="0"/>
    <n v="0"/>
    <n v="0"/>
    <n v="0"/>
    <m/>
    <n v="0"/>
    <n v="0"/>
    <n v="0"/>
    <n v="0"/>
    <n v="0"/>
    <x v="0"/>
    <m/>
    <x v="2"/>
    <x v="1"/>
    <s v="no root cause"/>
    <x v="1"/>
    <s v=""/>
  </r>
  <r>
    <s v="Nguinda"/>
    <s v="CTR_353"/>
    <s v="CENTRE"/>
    <s v="IHS"/>
    <s v="Grid-Gen"/>
    <s v="CENTRE"/>
    <s v="Nguinda"/>
    <s v="ZTE"/>
    <n v="0"/>
    <n v="0"/>
    <n v="0"/>
    <n v="0"/>
    <n v="0"/>
    <n v="0"/>
    <n v="0"/>
    <n v="0"/>
    <n v="0"/>
    <n v="0"/>
    <n v="0"/>
    <n v="0"/>
    <n v="0"/>
    <n v="0"/>
    <n v="0"/>
    <n v="0"/>
    <n v="0"/>
    <n v="0"/>
    <n v="0"/>
    <n v="0"/>
    <m/>
    <n v="0"/>
    <n v="0"/>
    <n v="0"/>
    <m/>
    <n v="0"/>
    <m/>
    <n v="0"/>
    <m/>
    <n v="0"/>
    <m/>
    <m/>
    <n v="0"/>
    <n v="0"/>
    <n v="0"/>
    <n v="0"/>
    <m/>
    <n v="0"/>
    <n v="0"/>
    <n v="0"/>
    <n v="0"/>
    <n v="0"/>
    <x v="0"/>
    <m/>
    <x v="2"/>
    <x v="1"/>
    <s v="no root cause"/>
    <x v="1"/>
    <s v=""/>
  </r>
  <r>
    <s v="Ayoumgong-MTN"/>
    <s v="CTR_349"/>
    <s v="CENTRE"/>
    <s v="IHS"/>
    <s v="Grid-Gen"/>
    <s v="CENTRE"/>
    <s v="Ayoumgong"/>
    <s v="ZTE"/>
    <n v="0"/>
    <n v="0"/>
    <n v="0"/>
    <n v="0"/>
    <n v="0"/>
    <n v="0"/>
    <n v="0"/>
    <n v="0"/>
    <n v="0"/>
    <n v="0"/>
    <n v="0"/>
    <n v="0"/>
    <n v="0"/>
    <n v="0"/>
    <n v="0"/>
    <n v="0"/>
    <n v="0"/>
    <n v="0"/>
    <n v="0"/>
    <n v="0"/>
    <m/>
    <n v="0"/>
    <n v="0"/>
    <n v="0"/>
    <m/>
    <n v="0"/>
    <m/>
    <n v="0"/>
    <m/>
    <n v="0"/>
    <m/>
    <m/>
    <n v="0"/>
    <n v="0"/>
    <n v="0"/>
    <n v="0"/>
    <m/>
    <n v="0"/>
    <n v="0"/>
    <n v="0"/>
    <n v="0"/>
    <n v="0"/>
    <x v="0"/>
    <m/>
    <x v="2"/>
    <x v="1"/>
    <s v="no root cause"/>
    <x v="1"/>
    <s v="(05/25/2026 cell zte): 25/05/2026 : Need BO RAN analysis"/>
  </r>
  <r>
    <s v="Essa-Mintsang-IHS"/>
    <s v="CTR_147"/>
    <s v="CENTRE"/>
    <s v="IHS"/>
    <s v="Grid-Hybrid-Gen"/>
    <s v="CENTRE"/>
    <s v="Essa-Mintsang"/>
    <s v="ZTE"/>
    <n v="0"/>
    <n v="0"/>
    <n v="0"/>
    <n v="0"/>
    <n v="0"/>
    <n v="0"/>
    <n v="0"/>
    <n v="0"/>
    <n v="0"/>
    <n v="0"/>
    <n v="0"/>
    <n v="0"/>
    <n v="0"/>
    <n v="0"/>
    <n v="0"/>
    <n v="0"/>
    <n v="0"/>
    <n v="0"/>
    <n v="0"/>
    <n v="0"/>
    <m/>
    <n v="0"/>
    <n v="0"/>
    <n v="0"/>
    <m/>
    <n v="0"/>
    <m/>
    <n v="0"/>
    <m/>
    <n v="0"/>
    <m/>
    <m/>
    <n v="0"/>
    <n v="0"/>
    <n v="0"/>
    <n v="0"/>
    <m/>
    <n v="0"/>
    <n v="0"/>
    <n v="0"/>
    <n v="0"/>
    <n v="0"/>
    <x v="0"/>
    <m/>
    <x v="2"/>
    <x v="1"/>
    <s v="no root cause"/>
    <x v="1"/>
    <s v="(05/25/2026 cell zte): 25/05/2026 : Need BO TX analysis"/>
  </r>
  <r>
    <s v="Nkototououtou"/>
    <s v="SUD_119"/>
    <s v="CENTRE"/>
    <s v="CAMUSAT"/>
    <s v="Hybrid Solar - S3"/>
    <s v="SUD"/>
    <s v="Sangmelima"/>
    <s v="ZTE"/>
    <n v="0"/>
    <n v="0"/>
    <n v="0"/>
    <n v="0"/>
    <n v="0"/>
    <n v="0"/>
    <n v="0"/>
    <n v="0"/>
    <n v="0"/>
    <n v="0"/>
    <n v="0"/>
    <n v="0"/>
    <n v="0"/>
    <n v="0"/>
    <n v="0"/>
    <n v="0"/>
    <n v="0"/>
    <n v="0"/>
    <n v="0"/>
    <n v="0"/>
    <m/>
    <n v="0"/>
    <n v="0"/>
    <n v="0"/>
    <m/>
    <n v="0"/>
    <m/>
    <n v="0"/>
    <m/>
    <n v="0"/>
    <m/>
    <m/>
    <n v="0"/>
    <n v="0"/>
    <n v="0"/>
    <n v="0"/>
    <m/>
    <n v="0"/>
    <n v="0"/>
    <n v="0"/>
    <n v="0"/>
    <n v="0"/>
    <x v="0"/>
    <m/>
    <x v="2"/>
    <x v="1"/>
    <s v="no root cause"/>
    <x v="1"/>
    <s v=""/>
  </r>
  <r>
    <s v="Mekouda"/>
    <s v="CTR_146"/>
    <s v="CENTRE"/>
    <s v="IHS"/>
    <s v="Grid-Gen"/>
    <s v="CENTRE"/>
    <s v="Mekouda"/>
    <s v="ZTE"/>
    <n v="0"/>
    <n v="0"/>
    <n v="0"/>
    <n v="0"/>
    <n v="0"/>
    <n v="0"/>
    <n v="0"/>
    <n v="0"/>
    <n v="0"/>
    <n v="0"/>
    <n v="0"/>
    <n v="0"/>
    <n v="0"/>
    <n v="0"/>
    <n v="0"/>
    <n v="0"/>
    <n v="0"/>
    <n v="0"/>
    <n v="0"/>
    <n v="0"/>
    <m/>
    <n v="0"/>
    <n v="0"/>
    <n v="0"/>
    <m/>
    <n v="0"/>
    <m/>
    <n v="0"/>
    <m/>
    <n v="0"/>
    <m/>
    <m/>
    <n v="0"/>
    <n v="0"/>
    <n v="0"/>
    <n v="0"/>
    <m/>
    <n v="0"/>
    <n v="0"/>
    <n v="0"/>
    <n v="0"/>
    <n v="0"/>
    <x v="0"/>
    <m/>
    <x v="2"/>
    <x v="1"/>
    <s v="no root cause"/>
    <x v="1"/>
    <s v=""/>
  </r>
  <r>
    <s v="Kamkop-IHS"/>
    <s v="OST_146"/>
    <s v="OUEST"/>
    <s v="IHS"/>
    <s v="Grid-Gen"/>
    <s v="OUEST"/>
    <s v="Kamkop"/>
    <s v="Huawei"/>
    <n v="0"/>
    <n v="0"/>
    <n v="0"/>
    <n v="0"/>
    <n v="0"/>
    <n v="0"/>
    <n v="0"/>
    <n v="0"/>
    <n v="0"/>
    <n v="0"/>
    <n v="0"/>
    <n v="0"/>
    <n v="0"/>
    <n v="0"/>
    <n v="0"/>
    <n v="0"/>
    <n v="0"/>
    <n v="0"/>
    <n v="0"/>
    <n v="0"/>
    <m/>
    <n v="0"/>
    <n v="0"/>
    <n v="0"/>
    <m/>
    <n v="0"/>
    <m/>
    <n v="0"/>
    <m/>
    <n v="0"/>
    <m/>
    <m/>
    <n v="0"/>
    <n v="0"/>
    <n v="0"/>
    <n v="0"/>
    <m/>
    <n v="0"/>
    <n v="0"/>
    <n v="0"/>
    <n v="0"/>
    <n v="0"/>
    <x v="0"/>
    <m/>
    <x v="2"/>
    <x v="1"/>
    <s v="no root cause"/>
    <x v="1"/>
    <s v=""/>
  </r>
  <r>
    <s v="Kake"/>
    <s v="LIT_769"/>
    <s v="LITTORAL"/>
    <s v="CAMUSAT"/>
    <s v="Hybrid Solar - S3"/>
    <s v="LITTORAL"/>
    <s v="Kake"/>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351_Z_Mimboman-Nodal(CTR-351)  ,Cause: Boucle ethernet  ,Action: Desactivation de la boucle"/>
  </r>
  <r>
    <s v="Mokom-IHS"/>
    <s v="SUD_113"/>
    <s v="CENTRE"/>
    <s v="IHS"/>
    <s v="Gen-Lithium"/>
    <s v="SUD"/>
    <s v="Mintom"/>
    <s v="ZTE"/>
    <n v="0"/>
    <n v="0"/>
    <n v="0"/>
    <n v="0"/>
    <n v="0"/>
    <n v="0"/>
    <n v="0"/>
    <n v="0"/>
    <n v="0"/>
    <n v="0"/>
    <n v="0"/>
    <n v="0"/>
    <n v="0"/>
    <n v="0"/>
    <n v="0"/>
    <n v="0"/>
    <n v="0"/>
    <n v="0"/>
    <n v="0"/>
    <n v="0"/>
    <m/>
    <n v="0"/>
    <n v="0"/>
    <n v="0"/>
    <m/>
    <n v="0"/>
    <m/>
    <n v="0"/>
    <m/>
    <n v="0"/>
    <m/>
    <m/>
    <n v="0"/>
    <n v="0"/>
    <n v="0"/>
    <n v="0"/>
    <m/>
    <n v="0"/>
    <n v="0"/>
    <n v="0"/>
    <n v="0"/>
    <n v="0"/>
    <x v="0"/>
    <m/>
    <x v="2"/>
    <x v="1"/>
    <s v="no root cause"/>
    <x v="1"/>
    <s v=""/>
  </r>
  <r>
    <s v="Akom-Centre-Hill-IHS"/>
    <s v="SUD_112"/>
    <s v="CENTRE"/>
    <s v="IHS"/>
    <s v="Hybrid-Gen"/>
    <s v="SUD"/>
    <s v="Akom"/>
    <s v="ZTE"/>
    <n v="0"/>
    <n v="0"/>
    <n v="0"/>
    <n v="0"/>
    <n v="0"/>
    <n v="0"/>
    <n v="0"/>
    <n v="0"/>
    <n v="0"/>
    <n v="0"/>
    <n v="0"/>
    <n v="0"/>
    <n v="0"/>
    <n v="0"/>
    <n v="0"/>
    <n v="0"/>
    <n v="0"/>
    <n v="0"/>
    <n v="0"/>
    <n v="0"/>
    <m/>
    <n v="0"/>
    <n v="0"/>
    <n v="0"/>
    <m/>
    <n v="0"/>
    <m/>
    <n v="0"/>
    <m/>
    <n v="0"/>
    <m/>
    <m/>
    <n v="0"/>
    <n v="0"/>
    <n v="0"/>
    <n v="0"/>
    <m/>
    <n v="0"/>
    <n v="0"/>
    <n v="0"/>
    <n v="0"/>
    <n v="0"/>
    <x v="0"/>
    <m/>
    <x v="2"/>
    <x v="1"/>
    <s v="no root cause"/>
    <x v="1"/>
    <s v=""/>
  </r>
  <r>
    <s v="Ndoungue"/>
    <s v="LIT_109"/>
    <s v="LITTORAL"/>
    <s v="IHS"/>
    <s v="Grid-Gen"/>
    <s v="LITTORAL"/>
    <s v="Ndoungue"/>
    <s v="ZTE"/>
    <n v="0"/>
    <n v="0"/>
    <n v="0"/>
    <n v="0"/>
    <n v="0"/>
    <n v="0"/>
    <n v="0"/>
    <n v="0"/>
    <n v="0"/>
    <n v="0"/>
    <n v="0"/>
    <n v="0"/>
    <n v="0"/>
    <n v="0"/>
    <n v="0"/>
    <n v="0"/>
    <n v="0"/>
    <n v="0"/>
    <n v="0"/>
    <n v="0"/>
    <m/>
    <n v="0"/>
    <n v="0"/>
    <n v="0"/>
    <m/>
    <n v="0"/>
    <m/>
    <n v="0"/>
    <m/>
    <n v="0"/>
    <m/>
    <m/>
    <n v="0"/>
    <n v="0"/>
    <n v="0"/>
    <n v="0"/>
    <m/>
    <n v="0"/>
    <n v="0"/>
    <n v="0"/>
    <n v="0"/>
    <n v="0"/>
    <x v="0"/>
    <m/>
    <x v="2"/>
    <x v="1"/>
    <s v="no root cause"/>
    <x v="1"/>
    <s v=""/>
  </r>
  <r>
    <s v="Wasse"/>
    <s v="EST_153"/>
    <s v="CENTRE"/>
    <s v="ESCO"/>
    <s v="Hybrid Solar - S3"/>
    <s v="EST"/>
    <s v="Wasse"/>
    <s v="ZTE"/>
    <n v="0"/>
    <n v="0"/>
    <n v="0"/>
    <n v="0"/>
    <n v="0"/>
    <n v="0"/>
    <n v="0"/>
    <n v="0"/>
    <n v="0"/>
    <n v="0"/>
    <n v="0"/>
    <n v="0"/>
    <n v="0"/>
    <n v="0"/>
    <n v="0"/>
    <n v="0"/>
    <n v="0"/>
    <n v="0"/>
    <n v="0"/>
    <n v="0"/>
    <m/>
    <n v="0"/>
    <n v="0"/>
    <n v="0"/>
    <m/>
    <n v="0"/>
    <m/>
    <n v="0"/>
    <m/>
    <n v="0"/>
    <m/>
    <m/>
    <n v="0"/>
    <n v="0"/>
    <n v="0"/>
    <n v="0"/>
    <m/>
    <n v="0"/>
    <n v="0"/>
    <n v="0"/>
    <n v="0"/>
    <n v="0"/>
    <x v="0"/>
    <m/>
    <x v="2"/>
    <x v="1"/>
    <s v="no root cause"/>
    <x v="1"/>
    <s v="{05-25-2026 ocm ran 22H}: 25.05.26: BO TX analysis ongoing"/>
  </r>
  <r>
    <s v="Paki-IHS"/>
    <s v="EST_155"/>
    <s v="CENTRE"/>
    <m/>
    <m/>
    <s v="EST"/>
    <s v="Doumé"/>
    <s v="ZTE"/>
    <n v="0"/>
    <n v="0"/>
    <n v="0"/>
    <n v="0"/>
    <n v="0"/>
    <n v="0"/>
    <n v="0"/>
    <n v="0"/>
    <n v="0"/>
    <n v="0"/>
    <n v="0"/>
    <n v="0.04629986331195977"/>
    <n v="0"/>
    <n v="0"/>
    <n v="0"/>
    <n v="0"/>
    <n v="0"/>
    <n v="0"/>
    <n v="0"/>
    <n v="0"/>
    <m/>
    <n v="0"/>
    <n v="0"/>
    <n v="0"/>
    <m/>
    <n v="0"/>
    <m/>
    <n v="0"/>
    <m/>
    <n v="0"/>
    <m/>
    <m/>
    <n v="0"/>
    <n v="0"/>
    <n v="0"/>
    <n v="0"/>
    <m/>
    <n v="0"/>
    <n v="0"/>
    <n v="0"/>
    <n v="0"/>
    <n v="0"/>
    <x v="0"/>
    <m/>
    <x v="2"/>
    <x v="1"/>
    <s v="no root cause"/>
    <x v="1"/>
    <s v=""/>
  </r>
  <r>
    <s v="Nintyaminyoumin"/>
    <s v="SUD_130"/>
    <s v="CENTRE"/>
    <m/>
    <m/>
    <s v="SUD"/>
    <s v="Sangmelima"/>
    <s v="ZTE"/>
    <n v="0"/>
    <n v="0"/>
    <n v="0"/>
    <n v="0"/>
    <n v="0"/>
    <n v="0"/>
    <n v="0"/>
    <n v="0"/>
    <n v="0"/>
    <n v="0"/>
    <n v="0"/>
    <n v="0"/>
    <n v="0"/>
    <n v="0"/>
    <n v="0"/>
    <n v="0"/>
    <n v="0"/>
    <n v="0"/>
    <n v="0"/>
    <n v="0"/>
    <m/>
    <n v="0"/>
    <n v="0"/>
    <n v="0"/>
    <m/>
    <n v="0"/>
    <m/>
    <n v="0"/>
    <m/>
    <n v="0"/>
    <m/>
    <m/>
    <n v="0"/>
    <n v="0"/>
    <n v="0"/>
    <n v="0"/>
    <m/>
    <n v="0"/>
    <n v="0"/>
    <n v="0"/>
    <n v="0"/>
    <n v="0"/>
    <x v="0"/>
    <m/>
    <x v="2"/>
    <x v="1"/>
    <s v="no root cause"/>
    <x v="1"/>
    <s v=""/>
  </r>
  <r>
    <s v="Loum-RoundAbout"/>
    <s v="LIT_768"/>
    <s v="LITTORAL"/>
    <s v="MTN sharing"/>
    <m/>
    <s v="LITTORAL"/>
    <s v="Loum"/>
    <s v="ZTE"/>
    <n v="0"/>
    <n v="0"/>
    <n v="0"/>
    <n v="0"/>
    <n v="0"/>
    <n v="0"/>
    <n v="0"/>
    <n v="0"/>
    <n v="0"/>
    <n v="0"/>
    <n v="0"/>
    <n v="0"/>
    <n v="0"/>
    <n v="0"/>
    <n v="0"/>
    <n v="0"/>
    <n v="0"/>
    <n v="0"/>
    <n v="0"/>
    <n v="0"/>
    <m/>
    <n v="0"/>
    <n v="0"/>
    <n v="0"/>
    <m/>
    <n v="0"/>
    <m/>
    <n v="0"/>
    <m/>
    <n v="0"/>
    <m/>
    <m/>
    <n v="0"/>
    <n v="0"/>
    <n v="0"/>
    <n v="0"/>
    <m/>
    <n v="0"/>
    <n v="0"/>
    <n v="0"/>
    <n v="0"/>
    <n v="0"/>
    <x v="0"/>
    <m/>
    <x v="2"/>
    <x v="1"/>
    <s v="no root cause"/>
    <x v="1"/>
    <s v=""/>
  </r>
  <r>
    <s v="Ouro-Be-IHS"/>
    <s v="NRD_124"/>
    <s v="NORD"/>
    <s v="IHS"/>
    <s v="Grid-Hybrid-Gen"/>
    <s v="NORD"/>
    <s v="Ouro-Be"/>
    <s v="Huawei"/>
    <n v="0"/>
    <n v="0"/>
    <n v="0"/>
    <n v="0"/>
    <n v="0"/>
    <n v="0"/>
    <n v="0"/>
    <n v="0"/>
    <n v="0"/>
    <n v="0"/>
    <n v="0"/>
    <n v="0"/>
    <n v="0"/>
    <n v="0"/>
    <n v="0"/>
    <n v="0"/>
    <n v="0"/>
    <n v="0"/>
    <n v="0"/>
    <n v="0"/>
    <m/>
    <n v="0"/>
    <n v="0"/>
    <n v="0"/>
    <m/>
    <n v="0"/>
    <m/>
    <n v="0"/>
    <m/>
    <n v="0"/>
    <m/>
    <m/>
    <n v="0"/>
    <n v="0"/>
    <n v="0"/>
    <n v="0"/>
    <m/>
    <n v="0"/>
    <n v="0"/>
    <n v="0"/>
    <n v="0"/>
    <n v="0"/>
    <x v="0"/>
    <m/>
    <x v="2"/>
    <x v="1"/>
    <s v="no root cause"/>
    <x v="1"/>
    <s v=""/>
  </r>
  <r>
    <s v="Petit-Zambi"/>
    <s v="SUD_135"/>
    <s v="CENTRE"/>
    <s v="CAMUSAT"/>
    <s v="Hybrid Solar - S3"/>
    <s v="SUD"/>
    <s v="Bipindi"/>
    <s v="ZTE"/>
    <n v="0"/>
    <n v="0"/>
    <n v="0"/>
    <n v="0"/>
    <n v="0"/>
    <n v="0"/>
    <n v="0"/>
    <n v="0"/>
    <n v="0"/>
    <n v="0"/>
    <n v="0"/>
    <n v="0"/>
    <n v="0"/>
    <n v="0"/>
    <n v="0"/>
    <n v="0"/>
    <n v="0"/>
    <n v="0"/>
    <n v="0"/>
    <n v="0"/>
    <m/>
    <n v="0"/>
    <n v="0"/>
    <n v="0"/>
    <m/>
    <n v="0"/>
    <m/>
    <n v="0"/>
    <m/>
    <n v="0"/>
    <m/>
    <m/>
    <n v="0"/>
    <n v="0"/>
    <n v="0"/>
    <n v="0"/>
    <m/>
    <n v="0"/>
    <n v="0"/>
    <n v="0"/>
    <n v="0"/>
    <n v="0"/>
    <x v="0"/>
    <m/>
    <x v="2"/>
    <x v="1"/>
    <s v="no root cause"/>
    <x v="1"/>
    <s v=""/>
  </r>
  <r>
    <s v="Campo-Maan"/>
    <s v="SUD_085"/>
    <s v="CENTRE"/>
    <s v="CAMUSAT"/>
    <s v="Hybrid Solar - S3"/>
    <s v="SUD"/>
    <s v="Campo"/>
    <s v="NOKIA"/>
    <n v="0"/>
    <n v="0"/>
    <n v="0"/>
    <n v="0"/>
    <n v="0"/>
    <n v="0"/>
    <n v="0"/>
    <n v="0"/>
    <n v="0"/>
    <n v="0"/>
    <n v="0"/>
    <n v="0"/>
    <n v="0"/>
    <n v="0"/>
    <n v="0"/>
    <n v="0"/>
    <n v="0"/>
    <n v="0"/>
    <n v="0"/>
    <n v="0"/>
    <m/>
    <n v="0"/>
    <n v="0"/>
    <n v="0"/>
    <m/>
    <n v="0"/>
    <m/>
    <n v="0"/>
    <m/>
    <n v="0"/>
    <m/>
    <m/>
    <n v="0"/>
    <n v="0"/>
    <n v="0"/>
    <n v="0"/>
    <m/>
    <n v="0"/>
    <n v="0"/>
    <n v="0"/>
    <n v="0"/>
    <n v="0"/>
    <x v="0"/>
    <m/>
    <x v="2"/>
    <x v="1"/>
    <s v="no root cause"/>
    <x v="1"/>
    <s v=""/>
  </r>
  <r>
    <s v="Bato"/>
    <s v="OST_273"/>
    <s v="OUEST"/>
    <s v="CAMUSAT"/>
    <s v="Bad Grid + GE"/>
    <s v="OUEST"/>
    <s v="Bato"/>
    <s v="Huawei"/>
    <n v="0"/>
    <n v="0"/>
    <n v="0"/>
    <n v="0"/>
    <n v="0"/>
    <n v="0"/>
    <n v="0"/>
    <n v="0"/>
    <n v="0"/>
    <n v="0"/>
    <n v="0"/>
    <n v="0"/>
    <n v="0"/>
    <n v="0"/>
    <n v="0"/>
    <n v="0"/>
    <n v="0"/>
    <n v="0"/>
    <n v="0"/>
    <n v="0"/>
    <m/>
    <n v="0"/>
    <n v="0"/>
    <n v="0"/>
    <m/>
    <n v="0"/>
    <m/>
    <n v="0"/>
    <m/>
    <n v="0"/>
    <m/>
    <m/>
    <n v="0"/>
    <n v="0"/>
    <n v="0"/>
    <n v="0"/>
    <m/>
    <n v="0"/>
    <n v="0"/>
    <n v="0"/>
    <n v="0"/>
    <n v="0"/>
    <x v="0"/>
    <m/>
    <x v="2"/>
    <x v="1"/>
    <s v="no root cause"/>
    <x v="1"/>
    <s v=""/>
  </r>
  <r>
    <s v="Ambam-FH"/>
    <s v="SUD_020"/>
    <s v="CENTRE"/>
    <s v="IHS"/>
    <s v="Solar-Gen"/>
    <s v="SUD"/>
    <s v="Ambam"/>
    <s v="ZTE"/>
    <n v="0"/>
    <n v="0"/>
    <n v="0"/>
    <n v="0"/>
    <n v="0"/>
    <n v="0"/>
    <n v="0"/>
    <n v="0"/>
    <n v="0"/>
    <n v="0"/>
    <n v="0"/>
    <n v="0"/>
    <n v="0"/>
    <n v="0"/>
    <n v="0"/>
    <n v="0"/>
    <n v="0"/>
    <n v="0"/>
    <n v="0"/>
    <n v="0"/>
    <m/>
    <n v="0"/>
    <n v="0"/>
    <n v="0"/>
    <m/>
    <n v="0"/>
    <m/>
    <n v="0"/>
    <m/>
    <n v="0"/>
    <m/>
    <m/>
    <n v="0"/>
    <n v="0"/>
    <n v="0"/>
    <n v="0"/>
    <m/>
    <n v="0"/>
    <n v="0"/>
    <n v="0"/>
    <n v="0"/>
    <n v="0"/>
    <x v="0"/>
    <m/>
    <x v="2"/>
    <x v="1"/>
    <s v="no root cause"/>
    <x v="1"/>
    <s v=""/>
  </r>
  <r>
    <s v="Ntui"/>
    <s v="CTR_114"/>
    <s v="CENTRE"/>
    <s v="CAMUSAT"/>
    <s v="Medium Grid + Solar + GE"/>
    <s v="CENTRE"/>
    <s v="Ntui"/>
    <s v="ZTE"/>
    <n v="0"/>
    <n v="0"/>
    <n v="0"/>
    <n v="0"/>
    <n v="0"/>
    <n v="0"/>
    <n v="0"/>
    <n v="0"/>
    <n v="0"/>
    <n v="0"/>
    <n v="0"/>
    <n v="0"/>
    <n v="0"/>
    <n v="0"/>
    <n v="0"/>
    <n v="0"/>
    <n v="0"/>
    <n v="0"/>
    <n v="0"/>
    <n v="0"/>
    <m/>
    <n v="0"/>
    <n v="0"/>
    <n v="0"/>
    <m/>
    <n v="0"/>
    <m/>
    <n v="0"/>
    <m/>
    <n v="0"/>
    <m/>
    <m/>
    <n v="0"/>
    <n v="0"/>
    <n v="0"/>
    <n v="0"/>
    <m/>
    <n v="0"/>
    <n v="0"/>
    <n v="0"/>
    <n v="0"/>
    <n v="0"/>
    <x v="0"/>
    <m/>
    <x v="2"/>
    <x v="1"/>
    <s v="no root cause"/>
    <x v="1"/>
    <s v=""/>
  </r>
  <r>
    <s v="Figuil"/>
    <s v="NRD_005"/>
    <s v="NORD"/>
    <s v="IHS"/>
    <s v="Grid Only"/>
    <s v="NORD"/>
    <s v="Figuil"/>
    <s v="Huawei"/>
    <n v="0"/>
    <n v="0"/>
    <n v="0"/>
    <n v="0"/>
    <n v="0"/>
    <n v="0"/>
    <n v="0"/>
    <n v="0"/>
    <n v="0"/>
    <n v="0"/>
    <n v="0"/>
    <n v="0"/>
    <n v="0"/>
    <n v="0"/>
    <n v="0"/>
    <n v="0"/>
    <n v="0"/>
    <n v="0"/>
    <n v="0"/>
    <n v="0"/>
    <m/>
    <n v="0"/>
    <n v="0"/>
    <n v="0"/>
    <m/>
    <n v="0"/>
    <m/>
    <n v="0"/>
    <m/>
    <n v="0"/>
    <m/>
    <m/>
    <n v="0"/>
    <n v="0"/>
    <n v="0"/>
    <n v="0"/>
    <m/>
    <n v="0"/>
    <n v="0"/>
    <n v="0"/>
    <n v="0"/>
    <n v="0"/>
    <x v="0"/>
    <m/>
    <x v="2"/>
    <x v="1"/>
    <s v="no root cause"/>
    <x v="1"/>
    <s v=""/>
  </r>
  <r>
    <s v="Lagdo-MTN-IHS"/>
    <s v="NRD_090"/>
    <s v="NORD"/>
    <s v="IHS"/>
    <s v="Grid Only"/>
    <s v="NORD"/>
    <s v="Lagdo"/>
    <s v="Huawei"/>
    <n v="0"/>
    <n v="0"/>
    <n v="0"/>
    <n v="0"/>
    <n v="0"/>
    <n v="0"/>
    <n v="0"/>
    <n v="0"/>
    <n v="0"/>
    <n v="0"/>
    <n v="0"/>
    <n v="0"/>
    <n v="0"/>
    <n v="0"/>
    <n v="0"/>
    <n v="0"/>
    <n v="0"/>
    <n v="0"/>
    <n v="0"/>
    <n v="0"/>
    <m/>
    <n v="0"/>
    <n v="0"/>
    <n v="0"/>
    <m/>
    <n v="0"/>
    <m/>
    <n v="0"/>
    <m/>
    <n v="0"/>
    <m/>
    <m/>
    <n v="0"/>
    <n v="0"/>
    <n v="0"/>
    <n v="0"/>
    <m/>
    <n v="0"/>
    <n v="0"/>
    <n v="0"/>
    <n v="0"/>
    <n v="0"/>
    <x v="0"/>
    <m/>
    <x v="2"/>
    <x v="1"/>
    <s v="no root cause"/>
    <x v="1"/>
    <s v=""/>
  </r>
  <r>
    <s v="Crf-Figuil"/>
    <s v="NRD_074"/>
    <s v="NORD"/>
    <s v="IHS"/>
    <s v="Grid-Gen"/>
    <s v="NORD"/>
    <s v="Figuil"/>
    <s v="Huawei"/>
    <n v="0"/>
    <n v="0"/>
    <n v="0"/>
    <n v="0"/>
    <n v="0"/>
    <n v="0"/>
    <n v="0"/>
    <n v="0"/>
    <n v="0"/>
    <n v="0"/>
    <n v="0"/>
    <n v="0"/>
    <n v="0"/>
    <n v="0"/>
    <n v="0"/>
    <n v="0"/>
    <n v="0"/>
    <n v="0"/>
    <n v="0"/>
    <n v="0"/>
    <m/>
    <n v="0"/>
    <n v="0"/>
    <n v="0"/>
    <m/>
    <n v="0"/>
    <m/>
    <n v="0"/>
    <m/>
    <n v="0"/>
    <m/>
    <m/>
    <n v="0"/>
    <n v="0"/>
    <n v="0"/>
    <n v="0"/>
    <m/>
    <n v="0"/>
    <n v="0"/>
    <n v="0"/>
    <n v="0"/>
    <n v="0"/>
    <x v="0"/>
    <m/>
    <x v="2"/>
    <x v="1"/>
    <s v="no root cause"/>
    <x v="1"/>
    <s v=""/>
  </r>
  <r>
    <s v="Bamena"/>
    <s v="OST_260"/>
    <s v="OUEST"/>
    <s v="CAMUSAT"/>
    <s v="HGB"/>
    <s v="OUEST"/>
    <s v="Bamena"/>
    <s v="Huawei"/>
    <n v="0"/>
    <n v="0"/>
    <n v="0"/>
    <n v="0"/>
    <n v="0"/>
    <n v="0"/>
    <n v="0"/>
    <n v="0"/>
    <n v="0"/>
    <n v="0"/>
    <n v="0"/>
    <n v="0"/>
    <n v="0"/>
    <n v="0"/>
    <n v="0"/>
    <n v="0"/>
    <n v="0"/>
    <n v="0"/>
    <n v="0"/>
    <n v="0"/>
    <m/>
    <n v="0"/>
    <n v="0"/>
    <n v="0"/>
    <m/>
    <n v="0"/>
    <m/>
    <n v="0"/>
    <m/>
    <n v="0"/>
    <m/>
    <m/>
    <n v="0"/>
    <n v="0"/>
    <n v="0"/>
    <n v="0"/>
    <m/>
    <n v="0"/>
    <n v="0"/>
    <n v="0"/>
    <n v="0"/>
    <n v="0"/>
    <x v="0"/>
    <m/>
    <x v="7"/>
    <x v="3"/>
    <s v="Sites strategiques, MLL, Pylone, etc."/>
    <x v="0"/>
    <s v="{05-25-2026   groupe whatsapp   incident}:    impacted by  OST_033_H_Batchingou   ,Cause: infiltration d'eau dans la radio de Yenon dir Batchingou   ,Action: Sans action      ;      {05-25-2026 ocm ran 22H}: P2 Incident at OST_033_H_Batchingou; TX issue, Hammer      ;      {05-25-2026 ocm ran 17H}: Power status check Ongoing"/>
  </r>
  <r>
    <s v="Padarme-IHS"/>
    <s v="NRD_164"/>
    <s v="NORD"/>
    <s v="IHS"/>
    <s v="Hybrid-Gen"/>
    <s v="NORD"/>
    <s v="Padarme"/>
    <s v="Huawei"/>
    <n v="0"/>
    <n v="0"/>
    <n v="0"/>
    <n v="0"/>
    <n v="0"/>
    <n v="0"/>
    <n v="0"/>
    <n v="0"/>
    <n v="0"/>
    <n v="0"/>
    <n v="0"/>
    <n v="0"/>
    <n v="0"/>
    <n v="0"/>
    <n v="0"/>
    <n v="0"/>
    <n v="0"/>
    <n v="0"/>
    <n v="0"/>
    <n v="0"/>
    <m/>
    <n v="0"/>
    <n v="0"/>
    <n v="0"/>
    <m/>
    <n v="0"/>
    <m/>
    <n v="0"/>
    <m/>
    <n v="0"/>
    <m/>
    <m/>
    <n v="0"/>
    <n v="0"/>
    <n v="0"/>
    <n v="0"/>
    <m/>
    <n v="0"/>
    <n v="0"/>
    <n v="0"/>
    <n v="0"/>
    <n v="0"/>
    <x v="0"/>
    <m/>
    <x v="4"/>
    <x v="0"/>
    <s v="Defaut GE &amp; Power Cabinet"/>
    <x v="0"/>
    <s v="{05-25-2026  incident}:    impacted by  Boula-1bVIHS G NRD_105   ,Cause:   Souci Energie   Action:   En Attente RCA IHS"/>
  </r>
  <r>
    <s v="Ndokoa-IHS"/>
    <s v="CTR_757"/>
    <s v="CENTRE"/>
    <s v="IHS"/>
    <s v="Solar-Gen-Lithium"/>
    <s v="CENTRE"/>
    <s v="Ndokoa"/>
    <s v="ZTE"/>
    <n v="0"/>
    <n v="0"/>
    <n v="0"/>
    <n v="0"/>
    <n v="0"/>
    <n v="0"/>
    <n v="0"/>
    <n v="0"/>
    <n v="0"/>
    <n v="0"/>
    <n v="0"/>
    <n v="0"/>
    <n v="0"/>
    <n v="0"/>
    <n v="0"/>
    <n v="0"/>
    <n v="0"/>
    <n v="0"/>
    <n v="0"/>
    <n v="0"/>
    <m/>
    <n v="0"/>
    <n v="0"/>
    <n v="0"/>
    <m/>
    <n v="0"/>
    <m/>
    <n v="0"/>
    <m/>
    <n v="0"/>
    <m/>
    <m/>
    <n v="0"/>
    <n v="0"/>
    <n v="0"/>
    <n v="0"/>
    <m/>
    <n v="0"/>
    <n v="0"/>
    <n v="0"/>
    <n v="0"/>
    <n v="0"/>
    <x v="0"/>
    <m/>
    <x v="2"/>
    <x v="1"/>
    <s v="no root cause"/>
    <x v="1"/>
    <s v=""/>
  </r>
  <r>
    <s v="Bibemi"/>
    <s v="NRD_021"/>
    <s v="NORD"/>
    <s v="IHS"/>
    <s v="Solar-Grid-Gen"/>
    <s v="NORD"/>
    <s v="Bibemi"/>
    <s v="Huawei"/>
    <n v="0"/>
    <n v="0"/>
    <n v="0"/>
    <n v="0"/>
    <n v="0"/>
    <n v="0"/>
    <n v="0"/>
    <n v="0"/>
    <n v="0"/>
    <n v="0"/>
    <n v="0"/>
    <n v="0"/>
    <n v="0"/>
    <n v="0"/>
    <n v="0"/>
    <n v="0"/>
    <n v="0"/>
    <n v="0"/>
    <n v="0"/>
    <n v="0"/>
    <m/>
    <n v="0"/>
    <n v="0"/>
    <n v="0"/>
    <m/>
    <n v="0"/>
    <m/>
    <n v="0"/>
    <m/>
    <n v="0"/>
    <m/>
    <m/>
    <n v="0"/>
    <n v="0"/>
    <n v="0"/>
    <n v="0"/>
    <m/>
    <n v="0"/>
    <n v="0"/>
    <n v="0"/>
    <n v="0"/>
    <n v="0"/>
    <x v="0"/>
    <m/>
    <x v="2"/>
    <x v="1"/>
    <s v="no root cause"/>
    <x v="1"/>
    <s v=""/>
  </r>
  <r>
    <s v="Boula-Ibi-IHS"/>
    <s v="NRD_105"/>
    <s v="NORD"/>
    <s v="IHS"/>
    <s v="Hybrid-Gen"/>
    <s v="NORD"/>
    <s v="Boula-Ibi"/>
    <s v="Huawei"/>
    <n v="0"/>
    <n v="0"/>
    <n v="0"/>
    <n v="0"/>
    <n v="0"/>
    <n v="0"/>
    <n v="0"/>
    <n v="0"/>
    <n v="0"/>
    <n v="0"/>
    <n v="0"/>
    <n v="0"/>
    <n v="0"/>
    <n v="0"/>
    <n v="0"/>
    <n v="0"/>
    <n v="0"/>
    <n v="0"/>
    <n v="0"/>
    <n v="0"/>
    <m/>
    <n v="0"/>
    <n v="0"/>
    <n v="0"/>
    <m/>
    <n v="0"/>
    <m/>
    <n v="0"/>
    <m/>
    <n v="0"/>
    <m/>
    <m/>
    <n v="0"/>
    <n v="0"/>
    <n v="0"/>
    <n v="0"/>
    <m/>
    <n v="0"/>
    <n v="0"/>
    <n v="0"/>
    <n v="0"/>
    <n v="0"/>
    <x v="0"/>
    <m/>
    <x v="4"/>
    <x v="0"/>
    <s v="Defaut GE &amp; Power Cabinet"/>
    <x v="0"/>
    <s v="{05-25-2026  incident}:    impacted by  Boula-1bVIHS G NRD_105   ,Cause:   Souci Energie   Action:   En Attente RCA IHS"/>
  </r>
  <r>
    <s v="Adoumri-Houla-IHS"/>
    <s v="NRD_126"/>
    <s v="NORD"/>
    <s v="IHS"/>
    <s v="Grid-Gen"/>
    <s v="NORD"/>
    <s v="Adoumri"/>
    <s v="Huawei"/>
    <n v="0"/>
    <n v="0"/>
    <n v="0"/>
    <n v="0"/>
    <n v="0"/>
    <n v="0"/>
    <n v="0"/>
    <n v="0"/>
    <n v="0"/>
    <n v="0"/>
    <n v="0"/>
    <n v="0"/>
    <n v="0"/>
    <n v="0"/>
    <n v="0"/>
    <n v="0"/>
    <n v="0"/>
    <n v="0"/>
    <n v="0"/>
    <n v="0"/>
    <m/>
    <n v="0"/>
    <n v="0"/>
    <n v="0"/>
    <m/>
    <n v="0"/>
    <m/>
    <n v="0"/>
    <m/>
    <n v="0"/>
    <m/>
    <m/>
    <n v="0"/>
    <n v="0"/>
    <n v="0"/>
    <n v="0"/>
    <m/>
    <n v="0"/>
    <n v="0"/>
    <n v="0"/>
    <n v="0"/>
    <n v="0"/>
    <x v="0"/>
    <m/>
    <x v="4"/>
    <x v="0"/>
    <s v="Defaut GE &amp; Power Cabinet"/>
    <x v="0"/>
    <s v="{05-25-2026  incident}:    impacted by   Adoumri-Houla-IHS_NRD_126  ,Cause: Probleme energie    Action: RCA attendu de IHS"/>
  </r>
  <r>
    <s v="Poli-New"/>
    <s v="ADM_152"/>
    <s v="ADAMAOUA"/>
    <s v="IHS"/>
    <s v="Hybrid-Gen"/>
    <s v="ADAMAOUA"/>
    <s v="Poli"/>
    <s v="Huawei"/>
    <n v="0"/>
    <n v="0"/>
    <n v="0"/>
    <n v="0"/>
    <n v="0"/>
    <n v="0"/>
    <n v="0"/>
    <n v="0"/>
    <n v="0"/>
    <n v="0"/>
    <n v="0"/>
    <n v="0"/>
    <n v="0"/>
    <n v="0"/>
    <n v="0"/>
    <n v="0"/>
    <n v="0"/>
    <n v="0"/>
    <n v="0"/>
    <n v="0"/>
    <m/>
    <n v="0"/>
    <n v="0"/>
    <n v="0"/>
    <m/>
    <n v="0"/>
    <m/>
    <n v="0"/>
    <m/>
    <n v="0"/>
    <m/>
    <m/>
    <n v="0"/>
    <n v="0"/>
    <n v="0"/>
    <n v="0"/>
    <m/>
    <n v="0"/>
    <n v="0"/>
    <n v="0"/>
    <n v="0"/>
    <n v="0"/>
    <x v="0"/>
    <m/>
    <x v="2"/>
    <x v="1"/>
    <s v="no root cause"/>
    <x v="1"/>
    <s v=""/>
  </r>
  <r>
    <s v="Badjouma"/>
    <s v="NRD_026"/>
    <s v="NORD"/>
    <s v="IHS"/>
    <s v="Solar-Gen"/>
    <s v="NORD"/>
    <s v="Badjouma"/>
    <s v="Huawei"/>
    <n v="0"/>
    <n v="0"/>
    <n v="0"/>
    <n v="0"/>
    <n v="0"/>
    <n v="0"/>
    <n v="0"/>
    <n v="0"/>
    <n v="0"/>
    <n v="0"/>
    <n v="0"/>
    <n v="0"/>
    <n v="0"/>
    <n v="0"/>
    <n v="0"/>
    <n v="0"/>
    <n v="0"/>
    <n v="0"/>
    <n v="0"/>
    <n v="0"/>
    <m/>
    <n v="0"/>
    <n v="0"/>
    <n v="0"/>
    <m/>
    <n v="0"/>
    <m/>
    <n v="0"/>
    <m/>
    <n v="0"/>
    <m/>
    <m/>
    <n v="0"/>
    <n v="0"/>
    <n v="0"/>
    <n v="0"/>
    <m/>
    <n v="0"/>
    <n v="0"/>
    <n v="0"/>
    <n v="0"/>
    <n v="0"/>
    <x v="0"/>
    <m/>
    <x v="2"/>
    <x v="1"/>
    <s v="no root cause"/>
    <x v="1"/>
    <s v=""/>
  </r>
  <r>
    <s v="Tiko-Long-Street-IHS"/>
    <s v="LIT_174"/>
    <s v="SUD-OUEST"/>
    <s v="IHS"/>
    <s v="Grid-Gen"/>
    <s v="LITTORAL"/>
    <s v="Tiko"/>
    <s v="Huawei"/>
    <n v="0"/>
    <n v="0"/>
    <n v="0"/>
    <n v="0"/>
    <n v="0"/>
    <n v="0"/>
    <n v="0"/>
    <n v="0"/>
    <n v="0"/>
    <n v="0"/>
    <n v="0"/>
    <n v="0"/>
    <n v="0"/>
    <n v="0"/>
    <n v="0"/>
    <n v="0"/>
    <n v="0"/>
    <n v="0"/>
    <n v="0"/>
    <n v="0"/>
    <m/>
    <n v="0"/>
    <n v="0"/>
    <n v="0"/>
    <m/>
    <n v="0"/>
    <m/>
    <n v="0"/>
    <m/>
    <n v="0"/>
    <m/>
    <m/>
    <n v="0"/>
    <n v="0"/>
    <n v="0"/>
    <n v="0"/>
    <m/>
    <n v="0"/>
    <n v="0"/>
    <n v="0"/>
    <n v="0"/>
    <n v="0"/>
    <x v="0"/>
    <m/>
    <x v="4"/>
    <x v="0"/>
    <s v="Defaut GE &amp; Power Cabinet"/>
    <x v="0"/>
    <s v="{hourly IHS}: 25/05/2026 05:16 1:07:35 DG Stopped due to low fuel."/>
  </r>
  <r>
    <s v="Melong"/>
    <s v="LIT_063"/>
    <s v="LITTORAL"/>
    <s v="IHS"/>
    <s v="Grid-Gen"/>
    <s v="LITTORAL"/>
    <s v="Melong"/>
    <s v="ZTE"/>
    <n v="0"/>
    <n v="0"/>
    <n v="0"/>
    <n v="0"/>
    <n v="0"/>
    <n v="0"/>
    <n v="0"/>
    <n v="0"/>
    <n v="0"/>
    <n v="0"/>
    <n v="0"/>
    <n v="0.481101237611755"/>
    <n v="0"/>
    <n v="0"/>
    <n v="0"/>
    <n v="0"/>
    <n v="0"/>
    <n v="0"/>
    <n v="0"/>
    <n v="0"/>
    <m/>
    <n v="0"/>
    <n v="0"/>
    <n v="0"/>
    <m/>
    <n v="0"/>
    <m/>
    <n v="0"/>
    <m/>
    <n v="0"/>
    <m/>
    <m/>
    <n v="0"/>
    <n v="0"/>
    <n v="0"/>
    <n v="0"/>
    <m/>
    <n v="0"/>
    <n v="0"/>
    <n v="0"/>
    <n v="0"/>
    <n v="0"/>
    <x v="0"/>
    <m/>
    <x v="2"/>
    <x v="1"/>
    <s v="no root cause"/>
    <x v="1"/>
    <s v=""/>
  </r>
  <r>
    <s v="Baliama"/>
    <s v="CTR_352"/>
    <s v="CENTRE"/>
    <s v="IHS"/>
    <s v="Grid-Gen"/>
    <s v="CENTRE"/>
    <s v="Baliama"/>
    <s v="ZTE"/>
    <n v="0"/>
    <n v="0"/>
    <n v="0"/>
    <n v="0"/>
    <n v="0"/>
    <n v="0"/>
    <n v="0"/>
    <n v="0"/>
    <n v="0"/>
    <n v="0"/>
    <n v="0"/>
    <n v="35.55886574609126"/>
    <n v="0"/>
    <n v="0"/>
    <n v="0"/>
    <n v="0"/>
    <n v="0"/>
    <n v="0"/>
    <n v="0"/>
    <n v="0"/>
    <m/>
    <n v="0"/>
    <n v="0"/>
    <n v="0"/>
    <m/>
    <n v="0"/>
    <m/>
    <n v="0"/>
    <m/>
    <n v="0"/>
    <m/>
    <m/>
    <n v="0"/>
    <n v="0"/>
    <n v="0"/>
    <n v="0"/>
    <m/>
    <n v="0"/>
    <n v="0"/>
    <n v="0"/>
    <n v="0"/>
    <n v="0"/>
    <x v="0"/>
    <m/>
    <x v="2"/>
    <x v="1"/>
    <s v="no root cause"/>
    <x v="1"/>
    <s v=""/>
  </r>
  <r>
    <s v="Deuk"/>
    <s v="CTR_277"/>
    <s v="CENTRE"/>
    <s v="IHS"/>
    <s v="Solar-Gen"/>
    <s v="CENTRE"/>
    <s v="Deuk"/>
    <s v="ZTE"/>
    <n v="0"/>
    <n v="0"/>
    <n v="0"/>
    <n v="0"/>
    <n v="0"/>
    <n v="0"/>
    <n v="0"/>
    <n v="0"/>
    <n v="0"/>
    <n v="0"/>
    <n v="0"/>
    <n v="0"/>
    <n v="0"/>
    <n v="0"/>
    <n v="0"/>
    <n v="0"/>
    <n v="0"/>
    <n v="0"/>
    <n v="0"/>
    <n v="0"/>
    <m/>
    <n v="0"/>
    <n v="0"/>
    <n v="0"/>
    <m/>
    <n v="0"/>
    <m/>
    <n v="0"/>
    <m/>
    <n v="0"/>
    <m/>
    <m/>
    <n v="0"/>
    <n v="0"/>
    <n v="0"/>
    <n v="0"/>
    <m/>
    <n v="0"/>
    <n v="0"/>
    <n v="0"/>
    <n v="0"/>
    <n v="0"/>
    <x v="0"/>
    <m/>
    <x v="2"/>
    <x v="1"/>
    <s v="no root cause"/>
    <x v="1"/>
    <s v=""/>
  </r>
  <r>
    <s v="Ngoro"/>
    <s v="CTR_278"/>
    <s v="CENTRE"/>
    <s v="IHS"/>
    <s v="SolarAER-Gen-Lithium"/>
    <s v="CENTRE"/>
    <s v="Ngoro"/>
    <s v="ZTE"/>
    <n v="0"/>
    <n v="0"/>
    <n v="0"/>
    <n v="0"/>
    <n v="0"/>
    <n v="0"/>
    <n v="0"/>
    <n v="0"/>
    <n v="0"/>
    <n v="0"/>
    <n v="0"/>
    <n v="0"/>
    <n v="0"/>
    <n v="0"/>
    <n v="0"/>
    <n v="0"/>
    <n v="0"/>
    <n v="0"/>
    <n v="0"/>
    <n v="0"/>
    <m/>
    <n v="0"/>
    <n v="0"/>
    <n v="0"/>
    <m/>
    <n v="0"/>
    <m/>
    <n v="0"/>
    <m/>
    <n v="0"/>
    <m/>
    <m/>
    <n v="0"/>
    <n v="0"/>
    <n v="0"/>
    <n v="0"/>
    <m/>
    <n v="0"/>
    <n v="0"/>
    <n v="0"/>
    <n v="0"/>
    <n v="0"/>
    <x v="0"/>
    <m/>
    <x v="2"/>
    <x v="1"/>
    <s v="no root cause"/>
    <x v="1"/>
    <s v=""/>
  </r>
  <r>
    <s v="Manoka-IHS"/>
    <s v="LIT_497"/>
    <s v="LITTORAL"/>
    <s v="IHS"/>
    <s v="Solar-Gen-Lithium"/>
    <s v="LITTORAL"/>
    <s v="Manoka"/>
    <s v="ZTE"/>
    <n v="0"/>
    <n v="0"/>
    <n v="0"/>
    <n v="0"/>
    <n v="0"/>
    <n v="0"/>
    <n v="0"/>
    <n v="0"/>
    <n v="0"/>
    <n v="0"/>
    <n v="0"/>
    <n v="0"/>
    <n v="0"/>
    <n v="0"/>
    <n v="0"/>
    <n v="0"/>
    <n v="0"/>
    <n v="0"/>
    <n v="0"/>
    <n v="0"/>
    <m/>
    <n v="0"/>
    <n v="0"/>
    <n v="0"/>
    <m/>
    <n v="0"/>
    <m/>
    <n v="0"/>
    <m/>
    <n v="0"/>
    <m/>
    <m/>
    <n v="0"/>
    <n v="0"/>
    <n v="0"/>
    <n v="0"/>
    <m/>
    <n v="0"/>
    <n v="0"/>
    <n v="0"/>
    <n v="0"/>
    <n v="0"/>
    <x v="0"/>
    <m/>
    <x v="2"/>
    <x v="1"/>
    <s v="no root cause"/>
    <x v="1"/>
    <s v=""/>
  </r>
  <r>
    <s v="Dikoum-Camtel"/>
    <s v="SUD_098"/>
    <s v="CENTRE"/>
    <s v="CAMUSAT"/>
    <s v="Good Grid no GE - 12h"/>
    <s v="SUD"/>
    <s v="Dikoum"/>
    <s v="NOKIA"/>
    <n v="0"/>
    <n v="0"/>
    <n v="0"/>
    <n v="0"/>
    <n v="0"/>
    <n v="0"/>
    <n v="0"/>
    <n v="0"/>
    <n v="0"/>
    <n v="0"/>
    <n v="0"/>
    <n v="0"/>
    <n v="0"/>
    <n v="0"/>
    <n v="0"/>
    <n v="0"/>
    <n v="0"/>
    <n v="0"/>
    <n v="0"/>
    <n v="0"/>
    <m/>
    <n v="0"/>
    <n v="0"/>
    <n v="0"/>
    <m/>
    <n v="0"/>
    <m/>
    <n v="0"/>
    <m/>
    <n v="0"/>
    <m/>
    <m/>
    <n v="0"/>
    <n v="0"/>
    <n v="0"/>
    <n v="0"/>
    <m/>
    <n v="0"/>
    <n v="0"/>
    <n v="0"/>
    <n v="0"/>
    <n v="0"/>
    <x v="0"/>
    <m/>
    <x v="2"/>
    <x v="1"/>
    <s v="no root cause"/>
    <x v="1"/>
    <s v=""/>
  </r>
  <r>
    <s v="Ndandouck-IHS"/>
    <s v="CTR_141"/>
    <s v="CENTRE"/>
    <s v="IHS"/>
    <s v="Solar-Gen"/>
    <s v="CENTRE"/>
    <s v="Ndandouck"/>
    <s v="ZTE"/>
    <n v="0"/>
    <n v="0"/>
    <n v="0"/>
    <n v="0"/>
    <n v="0"/>
    <n v="0"/>
    <n v="0"/>
    <n v="0"/>
    <n v="0"/>
    <n v="0"/>
    <n v="0"/>
    <n v="0"/>
    <n v="0"/>
    <n v="0"/>
    <n v="0"/>
    <n v="0"/>
    <n v="0"/>
    <n v="0"/>
    <n v="0"/>
    <n v="0"/>
    <m/>
    <n v="0"/>
    <n v="0"/>
    <n v="0"/>
    <m/>
    <n v="0"/>
    <m/>
    <n v="0"/>
    <m/>
    <n v="0"/>
    <m/>
    <m/>
    <n v="0"/>
    <n v="0"/>
    <n v="0"/>
    <n v="0"/>
    <m/>
    <n v="0"/>
    <n v="0"/>
    <n v="0"/>
    <n v="0"/>
    <n v="0"/>
    <x v="0"/>
    <m/>
    <x v="2"/>
    <x v="1"/>
    <s v="no root cause"/>
    <x v="1"/>
    <s v=""/>
  </r>
  <r>
    <s v="Melong-Carrefour-MTN"/>
    <s v="LIT_679"/>
    <s v="LITTORAL"/>
    <s v="MTN sharing"/>
    <s v="MTN sharing"/>
    <s v="LITTORAL"/>
    <s v="Melong"/>
    <s v="ZTE"/>
    <n v="0"/>
    <n v="0"/>
    <n v="0"/>
    <n v="0"/>
    <n v="0"/>
    <n v="0"/>
    <n v="0"/>
    <n v="0"/>
    <n v="0"/>
    <n v="0"/>
    <n v="0"/>
    <n v="0"/>
    <n v="0"/>
    <n v="0"/>
    <n v="0"/>
    <n v="0"/>
    <n v="0"/>
    <n v="0"/>
    <n v="0"/>
    <n v="0"/>
    <m/>
    <n v="0"/>
    <n v="0"/>
    <n v="0"/>
    <m/>
    <n v="0"/>
    <m/>
    <n v="0"/>
    <m/>
    <n v="0"/>
    <m/>
    <m/>
    <n v="0"/>
    <n v="0"/>
    <n v="0"/>
    <n v="0"/>
    <m/>
    <n v="0"/>
    <n v="0"/>
    <n v="0"/>
    <n v="0"/>
    <n v="0"/>
    <x v="0"/>
    <m/>
    <x v="2"/>
    <x v="1"/>
    <s v="no root cause"/>
    <x v="1"/>
    <s v=""/>
  </r>
  <r>
    <s v="Kobdombo"/>
    <s v="EST_057"/>
    <s v="CENTRE"/>
    <s v="IHS"/>
    <s v="Grid-Gen"/>
    <s v="EST"/>
    <s v="Kobdombo"/>
    <s v="ZTE"/>
    <n v="0"/>
    <n v="0"/>
    <n v="0"/>
    <n v="0"/>
    <n v="0"/>
    <n v="0"/>
    <n v="0"/>
    <n v="0"/>
    <n v="0"/>
    <n v="0"/>
    <n v="0"/>
    <n v="0"/>
    <n v="0"/>
    <n v="0"/>
    <n v="0"/>
    <n v="0"/>
    <n v="0"/>
    <n v="0"/>
    <n v="0"/>
    <n v="0"/>
    <m/>
    <n v="0"/>
    <n v="0"/>
    <n v="0"/>
    <m/>
    <n v="0"/>
    <m/>
    <n v="0"/>
    <m/>
    <n v="0"/>
    <m/>
    <m/>
    <n v="0"/>
    <n v="0"/>
    <n v="0"/>
    <n v="0"/>
    <m/>
    <n v="0"/>
    <n v="0"/>
    <n v="0"/>
    <n v="0"/>
    <n v="0"/>
    <x v="0"/>
    <m/>
    <x v="2"/>
    <x v="1"/>
    <s v="no root cause"/>
    <x v="1"/>
    <s v=""/>
  </r>
  <r>
    <s v="Penja"/>
    <s v="LIT_208"/>
    <s v="LITTORAL"/>
    <s v="IHS"/>
    <s v="Grid-Gen"/>
    <s v="LITTORAL"/>
    <s v="Penja"/>
    <s v="ZTE"/>
    <n v="0"/>
    <n v="0"/>
    <n v="0"/>
    <n v="0"/>
    <n v="0"/>
    <n v="0"/>
    <n v="0"/>
    <n v="0"/>
    <n v="0"/>
    <n v="0"/>
    <n v="0"/>
    <n v="0"/>
    <n v="0"/>
    <n v="0"/>
    <n v="0"/>
    <n v="0"/>
    <n v="0"/>
    <n v="0"/>
    <n v="0"/>
    <n v="0"/>
    <m/>
    <n v="0"/>
    <n v="0"/>
    <n v="0"/>
    <m/>
    <n v="0"/>
    <m/>
    <n v="0"/>
    <m/>
    <n v="0"/>
    <m/>
    <m/>
    <n v="0"/>
    <n v="0"/>
    <n v="0"/>
    <n v="0"/>
    <m/>
    <n v="0"/>
    <n v="0"/>
    <n v="0"/>
    <n v="0"/>
    <n v="0"/>
    <x v="0"/>
    <m/>
    <x v="2"/>
    <x v="1"/>
    <s v="no root cause"/>
    <x v="1"/>
    <s v=""/>
  </r>
  <r>
    <s v="Okola"/>
    <s v="CTR_191"/>
    <s v="CENTRE"/>
    <s v="IHS"/>
    <s v="Grid-Gen"/>
    <s v="CENTRE"/>
    <s v="Okola"/>
    <s v="ZTE"/>
    <n v="0"/>
    <n v="0"/>
    <n v="0"/>
    <n v="0"/>
    <n v="0"/>
    <n v="0"/>
    <n v="0"/>
    <n v="0"/>
    <n v="0"/>
    <n v="0"/>
    <n v="0"/>
    <n v="0"/>
    <n v="0"/>
    <n v="0"/>
    <n v="0"/>
    <n v="0"/>
    <n v="0"/>
    <n v="0"/>
    <n v="0"/>
    <n v="0"/>
    <m/>
    <n v="0"/>
    <n v="0"/>
    <n v="0"/>
    <m/>
    <n v="0"/>
    <m/>
    <n v="0"/>
    <m/>
    <n v="0"/>
    <m/>
    <m/>
    <n v="0"/>
    <n v="0"/>
    <n v="0"/>
    <n v="0"/>
    <m/>
    <n v="0"/>
    <n v="0"/>
    <n v="0"/>
    <n v="0"/>
    <n v="0"/>
    <x v="0"/>
    <m/>
    <x v="4"/>
    <x v="0"/>
    <s v="Defaut GE &amp; Power Cabinet"/>
    <x v="0"/>
    <s v="{hourly IHS}: 25/05/2026 02:31 0:51:46 45.7V fme is on the way ETA 03:20 AM"/>
  </r>
  <r>
    <s v="Lom-Pangar-MTN"/>
    <s v="EST_083"/>
    <s v="CENTRE"/>
    <s v="IHS"/>
    <s v="Grid-Gen-Lithium"/>
    <s v="EST"/>
    <s v="Lom-Pangar"/>
    <s v="NOKIA"/>
    <n v="0"/>
    <n v="0"/>
    <n v="0"/>
    <n v="0"/>
    <n v="0"/>
    <n v="0"/>
    <n v="0"/>
    <n v="0"/>
    <n v="0"/>
    <n v="0"/>
    <n v="0"/>
    <n v="0"/>
    <n v="0"/>
    <n v="0"/>
    <n v="0"/>
    <n v="0"/>
    <n v="0"/>
    <n v="0"/>
    <n v="0"/>
    <n v="0"/>
    <m/>
    <n v="0"/>
    <n v="0"/>
    <n v="0"/>
    <m/>
    <n v="0"/>
    <m/>
    <n v="0"/>
    <m/>
    <n v="0"/>
    <m/>
    <m/>
    <n v="0"/>
    <n v="0"/>
    <n v="0"/>
    <n v="0"/>
    <m/>
    <n v="0"/>
    <n v="0"/>
    <n v="0"/>
    <n v="0"/>
    <n v="0"/>
    <x v="0"/>
    <m/>
    <x v="2"/>
    <x v="1"/>
    <s v="no root cause"/>
    <x v="1"/>
    <s v=""/>
  </r>
  <r>
    <s v="Penka-Michel-IHS"/>
    <s v="OST_210"/>
    <s v="OUEST"/>
    <s v="IHS"/>
    <s v="Grid-Gen"/>
    <s v="OUEST"/>
    <s v="Penka-Michel"/>
    <s v="Huawei"/>
    <n v="0"/>
    <n v="0"/>
    <n v="0"/>
    <n v="0"/>
    <n v="0"/>
    <n v="0"/>
    <n v="0"/>
    <n v="0"/>
    <n v="0"/>
    <n v="0"/>
    <n v="0"/>
    <n v="0"/>
    <n v="0"/>
    <n v="0"/>
    <n v="0"/>
    <n v="0"/>
    <n v="0"/>
    <n v="0"/>
    <n v="0"/>
    <n v="0"/>
    <m/>
    <n v="0"/>
    <n v="0"/>
    <n v="0"/>
    <m/>
    <n v="0"/>
    <m/>
    <n v="0"/>
    <m/>
    <n v="0"/>
    <m/>
    <m/>
    <n v="0"/>
    <n v="0"/>
    <n v="0"/>
    <n v="0"/>
    <m/>
    <n v="0"/>
    <n v="0"/>
    <n v="0"/>
    <n v="0"/>
    <n v="0"/>
    <x v="0"/>
    <m/>
    <x v="2"/>
    <x v="1"/>
    <s v="no root cause"/>
    <x v="1"/>
    <s v=""/>
  </r>
  <r>
    <s v="Minta"/>
    <s v="CTR_233"/>
    <s v="CENTRE"/>
    <s v="IHS"/>
    <s v="Grid-Hybrid-Gen"/>
    <s v="CENTRE"/>
    <s v="Minta"/>
    <s v="ZTE"/>
    <n v="0"/>
    <n v="0"/>
    <n v="0"/>
    <n v="0"/>
    <n v="0"/>
    <n v="0"/>
    <n v="0"/>
    <n v="0"/>
    <n v="0"/>
    <n v="0"/>
    <n v="0"/>
    <n v="0"/>
    <n v="0"/>
    <n v="0"/>
    <n v="0"/>
    <n v="0"/>
    <n v="0"/>
    <n v="0"/>
    <n v="0"/>
    <n v="0"/>
    <m/>
    <n v="0"/>
    <n v="0"/>
    <n v="0"/>
    <m/>
    <n v="0"/>
    <m/>
    <n v="0"/>
    <m/>
    <n v="0"/>
    <m/>
    <m/>
    <n v="0"/>
    <n v="0"/>
    <n v="0"/>
    <n v="0"/>
    <m/>
    <n v="0"/>
    <n v="0"/>
    <n v="0"/>
    <n v="0"/>
    <n v="0"/>
    <x v="0"/>
    <m/>
    <x v="2"/>
    <x v="1"/>
    <s v="no root cause"/>
    <x v="1"/>
    <s v=""/>
  </r>
  <r>
    <s v="Mbitom-camrail"/>
    <s v="EST_105"/>
    <s v="CENTRE"/>
    <s v="CAMUSAT"/>
    <s v="Hybrid solar - S1"/>
    <s v="EST"/>
    <s v="Betare-Oya"/>
    <s v="NOKIA"/>
    <n v="0"/>
    <n v="0"/>
    <n v="0"/>
    <n v="0"/>
    <n v="0"/>
    <n v="0"/>
    <n v="0"/>
    <n v="0"/>
    <n v="0"/>
    <n v="0"/>
    <n v="0"/>
    <n v="0"/>
    <n v="0"/>
    <n v="0"/>
    <n v="0"/>
    <n v="0"/>
    <n v="0"/>
    <n v="0"/>
    <n v="0"/>
    <n v="0"/>
    <m/>
    <n v="0"/>
    <n v="0"/>
    <n v="0"/>
    <m/>
    <n v="0"/>
    <m/>
    <n v="0"/>
    <m/>
    <n v="0"/>
    <m/>
    <m/>
    <n v="0"/>
    <n v="0"/>
    <n v="0"/>
    <n v="0"/>
    <m/>
    <n v="0"/>
    <n v="0"/>
    <n v="0"/>
    <n v="0"/>
    <n v="0"/>
    <x v="0"/>
    <m/>
    <x v="2"/>
    <x v="1"/>
    <s v="no root cause"/>
    <x v="1"/>
    <s v=""/>
  </r>
  <r>
    <s v="Bembaran-Camtel"/>
    <s v="ADM_185"/>
    <s v="ADAMAOUA"/>
    <s v="CAMUSAT"/>
    <s v="Hibrid solar - s3"/>
    <s v="ADAMAOUA"/>
    <s v="Bembaran"/>
    <s v="Huawei"/>
    <n v="0"/>
    <n v="0"/>
    <n v="0"/>
    <n v="0"/>
    <n v="0"/>
    <n v="0"/>
    <n v="0"/>
    <n v="0"/>
    <n v="0"/>
    <n v="0"/>
    <n v="0"/>
    <n v="0"/>
    <n v="0"/>
    <n v="0"/>
    <n v="0"/>
    <n v="0"/>
    <n v="0"/>
    <n v="0"/>
    <n v="0"/>
    <n v="0"/>
    <m/>
    <n v="0"/>
    <n v="0"/>
    <n v="0"/>
    <m/>
    <n v="0"/>
    <m/>
    <n v="0"/>
    <m/>
    <n v="0"/>
    <m/>
    <m/>
    <n v="0"/>
    <n v="0"/>
    <n v="0"/>
    <n v="0"/>
    <m/>
    <n v="0"/>
    <n v="0"/>
    <n v="0"/>
    <n v="0"/>
    <n v="0"/>
    <x v="0"/>
    <m/>
    <x v="2"/>
    <x v="1"/>
    <s v="no root cause"/>
    <x v="1"/>
    <s v=""/>
  </r>
  <r>
    <s v="Mbargue-Camrail"/>
    <s v="CTR_457"/>
    <s v="CENTRE"/>
    <s v="IHS"/>
    <e v="#N/A"/>
    <s v="CENTRE"/>
    <s v="Minta"/>
    <s v="NOKIA"/>
    <n v="0"/>
    <n v="0"/>
    <n v="0"/>
    <n v="0"/>
    <n v="0"/>
    <n v="0"/>
    <n v="0"/>
    <n v="0"/>
    <n v="0"/>
    <n v="0"/>
    <n v="0"/>
    <n v="0"/>
    <n v="0"/>
    <n v="0"/>
    <n v="0"/>
    <n v="0"/>
    <n v="0"/>
    <n v="0"/>
    <n v="0"/>
    <n v="0"/>
    <m/>
    <n v="0"/>
    <n v="0"/>
    <n v="0"/>
    <m/>
    <n v="0"/>
    <m/>
    <n v="0"/>
    <m/>
    <n v="0"/>
    <m/>
    <m/>
    <n v="0"/>
    <n v="0"/>
    <n v="0"/>
    <n v="0"/>
    <m/>
    <n v="0"/>
    <n v="0"/>
    <n v="0"/>
    <n v="0"/>
    <n v="0"/>
    <x v="0"/>
    <m/>
    <x v="2"/>
    <x v="1"/>
    <s v="no root cause"/>
    <x v="1"/>
    <s v=""/>
  </r>
  <r>
    <s v="Mbandjock"/>
    <s v="CTR_030"/>
    <s v="CENTRE"/>
    <s v="CAMUSAT"/>
    <s v="Medium Grid + Solar + GE"/>
    <s v="CENTRE"/>
    <s v="Mbandjock"/>
    <s v="ZTE"/>
    <n v="0"/>
    <n v="0"/>
    <n v="0"/>
    <n v="0"/>
    <n v="0"/>
    <n v="0"/>
    <n v="0"/>
    <n v="0"/>
    <n v="0"/>
    <n v="0"/>
    <n v="0"/>
    <n v="0"/>
    <n v="0"/>
    <n v="0"/>
    <n v="0"/>
    <n v="0"/>
    <n v="0"/>
    <n v="0"/>
    <n v="0"/>
    <n v="0"/>
    <m/>
    <n v="0"/>
    <n v="0"/>
    <n v="0"/>
    <m/>
    <n v="0"/>
    <m/>
    <n v="0"/>
    <m/>
    <n v="0"/>
    <m/>
    <m/>
    <n v="0"/>
    <n v="0"/>
    <n v="0"/>
    <n v="0"/>
    <m/>
    <n v="0"/>
    <n v="0"/>
    <n v="0"/>
    <n v="0"/>
    <n v="0"/>
    <x v="0"/>
    <m/>
    <x v="2"/>
    <x v="1"/>
    <s v="no root cause"/>
    <x v="1"/>
    <s v=""/>
  </r>
  <r>
    <s v="Pella"/>
    <s v="CTR_894"/>
    <s v="CENTRE"/>
    <s v="CAMUSAT"/>
    <s v="HGB"/>
    <s v="CENTRE"/>
    <s v="Pella"/>
    <s v="ZTE"/>
    <n v="0"/>
    <n v="0"/>
    <n v="0"/>
    <n v="0"/>
    <n v="0"/>
    <n v="0"/>
    <n v="0"/>
    <n v="0"/>
    <n v="0"/>
    <n v="0"/>
    <n v="0"/>
    <n v="0"/>
    <n v="0"/>
    <n v="0"/>
    <n v="0"/>
    <n v="0"/>
    <n v="0"/>
    <n v="0"/>
    <n v="0"/>
    <n v="0"/>
    <m/>
    <n v="0"/>
    <n v="0"/>
    <n v="0"/>
    <m/>
    <n v="0"/>
    <m/>
    <n v="0"/>
    <m/>
    <n v="0"/>
    <m/>
    <m/>
    <n v="0"/>
    <n v="0"/>
    <n v="0"/>
    <n v="0"/>
    <m/>
    <n v="0"/>
    <n v="0"/>
    <n v="0"/>
    <n v="0"/>
    <n v="0"/>
    <x v="0"/>
    <m/>
    <x v="2"/>
    <x v="1"/>
    <s v="no root cause"/>
    <x v="1"/>
    <s v=""/>
  </r>
  <r>
    <s v="MENGUE-BIBEY-IHS"/>
    <s v="CTR_870"/>
    <s v="CENTRE"/>
    <s v="IHS"/>
    <s v="Hybrid Gen"/>
    <s v="CENTRE"/>
    <s v="Mengue Bibey"/>
    <s v="ZTE"/>
    <n v="0"/>
    <n v="0"/>
    <n v="0"/>
    <n v="0"/>
    <n v="0"/>
    <n v="0"/>
    <n v="0"/>
    <n v="0"/>
    <n v="0"/>
    <n v="0"/>
    <n v="0"/>
    <n v="0"/>
    <n v="0"/>
    <n v="0"/>
    <n v="0"/>
    <n v="0"/>
    <n v="0"/>
    <n v="0"/>
    <n v="0"/>
    <n v="0"/>
    <m/>
    <n v="0"/>
    <n v="0"/>
    <n v="0"/>
    <m/>
    <n v="0"/>
    <m/>
    <n v="0"/>
    <m/>
    <n v="0"/>
    <m/>
    <m/>
    <n v="0"/>
    <n v="0"/>
    <n v="0"/>
    <n v="0"/>
    <m/>
    <n v="0"/>
    <n v="0"/>
    <n v="0"/>
    <n v="0"/>
    <n v="0"/>
    <x v="0"/>
    <m/>
    <x v="2"/>
    <x v="1"/>
    <s v="no root cause"/>
    <x v="1"/>
    <s v=""/>
  </r>
  <r>
    <s v="Yabassi-Greenfil"/>
    <s v="LIT_586"/>
    <s v="LITTORAL"/>
    <s v="CAMUSAT"/>
    <s v="Hybrid Solar - S3"/>
    <s v="LITTORAL"/>
    <s v="Yabassi"/>
    <s v="ZTE"/>
    <n v="0"/>
    <n v="0"/>
    <n v="0"/>
    <n v="0"/>
    <n v="0"/>
    <n v="0"/>
    <n v="0"/>
    <n v="0"/>
    <n v="0"/>
    <n v="0"/>
    <n v="0"/>
    <n v="0"/>
    <n v="0"/>
    <n v="0"/>
    <n v="0"/>
    <n v="0"/>
    <n v="0"/>
    <n v="0"/>
    <n v="0"/>
    <n v="0"/>
    <m/>
    <n v="0"/>
    <n v="0"/>
    <n v="0"/>
    <m/>
    <n v="0"/>
    <m/>
    <n v="0"/>
    <m/>
    <n v="0"/>
    <m/>
    <m/>
    <n v="0"/>
    <n v="0"/>
    <n v="0"/>
    <n v="0"/>
    <m/>
    <n v="0"/>
    <n v="0"/>
    <n v="0"/>
    <n v="0"/>
    <n v="0"/>
    <x v="0"/>
    <m/>
    <x v="2"/>
    <x v="1"/>
    <s v="no root cause"/>
    <x v="1"/>
    <s v=""/>
  </r>
  <r>
    <s v="Ebebda-MTN"/>
    <s v="CTR_822"/>
    <s v="CENTRE"/>
    <s v="CAMUSAT"/>
    <s v="Hybrid Solar 3"/>
    <s v="CENTRE"/>
    <s v="Ebebda"/>
    <s v="ZTE"/>
    <n v="0"/>
    <n v="0"/>
    <n v="0"/>
    <n v="0"/>
    <n v="0"/>
    <n v="0"/>
    <n v="0"/>
    <n v="0"/>
    <n v="0"/>
    <n v="0"/>
    <n v="0"/>
    <n v="0"/>
    <n v="0"/>
    <n v="0"/>
    <n v="0"/>
    <n v="0"/>
    <n v="0"/>
    <n v="0"/>
    <n v="0"/>
    <n v="0"/>
    <m/>
    <n v="0"/>
    <n v="0"/>
    <n v="0"/>
    <m/>
    <n v="0"/>
    <m/>
    <n v="0"/>
    <m/>
    <n v="0"/>
    <m/>
    <m/>
    <n v="0"/>
    <n v="0"/>
    <n v="0"/>
    <n v="0"/>
    <m/>
    <n v="0"/>
    <n v="0"/>
    <n v="0"/>
    <n v="0"/>
    <n v="0"/>
    <x v="0"/>
    <m/>
    <x v="2"/>
    <x v="1"/>
    <s v="no root cause"/>
    <x v="1"/>
    <s v=""/>
  </r>
  <r>
    <s v="Bipindi-IHS"/>
    <s v="SUD_040"/>
    <s v="CENTRE"/>
    <s v="IHS"/>
    <s v="Solar-Gen-Hybrid"/>
    <s v="SUD"/>
    <s v="Bipindi"/>
    <s v="ZTE"/>
    <n v="0"/>
    <n v="0"/>
    <n v="0"/>
    <n v="0"/>
    <n v="0"/>
    <n v="0"/>
    <n v="0"/>
    <n v="0"/>
    <n v="0"/>
    <n v="0"/>
    <n v="0"/>
    <n v="0"/>
    <n v="0"/>
    <n v="0"/>
    <n v="0"/>
    <n v="0"/>
    <n v="0"/>
    <n v="0"/>
    <n v="0"/>
    <n v="0"/>
    <m/>
    <n v="0"/>
    <n v="0"/>
    <n v="0"/>
    <m/>
    <n v="0"/>
    <m/>
    <n v="0"/>
    <m/>
    <n v="0"/>
    <m/>
    <m/>
    <n v="0"/>
    <n v="0"/>
    <n v="0"/>
    <n v="0"/>
    <m/>
    <n v="0"/>
    <n v="0"/>
    <n v="0"/>
    <n v="0"/>
    <n v="0"/>
    <x v="0"/>
    <m/>
    <x v="2"/>
    <x v="1"/>
    <s v="no root cause"/>
    <x v="1"/>
    <s v=""/>
  </r>
  <r>
    <s v="Ndogkeng"/>
    <s v="LIT_117"/>
    <s v="LITTORAL"/>
    <s v="IHS"/>
    <s v="Grid-Gen"/>
    <s v="LITTORAL"/>
    <s v="Ndogkeng"/>
    <s v="ZTE"/>
    <n v="0"/>
    <n v="0"/>
    <n v="0"/>
    <n v="0"/>
    <n v="0"/>
    <n v="0"/>
    <n v="0"/>
    <n v="0"/>
    <n v="0"/>
    <n v="0"/>
    <n v="0"/>
    <n v="0"/>
    <n v="0"/>
    <n v="0"/>
    <n v="0"/>
    <n v="0"/>
    <n v="0"/>
    <n v="0"/>
    <n v="0"/>
    <n v="0"/>
    <m/>
    <n v="0"/>
    <n v="0"/>
    <n v="0"/>
    <m/>
    <n v="0"/>
    <m/>
    <n v="0"/>
    <m/>
    <n v="0"/>
    <m/>
    <m/>
    <n v="0"/>
    <n v="0"/>
    <n v="0"/>
    <n v="0"/>
    <m/>
    <n v="0"/>
    <n v="0"/>
    <n v="0"/>
    <n v="0"/>
    <n v="0"/>
    <x v="0"/>
    <m/>
    <x v="2"/>
    <x v="1"/>
    <s v="no root cause"/>
    <x v="1"/>
    <s v=""/>
  </r>
  <r>
    <s v="Yabassi"/>
    <s v="LIT_110"/>
    <s v="LITTORAL"/>
    <s v="IHS"/>
    <s v="Gen-Lithium"/>
    <s v="LITTORAL"/>
    <s v="Yabassi"/>
    <s v="ZTE"/>
    <n v="0"/>
    <n v="0"/>
    <n v="0"/>
    <n v="0"/>
    <n v="0"/>
    <n v="0"/>
    <n v="0"/>
    <n v="0"/>
    <n v="0"/>
    <n v="0"/>
    <n v="0"/>
    <n v="0"/>
    <n v="0"/>
    <n v="0"/>
    <n v="0"/>
    <n v="0"/>
    <n v="0"/>
    <n v="0"/>
    <n v="0"/>
    <n v="0"/>
    <m/>
    <n v="0"/>
    <n v="0"/>
    <n v="0"/>
    <m/>
    <n v="0"/>
    <m/>
    <n v="0"/>
    <m/>
    <n v="0"/>
    <m/>
    <m/>
    <n v="0"/>
    <n v="0"/>
    <n v="0"/>
    <n v="0"/>
    <m/>
    <n v="0"/>
    <n v="0"/>
    <n v="0"/>
    <n v="0"/>
    <n v="0"/>
    <x v="0"/>
    <m/>
    <x v="2"/>
    <x v="1"/>
    <s v="no root cause"/>
    <x v="1"/>
    <s v=""/>
  </r>
  <r>
    <s v="Esse-IHS"/>
    <s v="CTR_134"/>
    <s v="CENTRE"/>
    <s v="IHS"/>
    <s v="Grid-Gen"/>
    <s v="CENTRE"/>
    <s v="Esse"/>
    <s v="ZTE"/>
    <n v="0"/>
    <n v="0"/>
    <n v="0"/>
    <n v="0"/>
    <n v="0"/>
    <n v="0"/>
    <n v="0"/>
    <n v="0"/>
    <n v="0"/>
    <n v="0"/>
    <n v="0"/>
    <n v="0"/>
    <n v="0"/>
    <n v="0"/>
    <n v="0"/>
    <n v="0"/>
    <n v="0"/>
    <n v="0"/>
    <n v="0"/>
    <n v="0"/>
    <m/>
    <n v="0"/>
    <n v="0"/>
    <n v="0"/>
    <m/>
    <n v="0"/>
    <m/>
    <n v="0"/>
    <m/>
    <n v="0"/>
    <m/>
    <m/>
    <n v="0"/>
    <n v="0"/>
    <n v="0"/>
    <n v="0"/>
    <m/>
    <n v="0"/>
    <n v="0"/>
    <n v="0"/>
    <n v="0"/>
    <n v="0"/>
    <x v="0"/>
    <m/>
    <x v="2"/>
    <x v="1"/>
    <s v="no root cause"/>
    <x v="1"/>
    <s v=""/>
  </r>
  <r>
    <s v="Obala-ville-IHS"/>
    <s v="CTR_627"/>
    <s v="CENTRE"/>
    <s v="IHS"/>
    <s v="Grid-Gen"/>
    <s v="CENTRE"/>
    <s v="Obala"/>
    <s v="ZTE"/>
    <n v="0"/>
    <n v="0"/>
    <n v="0"/>
    <n v="0"/>
    <n v="0"/>
    <n v="0"/>
    <n v="0"/>
    <n v="0"/>
    <n v="0"/>
    <n v="0"/>
    <n v="0"/>
    <n v="0"/>
    <n v="0"/>
    <n v="0"/>
    <n v="0"/>
    <n v="0"/>
    <n v="0"/>
    <n v="0"/>
    <n v="0"/>
    <n v="0"/>
    <m/>
    <n v="0"/>
    <n v="0"/>
    <n v="0"/>
    <m/>
    <n v="0"/>
    <m/>
    <n v="0"/>
    <m/>
    <n v="0"/>
    <m/>
    <m/>
    <n v="0"/>
    <n v="0"/>
    <n v="0"/>
    <n v="0"/>
    <m/>
    <n v="0"/>
    <n v="0"/>
    <n v="0"/>
    <n v="0"/>
    <n v="0"/>
    <x v="0"/>
    <m/>
    <x v="2"/>
    <x v="1"/>
    <s v="no root cause"/>
    <x v="1"/>
    <s v=""/>
  </r>
  <r>
    <s v="Kolomine-IHS"/>
    <s v="EST_125"/>
    <s v="CENTRE"/>
    <s v="IHS"/>
    <s v="Hybrid-Gen"/>
    <s v="EST"/>
    <s v="Kolomine"/>
    <s v="ZTE"/>
    <n v="0"/>
    <n v="0"/>
    <n v="0"/>
    <n v="0"/>
    <n v="0"/>
    <n v="0"/>
    <n v="0"/>
    <n v="0"/>
    <n v="0"/>
    <n v="0"/>
    <n v="0"/>
    <n v="0"/>
    <n v="0"/>
    <n v="0"/>
    <n v="0"/>
    <n v="0"/>
    <n v="0"/>
    <n v="0"/>
    <n v="0"/>
    <n v="0"/>
    <m/>
    <n v="0"/>
    <n v="0"/>
    <n v="0"/>
    <m/>
    <n v="0"/>
    <m/>
    <n v="0"/>
    <m/>
    <n v="0"/>
    <m/>
    <m/>
    <n v="0"/>
    <n v="0"/>
    <n v="0"/>
    <n v="0"/>
    <m/>
    <n v="0"/>
    <n v="0"/>
    <n v="0"/>
    <n v="0"/>
    <n v="0"/>
    <x v="0"/>
    <m/>
    <x v="4"/>
    <x v="0"/>
    <s v="Defaut GE &amp; Power Cabinet"/>
    <x v="0"/>
    <s v="{05-25-2026 ocm ran 22H}: Impacted by EST_045_Z_Kette (Power issue)"/>
  </r>
  <r>
    <s v="Missole-Entree"/>
    <s v="LIT_306"/>
    <s v="LITTORAL"/>
    <s v="IHS"/>
    <s v="Hybrid-Gen"/>
    <s v="LITTORAL"/>
    <s v="Missole"/>
    <s v="ZTE"/>
    <n v="0"/>
    <n v="0"/>
    <n v="0"/>
    <n v="0"/>
    <n v="0"/>
    <n v="0"/>
    <n v="0"/>
    <n v="0"/>
    <n v="0"/>
    <n v="0"/>
    <n v="0"/>
    <n v="0"/>
    <n v="0"/>
    <n v="0"/>
    <n v="0"/>
    <n v="0"/>
    <n v="0"/>
    <n v="0"/>
    <n v="0"/>
    <n v="0"/>
    <m/>
    <n v="0"/>
    <n v="0"/>
    <n v="0"/>
    <m/>
    <n v="0"/>
    <m/>
    <n v="0"/>
    <m/>
    <n v="0"/>
    <m/>
    <m/>
    <n v="0"/>
    <n v="0"/>
    <n v="0"/>
    <n v="0"/>
    <m/>
    <n v="0"/>
    <n v="0"/>
    <n v="0"/>
    <n v="0"/>
    <n v="0"/>
    <x v="0"/>
    <m/>
    <x v="2"/>
    <x v="1"/>
    <s v="no root cause"/>
    <x v="1"/>
    <s v=""/>
  </r>
  <r>
    <s v="Baigon"/>
    <s v="OST_070"/>
    <s v="OUEST"/>
    <s v="IHS"/>
    <s v="Grid-Gen"/>
    <s v="OUEST"/>
    <s v="Baigon"/>
    <s v="Huawei"/>
    <n v="0"/>
    <n v="0"/>
    <n v="0"/>
    <n v="0"/>
    <n v="0"/>
    <n v="0"/>
    <n v="0"/>
    <n v="0"/>
    <n v="0"/>
    <n v="0"/>
    <n v="0"/>
    <n v="0"/>
    <n v="0"/>
    <n v="0"/>
    <n v="0"/>
    <n v="0"/>
    <n v="0"/>
    <n v="0"/>
    <n v="0"/>
    <n v="0"/>
    <m/>
    <n v="0"/>
    <n v="0"/>
    <n v="0"/>
    <m/>
    <n v="0"/>
    <m/>
    <n v="0"/>
    <m/>
    <n v="0"/>
    <m/>
    <m/>
    <n v="0"/>
    <n v="0"/>
    <n v="0"/>
    <n v="0"/>
    <m/>
    <n v="0"/>
    <n v="0"/>
    <n v="0"/>
    <n v="0"/>
    <n v="0"/>
    <x v="0"/>
    <m/>
    <x v="4"/>
    <x v="0"/>
    <s v="Defaut GE &amp; Power Cabinet"/>
    <x v="0"/>
    <s v="{05-25-2026 groupe whatsapp incident}:    impacted by OST_005_H_Foumbot ,Cause: Probleme energie    Action: RCA attendu de IHS      ;      {05-25-2026 ocm ran 17H}: Power status check Ongoing"/>
  </r>
  <r>
    <s v="Bangangte-Ville"/>
    <s v="OST_018"/>
    <s v="OUEST"/>
    <s v="IHS"/>
    <s v="Grid Only"/>
    <s v="OUEST"/>
    <s v="Bangangte"/>
    <s v="Huawei"/>
    <n v="0"/>
    <n v="0"/>
    <n v="0"/>
    <n v="0"/>
    <n v="0"/>
    <n v="0"/>
    <n v="0"/>
    <n v="0"/>
    <n v="0"/>
    <n v="0"/>
    <n v="0"/>
    <n v="0"/>
    <n v="0"/>
    <n v="0"/>
    <n v="0"/>
    <n v="0"/>
    <n v="0"/>
    <n v="0"/>
    <n v="0"/>
    <n v="0"/>
    <m/>
    <n v="0"/>
    <n v="0"/>
    <n v="0"/>
    <m/>
    <n v="0"/>
    <m/>
    <n v="0"/>
    <m/>
    <n v="0"/>
    <m/>
    <m/>
    <n v="0"/>
    <n v="0"/>
    <n v="0"/>
    <n v="0"/>
    <m/>
    <n v="0"/>
    <n v="0"/>
    <n v="0"/>
    <n v="0"/>
    <n v="0"/>
    <x v="0"/>
    <m/>
    <x v="2"/>
    <x v="1"/>
    <s v="no root cause"/>
    <x v="1"/>
    <s v=""/>
  </r>
  <r>
    <s v="Kenzou"/>
    <s v="EST_016"/>
    <s v="CENTRE"/>
    <s v="IHS"/>
    <s v="Solar-Gen"/>
    <s v="EST"/>
    <s v="Kenzou"/>
    <s v="ZTE"/>
    <n v="0"/>
    <n v="0"/>
    <n v="0"/>
    <n v="0"/>
    <n v="0"/>
    <n v="0"/>
    <n v="0"/>
    <n v="0"/>
    <n v="0"/>
    <n v="0"/>
    <n v="0"/>
    <n v="0"/>
    <n v="0"/>
    <n v="0"/>
    <n v="0"/>
    <n v="0"/>
    <n v="0"/>
    <n v="0"/>
    <n v="0"/>
    <n v="0"/>
    <m/>
    <n v="0"/>
    <n v="0"/>
    <n v="0"/>
    <m/>
    <n v="0"/>
    <m/>
    <n v="0"/>
    <m/>
    <n v="0"/>
    <m/>
    <m/>
    <n v="0"/>
    <n v="0"/>
    <n v="0"/>
    <n v="0"/>
    <m/>
    <n v="0"/>
    <n v="0"/>
    <n v="0"/>
    <n v="0"/>
    <n v="0"/>
    <x v="0"/>
    <m/>
    <x v="2"/>
    <x v="1"/>
    <s v="no root cause"/>
    <x v="1"/>
    <s v=""/>
  </r>
  <r>
    <s v="Nkoundja"/>
    <s v="OST_006"/>
    <s v="OUEST"/>
    <s v="IHS"/>
    <s v="Grid-Gen"/>
    <s v="OUEST"/>
    <s v="Nkoundja"/>
    <s v="Huawei"/>
    <n v="0"/>
    <n v="0"/>
    <n v="0"/>
    <n v="0"/>
    <n v="0"/>
    <n v="0"/>
    <n v="0"/>
    <n v="0"/>
    <n v="0"/>
    <n v="0"/>
    <n v="0"/>
    <n v="0"/>
    <n v="0"/>
    <n v="0"/>
    <n v="0"/>
    <n v="0"/>
    <n v="0"/>
    <n v="0"/>
    <n v="0"/>
    <n v="0"/>
    <m/>
    <n v="0"/>
    <n v="0"/>
    <n v="0"/>
    <m/>
    <n v="0"/>
    <m/>
    <n v="0"/>
    <m/>
    <n v="0"/>
    <m/>
    <m/>
    <n v="0"/>
    <n v="0"/>
    <n v="0"/>
    <n v="0"/>
    <m/>
    <n v="0"/>
    <n v="0"/>
    <n v="0"/>
    <n v="0"/>
    <n v="0"/>
    <x v="0"/>
    <m/>
    <x v="4"/>
    <x v="0"/>
    <s v="Defaut GE &amp; Power Cabinet"/>
    <x v="0"/>
    <s v="{05-25-2026 groupe whatsapp incident}:    impacted by OST_005_H_Foumbot ,Cause: Probleme energie    Action: RCA attendu de IHS      ;      {05-25-2026 ocm ran 17H}: Power status check Ongoing"/>
  </r>
  <r>
    <s v="Mbanga"/>
    <s v="LIT_031"/>
    <s v="LITTORAL"/>
    <s v="IHS"/>
    <s v="Grid-Gen"/>
    <s v="LITTORAL"/>
    <s v="Mbanga"/>
    <s v="ZTE"/>
    <n v="0"/>
    <n v="0"/>
    <n v="0"/>
    <n v="0"/>
    <n v="0"/>
    <n v="0"/>
    <n v="0"/>
    <n v="0"/>
    <n v="0"/>
    <n v="0"/>
    <n v="0"/>
    <n v="0"/>
    <n v="0"/>
    <n v="0"/>
    <n v="0"/>
    <n v="0"/>
    <n v="0"/>
    <n v="0"/>
    <n v="0"/>
    <n v="0"/>
    <m/>
    <n v="0"/>
    <n v="0"/>
    <n v="0"/>
    <m/>
    <n v="0"/>
    <m/>
    <n v="0"/>
    <m/>
    <n v="0"/>
    <m/>
    <m/>
    <n v="0"/>
    <n v="0"/>
    <n v="0"/>
    <n v="0"/>
    <m/>
    <n v="0"/>
    <n v="0"/>
    <n v="0"/>
    <n v="0"/>
    <n v="0"/>
    <x v="0"/>
    <m/>
    <x v="2"/>
    <x v="1"/>
    <s v="no root cause"/>
    <x v="1"/>
    <s v=""/>
  </r>
  <r>
    <s v="Mbanga2-IHS"/>
    <s v="LIT_430"/>
    <s v="LITTORAL"/>
    <s v="IHS"/>
    <s v="Grid-Gen"/>
    <s v="LITTORAL"/>
    <s v="Mbanga"/>
    <s v="ZTE"/>
    <n v="0"/>
    <n v="0"/>
    <n v="0"/>
    <n v="0"/>
    <n v="0"/>
    <n v="0"/>
    <n v="0"/>
    <n v="0"/>
    <n v="0"/>
    <n v="0"/>
    <n v="0"/>
    <n v="0"/>
    <n v="0"/>
    <n v="0"/>
    <n v="0"/>
    <n v="0"/>
    <n v="0"/>
    <n v="0"/>
    <n v="0"/>
    <n v="0"/>
    <m/>
    <n v="0"/>
    <n v="0"/>
    <n v="0"/>
    <m/>
    <n v="0"/>
    <m/>
    <n v="0"/>
    <m/>
    <n v="0"/>
    <m/>
    <m/>
    <n v="0"/>
    <n v="0"/>
    <n v="0"/>
    <n v="0"/>
    <m/>
    <n v="0"/>
    <n v="0"/>
    <n v="0"/>
    <n v="0"/>
    <n v="0"/>
    <x v="0"/>
    <m/>
    <x v="2"/>
    <x v="1"/>
    <s v="no root cause"/>
    <x v="1"/>
    <s v=""/>
  </r>
  <r>
    <s v="Mbankomo-IHS"/>
    <s v="CTR_528"/>
    <s v="CENTRE"/>
    <s v="IHS"/>
    <s v="Grid-Gen"/>
    <s v="CENTRE"/>
    <s v="Mbankomo"/>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Akok"/>
    <s v="CTR_663"/>
    <s v="CENTRE"/>
    <s v="CAMUSAT"/>
    <s v="Good Grid + Solar + GE"/>
    <s v="CENTRE"/>
    <s v="Akok"/>
    <s v="ZTE"/>
    <n v="0"/>
    <n v="0"/>
    <n v="0"/>
    <n v="0"/>
    <n v="0"/>
    <n v="0"/>
    <n v="0"/>
    <n v="0"/>
    <n v="0"/>
    <n v="0"/>
    <n v="0"/>
    <n v="0"/>
    <n v="0"/>
    <n v="0"/>
    <n v="0"/>
    <n v="0"/>
    <n v="0"/>
    <n v="0"/>
    <n v="0"/>
    <n v="0"/>
    <m/>
    <n v="0"/>
    <n v="0"/>
    <n v="0"/>
    <m/>
    <n v="0"/>
    <m/>
    <n v="0"/>
    <m/>
    <n v="0"/>
    <m/>
    <m/>
    <n v="0"/>
    <n v="0"/>
    <n v="0"/>
    <n v="0"/>
    <m/>
    <n v="0"/>
    <n v="0"/>
    <n v="0"/>
    <n v="0"/>
    <n v="0"/>
    <x v="0"/>
    <m/>
    <x v="2"/>
    <x v="1"/>
    <s v="no root cause"/>
    <x v="1"/>
    <s v=""/>
  </r>
  <r>
    <s v="Loum-Joli-IHS"/>
    <s v="LIT_521"/>
    <s v="LITTORAL"/>
    <s v="IHS"/>
    <s v="Grid-Gen"/>
    <s v="LITTORAL"/>
    <s v="Loum"/>
    <s v="ZTE"/>
    <n v="0"/>
    <n v="0"/>
    <n v="0"/>
    <n v="0"/>
    <n v="0"/>
    <n v="0"/>
    <n v="0"/>
    <n v="0"/>
    <n v="0"/>
    <n v="0"/>
    <n v="0"/>
    <n v="0"/>
    <n v="0"/>
    <n v="0"/>
    <n v="0"/>
    <n v="0"/>
    <n v="0"/>
    <n v="0"/>
    <n v="0"/>
    <n v="0"/>
    <m/>
    <n v="0"/>
    <n v="0"/>
    <n v="0"/>
    <m/>
    <n v="0"/>
    <m/>
    <n v="0"/>
    <m/>
    <n v="0"/>
    <m/>
    <m/>
    <n v="0"/>
    <n v="0"/>
    <n v="0"/>
    <n v="0"/>
    <m/>
    <n v="0"/>
    <n v="0"/>
    <n v="0"/>
    <n v="0"/>
    <n v="0"/>
    <x v="0"/>
    <m/>
    <x v="4"/>
    <x v="0"/>
    <s v="Defaut GE &amp; Power Cabinet"/>
    <x v="0"/>
    <s v="{hourly IHS}: 25/05/2026 16:37 0:42:05 Fme is managing with level 0"/>
  </r>
  <r>
    <s v="Ngambe-Tikar-IHS"/>
    <s v="OST_031"/>
    <s v="OUEST"/>
    <s v="IHS"/>
    <s v="Grid-Gen"/>
    <s v="OUEST"/>
    <s v="Ngambe-Tikar"/>
    <s v="ZTE"/>
    <n v="0"/>
    <n v="0"/>
    <n v="0"/>
    <n v="0"/>
    <n v="0"/>
    <n v="0"/>
    <n v="0"/>
    <n v="0"/>
    <n v="0"/>
    <n v="0"/>
    <n v="0"/>
    <n v="0"/>
    <n v="0"/>
    <n v="0"/>
    <n v="0"/>
    <n v="0"/>
    <n v="0"/>
    <n v="0"/>
    <n v="0"/>
    <n v="0"/>
    <m/>
    <n v="0"/>
    <n v="0"/>
    <n v="0"/>
    <m/>
    <n v="0"/>
    <m/>
    <n v="0"/>
    <m/>
    <n v="0"/>
    <m/>
    <m/>
    <n v="0"/>
    <n v="0"/>
    <n v="0"/>
    <n v="0"/>
    <m/>
    <n v="0"/>
    <n v="0"/>
    <n v="0"/>
    <n v="0"/>
    <n v="0"/>
    <x v="0"/>
    <m/>
    <x v="2"/>
    <x v="1"/>
    <s v="no root cause"/>
    <x v="1"/>
    <s v=""/>
  </r>
  <r>
    <s v="Ndokayo"/>
    <s v="EST_054"/>
    <s v="CENTRE"/>
    <s v="IHS"/>
    <s v="Solar-Gen-Lithium"/>
    <s v="EST"/>
    <s v="Ndokayo"/>
    <s v="ZTE"/>
    <n v="0"/>
    <n v="0"/>
    <n v="0"/>
    <n v="0"/>
    <n v="0"/>
    <n v="0"/>
    <n v="0"/>
    <n v="0"/>
    <n v="0"/>
    <n v="0"/>
    <n v="0"/>
    <n v="0"/>
    <n v="0"/>
    <n v="0"/>
    <n v="0"/>
    <n v="0"/>
    <n v="0"/>
    <n v="0"/>
    <n v="0"/>
    <n v="0"/>
    <m/>
    <n v="0"/>
    <n v="0"/>
    <n v="0"/>
    <m/>
    <n v="0"/>
    <m/>
    <n v="0"/>
    <m/>
    <n v="0"/>
    <m/>
    <m/>
    <n v="0"/>
    <n v="0"/>
    <n v="0"/>
    <n v="0"/>
    <m/>
    <n v="0"/>
    <n v="0"/>
    <n v="0"/>
    <n v="0"/>
    <n v="0"/>
    <x v="0"/>
    <m/>
    <x v="2"/>
    <x v="1"/>
    <s v="no root cause"/>
    <x v="1"/>
    <s v=""/>
  </r>
  <r>
    <s v="Ouli-IHS"/>
    <s v="EST_114"/>
    <s v="CENTRE"/>
    <s v="IHS"/>
    <s v="Gen Only"/>
    <s v="EST"/>
    <s v="Ouli"/>
    <s v="ZTE"/>
    <n v="0"/>
    <n v="0"/>
    <n v="0"/>
    <n v="0"/>
    <n v="0"/>
    <n v="0"/>
    <n v="0"/>
    <n v="0"/>
    <n v="0"/>
    <n v="0"/>
    <n v="0"/>
    <n v="0"/>
    <n v="0"/>
    <n v="0"/>
    <n v="0"/>
    <n v="0"/>
    <n v="0"/>
    <n v="0"/>
    <n v="0"/>
    <n v="0"/>
    <m/>
    <n v="0"/>
    <n v="0"/>
    <n v="0"/>
    <m/>
    <n v="0"/>
    <m/>
    <n v="0"/>
    <m/>
    <n v="0"/>
    <m/>
    <m/>
    <n v="0"/>
    <n v="0"/>
    <n v="0"/>
    <n v="0"/>
    <m/>
    <n v="0"/>
    <n v="0"/>
    <n v="0"/>
    <n v="0"/>
    <n v="0"/>
    <x v="0"/>
    <m/>
    <x v="4"/>
    <x v="0"/>
    <s v="Defaut GE &amp; Power Cabinet"/>
    <x v="0"/>
    <s v="{05-25-2026 ocm ran 22H}: 25.05.26: IHS: FME is managing with level 0 - Escalated to L2"/>
  </r>
  <r>
    <s v="Pouma"/>
    <s v="LIT_069"/>
    <s v="LITTORAL"/>
    <s v="IHS"/>
    <s v="Grid-Gen"/>
    <s v="LITTORAL"/>
    <s v="Pouma"/>
    <s v="ZTE"/>
    <n v="0"/>
    <n v="0"/>
    <n v="0"/>
    <n v="0"/>
    <n v="0"/>
    <n v="0"/>
    <n v="0"/>
    <n v="0"/>
    <n v="0"/>
    <n v="0"/>
    <n v="0"/>
    <n v="0"/>
    <n v="0"/>
    <n v="0"/>
    <n v="0"/>
    <n v="0"/>
    <n v="0"/>
    <n v="0"/>
    <n v="0"/>
    <n v="0"/>
    <m/>
    <n v="0"/>
    <n v="0"/>
    <n v="0"/>
    <m/>
    <n v="0"/>
    <m/>
    <n v="0"/>
    <m/>
    <n v="0"/>
    <m/>
    <m/>
    <n v="0"/>
    <n v="0"/>
    <n v="0"/>
    <n v="0"/>
    <m/>
    <n v="0"/>
    <n v="0"/>
    <n v="0"/>
    <n v="0"/>
    <n v="0"/>
    <x v="0"/>
    <m/>
    <x v="2"/>
    <x v="1"/>
    <s v="no root cause"/>
    <x v="1"/>
    <s v=""/>
  </r>
  <r>
    <s v="Kouoptamo"/>
    <s v="OST_058"/>
    <s v="OUEST"/>
    <s v="IHS"/>
    <s v="Grid-Gen"/>
    <s v="OUEST"/>
    <s v="Kouoptamo"/>
    <s v="Huawei"/>
    <n v="0"/>
    <n v="0"/>
    <n v="0"/>
    <n v="0"/>
    <n v="0"/>
    <n v="0"/>
    <n v="0"/>
    <n v="0"/>
    <n v="0"/>
    <n v="0"/>
    <n v="0"/>
    <n v="0"/>
    <n v="0"/>
    <n v="0"/>
    <n v="0"/>
    <n v="0"/>
    <n v="0"/>
    <n v="0"/>
    <n v="0"/>
    <n v="0"/>
    <m/>
    <n v="0"/>
    <n v="0"/>
    <n v="0"/>
    <m/>
    <n v="0"/>
    <m/>
    <n v="0"/>
    <m/>
    <n v="0"/>
    <m/>
    <m/>
    <n v="0"/>
    <n v="0"/>
    <n v="0"/>
    <n v="0"/>
    <m/>
    <n v="0"/>
    <n v="0"/>
    <n v="0"/>
    <n v="0"/>
    <n v="0"/>
    <x v="0"/>
    <m/>
    <x v="2"/>
    <x v="1"/>
    <s v="no root cause"/>
    <x v="1"/>
    <s v=""/>
  </r>
  <r>
    <s v="Gomala-IHS"/>
    <s v="EST_126"/>
    <s v="CENTRE"/>
    <s v="IHS"/>
    <s v="Solar-Gen-Lithium"/>
    <s v="EST"/>
    <s v="Gomala"/>
    <s v="ZTE"/>
    <n v="0"/>
    <n v="0"/>
    <n v="0"/>
    <n v="0"/>
    <n v="0"/>
    <n v="0"/>
    <n v="0"/>
    <n v="0"/>
    <n v="0"/>
    <n v="0"/>
    <n v="0"/>
    <n v="0"/>
    <n v="0"/>
    <n v="0"/>
    <n v="0"/>
    <n v="0"/>
    <n v="0"/>
    <n v="0"/>
    <n v="0"/>
    <n v="0"/>
    <m/>
    <n v="0"/>
    <n v="0"/>
    <n v="0"/>
    <m/>
    <n v="0"/>
    <m/>
    <n v="0"/>
    <m/>
    <n v="0"/>
    <m/>
    <m/>
    <n v="0"/>
    <n v="0"/>
    <n v="0"/>
    <n v="0"/>
    <m/>
    <n v="0"/>
    <n v="0"/>
    <n v="0"/>
    <n v="0"/>
    <n v="0"/>
    <x v="0"/>
    <m/>
    <x v="2"/>
    <x v="1"/>
    <s v="no root cause"/>
    <x v="1"/>
    <s v=""/>
  </r>
  <r>
    <s v="Njombe-Market-IHS"/>
    <s v="LIT_492"/>
    <s v="LITTORAL"/>
    <s v="IHS"/>
    <s v="Grid-Gen"/>
    <s v="LITTORAL"/>
    <s v="Njombe"/>
    <s v="ZTE"/>
    <n v="0"/>
    <n v="0"/>
    <n v="0"/>
    <n v="0"/>
    <n v="0"/>
    <n v="0"/>
    <n v="0"/>
    <n v="0"/>
    <n v="0"/>
    <n v="0"/>
    <n v="0"/>
    <n v="0"/>
    <n v="0"/>
    <n v="0"/>
    <n v="0"/>
    <n v="0"/>
    <n v="0"/>
    <n v="0"/>
    <n v="0"/>
    <n v="0"/>
    <m/>
    <n v="0"/>
    <n v="0"/>
    <n v="0"/>
    <m/>
    <n v="0"/>
    <m/>
    <n v="0"/>
    <m/>
    <n v="0"/>
    <m/>
    <m/>
    <n v="0"/>
    <n v="0"/>
    <n v="0"/>
    <n v="0"/>
    <m/>
    <n v="0"/>
    <n v="0"/>
    <n v="0"/>
    <n v="0"/>
    <n v="0"/>
    <x v="0"/>
    <m/>
    <x v="2"/>
    <x v="1"/>
    <s v="no root cause"/>
    <x v="1"/>
    <s v=""/>
  </r>
  <r>
    <s v="Boumnyebel-MTN"/>
    <s v="CTR_286"/>
    <s v="CENTRE"/>
    <s v="IHS"/>
    <s v="Grid-Gen"/>
    <s v="CENTRE"/>
    <s v="Boumnyebel"/>
    <s v="ZTE"/>
    <n v="0"/>
    <n v="0"/>
    <n v="0"/>
    <n v="0"/>
    <n v="0"/>
    <n v="0"/>
    <n v="0"/>
    <n v="0"/>
    <n v="0"/>
    <n v="0"/>
    <n v="0"/>
    <n v="0"/>
    <n v="0"/>
    <n v="0"/>
    <n v="0"/>
    <n v="0"/>
    <n v="0"/>
    <n v="0"/>
    <n v="0"/>
    <n v="0"/>
    <m/>
    <n v="0"/>
    <n v="0"/>
    <n v="0"/>
    <m/>
    <n v="0"/>
    <m/>
    <n v="0"/>
    <m/>
    <n v="0"/>
    <m/>
    <m/>
    <n v="0"/>
    <n v="0"/>
    <n v="0"/>
    <n v="0"/>
    <m/>
    <n v="0"/>
    <n v="0"/>
    <n v="0"/>
    <n v="0"/>
    <n v="0"/>
    <x v="0"/>
    <m/>
    <x v="2"/>
    <x v="1"/>
    <s v="no root cause"/>
    <x v="1"/>
    <s v=""/>
  </r>
  <r>
    <s v="Nkolnkoumou"/>
    <s v="CTR_676"/>
    <s v="Yaounde"/>
    <s v="IHS"/>
    <s v="Grid-Gen-Lithium"/>
    <s v="CENTRE"/>
    <s v="Yaounde"/>
    <s v="ZTE"/>
    <n v="0"/>
    <n v="0"/>
    <n v="0"/>
    <n v="0"/>
    <n v="0"/>
    <n v="0"/>
    <n v="0"/>
    <n v="0"/>
    <n v="0"/>
    <n v="0"/>
    <n v="0"/>
    <n v="0"/>
    <n v="0"/>
    <n v="0"/>
    <n v="0"/>
    <n v="0"/>
    <n v="0"/>
    <n v="0"/>
    <n v="0"/>
    <n v="0"/>
    <m/>
    <n v="0"/>
    <n v="0"/>
    <n v="0"/>
    <m/>
    <n v="0"/>
    <m/>
    <n v="0"/>
    <m/>
    <n v="0"/>
    <m/>
    <m/>
    <n v="0"/>
    <n v="0"/>
    <n v="0"/>
    <n v="0"/>
    <m/>
    <n v="0"/>
    <n v="0"/>
    <n v="0"/>
    <n v="0"/>
    <n v="0"/>
    <x v="0"/>
    <m/>
    <x v="2"/>
    <x v="1"/>
    <s v="no root cause"/>
    <x v="1"/>
    <s v=""/>
  </r>
  <r>
    <s v="Mengbwa-Camtel"/>
    <s v="SUD_078"/>
    <s v="CENTRE"/>
    <s v="CAMUSAT"/>
    <s v="Bad Grid + GE"/>
    <s v="SUD"/>
    <s v="Mengbwa"/>
    <s v="NOKIA"/>
    <n v="0"/>
    <n v="0"/>
    <n v="0"/>
    <n v="0"/>
    <n v="0"/>
    <n v="0"/>
    <n v="0"/>
    <n v="0"/>
    <n v="0"/>
    <n v="0"/>
    <n v="0"/>
    <n v="0"/>
    <n v="0"/>
    <n v="0"/>
    <n v="0"/>
    <n v="0"/>
    <n v="0"/>
    <n v="0"/>
    <n v="0"/>
    <n v="0"/>
    <m/>
    <n v="0"/>
    <n v="0"/>
    <n v="0"/>
    <m/>
    <n v="0"/>
    <m/>
    <n v="0"/>
    <m/>
    <n v="0"/>
    <m/>
    <m/>
    <n v="0"/>
    <n v="0"/>
    <n v="0"/>
    <n v="0"/>
    <m/>
    <n v="0"/>
    <n v="0"/>
    <n v="0"/>
    <n v="0"/>
    <n v="0"/>
    <x v="0"/>
    <m/>
    <x v="2"/>
    <x v="1"/>
    <s v="no root cause"/>
    <x v="1"/>
    <s v=""/>
  </r>
  <r>
    <s v="Awae-MTN-IHS"/>
    <s v="CTR_187"/>
    <s v="CENTRE"/>
    <s v="IHS"/>
    <s v="Grid-Gen"/>
    <s v="CENTRE"/>
    <s v="Awae"/>
    <s v="ZTE"/>
    <n v="0"/>
    <n v="0"/>
    <n v="0"/>
    <n v="0"/>
    <n v="0"/>
    <n v="0"/>
    <n v="0"/>
    <n v="0"/>
    <n v="0"/>
    <n v="0"/>
    <n v="0"/>
    <n v="0"/>
    <n v="0"/>
    <n v="0"/>
    <n v="0"/>
    <n v="0"/>
    <n v="0"/>
    <n v="0"/>
    <n v="0"/>
    <n v="0"/>
    <m/>
    <n v="0"/>
    <n v="0"/>
    <n v="0"/>
    <m/>
    <n v="0"/>
    <m/>
    <n v="0"/>
    <m/>
    <n v="0"/>
    <m/>
    <m/>
    <n v="0"/>
    <n v="0"/>
    <n v="0"/>
    <n v="0"/>
    <m/>
    <n v="0"/>
    <n v="0"/>
    <n v="0"/>
    <n v="0"/>
    <n v="0"/>
    <x v="0"/>
    <m/>
    <x v="2"/>
    <x v="1"/>
    <s v="no root cause"/>
    <x v="1"/>
    <s v=""/>
  </r>
  <r>
    <s v="Obala-Carrefour-MTN-IHS"/>
    <s v="CTR_174"/>
    <s v="CENTRE"/>
    <s v="IHS"/>
    <s v="Hybrid-Gen"/>
    <s v="CENTRE"/>
    <s v="Obala"/>
    <s v="ZTE"/>
    <n v="0"/>
    <n v="0"/>
    <n v="0"/>
    <n v="0"/>
    <n v="0"/>
    <n v="0"/>
    <n v="0"/>
    <n v="0"/>
    <n v="0"/>
    <n v="0"/>
    <n v="0"/>
    <n v="0"/>
    <n v="0"/>
    <n v="0"/>
    <n v="0"/>
    <n v="0"/>
    <n v="0"/>
    <n v="0"/>
    <n v="0"/>
    <n v="0"/>
    <m/>
    <n v="0"/>
    <n v="0"/>
    <n v="0"/>
    <m/>
    <n v="0"/>
    <m/>
    <n v="0"/>
    <m/>
    <n v="0"/>
    <m/>
    <m/>
    <n v="0"/>
    <n v="0"/>
    <n v="0"/>
    <n v="0"/>
    <m/>
    <n v="0"/>
    <n v="0"/>
    <n v="0"/>
    <n v="0"/>
    <n v="0"/>
    <x v="0"/>
    <m/>
    <x v="2"/>
    <x v="1"/>
    <s v="no root cause"/>
    <x v="1"/>
    <s v=""/>
  </r>
  <r>
    <s v="Nkoteng-Ville-IHS"/>
    <s v="CTR_506"/>
    <s v="CENTRE"/>
    <s v="IHS"/>
    <s v="Grid-Gen"/>
    <s v="CENTRE"/>
    <s v="Nkoteng"/>
    <s v="ZTE"/>
    <n v="0"/>
    <n v="0"/>
    <n v="0"/>
    <n v="0"/>
    <n v="0"/>
    <n v="0"/>
    <n v="0"/>
    <n v="0"/>
    <n v="0"/>
    <n v="0"/>
    <n v="0"/>
    <n v="0"/>
    <n v="0"/>
    <n v="0"/>
    <n v="0"/>
    <n v="0"/>
    <n v="0"/>
    <n v="0"/>
    <n v="0"/>
    <n v="0"/>
    <m/>
    <n v="0"/>
    <n v="0"/>
    <n v="0"/>
    <m/>
    <n v="0"/>
    <m/>
    <n v="0"/>
    <m/>
    <n v="0"/>
    <m/>
    <m/>
    <n v="0"/>
    <n v="0"/>
    <n v="0"/>
    <n v="0"/>
    <m/>
    <n v="0"/>
    <n v="0"/>
    <n v="0"/>
    <n v="0"/>
    <n v="0"/>
    <x v="0"/>
    <m/>
    <x v="2"/>
    <x v="1"/>
    <s v="no root cause"/>
    <x v="1"/>
    <s v=""/>
  </r>
  <r>
    <s v="Botmakak"/>
    <s v="CTR_189"/>
    <s v="CENTRE"/>
    <s v="IHS"/>
    <s v="Grid-Gen"/>
    <s v="CENTRE"/>
    <s v="Botmakak"/>
    <s v="ZTE"/>
    <n v="0"/>
    <n v="0"/>
    <n v="0"/>
    <n v="0"/>
    <n v="0"/>
    <n v="0"/>
    <n v="0"/>
    <n v="0"/>
    <n v="0"/>
    <n v="0"/>
    <n v="0"/>
    <n v="0"/>
    <n v="0"/>
    <n v="0"/>
    <n v="0"/>
    <n v="0"/>
    <n v="0"/>
    <n v="0"/>
    <n v="0"/>
    <n v="0"/>
    <m/>
    <n v="0"/>
    <n v="0"/>
    <n v="0"/>
    <m/>
    <n v="0"/>
    <m/>
    <n v="0"/>
    <m/>
    <n v="0"/>
    <m/>
    <m/>
    <n v="0"/>
    <n v="0"/>
    <n v="0"/>
    <n v="0"/>
    <m/>
    <n v="0"/>
    <n v="0"/>
    <n v="0"/>
    <n v="0"/>
    <n v="0"/>
    <x v="0"/>
    <m/>
    <x v="2"/>
    <x v="1"/>
    <s v="no root cause"/>
    <x v="1"/>
    <s v=""/>
  </r>
  <r>
    <s v="Djoum-Ville-IHS"/>
    <s v="SUD_064"/>
    <s v="CENTRE"/>
    <s v="IHS"/>
    <s v="Grid-Gen"/>
    <s v="SUD"/>
    <s v="Djoum"/>
    <s v="ZTE"/>
    <n v="0"/>
    <n v="0"/>
    <n v="0"/>
    <n v="0"/>
    <n v="0"/>
    <n v="0"/>
    <n v="0"/>
    <n v="0"/>
    <n v="0"/>
    <n v="0"/>
    <n v="0"/>
    <n v="0"/>
    <n v="0"/>
    <n v="0"/>
    <n v="0"/>
    <n v="0"/>
    <n v="0"/>
    <n v="0"/>
    <n v="0"/>
    <n v="0"/>
    <m/>
    <n v="0"/>
    <n v="0"/>
    <n v="0"/>
    <m/>
    <n v="0"/>
    <m/>
    <n v="0"/>
    <m/>
    <n v="0"/>
    <m/>
    <m/>
    <n v="0"/>
    <n v="0"/>
    <n v="0"/>
    <n v="0"/>
    <m/>
    <n v="0"/>
    <n v="0"/>
    <n v="0"/>
    <n v="0"/>
    <n v="0"/>
    <x v="0"/>
    <m/>
    <x v="2"/>
    <x v="1"/>
    <s v="no root cause"/>
    <x v="1"/>
    <s v=""/>
  </r>
  <r>
    <s v="SANGLA"/>
    <s v="CTR_892"/>
    <s v="CENTRE"/>
    <s v="CAMUSAT"/>
    <s v="Hybrid Solar - S3"/>
    <s v="CENTRE"/>
    <s v="Sangla"/>
    <s v="ZTE"/>
    <n v="0"/>
    <n v="0"/>
    <n v="0"/>
    <n v="0"/>
    <n v="0"/>
    <n v="0"/>
    <n v="0"/>
    <n v="0"/>
    <n v="0"/>
    <n v="0"/>
    <n v="0"/>
    <n v="0"/>
    <n v="0"/>
    <n v="0"/>
    <n v="0"/>
    <n v="0"/>
    <n v="0"/>
    <n v="0"/>
    <n v="0"/>
    <n v="0"/>
    <m/>
    <n v="0"/>
    <n v="0"/>
    <n v="0"/>
    <m/>
    <n v="0"/>
    <m/>
    <n v="0"/>
    <m/>
    <n v="0"/>
    <m/>
    <m/>
    <n v="0"/>
    <n v="0"/>
    <n v="0"/>
    <n v="0"/>
    <m/>
    <n v="0"/>
    <n v="0"/>
    <n v="0"/>
    <n v="0"/>
    <n v="0"/>
    <x v="0"/>
    <m/>
    <x v="2"/>
    <x v="1"/>
    <s v="no root cause"/>
    <x v="1"/>
    <s v=""/>
  </r>
  <r>
    <s v="Mbankomo-Dajoll"/>
    <s v="CTR_710"/>
    <s v="CENTRE"/>
    <s v="CAMUSAT"/>
    <s v="Good Grid + GE"/>
    <s v="CENTRE"/>
    <s v="Mbankomo"/>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Oveng-Mission-Catholique"/>
    <s v="CTR_898"/>
    <s v="CENTRE"/>
    <s v="CAMUSAT"/>
    <s v="Medium Grid + GE"/>
    <s v="CENTRE"/>
    <s v="Mbankomo"/>
    <s v="NOKIA"/>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DZENG"/>
    <s v="CTR_856"/>
    <s v="CENTRE"/>
    <s v="IHS"/>
    <s v="Grid-Gen"/>
    <s v="CENTRE"/>
    <s v="Binguela"/>
    <s v="ZTE"/>
    <n v="0"/>
    <n v="0"/>
    <n v="0"/>
    <n v="0"/>
    <n v="0"/>
    <n v="0"/>
    <n v="0"/>
    <n v="0"/>
    <n v="0"/>
    <n v="0"/>
    <n v="0"/>
    <n v="0"/>
    <n v="0"/>
    <n v="0"/>
    <n v="0"/>
    <n v="0"/>
    <n v="0"/>
    <n v="0"/>
    <n v="0"/>
    <n v="0"/>
    <m/>
    <n v="0"/>
    <n v="0"/>
    <n v="0"/>
    <m/>
    <n v="0"/>
    <m/>
    <n v="0"/>
    <m/>
    <n v="0"/>
    <m/>
    <m/>
    <n v="0"/>
    <n v="0"/>
    <n v="0"/>
    <n v="0"/>
    <m/>
    <n v="0"/>
    <n v="0"/>
    <n v="0"/>
    <n v="0"/>
    <n v="0"/>
    <x v="0"/>
    <m/>
    <x v="2"/>
    <x v="1"/>
    <s v="no root cause"/>
    <x v="1"/>
    <s v=""/>
  </r>
  <r>
    <s v="Essiezik"/>
    <s v="CTR_348"/>
    <s v="CENTRE"/>
    <s v="IHS"/>
    <s v="Gen-Lithium"/>
    <s v="CENTRE"/>
    <s v="Essiezik"/>
    <s v="ZTE"/>
    <n v="0"/>
    <n v="0"/>
    <n v="0"/>
    <n v="0"/>
    <n v="0"/>
    <n v="0"/>
    <n v="0"/>
    <n v="0"/>
    <n v="0"/>
    <n v="0"/>
    <n v="0"/>
    <n v="0"/>
    <n v="0"/>
    <n v="0"/>
    <n v="0"/>
    <n v="0"/>
    <n v="0"/>
    <n v="0"/>
    <n v="0"/>
    <n v="0"/>
    <m/>
    <n v="0"/>
    <n v="0"/>
    <n v="0"/>
    <m/>
    <n v="0"/>
    <m/>
    <n v="0"/>
    <m/>
    <n v="0"/>
    <m/>
    <m/>
    <n v="0"/>
    <n v="0"/>
    <n v="0"/>
    <n v="0"/>
    <m/>
    <n v="0"/>
    <n v="0"/>
    <n v="0"/>
    <n v="0"/>
    <n v="0"/>
    <x v="0"/>
    <m/>
    <x v="2"/>
    <x v="1"/>
    <s v="no root cause"/>
    <x v="1"/>
    <s v=""/>
  </r>
  <r>
    <s v="Bangoulap"/>
    <s v="OST_314"/>
    <s v="OUEST"/>
    <m/>
    <m/>
    <s v="OUEST"/>
    <s v="Bangangté"/>
    <s v="Huawei"/>
    <n v="0"/>
    <n v="0"/>
    <n v="0"/>
    <n v="0"/>
    <n v="0"/>
    <n v="0"/>
    <n v="0"/>
    <n v="0"/>
    <n v="0"/>
    <n v="0"/>
    <n v="0"/>
    <n v="0"/>
    <n v="0"/>
    <n v="0"/>
    <n v="0"/>
    <n v="0"/>
    <n v="0"/>
    <n v="0"/>
    <n v="0"/>
    <n v="0"/>
    <m/>
    <n v="0"/>
    <n v="0"/>
    <n v="0"/>
    <m/>
    <n v="0"/>
    <m/>
    <n v="0"/>
    <m/>
    <n v="0"/>
    <m/>
    <m/>
    <n v="0"/>
    <n v="0"/>
    <n v="0"/>
    <n v="0"/>
    <m/>
    <n v="0"/>
    <n v="0"/>
    <n v="0"/>
    <n v="0"/>
    <n v="0"/>
    <x v="0"/>
    <m/>
    <x v="2"/>
    <x v="1"/>
    <s v="no root cause"/>
    <x v="1"/>
    <s v=""/>
  </r>
  <r>
    <s v="Nguila"/>
    <s v="CTR_299"/>
    <s v="CENTRE"/>
    <s v="IHS"/>
    <s v="Gen Only"/>
    <s v="CENTRE"/>
    <s v="Nguila"/>
    <s v="ZTE"/>
    <n v="0"/>
    <n v="0"/>
    <n v="0"/>
    <n v="0"/>
    <n v="0"/>
    <n v="0"/>
    <n v="0"/>
    <n v="0"/>
    <n v="0"/>
    <n v="0"/>
    <n v="0"/>
    <n v="0"/>
    <n v="0"/>
    <n v="0"/>
    <n v="0"/>
    <n v="0"/>
    <n v="0"/>
    <n v="0"/>
    <n v="0"/>
    <n v="0"/>
    <m/>
    <n v="0"/>
    <n v="0"/>
    <n v="0"/>
    <m/>
    <n v="0"/>
    <m/>
    <n v="0"/>
    <m/>
    <n v="0"/>
    <m/>
    <m/>
    <n v="0"/>
    <n v="0"/>
    <n v="0"/>
    <n v="0"/>
    <m/>
    <n v="0"/>
    <n v="0"/>
    <n v="0"/>
    <n v="0"/>
    <n v="0"/>
    <x v="0"/>
    <m/>
    <x v="2"/>
    <x v="1"/>
    <s v="no root cause"/>
    <x v="1"/>
    <s v=""/>
  </r>
  <r>
    <s v="Talba"/>
    <s v="CTR_206"/>
    <s v="CENTRE"/>
    <s v="IHS"/>
    <s v="Grid-Gen"/>
    <s v="CENTRE"/>
    <s v="Talba"/>
    <s v="ZTE"/>
    <n v="0"/>
    <n v="0"/>
    <n v="0"/>
    <n v="0"/>
    <n v="0"/>
    <n v="0"/>
    <n v="0"/>
    <n v="0"/>
    <n v="0"/>
    <n v="0"/>
    <n v="0"/>
    <n v="0"/>
    <n v="0"/>
    <n v="0"/>
    <n v="0"/>
    <n v="0"/>
    <n v="0"/>
    <n v="0"/>
    <n v="0"/>
    <n v="0"/>
    <m/>
    <n v="0"/>
    <n v="0"/>
    <n v="0"/>
    <m/>
    <n v="0"/>
    <m/>
    <n v="0"/>
    <m/>
    <n v="0"/>
    <m/>
    <m/>
    <n v="0"/>
    <n v="0"/>
    <n v="0"/>
    <n v="0"/>
    <m/>
    <n v="0"/>
    <n v="0"/>
    <n v="0"/>
    <n v="0"/>
    <n v="0"/>
    <x v="0"/>
    <m/>
    <x v="2"/>
    <x v="1"/>
    <s v="no root cause"/>
    <x v="1"/>
    <s v=""/>
  </r>
  <r>
    <s v="Batcham-II"/>
    <s v="OST_243"/>
    <s v="OUEST"/>
    <s v="CAMUSAT"/>
    <s v="HGB"/>
    <s v="OUEST"/>
    <s v="Batcham"/>
    <s v="Huawei"/>
    <n v="0"/>
    <n v="0"/>
    <n v="0"/>
    <n v="0"/>
    <n v="0"/>
    <n v="0"/>
    <n v="0"/>
    <n v="0"/>
    <n v="0"/>
    <n v="0"/>
    <n v="0"/>
    <n v="0"/>
    <n v="0"/>
    <n v="0"/>
    <n v="0"/>
    <n v="0"/>
    <n v="0"/>
    <n v="0"/>
    <n v="0"/>
    <n v="0"/>
    <m/>
    <n v="0"/>
    <n v="0"/>
    <n v="0"/>
    <m/>
    <n v="0"/>
    <m/>
    <n v="0"/>
    <m/>
    <n v="0"/>
    <m/>
    <m/>
    <n v="0"/>
    <n v="0"/>
    <n v="0"/>
    <n v="0"/>
    <m/>
    <n v="0"/>
    <n v="0"/>
    <n v="0"/>
    <n v="0"/>
    <n v="0"/>
    <x v="0"/>
    <m/>
    <x v="2"/>
    <x v="1"/>
    <s v="no root cause"/>
    <x v="1"/>
    <s v=""/>
  </r>
  <r>
    <s v="Badoumguia"/>
    <s v="OST_303"/>
    <s v="OUEST"/>
    <s v="CAMUSAT"/>
    <s v="Hybrid Solar - S3"/>
    <s v="OUEST"/>
    <s v="Badoumguia"/>
    <s v="Huawei"/>
    <n v="0"/>
    <n v="0"/>
    <n v="0"/>
    <n v="0"/>
    <n v="0"/>
    <n v="0"/>
    <n v="0"/>
    <n v="0"/>
    <n v="0"/>
    <n v="0"/>
    <n v="0"/>
    <n v="0"/>
    <n v="0"/>
    <n v="0"/>
    <n v="0"/>
    <n v="0"/>
    <n v="0"/>
    <n v="0"/>
    <n v="0"/>
    <n v="0"/>
    <m/>
    <n v="0"/>
    <n v="0"/>
    <n v="0"/>
    <m/>
    <n v="0"/>
    <m/>
    <n v="0"/>
    <m/>
    <n v="0"/>
    <m/>
    <m/>
    <n v="0"/>
    <n v="0"/>
    <n v="0"/>
    <n v="0"/>
    <m/>
    <n v="0"/>
    <n v="0"/>
    <n v="0"/>
    <n v="0"/>
    <n v="0"/>
    <x v="0"/>
    <m/>
    <x v="2"/>
    <x v="1"/>
    <s v="no root cause"/>
    <x v="1"/>
    <s v=""/>
  </r>
  <r>
    <s v="Gbiti-IHS"/>
    <s v="EST_101"/>
    <s v="CENTRE"/>
    <s v="IHS"/>
    <s v="Hybrid-Gen"/>
    <s v="EST"/>
    <s v="Gbiti"/>
    <s v="ZTE"/>
    <n v="0"/>
    <n v="0"/>
    <n v="0"/>
    <n v="0"/>
    <n v="0"/>
    <n v="0"/>
    <n v="0"/>
    <n v="0"/>
    <n v="0"/>
    <n v="0"/>
    <n v="0"/>
    <n v="0"/>
    <n v="0"/>
    <n v="0"/>
    <n v="0"/>
    <n v="0"/>
    <n v="0"/>
    <n v="0"/>
    <n v="0"/>
    <n v="0"/>
    <m/>
    <n v="0"/>
    <n v="0"/>
    <n v="0"/>
    <m/>
    <n v="0"/>
    <m/>
    <n v="0"/>
    <m/>
    <n v="0"/>
    <m/>
    <m/>
    <n v="0"/>
    <n v="0"/>
    <n v="0"/>
    <n v="0"/>
    <m/>
    <n v="0"/>
    <n v="0"/>
    <n v="0"/>
    <n v="0"/>
    <n v="0"/>
    <x v="0"/>
    <m/>
    <x v="2"/>
    <x v="1"/>
    <s v="no root cause"/>
    <x v="1"/>
    <s v=""/>
  </r>
  <r>
    <s v="Bangangte"/>
    <s v="OST_012"/>
    <s v="OUEST"/>
    <s v="IHS"/>
    <s v="Grid-Gen"/>
    <s v="OUEST"/>
    <s v="Bangangte"/>
    <s v="Huawei"/>
    <n v="0"/>
    <n v="0"/>
    <n v="0"/>
    <n v="0"/>
    <n v="0"/>
    <n v="0"/>
    <n v="0"/>
    <n v="0"/>
    <n v="0"/>
    <n v="0"/>
    <n v="0"/>
    <n v="0"/>
    <n v="0"/>
    <n v="0"/>
    <n v="0"/>
    <n v="0"/>
    <n v="0"/>
    <n v="0"/>
    <n v="0"/>
    <n v="0"/>
    <m/>
    <n v="0"/>
    <n v="0"/>
    <n v="0"/>
    <m/>
    <n v="0"/>
    <m/>
    <n v="0"/>
    <m/>
    <n v="0"/>
    <m/>
    <m/>
    <n v="0"/>
    <n v="0"/>
    <n v="0"/>
    <n v="0"/>
    <m/>
    <n v="0"/>
    <n v="0"/>
    <n v="0"/>
    <n v="0"/>
    <n v="0"/>
    <x v="0"/>
    <m/>
    <x v="2"/>
    <x v="1"/>
    <s v="no root cause"/>
    <x v="1"/>
    <s v=""/>
  </r>
  <r>
    <s v="Bambit-MTN"/>
    <s v="OST_048"/>
    <s v="OUEST"/>
    <s v="IHS"/>
    <s v="Grid-Gen"/>
    <s v="OUEST"/>
    <s v="Bambit"/>
    <s v="Huawei"/>
    <n v="0"/>
    <n v="0"/>
    <n v="0"/>
    <n v="0"/>
    <n v="0"/>
    <n v="0"/>
    <n v="0"/>
    <n v="0"/>
    <n v="0"/>
    <n v="0"/>
    <n v="0"/>
    <n v="0"/>
    <n v="0"/>
    <n v="0"/>
    <n v="0"/>
    <n v="0"/>
    <n v="0"/>
    <n v="0"/>
    <n v="0"/>
    <n v="0"/>
    <m/>
    <n v="0"/>
    <n v="0"/>
    <n v="0"/>
    <m/>
    <n v="0"/>
    <m/>
    <n v="0"/>
    <m/>
    <n v="0"/>
    <m/>
    <m/>
    <n v="0"/>
    <n v="0"/>
    <n v="0"/>
    <n v="0"/>
    <m/>
    <n v="0"/>
    <n v="0"/>
    <n v="0"/>
    <n v="0"/>
    <n v="0"/>
    <x v="0"/>
    <m/>
    <x v="2"/>
    <x v="1"/>
    <s v="no root cause"/>
    <x v="1"/>
    <s v=""/>
  </r>
  <r>
    <s v="Saa-IHS"/>
    <s v="CTR_829"/>
    <s v="CENTRE"/>
    <s v="IHS"/>
    <s v="Grid-Gen"/>
    <s v="CENTRE"/>
    <s v="Saa"/>
    <s v="ZTE"/>
    <n v="0"/>
    <n v="0"/>
    <n v="0"/>
    <n v="0"/>
    <n v="0"/>
    <n v="0"/>
    <n v="0"/>
    <n v="0"/>
    <n v="0"/>
    <n v="0"/>
    <n v="0"/>
    <n v="0"/>
    <n v="0"/>
    <n v="0"/>
    <n v="0"/>
    <n v="0"/>
    <n v="0"/>
    <n v="0"/>
    <n v="0"/>
    <n v="0"/>
    <m/>
    <n v="0"/>
    <n v="0"/>
    <n v="0"/>
    <m/>
    <n v="0"/>
    <m/>
    <n v="0"/>
    <m/>
    <n v="0"/>
    <m/>
    <m/>
    <n v="0"/>
    <n v="0"/>
    <n v="0"/>
    <n v="0"/>
    <m/>
    <n v="0"/>
    <n v="0"/>
    <n v="0"/>
    <n v="0"/>
    <n v="0"/>
    <x v="0"/>
    <m/>
    <x v="4"/>
    <x v="0"/>
    <s v="Defaut GE &amp; Power Cabinet"/>
    <x v="0"/>
    <s v="{hourly IHS}: 25/05/2026 06:08 0:14:52 0.9V fme is on the way ETA 07:20 AM"/>
  </r>
  <r>
    <s v="Basseu-MTN"/>
    <s v="OST_322"/>
    <s v="OUEST"/>
    <m/>
    <m/>
    <s v="OUEST"/>
    <s v="Bandja"/>
    <s v="Huawei"/>
    <n v="0"/>
    <n v="0"/>
    <n v="0"/>
    <n v="0"/>
    <n v="0"/>
    <n v="0"/>
    <n v="0"/>
    <n v="0"/>
    <n v="0"/>
    <n v="0"/>
    <n v="0"/>
    <n v="0"/>
    <n v="0"/>
    <n v="0"/>
    <n v="0"/>
    <n v="0"/>
    <n v="0"/>
    <n v="0"/>
    <n v="0"/>
    <n v="0"/>
    <m/>
    <n v="0"/>
    <n v="0"/>
    <n v="0"/>
    <m/>
    <n v="0"/>
    <m/>
    <n v="0"/>
    <m/>
    <n v="0"/>
    <m/>
    <m/>
    <n v="0"/>
    <n v="0"/>
    <n v="0"/>
    <n v="0"/>
    <m/>
    <n v="0"/>
    <n v="0"/>
    <n v="0"/>
    <n v="0"/>
    <n v="0"/>
    <x v="0"/>
    <m/>
    <x v="2"/>
    <x v="1"/>
    <s v="no root cause"/>
    <x v="1"/>
    <s v=""/>
  </r>
  <r>
    <s v="Tchabal"/>
    <s v="ADM_016"/>
    <s v="ADAMAOUA"/>
    <s v="IHS"/>
    <s v="Solar-Grid-Gen"/>
    <s v="ADAMAOUA"/>
    <s v="Tchabal"/>
    <s v="Huawei"/>
    <n v="0"/>
    <n v="0"/>
    <n v="0"/>
    <n v="0"/>
    <n v="0"/>
    <n v="0"/>
    <n v="0"/>
    <n v="0"/>
    <n v="0"/>
    <n v="0"/>
    <n v="0"/>
    <n v="0"/>
    <n v="0"/>
    <n v="0"/>
    <n v="0"/>
    <n v="0"/>
    <n v="0"/>
    <n v="0"/>
    <n v="0"/>
    <n v="0"/>
    <m/>
    <n v="0"/>
    <n v="0"/>
    <n v="0"/>
    <m/>
    <n v="0"/>
    <m/>
    <n v="0"/>
    <m/>
    <n v="0"/>
    <m/>
    <m/>
    <n v="0"/>
    <n v="0"/>
    <n v="0"/>
    <n v="0"/>
    <m/>
    <n v="0"/>
    <n v="0"/>
    <n v="0"/>
    <n v="0"/>
    <n v="0"/>
    <x v="0"/>
    <m/>
    <x v="2"/>
    <x v="1"/>
    <s v="no root cause"/>
    <x v="1"/>
    <s v=""/>
  </r>
  <r>
    <s v="Nkolbewae-IHS"/>
    <s v="CTR_440"/>
    <s v="CENTRE"/>
    <s v="IHS"/>
    <s v="Grid-Gen"/>
    <s v="CENTRE"/>
    <s v="Nkol-bewaa"/>
    <s v="ZTE"/>
    <n v="0"/>
    <n v="0"/>
    <n v="0"/>
    <n v="0"/>
    <n v="0"/>
    <n v="0"/>
    <n v="0"/>
    <n v="0"/>
    <n v="0"/>
    <n v="0"/>
    <n v="0"/>
    <n v="0"/>
    <n v="0"/>
    <n v="0"/>
    <n v="0"/>
    <n v="0"/>
    <n v="0"/>
    <n v="0"/>
    <n v="0"/>
    <n v="0"/>
    <m/>
    <n v="0"/>
    <n v="0"/>
    <n v="0"/>
    <m/>
    <n v="0"/>
    <m/>
    <n v="0"/>
    <m/>
    <n v="0"/>
    <m/>
    <m/>
    <n v="0"/>
    <n v="0"/>
    <n v="0"/>
    <n v="0"/>
    <m/>
    <n v="0"/>
    <n v="0"/>
    <n v="0"/>
    <n v="0"/>
    <n v="0"/>
    <x v="0"/>
    <m/>
    <x v="2"/>
    <x v="1"/>
    <s v="no root cause"/>
    <x v="1"/>
    <s v=""/>
  </r>
  <r>
    <s v="Bangangte-Centre"/>
    <s v="OST_180"/>
    <s v="OUEST"/>
    <s v="IHS"/>
    <s v="Grid-Gen"/>
    <s v="OUEST"/>
    <s v="Bangangte"/>
    <s v="Huawei"/>
    <n v="0"/>
    <n v="0"/>
    <n v="0"/>
    <n v="0"/>
    <n v="0"/>
    <n v="0"/>
    <n v="0"/>
    <n v="0"/>
    <n v="0"/>
    <n v="0"/>
    <n v="0"/>
    <n v="0"/>
    <n v="0"/>
    <n v="0"/>
    <n v="0"/>
    <n v="0"/>
    <n v="0"/>
    <n v="0"/>
    <n v="0"/>
    <n v="0"/>
    <m/>
    <n v="0"/>
    <n v="0"/>
    <n v="0"/>
    <m/>
    <n v="0"/>
    <m/>
    <n v="0"/>
    <m/>
    <n v="0"/>
    <m/>
    <m/>
    <n v="0"/>
    <n v="0"/>
    <n v="0"/>
    <n v="0"/>
    <m/>
    <n v="0"/>
    <n v="0"/>
    <n v="0"/>
    <n v="0"/>
    <n v="0"/>
    <x v="0"/>
    <m/>
    <x v="2"/>
    <x v="1"/>
    <s v="no root cause"/>
    <x v="1"/>
    <s v=""/>
  </r>
  <r>
    <s v="Makenene"/>
    <s v="CTR_081"/>
    <s v="CENTRE"/>
    <s v="IHS"/>
    <s v="Grid-Gen"/>
    <s v="CENTRE"/>
    <s v="Makenene"/>
    <s v="ZTE"/>
    <n v="0"/>
    <n v="0"/>
    <n v="0"/>
    <n v="0"/>
    <n v="0"/>
    <n v="0"/>
    <n v="0"/>
    <n v="0"/>
    <n v="0"/>
    <n v="0"/>
    <n v="0"/>
    <n v="0"/>
    <n v="0"/>
    <n v="0"/>
    <n v="0"/>
    <n v="0"/>
    <n v="0"/>
    <n v="0"/>
    <n v="0"/>
    <n v="0"/>
    <m/>
    <n v="0"/>
    <n v="0"/>
    <n v="0"/>
    <m/>
    <n v="0"/>
    <m/>
    <n v="0"/>
    <m/>
    <n v="0"/>
    <m/>
    <m/>
    <n v="0"/>
    <n v="0"/>
    <n v="0"/>
    <n v="0"/>
    <m/>
    <n v="0"/>
    <n v="0"/>
    <n v="0"/>
    <n v="0"/>
    <n v="0"/>
    <x v="0"/>
    <m/>
    <x v="2"/>
    <x v="1"/>
    <s v="no root cause"/>
    <x v="1"/>
    <s v=""/>
  </r>
  <r>
    <s v="Ngom"/>
    <s v="SUD_115"/>
    <s v="CENTRE"/>
    <m/>
    <m/>
    <s v="SUD"/>
    <s v="Ngom"/>
    <s v="ZTE"/>
    <n v="0"/>
    <n v="0"/>
    <n v="0"/>
    <n v="0"/>
    <n v="0"/>
    <n v="0"/>
    <n v="0"/>
    <n v="0"/>
    <n v="0"/>
    <n v="0"/>
    <n v="0"/>
    <n v="0"/>
    <n v="0"/>
    <n v="0"/>
    <n v="0"/>
    <n v="0"/>
    <n v="0"/>
    <n v="0"/>
    <n v="0"/>
    <n v="0"/>
    <m/>
    <n v="0"/>
    <n v="0"/>
    <n v="0"/>
    <m/>
    <n v="0"/>
    <m/>
    <n v="0"/>
    <m/>
    <n v="0"/>
    <m/>
    <m/>
    <n v="0"/>
    <n v="0"/>
    <n v="0"/>
    <n v="0"/>
    <m/>
    <n v="0"/>
    <n v="0"/>
    <n v="0"/>
    <n v="0"/>
    <n v="0"/>
    <x v="0"/>
    <m/>
    <x v="2"/>
    <x v="1"/>
    <s v="no root cause"/>
    <x v="1"/>
    <s v=""/>
  </r>
  <r>
    <s v="Loum-PHP"/>
    <s v="LIT_593"/>
    <s v="LITTORAL"/>
    <s v="CAMUSAT"/>
    <s v="Medium Grid + GE"/>
    <s v="LITTORAL"/>
    <s v="Loum"/>
    <s v="ZTE"/>
    <n v="0"/>
    <n v="0"/>
    <n v="0"/>
    <n v="0"/>
    <n v="0"/>
    <n v="0"/>
    <n v="0"/>
    <n v="0"/>
    <n v="0"/>
    <n v="0"/>
    <n v="0"/>
    <n v="0"/>
    <n v="0"/>
    <n v="0"/>
    <n v="0"/>
    <n v="0"/>
    <n v="0"/>
    <n v="0"/>
    <n v="0"/>
    <n v="0"/>
    <m/>
    <n v="0"/>
    <n v="0"/>
    <n v="0"/>
    <m/>
    <n v="0"/>
    <m/>
    <n v="0"/>
    <m/>
    <n v="0"/>
    <m/>
    <m/>
    <n v="0"/>
    <n v="0"/>
    <n v="0"/>
    <n v="0"/>
    <m/>
    <n v="0"/>
    <n v="0"/>
    <n v="0"/>
    <n v="0"/>
    <n v="0"/>
    <x v="0"/>
    <m/>
    <x v="2"/>
    <x v="1"/>
    <s v="no root cause"/>
    <x v="1"/>
    <s v=""/>
  </r>
  <r>
    <s v="Bafou-Dzinmezo"/>
    <s v="OST_254"/>
    <s v="OUEST"/>
    <s v="CAMUSAT"/>
    <s v="Hybrid Solar - S2"/>
    <s v="OUEST"/>
    <s v="Bafou"/>
    <s v="Huawei"/>
    <n v="0"/>
    <n v="0"/>
    <n v="0"/>
    <n v="0"/>
    <n v="0"/>
    <n v="0"/>
    <n v="0"/>
    <n v="0"/>
    <n v="0"/>
    <n v="0"/>
    <n v="0"/>
    <n v="0.4269450150752873"/>
    <n v="0"/>
    <n v="0"/>
    <n v="0"/>
    <n v="0"/>
    <n v="0"/>
    <n v="0"/>
    <n v="0"/>
    <n v="0"/>
    <m/>
    <n v="0"/>
    <n v="0"/>
    <n v="0"/>
    <m/>
    <n v="0"/>
    <m/>
    <n v="0"/>
    <m/>
    <n v="0"/>
    <m/>
    <m/>
    <n v="0"/>
    <n v="0"/>
    <n v="0"/>
    <n v="0"/>
    <m/>
    <n v="0"/>
    <n v="0"/>
    <n v="0"/>
    <n v="0"/>
    <n v="0"/>
    <x v="0"/>
    <m/>
    <x v="2"/>
    <x v="1"/>
    <s v="no root cause"/>
    <x v="1"/>
    <s v=""/>
  </r>
  <r>
    <s v="Awae-Metet"/>
    <s v="CTR_880"/>
    <s v="CENTRE"/>
    <s v="CAMUSAT"/>
    <s v="Good Grid + GE"/>
    <s v="CENTRE"/>
    <s v="Ebolmadzom"/>
    <s v="ZTE"/>
    <n v="0"/>
    <n v="0"/>
    <n v="0"/>
    <n v="0"/>
    <n v="0"/>
    <n v="0"/>
    <n v="0"/>
    <n v="0"/>
    <n v="0"/>
    <n v="0"/>
    <n v="0"/>
    <n v="0"/>
    <n v="0"/>
    <n v="0"/>
    <n v="0"/>
    <n v="0"/>
    <n v="0"/>
    <n v="0"/>
    <n v="0"/>
    <n v="0"/>
    <m/>
    <n v="0"/>
    <n v="0"/>
    <n v="0"/>
    <m/>
    <n v="0"/>
    <m/>
    <n v="0"/>
    <m/>
    <n v="0"/>
    <m/>
    <m/>
    <n v="0"/>
    <n v="0"/>
    <n v="0"/>
    <n v="0"/>
    <m/>
    <n v="0"/>
    <n v="0"/>
    <n v="0"/>
    <n v="0"/>
    <n v="0"/>
    <x v="0"/>
    <m/>
    <x v="0"/>
    <x v="0"/>
    <s v="AKTIVCO Defaut GE &amp; Power Cabinet"/>
    <x v="0"/>
    <s v="{05-25-2026 ocm ran 17H}: 25.05.26: Camusat: investigations ongoing / FME is trying to get level0"/>
  </r>
  <r>
    <s v="Abouta-MTN"/>
    <s v="SUD_238"/>
    <s v="CENTRE"/>
    <s v="IHS"/>
    <s v="Solar-Grid-Gen-Lithium"/>
    <s v="SUD"/>
    <s v="Abouta"/>
    <s v="ZTE"/>
    <n v="0"/>
    <n v="0"/>
    <n v="0"/>
    <n v="0"/>
    <n v="0"/>
    <n v="0"/>
    <n v="0"/>
    <n v="0"/>
    <n v="0"/>
    <n v="0"/>
    <n v="0"/>
    <n v="0"/>
    <n v="0"/>
    <n v="0"/>
    <n v="0"/>
    <n v="0"/>
    <n v="0"/>
    <n v="0"/>
    <n v="0"/>
    <n v="0"/>
    <m/>
    <n v="0"/>
    <n v="0"/>
    <n v="0"/>
    <m/>
    <n v="0"/>
    <m/>
    <n v="0"/>
    <m/>
    <n v="0"/>
    <m/>
    <m/>
    <n v="0"/>
    <n v="0"/>
    <n v="0"/>
    <n v="0"/>
    <m/>
    <n v="0"/>
    <n v="0"/>
    <n v="0"/>
    <n v="0"/>
    <n v="0"/>
    <x v="0"/>
    <m/>
    <x v="2"/>
    <x v="1"/>
    <s v="no root cause"/>
    <x v="1"/>
    <s v=""/>
  </r>
  <r>
    <s v="Tongo-Ngandima-IHS"/>
    <s v="EST_116"/>
    <s v="CENTRE"/>
    <s v="IHS"/>
    <s v="Hybrid-Gen"/>
    <s v="EST"/>
    <s v="Tongo-Ngandima"/>
    <s v="NOKIA"/>
    <n v="0"/>
    <n v="0"/>
    <n v="0"/>
    <n v="0"/>
    <n v="0"/>
    <n v="0"/>
    <n v="0"/>
    <n v="0"/>
    <n v="0"/>
    <n v="0"/>
    <n v="0"/>
    <n v="0"/>
    <n v="0"/>
    <n v="0"/>
    <n v="0"/>
    <n v="0"/>
    <n v="0"/>
    <n v="0"/>
    <n v="0"/>
    <n v="0"/>
    <m/>
    <n v="0"/>
    <n v="0"/>
    <n v="0"/>
    <m/>
    <n v="0"/>
    <m/>
    <n v="0"/>
    <m/>
    <n v="0"/>
    <m/>
    <m/>
    <n v="0"/>
    <n v="0"/>
    <n v="0"/>
    <n v="0"/>
    <m/>
    <n v="0"/>
    <n v="0"/>
    <n v="0"/>
    <n v="0"/>
    <n v="0"/>
    <x v="0"/>
    <m/>
    <x v="2"/>
    <x v="1"/>
    <s v="no root cause"/>
    <x v="1"/>
    <s v=""/>
  </r>
  <r>
    <s v="Dibang"/>
    <s v="CTR_204"/>
    <s v="CENTRE"/>
    <s v="IHS"/>
    <s v="Grid-Gen"/>
    <s v="CENTRE"/>
    <s v="Dibang"/>
    <s v="ZTE"/>
    <n v="0"/>
    <n v="0"/>
    <n v="0"/>
    <n v="0"/>
    <n v="0"/>
    <n v="0"/>
    <n v="0"/>
    <n v="0"/>
    <n v="0"/>
    <n v="0"/>
    <n v="0"/>
    <n v="6.163803066492026"/>
    <n v="0"/>
    <n v="0"/>
    <n v="0"/>
    <n v="0"/>
    <n v="0"/>
    <n v="0"/>
    <n v="0"/>
    <n v="0"/>
    <m/>
    <n v="0"/>
    <n v="0"/>
    <n v="0"/>
    <m/>
    <n v="0"/>
    <m/>
    <n v="0"/>
    <m/>
    <n v="0"/>
    <m/>
    <m/>
    <n v="0"/>
    <n v="0"/>
    <n v="0"/>
    <n v="0"/>
    <m/>
    <n v="0"/>
    <n v="0"/>
    <n v="0"/>
    <n v="0"/>
    <n v="0"/>
    <x v="0"/>
    <m/>
    <x v="2"/>
    <x v="1"/>
    <s v="no root cause"/>
    <x v="1"/>
    <s v=""/>
  </r>
  <r>
    <s v="Mbandjock-II"/>
    <s v="CTR_510"/>
    <s v="CENTRE"/>
    <s v="CAMUSAT"/>
    <s v="Good Grid no GE - 8h"/>
    <s v="CENTRE"/>
    <s v="Mbandjock"/>
    <s v="ZTE"/>
    <n v="0"/>
    <n v="0"/>
    <n v="0"/>
    <n v="0"/>
    <n v="0"/>
    <n v="0"/>
    <n v="0"/>
    <n v="0"/>
    <n v="0"/>
    <n v="0"/>
    <n v="0"/>
    <n v="0"/>
    <n v="0"/>
    <n v="0"/>
    <n v="0"/>
    <n v="0"/>
    <n v="0"/>
    <n v="0"/>
    <n v="0"/>
    <n v="0"/>
    <m/>
    <n v="0"/>
    <n v="0"/>
    <n v="0"/>
    <m/>
    <n v="0"/>
    <m/>
    <n v="0"/>
    <m/>
    <n v="0"/>
    <m/>
    <m/>
    <n v="0"/>
    <n v="0"/>
    <n v="0"/>
    <n v="0"/>
    <m/>
    <n v="0"/>
    <n v="0"/>
    <n v="0"/>
    <n v="0"/>
    <n v="0"/>
    <x v="0"/>
    <m/>
    <x v="2"/>
    <x v="1"/>
    <s v="no root cause"/>
    <x v="1"/>
    <s v=""/>
  </r>
  <r>
    <s v="Djohong"/>
    <s v="ADM_022"/>
    <s v="ADAMAOUA"/>
    <s v="IHS"/>
    <s v="Solar-Gen"/>
    <s v="ADAMAOUA"/>
    <s v="Djohong"/>
    <s v="Huawei"/>
    <n v="0"/>
    <n v="0"/>
    <n v="0"/>
    <n v="0"/>
    <n v="0"/>
    <n v="0"/>
    <n v="0"/>
    <n v="0"/>
    <n v="0"/>
    <n v="0"/>
    <n v="0"/>
    <n v="0"/>
    <n v="0"/>
    <n v="0"/>
    <n v="0"/>
    <n v="0"/>
    <n v="0"/>
    <n v="0"/>
    <n v="0"/>
    <n v="0"/>
    <m/>
    <n v="0"/>
    <n v="0"/>
    <n v="0"/>
    <m/>
    <n v="0"/>
    <m/>
    <n v="0"/>
    <m/>
    <n v="0"/>
    <m/>
    <m/>
    <n v="0"/>
    <n v="0"/>
    <n v="0"/>
    <n v="0"/>
    <m/>
    <n v="0"/>
    <n v="0"/>
    <n v="0"/>
    <n v="0"/>
    <n v="0"/>
    <x v="0"/>
    <m/>
    <x v="2"/>
    <x v="1"/>
    <s v="no root cause"/>
    <x v="1"/>
    <s v=""/>
  </r>
  <r>
    <s v="Ke-Eke-MTN"/>
    <s v="SUD_255"/>
    <s v="CENTRE"/>
    <s v="IHS"/>
    <s v="Grid-Gen"/>
    <s v="SUD"/>
    <s v="Ke-Eke"/>
    <s v="ZTE"/>
    <n v="0"/>
    <n v="0"/>
    <n v="0"/>
    <n v="0"/>
    <n v="0"/>
    <n v="0"/>
    <n v="0"/>
    <n v="0"/>
    <n v="0"/>
    <n v="0"/>
    <n v="0"/>
    <n v="0"/>
    <n v="0"/>
    <n v="0"/>
    <n v="0"/>
    <n v="0"/>
    <n v="0"/>
    <n v="0"/>
    <n v="0"/>
    <n v="0"/>
    <m/>
    <n v="0"/>
    <n v="0"/>
    <n v="0"/>
    <m/>
    <n v="0"/>
    <m/>
    <n v="0"/>
    <m/>
    <n v="0"/>
    <m/>
    <m/>
    <n v="0"/>
    <n v="0"/>
    <n v="0"/>
    <n v="0"/>
    <m/>
    <n v="0"/>
    <n v="0"/>
    <n v="0"/>
    <n v="0"/>
    <n v="0"/>
    <x v="0"/>
    <m/>
    <x v="2"/>
    <x v="1"/>
    <s v="no root cause"/>
    <x v="1"/>
    <s v=""/>
  </r>
  <r>
    <s v="Nkondjock-MTN"/>
    <s v="LIT_239"/>
    <s v="LITTORAL"/>
    <s v="IHS"/>
    <s v="Grid-Gen"/>
    <s v="LITTORAL"/>
    <s v="Nkondjock"/>
    <s v="ZTE"/>
    <n v="0"/>
    <n v="0"/>
    <n v="0"/>
    <n v="0"/>
    <n v="0"/>
    <n v="0"/>
    <n v="0"/>
    <n v="0"/>
    <n v="0"/>
    <n v="0"/>
    <n v="0"/>
    <n v="0"/>
    <n v="0"/>
    <n v="0"/>
    <n v="0"/>
    <n v="0"/>
    <n v="0"/>
    <n v="0"/>
    <n v="0"/>
    <n v="0"/>
    <m/>
    <n v="0"/>
    <n v="0"/>
    <n v="0"/>
    <m/>
    <n v="0"/>
    <m/>
    <n v="0"/>
    <m/>
    <n v="0"/>
    <m/>
    <m/>
    <n v="0"/>
    <n v="0"/>
    <n v="0"/>
    <n v="0"/>
    <m/>
    <n v="0"/>
    <n v="0"/>
    <n v="0"/>
    <n v="0"/>
    <n v="0"/>
    <x v="0"/>
    <m/>
    <x v="2"/>
    <x v="1"/>
    <s v="no root cause"/>
    <x v="1"/>
    <s v=""/>
  </r>
  <r>
    <s v="Ekabita-Essele"/>
    <s v="CTR_437"/>
    <s v="CENTRE"/>
    <s v="IHS"/>
    <s v="Grid-Gen"/>
    <s v="CENTRE"/>
    <s v="Ekabita-Essele"/>
    <s v="ZTE"/>
    <n v="0"/>
    <n v="0"/>
    <n v="0"/>
    <n v="0"/>
    <n v="0"/>
    <n v="0"/>
    <n v="0"/>
    <n v="0"/>
    <n v="0"/>
    <n v="0"/>
    <n v="0"/>
    <n v="0"/>
    <n v="0"/>
    <n v="0"/>
    <n v="0"/>
    <n v="0"/>
    <n v="0"/>
    <n v="0"/>
    <n v="0"/>
    <n v="0"/>
    <m/>
    <n v="0"/>
    <n v="0"/>
    <n v="0"/>
    <m/>
    <n v="0"/>
    <m/>
    <n v="0"/>
    <m/>
    <n v="0"/>
    <m/>
    <m/>
    <n v="0"/>
    <n v="0"/>
    <n v="0"/>
    <n v="0"/>
    <m/>
    <n v="0"/>
    <n v="0"/>
    <n v="0"/>
    <n v="0"/>
    <n v="0"/>
    <x v="0"/>
    <m/>
    <x v="2"/>
    <x v="1"/>
    <s v="no root cause"/>
    <x v="1"/>
    <s v=""/>
  </r>
  <r>
    <s v="Nkometou-Razel"/>
    <s v="CTR_825"/>
    <s v="CENTRE"/>
    <s v="CAMUSAT"/>
    <s v="Hybrid Solar - S3"/>
    <s v="CENTRE"/>
    <s v="Nkometou"/>
    <s v="ZTE"/>
    <n v="0"/>
    <n v="0"/>
    <n v="0"/>
    <n v="0"/>
    <n v="0"/>
    <n v="0"/>
    <n v="0"/>
    <n v="0"/>
    <n v="0"/>
    <n v="0"/>
    <n v="0"/>
    <n v="0"/>
    <n v="0"/>
    <n v="0"/>
    <n v="0"/>
    <n v="0"/>
    <n v="0"/>
    <n v="0"/>
    <n v="0"/>
    <n v="0"/>
    <m/>
    <n v="0"/>
    <n v="0"/>
    <n v="0"/>
    <m/>
    <n v="0"/>
    <m/>
    <n v="0"/>
    <m/>
    <n v="0"/>
    <m/>
    <m/>
    <n v="0"/>
    <n v="0"/>
    <n v="0"/>
    <n v="0"/>
    <m/>
    <n v="0"/>
    <n v="0"/>
    <n v="0"/>
    <n v="0"/>
    <n v="0"/>
    <x v="0"/>
    <m/>
    <x v="2"/>
    <x v="1"/>
    <s v="no root cause"/>
    <x v="1"/>
    <s v=""/>
  </r>
  <r>
    <s v="Yegeassi"/>
    <s v="CTR_770"/>
    <s v="CENTRE"/>
    <s v="CAMUSAT"/>
    <s v="Hybrid Solar - S1"/>
    <s v="CENTRE"/>
    <s v="Yegeassi"/>
    <s v="ZTE"/>
    <n v="0"/>
    <n v="0"/>
    <n v="0"/>
    <n v="0"/>
    <n v="0"/>
    <n v="0"/>
    <n v="0"/>
    <n v="0"/>
    <n v="0"/>
    <n v="0"/>
    <n v="0"/>
    <n v="0"/>
    <n v="0"/>
    <n v="0"/>
    <n v="0"/>
    <n v="0"/>
    <n v="0"/>
    <n v="0"/>
    <n v="0"/>
    <n v="0"/>
    <m/>
    <n v="0"/>
    <n v="0"/>
    <n v="0"/>
    <m/>
    <n v="0"/>
    <m/>
    <n v="0"/>
    <m/>
    <n v="0"/>
    <m/>
    <m/>
    <n v="0"/>
    <n v="0"/>
    <n v="0"/>
    <n v="0"/>
    <m/>
    <n v="0"/>
    <n v="0"/>
    <n v="0"/>
    <n v="0"/>
    <n v="0"/>
    <x v="0"/>
    <m/>
    <x v="8"/>
    <x v="4"/>
    <s v="SPARE-ISSUE"/>
    <x v="3"/>
    <s v="{05-25-2026 ocm ran 22H}: 23/05/2026 Chassis MSS8 faulty. Celui remis a été utilisé sur Mimboman-Ecole, point au niveau de OCM_x000a_22/05/2026 Chassis MSS8 faulty. Celui remis a été utilisé sur Mimboman-Ecole, point au niveau de OCM_x000a_21/05/2026 Chassis MSS8 faulty. Celui remis a été utilisé sur Mimboman-Ecole, point au niveau de OCM_x000a_18.05.26: Chassis MSS8 faulty. Celui remis a été utilisé sur Mimboman-Ecole, point au niveau de OCM_x000a_17.05.2026: Chassis pas encore recue. Relance du Transporteuren Cours_x000a_16.05.26: Chassis faulty et expédié de Douala pour Yaoundé. ETD=16.05.26 (WH manager à l'agence)_x000a_15/05/2026 Expedition en cours de douala vers Yaounde ETD=15/05/2026 15H UTC _x000a_14/05/2026 Expedition de prevu pour demain 15/05/2026 VERS YDE _x000a_14/05/2026 defaut Chassis 3DB18485EA. commande passée à OCM, Rapport d’analyse validée par le CEX-R. OCM a donne le GO ce soir pour recuperer le chassis a Douala. ca sera recupere demain et expedeie vers Yaounde. ETD 15/05/2026 _x000a_12/05/2026 Rapport d’analyse validée par le CEX-R,en attente de la mise à disposition du chassis// rapport remis en question par l’ingénierie, révision du CEX attendue_x000a_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05-25-2026 ocm ran 17H}: 23/05/2026 Chassis MSS8 faulty. Celui remis a été utilisé sur Mimboman-Ecole, point au niveau de OCM_x000a_22/05/2026 Chassis MSS8 faulty. Celui remis a été utilisé sur Mimboman-Ecole, point au niveau de OCM_x000a_21/05/2026 Chassis MSS8 faulty. Celui remis a été utilisé sur Mimboman-Ecole, point au niveau de OCM_x000a_18.05.26: Chassis MSS8 faulty. Celui remis a été utilisé sur Mimboman-Ecole, point au niveau de OCM_x000a_17.05.2026: Chassis pas encore recue. Relance du Transporteuren Cours_x000a_16.05.26: Chassis faulty et expédié de Douala pour Yaoundé. ETD=16.05.26 (WH manager à l'agence)_x000a_15/05/2026 Expedition en cours de douala vers Yaounde ETD=15/05/2026 15H UTC _x000a_14/05/2026 Expedition de prevu pour demain 15/05/2026 VERS YDE _x000a_14/05/2026 defaut Chassis 3DB18485EA. commande passée à OCM, Rapport d’analyse validée par le CEX-R. OCM a donne le GO ce soir pour recuperer le chassis a Douala. ca sera recupere demain et expedeie vers Yaounde. ETD 15/05/2026 _x000a_12/05/2026 Rapport d’analyse validée par le CEX-R,en attente de la mise à disposition du chassis// rapport remis en question par l’ingénierie, révision du CEX attendue_x000a_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r>
  <r>
    <s v="Abang-Minko-IHS"/>
    <s v="SUD_044"/>
    <s v="CENTRE"/>
    <s v="IHS"/>
    <s v="Solar-Grid-Gen"/>
    <s v="SUD"/>
    <s v="Abang-Minko"/>
    <s v="ZTE"/>
    <n v="0"/>
    <n v="0"/>
    <n v="0"/>
    <n v="0"/>
    <n v="0"/>
    <n v="0"/>
    <n v="0"/>
    <n v="0"/>
    <n v="0"/>
    <n v="0"/>
    <n v="0"/>
    <n v="0"/>
    <n v="0"/>
    <n v="0"/>
    <n v="0"/>
    <n v="0"/>
    <n v="0"/>
    <n v="0"/>
    <n v="0"/>
    <n v="0"/>
    <m/>
    <n v="0"/>
    <n v="0"/>
    <n v="0"/>
    <m/>
    <n v="0"/>
    <m/>
    <n v="0"/>
    <m/>
    <n v="0"/>
    <m/>
    <m/>
    <n v="0"/>
    <n v="0"/>
    <n v="0"/>
    <n v="0"/>
    <m/>
    <n v="0"/>
    <n v="0"/>
    <n v="0"/>
    <n v="0"/>
    <n v="0"/>
    <x v="0"/>
    <m/>
    <x v="2"/>
    <x v="1"/>
    <s v="no root cause"/>
    <x v="1"/>
    <s v=""/>
  </r>
  <r>
    <s v="Bazou"/>
    <s v="OST_037"/>
    <s v="OUEST"/>
    <s v="IHS"/>
    <s v="Grid-Gen"/>
    <s v="OUEST"/>
    <s v="Bazou"/>
    <s v="Huawei"/>
    <n v="0"/>
    <n v="0"/>
    <n v="0"/>
    <n v="0"/>
    <n v="0"/>
    <n v="0"/>
    <n v="0"/>
    <n v="0"/>
    <n v="0"/>
    <n v="0"/>
    <n v="0"/>
    <n v="0"/>
    <n v="0"/>
    <n v="0"/>
    <n v="0"/>
    <n v="0"/>
    <n v="0"/>
    <n v="0"/>
    <n v="0"/>
    <n v="0"/>
    <m/>
    <n v="0"/>
    <n v="0"/>
    <n v="0"/>
    <m/>
    <n v="0"/>
    <m/>
    <n v="0"/>
    <m/>
    <n v="0"/>
    <m/>
    <m/>
    <n v="0"/>
    <n v="0"/>
    <n v="0"/>
    <n v="0"/>
    <m/>
    <n v="0"/>
    <n v="0"/>
    <n v="0"/>
    <n v="0"/>
    <n v="0"/>
    <x v="0"/>
    <m/>
    <x v="2"/>
    <x v="1"/>
    <s v="no root cause"/>
    <x v="1"/>
    <s v=""/>
  </r>
  <r>
    <s v="Efok"/>
    <s v="CTR_221"/>
    <s v="CENTRE"/>
    <s v="IHS"/>
    <s v="Grid-Gen"/>
    <s v="CENTRE"/>
    <s v="Efok"/>
    <s v="ZTE"/>
    <n v="0"/>
    <n v="0"/>
    <n v="0"/>
    <n v="0"/>
    <n v="0"/>
    <n v="0"/>
    <n v="0"/>
    <n v="0"/>
    <n v="0"/>
    <n v="0"/>
    <n v="0"/>
    <n v="0"/>
    <n v="0"/>
    <n v="0"/>
    <n v="0"/>
    <n v="0"/>
    <n v="0"/>
    <n v="0"/>
    <n v="0"/>
    <n v="0"/>
    <m/>
    <n v="0"/>
    <n v="0"/>
    <n v="0"/>
    <m/>
    <n v="0"/>
    <m/>
    <n v="0"/>
    <m/>
    <n v="0"/>
    <m/>
    <m/>
    <n v="0"/>
    <n v="0"/>
    <n v="0"/>
    <n v="0"/>
    <m/>
    <n v="0"/>
    <n v="0"/>
    <n v="0"/>
    <n v="0"/>
    <n v="0"/>
    <x v="0"/>
    <m/>
    <x v="2"/>
    <x v="1"/>
    <s v="no root cause"/>
    <x v="1"/>
    <s v=""/>
  </r>
  <r>
    <s v="Mintom-MTN"/>
    <s v="SUD_246"/>
    <s v="CENTRE"/>
    <s v="IHS"/>
    <s v="Solar-Gen-Lithium"/>
    <s v="SUD"/>
    <s v="Mintom"/>
    <s v="ZTE"/>
    <n v="0"/>
    <n v="0"/>
    <n v="0"/>
    <n v="0"/>
    <n v="0"/>
    <n v="0"/>
    <n v="0"/>
    <n v="0"/>
    <n v="0"/>
    <n v="0"/>
    <n v="0"/>
    <n v="0"/>
    <n v="0"/>
    <n v="0"/>
    <n v="0"/>
    <n v="0"/>
    <n v="0"/>
    <n v="0"/>
    <n v="0"/>
    <n v="0"/>
    <m/>
    <n v="0"/>
    <n v="0"/>
    <n v="0"/>
    <m/>
    <n v="0"/>
    <m/>
    <n v="0"/>
    <m/>
    <n v="0"/>
    <m/>
    <m/>
    <n v="0"/>
    <n v="0"/>
    <n v="0"/>
    <n v="0"/>
    <m/>
    <n v="0"/>
    <n v="0"/>
    <n v="0"/>
    <n v="0"/>
    <n v="0"/>
    <x v="0"/>
    <m/>
    <x v="2"/>
    <x v="1"/>
    <s v="no root cause"/>
    <x v="1"/>
    <s v=""/>
  </r>
  <r>
    <s v="BTS-Mobile-Mbandjock"/>
    <s v="CTR_636"/>
    <s v="CENTRE"/>
    <s v="CAMUSAT"/>
    <s v="HGB"/>
    <s v="CENTRE"/>
    <s v="Mbandjock"/>
    <s v="NOKIA"/>
    <n v="0"/>
    <n v="0"/>
    <n v="0"/>
    <n v="0"/>
    <n v="0"/>
    <n v="0"/>
    <n v="0"/>
    <n v="0"/>
    <n v="0"/>
    <n v="0"/>
    <n v="0"/>
    <n v="0"/>
    <n v="0"/>
    <n v="0"/>
    <n v="0"/>
    <n v="0"/>
    <n v="0"/>
    <n v="0"/>
    <n v="0"/>
    <n v="0"/>
    <m/>
    <n v="0"/>
    <n v="0"/>
    <n v="0"/>
    <m/>
    <n v="0"/>
    <m/>
    <n v="0"/>
    <m/>
    <n v="0"/>
    <m/>
    <m/>
    <n v="0"/>
    <n v="0"/>
    <n v="0"/>
    <n v="0"/>
    <m/>
    <n v="0"/>
    <n v="0"/>
    <n v="0"/>
    <n v="0"/>
    <n v="0"/>
    <x v="0"/>
    <m/>
    <x v="2"/>
    <x v="1"/>
    <s v="no root cause"/>
    <x v="1"/>
    <s v=""/>
  </r>
  <r>
    <s v="Niete-V14"/>
    <s v="LIT_193"/>
    <s v="LITTORAL"/>
    <s v="IHS"/>
    <s v="Grid-Gen"/>
    <s v="LITTORAL"/>
    <s v="Niete"/>
    <s v="ZTE"/>
    <n v="0"/>
    <n v="0"/>
    <n v="0"/>
    <n v="0"/>
    <n v="0"/>
    <n v="0"/>
    <n v="0"/>
    <n v="0"/>
    <n v="0"/>
    <n v="0"/>
    <n v="0"/>
    <n v="0"/>
    <n v="0"/>
    <n v="0"/>
    <n v="0"/>
    <n v="0"/>
    <n v="0"/>
    <n v="0"/>
    <n v="0"/>
    <n v="0"/>
    <m/>
    <n v="0"/>
    <n v="0"/>
    <n v="0"/>
    <m/>
    <n v="0"/>
    <m/>
    <n v="0"/>
    <m/>
    <n v="0"/>
    <m/>
    <m/>
    <n v="0"/>
    <n v="0"/>
    <n v="0"/>
    <n v="0"/>
    <m/>
    <n v="0"/>
    <n v="0"/>
    <n v="0"/>
    <n v="0"/>
    <n v="0"/>
    <x v="0"/>
    <m/>
    <x v="2"/>
    <x v="1"/>
    <s v="no root cause"/>
    <x v="1"/>
    <s v=""/>
  </r>
  <r>
    <s v="Niete-V15-IHS"/>
    <s v="LIT_495"/>
    <s v="LITTORAL"/>
    <s v="IHS"/>
    <s v="Grid-Gen"/>
    <s v="LITTORAL"/>
    <s v="Niete"/>
    <s v="ZTE"/>
    <n v="0"/>
    <n v="0"/>
    <n v="0"/>
    <n v="0"/>
    <n v="0"/>
    <n v="0"/>
    <n v="0"/>
    <n v="0"/>
    <n v="0"/>
    <n v="0"/>
    <n v="0"/>
    <n v="0"/>
    <n v="0"/>
    <n v="0"/>
    <n v="0"/>
    <n v="0"/>
    <n v="0"/>
    <n v="0"/>
    <n v="0"/>
    <n v="0"/>
    <m/>
    <n v="0"/>
    <n v="0"/>
    <n v="0"/>
    <m/>
    <n v="0"/>
    <m/>
    <n v="0"/>
    <m/>
    <n v="0"/>
    <m/>
    <m/>
    <n v="0"/>
    <n v="0"/>
    <n v="0"/>
    <n v="0"/>
    <m/>
    <n v="0"/>
    <n v="0"/>
    <n v="0"/>
    <n v="0"/>
    <n v="0"/>
    <x v="0"/>
    <m/>
    <x v="2"/>
    <x v="1"/>
    <s v="no root cause"/>
    <x v="1"/>
    <s v=""/>
  </r>
  <r>
    <s v="Niete-V13"/>
    <s v="LIT_194"/>
    <s v="LITTORAL"/>
    <s v="IHS"/>
    <s v="Grid-Gen-Lithium"/>
    <s v="LITTORAL"/>
    <s v="Niete"/>
    <s v="NOKIA"/>
    <n v="0"/>
    <n v="0"/>
    <n v="0"/>
    <n v="0"/>
    <n v="0"/>
    <n v="0"/>
    <n v="0"/>
    <n v="0"/>
    <n v="0"/>
    <n v="0"/>
    <n v="0"/>
    <n v="1.147223577688174"/>
    <n v="0"/>
    <n v="0"/>
    <n v="0"/>
    <n v="0"/>
    <n v="0"/>
    <n v="0"/>
    <n v="0"/>
    <n v="0"/>
    <m/>
    <n v="0"/>
    <n v="0"/>
    <n v="0"/>
    <m/>
    <n v="0"/>
    <m/>
    <n v="0"/>
    <m/>
    <n v="0"/>
    <m/>
    <m/>
    <n v="0"/>
    <n v="0"/>
    <n v="0"/>
    <n v="0"/>
    <m/>
    <n v="0"/>
    <n v="0"/>
    <n v="0"/>
    <n v="0"/>
    <n v="0"/>
    <x v="0"/>
    <m/>
    <x v="2"/>
    <x v="1"/>
    <s v="no root cause"/>
    <x v="1"/>
    <s v=""/>
  </r>
  <r>
    <s v="NR-Cite"/>
    <s v="LIT_404"/>
    <s v="Douala"/>
    <s v="IHS"/>
    <s v="Grid-Gen"/>
    <s v="LITTORAL"/>
    <s v="Douala"/>
    <s v="ZTE"/>
    <n v="0"/>
    <n v="0"/>
    <n v="0"/>
    <n v="0"/>
    <n v="0"/>
    <n v="0"/>
    <n v="0"/>
    <n v="0"/>
    <n v="0"/>
    <n v="0"/>
    <n v="0"/>
    <n v="0"/>
    <n v="0"/>
    <n v="0"/>
    <n v="0"/>
    <n v="0"/>
    <n v="0"/>
    <n v="0"/>
    <n v="0"/>
    <n v="0"/>
    <m/>
    <n v="0"/>
    <n v="0"/>
    <n v="0"/>
    <m/>
    <n v="0"/>
    <m/>
    <n v="0"/>
    <m/>
    <n v="0"/>
    <m/>
    <m/>
    <n v="0"/>
    <n v="0"/>
    <n v="0"/>
    <n v="0"/>
    <m/>
    <n v="0"/>
    <n v="0"/>
    <n v="0"/>
    <n v="0"/>
    <n v="0"/>
    <x v="0"/>
    <m/>
    <x v="2"/>
    <x v="1"/>
    <s v="no root cause"/>
    <x v="1"/>
    <s v=""/>
  </r>
  <r>
    <s v="Bazou-IHS"/>
    <s v="OST_152"/>
    <s v="OUEST"/>
    <s v="IHS"/>
    <s v="Grid-Gen"/>
    <s v="OUEST"/>
    <s v="Bazou"/>
    <s v="Huawei"/>
    <n v="0"/>
    <n v="0"/>
    <n v="0"/>
    <n v="0"/>
    <n v="0"/>
    <n v="0"/>
    <n v="0"/>
    <n v="0"/>
    <n v="0"/>
    <n v="0"/>
    <n v="0"/>
    <n v="0"/>
    <n v="0"/>
    <n v="0"/>
    <n v="0"/>
    <n v="0"/>
    <n v="0"/>
    <n v="0"/>
    <n v="0"/>
    <n v="0"/>
    <m/>
    <n v="0"/>
    <n v="0"/>
    <n v="0"/>
    <m/>
    <n v="0"/>
    <m/>
    <n v="0"/>
    <m/>
    <n v="0"/>
    <m/>
    <m/>
    <n v="0"/>
    <n v="0"/>
    <n v="0"/>
    <n v="0"/>
    <m/>
    <n v="0"/>
    <n v="0"/>
    <n v="0"/>
    <n v="0"/>
    <n v="0"/>
    <x v="0"/>
    <m/>
    <x v="2"/>
    <x v="1"/>
    <s v="no root cause"/>
    <x v="1"/>
    <s v=""/>
  </r>
  <r>
    <s v="Babadjou"/>
    <s v="OST_060"/>
    <s v="OUEST"/>
    <s v="IHS"/>
    <s v="Grid-Gen"/>
    <s v="OUEST"/>
    <s v="Babadjou"/>
    <s v="Huawei"/>
    <n v="0"/>
    <n v="0"/>
    <n v="0"/>
    <n v="0"/>
    <n v="0"/>
    <n v="0"/>
    <n v="0"/>
    <n v="0"/>
    <n v="0"/>
    <n v="0"/>
    <n v="0"/>
    <n v="0"/>
    <n v="0"/>
    <n v="0"/>
    <n v="0"/>
    <n v="0"/>
    <n v="0"/>
    <n v="0"/>
    <n v="0"/>
    <n v="0"/>
    <m/>
    <n v="0"/>
    <n v="0"/>
    <n v="0"/>
    <m/>
    <n v="0"/>
    <m/>
    <n v="0"/>
    <m/>
    <n v="0"/>
    <m/>
    <m/>
    <n v="0"/>
    <n v="0"/>
    <n v="0"/>
    <n v="0"/>
    <m/>
    <n v="0"/>
    <n v="0"/>
    <n v="0"/>
    <n v="0"/>
    <n v="0"/>
    <x v="0"/>
    <m/>
    <x v="2"/>
    <x v="1"/>
    <s v="no root cause"/>
    <x v="1"/>
    <s v=""/>
  </r>
  <r>
    <s v="EDZENDOUAN"/>
    <s v="CTR_795"/>
    <s v="CENTRE"/>
    <s v="CAMUSAT"/>
    <s v="HGB"/>
    <s v="CENTRE"/>
    <s v="Edzendouan"/>
    <s v="ZTE"/>
    <n v="0"/>
    <n v="0"/>
    <n v="0"/>
    <n v="0"/>
    <n v="0"/>
    <n v="0"/>
    <n v="0"/>
    <n v="0"/>
    <n v="0"/>
    <n v="0"/>
    <n v="0"/>
    <n v="0.001070104699043755"/>
    <n v="0"/>
    <n v="0"/>
    <n v="0"/>
    <n v="0"/>
    <n v="0"/>
    <n v="0"/>
    <n v="0"/>
    <n v="0"/>
    <m/>
    <n v="0"/>
    <n v="0"/>
    <n v="0"/>
    <m/>
    <n v="0"/>
    <m/>
    <n v="0"/>
    <m/>
    <n v="0"/>
    <m/>
    <m/>
    <n v="0"/>
    <n v="0"/>
    <n v="0"/>
    <n v="0"/>
    <m/>
    <n v="0"/>
    <n v="0"/>
    <n v="0"/>
    <n v="0"/>
    <n v="0"/>
    <x v="0"/>
    <m/>
    <x v="2"/>
    <x v="1"/>
    <s v="no root cause"/>
    <x v="1"/>
    <s v=""/>
  </r>
  <r>
    <s v="Bangang"/>
    <s v="OST_311"/>
    <s v="OUEST"/>
    <s v="ESCO"/>
    <s v="Hybrid Solar - S3"/>
    <s v="OUEST"/>
    <s v="MBOUDA"/>
    <s v="Huawei"/>
    <n v="0"/>
    <n v="0"/>
    <n v="0"/>
    <n v="0"/>
    <n v="0"/>
    <n v="0"/>
    <n v="0"/>
    <n v="0"/>
    <n v="0"/>
    <n v="0"/>
    <n v="0"/>
    <n v="1.942775081113936"/>
    <n v="0"/>
    <n v="0"/>
    <n v="0"/>
    <n v="0"/>
    <n v="0"/>
    <n v="0"/>
    <n v="0"/>
    <n v="0"/>
    <m/>
    <n v="0"/>
    <n v="0"/>
    <n v="0"/>
    <m/>
    <n v="0"/>
    <m/>
    <n v="0"/>
    <m/>
    <n v="0"/>
    <m/>
    <m/>
    <n v="0"/>
    <n v="0"/>
    <n v="0"/>
    <n v="0"/>
    <m/>
    <n v="0"/>
    <n v="0"/>
    <n v="0"/>
    <n v="0"/>
    <n v="0"/>
    <x v="0"/>
    <m/>
    <x v="2"/>
    <x v="1"/>
    <s v="no root cause"/>
    <x v="1"/>
    <s v=""/>
  </r>
  <r>
    <s v="Mbongouen-MTN"/>
    <s v="SUD_214"/>
    <s v="CENTRE"/>
    <s v="IHS"/>
    <s v="Grid-Gen"/>
    <s v="SUD"/>
    <s v="Mbongouen"/>
    <s v="ZTE"/>
    <n v="0"/>
    <n v="0"/>
    <n v="0"/>
    <n v="0"/>
    <n v="0"/>
    <n v="0"/>
    <n v="0"/>
    <n v="0"/>
    <n v="0"/>
    <n v="0"/>
    <n v="0"/>
    <n v="0"/>
    <n v="0"/>
    <n v="0"/>
    <n v="0"/>
    <n v="0"/>
    <n v="0"/>
    <n v="0"/>
    <n v="0"/>
    <n v="0"/>
    <m/>
    <n v="0"/>
    <n v="0"/>
    <n v="0"/>
    <m/>
    <n v="0"/>
    <m/>
    <n v="0"/>
    <m/>
    <n v="0"/>
    <m/>
    <m/>
    <n v="0"/>
    <n v="0"/>
    <n v="0"/>
    <n v="0"/>
    <m/>
    <n v="0"/>
    <n v="0"/>
    <n v="0"/>
    <n v="0"/>
    <n v="0"/>
    <x v="0"/>
    <m/>
    <x v="2"/>
    <x v="1"/>
    <s v="no root cause"/>
    <x v="1"/>
    <s v=""/>
  </r>
  <r>
    <s v="Kienke"/>
    <s v="LIT_195"/>
    <s v="LITTORAL"/>
    <s v="IHS"/>
    <s v="Grid-Gen"/>
    <s v="LITTORAL"/>
    <s v="Kiienke"/>
    <s v="ZTE"/>
    <n v="0"/>
    <n v="0"/>
    <n v="0"/>
    <n v="0"/>
    <n v="0"/>
    <n v="0"/>
    <n v="0"/>
    <n v="0"/>
    <n v="0"/>
    <n v="0"/>
    <n v="0"/>
    <n v="0"/>
    <n v="0"/>
    <n v="0"/>
    <n v="0"/>
    <n v="0"/>
    <n v="0"/>
    <n v="0"/>
    <n v="0"/>
    <n v="0"/>
    <m/>
    <n v="0"/>
    <n v="0"/>
    <n v="0"/>
    <m/>
    <n v="0"/>
    <m/>
    <n v="0"/>
    <m/>
    <n v="0"/>
    <m/>
    <m/>
    <n v="0"/>
    <n v="0"/>
    <n v="0"/>
    <n v="0"/>
    <m/>
    <n v="0"/>
    <n v="0"/>
    <n v="0"/>
    <n v="0"/>
    <n v="0"/>
    <x v="0"/>
    <m/>
    <x v="2"/>
    <x v="1"/>
    <s v="no root cause"/>
    <x v="1"/>
    <s v=""/>
  </r>
  <r>
    <s v="Saa"/>
    <s v="CTR_192"/>
    <s v="CENTRE"/>
    <s v="IHS"/>
    <s v="Grid-Gen"/>
    <s v="CENTRE"/>
    <s v="Saa"/>
    <s v="ZTE"/>
    <n v="0"/>
    <n v="0"/>
    <n v="0"/>
    <n v="0"/>
    <n v="0"/>
    <n v="0"/>
    <n v="0"/>
    <n v="0"/>
    <n v="0"/>
    <n v="0"/>
    <n v="0"/>
    <n v="0"/>
    <n v="0"/>
    <n v="0"/>
    <n v="0"/>
    <n v="0"/>
    <n v="0"/>
    <n v="0"/>
    <n v="0"/>
    <n v="0"/>
    <m/>
    <n v="0"/>
    <n v="0"/>
    <n v="0"/>
    <m/>
    <n v="0"/>
    <m/>
    <n v="0"/>
    <m/>
    <n v="0"/>
    <m/>
    <m/>
    <n v="0"/>
    <n v="0"/>
    <n v="0"/>
    <n v="0"/>
    <m/>
    <n v="0"/>
    <n v="0"/>
    <n v="0"/>
    <n v="0"/>
    <n v="0"/>
    <x v="0"/>
    <m/>
    <x v="2"/>
    <x v="1"/>
    <s v="no root cause"/>
    <x v="1"/>
    <s v=""/>
  </r>
  <r>
    <s v="BIAKOA-MTN-IHS"/>
    <s v="CTR_443"/>
    <s v="CENTRE"/>
    <s v="IHS"/>
    <s v="Solar-Grid-Gen-Lithium"/>
    <s v="CENTRE"/>
    <s v="Biakoa"/>
    <s v="ZTE"/>
    <n v="0"/>
    <n v="0"/>
    <n v="0"/>
    <n v="0"/>
    <n v="0"/>
    <n v="0"/>
    <n v="0"/>
    <n v="0"/>
    <n v="0"/>
    <n v="0"/>
    <n v="0"/>
    <n v="0"/>
    <n v="0"/>
    <n v="0"/>
    <n v="0"/>
    <n v="0"/>
    <n v="0"/>
    <n v="0"/>
    <n v="0"/>
    <n v="0"/>
    <m/>
    <n v="0"/>
    <n v="0"/>
    <n v="0"/>
    <m/>
    <n v="0"/>
    <m/>
    <n v="0"/>
    <m/>
    <n v="0"/>
    <m/>
    <m/>
    <n v="0"/>
    <n v="0"/>
    <n v="0"/>
    <n v="0"/>
    <m/>
    <n v="0"/>
    <n v="0"/>
    <n v="0"/>
    <n v="0"/>
    <n v="0"/>
    <x v="0"/>
    <m/>
    <x v="2"/>
    <x v="1"/>
    <s v="no root cause"/>
    <x v="1"/>
    <s v=""/>
  </r>
  <r>
    <s v="Bihaing-IHS"/>
    <s v="LIT_517"/>
    <s v="LITTORAL"/>
    <s v="HIS"/>
    <s v="Grid-Gen"/>
    <s v="LITTORAL"/>
    <s v="Bihaing"/>
    <s v="ZTE"/>
    <n v="0"/>
    <n v="0"/>
    <n v="0"/>
    <n v="0"/>
    <n v="0"/>
    <n v="0"/>
    <n v="0"/>
    <n v="0"/>
    <n v="0"/>
    <n v="0"/>
    <n v="0"/>
    <n v="0"/>
    <n v="0"/>
    <n v="0"/>
    <n v="0"/>
    <n v="0"/>
    <n v="0"/>
    <n v="0"/>
    <n v="0"/>
    <n v="0"/>
    <m/>
    <n v="0"/>
    <n v="0"/>
    <n v="0"/>
    <m/>
    <n v="0"/>
    <m/>
    <n v="0"/>
    <m/>
    <n v="0"/>
    <m/>
    <m/>
    <n v="0"/>
    <n v="0"/>
    <n v="0"/>
    <n v="0"/>
    <m/>
    <n v="0"/>
    <n v="0"/>
    <n v="0"/>
    <n v="0"/>
    <n v="0"/>
    <x v="0"/>
    <m/>
    <x v="2"/>
    <x v="1"/>
    <s v="no root cause"/>
    <x v="1"/>
    <s v=""/>
  </r>
  <r>
    <s v="Penja-PHP"/>
    <s v="LIT_594"/>
    <s v="LITTORAL"/>
    <s v="CAMUSAT"/>
    <s v="Good Grid + GE"/>
    <s v="LITTORAL"/>
    <s v="Penja"/>
    <s v="ZTE"/>
    <n v="0"/>
    <n v="0"/>
    <n v="0"/>
    <n v="0"/>
    <n v="0"/>
    <n v="0"/>
    <n v="0"/>
    <n v="0"/>
    <n v="0"/>
    <n v="0"/>
    <n v="0"/>
    <n v="0"/>
    <n v="0"/>
    <n v="0"/>
    <n v="0"/>
    <n v="0"/>
    <n v="0"/>
    <n v="0"/>
    <n v="0"/>
    <n v="0"/>
    <m/>
    <n v="0"/>
    <n v="0"/>
    <n v="0"/>
    <m/>
    <n v="0"/>
    <m/>
    <n v="0"/>
    <m/>
    <n v="0"/>
    <m/>
    <m/>
    <n v="0"/>
    <n v="0"/>
    <n v="0"/>
    <n v="0"/>
    <m/>
    <n v="0"/>
    <n v="0"/>
    <n v="0"/>
    <n v="0"/>
    <n v="0"/>
    <x v="0"/>
    <m/>
    <x v="2"/>
    <x v="1"/>
    <s v="no root cause"/>
    <x v="1"/>
    <s v=""/>
  </r>
  <r>
    <s v="Bikok"/>
    <s v="CTR_260"/>
    <s v="CENTRE"/>
    <s v="IHS"/>
    <s v="Grid-Hybrid-Gen"/>
    <s v="CENTRE"/>
    <s v="Bikok"/>
    <s v="ZTE"/>
    <n v="0"/>
    <n v="0"/>
    <n v="0"/>
    <n v="0"/>
    <n v="0"/>
    <n v="0"/>
    <n v="0"/>
    <n v="0"/>
    <n v="0"/>
    <n v="0"/>
    <n v="0"/>
    <n v="0"/>
    <n v="0"/>
    <n v="0"/>
    <n v="0"/>
    <n v="0"/>
    <n v="0"/>
    <n v="0"/>
    <n v="0"/>
    <n v="0"/>
    <m/>
    <n v="0"/>
    <n v="0"/>
    <n v="0"/>
    <m/>
    <n v="0"/>
    <m/>
    <n v="0"/>
    <m/>
    <n v="0"/>
    <m/>
    <m/>
    <n v="0"/>
    <n v="0"/>
    <n v="0"/>
    <n v="0"/>
    <m/>
    <n v="0"/>
    <n v="0"/>
    <n v="0"/>
    <n v="0"/>
    <n v="0"/>
    <x v="0"/>
    <m/>
    <x v="2"/>
    <x v="1"/>
    <s v="no root cause"/>
    <x v="1"/>
    <s v=""/>
  </r>
  <r>
    <s v="Mengue-Bibey-Camrail"/>
    <s v="CTR_455"/>
    <s v="CENTRE"/>
    <s v="CAMUSAT"/>
    <s v="Gen Only"/>
    <s v="CENTRE"/>
    <s v="Mengue-Bibey"/>
    <s v="NOKIA"/>
    <n v="0"/>
    <n v="0"/>
    <n v="0"/>
    <n v="0"/>
    <n v="0"/>
    <n v="0"/>
    <n v="0"/>
    <n v="0"/>
    <n v="0"/>
    <n v="0"/>
    <n v="0"/>
    <n v="0"/>
    <n v="0"/>
    <n v="0"/>
    <n v="0"/>
    <n v="0"/>
    <n v="0"/>
    <n v="0"/>
    <n v="0"/>
    <n v="0"/>
    <m/>
    <n v="0"/>
    <n v="0"/>
    <n v="0"/>
    <m/>
    <n v="0"/>
    <m/>
    <n v="0"/>
    <m/>
    <n v="0"/>
    <m/>
    <m/>
    <n v="0"/>
    <n v="0"/>
    <n v="0"/>
    <n v="0"/>
    <m/>
    <n v="0"/>
    <n v="0"/>
    <n v="0"/>
    <n v="0"/>
    <n v="0"/>
    <x v="0"/>
    <m/>
    <x v="2"/>
    <x v="1"/>
    <s v="no root cause"/>
    <x v="1"/>
    <s v=""/>
  </r>
  <r>
    <s v="Botko"/>
    <s v="LIT_319"/>
    <s v="LITTORAL"/>
    <s v="IHS"/>
    <s v="Grid-Gen"/>
    <s v="LITTORAL"/>
    <s v="Botko"/>
    <s v="ZTE"/>
    <n v="0"/>
    <n v="0"/>
    <n v="0"/>
    <n v="0"/>
    <n v="0"/>
    <n v="0"/>
    <n v="0"/>
    <n v="0"/>
    <n v="0"/>
    <n v="0"/>
    <n v="0"/>
    <n v="0"/>
    <n v="0"/>
    <n v="0"/>
    <n v="0"/>
    <n v="0"/>
    <n v="0"/>
    <n v="0"/>
    <n v="0"/>
    <n v="0"/>
    <m/>
    <n v="0"/>
    <n v="0"/>
    <n v="0"/>
    <m/>
    <n v="0"/>
    <m/>
    <n v="0"/>
    <m/>
    <n v="0"/>
    <m/>
    <m/>
    <n v="0"/>
    <n v="0"/>
    <n v="0"/>
    <n v="0"/>
    <m/>
    <n v="0"/>
    <n v="0"/>
    <n v="0"/>
    <n v="0"/>
    <n v="0"/>
    <x v="0"/>
    <m/>
    <x v="2"/>
    <x v="1"/>
    <s v="no root cause"/>
    <x v="1"/>
    <s v=""/>
  </r>
  <r>
    <s v="Belabo"/>
    <s v="EST_002"/>
    <s v="CENTRE"/>
    <s v="CAMUSAT"/>
    <s v="Good Grid + GE"/>
    <s v="EST"/>
    <s v="Belabo"/>
    <s v="NOKIA"/>
    <n v="0"/>
    <n v="0"/>
    <n v="0"/>
    <n v="0"/>
    <n v="0"/>
    <n v="0"/>
    <n v="0"/>
    <n v="0"/>
    <n v="0"/>
    <n v="0"/>
    <n v="0"/>
    <n v="0"/>
    <n v="0"/>
    <n v="0"/>
    <n v="0"/>
    <n v="0"/>
    <n v="0"/>
    <n v="0"/>
    <n v="0"/>
    <n v="0"/>
    <m/>
    <n v="0"/>
    <n v="0"/>
    <n v="0"/>
    <m/>
    <n v="0"/>
    <m/>
    <n v="0"/>
    <m/>
    <n v="0"/>
    <m/>
    <m/>
    <n v="0"/>
    <n v="0"/>
    <n v="0"/>
    <n v="0"/>
    <m/>
    <n v="0"/>
    <n v="0"/>
    <n v="0"/>
    <n v="0"/>
    <n v="0"/>
    <x v="0"/>
    <m/>
    <x v="2"/>
    <x v="1"/>
    <s v="no root cause"/>
    <x v="1"/>
    <s v=""/>
  </r>
  <r>
    <s v="Gado-Badzere"/>
    <s v="EST_055"/>
    <s v="CENTRE"/>
    <s v="IHS"/>
    <s v="Solar-Gen-Lithium"/>
    <s v="EST"/>
    <s v="Gado-Badzere"/>
    <s v="ZTE"/>
    <n v="0"/>
    <n v="0"/>
    <n v="0"/>
    <n v="0"/>
    <n v="0"/>
    <n v="0"/>
    <n v="0"/>
    <n v="0"/>
    <n v="0"/>
    <n v="0"/>
    <n v="0"/>
    <n v="0"/>
    <n v="0"/>
    <n v="0"/>
    <n v="0"/>
    <n v="0"/>
    <n v="0"/>
    <n v="0"/>
    <n v="0"/>
    <n v="0"/>
    <m/>
    <n v="0"/>
    <n v="0"/>
    <n v="0"/>
    <m/>
    <n v="0"/>
    <m/>
    <n v="0"/>
    <m/>
    <n v="0"/>
    <m/>
    <m/>
    <n v="0"/>
    <n v="0"/>
    <n v="0"/>
    <n v="0"/>
    <m/>
    <n v="0"/>
    <n v="0"/>
    <n v="0"/>
    <n v="0"/>
    <n v="0"/>
    <x v="0"/>
    <m/>
    <x v="2"/>
    <x v="1"/>
    <s v="no root cause"/>
    <x v="1"/>
    <s v="{05-25-2026  incident}:    impacted by   EST_055_Z_Gado-Badzere(EST-055)"/>
  </r>
  <r>
    <s v="Angongo"/>
    <s v="CTR_358"/>
    <s v="CENTRE"/>
    <s v="IHS"/>
    <s v="Grid-Gen"/>
    <s v="CENTRE"/>
    <s v="Angongo"/>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Ombessa"/>
    <s v="CTR_095"/>
    <s v="CENTRE"/>
    <s v="IHS"/>
    <s v="Grid-Gen"/>
    <s v="CENTRE"/>
    <s v="Ombessa"/>
    <s v="ZTE"/>
    <n v="0"/>
    <n v="0"/>
    <n v="0"/>
    <n v="0"/>
    <n v="0"/>
    <n v="0"/>
    <n v="0"/>
    <n v="0"/>
    <n v="0"/>
    <n v="0"/>
    <n v="0"/>
    <n v="0"/>
    <n v="0"/>
    <n v="0"/>
    <n v="0"/>
    <n v="0"/>
    <n v="0"/>
    <n v="0"/>
    <n v="0"/>
    <n v="0"/>
    <m/>
    <n v="0"/>
    <n v="0"/>
    <n v="0"/>
    <m/>
    <n v="0"/>
    <m/>
    <n v="0"/>
    <m/>
    <n v="0"/>
    <m/>
    <m/>
    <n v="0"/>
    <n v="0"/>
    <n v="0"/>
    <n v="0"/>
    <m/>
    <n v="0"/>
    <n v="0"/>
    <n v="0"/>
    <n v="0"/>
    <n v="0"/>
    <x v="0"/>
    <m/>
    <x v="2"/>
    <x v="1"/>
    <s v="no root cause"/>
    <x v="1"/>
    <s v=""/>
  </r>
  <r>
    <s v="Nkongtock-IHS"/>
    <s v="CTR_733"/>
    <s v="CENTRE"/>
    <s v="IHS"/>
    <s v="Solar-Gen"/>
    <s v="CENTRE"/>
    <s v="Nkongtock"/>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Ekali-MTN"/>
    <s v="CTR_309"/>
    <s v="CENTRE"/>
    <s v="IHS"/>
    <s v="Grid-Gen"/>
    <s v="CENTRE"/>
    <s v="Ekali"/>
    <s v="ZTE"/>
    <n v="0"/>
    <n v="0"/>
    <n v="0"/>
    <n v="0"/>
    <n v="0"/>
    <n v="0"/>
    <n v="0"/>
    <n v="0"/>
    <n v="0"/>
    <n v="0"/>
    <n v="0"/>
    <n v="0"/>
    <n v="0"/>
    <n v="0"/>
    <n v="0"/>
    <n v="0"/>
    <n v="0"/>
    <n v="0"/>
    <n v="0"/>
    <n v="0"/>
    <m/>
    <n v="0"/>
    <n v="0"/>
    <n v="0"/>
    <m/>
    <n v="0"/>
    <m/>
    <n v="0"/>
    <m/>
    <n v="0"/>
    <m/>
    <m/>
    <n v="0"/>
    <n v="0"/>
    <n v="0"/>
    <n v="0"/>
    <m/>
    <n v="0"/>
    <n v="0"/>
    <n v="0"/>
    <n v="0"/>
    <n v="0"/>
    <x v="0"/>
    <m/>
    <x v="2"/>
    <x v="1"/>
    <s v="no root cause"/>
    <x v="1"/>
    <s v=""/>
  </r>
  <r>
    <s v="Niete-FH"/>
    <s v="SUD_005"/>
    <s v="LITTORAL"/>
    <s v="IHS"/>
    <s v="Grid-Gen-Lithium"/>
    <s v="SUD"/>
    <s v="Niete"/>
    <s v="ZTE"/>
    <n v="0"/>
    <n v="0"/>
    <n v="0"/>
    <n v="0"/>
    <n v="0"/>
    <n v="0"/>
    <n v="0"/>
    <n v="0"/>
    <n v="0"/>
    <n v="0"/>
    <n v="0"/>
    <n v="0"/>
    <n v="0"/>
    <n v="0"/>
    <n v="0"/>
    <n v="0"/>
    <n v="0"/>
    <n v="0"/>
    <n v="0"/>
    <n v="0"/>
    <m/>
    <n v="0"/>
    <n v="0"/>
    <n v="0"/>
    <m/>
    <n v="0"/>
    <m/>
    <n v="0"/>
    <m/>
    <n v="0"/>
    <m/>
    <m/>
    <n v="0"/>
    <n v="0"/>
    <n v="0"/>
    <n v="0"/>
    <m/>
    <n v="0"/>
    <n v="0"/>
    <n v="0"/>
    <n v="0"/>
    <n v="0"/>
    <x v="0"/>
    <m/>
    <x v="2"/>
    <x v="1"/>
    <s v="no root cause"/>
    <x v="1"/>
    <s v=""/>
  </r>
  <r>
    <s v="Nkolafamba"/>
    <s v="CTR_780"/>
    <s v="CENTRE"/>
    <s v="CAMUSAT"/>
    <s v="HGB"/>
    <s v="CENTRE"/>
    <s v="Nkolafamba"/>
    <s v="ZTE"/>
    <n v="0"/>
    <n v="0"/>
    <n v="0"/>
    <n v="0"/>
    <n v="0"/>
    <n v="0"/>
    <n v="0"/>
    <n v="0"/>
    <n v="0"/>
    <n v="0"/>
    <n v="0"/>
    <n v="0"/>
    <n v="0"/>
    <n v="0"/>
    <n v="0"/>
    <n v="0"/>
    <n v="0"/>
    <n v="0"/>
    <n v="0"/>
    <n v="0"/>
    <m/>
    <n v="0"/>
    <n v="0"/>
    <n v="0"/>
    <m/>
    <n v="0"/>
    <m/>
    <n v="0"/>
    <m/>
    <n v="0"/>
    <m/>
    <m/>
    <n v="0"/>
    <n v="0"/>
    <n v="0"/>
    <n v="0"/>
    <m/>
    <n v="0"/>
    <n v="0"/>
    <n v="0"/>
    <n v="0"/>
    <n v="0"/>
    <x v="0"/>
    <m/>
    <x v="2"/>
    <x v="1"/>
    <s v="no root cause"/>
    <x v="1"/>
    <s v=""/>
  </r>
  <r>
    <s v="Lolodorf"/>
    <s v="SUD_024"/>
    <s v="CENTRE"/>
    <s v="IHS"/>
    <s v="Solar-Gen"/>
    <s v="SUD"/>
    <s v="Lolodorf"/>
    <s v="ZTE"/>
    <n v="0"/>
    <n v="0"/>
    <n v="0"/>
    <n v="0"/>
    <n v="0"/>
    <n v="0"/>
    <n v="0"/>
    <n v="0"/>
    <n v="0"/>
    <n v="0"/>
    <n v="0"/>
    <n v="0"/>
    <n v="0"/>
    <n v="0"/>
    <n v="0"/>
    <n v="0"/>
    <n v="0"/>
    <n v="0"/>
    <n v="0"/>
    <n v="0"/>
    <m/>
    <n v="0"/>
    <n v="0"/>
    <n v="0"/>
    <m/>
    <n v="0"/>
    <m/>
    <n v="0"/>
    <m/>
    <n v="0"/>
    <m/>
    <m/>
    <n v="0"/>
    <n v="0"/>
    <n v="0"/>
    <n v="0"/>
    <m/>
    <n v="0"/>
    <n v="0"/>
    <n v="0"/>
    <n v="0"/>
    <n v="0"/>
    <x v="0"/>
    <m/>
    <x v="2"/>
    <x v="1"/>
    <s v="no root cause"/>
    <x v="1"/>
    <s v=""/>
  </r>
  <r>
    <s v="Poutkak"/>
    <s v="LIT_513"/>
    <s v="LITTORAL"/>
    <s v="IHS"/>
    <s v="Hybrid-Gen"/>
    <s v="LITTORAL"/>
    <s v="Poutkak"/>
    <s v="ZTE"/>
    <n v="0"/>
    <n v="0"/>
    <n v="0"/>
    <n v="0"/>
    <n v="0"/>
    <n v="0"/>
    <n v="0"/>
    <n v="0"/>
    <n v="0"/>
    <n v="0"/>
    <n v="0"/>
    <n v="0"/>
    <n v="0"/>
    <n v="0"/>
    <n v="0"/>
    <n v="0"/>
    <n v="0"/>
    <n v="0"/>
    <n v="0"/>
    <n v="0"/>
    <m/>
    <n v="0"/>
    <n v="0"/>
    <n v="0"/>
    <m/>
    <n v="0"/>
    <m/>
    <n v="0"/>
    <m/>
    <n v="0"/>
    <m/>
    <m/>
    <n v="0"/>
    <n v="0"/>
    <n v="0"/>
    <n v="0"/>
    <m/>
    <n v="0"/>
    <n v="0"/>
    <n v="0"/>
    <n v="0"/>
    <n v="0"/>
    <x v="0"/>
    <m/>
    <x v="2"/>
    <x v="1"/>
    <s v="no root cause"/>
    <x v="1"/>
    <s v=""/>
  </r>
  <r>
    <s v="Akoeman"/>
    <s v="CTR_517"/>
    <s v="CENTRE"/>
    <s v="IHS"/>
    <s v="Grid-Hybrid-Gen"/>
    <s v="CENTRE"/>
    <s v="Akoeman"/>
    <s v="NOKIA"/>
    <n v="0"/>
    <n v="0"/>
    <n v="0"/>
    <n v="0"/>
    <n v="0"/>
    <n v="0"/>
    <n v="0"/>
    <n v="0"/>
    <n v="0"/>
    <n v="0"/>
    <n v="0"/>
    <n v="0"/>
    <n v="0"/>
    <n v="0"/>
    <n v="0"/>
    <n v="0"/>
    <n v="0"/>
    <n v="0"/>
    <n v="0"/>
    <n v="0"/>
    <m/>
    <n v="0"/>
    <n v="0"/>
    <n v="0"/>
    <m/>
    <n v="0"/>
    <m/>
    <n v="0"/>
    <m/>
    <n v="0"/>
    <m/>
    <m/>
    <n v="0"/>
    <n v="0"/>
    <n v="0"/>
    <n v="0"/>
    <m/>
    <n v="0"/>
    <n v="0"/>
    <n v="0"/>
    <n v="0"/>
    <n v="0"/>
    <x v="0"/>
    <m/>
    <x v="2"/>
    <x v="1"/>
    <s v="no root cause"/>
    <x v="1"/>
    <s v=""/>
  </r>
  <r>
    <s v="Ngomo"/>
    <s v="CTR_083"/>
    <s v="CENTRE"/>
    <s v="IHS"/>
    <s v="Grid-Gen"/>
    <s v="CENTRE"/>
    <s v="Ngomo"/>
    <s v="ZTE"/>
    <n v="0"/>
    <n v="0"/>
    <n v="0"/>
    <n v="0"/>
    <n v="0"/>
    <n v="0"/>
    <n v="0"/>
    <n v="0"/>
    <n v="0"/>
    <n v="0"/>
    <n v="0"/>
    <n v="0"/>
    <n v="0"/>
    <n v="0"/>
    <n v="0"/>
    <n v="0"/>
    <n v="0"/>
    <n v="0"/>
    <n v="0"/>
    <n v="0"/>
    <m/>
    <n v="0"/>
    <n v="0"/>
    <n v="0"/>
    <m/>
    <n v="0"/>
    <m/>
    <n v="0"/>
    <m/>
    <n v="0"/>
    <m/>
    <m/>
    <n v="0"/>
    <n v="0"/>
    <n v="0"/>
    <n v="0"/>
    <m/>
    <n v="0"/>
    <n v="0"/>
    <n v="0"/>
    <n v="0"/>
    <n v="0"/>
    <x v="0"/>
    <m/>
    <x v="2"/>
    <x v="1"/>
    <s v="no root cause"/>
    <x v="1"/>
    <s v=""/>
  </r>
  <r>
    <s v="MBPIKILIKI"/>
    <s v="SUD_110"/>
    <s v="CENTRE"/>
    <s v="IHS"/>
    <s v="Gen Only"/>
    <s v="SUD"/>
    <s v="Mbikiliki"/>
    <s v="ZTE"/>
    <n v="0"/>
    <n v="0"/>
    <n v="0"/>
    <n v="0"/>
    <n v="0"/>
    <n v="0"/>
    <n v="0"/>
    <n v="0"/>
    <n v="0"/>
    <n v="0"/>
    <n v="0"/>
    <n v="0"/>
    <n v="0"/>
    <n v="0"/>
    <n v="0"/>
    <n v="0"/>
    <n v="0"/>
    <n v="0"/>
    <n v="0"/>
    <n v="0"/>
    <m/>
    <n v="0"/>
    <n v="0"/>
    <n v="0"/>
    <m/>
    <n v="0"/>
    <m/>
    <n v="0"/>
    <m/>
    <n v="0"/>
    <m/>
    <m/>
    <n v="0"/>
    <n v="0"/>
    <n v="0"/>
    <n v="0"/>
    <m/>
    <n v="0"/>
    <n v="0"/>
    <n v="0"/>
    <n v="0"/>
    <n v="0"/>
    <x v="0"/>
    <m/>
    <x v="2"/>
    <x v="1"/>
    <s v="no root cause"/>
    <x v="1"/>
    <s v=""/>
  </r>
  <r>
    <s v="Minkama-IHS"/>
    <s v="CTR_909"/>
    <s v="CENTRE"/>
    <m/>
    <m/>
    <s v="CENTRE"/>
    <s v="Obala"/>
    <s v="ZTE"/>
    <n v="0"/>
    <n v="0"/>
    <n v="0"/>
    <n v="0"/>
    <n v="0"/>
    <n v="0"/>
    <n v="0"/>
    <n v="0"/>
    <n v="0"/>
    <n v="0"/>
    <n v="0"/>
    <n v="0"/>
    <n v="0"/>
    <n v="0"/>
    <n v="0"/>
    <n v="0"/>
    <n v="0"/>
    <n v="0"/>
    <n v="0"/>
    <n v="0"/>
    <m/>
    <n v="0"/>
    <n v="0"/>
    <n v="0"/>
    <m/>
    <n v="0"/>
    <m/>
    <n v="0"/>
    <m/>
    <n v="0"/>
    <m/>
    <m/>
    <n v="0"/>
    <n v="0"/>
    <n v="0"/>
    <n v="0"/>
    <m/>
    <n v="0"/>
    <n v="0"/>
    <n v="0"/>
    <n v="0"/>
    <n v="0"/>
    <x v="0"/>
    <m/>
    <x v="2"/>
    <x v="1"/>
    <s v="no root cause"/>
    <x v="1"/>
    <s v=""/>
  </r>
  <r>
    <s v="Nomale"/>
    <s v="CTR_297"/>
    <s v="CENTRE"/>
    <s v="IHS"/>
    <s v="Grid-Gen"/>
    <s v="CENTRE"/>
    <s v="Nomale"/>
    <s v="ZTE"/>
    <n v="0"/>
    <n v="0"/>
    <n v="0"/>
    <n v="0"/>
    <n v="0"/>
    <n v="0"/>
    <n v="0"/>
    <n v="0"/>
    <n v="0"/>
    <n v="0"/>
    <n v="0"/>
    <n v="0"/>
    <n v="0"/>
    <n v="0"/>
    <n v="0"/>
    <n v="0"/>
    <n v="0"/>
    <n v="0"/>
    <n v="0"/>
    <n v="0"/>
    <m/>
    <n v="0"/>
    <n v="0"/>
    <n v="0"/>
    <m/>
    <n v="0"/>
    <m/>
    <n v="0"/>
    <m/>
    <n v="0"/>
    <m/>
    <m/>
    <n v="0"/>
    <n v="0"/>
    <n v="0"/>
    <n v="0"/>
    <m/>
    <n v="0"/>
    <n v="0"/>
    <n v="0"/>
    <n v="0"/>
    <n v="0"/>
    <x v="0"/>
    <m/>
    <x v="2"/>
    <x v="1"/>
    <s v="no root cause"/>
    <x v="1"/>
    <s v=""/>
  </r>
  <r>
    <s v="Tangui"/>
    <s v="LIT_233"/>
    <s v="LITTORAL"/>
    <s v="IHS"/>
    <s v="Grid-Gen"/>
    <s v="LITTORAL"/>
    <s v="Mbanga"/>
    <s v="ZTE"/>
    <n v="0"/>
    <n v="0"/>
    <n v="0"/>
    <n v="0"/>
    <n v="0"/>
    <n v="0"/>
    <n v="0"/>
    <n v="0"/>
    <n v="0"/>
    <n v="0"/>
    <n v="0"/>
    <n v="0"/>
    <n v="0"/>
    <n v="0"/>
    <n v="0"/>
    <n v="0"/>
    <n v="0"/>
    <n v="0"/>
    <n v="0"/>
    <n v="0"/>
    <m/>
    <n v="0"/>
    <n v="0"/>
    <n v="0"/>
    <m/>
    <n v="0"/>
    <m/>
    <n v="0"/>
    <m/>
    <n v="0"/>
    <m/>
    <m/>
    <n v="0"/>
    <n v="0"/>
    <n v="0"/>
    <n v="0"/>
    <m/>
    <n v="0"/>
    <n v="0"/>
    <n v="0"/>
    <n v="0"/>
    <n v="0"/>
    <x v="0"/>
    <m/>
    <x v="2"/>
    <x v="1"/>
    <s v="no root cause"/>
    <x v="1"/>
    <s v=""/>
  </r>
  <r>
    <s v="Borongoue-IHS"/>
    <s v="EST_130"/>
    <s v="CENTRE"/>
    <s v="IHS"/>
    <s v="Solar-Gen"/>
    <s v="EST"/>
    <s v="Borongoue"/>
    <s v="NOKIA"/>
    <n v="0"/>
    <n v="0"/>
    <n v="0"/>
    <n v="0"/>
    <n v="0"/>
    <n v="0"/>
    <n v="0"/>
    <n v="0"/>
    <n v="0"/>
    <n v="0"/>
    <n v="0"/>
    <n v="0"/>
    <n v="0"/>
    <n v="0"/>
    <n v="0"/>
    <n v="0"/>
    <n v="0"/>
    <n v="0"/>
    <n v="0"/>
    <n v="0"/>
    <m/>
    <n v="0"/>
    <n v="0"/>
    <n v="0"/>
    <m/>
    <n v="0"/>
    <m/>
    <n v="0"/>
    <m/>
    <n v="0"/>
    <m/>
    <m/>
    <n v="0"/>
    <n v="0"/>
    <n v="0"/>
    <n v="0"/>
    <m/>
    <n v="0"/>
    <n v="0"/>
    <n v="0"/>
    <n v="0"/>
    <n v="0"/>
    <x v="0"/>
    <m/>
    <x v="2"/>
    <x v="1"/>
    <s v="no root cause"/>
    <x v="1"/>
    <s v=""/>
  </r>
  <r>
    <s v="Lounghe-Camrail"/>
    <s v="LIT_389"/>
    <s v="LITTORAL"/>
    <s v="CAMUSAT"/>
    <s v="Pure Solar"/>
    <s v="LITTORAL"/>
    <s v="Dibamba"/>
    <s v="ZTE"/>
    <n v="0"/>
    <n v="0"/>
    <n v="0"/>
    <n v="0"/>
    <n v="0"/>
    <n v="0"/>
    <n v="0"/>
    <n v="0"/>
    <n v="0"/>
    <n v="0"/>
    <n v="0"/>
    <n v="0"/>
    <n v="0"/>
    <n v="0"/>
    <n v="0"/>
    <n v="0"/>
    <n v="0"/>
    <n v="0"/>
    <n v="0"/>
    <n v="0"/>
    <m/>
    <n v="0"/>
    <n v="0"/>
    <n v="0"/>
    <m/>
    <n v="0"/>
    <m/>
    <n v="0"/>
    <m/>
    <n v="0"/>
    <m/>
    <m/>
    <n v="0"/>
    <n v="0"/>
    <n v="0"/>
    <n v="0"/>
    <m/>
    <n v="0"/>
    <n v="0"/>
    <n v="0"/>
    <n v="0"/>
    <n v="0"/>
    <x v="0"/>
    <m/>
    <x v="2"/>
    <x v="1"/>
    <s v="no root cause"/>
    <x v="1"/>
    <s v=""/>
  </r>
  <r>
    <s v="Bangoua"/>
    <s v="OST_183"/>
    <s v="OUEST"/>
    <s v="IHS"/>
    <s v="Grid-Gen"/>
    <s v="OUEST"/>
    <s v="Bangoua"/>
    <s v="Huawei"/>
    <n v="0"/>
    <n v="0"/>
    <n v="0"/>
    <n v="0"/>
    <n v="0"/>
    <n v="0"/>
    <n v="0"/>
    <n v="0"/>
    <n v="0"/>
    <n v="0"/>
    <n v="0"/>
    <n v="0"/>
    <n v="0"/>
    <n v="0"/>
    <n v="0"/>
    <n v="0"/>
    <n v="0"/>
    <n v="0"/>
    <n v="0"/>
    <n v="0"/>
    <m/>
    <n v="0"/>
    <n v="0"/>
    <n v="0"/>
    <m/>
    <n v="0"/>
    <m/>
    <n v="0"/>
    <m/>
    <n v="0"/>
    <m/>
    <m/>
    <n v="0"/>
    <n v="0"/>
    <n v="0"/>
    <n v="0"/>
    <m/>
    <n v="0"/>
    <n v="0"/>
    <n v="0"/>
    <n v="0"/>
    <n v="0"/>
    <x v="0"/>
    <m/>
    <x v="7"/>
    <x v="3"/>
    <s v="Sites strategiques, MLL, Pylone, etc."/>
    <x v="0"/>
    <s v="{05-25-2026   groupe whatsapp   incident}:    impacted by  OST_033_H_Batchingou   ,Cause: infiltration d'eau dans la radio de Yenon dir Batchingou   ,Action: Sans action      ;      {05-25-2026 ocm ran 22H}: P2 Incident at OST_033_H_Batchingou; TX issue, Hammer      ;      {05-25-2026 ocm ran 17H}: Power status check Ongoing"/>
  </r>
  <r>
    <s v="Batchingou"/>
    <s v="OST_033"/>
    <s v="OUEST"/>
    <s v="IHS"/>
    <s v="Grid-Gen"/>
    <s v="OUEST"/>
    <s v="Batchingou"/>
    <s v="Huawei"/>
    <n v="0"/>
    <n v="0"/>
    <n v="0"/>
    <n v="0"/>
    <n v="0"/>
    <n v="0"/>
    <n v="0"/>
    <n v="0"/>
    <n v="0"/>
    <n v="0"/>
    <n v="0"/>
    <n v="0.02664560700618948"/>
    <n v="0"/>
    <n v="0"/>
    <n v="0"/>
    <n v="0"/>
    <n v="0"/>
    <n v="0"/>
    <n v="0"/>
    <n v="0"/>
    <m/>
    <n v="0"/>
    <n v="0"/>
    <n v="0"/>
    <m/>
    <n v="0"/>
    <m/>
    <n v="0"/>
    <m/>
    <n v="0"/>
    <m/>
    <m/>
    <n v="0"/>
    <n v="0"/>
    <n v="0"/>
    <n v="0"/>
    <m/>
    <n v="0"/>
    <n v="0"/>
    <n v="0"/>
    <n v="0"/>
    <n v="0"/>
    <x v="0"/>
    <m/>
    <x v="7"/>
    <x v="3"/>
    <s v="Sites strategiques, MLL, Pylone, etc."/>
    <x v="0"/>
    <s v="{05-25-2026   groupe whatsapp   incident}:    impacted by  OST_033_H_Batchingou   ,Cause: infiltration d'eau dans la radio de Yenon dir Batchingou   ,Action: Sans action      ;      {hourly IHS}: 25/05/2026 16:54 0:25:05 Fme is managing with level 0      ;      {05-25-2026 ocm ran 22H}: P2 Incident at OST_033_H_Batchingou; TX issue, Hammer      ;      {05-25-2026 ocm ran 17H}: Power status check Ongoing"/>
  </r>
  <r>
    <s v="Niete-DG"/>
    <s v="SUD_011"/>
    <s v="LITTORAL"/>
    <s v="IHS"/>
    <s v="Grid-Gen"/>
    <s v="SUD"/>
    <s v="Niete"/>
    <s v="ZTE"/>
    <n v="0"/>
    <n v="0"/>
    <n v="0"/>
    <n v="0"/>
    <n v="0"/>
    <n v="0"/>
    <n v="0"/>
    <n v="0"/>
    <n v="0"/>
    <n v="0"/>
    <n v="0"/>
    <n v="0"/>
    <n v="0"/>
    <n v="0"/>
    <n v="0"/>
    <n v="0"/>
    <n v="0"/>
    <n v="0"/>
    <n v="0"/>
    <n v="0"/>
    <m/>
    <n v="0"/>
    <n v="0"/>
    <n v="0"/>
    <m/>
    <n v="0"/>
    <m/>
    <n v="0"/>
    <m/>
    <n v="0"/>
    <m/>
    <m/>
    <n v="0"/>
    <n v="0"/>
    <n v="0"/>
    <n v="0"/>
    <m/>
    <n v="0"/>
    <n v="0"/>
    <n v="0"/>
    <n v="0"/>
    <n v="0"/>
    <x v="0"/>
    <m/>
    <x v="2"/>
    <x v="1"/>
    <s v="no root cause"/>
    <x v="1"/>
    <s v=""/>
  </r>
  <r>
    <s v="Adjap-IHS"/>
    <s v="SUD_070"/>
    <s v="CENTRE"/>
    <s v="IHS"/>
    <s v="Grid-Gen"/>
    <s v="SUD"/>
    <s v="Adjap"/>
    <s v="NOKIA"/>
    <n v="0"/>
    <n v="0"/>
    <n v="0"/>
    <n v="0"/>
    <n v="0"/>
    <n v="0"/>
    <n v="0"/>
    <n v="0"/>
    <n v="0"/>
    <n v="0"/>
    <n v="0"/>
    <n v="0"/>
    <n v="0"/>
    <n v="0"/>
    <n v="0"/>
    <n v="0"/>
    <n v="0"/>
    <n v="0"/>
    <n v="0"/>
    <n v="0"/>
    <m/>
    <n v="0"/>
    <n v="0"/>
    <n v="0"/>
    <m/>
    <n v="0"/>
    <m/>
    <n v="0"/>
    <m/>
    <n v="0"/>
    <m/>
    <m/>
    <n v="0"/>
    <n v="0"/>
    <n v="0"/>
    <n v="0"/>
    <m/>
    <n v="0"/>
    <n v="0"/>
    <n v="0"/>
    <n v="0"/>
    <n v="0"/>
    <x v="0"/>
    <m/>
    <x v="2"/>
    <x v="1"/>
    <s v="no root cause"/>
    <x v="1"/>
    <s v=""/>
  </r>
  <r>
    <s v="Minka-MTN-IHS"/>
    <s v="CTR_186"/>
    <s v="CENTRE"/>
    <s v="IHS"/>
    <s v="Hybrid-Gen"/>
    <s v="CENTRE"/>
    <s v="Minka"/>
    <s v="ZTE"/>
    <n v="0"/>
    <n v="0"/>
    <n v="0"/>
    <n v="0"/>
    <n v="0"/>
    <n v="0"/>
    <n v="0"/>
    <n v="0"/>
    <n v="0"/>
    <n v="0"/>
    <n v="0"/>
    <n v="0"/>
    <n v="0"/>
    <n v="0"/>
    <n v="0"/>
    <n v="0"/>
    <n v="0"/>
    <n v="0"/>
    <n v="0"/>
    <n v="0"/>
    <m/>
    <n v="0"/>
    <n v="0"/>
    <n v="0"/>
    <m/>
    <n v="0"/>
    <m/>
    <n v="0"/>
    <m/>
    <n v="0"/>
    <m/>
    <m/>
    <n v="0"/>
    <n v="0"/>
    <n v="0"/>
    <n v="0"/>
    <m/>
    <n v="0"/>
    <n v="0"/>
    <n v="0"/>
    <n v="0"/>
    <n v="0"/>
    <x v="0"/>
    <m/>
    <x v="2"/>
    <x v="1"/>
    <s v="no root cause"/>
    <x v="1"/>
    <s v=""/>
  </r>
  <r>
    <s v="Tonga"/>
    <s v="OST_053"/>
    <s v="OUEST"/>
    <s v="IHS"/>
    <s v="Grid-Gen"/>
    <s v="OUEST"/>
    <s v="Tonga"/>
    <s v="Huawei"/>
    <n v="0"/>
    <n v="0"/>
    <n v="0"/>
    <n v="0"/>
    <n v="0"/>
    <n v="0"/>
    <n v="0"/>
    <n v="0"/>
    <n v="0"/>
    <n v="0"/>
    <n v="0"/>
    <n v="0"/>
    <n v="0"/>
    <n v="0"/>
    <n v="0"/>
    <n v="0"/>
    <n v="0"/>
    <n v="0"/>
    <n v="0"/>
    <n v="0"/>
    <m/>
    <n v="0"/>
    <n v="0"/>
    <n v="0"/>
    <m/>
    <n v="0"/>
    <m/>
    <n v="0"/>
    <m/>
    <n v="0"/>
    <m/>
    <m/>
    <n v="0"/>
    <n v="0"/>
    <n v="0"/>
    <n v="0"/>
    <m/>
    <n v="0"/>
    <n v="0"/>
    <n v="0"/>
    <n v="0"/>
    <n v="0"/>
    <x v="0"/>
    <m/>
    <x v="2"/>
    <x v="1"/>
    <s v="no root cause"/>
    <x v="1"/>
    <s v=""/>
  </r>
  <r>
    <s v="Minisite-Bonapriso-Castel-Hall"/>
    <s v="LIT_628"/>
    <s v="Douala"/>
    <m/>
    <m/>
    <s v="LITTORAL"/>
    <s v="Douala"/>
    <s v="NOKIA"/>
    <n v="0"/>
    <n v="0"/>
    <n v="0"/>
    <n v="0"/>
    <n v="0"/>
    <n v="0"/>
    <n v="0"/>
    <n v="0"/>
    <n v="0"/>
    <n v="0"/>
    <n v="0"/>
    <n v="0"/>
    <n v="0"/>
    <n v="0"/>
    <n v="0"/>
    <n v="0"/>
    <n v="0"/>
    <n v="0"/>
    <n v="0"/>
    <n v="0"/>
    <m/>
    <n v="0"/>
    <n v="0"/>
    <n v="0"/>
    <m/>
    <n v="0"/>
    <m/>
    <n v="0"/>
    <m/>
    <n v="0"/>
    <m/>
    <m/>
    <n v="0"/>
    <n v="0"/>
    <n v="0"/>
    <n v="0"/>
    <m/>
    <n v="0"/>
    <n v="0"/>
    <n v="0"/>
    <n v="0"/>
    <n v="0"/>
    <x v="0"/>
    <m/>
    <x v="2"/>
    <x v="1"/>
    <s v="no root cause"/>
    <x v="1"/>
    <s v=""/>
  </r>
  <r>
    <s v="Babette"/>
    <s v="OST_257"/>
    <s v="OUEST"/>
    <s v="CAMUSAT"/>
    <s v="Hybrid Solar - S3"/>
    <s v="OUEST"/>
    <s v="Babette"/>
    <s v="Huawei"/>
    <n v="0"/>
    <n v="0"/>
    <n v="0"/>
    <n v="0"/>
    <n v="0"/>
    <n v="0"/>
    <n v="0"/>
    <n v="0"/>
    <n v="0"/>
    <n v="0"/>
    <n v="0"/>
    <n v="0"/>
    <n v="0"/>
    <n v="0"/>
    <n v="0"/>
    <n v="0"/>
    <n v="0"/>
    <n v="0"/>
    <n v="0"/>
    <n v="0"/>
    <m/>
    <n v="0"/>
    <n v="0"/>
    <n v="0"/>
    <m/>
    <n v="0"/>
    <m/>
    <n v="0"/>
    <m/>
    <n v="0"/>
    <m/>
    <m/>
    <n v="0"/>
    <n v="0"/>
    <n v="0"/>
    <n v="0"/>
    <m/>
    <n v="0"/>
    <n v="0"/>
    <n v="0"/>
    <n v="0"/>
    <n v="0"/>
    <x v="0"/>
    <m/>
    <x v="2"/>
    <x v="1"/>
    <s v="no root cause"/>
    <x v="1"/>
    <s v=""/>
  </r>
  <r>
    <s v="Nkoteng-II"/>
    <s v="CTR_220"/>
    <s v="CENTRE"/>
    <s v="IHS"/>
    <s v="Grid-Gen"/>
    <s v="CENTRE"/>
    <s v="Nkoteng"/>
    <s v="ZTE"/>
    <n v="0"/>
    <n v="0"/>
    <n v="0"/>
    <n v="0"/>
    <n v="0"/>
    <n v="0"/>
    <n v="0"/>
    <n v="0"/>
    <n v="0"/>
    <n v="0"/>
    <n v="0"/>
    <n v="0"/>
    <n v="0"/>
    <n v="0"/>
    <n v="0"/>
    <n v="0"/>
    <n v="0"/>
    <n v="0"/>
    <n v="0"/>
    <n v="0"/>
    <m/>
    <n v="0"/>
    <n v="0"/>
    <n v="0"/>
    <m/>
    <n v="0"/>
    <m/>
    <n v="0"/>
    <m/>
    <n v="0"/>
    <m/>
    <m/>
    <n v="0"/>
    <n v="0"/>
    <n v="0"/>
    <n v="0"/>
    <m/>
    <n v="0"/>
    <n v="0"/>
    <n v="0"/>
    <n v="0"/>
    <n v="0"/>
    <x v="0"/>
    <m/>
    <x v="2"/>
    <x v="1"/>
    <s v="no root cause"/>
    <x v="1"/>
    <s v=""/>
  </r>
  <r>
    <s v="Talla-Monatele-IHS"/>
    <s v="CTR_135"/>
    <s v="CENTRE"/>
    <s v="IHS"/>
    <s v="Grid-Gen"/>
    <s v="CENTRE"/>
    <s v="Monatele"/>
    <s v="ZTE"/>
    <n v="0"/>
    <n v="0"/>
    <n v="0"/>
    <n v="0"/>
    <n v="0"/>
    <n v="0"/>
    <n v="0"/>
    <n v="0"/>
    <n v="0"/>
    <n v="0"/>
    <n v="0"/>
    <n v="0"/>
    <n v="0"/>
    <n v="0"/>
    <n v="0"/>
    <n v="0"/>
    <n v="0"/>
    <n v="0"/>
    <n v="0"/>
    <n v="0"/>
    <m/>
    <n v="0"/>
    <n v="0"/>
    <n v="0"/>
    <m/>
    <n v="0"/>
    <m/>
    <n v="0"/>
    <m/>
    <n v="0"/>
    <m/>
    <m/>
    <n v="0"/>
    <n v="0"/>
    <n v="0"/>
    <n v="0"/>
    <m/>
    <n v="0"/>
    <n v="0"/>
    <n v="0"/>
    <n v="0"/>
    <n v="0"/>
    <x v="0"/>
    <m/>
    <x v="2"/>
    <x v="1"/>
    <s v="no root cause"/>
    <x v="1"/>
    <s v=""/>
  </r>
  <r>
    <s v="Enganme-IHS"/>
    <s v="CTR_143"/>
    <s v="CENTRE"/>
    <s v="IHS"/>
    <s v="Solar-Gen"/>
    <s v="CENTRE"/>
    <s v="Enganme"/>
    <s v="ZTE"/>
    <n v="0"/>
    <n v="0"/>
    <n v="0"/>
    <n v="0"/>
    <n v="0"/>
    <n v="0"/>
    <n v="0"/>
    <n v="0"/>
    <n v="0"/>
    <n v="0"/>
    <n v="0"/>
    <n v="0"/>
    <n v="0"/>
    <n v="0"/>
    <n v="0"/>
    <n v="0"/>
    <n v="0"/>
    <n v="0"/>
    <n v="0"/>
    <n v="0"/>
    <m/>
    <n v="0"/>
    <n v="0"/>
    <n v="0"/>
    <m/>
    <n v="0"/>
    <m/>
    <n v="0"/>
    <m/>
    <n v="0"/>
    <m/>
    <m/>
    <n v="0"/>
    <n v="0"/>
    <n v="0"/>
    <n v="0"/>
    <m/>
    <n v="0"/>
    <n v="0"/>
    <n v="0"/>
    <n v="0"/>
    <n v="0"/>
    <x v="0"/>
    <m/>
    <x v="2"/>
    <x v="1"/>
    <s v="no root cause"/>
    <x v="1"/>
    <s v=""/>
  </r>
  <r>
    <s v="Mfessang"/>
    <s v="OST_189"/>
    <s v="OUEST"/>
    <s v="IHS"/>
    <s v="Hybrid-Gen"/>
    <s v="OUEST"/>
    <s v="Mfessang"/>
    <s v="Huawei"/>
    <n v="0"/>
    <n v="0"/>
    <n v="0"/>
    <n v="0"/>
    <n v="0"/>
    <n v="0"/>
    <n v="0"/>
    <n v="0"/>
    <n v="0"/>
    <n v="0"/>
    <n v="0"/>
    <n v="0"/>
    <n v="0"/>
    <n v="0"/>
    <n v="0"/>
    <n v="0"/>
    <n v="0"/>
    <n v="0"/>
    <n v="0"/>
    <n v="0"/>
    <m/>
    <n v="0"/>
    <n v="0"/>
    <n v="0"/>
    <m/>
    <n v="0"/>
    <m/>
    <n v="0"/>
    <m/>
    <n v="0"/>
    <m/>
    <m/>
    <n v="0"/>
    <n v="0"/>
    <n v="0"/>
    <n v="0"/>
    <m/>
    <n v="0"/>
    <n v="0"/>
    <n v="0"/>
    <n v="0"/>
    <n v="0"/>
    <x v="0"/>
    <m/>
    <x v="4"/>
    <x v="0"/>
    <s v="Defaut GE &amp; Power Cabinet"/>
    <x v="0"/>
    <s v="{hourly IHS}: 25/05/2026 15:11 2:08:05 Yannick is informed and managing"/>
  </r>
  <r>
    <s v="Demdeng"/>
    <s v="OST_088"/>
    <s v="OUEST"/>
    <s v="IHS"/>
    <s v="Grid-Gen"/>
    <s v="OUEST"/>
    <s v="Demdeng"/>
    <s v="Huawei"/>
    <n v="0"/>
    <n v="0"/>
    <n v="0"/>
    <n v="0"/>
    <n v="0"/>
    <n v="0"/>
    <n v="0"/>
    <n v="0"/>
    <n v="0"/>
    <n v="0"/>
    <n v="0"/>
    <n v="0"/>
    <n v="0"/>
    <n v="0"/>
    <n v="0"/>
    <n v="0"/>
    <n v="0"/>
    <n v="0"/>
    <n v="0"/>
    <n v="0"/>
    <m/>
    <n v="0"/>
    <n v="0"/>
    <n v="0"/>
    <m/>
    <n v="0"/>
    <m/>
    <n v="0"/>
    <m/>
    <n v="0"/>
    <m/>
    <m/>
    <n v="0"/>
    <n v="0"/>
    <n v="0"/>
    <n v="0"/>
    <m/>
    <n v="0"/>
    <n v="0"/>
    <n v="0"/>
    <n v="0"/>
    <n v="0"/>
    <x v="0"/>
    <m/>
    <x v="2"/>
    <x v="1"/>
    <s v="no root cause"/>
    <x v="1"/>
    <s v=""/>
  </r>
  <r>
    <s v="Bayomen-Kalong-MTN"/>
    <s v="CTR_364"/>
    <s v="CENTRE"/>
    <s v="IHS"/>
    <s v="Grid-Gen"/>
    <s v="CENTRE"/>
    <s v="Bayomen-Kalong"/>
    <s v="ZTE"/>
    <n v="0"/>
    <n v="0"/>
    <n v="0"/>
    <n v="0"/>
    <n v="0"/>
    <n v="0"/>
    <n v="0"/>
    <n v="0"/>
    <n v="0"/>
    <n v="0"/>
    <n v="0"/>
    <n v="0"/>
    <n v="0"/>
    <n v="0"/>
    <n v="0"/>
    <n v="0"/>
    <n v="0"/>
    <n v="0"/>
    <n v="0"/>
    <n v="0"/>
    <m/>
    <n v="0"/>
    <n v="0"/>
    <n v="0"/>
    <m/>
    <n v="0"/>
    <m/>
    <n v="0"/>
    <m/>
    <n v="0"/>
    <m/>
    <m/>
    <n v="0"/>
    <n v="0"/>
    <n v="0"/>
    <n v="0"/>
    <m/>
    <n v="0"/>
    <n v="0"/>
    <n v="0"/>
    <n v="0"/>
    <n v="0"/>
    <x v="0"/>
    <m/>
    <x v="2"/>
    <x v="1"/>
    <s v="no root cause"/>
    <x v="1"/>
    <s v=""/>
  </r>
  <r>
    <s v="Pouma-Makob"/>
    <s v="LIT_201"/>
    <s v="LITTORAL"/>
    <s v="IHS"/>
    <s v=""/>
    <s v="LITTORAL"/>
    <s v="Pouma"/>
    <s v="ZTE"/>
    <n v="0"/>
    <n v="0"/>
    <n v="0"/>
    <n v="0"/>
    <n v="0"/>
    <n v="0"/>
    <n v="0"/>
    <n v="0"/>
    <n v="0"/>
    <n v="0"/>
    <n v="0"/>
    <n v="0.0006242277411088568"/>
    <n v="0"/>
    <n v="0"/>
    <n v="0"/>
    <n v="0"/>
    <n v="0"/>
    <n v="0"/>
    <n v="0"/>
    <n v="0"/>
    <m/>
    <n v="0"/>
    <n v="0"/>
    <n v="0"/>
    <m/>
    <n v="0"/>
    <m/>
    <n v="0"/>
    <m/>
    <n v="0"/>
    <m/>
    <m/>
    <n v="0"/>
    <n v="0"/>
    <n v="0"/>
    <n v="0"/>
    <m/>
    <n v="0"/>
    <n v="0"/>
    <n v="0"/>
    <n v="0"/>
    <n v="0"/>
    <x v="0"/>
    <m/>
    <x v="2"/>
    <x v="1"/>
    <s v="no root cause"/>
    <x v="1"/>
    <s v=""/>
  </r>
  <r>
    <s v="Zamakoe-MTN"/>
    <s v="CTR_366"/>
    <s v="CENTRE"/>
    <s v="IHS"/>
    <s v="Grid-Gen"/>
    <s v="CENTRE"/>
    <s v="Zamakoe"/>
    <s v="ZTE"/>
    <n v="0"/>
    <n v="0"/>
    <n v="0"/>
    <n v="0"/>
    <n v="0"/>
    <n v="0"/>
    <n v="0"/>
    <n v="0"/>
    <n v="0"/>
    <n v="0"/>
    <n v="0"/>
    <n v="0"/>
    <n v="0"/>
    <n v="0"/>
    <n v="0"/>
    <n v="0"/>
    <n v="0"/>
    <n v="0"/>
    <n v="0"/>
    <n v="0"/>
    <m/>
    <n v="0"/>
    <n v="0"/>
    <n v="0"/>
    <m/>
    <n v="0"/>
    <m/>
    <n v="0"/>
    <m/>
    <n v="0"/>
    <m/>
    <m/>
    <n v="0"/>
    <n v="0"/>
    <n v="0"/>
    <n v="0"/>
    <m/>
    <n v="0"/>
    <n v="0"/>
    <n v="0"/>
    <n v="0"/>
    <n v="0"/>
    <x v="0"/>
    <m/>
    <x v="2"/>
    <x v="1"/>
    <s v="no root cause"/>
    <x v="1"/>
    <s v=""/>
  </r>
  <r>
    <s v="Loum"/>
    <s v="LIT_029"/>
    <s v="LITTORAL"/>
    <s v="IHS"/>
    <s v="Grid-Gen"/>
    <s v="LITTORAL"/>
    <s v="Loum"/>
    <s v="ZTE"/>
    <n v="0"/>
    <n v="0"/>
    <n v="0"/>
    <n v="0"/>
    <n v="0"/>
    <n v="0"/>
    <n v="0"/>
    <n v="0"/>
    <n v="0"/>
    <n v="0"/>
    <n v="0"/>
    <n v="0"/>
    <n v="0"/>
    <n v="0"/>
    <n v="0"/>
    <n v="0"/>
    <n v="0"/>
    <n v="0"/>
    <n v="0"/>
    <n v="0"/>
    <m/>
    <n v="0"/>
    <n v="0"/>
    <n v="0"/>
    <m/>
    <n v="0"/>
    <m/>
    <n v="0"/>
    <m/>
    <n v="0"/>
    <m/>
    <m/>
    <n v="0"/>
    <n v="0"/>
    <n v="0"/>
    <n v="0"/>
    <m/>
    <n v="0"/>
    <n v="0"/>
    <n v="0"/>
    <n v="0"/>
    <n v="0"/>
    <x v="0"/>
    <m/>
    <x v="2"/>
    <x v="1"/>
    <s v="no root cause"/>
    <x v="1"/>
    <s v=""/>
  </r>
  <r>
    <s v="DIDANGO-II"/>
    <s v="OST_316"/>
    <s v="OUEST"/>
    <m/>
    <m/>
    <s v="OUEST"/>
    <s v="Koutaba"/>
    <s v="Huawei"/>
    <n v="0"/>
    <n v="0"/>
    <n v="0"/>
    <n v="0"/>
    <n v="0"/>
    <n v="0"/>
    <n v="0"/>
    <n v="0"/>
    <n v="0"/>
    <n v="0"/>
    <n v="0"/>
    <n v="0"/>
    <n v="0"/>
    <n v="0"/>
    <n v="0"/>
    <n v="0"/>
    <n v="0"/>
    <n v="0"/>
    <n v="0"/>
    <n v="0"/>
    <m/>
    <n v="0"/>
    <n v="0"/>
    <n v="0"/>
    <m/>
    <n v="0"/>
    <m/>
    <n v="0"/>
    <m/>
    <n v="0"/>
    <m/>
    <m/>
    <n v="0"/>
    <n v="0"/>
    <n v="0"/>
    <n v="0"/>
    <m/>
    <n v="0"/>
    <n v="0"/>
    <n v="0"/>
    <n v="0"/>
    <n v="0"/>
    <x v="0"/>
    <m/>
    <x v="4"/>
    <x v="0"/>
    <s v="Defaut GE &amp; Power Cabinet"/>
    <x v="0"/>
    <s v="{05-25-2026 groupe whatsapp incident}:    impacted by OST_005_H_Foumbot ,Cause: Probleme energie    Action: RCA attendu de IHS      ;      {05-25-2026 ocm ran 17H}: Power status check Ongoing"/>
  </r>
  <r>
    <s v="Sombo"/>
    <s v="CTR_013"/>
    <s v="CENTRE"/>
    <s v="IHS"/>
    <s v="Grid-Gen"/>
    <s v="CENTRE"/>
    <s v="Sombo"/>
    <s v="ZTE"/>
    <n v="0"/>
    <n v="0"/>
    <n v="0"/>
    <n v="0"/>
    <n v="0"/>
    <n v="0"/>
    <n v="0"/>
    <n v="0"/>
    <n v="0"/>
    <n v="0"/>
    <n v="0"/>
    <n v="0"/>
    <n v="0"/>
    <n v="0"/>
    <n v="0"/>
    <n v="0"/>
    <n v="0"/>
    <n v="0"/>
    <n v="0"/>
    <n v="0"/>
    <m/>
    <n v="0"/>
    <n v="0"/>
    <n v="0"/>
    <m/>
    <n v="0"/>
    <m/>
    <n v="0"/>
    <m/>
    <n v="0"/>
    <m/>
    <m/>
    <n v="0"/>
    <n v="0"/>
    <n v="0"/>
    <n v="0"/>
    <m/>
    <n v="0"/>
    <n v="0"/>
    <n v="0"/>
    <n v="0"/>
    <n v="0"/>
    <x v="0"/>
    <m/>
    <x v="2"/>
    <x v="1"/>
    <s v="no root cause"/>
    <x v="1"/>
    <s v=""/>
  </r>
  <r>
    <s v="Akono"/>
    <s v="CTR_063"/>
    <s v="CENTRE"/>
    <s v="IHS"/>
    <s v="Grid-Gen"/>
    <s v="CENTRE"/>
    <s v="Akono"/>
    <s v="ZTE"/>
    <n v="0"/>
    <n v="0"/>
    <n v="0"/>
    <n v="0"/>
    <n v="0"/>
    <n v="0"/>
    <n v="0"/>
    <n v="0"/>
    <n v="0"/>
    <n v="0"/>
    <n v="0"/>
    <n v="0"/>
    <n v="0"/>
    <n v="0"/>
    <n v="0"/>
    <n v="0"/>
    <n v="0"/>
    <n v="0"/>
    <n v="0"/>
    <n v="0"/>
    <m/>
    <n v="0"/>
    <n v="0"/>
    <n v="0"/>
    <m/>
    <n v="0"/>
    <m/>
    <n v="0"/>
    <m/>
    <n v="0"/>
    <m/>
    <m/>
    <n v="0"/>
    <n v="0"/>
    <n v="0"/>
    <n v="0"/>
    <m/>
    <n v="0"/>
    <n v="0"/>
    <n v="0"/>
    <n v="0"/>
    <n v="0"/>
    <x v="0"/>
    <m/>
    <x v="2"/>
    <x v="1"/>
    <s v="no root cause"/>
    <x v="1"/>
    <s v=""/>
  </r>
  <r>
    <s v="Balengou"/>
    <s v="OST_049"/>
    <s v="OUEST"/>
    <s v="IHS"/>
    <s v="Grid-Gen"/>
    <s v="OUEST"/>
    <s v="Balengou"/>
    <s v="Huawei"/>
    <n v="0"/>
    <n v="0"/>
    <n v="0"/>
    <n v="0"/>
    <n v="0"/>
    <n v="0"/>
    <n v="0"/>
    <n v="0"/>
    <n v="0"/>
    <n v="0"/>
    <n v="0"/>
    <n v="0"/>
    <n v="0"/>
    <n v="0"/>
    <n v="0"/>
    <n v="0"/>
    <n v="0"/>
    <n v="0"/>
    <n v="0"/>
    <n v="0"/>
    <m/>
    <n v="0"/>
    <n v="0"/>
    <n v="0"/>
    <m/>
    <n v="0"/>
    <m/>
    <n v="0"/>
    <m/>
    <n v="0"/>
    <m/>
    <m/>
    <n v="0"/>
    <n v="0"/>
    <n v="0"/>
    <n v="0"/>
    <m/>
    <n v="0"/>
    <n v="0"/>
    <n v="0"/>
    <n v="0"/>
    <n v="0"/>
    <x v="0"/>
    <m/>
    <x v="2"/>
    <x v="1"/>
    <s v="no root cause"/>
    <x v="1"/>
    <s v="{05-25-2026 ocm ran 22H}: Power status check Ongoing"/>
  </r>
  <r>
    <s v="Bokito-MTN"/>
    <s v="CTR_193"/>
    <s v="CENTRE"/>
    <s v="IHS"/>
    <s v="Grid-Gen"/>
    <s v="CENTRE"/>
    <s v="Bokito"/>
    <s v="ZTE"/>
    <n v="0"/>
    <n v="0"/>
    <n v="0"/>
    <n v="0"/>
    <n v="0"/>
    <n v="0"/>
    <n v="0"/>
    <n v="0"/>
    <n v="0"/>
    <n v="0"/>
    <n v="0"/>
    <n v="5.679259658765013"/>
    <n v="0"/>
    <n v="0"/>
    <n v="0"/>
    <n v="0"/>
    <n v="0"/>
    <n v="0"/>
    <n v="0"/>
    <n v="0"/>
    <m/>
    <n v="0"/>
    <n v="0"/>
    <n v="0"/>
    <m/>
    <n v="0"/>
    <m/>
    <n v="0"/>
    <m/>
    <n v="0"/>
    <m/>
    <m/>
    <n v="0"/>
    <n v="0"/>
    <n v="0"/>
    <n v="0"/>
    <m/>
    <n v="0"/>
    <n v="0"/>
    <n v="0"/>
    <n v="0"/>
    <n v="0"/>
    <x v="0"/>
    <m/>
    <x v="2"/>
    <x v="1"/>
    <s v="no root cause"/>
    <x v="1"/>
    <s v=""/>
  </r>
  <r>
    <s v="Bissiang"/>
    <s v="LIT_505"/>
    <s v="LITTORAL"/>
    <s v="IHS"/>
    <s v="Hybrid-Gen"/>
    <s v="LITTORAL"/>
    <s v="Bissiang"/>
    <s v="ZTE"/>
    <n v="0"/>
    <n v="0"/>
    <n v="0"/>
    <n v="0"/>
    <n v="0"/>
    <n v="0"/>
    <n v="0"/>
    <n v="0"/>
    <n v="0"/>
    <n v="0"/>
    <n v="0"/>
    <n v="1.076760902639553"/>
    <n v="0"/>
    <n v="0"/>
    <n v="0"/>
    <n v="0"/>
    <n v="0"/>
    <n v="0"/>
    <n v="0"/>
    <n v="0"/>
    <m/>
    <n v="0"/>
    <n v="0"/>
    <n v="0"/>
    <m/>
    <n v="0"/>
    <m/>
    <n v="0"/>
    <m/>
    <n v="0"/>
    <m/>
    <m/>
    <n v="0"/>
    <n v="0"/>
    <n v="0"/>
    <n v="0"/>
    <m/>
    <n v="0"/>
    <n v="0"/>
    <n v="0"/>
    <n v="0"/>
    <n v="0"/>
    <x v="0"/>
    <m/>
    <x v="2"/>
    <x v="1"/>
    <s v="no root cause"/>
    <x v="1"/>
    <s v=""/>
  </r>
  <r>
    <s v="Afambassi-MTN"/>
    <s v="CTR_365"/>
    <s v="CENTRE"/>
    <s v="IHS"/>
    <m/>
    <s v="CENTRE"/>
    <s v="Afambassi"/>
    <s v="ZTE"/>
    <n v="0"/>
    <n v="0"/>
    <n v="0"/>
    <n v="0"/>
    <n v="0"/>
    <n v="0"/>
    <n v="0"/>
    <n v="0"/>
    <n v="0"/>
    <n v="0"/>
    <n v="0"/>
    <n v="0"/>
    <n v="0"/>
    <n v="0"/>
    <n v="0"/>
    <n v="0"/>
    <n v="0"/>
    <n v="0"/>
    <n v="0"/>
    <n v="0"/>
    <m/>
    <n v="0"/>
    <n v="0"/>
    <n v="0"/>
    <m/>
    <n v="0"/>
    <m/>
    <n v="0"/>
    <m/>
    <n v="0"/>
    <m/>
    <m/>
    <n v="0"/>
    <n v="0"/>
    <n v="0"/>
    <n v="0"/>
    <m/>
    <n v="0"/>
    <n v="0"/>
    <n v="0"/>
    <n v="0"/>
    <n v="0"/>
    <x v="0"/>
    <m/>
    <x v="2"/>
    <x v="1"/>
    <s v="no root cause"/>
    <x v="1"/>
    <s v=""/>
  </r>
  <r>
    <s v="Ezezang-MTN"/>
    <s v="CTR_230"/>
    <s v="CENTRE"/>
    <s v="IHS"/>
    <s v=""/>
    <s v="CENTRE"/>
    <s v="Ezezang"/>
    <s v="ZTE"/>
    <n v="0"/>
    <n v="0"/>
    <n v="0"/>
    <n v="0"/>
    <n v="0"/>
    <n v="0"/>
    <n v="0"/>
    <n v="0"/>
    <n v="0"/>
    <n v="0"/>
    <n v="0"/>
    <n v="0"/>
    <n v="0"/>
    <n v="0"/>
    <n v="0"/>
    <n v="0"/>
    <n v="0"/>
    <n v="0"/>
    <n v="0"/>
    <n v="0"/>
    <m/>
    <n v="0"/>
    <n v="0"/>
    <n v="0"/>
    <m/>
    <n v="0"/>
    <m/>
    <n v="0"/>
    <m/>
    <n v="0"/>
    <m/>
    <m/>
    <n v="0"/>
    <n v="0"/>
    <n v="0"/>
    <n v="0"/>
    <m/>
    <n v="0"/>
    <n v="0"/>
    <n v="0"/>
    <n v="0"/>
    <n v="0"/>
    <x v="0"/>
    <m/>
    <x v="2"/>
    <x v="1"/>
    <s v="no root cause"/>
    <x v="1"/>
    <s v=""/>
  </r>
  <r>
    <s v="Yop-IHS"/>
    <s v="CTR_673"/>
    <s v="CENTRE"/>
    <s v="IHS"/>
    <s v="Solar-Grid-Gen"/>
    <s v="CENTRE"/>
    <s v="Yop"/>
    <s v="ZTE"/>
    <n v="0"/>
    <n v="0"/>
    <n v="0"/>
    <n v="0"/>
    <n v="0"/>
    <n v="0"/>
    <n v="0"/>
    <n v="0"/>
    <n v="0"/>
    <n v="0"/>
    <n v="0"/>
    <n v="0"/>
    <n v="0"/>
    <n v="0"/>
    <n v="0"/>
    <n v="0"/>
    <n v="0"/>
    <n v="0"/>
    <n v="0"/>
    <n v="0"/>
    <m/>
    <n v="0"/>
    <n v="0"/>
    <n v="0"/>
    <m/>
    <n v="0"/>
    <m/>
    <n v="0"/>
    <m/>
    <n v="0"/>
    <m/>
    <m/>
    <n v="0"/>
    <n v="0"/>
    <n v="0"/>
    <n v="0"/>
    <m/>
    <n v="0"/>
    <n v="0"/>
    <n v="0"/>
    <n v="0"/>
    <n v="0"/>
    <x v="0"/>
    <m/>
    <x v="2"/>
    <x v="1"/>
    <s v="no root cause"/>
    <x v="1"/>
    <s v=""/>
  </r>
  <r>
    <s v="Taete-MTN-IHS"/>
    <s v="CTR_184"/>
    <s v="CENTRE"/>
    <s v="IHS"/>
    <s v="Grid-Gen-Lithium"/>
    <s v="CENTRE"/>
    <s v="Taete"/>
    <s v="ZTE"/>
    <n v="0"/>
    <n v="0"/>
    <n v="0"/>
    <n v="0"/>
    <n v="0"/>
    <n v="0"/>
    <n v="0"/>
    <n v="0"/>
    <n v="0"/>
    <n v="0"/>
    <n v="0"/>
    <n v="0"/>
    <n v="0"/>
    <n v="0"/>
    <n v="0"/>
    <n v="0"/>
    <n v="0"/>
    <n v="0"/>
    <n v="0"/>
    <n v="0"/>
    <m/>
    <n v="0"/>
    <n v="0"/>
    <n v="0"/>
    <m/>
    <n v="0"/>
    <m/>
    <n v="0"/>
    <m/>
    <n v="0"/>
    <m/>
    <m/>
    <n v="0"/>
    <n v="0"/>
    <n v="0"/>
    <n v="0"/>
    <m/>
    <n v="0"/>
    <n v="0"/>
    <n v="0"/>
    <n v="0"/>
    <n v="0"/>
    <x v="0"/>
    <m/>
    <x v="2"/>
    <x v="1"/>
    <s v="no root cause"/>
    <x v="1"/>
    <s v=""/>
  </r>
  <r>
    <s v="Sikoum"/>
    <s v="LIT_012"/>
    <s v="LITTORAL"/>
    <s v="IHS"/>
    <s v="Solar-Gen-Lithium"/>
    <s v="LITTORAL"/>
    <s v="Sikoum"/>
    <s v="ZTE"/>
    <n v="0"/>
    <n v="0"/>
    <n v="0"/>
    <n v="0"/>
    <n v="0"/>
    <n v="0"/>
    <n v="0"/>
    <n v="0"/>
    <n v="0"/>
    <n v="0"/>
    <n v="0"/>
    <n v="0"/>
    <n v="0"/>
    <n v="0"/>
    <n v="0"/>
    <n v="0"/>
    <n v="0"/>
    <n v="0"/>
    <n v="0"/>
    <n v="0"/>
    <m/>
    <n v="0"/>
    <n v="0"/>
    <n v="0"/>
    <m/>
    <n v="0"/>
    <m/>
    <n v="0"/>
    <m/>
    <n v="0"/>
    <m/>
    <m/>
    <n v="0"/>
    <n v="0"/>
    <n v="0"/>
    <n v="0"/>
    <m/>
    <n v="0"/>
    <n v="0"/>
    <n v="0"/>
    <n v="0"/>
    <n v="0"/>
    <x v="0"/>
    <m/>
    <x v="2"/>
    <x v="1"/>
    <s v="no root cause"/>
    <x v="1"/>
    <s v=""/>
  </r>
  <r>
    <s v="Memiam-MTN"/>
    <s v="SUD_235"/>
    <s v="CENTRE"/>
    <s v="IHS"/>
    <s v="Grid-Gen"/>
    <s v="SUD"/>
    <s v="Memiam"/>
    <s v="ZTE"/>
    <n v="0"/>
    <n v="0"/>
    <n v="0"/>
    <n v="0"/>
    <n v="0"/>
    <n v="0"/>
    <n v="0"/>
    <n v="0"/>
    <n v="0"/>
    <n v="0"/>
    <n v="0"/>
    <n v="0"/>
    <n v="0"/>
    <n v="0"/>
    <n v="0"/>
    <n v="0"/>
    <n v="0"/>
    <n v="0"/>
    <n v="0"/>
    <n v="0"/>
    <m/>
    <n v="0"/>
    <n v="0"/>
    <n v="0"/>
    <m/>
    <n v="0"/>
    <m/>
    <n v="0"/>
    <m/>
    <n v="0"/>
    <m/>
    <m/>
    <n v="0"/>
    <n v="0"/>
    <n v="0"/>
    <n v="0"/>
    <m/>
    <n v="0"/>
    <n v="0"/>
    <n v="0"/>
    <n v="0"/>
    <n v="0"/>
    <x v="0"/>
    <m/>
    <x v="2"/>
    <x v="1"/>
    <s v="no root cause"/>
    <x v="1"/>
    <s v=""/>
  </r>
  <r>
    <s v="Sikoum-II"/>
    <s v="LIT_388"/>
    <s v="LITTORAL"/>
    <s v="IHS"/>
    <s v="Gen-Lithium"/>
    <s v="LITTORAL"/>
    <s v="Sikoum"/>
    <s v="ZTE"/>
    <n v="0"/>
    <n v="0"/>
    <n v="0"/>
    <n v="0"/>
    <n v="0"/>
    <n v="0"/>
    <n v="0"/>
    <n v="0"/>
    <n v="0"/>
    <n v="0"/>
    <n v="0"/>
    <n v="0"/>
    <n v="0"/>
    <n v="0"/>
    <n v="0"/>
    <n v="0"/>
    <n v="0"/>
    <n v="0"/>
    <n v="0"/>
    <n v="0"/>
    <m/>
    <n v="0"/>
    <n v="0"/>
    <n v="0"/>
    <m/>
    <n v="0"/>
    <m/>
    <n v="0"/>
    <m/>
    <n v="0"/>
    <m/>
    <m/>
    <n v="0"/>
    <n v="0"/>
    <n v="0"/>
    <n v="0"/>
    <m/>
    <n v="0"/>
    <n v="0"/>
    <n v="0"/>
    <n v="0"/>
    <n v="0"/>
    <x v="0"/>
    <m/>
    <x v="2"/>
    <x v="1"/>
    <s v="no root cause"/>
    <x v="1"/>
    <s v=""/>
  </r>
  <r>
    <s v="Nkongkarak-MTN-IHS"/>
    <s v="CTR_696"/>
    <s v="CENTRE"/>
    <s v="IHS"/>
    <s v="Hybrid-Gen"/>
    <s v="CENTRE"/>
    <s v="Nkongkarak"/>
    <s v="ZTE"/>
    <n v="0"/>
    <n v="0"/>
    <n v="0"/>
    <n v="0"/>
    <n v="0"/>
    <n v="0"/>
    <n v="0"/>
    <n v="0"/>
    <n v="0"/>
    <n v="0"/>
    <n v="0"/>
    <n v="0"/>
    <n v="0"/>
    <n v="0"/>
    <n v="0"/>
    <n v="0"/>
    <n v="0"/>
    <n v="0"/>
    <n v="0"/>
    <n v="0"/>
    <m/>
    <n v="0"/>
    <n v="0"/>
    <n v="0"/>
    <m/>
    <n v="0"/>
    <m/>
    <n v="0"/>
    <m/>
    <n v="0"/>
    <m/>
    <m/>
    <n v="0"/>
    <n v="0"/>
    <n v="0"/>
    <n v="0"/>
    <m/>
    <n v="0"/>
    <n v="0"/>
    <n v="0"/>
    <n v="0"/>
    <n v="0"/>
    <x v="0"/>
    <m/>
    <x v="2"/>
    <x v="1"/>
    <s v="no root cause"/>
    <x v="1"/>
    <s v=""/>
  </r>
  <r>
    <s v="Metet"/>
    <s v="CTR_053"/>
    <s v="CENTRE"/>
    <s v="IHS"/>
    <s v="Grid-Gen"/>
    <s v="CENTRE"/>
    <s v="Metet"/>
    <s v="ZTE"/>
    <n v="0"/>
    <n v="0"/>
    <n v="0"/>
    <n v="0"/>
    <n v="0"/>
    <n v="0"/>
    <n v="0"/>
    <n v="0"/>
    <n v="0"/>
    <n v="0"/>
    <n v="0"/>
    <n v="0"/>
    <n v="0"/>
    <n v="0"/>
    <n v="0"/>
    <n v="0"/>
    <n v="0"/>
    <n v="0"/>
    <n v="0"/>
    <n v="0"/>
    <m/>
    <n v="0"/>
    <n v="0"/>
    <n v="0"/>
    <m/>
    <n v="0"/>
    <m/>
    <n v="0"/>
    <m/>
    <n v="0"/>
    <m/>
    <m/>
    <n v="0"/>
    <n v="0"/>
    <n v="0"/>
    <n v="0"/>
    <m/>
    <n v="0"/>
    <n v="0"/>
    <n v="0"/>
    <n v="0"/>
    <n v="0"/>
    <x v="0"/>
    <m/>
    <x v="2"/>
    <x v="1"/>
    <s v="no root cause"/>
    <x v="1"/>
    <s v=""/>
  </r>
  <r>
    <s v="Yambassa"/>
    <s v="CTR_232"/>
    <s v="CENTRE"/>
    <s v="IHS"/>
    <s v="Grid-Gen"/>
    <s v="CENTRE"/>
    <s v="Yambassa"/>
    <s v="ZTE"/>
    <n v="0"/>
    <n v="0"/>
    <n v="0"/>
    <n v="0"/>
    <n v="0"/>
    <n v="0"/>
    <n v="0"/>
    <n v="0"/>
    <n v="0"/>
    <n v="0"/>
    <n v="0"/>
    <n v="0"/>
    <n v="0"/>
    <n v="0"/>
    <n v="0"/>
    <n v="0"/>
    <n v="0"/>
    <n v="0"/>
    <n v="0"/>
    <n v="0"/>
    <m/>
    <n v="0"/>
    <n v="0"/>
    <n v="0"/>
    <m/>
    <n v="0"/>
    <m/>
    <n v="0"/>
    <m/>
    <n v="0"/>
    <m/>
    <m/>
    <n v="0"/>
    <n v="0"/>
    <n v="0"/>
    <n v="0"/>
    <m/>
    <n v="0"/>
    <n v="0"/>
    <n v="0"/>
    <n v="0"/>
    <n v="0"/>
    <x v="0"/>
    <m/>
    <x v="2"/>
    <x v="1"/>
    <s v="no root cause"/>
    <x v="1"/>
    <s v=""/>
  </r>
  <r>
    <s v="Sackbayeme"/>
    <s v="LIT_138"/>
    <s v="LITTORAL"/>
    <s v="IHS"/>
    <s v="Grid-Gen"/>
    <s v="LITTORAL"/>
    <s v="Sacbayeme"/>
    <s v="ZTE"/>
    <n v="0"/>
    <n v="0"/>
    <n v="0"/>
    <n v="0"/>
    <n v="0"/>
    <n v="0"/>
    <n v="0"/>
    <n v="0"/>
    <n v="0"/>
    <n v="0"/>
    <n v="0"/>
    <n v="0"/>
    <n v="0"/>
    <n v="0"/>
    <n v="0"/>
    <n v="0"/>
    <n v="0"/>
    <n v="0"/>
    <n v="0"/>
    <n v="0"/>
    <m/>
    <n v="0"/>
    <n v="0"/>
    <n v="0"/>
    <m/>
    <n v="0"/>
    <m/>
    <n v="0"/>
    <m/>
    <n v="0"/>
    <m/>
    <m/>
    <n v="0"/>
    <n v="0"/>
    <n v="0"/>
    <n v="0"/>
    <m/>
    <n v="0"/>
    <n v="0"/>
    <n v="0"/>
    <n v="0"/>
    <n v="0"/>
    <x v="0"/>
    <m/>
    <x v="2"/>
    <x v="1"/>
    <s v="no root cause"/>
    <x v="1"/>
    <s v=""/>
  </r>
  <r>
    <s v="Bamoko"/>
    <s v="CTR_091"/>
    <s v="CENTRE"/>
    <s v="IHS"/>
    <s v="Solar-Gen"/>
    <s v="CENTRE"/>
    <s v="Bamoko"/>
    <s v="ZTE"/>
    <n v="0"/>
    <n v="0"/>
    <n v="0"/>
    <n v="0"/>
    <n v="0"/>
    <n v="0"/>
    <n v="0"/>
    <n v="0"/>
    <n v="0"/>
    <n v="0"/>
    <n v="0"/>
    <n v="0"/>
    <n v="0"/>
    <n v="0"/>
    <n v="0"/>
    <n v="0"/>
    <n v="0"/>
    <n v="0"/>
    <n v="0"/>
    <n v="0"/>
    <m/>
    <n v="0"/>
    <n v="0"/>
    <n v="0"/>
    <m/>
    <n v="0"/>
    <m/>
    <n v="0"/>
    <m/>
    <n v="0"/>
    <m/>
    <m/>
    <n v="0"/>
    <n v="0"/>
    <n v="0"/>
    <n v="0"/>
    <m/>
    <n v="0"/>
    <n v="0"/>
    <n v="0"/>
    <n v="0"/>
    <n v="0"/>
    <x v="0"/>
    <m/>
    <x v="2"/>
    <x v="1"/>
    <s v="no root cause"/>
    <x v="1"/>
    <s v=""/>
  </r>
  <r>
    <s v="Penja-Market-MTN"/>
    <s v="LIT_767"/>
    <s v="LITTORAL"/>
    <m/>
    <m/>
    <s v="LITTORAL"/>
    <s v="Penja"/>
    <s v="ZTE"/>
    <n v="0"/>
    <n v="0"/>
    <n v="0"/>
    <n v="0"/>
    <n v="0"/>
    <n v="0"/>
    <n v="0"/>
    <n v="0"/>
    <n v="0"/>
    <n v="0"/>
    <n v="0"/>
    <n v="0"/>
    <n v="0"/>
    <n v="0"/>
    <n v="0"/>
    <n v="0"/>
    <n v="0"/>
    <n v="0"/>
    <n v="0"/>
    <n v="0"/>
    <m/>
    <n v="0"/>
    <n v="0"/>
    <n v="0"/>
    <m/>
    <n v="0"/>
    <m/>
    <n v="0"/>
    <m/>
    <n v="0"/>
    <m/>
    <m/>
    <n v="0"/>
    <n v="0"/>
    <n v="0"/>
    <n v="0"/>
    <m/>
    <n v="0"/>
    <n v="0"/>
    <n v="0"/>
    <n v="0"/>
    <n v="0"/>
    <x v="0"/>
    <m/>
    <x v="2"/>
    <x v="1"/>
    <s v="no root cause"/>
    <x v="1"/>
    <s v=""/>
  </r>
  <r>
    <s v="Ngwei-II-IHS"/>
    <s v="LIT_664"/>
    <s v="LITTORAL"/>
    <s v="IHS"/>
    <s v="Solar-Gen"/>
    <s v="LITTORAL"/>
    <s v="Ngwei"/>
    <s v="ZTE"/>
    <n v="0"/>
    <n v="0"/>
    <n v="0"/>
    <n v="0"/>
    <n v="0"/>
    <n v="0"/>
    <n v="0"/>
    <n v="0"/>
    <n v="0"/>
    <n v="0"/>
    <n v="0"/>
    <n v="0"/>
    <n v="0"/>
    <n v="0"/>
    <n v="0"/>
    <n v="0"/>
    <n v="0"/>
    <n v="0"/>
    <n v="0"/>
    <n v="0"/>
    <m/>
    <n v="0"/>
    <n v="0"/>
    <n v="0"/>
    <m/>
    <n v="0"/>
    <m/>
    <n v="0"/>
    <m/>
    <n v="0"/>
    <m/>
    <m/>
    <n v="0"/>
    <n v="0"/>
    <n v="0"/>
    <n v="0"/>
    <m/>
    <n v="0"/>
    <n v="0"/>
    <n v="0"/>
    <n v="0"/>
    <n v="0"/>
    <x v="0"/>
    <m/>
    <x v="2"/>
    <x v="1"/>
    <s v="no root cause"/>
    <x v="1"/>
    <s v=""/>
  </r>
  <r>
    <s v="Pama"/>
    <s v="SUD_004"/>
    <s v="LITTORAL"/>
    <s v="IHS"/>
    <s v="Grid-Gen"/>
    <s v="SUD"/>
    <s v="Pama"/>
    <s v="NOKIA"/>
    <n v="0"/>
    <n v="0"/>
    <n v="0"/>
    <n v="0"/>
    <n v="0"/>
    <n v="0"/>
    <n v="0"/>
    <n v="0"/>
    <n v="0"/>
    <n v="0"/>
    <n v="0"/>
    <n v="0"/>
    <n v="0"/>
    <n v="0"/>
    <n v="0"/>
    <n v="0"/>
    <n v="0"/>
    <n v="0"/>
    <n v="0"/>
    <n v="0"/>
    <m/>
    <n v="0"/>
    <n v="0"/>
    <n v="0"/>
    <m/>
    <n v="0"/>
    <m/>
    <n v="0"/>
    <m/>
    <n v="0"/>
    <m/>
    <m/>
    <n v="0"/>
    <n v="0"/>
    <n v="0"/>
    <n v="0"/>
    <m/>
    <n v="0"/>
    <n v="0"/>
    <n v="0"/>
    <n v="0"/>
    <n v="0"/>
    <x v="0"/>
    <m/>
    <x v="2"/>
    <x v="1"/>
    <s v="no root cause"/>
    <x v="1"/>
    <s v=""/>
  </r>
  <r>
    <s v="Ntui-Ecole-Publique"/>
    <s v="CTR_826"/>
    <s v="CENTRE"/>
    <s v="CAMUSAT"/>
    <s v="HGB"/>
    <s v="CENTRE"/>
    <s v="Ntui"/>
    <s v="ZTE"/>
    <n v="0"/>
    <n v="0"/>
    <n v="0"/>
    <n v="0"/>
    <n v="0"/>
    <n v="0"/>
    <n v="0"/>
    <n v="0"/>
    <n v="0"/>
    <n v="0"/>
    <n v="0"/>
    <n v="0"/>
    <n v="0"/>
    <n v="0"/>
    <n v="0"/>
    <n v="0"/>
    <n v="0"/>
    <n v="0"/>
    <n v="0"/>
    <n v="0"/>
    <m/>
    <n v="0"/>
    <n v="0"/>
    <n v="0"/>
    <m/>
    <n v="0"/>
    <m/>
    <n v="0"/>
    <m/>
    <n v="0"/>
    <m/>
    <m/>
    <n v="0"/>
    <n v="0"/>
    <n v="0"/>
    <n v="0"/>
    <m/>
    <n v="0"/>
    <n v="0"/>
    <n v="0"/>
    <n v="0"/>
    <n v="0"/>
    <x v="0"/>
    <m/>
    <x v="2"/>
    <x v="1"/>
    <s v="no root cause"/>
    <x v="1"/>
    <s v=""/>
  </r>
  <r>
    <s v="Mamb"/>
    <s v="CTR_356"/>
    <s v="CENTRE"/>
    <s v="IHS"/>
    <s v="Grid-Gen"/>
    <s v="CENTRE"/>
    <s v="Mamb"/>
    <s v="ZTE"/>
    <n v="0"/>
    <n v="0"/>
    <n v="0"/>
    <n v="0"/>
    <n v="0"/>
    <n v="0"/>
    <n v="0"/>
    <n v="0"/>
    <n v="0"/>
    <n v="0"/>
    <n v="0"/>
    <n v="0"/>
    <n v="0"/>
    <n v="0"/>
    <n v="0"/>
    <n v="0"/>
    <n v="0"/>
    <n v="0"/>
    <n v="0"/>
    <n v="0"/>
    <m/>
    <n v="0"/>
    <n v="0"/>
    <n v="0"/>
    <m/>
    <n v="0"/>
    <m/>
    <n v="0"/>
    <m/>
    <n v="0"/>
    <m/>
    <m/>
    <n v="0"/>
    <n v="0"/>
    <n v="0"/>
    <n v="0"/>
    <m/>
    <n v="0"/>
    <n v="0"/>
    <n v="0"/>
    <n v="0"/>
    <n v="0"/>
    <x v="0"/>
    <m/>
    <x v="4"/>
    <x v="0"/>
    <s v="Defaut GE &amp; Power Cabinet"/>
    <x v="0"/>
    <s v="{hourly IHS}: 25/05/2026 06:17 1:43:00 45 Fme is informed and managing"/>
  </r>
  <r>
    <s v="MONATELE-IHS"/>
    <s v="CTR_869"/>
    <s v="CENTRE"/>
    <s v="IHS"/>
    <s v="Grid-Gen"/>
    <s v="CENTRE"/>
    <s v="Monatele"/>
    <s v="ZTE"/>
    <n v="0"/>
    <n v="0"/>
    <n v="0"/>
    <n v="0"/>
    <n v="0"/>
    <n v="0"/>
    <n v="0"/>
    <n v="0"/>
    <n v="0"/>
    <n v="0"/>
    <n v="0"/>
    <n v="0"/>
    <n v="0"/>
    <n v="0"/>
    <n v="0"/>
    <n v="0"/>
    <n v="0"/>
    <n v="0"/>
    <n v="0"/>
    <n v="0"/>
    <m/>
    <n v="0"/>
    <n v="0"/>
    <n v="0"/>
    <m/>
    <n v="0"/>
    <m/>
    <n v="0"/>
    <m/>
    <n v="0"/>
    <m/>
    <m/>
    <n v="0"/>
    <n v="0"/>
    <n v="0"/>
    <n v="0"/>
    <m/>
    <n v="0"/>
    <n v="0"/>
    <n v="0"/>
    <n v="0"/>
    <n v="0"/>
    <x v="0"/>
    <m/>
    <x v="2"/>
    <x v="1"/>
    <s v="no root cause"/>
    <x v="1"/>
    <s v=""/>
  </r>
  <r>
    <s v="Mbanga-Mouyouka-IHS"/>
    <s v="LIT_789"/>
    <s v="LITTORAL"/>
    <m/>
    <m/>
    <s v="LITTORAL"/>
    <s v="Mouyouka"/>
    <s v="ZTE"/>
    <n v="0"/>
    <n v="0"/>
    <n v="0"/>
    <n v="0"/>
    <n v="0"/>
    <n v="0"/>
    <n v="0"/>
    <n v="0"/>
    <n v="0"/>
    <n v="0"/>
    <n v="0"/>
    <n v="0"/>
    <n v="0"/>
    <n v="0"/>
    <n v="0"/>
    <n v="0"/>
    <n v="0"/>
    <n v="0"/>
    <n v="0"/>
    <n v="0"/>
    <m/>
    <n v="0"/>
    <n v="0"/>
    <n v="0"/>
    <m/>
    <n v="0"/>
    <m/>
    <n v="0"/>
    <m/>
    <n v="0"/>
    <m/>
    <m/>
    <n v="0"/>
    <n v="0"/>
    <n v="0"/>
    <n v="0"/>
    <m/>
    <n v="0"/>
    <n v="0"/>
    <n v="0"/>
    <n v="0"/>
    <n v="0"/>
    <x v="0"/>
    <m/>
    <x v="2"/>
    <x v="1"/>
    <s v="no root cause"/>
    <x v="1"/>
    <s v=""/>
  </r>
  <r>
    <s v="Bidou-IHS"/>
    <s v="SUD_125"/>
    <s v="NORD-OUEST"/>
    <m/>
    <m/>
    <s v="SUD"/>
    <s v="Bamenda"/>
    <s v="ZTE"/>
    <n v="0"/>
    <n v="0"/>
    <n v="0"/>
    <n v="0"/>
    <n v="0"/>
    <n v="0"/>
    <n v="0"/>
    <n v="0"/>
    <n v="0"/>
    <n v="0"/>
    <n v="0"/>
    <n v="0"/>
    <n v="0"/>
    <n v="0"/>
    <n v="0"/>
    <n v="0"/>
    <n v="0"/>
    <n v="0"/>
    <n v="0"/>
    <n v="0"/>
    <m/>
    <n v="0"/>
    <n v="0"/>
    <n v="0"/>
    <m/>
    <n v="0"/>
    <m/>
    <n v="0"/>
    <m/>
    <n v="0"/>
    <m/>
    <m/>
    <n v="0"/>
    <n v="0"/>
    <n v="0"/>
    <n v="0"/>
    <m/>
    <n v="0"/>
    <n v="0"/>
    <n v="0"/>
    <n v="0"/>
    <n v="0"/>
    <x v="0"/>
    <m/>
    <x v="2"/>
    <x v="1"/>
    <s v="no root cause"/>
    <x v="1"/>
    <s v=""/>
  </r>
  <r>
    <s v="Makoda-MTN"/>
    <s v="CTR_360"/>
    <s v="CENTRE"/>
    <s v="IHS"/>
    <s v="Gen-Lithium"/>
    <s v="CENTRE"/>
    <s v="Makoda"/>
    <s v="ZTE"/>
    <n v="0"/>
    <n v="0"/>
    <n v="0"/>
    <n v="0"/>
    <n v="0"/>
    <n v="0"/>
    <n v="0"/>
    <n v="0"/>
    <n v="0"/>
    <n v="0"/>
    <n v="0"/>
    <n v="0"/>
    <n v="0"/>
    <n v="0"/>
    <n v="0"/>
    <n v="0"/>
    <n v="0"/>
    <n v="0"/>
    <n v="0"/>
    <n v="0"/>
    <m/>
    <n v="0"/>
    <n v="0"/>
    <n v="0"/>
    <m/>
    <n v="0"/>
    <m/>
    <n v="0"/>
    <m/>
    <n v="0"/>
    <m/>
    <m/>
    <n v="0"/>
    <n v="0"/>
    <n v="0"/>
    <n v="0"/>
    <m/>
    <n v="0"/>
    <n v="0"/>
    <n v="0"/>
    <n v="0"/>
    <n v="0"/>
    <x v="0"/>
    <m/>
    <x v="2"/>
    <x v="1"/>
    <s v="no root cause"/>
    <x v="1"/>
    <s v=""/>
  </r>
  <r>
    <s v="Manjo-Q2-MTN"/>
    <s v="LIT_772"/>
    <s v="LITTORAL"/>
    <m/>
    <m/>
    <s v="LITTORAL"/>
    <s v="Manjo"/>
    <s v="ZTE"/>
    <n v="0"/>
    <n v="0"/>
    <n v="0"/>
    <n v="0"/>
    <n v="0"/>
    <n v="0"/>
    <n v="0"/>
    <n v="0"/>
    <n v="0"/>
    <n v="0"/>
    <n v="0"/>
    <n v="13.86855689960706"/>
    <n v="0"/>
    <n v="0"/>
    <n v="0"/>
    <n v="0"/>
    <n v="0"/>
    <n v="0"/>
    <n v="0"/>
    <n v="0"/>
    <m/>
    <n v="0"/>
    <n v="0"/>
    <n v="0"/>
    <m/>
    <n v="0"/>
    <m/>
    <n v="0"/>
    <m/>
    <n v="0"/>
    <m/>
    <m/>
    <n v="0"/>
    <n v="0"/>
    <n v="0"/>
    <n v="0"/>
    <m/>
    <n v="0"/>
    <n v="0"/>
    <n v="0"/>
    <n v="0"/>
    <n v="0"/>
    <x v="0"/>
    <m/>
    <x v="2"/>
    <x v="1"/>
    <s v="no root cause"/>
    <x v="1"/>
    <s v=""/>
  </r>
  <r>
    <s v="BISSIANG-Kribi"/>
    <s v="SUD_128"/>
    <s v="CENTRE"/>
    <s v="CAMUSAT"/>
    <s v="Hybrid Solar - S3"/>
    <s v="SUD"/>
    <s v="BISSIANG"/>
    <s v="ZTE"/>
    <n v="0"/>
    <n v="0"/>
    <n v="0"/>
    <n v="0"/>
    <n v="0"/>
    <n v="0"/>
    <n v="0"/>
    <n v="0"/>
    <n v="0"/>
    <n v="0"/>
    <n v="0"/>
    <n v="0"/>
    <n v="0"/>
    <n v="0"/>
    <n v="0"/>
    <n v="0"/>
    <n v="0"/>
    <n v="0"/>
    <n v="0"/>
    <n v="0"/>
    <m/>
    <n v="0"/>
    <n v="0"/>
    <n v="0"/>
    <m/>
    <n v="0"/>
    <m/>
    <n v="0"/>
    <m/>
    <n v="0"/>
    <m/>
    <m/>
    <n v="0"/>
    <n v="0"/>
    <n v="0"/>
    <n v="0"/>
    <m/>
    <n v="0"/>
    <n v="0"/>
    <n v="0"/>
    <n v="0"/>
    <n v="0"/>
    <x v="0"/>
    <m/>
    <x v="2"/>
    <x v="1"/>
    <s v="no root cause"/>
    <x v="1"/>
    <s v=""/>
  </r>
  <r>
    <s v="Ndokoma"/>
    <s v="LIT_308"/>
    <s v="LITTORAL"/>
    <s v="IHS"/>
    <s v="Grid-Gen-Lithium"/>
    <s v="LITTORAL"/>
    <s v="Ndokoma"/>
    <s v="ZTE"/>
    <n v="0"/>
    <n v="0"/>
    <n v="0"/>
    <n v="0"/>
    <n v="0"/>
    <n v="0"/>
    <n v="0"/>
    <n v="0"/>
    <n v="0"/>
    <n v="0"/>
    <n v="0"/>
    <n v="5.319724840598405"/>
    <n v="0"/>
    <n v="0"/>
    <n v="0"/>
    <n v="0"/>
    <n v="0"/>
    <n v="0"/>
    <n v="0"/>
    <n v="0"/>
    <m/>
    <n v="0"/>
    <n v="0"/>
    <n v="0"/>
    <m/>
    <n v="0"/>
    <m/>
    <n v="0"/>
    <m/>
    <n v="0"/>
    <m/>
    <m/>
    <n v="0"/>
    <n v="0"/>
    <n v="0"/>
    <n v="0"/>
    <m/>
    <n v="0"/>
    <n v="0"/>
    <n v="0"/>
    <n v="0"/>
    <n v="0"/>
    <x v="0"/>
    <m/>
    <x v="2"/>
    <x v="1"/>
    <s v="no root cause"/>
    <x v="1"/>
    <s v=""/>
  </r>
  <r>
    <s v="Ngwei"/>
    <s v="LIT_108"/>
    <s v="LITTORAL"/>
    <s v="IHS"/>
    <s v="Solar-Grid-Gen"/>
    <s v="LITTORAL"/>
    <s v="Ngwei"/>
    <s v="ZTE"/>
    <n v="0"/>
    <n v="0"/>
    <n v="0"/>
    <n v="0"/>
    <n v="0"/>
    <n v="0"/>
    <n v="0"/>
    <n v="0"/>
    <n v="0"/>
    <n v="0"/>
    <n v="0"/>
    <n v="0"/>
    <n v="0"/>
    <n v="0"/>
    <n v="0"/>
    <n v="0"/>
    <n v="0"/>
    <n v="0"/>
    <n v="0"/>
    <n v="0"/>
    <m/>
    <n v="0"/>
    <n v="0"/>
    <n v="0"/>
    <m/>
    <n v="0"/>
    <m/>
    <n v="0"/>
    <m/>
    <n v="0"/>
    <m/>
    <m/>
    <n v="0"/>
    <n v="0"/>
    <n v="0"/>
    <n v="0"/>
    <m/>
    <n v="0"/>
    <n v="0"/>
    <n v="0"/>
    <n v="0"/>
    <n v="0"/>
    <x v="0"/>
    <m/>
    <x v="2"/>
    <x v="1"/>
    <s v="no root cause"/>
    <x v="1"/>
    <s v=""/>
  </r>
  <r>
    <s v="Essazok"/>
    <s v="CTR_749"/>
    <s v="CENTRE"/>
    <s v="CAMUSAT"/>
    <s v="Hybrid Solar - S3"/>
    <s v="CENTRE"/>
    <s v="Essazok"/>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Nkometou-Edouma-IHS"/>
    <s v="CTR_695"/>
    <s v="Yaounde"/>
    <s v="IHS"/>
    <s v="Grid-Gen-Lithium"/>
    <s v="CENTRE"/>
    <s v="Yaounde"/>
    <s v="ZTE"/>
    <n v="0"/>
    <n v="0"/>
    <n v="0"/>
    <n v="0"/>
    <n v="0"/>
    <n v="0"/>
    <n v="0"/>
    <n v="0"/>
    <n v="0"/>
    <n v="0"/>
    <n v="0"/>
    <n v="0"/>
    <n v="0"/>
    <n v="0"/>
    <n v="0"/>
    <n v="0"/>
    <n v="0"/>
    <n v="0"/>
    <n v="0"/>
    <n v="0"/>
    <m/>
    <n v="0"/>
    <n v="0"/>
    <n v="0"/>
    <m/>
    <n v="0"/>
    <m/>
    <n v="0"/>
    <m/>
    <n v="0"/>
    <m/>
    <m/>
    <n v="0"/>
    <n v="0"/>
    <n v="0"/>
    <n v="0"/>
    <m/>
    <n v="0"/>
    <n v="0"/>
    <n v="0"/>
    <n v="0"/>
    <n v="0"/>
    <x v="0"/>
    <m/>
    <x v="2"/>
    <x v="1"/>
    <s v="no root cause"/>
    <x v="1"/>
    <s v=""/>
  </r>
  <r>
    <s v="Njombe"/>
    <s v="LIT_039"/>
    <s v="LITTORAL"/>
    <s v="IHS"/>
    <s v="Grid-Gen"/>
    <s v="LITTORAL"/>
    <s v="Njombe"/>
    <s v="ZTE"/>
    <n v="0"/>
    <n v="0"/>
    <n v="0"/>
    <n v="0"/>
    <n v="0"/>
    <n v="0"/>
    <n v="0"/>
    <n v="0"/>
    <n v="0"/>
    <n v="0"/>
    <n v="0"/>
    <n v="0"/>
    <n v="0"/>
    <n v="0"/>
    <n v="0"/>
    <n v="0"/>
    <n v="0"/>
    <n v="0"/>
    <n v="0"/>
    <n v="0"/>
    <m/>
    <n v="0"/>
    <n v="0"/>
    <n v="0"/>
    <m/>
    <n v="0"/>
    <m/>
    <n v="0"/>
    <m/>
    <n v="0"/>
    <m/>
    <m/>
    <n v="0"/>
    <n v="0"/>
    <n v="0"/>
    <n v="0"/>
    <m/>
    <n v="0"/>
    <n v="0"/>
    <n v="0"/>
    <n v="0"/>
    <n v="0"/>
    <x v="0"/>
    <m/>
    <x v="2"/>
    <x v="1"/>
    <s v="no root cause"/>
    <x v="1"/>
    <s v=""/>
  </r>
  <r>
    <s v="Edea-Ndokok"/>
    <s v="LIT_230"/>
    <s v="LITTORAL"/>
    <s v="IHS"/>
    <s v="Grid-Gen"/>
    <s v="LITTORAL"/>
    <s v="Edea"/>
    <s v="ZTE"/>
    <n v="0"/>
    <n v="0"/>
    <n v="0"/>
    <n v="0"/>
    <n v="0"/>
    <n v="0"/>
    <n v="0"/>
    <n v="0"/>
    <n v="0"/>
    <n v="0"/>
    <n v="0"/>
    <n v="0"/>
    <n v="0"/>
    <n v="0"/>
    <n v="0"/>
    <n v="0"/>
    <n v="0"/>
    <n v="0"/>
    <n v="0"/>
    <n v="0"/>
    <m/>
    <n v="0"/>
    <n v="0"/>
    <n v="0"/>
    <m/>
    <n v="0"/>
    <m/>
    <n v="0"/>
    <m/>
    <n v="0"/>
    <m/>
    <m/>
    <n v="0"/>
    <n v="0"/>
    <n v="0"/>
    <n v="0"/>
    <m/>
    <n v="0"/>
    <n v="0"/>
    <n v="0"/>
    <n v="0"/>
    <n v="0"/>
    <x v="0"/>
    <m/>
    <x v="2"/>
    <x v="1"/>
    <s v="no root cause"/>
    <x v="1"/>
    <s v=""/>
  </r>
  <r>
    <s v="Mengueme"/>
    <s v="CTR_354"/>
    <s v="CENTRE"/>
    <s v="IHS"/>
    <s v="Grid-Gen"/>
    <s v="CENTRE"/>
    <s v="Mengueme"/>
    <s v="ZTE"/>
    <n v="0"/>
    <n v="0"/>
    <n v="0"/>
    <n v="0"/>
    <n v="0"/>
    <n v="0"/>
    <n v="0"/>
    <n v="0"/>
    <n v="0"/>
    <n v="0"/>
    <n v="0"/>
    <n v="0"/>
    <n v="0"/>
    <n v="0"/>
    <n v="0"/>
    <n v="0"/>
    <n v="0"/>
    <n v="0"/>
    <n v="0"/>
    <n v="0"/>
    <m/>
    <n v="0"/>
    <n v="0"/>
    <n v="0"/>
    <m/>
    <n v="0"/>
    <m/>
    <n v="0"/>
    <m/>
    <n v="0"/>
    <m/>
    <m/>
    <n v="0"/>
    <n v="0"/>
    <n v="0"/>
    <n v="0"/>
    <m/>
    <n v="0"/>
    <n v="0"/>
    <n v="0"/>
    <n v="0"/>
    <n v="0"/>
    <x v="0"/>
    <m/>
    <x v="2"/>
    <x v="1"/>
    <s v="no root cause"/>
    <x v="1"/>
    <s v=""/>
  </r>
  <r>
    <s v="Mandoumba"/>
    <s v="CTR_066"/>
    <s v="CENTRE"/>
    <s v="IHS"/>
    <s v="Solar-Grid-Gen-Lithium"/>
    <s v="CENTRE"/>
    <s v="Mandoumba"/>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Djoum-CIFAN"/>
    <s v="SUD_231"/>
    <s v="CENTRE"/>
    <s v="IHS"/>
    <s v="Grid-Gen-Lithium"/>
    <s v="SUD"/>
    <s v="Djoum"/>
    <s v="ZTE"/>
    <n v="0"/>
    <n v="0"/>
    <n v="0"/>
    <n v="0"/>
    <n v="0"/>
    <n v="0"/>
    <n v="0"/>
    <n v="0"/>
    <n v="0"/>
    <n v="0"/>
    <n v="0"/>
    <n v="0"/>
    <n v="0"/>
    <n v="0"/>
    <n v="0"/>
    <n v="0"/>
    <n v="0"/>
    <n v="0"/>
    <n v="0"/>
    <n v="0"/>
    <m/>
    <n v="0"/>
    <n v="0"/>
    <n v="0"/>
    <m/>
    <n v="0"/>
    <m/>
    <n v="0"/>
    <m/>
    <n v="0"/>
    <m/>
    <m/>
    <n v="0"/>
    <n v="0"/>
    <n v="0"/>
    <n v="0"/>
    <m/>
    <n v="0"/>
    <n v="0"/>
    <n v="0"/>
    <n v="0"/>
    <n v="0"/>
    <x v="0"/>
    <m/>
    <x v="2"/>
    <x v="1"/>
    <s v="no root cause"/>
    <x v="1"/>
    <s v=""/>
  </r>
  <r>
    <s v="Avebe-MTN"/>
    <s v="SUD_236"/>
    <s v="CENTRE"/>
    <s v="IHS"/>
    <s v="Grid-Gen"/>
    <s v="SUD"/>
    <s v="Avebe"/>
    <s v="ZTE"/>
    <n v="0"/>
    <n v="0"/>
    <n v="0"/>
    <n v="0"/>
    <n v="0"/>
    <n v="0"/>
    <n v="0"/>
    <n v="0"/>
    <n v="0"/>
    <n v="0"/>
    <n v="0"/>
    <n v="0"/>
    <n v="0"/>
    <n v="0"/>
    <n v="0"/>
    <n v="0"/>
    <n v="0"/>
    <n v="0"/>
    <n v="0"/>
    <n v="0"/>
    <m/>
    <n v="0"/>
    <n v="0"/>
    <n v="0"/>
    <m/>
    <n v="0"/>
    <m/>
    <n v="0"/>
    <m/>
    <n v="0"/>
    <m/>
    <m/>
    <n v="0"/>
    <n v="0"/>
    <n v="0"/>
    <n v="0"/>
    <m/>
    <n v="0"/>
    <n v="0"/>
    <n v="0"/>
    <n v="0"/>
    <n v="0"/>
    <x v="0"/>
    <m/>
    <x v="2"/>
    <x v="1"/>
    <s v="no root cause"/>
    <x v="1"/>
    <s v=""/>
  </r>
  <r>
    <s v="Goufan"/>
    <s v="CTR_231"/>
    <s v="CENTRE"/>
    <s v="IHS"/>
    <s v="Grid-Gen"/>
    <s v="CENTRE"/>
    <s v="Goufan"/>
    <s v="ZTE"/>
    <n v="0"/>
    <n v="0"/>
    <n v="0"/>
    <n v="0"/>
    <n v="0"/>
    <n v="0"/>
    <n v="0"/>
    <n v="0"/>
    <n v="0"/>
    <n v="0"/>
    <n v="0"/>
    <n v="0"/>
    <n v="0"/>
    <n v="0"/>
    <n v="0"/>
    <n v="0"/>
    <n v="0"/>
    <n v="0"/>
    <n v="0"/>
    <n v="0"/>
    <m/>
    <n v="0"/>
    <n v="0"/>
    <n v="0"/>
    <m/>
    <n v="0"/>
    <m/>
    <n v="0"/>
    <m/>
    <n v="0"/>
    <m/>
    <m/>
    <n v="0"/>
    <n v="0"/>
    <n v="0"/>
    <n v="0"/>
    <m/>
    <n v="0"/>
    <n v="0"/>
    <n v="0"/>
    <n v="0"/>
    <n v="0"/>
    <x v="0"/>
    <m/>
    <x v="2"/>
    <x v="1"/>
    <s v="no root cause"/>
    <x v="1"/>
    <s v=""/>
  </r>
  <r>
    <s v="Mvoundou-Ngoke-MTN-IHS"/>
    <s v="CTR_183"/>
    <s v="CENTRE"/>
    <s v="IHS"/>
    <s v="Gen-Lithium"/>
    <s v="CENTRE"/>
    <s v="Mvoundou-Ngoke"/>
    <s v="ZTE"/>
    <n v="0"/>
    <n v="0"/>
    <n v="0"/>
    <n v="0"/>
    <n v="0"/>
    <n v="0"/>
    <n v="0"/>
    <n v="0"/>
    <n v="0"/>
    <n v="0"/>
    <n v="0"/>
    <n v="0"/>
    <n v="0"/>
    <n v="0"/>
    <n v="0"/>
    <n v="0"/>
    <n v="0"/>
    <n v="0"/>
    <n v="0"/>
    <n v="0"/>
    <m/>
    <n v="0"/>
    <n v="0"/>
    <n v="0"/>
    <m/>
    <n v="0"/>
    <m/>
    <n v="0"/>
    <m/>
    <n v="0"/>
    <m/>
    <m/>
    <n v="0"/>
    <n v="0"/>
    <n v="0"/>
    <n v="0"/>
    <m/>
    <n v="0"/>
    <n v="0"/>
    <n v="0"/>
    <n v="0"/>
    <n v="0"/>
    <x v="0"/>
    <m/>
    <x v="2"/>
    <x v="1"/>
    <s v="no root cause"/>
    <x v="1"/>
    <s v=""/>
  </r>
  <r>
    <s v="Ebombe"/>
    <s v="CTR_003"/>
    <s v="LITTORAL"/>
    <s v="IHS"/>
    <s v="Solar-Gen-Lithium"/>
    <s v="CENTRE"/>
    <s v="Ebombe"/>
    <s v="ZTE"/>
    <n v="0"/>
    <n v="0"/>
    <n v="0"/>
    <n v="0"/>
    <n v="0"/>
    <n v="0"/>
    <n v="0"/>
    <n v="0"/>
    <n v="0"/>
    <n v="0"/>
    <n v="0"/>
    <n v="0"/>
    <n v="0"/>
    <n v="0"/>
    <n v="0"/>
    <n v="0"/>
    <n v="0"/>
    <n v="0"/>
    <n v="0"/>
    <n v="0"/>
    <m/>
    <n v="0"/>
    <n v="0"/>
    <n v="0"/>
    <m/>
    <n v="0"/>
    <m/>
    <n v="0"/>
    <m/>
    <n v="0"/>
    <m/>
    <m/>
    <n v="0"/>
    <n v="0"/>
    <n v="0"/>
    <n v="0"/>
    <m/>
    <n v="0"/>
    <n v="0"/>
    <n v="0"/>
    <n v="0"/>
    <n v="0"/>
    <x v="0"/>
    <m/>
    <x v="2"/>
    <x v="1"/>
    <s v="no root cause"/>
    <x v="1"/>
    <s v=""/>
  </r>
  <r>
    <s v="Lobo"/>
    <s v="CTR_227"/>
    <s v="CENTRE"/>
    <s v="ESCO"/>
    <s v="Bad Grid + Solar + GE"/>
    <s v="CENTRE"/>
    <s v="Lobo"/>
    <s v="ZTE"/>
    <n v="0"/>
    <n v="0"/>
    <n v="0"/>
    <n v="0"/>
    <n v="0"/>
    <n v="0"/>
    <n v="0"/>
    <n v="0"/>
    <n v="0"/>
    <n v="0"/>
    <n v="0"/>
    <n v="0"/>
    <n v="0"/>
    <n v="0"/>
    <n v="0"/>
    <n v="0"/>
    <n v="0"/>
    <n v="0"/>
    <n v="0"/>
    <n v="0"/>
    <m/>
    <n v="0"/>
    <n v="0"/>
    <n v="0"/>
    <m/>
    <n v="0"/>
    <m/>
    <n v="0"/>
    <m/>
    <n v="0"/>
    <m/>
    <m/>
    <n v="0"/>
    <n v="0"/>
    <n v="0"/>
    <n v="0"/>
    <m/>
    <n v="0"/>
    <n v="0"/>
    <n v="0"/>
    <n v="0"/>
    <n v="0"/>
    <x v="0"/>
    <m/>
    <x v="2"/>
    <x v="1"/>
    <s v="no root cause"/>
    <x v="1"/>
    <s v=""/>
  </r>
  <r>
    <s v="Campo"/>
    <s v="LIT_132"/>
    <s v="LITTORAL"/>
    <s v="IHS"/>
    <s v="Grid-Gen"/>
    <s v="LITTORAL"/>
    <s v="Campo"/>
    <s v="ZTE"/>
    <n v="0"/>
    <n v="0"/>
    <n v="0"/>
    <n v="0"/>
    <n v="0"/>
    <n v="0"/>
    <n v="0"/>
    <n v="0"/>
    <n v="0"/>
    <n v="0"/>
    <n v="0"/>
    <n v="0"/>
    <n v="0"/>
    <n v="0"/>
    <n v="0"/>
    <n v="0"/>
    <n v="0"/>
    <n v="0"/>
    <n v="0"/>
    <n v="0"/>
    <m/>
    <n v="0"/>
    <n v="0"/>
    <n v="0"/>
    <m/>
    <n v="0"/>
    <m/>
    <n v="0"/>
    <m/>
    <n v="0"/>
    <m/>
    <m/>
    <n v="0"/>
    <n v="0"/>
    <n v="0"/>
    <n v="0"/>
    <m/>
    <n v="0"/>
    <n v="0"/>
    <n v="0"/>
    <n v="0"/>
    <n v="0"/>
    <x v="0"/>
    <m/>
    <x v="2"/>
    <x v="1"/>
    <s v="no root cause"/>
    <x v="1"/>
    <s v=""/>
  </r>
  <r>
    <s v="Nkenglikok"/>
    <s v="CTR_060"/>
    <s v="CENTRE"/>
    <s v="IHS"/>
    <s v="Solar-Grid-Gen"/>
    <s v="CENTRE"/>
    <s v="Nkeng-likok"/>
    <s v="ZTE"/>
    <n v="0"/>
    <n v="0"/>
    <n v="0"/>
    <n v="0"/>
    <n v="0"/>
    <n v="0"/>
    <n v="0"/>
    <n v="0"/>
    <n v="0"/>
    <n v="0"/>
    <n v="0"/>
    <n v="23.11426149934509"/>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Monatele"/>
    <s v="CTR_073"/>
    <s v="CENTRE"/>
    <s v="IHS"/>
    <s v="Grid-Gen"/>
    <s v="CENTRE"/>
    <s v="Monatele"/>
    <s v="ZTE"/>
    <n v="0"/>
    <n v="0"/>
    <n v="0"/>
    <n v="0"/>
    <n v="0"/>
    <n v="0"/>
    <n v="0"/>
    <n v="0"/>
    <n v="0"/>
    <n v="0"/>
    <n v="0"/>
    <n v="0"/>
    <n v="0"/>
    <n v="0"/>
    <n v="0"/>
    <n v="0"/>
    <n v="0"/>
    <n v="0"/>
    <n v="0"/>
    <n v="0"/>
    <m/>
    <n v="0"/>
    <n v="0"/>
    <n v="0"/>
    <m/>
    <n v="0"/>
    <m/>
    <n v="0"/>
    <m/>
    <n v="0"/>
    <m/>
    <m/>
    <n v="0"/>
    <n v="0"/>
    <n v="0"/>
    <n v="0"/>
    <m/>
    <n v="0"/>
    <n v="0"/>
    <n v="0"/>
    <n v="0"/>
    <n v="0"/>
    <x v="0"/>
    <m/>
    <x v="2"/>
    <x v="1"/>
    <s v="no root cause"/>
    <x v="1"/>
    <s v=""/>
  </r>
  <r>
    <s v="Mbambou-IHS"/>
    <s v="LIT_143"/>
    <s v="LITTORAL"/>
    <s v="IHS"/>
    <s v="Gen-Lithium"/>
    <s v="LITTORAL"/>
    <s v="Mbambou"/>
    <s v="ZTE"/>
    <n v="0"/>
    <n v="0"/>
    <n v="0"/>
    <n v="0"/>
    <n v="0"/>
    <n v="0"/>
    <n v="0"/>
    <n v="0"/>
    <n v="0"/>
    <n v="0"/>
    <n v="0"/>
    <n v="0"/>
    <n v="0"/>
    <n v="0"/>
    <n v="0"/>
    <n v="0"/>
    <n v="0"/>
    <n v="0"/>
    <n v="0"/>
    <n v="0"/>
    <m/>
    <n v="0"/>
    <n v="0"/>
    <n v="0"/>
    <m/>
    <n v="0"/>
    <m/>
    <n v="0"/>
    <m/>
    <n v="0"/>
    <m/>
    <m/>
    <n v="0"/>
    <n v="0"/>
    <n v="0"/>
    <n v="0"/>
    <m/>
    <n v="0"/>
    <n v="0"/>
    <n v="0"/>
    <n v="0"/>
    <n v="0"/>
    <x v="0"/>
    <m/>
    <x v="2"/>
    <x v="1"/>
    <s v="no root cause"/>
    <x v="1"/>
    <s v=""/>
  </r>
  <r>
    <s v="Mengong"/>
    <s v="SUD_017"/>
    <s v="CENTRE"/>
    <s v="IHS"/>
    <s v="GenOnly"/>
    <s v="SUD"/>
    <s v="Abiete"/>
    <s v="ZTE"/>
    <n v="0"/>
    <n v="0"/>
    <n v="0"/>
    <n v="0"/>
    <n v="0"/>
    <n v="0"/>
    <n v="0"/>
    <n v="0"/>
    <n v="0"/>
    <n v="0"/>
    <n v="0"/>
    <n v="0"/>
    <n v="0"/>
    <n v="0"/>
    <n v="0"/>
    <n v="0"/>
    <n v="0"/>
    <n v="0"/>
    <n v="0"/>
    <n v="0"/>
    <m/>
    <n v="0"/>
    <n v="0"/>
    <n v="0"/>
    <m/>
    <n v="0"/>
    <m/>
    <n v="0"/>
    <m/>
    <n v="0"/>
    <m/>
    <m/>
    <n v="0"/>
    <n v="0"/>
    <n v="0"/>
    <n v="0"/>
    <m/>
    <n v="0"/>
    <n v="0"/>
    <n v="0"/>
    <n v="0"/>
    <n v="0"/>
    <x v="0"/>
    <m/>
    <x v="2"/>
    <x v="1"/>
    <s v="no root cause"/>
    <x v="1"/>
    <s v=""/>
  </r>
  <r>
    <s v="Minisite-Tsinga"/>
    <s v="CTR_690"/>
    <s v="Yaounde"/>
    <s v="CAMUSAT"/>
    <s v="Good Grid no GE - 8h"/>
    <s v="CENTRE"/>
    <s v="Yaounde"/>
    <s v="ZTE"/>
    <n v="0"/>
    <n v="0"/>
    <n v="0"/>
    <n v="0"/>
    <n v="0"/>
    <n v="0"/>
    <n v="0"/>
    <n v="0"/>
    <n v="0"/>
    <n v="0"/>
    <n v="0"/>
    <n v="0"/>
    <n v="0"/>
    <n v="0"/>
    <n v="0"/>
    <n v="0"/>
    <n v="0"/>
    <n v="0"/>
    <n v="0"/>
    <n v="0"/>
    <m/>
    <n v="0"/>
    <n v="0"/>
    <n v="0"/>
    <m/>
    <n v="0"/>
    <m/>
    <n v="0"/>
    <m/>
    <n v="0"/>
    <m/>
    <m/>
    <n v="0"/>
    <n v="0"/>
    <n v="0"/>
    <n v="0"/>
    <m/>
    <n v="0"/>
    <n v="0"/>
    <n v="0"/>
    <n v="0"/>
    <n v="0"/>
    <x v="0"/>
    <m/>
    <x v="2"/>
    <x v="1"/>
    <s v="no root cause"/>
    <x v="1"/>
    <s v=""/>
  </r>
  <r>
    <s v="Olamze-IHS"/>
    <s v="SUD_038"/>
    <s v="CENTRE"/>
    <s v="IHS"/>
    <s v="Grid-Gen"/>
    <s v="SUD"/>
    <s v="Olamze"/>
    <s v="ZTE"/>
    <n v="0"/>
    <n v="0"/>
    <n v="0"/>
    <n v="0"/>
    <n v="0"/>
    <n v="0"/>
    <n v="0"/>
    <n v="0"/>
    <n v="0"/>
    <n v="0"/>
    <n v="0"/>
    <n v="0"/>
    <n v="0"/>
    <n v="0"/>
    <n v="0"/>
    <n v="0"/>
    <n v="0"/>
    <n v="0"/>
    <n v="0"/>
    <n v="0"/>
    <m/>
    <n v="0"/>
    <n v="0"/>
    <n v="0"/>
    <m/>
    <n v="0"/>
    <m/>
    <n v="0"/>
    <m/>
    <n v="0"/>
    <m/>
    <m/>
    <n v="0"/>
    <n v="0"/>
    <n v="0"/>
    <n v="0"/>
    <m/>
    <n v="0"/>
    <n v="0"/>
    <n v="0"/>
    <n v="0"/>
    <n v="0"/>
    <x v="0"/>
    <m/>
    <x v="2"/>
    <x v="1"/>
    <s v="no root cause"/>
    <x v="1"/>
    <s v=""/>
  </r>
  <r>
    <s v="Mfou-Entree"/>
    <s v="CTR_653"/>
    <s v="CENTRE"/>
    <s v="CAMUSAT"/>
    <s v="Hybrid Solar - S1"/>
    <s v="CENTRE"/>
    <s v="Mfou"/>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Boutourou"/>
    <s v="CTR_092"/>
    <s v="CENTRE"/>
    <s v="IHS"/>
    <s v="Grid-Gen-Lithium"/>
    <s v="CENTRE"/>
    <s v="Boutourou"/>
    <s v="ZTE"/>
    <n v="0"/>
    <n v="0"/>
    <n v="0"/>
    <n v="0"/>
    <n v="0"/>
    <n v="0"/>
    <n v="0"/>
    <n v="0"/>
    <n v="0"/>
    <n v="0"/>
    <n v="0"/>
    <n v="0"/>
    <n v="0"/>
    <n v="0"/>
    <n v="0"/>
    <n v="0"/>
    <n v="0"/>
    <n v="0"/>
    <n v="0"/>
    <n v="0"/>
    <m/>
    <n v="0"/>
    <n v="0"/>
    <n v="0"/>
    <m/>
    <n v="0"/>
    <m/>
    <n v="0"/>
    <m/>
    <n v="0"/>
    <m/>
    <m/>
    <n v="0"/>
    <n v="0"/>
    <n v="0"/>
    <n v="0"/>
    <m/>
    <n v="0"/>
    <n v="0"/>
    <n v="0"/>
    <n v="0"/>
    <n v="0"/>
    <x v="0"/>
    <m/>
    <x v="2"/>
    <x v="1"/>
    <s v="no root cause"/>
    <x v="1"/>
    <s v=""/>
  </r>
  <r>
    <s v="Nkak"/>
    <s v="LIT_231"/>
    <s v="LITTORAL"/>
    <s v="IHS"/>
    <s v="Solar-Gen-Lithium"/>
    <s v="LITTORAL"/>
    <s v="Mapubbi"/>
    <s v="ZTE"/>
    <n v="0"/>
    <n v="0"/>
    <n v="0"/>
    <n v="0"/>
    <n v="0"/>
    <n v="0"/>
    <n v="0"/>
    <n v="0"/>
    <n v="0"/>
    <n v="0"/>
    <n v="0"/>
    <n v="0"/>
    <n v="0"/>
    <n v="0"/>
    <n v="0"/>
    <n v="0"/>
    <n v="0"/>
    <n v="0"/>
    <n v="0"/>
    <n v="0"/>
    <m/>
    <n v="0"/>
    <n v="0"/>
    <n v="0"/>
    <m/>
    <n v="0"/>
    <m/>
    <n v="0"/>
    <m/>
    <n v="0"/>
    <m/>
    <m/>
    <n v="0"/>
    <n v="0"/>
    <n v="0"/>
    <n v="0"/>
    <m/>
    <n v="0"/>
    <n v="0"/>
    <n v="0"/>
    <n v="0"/>
    <n v="0"/>
    <x v="0"/>
    <m/>
    <x v="2"/>
    <x v="1"/>
    <s v="no root cause"/>
    <x v="1"/>
    <s v=""/>
  </r>
  <r>
    <s v="Ambassade-Gabon"/>
    <s v="CTR_745"/>
    <s v="Yaounde"/>
    <s v="CAMUSAT"/>
    <s v="Good Grid no GE - 8h"/>
    <s v="CENTRE"/>
    <s v="Yaounde"/>
    <s v="ZTE"/>
    <n v="0"/>
    <n v="0"/>
    <n v="0"/>
    <n v="0"/>
    <n v="0"/>
    <n v="0"/>
    <n v="0"/>
    <n v="0"/>
    <n v="0"/>
    <n v="0"/>
    <n v="0"/>
    <n v="0"/>
    <n v="0"/>
    <n v="0"/>
    <n v="0"/>
    <n v="0"/>
    <n v="0"/>
    <n v="0"/>
    <n v="0"/>
    <n v="0"/>
    <m/>
    <n v="0"/>
    <n v="0"/>
    <n v="0"/>
    <m/>
    <n v="0"/>
    <m/>
    <n v="0"/>
    <m/>
    <n v="0"/>
    <m/>
    <m/>
    <n v="0"/>
    <n v="0"/>
    <n v="0"/>
    <n v="0"/>
    <m/>
    <n v="0"/>
    <n v="0"/>
    <n v="0"/>
    <n v="0"/>
    <n v="0"/>
    <x v="0"/>
    <m/>
    <x v="2"/>
    <x v="1"/>
    <s v="no root cause"/>
    <x v="1"/>
    <s v=""/>
  </r>
  <r>
    <s v="Dibamba-Camrail"/>
    <s v="LIT_385"/>
    <s v="Douala"/>
    <s v="CAMUSAT"/>
    <s v="Hybrid Solar - S3"/>
    <s v="LITTORAL"/>
    <s v="Douala"/>
    <s v="ZTE"/>
    <n v="0"/>
    <n v="0"/>
    <n v="0"/>
    <n v="0"/>
    <n v="0"/>
    <n v="0"/>
    <n v="0"/>
    <n v="0"/>
    <n v="0"/>
    <n v="0"/>
    <n v="0"/>
    <n v="0"/>
    <n v="0"/>
    <n v="0"/>
    <n v="0"/>
    <n v="0"/>
    <n v="0"/>
    <n v="0"/>
    <n v="0"/>
    <n v="0"/>
    <m/>
    <n v="0"/>
    <n v="0"/>
    <n v="0"/>
    <m/>
    <n v="0"/>
    <m/>
    <n v="0"/>
    <m/>
    <n v="0"/>
    <m/>
    <m/>
    <n v="0"/>
    <n v="0"/>
    <n v="0"/>
    <n v="0"/>
    <m/>
    <n v="0"/>
    <n v="0"/>
    <n v="0"/>
    <n v="0"/>
    <n v="0"/>
    <x v="0"/>
    <m/>
    <x v="2"/>
    <x v="1"/>
    <s v="no root cause"/>
    <x v="1"/>
    <s v=""/>
  </r>
  <r>
    <s v="Campo-Beach-IHS"/>
    <s v="LIT_494"/>
    <s v="LITTORAL"/>
    <s v="IHS"/>
    <s v="Grid-Gen"/>
    <s v="LITTORAL"/>
    <s v="Campo"/>
    <s v="ZTE"/>
    <n v="0"/>
    <n v="0"/>
    <n v="0"/>
    <n v="0"/>
    <n v="0"/>
    <n v="0"/>
    <n v="0"/>
    <n v="0"/>
    <n v="0"/>
    <n v="0"/>
    <n v="0"/>
    <n v="0"/>
    <n v="0"/>
    <n v="0"/>
    <n v="0"/>
    <n v="0"/>
    <n v="0"/>
    <n v="0"/>
    <n v="0"/>
    <n v="0"/>
    <m/>
    <n v="0"/>
    <n v="0"/>
    <n v="0"/>
    <m/>
    <n v="0"/>
    <m/>
    <n v="0"/>
    <m/>
    <n v="0"/>
    <m/>
    <m/>
    <n v="0"/>
    <n v="0"/>
    <n v="0"/>
    <n v="0"/>
    <m/>
    <n v="0"/>
    <n v="0"/>
    <n v="0"/>
    <n v="0"/>
    <n v="0"/>
    <x v="0"/>
    <m/>
    <x v="2"/>
    <x v="1"/>
    <s v="no root cause"/>
    <x v="1"/>
    <s v=""/>
  </r>
  <r>
    <s v="Abong-Mbang"/>
    <s v="EST_009"/>
    <s v="CENTRE"/>
    <s v="CAMUSAT"/>
    <s v="Bad Grid + Solar + GE"/>
    <s v="EST"/>
    <s v="Abong-Mbang"/>
    <s v="NOKIA"/>
    <n v="0"/>
    <n v="0"/>
    <n v="0"/>
    <n v="0"/>
    <n v="0"/>
    <n v="0"/>
    <n v="0"/>
    <n v="0"/>
    <n v="0"/>
    <n v="0"/>
    <n v="0"/>
    <n v="0"/>
    <n v="0"/>
    <n v="0"/>
    <n v="0"/>
    <n v="0"/>
    <n v="0"/>
    <n v="0"/>
    <n v="0"/>
    <n v="0"/>
    <m/>
    <n v="0"/>
    <n v="0"/>
    <n v="0"/>
    <m/>
    <n v="0"/>
    <m/>
    <n v="0"/>
    <m/>
    <n v="0"/>
    <m/>
    <m/>
    <n v="0"/>
    <n v="0"/>
    <n v="0"/>
    <n v="0"/>
    <m/>
    <n v="0"/>
    <n v="0"/>
    <n v="0"/>
    <n v="0"/>
    <n v="0"/>
    <x v="0"/>
    <m/>
    <x v="2"/>
    <x v="1"/>
    <s v="no root cause"/>
    <x v="1"/>
    <s v=""/>
  </r>
  <r>
    <s v="Fifinda-MTN"/>
    <s v="SUD_215"/>
    <s v="LITTORAL"/>
    <s v="IHS"/>
    <s v="Grid-Gen"/>
    <s v="SUD"/>
    <s v="Fifinda"/>
    <s v="ZTE"/>
    <n v="0"/>
    <n v="0"/>
    <n v="0"/>
    <n v="0"/>
    <n v="0"/>
    <n v="0"/>
    <n v="0"/>
    <n v="0"/>
    <n v="0"/>
    <n v="0"/>
    <n v="0"/>
    <n v="0"/>
    <n v="0"/>
    <n v="0"/>
    <n v="0"/>
    <n v="0"/>
    <n v="0"/>
    <n v="0"/>
    <n v="0"/>
    <n v="0"/>
    <m/>
    <n v="0"/>
    <n v="0"/>
    <n v="0"/>
    <m/>
    <n v="0"/>
    <m/>
    <n v="0"/>
    <m/>
    <n v="0"/>
    <m/>
    <m/>
    <n v="0"/>
    <n v="0"/>
    <n v="0"/>
    <n v="0"/>
    <m/>
    <n v="0"/>
    <n v="0"/>
    <n v="0"/>
    <n v="0"/>
    <n v="0"/>
    <x v="0"/>
    <m/>
    <x v="8"/>
    <x v="4"/>
    <s v="SPARE-ISSUE"/>
    <x v="3"/>
    <s v="{05-25-2026 ocm ran 22H}: 21/05/2026  radio à demanteler pour le 12/05 sur les liaisons ci dessous_x000a_Nyom-II-IHS_Nkometou // Ndogbong_PK10-Sœurs-Dominicaines // Nkog-Edzen_Monatele_x000a_19/05/2026  ODU MPT HQAM, 7/8GHz 3DB20773BA radio à demanteler pour le 12/05 sur les liaisons ci dessous_x000a_Nyom-II-IHS_Nkometou // Ndogbong_PK10-Sœurs-Dominicaines // Nkog-Edzen_Monatele_x000a__x000a_23/05/2026  ODU MPT HQAM, 7/8GHz 3DB20773BA radio à demanteler pour le 12/05 sur les liaisons ci dessous_x000a_Nyom-II-IHS_Nkometou // Ndogbong_PK10-Sœurs-Dominicaines // Nkog-Edzen_Monatele_x000a_15/05/2026 6 radio à demanteler pour le 12/05 sur les liaisons ci dessous_x000a_Nyom-II-IHS_Nkometou // Ndogbong_PK10-Sœurs-Dominicaines // Nkog-Edzen_Monatele_x000a_12/05/2026 6 radio à demanteler pour le 12/05 sur les liaisons ci dessous_x000a_Nyom-II-IHS_Nkometou_x000a_Ndogbong_PK10-Sœurs-Dominicaines_x000a_Nkog-Edzen_Monatele_x000a_14/05/2026 6 radio à demanteler pour le 12/05 sur les liaisons ci dessous_x000a_Nyom-II-IHS_Nkometou_x000a_Ndogbong_PK10-Sœurs-Dominicaines_x000a_Nkog-Edzen_Monatele_x000a_12/05/2026 6 radio à demanteler pour le 12/05 sur les liaisons ci dessous_x000a_Nyom-II-IHS_Nkometou_x000a_Ndogbong_PK10-Sœurs-Dominicaines_x000a_Nkog-Edzen_Monatele_x000a_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05-25-2026 ocm ran 17H}: 21/05/2026  radio à demanteler pour le 12/05 sur les liaisons ci dessous_x000a_Nyom-II-IHS_Nkometou // Ndogbong_PK10-Sœurs-Dominicaines // Nkog-Edzen_Monatele_x000a_19/05/2026  ODU MPT HQAM, 7/8GHz 3DB20773BA radio à demanteler pour le 12/05 sur les liaisons ci dessous_x000a_Nyom-II-IHS_Nkometou // Ndogbong_PK10-Sœurs-Dominicaines // Nkog-Edzen_Monatele_x000a__x000a_23/05/2026  ODU MPT HQAM, 7/8GHz 3DB20773BA radio à demanteler pour le 12/05 sur les liaisons ci dessous_x000a_Nyom-II-IHS_Nkometou // Ndogbong_PK10-Sœurs-Dominicaines // Nkog-Edzen_Monatele_x000a_15/05/2026 6 radio à demanteler pour le 12/05 sur les liaisons ci dessous_x000a_Nyom-II-IHS_Nkometou // Ndogbong_PK10-Sœurs-Dominicaines // Nkog-Edzen_Monatele_x000a_12/05/2026 6 radio à demanteler pour le 12/05 sur les liaisons ci dessous_x000a_Nyom-II-IHS_Nkometou_x000a_Ndogbong_PK10-Sœurs-Dominicaines_x000a_Nkog-Edzen_Monatele_x000a_14/05/2026 6 radio à demanteler pour le 12/05 sur les liaisons ci dessous_x000a_Nyom-II-IHS_Nkometou_x000a_Ndogbong_PK10-Sœurs-Dominicaines_x000a_Nkog-Edzen_Monatele_x000a_12/05/2026 6 radio à demanteler pour le 12/05 sur les liaisons ci dessous_x000a_Nyom-II-IHS_Nkometou_x000a_Ndogbong_PK10-Sœurs-Dominicaines_x000a_Nkog-Edzen_Monatele_x000a_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r>
  <r>
    <s v="Dehane-PHP"/>
    <s v="LIT_591"/>
    <s v="LITTORAL"/>
    <s v="CAMUSAT"/>
    <s v="Good Grid + GE"/>
    <s v="LITTORAL"/>
    <s v="Dehane"/>
    <s v="ZTE"/>
    <n v="0"/>
    <n v="0"/>
    <n v="0"/>
    <n v="0"/>
    <n v="0"/>
    <n v="0"/>
    <n v="0"/>
    <n v="0"/>
    <n v="0"/>
    <n v="0"/>
    <n v="0"/>
    <n v="0"/>
    <n v="0"/>
    <n v="0"/>
    <n v="0"/>
    <n v="0"/>
    <n v="0"/>
    <n v="0"/>
    <n v="0"/>
    <n v="0"/>
    <m/>
    <n v="0"/>
    <n v="0"/>
    <n v="0"/>
    <m/>
    <n v="0"/>
    <m/>
    <n v="0"/>
    <m/>
    <n v="0"/>
    <m/>
    <m/>
    <n v="0"/>
    <n v="0"/>
    <n v="0"/>
    <n v="0"/>
    <m/>
    <n v="0"/>
    <n v="0"/>
    <n v="0"/>
    <n v="0"/>
    <n v="0"/>
    <x v="0"/>
    <m/>
    <x v="2"/>
    <x v="1"/>
    <s v="no root cause"/>
    <x v="1"/>
    <s v=""/>
  </r>
  <r>
    <s v="Ndoussan"/>
    <s v="CTR_054"/>
    <s v="CENTRE"/>
    <s v="IHS"/>
    <s v="Gen-Lithium"/>
    <s v="CENTRE"/>
    <s v="Ndoussan"/>
    <s v="ZTE"/>
    <n v="0"/>
    <n v="0"/>
    <n v="0"/>
    <n v="0"/>
    <n v="0"/>
    <n v="0"/>
    <n v="0"/>
    <n v="0"/>
    <n v="0"/>
    <n v="0"/>
    <n v="0"/>
    <n v="0"/>
    <n v="0"/>
    <n v="0"/>
    <n v="0"/>
    <n v="0"/>
    <n v="0"/>
    <n v="0"/>
    <n v="0"/>
    <n v="0"/>
    <m/>
    <n v="0"/>
    <n v="0"/>
    <n v="0"/>
    <m/>
    <n v="0"/>
    <m/>
    <n v="0"/>
    <m/>
    <n v="0"/>
    <m/>
    <m/>
    <n v="0"/>
    <n v="0"/>
    <n v="0"/>
    <n v="0"/>
    <m/>
    <n v="0"/>
    <n v="0"/>
    <n v="0"/>
    <n v="0"/>
    <n v="0"/>
    <x v="0"/>
    <m/>
    <x v="2"/>
    <x v="1"/>
    <s v="no root cause"/>
    <x v="1"/>
    <s v=""/>
  </r>
  <r>
    <s v="Nkog-Edzen"/>
    <s v="CTR_041"/>
    <s v="CENTRE"/>
    <m/>
    <m/>
    <s v="CENTRE"/>
    <s v="Nkog-Edzen"/>
    <s v="ZTE"/>
    <n v="0"/>
    <n v="0"/>
    <n v="0"/>
    <n v="0"/>
    <n v="0"/>
    <n v="0"/>
    <n v="0"/>
    <n v="0"/>
    <n v="0"/>
    <n v="0"/>
    <n v="0"/>
    <n v="0"/>
    <n v="0"/>
    <n v="0"/>
    <n v="0"/>
    <n v="0"/>
    <n v="0"/>
    <n v="0"/>
    <n v="0"/>
    <n v="0"/>
    <m/>
    <n v="0"/>
    <n v="0"/>
    <n v="0"/>
    <m/>
    <n v="0"/>
    <m/>
    <n v="0"/>
    <m/>
    <n v="0"/>
    <m/>
    <m/>
    <n v="0"/>
    <n v="0"/>
    <n v="0"/>
    <n v="0"/>
    <m/>
    <n v="0"/>
    <n v="0"/>
    <n v="0"/>
    <n v="0"/>
    <n v="0"/>
    <x v="0"/>
    <m/>
    <x v="2"/>
    <x v="1"/>
    <s v="no root cause"/>
    <x v="1"/>
    <s v=""/>
  </r>
  <r>
    <s v="Nakong"/>
    <s v="NRD_157"/>
    <s v="NORD"/>
    <s v="CAMUSAT"/>
    <s v="Bad Grid + Solar + GE"/>
    <s v="NORD"/>
    <s v="Nakong"/>
    <s v="Huawei"/>
    <n v="0"/>
    <n v="0"/>
    <n v="0"/>
    <n v="0"/>
    <n v="0"/>
    <n v="0"/>
    <n v="0"/>
    <n v="0"/>
    <n v="0"/>
    <n v="0"/>
    <n v="0"/>
    <n v="0"/>
    <n v="0"/>
    <n v="0"/>
    <n v="0"/>
    <n v="0"/>
    <n v="0"/>
    <n v="0"/>
    <n v="0"/>
    <n v="0"/>
    <m/>
    <n v="0"/>
    <n v="0"/>
    <n v="0"/>
    <m/>
    <n v="0"/>
    <m/>
    <n v="0"/>
    <m/>
    <n v="0"/>
    <m/>
    <m/>
    <n v="0"/>
    <n v="0"/>
    <n v="0"/>
    <n v="0"/>
    <m/>
    <n v="0"/>
    <n v="0"/>
    <n v="0"/>
    <n v="0"/>
    <n v="0"/>
    <x v="0"/>
    <m/>
    <x v="2"/>
    <x v="1"/>
    <s v="no root cause"/>
    <x v="1"/>
    <s v=""/>
  </r>
  <r>
    <s v="Balessing"/>
    <s v="OST_008"/>
    <s v="OUEST"/>
    <s v="OCM/Strategique"/>
    <s v="OCM/Stratégique"/>
    <s v="OUEST"/>
    <s v="Balessing"/>
    <s v="Huawei"/>
    <n v="0"/>
    <n v="0"/>
    <n v="0"/>
    <n v="0"/>
    <n v="0"/>
    <n v="0"/>
    <n v="0"/>
    <n v="0"/>
    <n v="0"/>
    <n v="0"/>
    <n v="0"/>
    <n v="0"/>
    <n v="0"/>
    <n v="0"/>
    <n v="0"/>
    <n v="0"/>
    <n v="0"/>
    <n v="0"/>
    <n v="0"/>
    <n v="0"/>
    <m/>
    <n v="0"/>
    <n v="0"/>
    <n v="0"/>
    <m/>
    <n v="0"/>
    <m/>
    <n v="0"/>
    <m/>
    <n v="0"/>
    <m/>
    <m/>
    <n v="0"/>
    <n v="0"/>
    <n v="0"/>
    <n v="0"/>
    <m/>
    <n v="0"/>
    <n v="0"/>
    <n v="0"/>
    <n v="0"/>
    <n v="0"/>
    <x v="0"/>
    <m/>
    <x v="2"/>
    <x v="1"/>
    <s v="no root cause"/>
    <x v="1"/>
    <s v=""/>
  </r>
  <r>
    <s v="Mbouda-SIK-IHS"/>
    <s v="OST_144"/>
    <s v="OUEST"/>
    <s v="IHS"/>
    <s v="Grid-Gen"/>
    <s v="OUEST"/>
    <s v="Mbouda"/>
    <s v="Huawei"/>
    <n v="0"/>
    <n v="0"/>
    <n v="0"/>
    <n v="0"/>
    <n v="0"/>
    <n v="0"/>
    <n v="0"/>
    <n v="0"/>
    <n v="0"/>
    <n v="0"/>
    <n v="0"/>
    <n v="0"/>
    <n v="0"/>
    <n v="0"/>
    <n v="0"/>
    <n v="0"/>
    <n v="0"/>
    <n v="0"/>
    <n v="0"/>
    <n v="0"/>
    <m/>
    <n v="0"/>
    <n v="0"/>
    <n v="0"/>
    <m/>
    <n v="0"/>
    <m/>
    <n v="0"/>
    <m/>
    <n v="0"/>
    <m/>
    <m/>
    <n v="0"/>
    <n v="0"/>
    <n v="0"/>
    <n v="0"/>
    <m/>
    <n v="0"/>
    <n v="0"/>
    <n v="0"/>
    <n v="0"/>
    <n v="0"/>
    <x v="0"/>
    <m/>
    <x v="2"/>
    <x v="1"/>
    <s v="no root cause"/>
    <x v="1"/>
    <s v=""/>
  </r>
  <r>
    <s v="Yenon"/>
    <s v="OST_013"/>
    <s v="OUEST"/>
    <s v="IHS"/>
    <s v="Grid-Gen"/>
    <s v="OUEST"/>
    <s v="Yenon"/>
    <s v="Huawei"/>
    <n v="0"/>
    <n v="0"/>
    <n v="0"/>
    <n v="0"/>
    <n v="0"/>
    <n v="0"/>
    <n v="0"/>
    <n v="0"/>
    <n v="0"/>
    <n v="0"/>
    <n v="0"/>
    <n v="0"/>
    <n v="0"/>
    <n v="0"/>
    <n v="0"/>
    <n v="0"/>
    <n v="0"/>
    <n v="0"/>
    <n v="0"/>
    <n v="0"/>
    <m/>
    <n v="0"/>
    <n v="0"/>
    <n v="0"/>
    <m/>
    <n v="0"/>
    <m/>
    <n v="0"/>
    <m/>
    <n v="0"/>
    <m/>
    <m/>
    <n v="0"/>
    <n v="0"/>
    <n v="0"/>
    <n v="0"/>
    <m/>
    <n v="0"/>
    <n v="0"/>
    <n v="0"/>
    <n v="0"/>
    <n v="0"/>
    <x v="0"/>
    <m/>
    <x v="2"/>
    <x v="1"/>
    <s v="no root cause"/>
    <x v="1"/>
    <s v=""/>
  </r>
  <r>
    <s v="Baham"/>
    <s v="OST_035"/>
    <s v="OUEST"/>
    <s v="IHS"/>
    <s v="Grid-Gen"/>
    <s v="OUEST"/>
    <s v="Baham"/>
    <s v="Huawei"/>
    <n v="0"/>
    <n v="0"/>
    <n v="0"/>
    <n v="0"/>
    <n v="0"/>
    <n v="0"/>
    <n v="0"/>
    <n v="0"/>
    <n v="0"/>
    <n v="0"/>
    <n v="0"/>
    <n v="0"/>
    <n v="0"/>
    <n v="0"/>
    <n v="0"/>
    <n v="0"/>
    <n v="0"/>
    <n v="0"/>
    <n v="0"/>
    <n v="0"/>
    <m/>
    <n v="0"/>
    <n v="0"/>
    <n v="0"/>
    <m/>
    <n v="0"/>
    <m/>
    <n v="0"/>
    <m/>
    <n v="0"/>
    <m/>
    <m/>
    <n v="0"/>
    <n v="0"/>
    <n v="0"/>
    <n v="0"/>
    <m/>
    <n v="0"/>
    <n v="0"/>
    <n v="0"/>
    <n v="0"/>
    <n v="0"/>
    <x v="0"/>
    <m/>
    <x v="2"/>
    <x v="1"/>
    <s v="no root cause"/>
    <x v="1"/>
    <s v=""/>
  </r>
  <r>
    <s v="Batcham"/>
    <s v="OST_040"/>
    <s v="OUEST"/>
    <s v="IHS"/>
    <s v="Grid-Gen"/>
    <s v="OUEST"/>
    <s v="Batcham"/>
    <s v="Huawei"/>
    <n v="0"/>
    <n v="0"/>
    <n v="0"/>
    <n v="0"/>
    <n v="0"/>
    <n v="0"/>
    <n v="0"/>
    <n v="0"/>
    <n v="0"/>
    <n v="0"/>
    <n v="0"/>
    <n v="0"/>
    <n v="0"/>
    <n v="0"/>
    <n v="0"/>
    <n v="0"/>
    <n v="0"/>
    <n v="0"/>
    <n v="0"/>
    <n v="0"/>
    <m/>
    <n v="0"/>
    <n v="0"/>
    <n v="0"/>
    <m/>
    <n v="0"/>
    <m/>
    <n v="0"/>
    <m/>
    <n v="0"/>
    <m/>
    <m/>
    <n v="0"/>
    <n v="0"/>
    <n v="0"/>
    <n v="0"/>
    <m/>
    <n v="0"/>
    <n v="0"/>
    <n v="0"/>
    <n v="0"/>
    <n v="0"/>
    <x v="0"/>
    <m/>
    <x v="2"/>
    <x v="1"/>
    <s v="no root cause"/>
    <x v="1"/>
    <s v=""/>
  </r>
  <r>
    <s v="Batie"/>
    <s v="OST_034"/>
    <s v="OUEST"/>
    <s v="IHS"/>
    <s v="Grid-Gen"/>
    <s v="OUEST"/>
    <s v="Batie"/>
    <s v="Huawei"/>
    <n v="0"/>
    <n v="0"/>
    <n v="0"/>
    <n v="0"/>
    <n v="0"/>
    <n v="0"/>
    <n v="0"/>
    <n v="0"/>
    <n v="0"/>
    <n v="0"/>
    <n v="0"/>
    <n v="0"/>
    <n v="0"/>
    <n v="0"/>
    <n v="0"/>
    <n v="0"/>
    <n v="0"/>
    <n v="0"/>
    <n v="0"/>
    <n v="0"/>
    <m/>
    <n v="0"/>
    <n v="0"/>
    <n v="0"/>
    <m/>
    <n v="0"/>
    <m/>
    <n v="0"/>
    <m/>
    <n v="0"/>
    <m/>
    <m/>
    <n v="0"/>
    <n v="0"/>
    <n v="0"/>
    <n v="0"/>
    <m/>
    <n v="0"/>
    <n v="0"/>
    <n v="0"/>
    <n v="0"/>
    <n v="0"/>
    <x v="0"/>
    <m/>
    <x v="2"/>
    <x v="1"/>
    <s v="no root cause"/>
    <x v="1"/>
    <s v=""/>
  </r>
  <r>
    <s v="Bafounda-IHS"/>
    <s v="OST_150"/>
    <s v="NORD-OUEST"/>
    <s v="IHS"/>
    <s v="Grid-Gen"/>
    <s v="OUEST"/>
    <s v="Bafounda"/>
    <s v="Huawei"/>
    <n v="0"/>
    <n v="0"/>
    <n v="0"/>
    <n v="0"/>
    <n v="0"/>
    <n v="0"/>
    <n v="0"/>
    <n v="0"/>
    <n v="0"/>
    <n v="0"/>
    <n v="0"/>
    <n v="0"/>
    <n v="0"/>
    <n v="0"/>
    <n v="0"/>
    <n v="0"/>
    <n v="0"/>
    <n v="0"/>
    <n v="0"/>
    <n v="0"/>
    <m/>
    <n v="0"/>
    <n v="0"/>
    <n v="0"/>
    <m/>
    <n v="0"/>
    <m/>
    <n v="0"/>
    <m/>
    <n v="0"/>
    <m/>
    <m/>
    <n v="0"/>
    <n v="0"/>
    <n v="0"/>
    <n v="0"/>
    <m/>
    <n v="0"/>
    <n v="0"/>
    <n v="0"/>
    <n v="0"/>
    <n v="0"/>
    <x v="0"/>
    <m/>
    <x v="2"/>
    <x v="1"/>
    <s v="no root cause"/>
    <x v="1"/>
    <s v=""/>
  </r>
  <r>
    <s v="Bameka-IHS"/>
    <s v="OST_162"/>
    <s v="OUEST"/>
    <s v="IHS"/>
    <s v="Grid-Gen"/>
    <s v="OUEST"/>
    <s v="Bameka"/>
    <s v="Huawei"/>
    <n v="0"/>
    <n v="0"/>
    <n v="0"/>
    <n v="0"/>
    <n v="0"/>
    <n v="0"/>
    <n v="0"/>
    <n v="0"/>
    <n v="0"/>
    <n v="0"/>
    <n v="0"/>
    <n v="0"/>
    <n v="0"/>
    <n v="0"/>
    <n v="0"/>
    <n v="0"/>
    <n v="0"/>
    <n v="0"/>
    <n v="0"/>
    <n v="0"/>
    <m/>
    <n v="0"/>
    <n v="0"/>
    <n v="0"/>
    <m/>
    <n v="0"/>
    <m/>
    <n v="0"/>
    <m/>
    <n v="0"/>
    <m/>
    <m/>
    <n v="0"/>
    <n v="0"/>
    <n v="0"/>
    <n v="0"/>
    <m/>
    <n v="0"/>
    <n v="0"/>
    <n v="0"/>
    <n v="0"/>
    <n v="0"/>
    <x v="0"/>
    <m/>
    <x v="2"/>
    <x v="1"/>
    <s v="no root cause"/>
    <x v="1"/>
    <s v=""/>
  </r>
  <r>
    <s v="Bamendjou-II"/>
    <s v="OST_298"/>
    <s v="OUEST"/>
    <s v="CAMUSAT"/>
    <s v="Hybrid Solar - S3"/>
    <s v="OUEST"/>
    <s v="Bamendjou"/>
    <s v="Huawei"/>
    <n v="0"/>
    <n v="0"/>
    <n v="0"/>
    <n v="0"/>
    <n v="0"/>
    <n v="0"/>
    <n v="0"/>
    <n v="0"/>
    <n v="0"/>
    <n v="0"/>
    <n v="0"/>
    <n v="0"/>
    <n v="0"/>
    <n v="0"/>
    <n v="0"/>
    <n v="0"/>
    <n v="0"/>
    <n v="0"/>
    <n v="0"/>
    <n v="0"/>
    <m/>
    <n v="0"/>
    <n v="0"/>
    <n v="0"/>
    <m/>
    <n v="0"/>
    <m/>
    <n v="0"/>
    <m/>
    <n v="0"/>
    <m/>
    <m/>
    <n v="0"/>
    <n v="0"/>
    <n v="0"/>
    <n v="0"/>
    <m/>
    <n v="0"/>
    <n v="0"/>
    <n v="0"/>
    <n v="0"/>
    <n v="0"/>
    <x v="0"/>
    <m/>
    <x v="2"/>
    <x v="1"/>
    <s v="no root cause"/>
    <x v="1"/>
    <s v=""/>
  </r>
  <r>
    <s v="Bakassi"/>
    <s v="SUO_018"/>
    <s v="SUD-OUEST"/>
    <s v="IHS"/>
    <s v="Solar-Gen"/>
    <s v="SUD-OUEST"/>
    <s v="Bakassi"/>
    <s v="Huawei"/>
    <n v="0"/>
    <n v="0"/>
    <n v="0"/>
    <n v="0"/>
    <n v="0"/>
    <n v="0"/>
    <n v="0"/>
    <n v="0"/>
    <n v="0"/>
    <n v="0"/>
    <n v="0"/>
    <n v="0"/>
    <n v="0"/>
    <n v="0"/>
    <n v="0"/>
    <n v="0"/>
    <n v="0"/>
    <n v="0"/>
    <n v="0"/>
    <n v="0"/>
    <m/>
    <n v="0"/>
    <n v="0"/>
    <n v="0"/>
    <m/>
    <n v="0"/>
    <m/>
    <n v="0"/>
    <m/>
    <n v="0"/>
    <m/>
    <m/>
    <n v="0"/>
    <n v="0"/>
    <n v="0"/>
    <n v="0"/>
    <m/>
    <n v="0"/>
    <n v="0"/>
    <n v="0"/>
    <n v="0"/>
    <n v="0"/>
    <x v="0"/>
    <m/>
    <x v="2"/>
    <x v="1"/>
    <s v="no root cause"/>
    <x v="1"/>
    <s v=""/>
  </r>
  <r>
    <s v="Botatango-MTN"/>
    <s v="CTR_223"/>
    <s v="CENTRE"/>
    <s v="IHS"/>
    <s v="Solar-Gen"/>
    <s v="CENTRE"/>
    <s v="Botatango"/>
    <s v="ZTE"/>
    <n v="0"/>
    <n v="0"/>
    <n v="0"/>
    <n v="0"/>
    <n v="0"/>
    <n v="0"/>
    <n v="0"/>
    <n v="0"/>
    <n v="0"/>
    <n v="0"/>
    <n v="0"/>
    <n v="0"/>
    <n v="0"/>
    <n v="0"/>
    <n v="0"/>
    <n v="0"/>
    <n v="0"/>
    <n v="0"/>
    <n v="0"/>
    <n v="0"/>
    <m/>
    <n v="0"/>
    <n v="0"/>
    <n v="0"/>
    <m/>
    <n v="0"/>
    <m/>
    <n v="0"/>
    <m/>
    <n v="0"/>
    <m/>
    <m/>
    <n v="0"/>
    <n v="0"/>
    <n v="0"/>
    <n v="0"/>
    <m/>
    <n v="0"/>
    <n v="0"/>
    <n v="0"/>
    <n v="0"/>
    <n v="0"/>
    <x v="0"/>
    <m/>
    <x v="2"/>
    <x v="1"/>
    <s v="no root cause"/>
    <x v="1"/>
    <s v=""/>
  </r>
  <r>
    <s v="Foumbot-Mangoum"/>
    <s v="OST_136"/>
    <s v="OUEST"/>
    <s v="IHS"/>
    <s v="Grid-Gen"/>
    <s v="OUEST"/>
    <s v="Foumbot"/>
    <s v="Huawei"/>
    <n v="0"/>
    <n v="0"/>
    <n v="0"/>
    <n v="0"/>
    <n v="0"/>
    <n v="0"/>
    <n v="0"/>
    <n v="0"/>
    <n v="0"/>
    <n v="0"/>
    <n v="0"/>
    <n v="0"/>
    <n v="0"/>
    <n v="0"/>
    <n v="0"/>
    <n v="0"/>
    <n v="0"/>
    <n v="0"/>
    <n v="0"/>
    <n v="0"/>
    <m/>
    <n v="0"/>
    <n v="0"/>
    <n v="0"/>
    <m/>
    <n v="0"/>
    <m/>
    <n v="0"/>
    <m/>
    <n v="0"/>
    <m/>
    <m/>
    <n v="0"/>
    <n v="0"/>
    <n v="0"/>
    <n v="0"/>
    <m/>
    <n v="0"/>
    <n v="0"/>
    <n v="0"/>
    <n v="0"/>
    <n v="0"/>
    <x v="0"/>
    <m/>
    <x v="4"/>
    <x v="0"/>
    <s v="Defaut GE &amp; Power Cabinet"/>
    <x v="0"/>
    <s v="{05-25-2026 groupe whatsapp incident}:    impacted by OST_005_H_Foumbot ,Cause: Probleme energie    Action: RCA attendu de IHS      ;      {hourly IHS}: 25/05/2026 16:21 0:58:05 Fme is managing with level 0      ;      {05-25-2026 ocm ran 17H}: Power status check Ongoing"/>
  </r>
  <r>
    <s v="OZOM-I"/>
    <s v="CTR_743"/>
    <s v="CENTRE"/>
    <s v="CAMUSAT"/>
    <s v="Hybrid Solar - S1"/>
    <s v="CENTRE"/>
    <s v="Ozom"/>
    <s v="ZTE"/>
    <n v="0"/>
    <n v="0"/>
    <n v="0"/>
    <n v="0"/>
    <n v="0"/>
    <n v="0"/>
    <n v="0"/>
    <n v="0"/>
    <n v="0"/>
    <n v="0"/>
    <n v="0"/>
    <n v="0"/>
    <n v="0"/>
    <n v="0"/>
    <n v="0"/>
    <n v="0"/>
    <n v="0"/>
    <n v="0"/>
    <n v="0"/>
    <n v="0"/>
    <m/>
    <n v="0"/>
    <n v="0"/>
    <n v="0"/>
    <m/>
    <n v="0"/>
    <m/>
    <n v="0"/>
    <m/>
    <n v="0"/>
    <m/>
    <m/>
    <n v="0"/>
    <n v="0"/>
    <n v="0"/>
    <n v="0"/>
    <m/>
    <n v="0"/>
    <n v="0"/>
    <n v="0"/>
    <n v="0"/>
    <n v="0"/>
    <x v="0"/>
    <m/>
    <x v="2"/>
    <x v="1"/>
    <s v="no root cause"/>
    <x v="1"/>
    <s v="{05-25-2026 ocm ran 22H}: Power status check Ongoing"/>
  </r>
  <r>
    <s v="Loum-Nkombi-II-IHS"/>
    <s v="LIT_520"/>
    <s v="LITTORAL"/>
    <s v="IHS"/>
    <s v="Grid-Gen"/>
    <s v="LITTORAL"/>
    <s v="Loum"/>
    <s v="ZTE"/>
    <n v="0"/>
    <n v="0"/>
    <n v="0"/>
    <n v="0"/>
    <n v="0"/>
    <n v="0"/>
    <n v="0"/>
    <n v="0"/>
    <n v="0"/>
    <n v="0"/>
    <n v="0"/>
    <n v="0"/>
    <n v="0"/>
    <n v="0"/>
    <n v="0"/>
    <n v="0"/>
    <n v="0"/>
    <n v="0"/>
    <n v="0"/>
    <n v="0"/>
    <m/>
    <n v="0"/>
    <n v="0"/>
    <n v="0"/>
    <m/>
    <n v="0"/>
    <m/>
    <n v="0"/>
    <m/>
    <n v="0"/>
    <m/>
    <m/>
    <n v="0"/>
    <n v="0"/>
    <n v="0"/>
    <n v="0"/>
    <m/>
    <n v="0"/>
    <n v="0"/>
    <n v="0"/>
    <n v="0"/>
    <n v="0"/>
    <x v="0"/>
    <m/>
    <x v="8"/>
    <x v="4"/>
    <s v="Warehouse HUAWEI"/>
    <x v="3"/>
    <s v="(05/25/2026 cell zte): 24/05/2026 : En attente du PN _x000a_23/05/2026 : En attente du PN _x000a_22/05/2026 : Jumpeur MQ4 faulty || En attente du PN pour passer la commande au SPMS _x000a_21/05/2026 : Intervention ce jour apres le realignement de   Loum joliet Loum || ETA en attente || Intervention en cours || Feedback FME : C'est le MQ4 qui est faulty, due à l'infiltration d'eau_x000a_19/05/2026 : FME sur le site coupe de Loum joli || Intervention apres le site de Loum joli _x000a_18/05/2026 : Check and clean RRU 61 ANT 7 || FME activer  || FME activer||Investiguation en cours ||FME presentement sur le sitecouper  de LOUM. || ETA : 19/05/2026       ;      (05/25/2026 cell zte): 24/05/2026 : En attente du PN _x000a_23/05/2026 : En attente du PN _x000a_22/05/2026 : Jumpeur MQ4 faulty || En attente du PN pour passer la commande au SPMS _x000a_21/05/2026 : Intervention ce jour apres le realignement de   Loum joliet Loum || ETA en attente || Intervention en cours || Feedback FME : C'est le MQ4 qui est faulty, due à l'infiltration d'eau_x000a_19/05/2026 : FME sur le site coupe de Loum joli || Intervention apres le site de Loum joli _x000a_18/05/2026 : Check and clean RRU 61 ANT 7 || FME activer  || FME activer||Investiguation en cours ||FME presentement sur le sitecouper  de LOUM. || ETA : 19/05/2026       ;      (05/25/2026 cell zte): 24/05/2026 : En attente du PN _x000a_23/05/2026 : En attente du PN _x000a_22/05/2026 : Jumpeur MQ4 faulty || En attente du PN pour passer la commande au SPMS _x000a_21/05/2026 : Intervention ce jour apres le realignement de   Loum joliet Loum || ETA en attente || Intervention en cours || Feedback FME : C'est le MQ4 qui est faulty, due à l'infiltration d'eau_x000a_19/05/2026 : FME sur le site coupe de Loum joli || Intervention apres le site de Loum joli _x000a_18/05/2026 : Check and clean RRU 61 ANT 7 || FME activer  || FME activer||Investiguation en cours ||FME presentement sur le sitecouper  de LOUM. || ETA : 19/05/2026 "/>
  </r>
  <r>
    <s v="Ndikinimeki-New"/>
    <s v="CTR_544"/>
    <s v="CENTRE"/>
    <m/>
    <m/>
    <s v="CENTRE"/>
    <s v="Ndikinimeki"/>
    <s v="ZTE"/>
    <n v="0"/>
    <n v="0"/>
    <n v="0"/>
    <n v="0"/>
    <n v="0"/>
    <n v="0"/>
    <n v="0"/>
    <n v="0"/>
    <n v="0"/>
    <n v="0"/>
    <n v="0"/>
    <n v="0"/>
    <n v="0"/>
    <n v="0"/>
    <n v="0"/>
    <n v="0"/>
    <n v="0"/>
    <n v="0"/>
    <n v="0"/>
    <n v="0"/>
    <m/>
    <n v="0"/>
    <n v="0"/>
    <n v="0"/>
    <m/>
    <n v="0"/>
    <m/>
    <n v="0"/>
    <m/>
    <n v="0"/>
    <m/>
    <m/>
    <n v="0"/>
    <n v="0"/>
    <n v="0"/>
    <n v="0"/>
    <m/>
    <n v="0"/>
    <n v="0"/>
    <n v="0"/>
    <n v="0"/>
    <n v="0"/>
    <x v="0"/>
    <m/>
    <x v="2"/>
    <x v="1"/>
    <s v="no root cause"/>
    <x v="1"/>
    <s v=""/>
  </r>
  <r>
    <s v="Madagascar"/>
    <s v="LIT_049"/>
    <s v="Douala"/>
    <s v="IHS"/>
    <s v="Grid-Gen"/>
    <s v="LITTORAL"/>
    <s v="Douala"/>
    <s v="ZTE"/>
    <n v="0"/>
    <n v="0"/>
    <n v="0"/>
    <n v="0"/>
    <n v="0"/>
    <n v="0"/>
    <n v="0"/>
    <n v="0"/>
    <n v="0"/>
    <n v="0"/>
    <n v="0"/>
    <n v="0"/>
    <n v="0"/>
    <n v="0"/>
    <n v="0"/>
    <n v="0"/>
    <n v="0"/>
    <n v="0"/>
    <n v="0"/>
    <n v="0"/>
    <m/>
    <n v="0"/>
    <n v="0"/>
    <n v="0"/>
    <m/>
    <n v="0"/>
    <m/>
    <n v="0"/>
    <m/>
    <n v="0"/>
    <m/>
    <m/>
    <n v="0"/>
    <n v="0"/>
    <n v="0"/>
    <n v="0"/>
    <m/>
    <n v="0"/>
    <n v="0"/>
    <n v="0"/>
    <n v="0"/>
    <n v="0"/>
    <x v="0"/>
    <m/>
    <x v="2"/>
    <x v="1"/>
    <s v="no root cause"/>
    <x v="1"/>
    <s v=""/>
  </r>
  <r>
    <s v="Nyabi"/>
    <s v="EST_133"/>
    <s v="CENTRE"/>
    <s v="CAMUSAT"/>
    <s v="HGB"/>
    <s v="EST"/>
    <s v="Nyabi"/>
    <s v="ZTE"/>
    <n v="0"/>
    <n v="0"/>
    <n v="0"/>
    <n v="0"/>
    <n v="0"/>
    <n v="0"/>
    <n v="0"/>
    <n v="0"/>
    <n v="0"/>
    <n v="0"/>
    <n v="0"/>
    <n v="0"/>
    <n v="0"/>
    <n v="0"/>
    <n v="0"/>
    <n v="0"/>
    <n v="0"/>
    <n v="0"/>
    <n v="0"/>
    <n v="0"/>
    <m/>
    <n v="0"/>
    <n v="0"/>
    <n v="0"/>
    <m/>
    <n v="0"/>
    <m/>
    <n v="0"/>
    <m/>
    <n v="0"/>
    <m/>
    <m/>
    <n v="0"/>
    <n v="0"/>
    <n v="0"/>
    <n v="0"/>
    <m/>
    <n v="0"/>
    <n v="0"/>
    <n v="0"/>
    <n v="0"/>
    <n v="0"/>
    <x v="0"/>
    <m/>
    <x v="2"/>
    <x v="1"/>
    <s v="no root cause"/>
    <x v="1"/>
    <s v=""/>
  </r>
  <r>
    <s v="Njombe-SDH-IHS"/>
    <s v="LIT_787"/>
    <s v="LITTORAL"/>
    <s v="IHS"/>
    <s v="Gen Only"/>
    <s v="LITTORAL"/>
    <s v="Njombe-Penja"/>
    <s v="ZTE"/>
    <n v="0"/>
    <n v="0"/>
    <n v="0"/>
    <n v="0"/>
    <n v="0"/>
    <n v="0"/>
    <n v="0"/>
    <n v="0"/>
    <n v="0"/>
    <n v="0"/>
    <n v="0"/>
    <n v="0"/>
    <n v="0"/>
    <n v="0"/>
    <n v="0"/>
    <n v="0"/>
    <n v="0"/>
    <n v="0"/>
    <n v="0"/>
    <n v="0"/>
    <m/>
    <n v="0"/>
    <n v="0"/>
    <n v="0"/>
    <m/>
    <n v="0"/>
    <m/>
    <n v="0"/>
    <m/>
    <n v="0"/>
    <m/>
    <m/>
    <n v="0"/>
    <n v="0"/>
    <n v="0"/>
    <n v="0"/>
    <m/>
    <n v="0"/>
    <n v="0"/>
    <n v="0"/>
    <n v="0"/>
    <n v="0"/>
    <x v="0"/>
    <m/>
    <x v="2"/>
    <x v="1"/>
    <s v="no root cause"/>
    <x v="1"/>
    <s v=""/>
  </r>
  <r>
    <s v="Gara-Guider-IHS"/>
    <s v="NRD_115"/>
    <s v="NORD"/>
    <s v="IHS"/>
    <s v="Hybrid-Gen"/>
    <s v="NORD"/>
    <s v="Guider"/>
    <s v="Huawei"/>
    <n v="0"/>
    <n v="0"/>
    <n v="0"/>
    <n v="0"/>
    <n v="0"/>
    <n v="0"/>
    <n v="0"/>
    <n v="0"/>
    <n v="0"/>
    <n v="0"/>
    <n v="0"/>
    <n v="0"/>
    <n v="0"/>
    <n v="0"/>
    <n v="0"/>
    <n v="0"/>
    <n v="0"/>
    <n v="0"/>
    <n v="0"/>
    <n v="0"/>
    <m/>
    <n v="0"/>
    <n v="0"/>
    <n v="0"/>
    <m/>
    <n v="0"/>
    <m/>
    <n v="0"/>
    <m/>
    <n v="0"/>
    <m/>
    <m/>
    <n v="0"/>
    <n v="0"/>
    <n v="0"/>
    <n v="0"/>
    <m/>
    <n v="0"/>
    <n v="0"/>
    <n v="0"/>
    <n v="0"/>
    <n v="0"/>
    <x v="0"/>
    <m/>
    <x v="4"/>
    <x v="0"/>
    <s v="Defaut GE &amp; Power Cabinet"/>
    <x v="0"/>
    <s v="{hourly IHS}: 25/05/2026 22:13 0:46:59 FME Maxim is managing with level 0"/>
  </r>
  <r>
    <s v="BIBA-MTN"/>
    <s v="CTR_304"/>
    <s v="CENTRE"/>
    <s v="IHS"/>
    <s v="Grid-Gen"/>
    <s v="CENTRE"/>
    <s v="Biba"/>
    <s v="ZTE"/>
    <n v="0"/>
    <n v="0"/>
    <n v="0"/>
    <n v="0"/>
    <n v="0"/>
    <n v="0"/>
    <n v="0"/>
    <n v="0"/>
    <n v="0"/>
    <n v="0"/>
    <n v="0"/>
    <n v="0"/>
    <n v="0"/>
    <n v="0"/>
    <n v="0"/>
    <n v="0"/>
    <n v="0"/>
    <n v="0"/>
    <n v="0"/>
    <n v="0"/>
    <m/>
    <n v="0"/>
    <n v="0"/>
    <n v="0"/>
    <m/>
    <n v="0"/>
    <m/>
    <n v="0"/>
    <m/>
    <n v="0"/>
    <m/>
    <m/>
    <n v="0"/>
    <n v="0"/>
    <n v="0"/>
    <n v="0"/>
    <m/>
    <n v="0"/>
    <n v="0"/>
    <n v="0"/>
    <n v="0"/>
    <n v="0"/>
    <x v="0"/>
    <m/>
    <x v="5"/>
    <x v="2"/>
    <s v="IP &amp; VLAN"/>
    <x v="2"/>
    <s v="{05-25-2026 goupe whatsapp incident}:    impacted by    CTR_007_Z_Messamendongo(CTR-007)  ,Cause: Boucle etherneet  ,Action: Desactivation de la bouclee"/>
  </r>
  <r>
    <s v="Bambili-Round-About-IHS"/>
    <s v="NRO_068"/>
    <s v="NORD-OUEST"/>
    <s v="IHS"/>
    <s v="Grid-Gen"/>
    <s v="NORD-OUEST"/>
    <s v="Bamenda"/>
    <s v="Huawei"/>
    <n v="1.194201173976195"/>
    <n v="3.358238236695745"/>
    <n v="2.824363002342816"/>
    <n v="5.143690091971932"/>
    <n v="12.18314199861315"/>
    <n v="0"/>
    <n v="0"/>
    <n v="0"/>
    <n v="3.497601538667877"/>
    <n v="0"/>
    <n v="3.897125128055863"/>
    <n v="0.005261348103631874"/>
    <n v="0.006313617724358153"/>
    <n v="0"/>
    <n v="0"/>
    <n v="0"/>
    <n v="0"/>
    <n v="6.7391448579329"/>
    <n v="0"/>
    <n v="0"/>
    <n v="0.001337630873804731"/>
    <n v="0"/>
    <n v="0.5849013934189987"/>
    <n v="0"/>
    <m/>
    <n v="0"/>
    <m/>
    <n v="0"/>
    <m/>
    <n v="0"/>
    <m/>
    <m/>
    <n v="0"/>
    <n v="0"/>
    <n v="0"/>
    <n v="0"/>
    <m/>
    <n v="0"/>
    <n v="0"/>
    <n v="0"/>
    <n v="0"/>
    <n v="0"/>
    <x v="1"/>
    <m/>
    <x v="2"/>
    <x v="1"/>
    <s v="no root cause"/>
    <x v="1"/>
    <s v=""/>
  </r>
  <r>
    <s v="Bokwai-IHS"/>
    <s v="SUO_197"/>
    <s v="SUD-OUEST"/>
    <s v="IHS"/>
    <s v="Grid-Gen"/>
    <s v="SUD-OUEST"/>
    <s v="Buea"/>
    <s v="Huawei"/>
    <n v="0"/>
    <n v="0"/>
    <n v="0"/>
    <n v="0"/>
    <n v="0"/>
    <n v="0"/>
    <n v="0"/>
    <n v="0"/>
    <n v="0"/>
    <n v="0"/>
    <n v="0"/>
    <n v="0"/>
    <n v="0"/>
    <n v="0"/>
    <n v="0"/>
    <n v="0"/>
    <n v="5.605208413591185"/>
    <n v="0"/>
    <n v="0"/>
    <n v="0"/>
    <n v="2.929251097927421"/>
    <n v="0"/>
    <n v="0.2558441984630443"/>
    <n v="0"/>
    <m/>
    <n v="0"/>
    <m/>
    <n v="0"/>
    <m/>
    <n v="0"/>
    <m/>
    <m/>
    <n v="0"/>
    <n v="0"/>
    <n v="0"/>
    <n v="0"/>
    <m/>
    <n v="0"/>
    <n v="0"/>
    <n v="0"/>
    <n v="0"/>
    <n v="0"/>
    <x v="1"/>
    <m/>
    <x v="2"/>
    <x v="1"/>
    <s v="no root cause"/>
    <x v="1"/>
    <s v=""/>
  </r>
  <r>
    <s v="Ekindi-MTN"/>
    <s v="SUO_045"/>
    <s v="SUD-OUEST"/>
    <s v="IHS"/>
    <s v="Grid-Gen"/>
    <s v="SUD-OUEST"/>
    <s v="Ekindi"/>
    <s v="NOKIA"/>
    <n v="0"/>
    <n v="0.009693078972476326"/>
    <n v="0"/>
    <n v="0"/>
    <n v="0"/>
    <n v="0"/>
    <n v="0.04689222963151327"/>
    <n v="0"/>
    <n v="0"/>
    <n v="0"/>
    <n v="0"/>
    <n v="0"/>
    <n v="0"/>
    <n v="0"/>
    <n v="0.1211893571667051"/>
    <n v="0"/>
    <n v="0.02061735053490979"/>
    <n v="0"/>
    <n v="0"/>
    <n v="0"/>
    <n v="0"/>
    <n v="0.3514402182442863"/>
    <n v="0.09313477897344155"/>
    <n v="0"/>
    <m/>
    <n v="0"/>
    <m/>
    <n v="0"/>
    <m/>
    <n v="0"/>
    <m/>
    <m/>
    <n v="0"/>
    <n v="0"/>
    <n v="0"/>
    <n v="0"/>
    <m/>
    <n v="0"/>
    <n v="0"/>
    <n v="0"/>
    <n v="0"/>
    <n v="0"/>
    <x v="1"/>
    <m/>
    <x v="2"/>
    <x v="1"/>
    <s v="no root cause"/>
    <x v="1"/>
    <s v=""/>
  </r>
  <r>
    <s v="Bambalang"/>
    <s v="NRO_100"/>
    <s v="NORD-OUEST"/>
    <s v="IHS"/>
    <s v="Hybrid-Gen"/>
    <s v="NORD-OUEST"/>
    <s v="Bambalang"/>
    <s v="Huawei"/>
    <n v="0"/>
    <n v="0"/>
    <n v="0"/>
    <n v="0"/>
    <n v="0"/>
    <n v="0"/>
    <n v="0"/>
    <n v="0"/>
    <n v="0"/>
    <n v="0"/>
    <n v="0"/>
    <n v="0"/>
    <n v="0"/>
    <n v="16.5053305482075"/>
    <n v="16.27598927612411"/>
    <n v="15.56515439470598"/>
    <n v="16.71776416604601"/>
    <n v="0"/>
    <n v="0"/>
    <n v="0"/>
    <n v="0"/>
    <n v="0"/>
    <n v="0"/>
    <n v="0"/>
    <m/>
    <n v="0"/>
    <m/>
    <n v="0"/>
    <m/>
    <n v="0"/>
    <m/>
    <m/>
    <n v="0"/>
    <n v="0"/>
    <n v="0"/>
    <n v="0"/>
    <m/>
    <n v="0"/>
    <n v="0"/>
    <n v="0"/>
    <n v="0"/>
    <n v="0"/>
    <x v="1"/>
    <m/>
    <x v="2"/>
    <x v="1"/>
    <s v="no root cause"/>
    <x v="1"/>
    <s v=""/>
  </r>
  <r>
    <s v="Tourou"/>
    <s v="EXN_231"/>
    <s v="EXTREME-NORD"/>
    <s v="CAMUSAT"/>
    <s v="Hybrid Solar - S3"/>
    <s v="EXTREME-NORD"/>
    <s v="Tourou"/>
    <s v="Huawei"/>
    <n v="0"/>
    <n v="0"/>
    <n v="0"/>
    <n v="0"/>
    <n v="0"/>
    <n v="0"/>
    <n v="0"/>
    <n v="0"/>
    <n v="0"/>
    <n v="0"/>
    <n v="0"/>
    <n v="0"/>
    <n v="0"/>
    <n v="5.756093176156354"/>
    <n v="5.028421980806601"/>
    <n v="10.49030770503919"/>
    <n v="5.24752591793581"/>
    <n v="0"/>
    <n v="0"/>
    <n v="0"/>
    <n v="0"/>
    <n v="0"/>
    <n v="0"/>
    <n v="0"/>
    <m/>
    <n v="0"/>
    <m/>
    <n v="0"/>
    <m/>
    <n v="0"/>
    <m/>
    <m/>
    <n v="0"/>
    <n v="0"/>
    <n v="0"/>
    <n v="0"/>
    <m/>
    <n v="0"/>
    <n v="0"/>
    <n v="0"/>
    <n v="0"/>
    <n v="0"/>
    <x v="1"/>
    <m/>
    <x v="2"/>
    <x v="1"/>
    <s v="no root cause"/>
    <x v="1"/>
    <s v=""/>
  </r>
  <r>
    <s v="Ndoukoula"/>
    <s v="EXN_073"/>
    <s v="EXTREME-NORD"/>
    <s v="IHS"/>
    <s v="Hybrid-Gen"/>
    <s v="EXTREME-NORD"/>
    <s v="Ndoukoula"/>
    <s v="Huawei"/>
    <n v="0"/>
    <n v="0"/>
    <n v="0"/>
    <n v="0"/>
    <n v="0"/>
    <n v="0"/>
    <n v="0"/>
    <n v="0"/>
    <n v="0"/>
    <n v="0"/>
    <n v="0"/>
    <n v="0"/>
    <n v="0"/>
    <n v="4.622852299869019"/>
    <n v="4.622852299869019"/>
    <n v="4.622852299869019"/>
    <n v="4.622852299869019"/>
    <n v="0"/>
    <n v="0"/>
    <n v="0"/>
    <n v="0"/>
    <n v="0"/>
    <n v="0"/>
    <n v="0"/>
    <m/>
    <n v="0"/>
    <m/>
    <n v="0"/>
    <m/>
    <n v="0"/>
    <m/>
    <m/>
    <n v="0"/>
    <n v="0"/>
    <n v="0"/>
    <n v="0"/>
    <m/>
    <n v="0"/>
    <n v="0"/>
    <n v="0"/>
    <n v="0"/>
    <n v="0"/>
    <x v="1"/>
    <m/>
    <x v="2"/>
    <x v="1"/>
    <s v="no root cause"/>
    <x v="1"/>
    <s v=""/>
  </r>
  <r>
    <s v="Kay-Kay"/>
    <s v="EXN_050"/>
    <s v="EXTREME-NORD"/>
    <s v="IHS"/>
    <s v="Solar-Gen"/>
    <s v="EXTREME-NORD"/>
    <s v="Kay-Kay"/>
    <s v="Huawei"/>
    <n v="0"/>
    <n v="0"/>
    <n v="0"/>
    <n v="0"/>
    <n v="0"/>
    <n v="0"/>
    <n v="0"/>
    <n v="0"/>
    <n v="0"/>
    <n v="0"/>
    <n v="0"/>
    <n v="0"/>
    <n v="0"/>
    <n v="2.405506188058773"/>
    <n v="6.965311486075798"/>
    <n v="0"/>
    <n v="4.195844854793926"/>
    <n v="0"/>
    <n v="0"/>
    <n v="0"/>
    <n v="0"/>
    <n v="0"/>
    <n v="0"/>
    <n v="0"/>
    <m/>
    <n v="0"/>
    <m/>
    <n v="0"/>
    <m/>
    <n v="0"/>
    <m/>
    <m/>
    <n v="0"/>
    <n v="0"/>
    <n v="0"/>
    <n v="0"/>
    <m/>
    <n v="0"/>
    <n v="0"/>
    <n v="0"/>
    <n v="0"/>
    <n v="0"/>
    <x v="1"/>
    <m/>
    <x v="4"/>
    <x v="0"/>
    <s v="Defaut GE &amp; Power Cabinet"/>
    <x v="0"/>
    <s v="{hourly IHS}: 25/05/2026 16:13 1:06:05 Grid outage, no space to deploy MDG, awaiting grid return      ;      {05-25-2026 ocm ran 22H}: 25.05.26: IHS: FME is informed and managing       ;      {05-25-2026 ocm ran 17H}: Power status check Ongoing"/>
  </r>
  <r>
    <s v="Doreissou-IHS"/>
    <s v="EXN_118"/>
    <s v="EXTREME-NORD"/>
    <s v="IHS"/>
    <s v="Hybrid-Gen"/>
    <s v="EXTREME-NORD"/>
    <s v="Doreissou"/>
    <s v="Huawei"/>
    <n v="0"/>
    <n v="0"/>
    <n v="0"/>
    <n v="0"/>
    <n v="0"/>
    <n v="0"/>
    <n v="0"/>
    <n v="0"/>
    <n v="0"/>
    <n v="0"/>
    <n v="0"/>
    <n v="0"/>
    <n v="0"/>
    <n v="2.406665468149404"/>
    <n v="6.966381590774842"/>
    <n v="0"/>
    <n v="4.193740315552475"/>
    <n v="0"/>
    <n v="0"/>
    <n v="0"/>
    <n v="0"/>
    <n v="0"/>
    <n v="0"/>
    <n v="0"/>
    <m/>
    <n v="0"/>
    <m/>
    <n v="0"/>
    <m/>
    <n v="0"/>
    <m/>
    <m/>
    <n v="0"/>
    <n v="0"/>
    <n v="0"/>
    <n v="0"/>
    <m/>
    <n v="0"/>
    <n v="0"/>
    <n v="0"/>
    <n v="0"/>
    <n v="0"/>
    <x v="1"/>
    <m/>
    <x v="4"/>
    <x v="0"/>
    <s v="Defaut GE &amp; Power Cabinet"/>
    <x v="0"/>
    <s v="{hourly IHS}: 25-05-2026 15:21:46 7:38:14 FME Severin is managing with level 0      ;      {05-25-2026 ocm ran 22H}: P1 Incident at EXN_074_H_Dziguilao; Power issue; IHS      ;      {05-25-2026 ocm ran 17H}: P1 Incident at EXN_074_H_Dziguilao; Power issue; IHS"/>
  </r>
  <r>
    <s v="Guirvidig"/>
    <s v="EXN_098"/>
    <s v="EXTREME-NORD"/>
    <s v="IHS"/>
    <s v="Grid-Gen"/>
    <s v="EXTREME-NORD"/>
    <s v="Guirvidig"/>
    <s v="Huawei"/>
    <n v="0"/>
    <n v="0"/>
    <n v="0"/>
    <n v="0"/>
    <n v="0"/>
    <n v="0"/>
    <n v="0"/>
    <n v="0"/>
    <n v="0"/>
    <n v="0"/>
    <n v="0"/>
    <n v="0"/>
    <n v="0"/>
    <n v="4.622852299869019"/>
    <n v="4.62552756161663"/>
    <n v="4.63283994372676"/>
    <n v="4.102282033940868"/>
    <n v="0"/>
    <n v="0"/>
    <n v="0"/>
    <n v="0"/>
    <n v="0"/>
    <n v="0"/>
    <n v="0"/>
    <m/>
    <n v="0"/>
    <m/>
    <n v="0"/>
    <m/>
    <n v="0"/>
    <m/>
    <m/>
    <n v="0"/>
    <n v="0"/>
    <n v="0"/>
    <n v="0"/>
    <m/>
    <n v="0"/>
    <n v="0"/>
    <n v="0"/>
    <n v="0"/>
    <n v="0"/>
    <x v="1"/>
    <m/>
    <x v="2"/>
    <x v="1"/>
    <s v="no root cause"/>
    <x v="1"/>
    <s v=""/>
  </r>
  <r>
    <s v="Baligam"/>
    <s v="OST_283"/>
    <s v="OUEST"/>
    <s v="ESCO"/>
    <s v="Hybrid solar - S3"/>
    <s v="OUEST"/>
    <s v="Galim"/>
    <s v="Huawei"/>
    <n v="0"/>
    <n v="0"/>
    <n v="0"/>
    <n v="0"/>
    <n v="0"/>
    <n v="0"/>
    <n v="0"/>
    <n v="0"/>
    <n v="0"/>
    <n v="0"/>
    <n v="0"/>
    <n v="0"/>
    <n v="0"/>
    <n v="0"/>
    <n v="0"/>
    <n v="0"/>
    <n v="3.467157059980082"/>
    <n v="0"/>
    <n v="0"/>
    <n v="0"/>
    <n v="0"/>
    <n v="0"/>
    <n v="0"/>
    <n v="0"/>
    <m/>
    <n v="0"/>
    <m/>
    <n v="0"/>
    <m/>
    <n v="0"/>
    <m/>
    <m/>
    <n v="0"/>
    <n v="0"/>
    <n v="0"/>
    <n v="0"/>
    <m/>
    <n v="0"/>
    <n v="0"/>
    <n v="0"/>
    <n v="0"/>
    <n v="0"/>
    <x v="1"/>
    <m/>
    <x v="2"/>
    <x v="1"/>
    <s v="no root cause"/>
    <x v="1"/>
    <s v=""/>
  </r>
  <r>
    <s v="Tekele"/>
    <s v="EXN_230"/>
    <s v="EXTREME-NORD"/>
    <s v="CAMUSAT"/>
    <s v="Hybrid Solar - S3"/>
    <s v="EXTREME-NORD"/>
    <s v="Tekele"/>
    <s v="Huawei"/>
    <n v="0"/>
    <n v="0"/>
    <n v="0"/>
    <n v="0"/>
    <n v="0"/>
    <n v="0"/>
    <n v="0"/>
    <n v="0"/>
    <n v="0"/>
    <n v="0"/>
    <n v="0"/>
    <n v="0"/>
    <n v="0"/>
    <n v="0"/>
    <n v="0.03896964612351005"/>
    <n v="2.738005553129985"/>
    <n v="3.087180716427961"/>
    <n v="0"/>
    <n v="0"/>
    <n v="0"/>
    <n v="0"/>
    <n v="0"/>
    <n v="0"/>
    <n v="0"/>
    <m/>
    <n v="0"/>
    <m/>
    <n v="0"/>
    <m/>
    <n v="0"/>
    <m/>
    <m/>
    <n v="0"/>
    <n v="0"/>
    <n v="0"/>
    <n v="0"/>
    <m/>
    <n v="0"/>
    <n v="0"/>
    <n v="0"/>
    <n v="0"/>
    <n v="0"/>
    <x v="1"/>
    <m/>
    <x v="2"/>
    <x v="1"/>
    <s v="no root cause"/>
    <x v="1"/>
    <s v=""/>
  </r>
  <r>
    <s v="Torock-IHS"/>
    <s v="EXN_178"/>
    <s v="EXTREME-NORD"/>
    <s v="IHS"/>
    <s v="Solar-Grid-Gen"/>
    <s v="EXTREME-NORD"/>
    <s v="Torock"/>
    <s v="Huawei"/>
    <n v="0"/>
    <n v="0"/>
    <n v="0"/>
    <n v="0"/>
    <n v="0"/>
    <n v="0"/>
    <n v="0"/>
    <n v="0"/>
    <n v="0"/>
    <n v="0"/>
    <n v="0"/>
    <n v="0"/>
    <n v="0"/>
    <n v="3.087519582915992"/>
    <n v="3.453727246007083"/>
    <n v="3.081901533246013"/>
    <n v="3.081901533246013"/>
    <n v="0"/>
    <n v="0"/>
    <n v="0"/>
    <n v="0"/>
    <n v="0"/>
    <n v="0"/>
    <n v="0"/>
    <m/>
    <n v="0"/>
    <m/>
    <n v="0"/>
    <m/>
    <n v="0"/>
    <m/>
    <m/>
    <n v="0"/>
    <n v="0"/>
    <n v="0"/>
    <n v="0"/>
    <m/>
    <n v="0"/>
    <n v="0"/>
    <n v="0"/>
    <n v="0"/>
    <n v="0"/>
    <x v="1"/>
    <m/>
    <x v="2"/>
    <x v="1"/>
    <s v="no root cause"/>
    <x v="1"/>
    <s v=""/>
  </r>
  <r>
    <s v="Ilor-MTN"/>
    <s v="SUO_046"/>
    <s v="SUD-OUEST"/>
    <s v="IHS"/>
    <s v="Gen Only"/>
    <s v="SUD-OUEST"/>
    <s v="Ilor"/>
    <s v="Huawei"/>
    <n v="0"/>
    <n v="0"/>
    <n v="0"/>
    <n v="0"/>
    <n v="0"/>
    <n v="0"/>
    <n v="0"/>
    <n v="0"/>
    <n v="0"/>
    <n v="0"/>
    <n v="0"/>
    <n v="0"/>
    <n v="0"/>
    <n v="2.130096908681546"/>
    <n v="2.234004074958694"/>
    <n v="2.336876806693434"/>
    <n v="1.899310995254442"/>
    <n v="0"/>
    <n v="0"/>
    <n v="0"/>
    <n v="0"/>
    <n v="0"/>
    <n v="0"/>
    <n v="0"/>
    <m/>
    <n v="0"/>
    <m/>
    <n v="0"/>
    <m/>
    <n v="0"/>
    <m/>
    <m/>
    <n v="0"/>
    <n v="0"/>
    <n v="0"/>
    <n v="0"/>
    <m/>
    <n v="0"/>
    <n v="0"/>
    <n v="0"/>
    <n v="0"/>
    <n v="0"/>
    <x v="1"/>
    <m/>
    <x v="2"/>
    <x v="1"/>
    <s v="no root cause"/>
    <x v="1"/>
    <s v="{05-25-2026 ocm ran 22H}: Impacted by SUO_043_H_Loe MTN (TX issue)      ;      {05-25-2026 ocm ran 17H}: Impacted by SUO_043_H_Loe MTN (TX issue)"/>
  </r>
  <r>
    <s v="Kumbo"/>
    <s v="NRO_037"/>
    <s v="NORD-OUEST"/>
    <s v="CAMUSAT"/>
    <s v="Medium Grid + Solar + GE"/>
    <s v="NORD-OUEST"/>
    <s v="Kumbo"/>
    <s v="Huawei"/>
    <n v="0"/>
    <n v="0"/>
    <n v="0"/>
    <n v="0"/>
    <n v="0"/>
    <n v="0"/>
    <n v="0"/>
    <n v="0"/>
    <n v="0"/>
    <n v="0"/>
    <n v="0"/>
    <n v="0"/>
    <n v="0"/>
    <n v="7.819379881460936"/>
    <n v="0"/>
    <n v="0"/>
    <n v="1.516962586286109"/>
    <n v="0"/>
    <n v="0"/>
    <n v="0"/>
    <n v="0"/>
    <n v="0"/>
    <n v="0"/>
    <n v="0"/>
    <m/>
    <n v="0"/>
    <m/>
    <n v="0"/>
    <m/>
    <n v="0"/>
    <m/>
    <m/>
    <n v="0"/>
    <n v="0"/>
    <n v="0"/>
    <n v="0"/>
    <m/>
    <n v="0"/>
    <n v="0"/>
    <n v="0"/>
    <n v="0"/>
    <n v="0"/>
    <x v="1"/>
    <m/>
    <x v="13"/>
    <x v="8"/>
    <s v="ACCESS-ISSUE"/>
    <x v="6"/>
    <s v="(05/25/2026 cell huawei): 25/05/2026 : Besoin d'analyse BO RAN || Fme should check SFP , Optical fibre status between BBU and RRU 60&amp;80 || Ghost town      ;      (05/25/2026 cell huawei): 25/05/2026 : Besoin d'analyse BO RAN || Fme should check SFP , Optical fibre status between BBU and RRU 60&amp;80 || Ghost town"/>
  </r>
  <r>
    <s v="NEW-Bonako"/>
    <s v="SUO_157"/>
    <s v="SUD-OUEST"/>
    <s v="IHS"/>
    <s v="Grid-Gen"/>
    <s v="SUD-OUEST"/>
    <s v="Tiko"/>
    <s v="Huawei"/>
    <n v="0"/>
    <n v="0"/>
    <n v="0"/>
    <n v="0"/>
    <n v="0"/>
    <n v="0"/>
    <n v="0"/>
    <n v="0"/>
    <n v="0"/>
    <n v="0"/>
    <n v="0"/>
    <n v="0"/>
    <n v="0"/>
    <n v="0.5017007530683468"/>
    <n v="0"/>
    <n v="0.4451457197238845"/>
    <n v="1.248491152374349"/>
    <n v="0"/>
    <n v="0"/>
    <n v="0"/>
    <n v="0"/>
    <n v="0"/>
    <n v="0"/>
    <n v="0"/>
    <m/>
    <n v="0"/>
    <m/>
    <n v="0"/>
    <m/>
    <n v="0"/>
    <m/>
    <m/>
    <n v="0"/>
    <n v="0"/>
    <n v="0"/>
    <n v="0"/>
    <m/>
    <n v="0"/>
    <n v="0"/>
    <n v="0"/>
    <n v="0"/>
    <n v="0"/>
    <x v="1"/>
    <m/>
    <x v="4"/>
    <x v="0"/>
    <s v="Defaut GE &amp; Power Cabinet"/>
    <x v="0"/>
    <s v="{hourly IHS}: 25/05/2026 03:40 19:19:31 FME is managing with level 0      ;      {05-25-2026 ocm ran 22H}: 25.05.26: IHS: 43.1 V : FME is informed and will manage in the morning, Insecurity area.      ;      {05-25-2026 ocm ran 17H}: 25.05.26: IHS: 43.1 V : FME is informed and will manage in the morning, Insecurity area.      ;      {05-25-2026 ticket}: INC-20260525-00008026...rectifier issue on site "/>
  </r>
  <r>
    <s v="Wotutu-IHS"/>
    <s v="SUO_127"/>
    <s v="SUD-OUEST"/>
    <s v="IHS"/>
    <s v="Grid-Gen"/>
    <s v="SUD-OUEST"/>
    <s v="Wotutu"/>
    <s v="Huawei"/>
    <n v="0"/>
    <n v="0"/>
    <n v="0"/>
    <n v="0"/>
    <n v="0"/>
    <n v="0"/>
    <n v="0"/>
    <n v="0"/>
    <n v="0"/>
    <n v="0"/>
    <n v="0"/>
    <n v="0.2730852188546534"/>
    <n v="0"/>
    <n v="0"/>
    <n v="0.6372651833588731"/>
    <n v="0"/>
    <n v="0.8863498871396244"/>
    <n v="0"/>
    <n v="0"/>
    <n v="0"/>
    <n v="0"/>
    <n v="0"/>
    <n v="0"/>
    <n v="0"/>
    <m/>
    <n v="0"/>
    <m/>
    <n v="0"/>
    <m/>
    <n v="0"/>
    <m/>
    <m/>
    <n v="0"/>
    <n v="0"/>
    <n v="0"/>
    <n v="0"/>
    <m/>
    <n v="0"/>
    <n v="0"/>
    <n v="0"/>
    <n v="0"/>
    <n v="0"/>
    <x v="1"/>
    <m/>
    <x v="2"/>
    <x v="1"/>
    <s v="no root cause"/>
    <x v="1"/>
    <s v=""/>
  </r>
  <r>
    <s v="Sedek"/>
    <s v="EXN_218"/>
    <s v="EXTREME-NORD"/>
    <s v="IHS"/>
    <s v="Hybrid-Gen"/>
    <s v="EXTREME-NORD"/>
    <s v="Sedek"/>
    <s v="Huawei"/>
    <n v="0"/>
    <n v="0"/>
    <n v="0"/>
    <n v="0"/>
    <n v="0"/>
    <n v="0"/>
    <n v="0"/>
    <n v="0"/>
    <n v="0"/>
    <n v="0"/>
    <n v="0"/>
    <n v="0"/>
    <n v="0"/>
    <n v="0.005350523495218772"/>
    <n v="0.1003579856919868"/>
    <n v="1.35353976366381"/>
    <n v="0.801829450993485"/>
    <n v="0"/>
    <n v="0"/>
    <n v="0"/>
    <n v="0"/>
    <n v="0"/>
    <n v="0"/>
    <n v="0"/>
    <m/>
    <n v="0"/>
    <m/>
    <n v="0"/>
    <m/>
    <n v="0"/>
    <m/>
    <m/>
    <n v="0"/>
    <n v="0"/>
    <n v="0"/>
    <n v="0"/>
    <m/>
    <n v="0"/>
    <n v="0"/>
    <n v="0"/>
    <n v="0"/>
    <n v="0"/>
    <x v="1"/>
    <m/>
    <x v="4"/>
    <x v="0"/>
    <s v="Defaut GE &amp; Power Cabinet"/>
    <x v="0"/>
    <s v="{hourly IHS}: 25-05-2026 14:21:46 8:38:14 FME Romaric is managing with level 0      ;      {05-25-2026 ocm ran 22H}: P1 Incident at EXN_074_H_Dziguilao; Power issue; IHS      ;      {05-25-2026 ocm ran 17H}: P1 Incident at EXN_074_H_Dziguilao; Power issue; IHS"/>
  </r>
  <r>
    <s v="Gabarairou"/>
    <s v="EXN_210"/>
    <s v="EXTREME-NORD"/>
    <s v="IHS"/>
    <s v="Hybrid-Gen"/>
    <s v="EXTREME-NORD"/>
    <s v="Moulvoudaye"/>
    <s v="Huawei"/>
    <n v="0"/>
    <n v="0"/>
    <n v="0"/>
    <n v="0"/>
    <n v="0"/>
    <n v="0"/>
    <n v="0"/>
    <n v="0"/>
    <n v="0"/>
    <n v="0"/>
    <n v="0"/>
    <n v="0"/>
    <n v="0"/>
    <n v="0.004458769579348975"/>
    <n v="0.09789674488418613"/>
    <n v="1.353575433820445"/>
    <n v="0.8011517180174241"/>
    <n v="0"/>
    <n v="0"/>
    <n v="0"/>
    <n v="0"/>
    <n v="0"/>
    <n v="0"/>
    <n v="0"/>
    <m/>
    <n v="0"/>
    <m/>
    <n v="0"/>
    <m/>
    <n v="0"/>
    <m/>
    <m/>
    <n v="0"/>
    <n v="0"/>
    <n v="0"/>
    <n v="0"/>
    <m/>
    <n v="0"/>
    <n v="0"/>
    <n v="0"/>
    <n v="0"/>
    <n v="0"/>
    <x v="1"/>
    <m/>
    <x v="4"/>
    <x v="0"/>
    <s v="Defaut GE &amp; Power Cabinet"/>
    <x v="0"/>
    <s v="{hourly IHS}: 25-05-2026 18:24:09 4:35:51 FME Romaric is managing with level 0      ;      {05-25-2026 ocm ran 22H}: 25.05.26: BO TX analysis ongoing"/>
  </r>
  <r>
    <s v="Moulvouday"/>
    <s v="EXN_038"/>
    <s v="EXTREME-NORD"/>
    <s v="IHS"/>
    <s v="Solar-Gen"/>
    <s v="EXTREME-NORD"/>
    <s v="Moulvoudaye"/>
    <s v="Huawei"/>
    <n v="0"/>
    <n v="0"/>
    <n v="0"/>
    <n v="0"/>
    <n v="0"/>
    <n v="0"/>
    <n v="0"/>
    <n v="0"/>
    <n v="0"/>
    <n v="0"/>
    <n v="0"/>
    <n v="0"/>
    <n v="0"/>
    <n v="1.541325303267672"/>
    <n v="1.809796737179432"/>
    <n v="0.009434756429902434"/>
    <n v="0.7666765116298977"/>
    <n v="0"/>
    <n v="0"/>
    <n v="0"/>
    <n v="0"/>
    <n v="0"/>
    <n v="0"/>
    <n v="0"/>
    <m/>
    <n v="0"/>
    <m/>
    <n v="0"/>
    <m/>
    <n v="0"/>
    <m/>
    <m/>
    <n v="0"/>
    <n v="0"/>
    <n v="0"/>
    <n v="0"/>
    <m/>
    <n v="0"/>
    <n v="0"/>
    <n v="0"/>
    <n v="0"/>
    <n v="0"/>
    <x v="1"/>
    <m/>
    <x v="2"/>
    <x v="1"/>
    <s v="no root cause"/>
    <x v="1"/>
    <s v=""/>
  </r>
  <r>
    <s v="Loe-MTN"/>
    <s v="SUO_043"/>
    <s v="SUD-OUEST"/>
    <s v="IHS"/>
    <s v="Gen Only"/>
    <s v="SUD-OUEST"/>
    <s v="Loe"/>
    <s v="Huawei"/>
    <n v="0"/>
    <n v="0"/>
    <n v="0"/>
    <n v="0"/>
    <n v="0"/>
    <n v="0"/>
    <n v="0"/>
    <n v="0"/>
    <n v="0"/>
    <n v="0"/>
    <n v="0"/>
    <n v="0.04287552827501956"/>
    <n v="0"/>
    <n v="1.177632386219335"/>
    <n v="1.386320637611184"/>
    <n v="1.588962797453436"/>
    <n v="0.7125827190932362"/>
    <n v="0"/>
    <n v="0"/>
    <n v="0"/>
    <n v="0"/>
    <n v="0"/>
    <n v="0"/>
    <n v="0"/>
    <m/>
    <n v="0"/>
    <m/>
    <n v="0"/>
    <m/>
    <n v="0"/>
    <m/>
    <m/>
    <n v="0"/>
    <n v="0"/>
    <n v="0"/>
    <n v="0"/>
    <m/>
    <n v="0"/>
    <n v="0"/>
    <n v="0"/>
    <n v="0"/>
    <n v="0"/>
    <x v="1"/>
    <m/>
    <x v="10"/>
    <x v="6"/>
    <s v="Projet OCM (HUAWEI)"/>
    <x v="5"/>
    <s v="{05-25-2026 ocm ran 22H}: 23.05.26: Installation MW pas encore accepté, escalade faite à l'équipe projet_x000a_22.05.26: Installation MW pas encore accepté, escalade faite à l'équipe projet_x000a_21.05.26: Installation MW pas encore accepté, escalade faite à l'équipe projet_x000a_19/05/2026 red zone Lockdown _x000a_18/05/2026 plan for 19/05/2026 ghost town to day _x000a_16.05.26: FME Andre is managing with level 0, update ASAP_x000a_16.05.26: Besoin d'un FME sur site pour vérifier le statut de la RTN; CM-20260516-00002765; FME André activé pour investigations, update ASAP      ;      {05-25-2026 ocm ran 17H}: 23.05.26: Installation MW pas encore accepté, escalade faite à l'équipe projet_x000a_22.05.26: Installation MW pas encore accepté, escalade faite à l'équipe projet_x000a_21.05.26: Installation MW pas encore accepté, escalade faite à l'équipe projet_x000a_19/05/2026 red zone Lockdown _x000a_18/05/2026 plan for 19/05/2026 ghost town to day _x000a_16.05.26: FME Andre is managing with level 0, update ASAP_x000a_16.05.26: Besoin d'un FME sur site pour vérifier le statut de la RTN; CM-20260516-00002765; FME André activé pour investigations, update ASAP"/>
  </r>
  <r>
    <s v="Berore-IHS"/>
    <s v="NRO_086"/>
    <s v="NORD-OUEST"/>
    <s v="IHS"/>
    <s v="Gen Only"/>
    <s v="NORD-OUEST"/>
    <s v="Berore"/>
    <s v="Huawei"/>
    <n v="0"/>
    <n v="0"/>
    <n v="0"/>
    <n v="0"/>
    <n v="0"/>
    <n v="0"/>
    <n v="0"/>
    <n v="0"/>
    <n v="0"/>
    <n v="0"/>
    <n v="0"/>
    <n v="0"/>
    <n v="0"/>
    <n v="3.513777954701755"/>
    <n v="1.358515750514364"/>
    <n v="1.29566493452386"/>
    <n v="0.6531384030613555"/>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      {05-25-2026 ticket}: INC-20260525-00003865...Others Transmission equipement fault"/>
  </r>
  <r>
    <s v="Mutengene-Qter8"/>
    <s v="SUO_064"/>
    <s v="SUD-OUEST"/>
    <s v="IHS"/>
    <s v="Grid-Gen"/>
    <s v="SUD-OUEST"/>
    <s v="Mutengene"/>
    <s v="Huawei"/>
    <n v="0"/>
    <n v="0"/>
    <n v="0"/>
    <n v="0"/>
    <n v="0"/>
    <n v="0"/>
    <n v="0"/>
    <n v="0"/>
    <n v="0"/>
    <n v="0"/>
    <n v="0"/>
    <n v="0"/>
    <n v="0"/>
    <n v="0"/>
    <n v="7.802472227216045"/>
    <n v="10.29308740900543"/>
    <n v="0.6528708768865946"/>
    <n v="0"/>
    <n v="0"/>
    <n v="0"/>
    <n v="0"/>
    <n v="0"/>
    <n v="0"/>
    <n v="0"/>
    <m/>
    <n v="0"/>
    <m/>
    <n v="0"/>
    <m/>
    <n v="0"/>
    <m/>
    <m/>
    <n v="0"/>
    <n v="0"/>
    <n v="0"/>
    <n v="0"/>
    <m/>
    <n v="0"/>
    <n v="0"/>
    <n v="0"/>
    <n v="0"/>
    <n v="0"/>
    <x v="1"/>
    <m/>
    <x v="4"/>
    <x v="0"/>
    <s v="Defaut GE &amp; Power Cabinet"/>
    <x v="0"/>
    <s v="{hourly IHS}: 25/05/2026 04:14 2:09:30 44.1V FME is informed and will manage in the morning, Insecurity area."/>
  </r>
  <r>
    <s v="Mutengene-E-Police"/>
    <s v="SUO_164"/>
    <s v="SUD-OUEST"/>
    <s v="CAMUSAT"/>
    <s v="Hybrid Solar - S1"/>
    <s v="SUD-OUEST"/>
    <s v="Mutengene"/>
    <s v="Huawei"/>
    <n v="0"/>
    <n v="0"/>
    <n v="0"/>
    <n v="0"/>
    <n v="0"/>
    <n v="0"/>
    <n v="0"/>
    <n v="0"/>
    <n v="0"/>
    <n v="0"/>
    <n v="0"/>
    <n v="0"/>
    <n v="0"/>
    <n v="0.001498146578661256"/>
    <n v="7.748681631010779"/>
    <n v="10.07187893263477"/>
    <n v="0.6441138534327532"/>
    <n v="0"/>
    <n v="0"/>
    <n v="0"/>
    <n v="0"/>
    <n v="0"/>
    <n v="0"/>
    <n v="0"/>
    <m/>
    <n v="0"/>
    <m/>
    <n v="0"/>
    <m/>
    <n v="0"/>
    <m/>
    <m/>
    <n v="0"/>
    <n v="0"/>
    <n v="0"/>
    <n v="0"/>
    <m/>
    <n v="0"/>
    <n v="0"/>
    <n v="0"/>
    <n v="0"/>
    <n v="0"/>
    <x v="1"/>
    <m/>
    <x v="5"/>
    <x v="2"/>
    <s v="MPR ISSUE"/>
    <x v="2"/>
    <s v="{05-25-2026 ocm ran 22H}: 24/05/2026 besoin d'un fme sur site pour le status du MPR et la chaine antennaire de l ODU 3/1 Fme desmond activé ETA ASAP       ;      {05-25-2026 ocm ran 17H}: 24/05/2026 besoin d'un fme sur site pour le status du MPR et la chaine antennaire de l ODU 3/1 Fme desmond activé ETA ASAP "/>
  </r>
  <r>
    <s v="Ndop-Kake-Hill"/>
    <s v="NRO_137"/>
    <s v="NORD-OUEST"/>
    <s v="IHS"/>
    <s v="Grid-Gen"/>
    <s v="NORD-OUEST"/>
    <s v="Ndop"/>
    <s v="Huawei"/>
    <n v="0"/>
    <n v="0"/>
    <n v="0"/>
    <n v="0"/>
    <n v="0"/>
    <n v="0"/>
    <n v="0"/>
    <n v="0"/>
    <n v="0"/>
    <n v="0"/>
    <n v="0"/>
    <n v="0"/>
    <n v="0"/>
    <n v="0"/>
    <n v="0"/>
    <n v="0"/>
    <n v="0.327505543142341"/>
    <n v="0"/>
    <n v="0"/>
    <n v="0"/>
    <n v="0"/>
    <n v="0"/>
    <n v="0"/>
    <n v="0"/>
    <m/>
    <n v="0"/>
    <m/>
    <n v="0"/>
    <m/>
    <n v="0"/>
    <m/>
    <m/>
    <n v="0"/>
    <n v="0"/>
    <n v="0"/>
    <n v="0"/>
    <m/>
    <n v="0"/>
    <n v="0"/>
    <n v="0"/>
    <n v="0"/>
    <n v="0"/>
    <x v="1"/>
    <m/>
    <x v="4"/>
    <x v="0"/>
    <s v="Defaut GE &amp; Power Cabinet"/>
    <x v="0"/>
    <s v="{hourly IHS}: 25/05/2026 10:51 1:09:00 46 V FME is informed and managing"/>
  </r>
  <r>
    <s v="Mutengene"/>
    <s v="SUO_005"/>
    <s v="SUD-OUEST"/>
    <s v="IHS"/>
    <s v="Grid-Gen"/>
    <s v="SUD-OUEST"/>
    <s v="Mutengene"/>
    <s v="Huawei"/>
    <n v="0"/>
    <n v="0"/>
    <n v="0"/>
    <n v="0"/>
    <n v="0"/>
    <n v="0"/>
    <n v="0"/>
    <n v="0"/>
    <n v="0"/>
    <n v="0"/>
    <n v="0"/>
    <n v="0"/>
    <n v="0"/>
    <n v="0"/>
    <n v="4.025198825453082"/>
    <n v="4.636335619076971"/>
    <n v="0.2968113733581027"/>
    <n v="0"/>
    <n v="0"/>
    <n v="0"/>
    <n v="0"/>
    <n v="0"/>
    <n v="0"/>
    <n v="0"/>
    <m/>
    <n v="0"/>
    <m/>
    <n v="0"/>
    <m/>
    <n v="0"/>
    <m/>
    <m/>
    <n v="0"/>
    <n v="0"/>
    <n v="0"/>
    <n v="0"/>
    <m/>
    <n v="0"/>
    <n v="0"/>
    <n v="0"/>
    <n v="0"/>
    <n v="0"/>
    <x v="1"/>
    <m/>
    <x v="2"/>
    <x v="1"/>
    <s v="no root cause"/>
    <x v="1"/>
    <s v=""/>
  </r>
  <r>
    <s v="Tinto"/>
    <s v="SUO_040"/>
    <s v="SUD-OUEST"/>
    <s v="IHS"/>
    <s v="Gen Only"/>
    <s v="SUD-OUEST"/>
    <s v="Tinto"/>
    <s v="Huawei"/>
    <n v="0"/>
    <n v="0"/>
    <n v="0"/>
    <n v="0"/>
    <n v="0"/>
    <n v="0"/>
    <n v="0"/>
    <n v="0"/>
    <n v="0"/>
    <n v="0"/>
    <n v="0"/>
    <n v="0"/>
    <n v="0"/>
    <n v="2.340586502983452"/>
    <n v="2.919156443599775"/>
    <n v="2.86686399397317"/>
    <n v="0.2528657403840391"/>
    <n v="0"/>
    <n v="0"/>
    <n v="0"/>
    <n v="0"/>
    <n v="0"/>
    <n v="0"/>
    <n v="0"/>
    <m/>
    <n v="0"/>
    <m/>
    <n v="0"/>
    <m/>
    <n v="0"/>
    <m/>
    <m/>
    <n v="0"/>
    <n v="0"/>
    <n v="0"/>
    <n v="0"/>
    <m/>
    <n v="0"/>
    <n v="0"/>
    <n v="0"/>
    <n v="0"/>
    <n v="0"/>
    <x v="1"/>
    <m/>
    <x v="13"/>
    <x v="8"/>
    <s v="ACCESS-ISSUE"/>
    <x v="6"/>
    <s v="{05-25-2026 ocm ran 22H}: 24/05/2026 Apres travaux avec le level 0 probleme sur site de fainschang red zone _x000a_23/05/2026 |Check ongoing with FME Donald and level zero ETA=03PM_x000a_22/05/2026 FME is checking remotly with Level0_x000a_22.05.2026: FME Activated is managing no ETA. Site under NOSO Area_x000a_22.05.2026: Need FME on the site to check RTN Status      ;      {05-25-2026 ocm ran 17H}: 24/05/2026 Apres travaux avec le level 0 probleme sur site de fainschang red zone _x000a_23/05/2026 |Check ongoing with FME Donald and level zero ETA=03PM_x000a_22/05/2026 FME is checking remotly with Level0_x000a_22.05.2026: FME Activated is managing no ETA. Site under NOSO Area_x000a_22.05.2026: Need FME on the site to check RTN Status"/>
  </r>
  <r>
    <s v="Logone-Birni"/>
    <s v="EXN_051"/>
    <s v="EXTREME-NORD"/>
    <s v="IHS"/>
    <s v="Solar-Gen"/>
    <s v="EXTREME-NORD"/>
    <s v="Logone-Birni"/>
    <s v="Huawei"/>
    <n v="0"/>
    <n v="0"/>
    <n v="0"/>
    <n v="0"/>
    <n v="0"/>
    <n v="0"/>
    <n v="0"/>
    <n v="0"/>
    <n v="0"/>
    <n v="0"/>
    <n v="0"/>
    <n v="0"/>
    <n v="0"/>
    <n v="0.9612215459160526"/>
    <n v="0"/>
    <n v="0"/>
    <n v="0.2127368141698984"/>
    <n v="0"/>
    <n v="0"/>
    <n v="0"/>
    <n v="0"/>
    <n v="0"/>
    <n v="0"/>
    <n v="0"/>
    <m/>
    <n v="0"/>
    <m/>
    <n v="0"/>
    <m/>
    <n v="0"/>
    <m/>
    <m/>
    <n v="0"/>
    <n v="0"/>
    <n v="0"/>
    <n v="0"/>
    <m/>
    <n v="0"/>
    <n v="0"/>
    <n v="0"/>
    <n v="0"/>
    <n v="0"/>
    <x v="1"/>
    <m/>
    <x v="2"/>
    <x v="1"/>
    <s v="no root cause"/>
    <x v="1"/>
    <s v=""/>
  </r>
  <r>
    <s v="Kosseoua"/>
    <s v="EXN_244"/>
    <s v="EXTREME-NORD"/>
    <s v="CAMUSAT"/>
    <s v="HGB"/>
    <s v="EXTREME-NORD"/>
    <s v="Kosseoua"/>
    <s v="Huawei"/>
    <n v="0"/>
    <n v="0"/>
    <n v="0"/>
    <n v="0"/>
    <n v="0"/>
    <n v="0"/>
    <n v="0"/>
    <n v="0"/>
    <n v="0"/>
    <n v="0"/>
    <n v="0"/>
    <n v="0"/>
    <n v="0"/>
    <n v="6.848705744036662"/>
    <n v="7.938000987349936"/>
    <n v="0.6105125658827796"/>
    <n v="0.118567600654048"/>
    <n v="0"/>
    <n v="0"/>
    <n v="0"/>
    <n v="0"/>
    <n v="0"/>
    <n v="0"/>
    <n v="0"/>
    <m/>
    <n v="0"/>
    <m/>
    <n v="0"/>
    <m/>
    <n v="0"/>
    <m/>
    <m/>
    <n v="0"/>
    <n v="0"/>
    <n v="0"/>
    <n v="0"/>
    <m/>
    <n v="0"/>
    <n v="0"/>
    <n v="0"/>
    <n v="0"/>
    <n v="0"/>
    <x v="1"/>
    <m/>
    <x v="4"/>
    <x v="0"/>
    <s v="Defaut GE &amp; Power Cabinet"/>
    <x v="0"/>
    <s v="{05-25-2026  incident}:    impacted by  EXN_036_N_Balaza , Cause:   Soucis Energie   Action: En Attente RCA IHS      ;      {05-25-2026 ocm ran 22H}: Power status check Ongoing"/>
  </r>
  <r>
    <s v="Akum-Ville-MTN"/>
    <s v="NRO_240"/>
    <s v="NORD-OUEST"/>
    <s v="IHS"/>
    <s v="Grid-Gen"/>
    <s v="NORD-OUEST"/>
    <s v="Akum"/>
    <s v="Huawei"/>
    <n v="0"/>
    <n v="0"/>
    <n v="0"/>
    <n v="0"/>
    <n v="0"/>
    <n v="0"/>
    <n v="0"/>
    <n v="0"/>
    <n v="0"/>
    <n v="0"/>
    <n v="0"/>
    <n v="0"/>
    <n v="0"/>
    <n v="0.1164273912559605"/>
    <n v="0"/>
    <n v="0"/>
    <n v="0.04251882670867185"/>
    <n v="0"/>
    <n v="0"/>
    <n v="0"/>
    <n v="0"/>
    <n v="0"/>
    <n v="0"/>
    <n v="0"/>
    <m/>
    <n v="0"/>
    <m/>
    <n v="0"/>
    <m/>
    <n v="0"/>
    <m/>
    <m/>
    <n v="0"/>
    <n v="0"/>
    <n v="0"/>
    <n v="0"/>
    <m/>
    <n v="0"/>
    <n v="0"/>
    <n v="0"/>
    <n v="0"/>
    <n v="0"/>
    <x v="1"/>
    <m/>
    <x v="4"/>
    <x v="0"/>
    <s v="Defaut GE &amp; Power Cabinet"/>
    <x v="0"/>
    <s v="{hourly IHS}: 25/05/2026 21:49 1:10:32 FME Pascal is managing with level 0"/>
  </r>
  <r>
    <s v="Tokombere"/>
    <s v="EXN_015"/>
    <s v="EXTREME-NORD"/>
    <s v="IHS"/>
    <s v="Grid-Gen"/>
    <s v="EXTREME-NORD"/>
    <s v="Tokombere"/>
    <s v="Huawei"/>
    <n v="0"/>
    <n v="0"/>
    <n v="0"/>
    <n v="0"/>
    <n v="0"/>
    <n v="0"/>
    <n v="0"/>
    <n v="0"/>
    <n v="0"/>
    <n v="0"/>
    <n v="0"/>
    <n v="0"/>
    <n v="0"/>
    <n v="0.6001503853803725"/>
    <n v="0.0243983871381976"/>
    <n v="0"/>
    <n v="0.02924952844052929"/>
    <n v="0"/>
    <n v="0"/>
    <n v="0"/>
    <n v="0"/>
    <n v="0"/>
    <n v="0"/>
    <n v="0"/>
    <m/>
    <n v="0"/>
    <m/>
    <n v="0"/>
    <m/>
    <n v="0"/>
    <m/>
    <m/>
    <n v="0"/>
    <n v="0"/>
    <n v="0"/>
    <n v="0"/>
    <m/>
    <n v="0"/>
    <n v="0"/>
    <n v="0"/>
    <n v="0"/>
    <n v="0"/>
    <x v="1"/>
    <m/>
    <x v="4"/>
    <x v="0"/>
    <s v="Defaut GE &amp; Power Cabinet"/>
    <x v="0"/>
    <s v="{hourly IHS}: 25/05/2026 15:02 2:17:05 Brice is informed and managing"/>
  </r>
  <r>
    <s v="Ekombe-Bondji-IHS"/>
    <s v="SUO_091"/>
    <s v="SUD-OUEST"/>
    <s v="IHS"/>
    <s v="Gen Only"/>
    <s v="SUD-OUEST"/>
    <s v="Mbongue"/>
    <s v="Huawei"/>
    <n v="0"/>
    <n v="0"/>
    <n v="0"/>
    <n v="0"/>
    <n v="0"/>
    <n v="0"/>
    <n v="0"/>
    <n v="0"/>
    <n v="0"/>
    <n v="0"/>
    <n v="0"/>
    <n v="0"/>
    <n v="0"/>
    <n v="0"/>
    <n v="0"/>
    <n v="0"/>
    <n v="0.02013580342033998"/>
    <n v="0"/>
    <n v="0"/>
    <n v="0"/>
    <n v="0"/>
    <n v="0"/>
    <n v="0"/>
    <n v="0"/>
    <m/>
    <n v="0"/>
    <m/>
    <n v="0"/>
    <m/>
    <n v="0"/>
    <m/>
    <m/>
    <n v="0"/>
    <n v="0"/>
    <n v="0"/>
    <n v="0"/>
    <m/>
    <n v="0"/>
    <n v="0"/>
    <n v="0"/>
    <n v="0"/>
    <n v="0"/>
    <x v="1"/>
    <m/>
    <x v="2"/>
    <x v="1"/>
    <s v="no root cause"/>
    <x v="1"/>
    <s v=""/>
  </r>
  <r>
    <s v="Bombanda-Ebulu-IHS"/>
    <s v="SUO_095"/>
    <s v="SUD-OUEST"/>
    <s v="IHS"/>
    <s v="Vandalized"/>
    <s v="SUD-OUEST"/>
    <s v="Mbongue"/>
    <s v="Huawei"/>
    <n v="0"/>
    <n v="0"/>
    <n v="0"/>
    <n v="0"/>
    <n v="0"/>
    <n v="0"/>
    <n v="0"/>
    <n v="0"/>
    <n v="0"/>
    <n v="0"/>
    <n v="0"/>
    <n v="0"/>
    <n v="0"/>
    <n v="0"/>
    <n v="0"/>
    <n v="0.02425570651165843"/>
    <n v="0.02011796834202258"/>
    <n v="0"/>
    <n v="0"/>
    <n v="0"/>
    <n v="0"/>
    <n v="0"/>
    <n v="0"/>
    <n v="0"/>
    <m/>
    <n v="0"/>
    <m/>
    <n v="0"/>
    <m/>
    <n v="0"/>
    <m/>
    <m/>
    <n v="0"/>
    <n v="0"/>
    <n v="0"/>
    <n v="0"/>
    <m/>
    <n v="0"/>
    <n v="0"/>
    <n v="0"/>
    <n v="0"/>
    <n v="0"/>
    <x v="1"/>
    <m/>
    <x v="2"/>
    <x v="1"/>
    <s v="no root cause"/>
    <x v="1"/>
    <s v=""/>
  </r>
  <r>
    <s v="Ekondo-titi"/>
    <s v="SUO_019"/>
    <s v="SUD-OUEST"/>
    <s v="IHS"/>
    <s v="Grid-Gen"/>
    <s v="SUD-OUEST"/>
    <s v="Ekondo-Titi"/>
    <s v="Huawei"/>
    <n v="0"/>
    <n v="0"/>
    <n v="0"/>
    <n v="0"/>
    <n v="0"/>
    <n v="0"/>
    <n v="0"/>
    <n v="0"/>
    <n v="0"/>
    <n v="0"/>
    <n v="0"/>
    <n v="0"/>
    <n v="0"/>
    <n v="0"/>
    <n v="0.4402945784215527"/>
    <n v="0.1528109510234482"/>
    <n v="0.01649744744359121"/>
    <n v="0"/>
    <n v="0"/>
    <n v="0"/>
    <n v="0"/>
    <n v="0"/>
    <n v="0"/>
    <n v="0"/>
    <m/>
    <n v="0"/>
    <m/>
    <n v="0"/>
    <m/>
    <n v="0"/>
    <m/>
    <m/>
    <n v="0"/>
    <n v="0"/>
    <n v="0"/>
    <n v="0"/>
    <m/>
    <n v="0"/>
    <n v="0"/>
    <n v="0"/>
    <n v="0"/>
    <n v="0"/>
    <x v="1"/>
    <m/>
    <x v="2"/>
    <x v="1"/>
    <s v="no root cause"/>
    <x v="1"/>
    <s v=""/>
  </r>
  <r>
    <s v="Mada-IHS"/>
    <s v="EXN_223"/>
    <s v="EXTREME-NORD"/>
    <s v="IHS"/>
    <s v="Gen Only"/>
    <s v="EXTREME-NORD"/>
    <s v="Mada"/>
    <s v="Huawei"/>
    <n v="0"/>
    <n v="0"/>
    <n v="0"/>
    <n v="0"/>
    <n v="0"/>
    <n v="0"/>
    <n v="0"/>
    <n v="0"/>
    <n v="0"/>
    <n v="0"/>
    <n v="0"/>
    <n v="0"/>
    <n v="0"/>
    <n v="0.9026333136434068"/>
    <n v="0.8379811547428466"/>
    <n v="0.003299489488718241"/>
    <n v="0.01432156788886892"/>
    <n v="0"/>
    <n v="0"/>
    <n v="0"/>
    <n v="0"/>
    <n v="0"/>
    <n v="0"/>
    <n v="0"/>
    <m/>
    <n v="0"/>
    <m/>
    <n v="0"/>
    <m/>
    <n v="0"/>
    <m/>
    <m/>
    <n v="0"/>
    <n v="0"/>
    <n v="0"/>
    <n v="0"/>
    <m/>
    <n v="0"/>
    <n v="0"/>
    <n v="0"/>
    <n v="0"/>
    <n v="0"/>
    <x v="1"/>
    <m/>
    <x v="2"/>
    <x v="1"/>
    <s v="no root cause"/>
    <x v="1"/>
    <s v=""/>
  </r>
  <r>
    <s v="Kar-Hay"/>
    <s v="EXN_022"/>
    <s v="EXTREME-NORD"/>
    <s v="IHS"/>
    <s v="Solar-Grid-Gen"/>
    <s v="EXTREME-NORD"/>
    <s v="Kar-Hay"/>
    <s v="Huawei"/>
    <n v="0"/>
    <n v="0"/>
    <n v="0"/>
    <n v="0"/>
    <n v="0"/>
    <n v="0"/>
    <n v="0"/>
    <n v="0"/>
    <n v="0"/>
    <n v="0"/>
    <n v="0"/>
    <n v="0"/>
    <n v="0"/>
    <n v="0.3360663807346911"/>
    <n v="0.01763889245590455"/>
    <n v="0.340792676488801"/>
    <n v="0.01318012287655558"/>
    <n v="0"/>
    <n v="0"/>
    <n v="0"/>
    <n v="0"/>
    <n v="0"/>
    <n v="0"/>
    <n v="0"/>
    <m/>
    <n v="0"/>
    <m/>
    <n v="0"/>
    <m/>
    <n v="0"/>
    <m/>
    <m/>
    <n v="0"/>
    <n v="0"/>
    <n v="0"/>
    <n v="0"/>
    <m/>
    <n v="0"/>
    <n v="0"/>
    <n v="0"/>
    <n v="0"/>
    <n v="0"/>
    <x v="1"/>
    <m/>
    <x v="4"/>
    <x v="0"/>
    <s v="Defaut GE &amp; Power Cabinet"/>
    <x v="0"/>
    <s v="{05-25-2026  incident}:    impacted by  EXN_074_H_Dziguilao ,   RCA: Power issue / En attente RCA IHS      ;      {hourly IHS}: 25/05/2026 02:41 0:41:27 49.5V Mamoudou is informed and managing with L0.      ;      {05-25-2026 ocm ran 17H}: P1 Incident at EXN_074_H_Dziguilao; Power issue; IHS"/>
  </r>
  <r>
    <s v="Bai-Panya-IHS"/>
    <s v="SUO_093"/>
    <s v="SUD-OUEST"/>
    <s v="IHS"/>
    <s v="Gen Only"/>
    <s v="SUD-OUEST"/>
    <s v="Mbongue"/>
    <s v="Huawei"/>
    <n v="0"/>
    <n v="0"/>
    <n v="0"/>
    <n v="0"/>
    <n v="0"/>
    <n v="0"/>
    <n v="0"/>
    <n v="0"/>
    <n v="0"/>
    <n v="0"/>
    <n v="0"/>
    <n v="0"/>
    <n v="0"/>
    <n v="0"/>
    <n v="0"/>
    <n v="0.2045683483005311"/>
    <n v="0.01211001817751182"/>
    <n v="0"/>
    <n v="0"/>
    <n v="0"/>
    <n v="0"/>
    <n v="0"/>
    <n v="0"/>
    <n v="0"/>
    <m/>
    <n v="0"/>
    <m/>
    <n v="0"/>
    <m/>
    <n v="0"/>
    <m/>
    <m/>
    <n v="0"/>
    <n v="0"/>
    <n v="0"/>
    <n v="0"/>
    <m/>
    <n v="0"/>
    <n v="0"/>
    <n v="0"/>
    <n v="0"/>
    <n v="0"/>
    <x v="1"/>
    <m/>
    <x v="2"/>
    <x v="1"/>
    <s v="no root cause"/>
    <x v="1"/>
    <s v=""/>
  </r>
  <r>
    <s v="Ekondo-Nege-MTN"/>
    <s v="SUO_047"/>
    <s v="SUD-OUEST"/>
    <s v="IHS"/>
    <s v="Hybrid-Gen"/>
    <s v="SUD-OUEST"/>
    <s v="Ekondo-Nege"/>
    <s v="Huawei"/>
    <n v="0"/>
    <n v="0"/>
    <n v="0"/>
    <n v="0"/>
    <n v="0"/>
    <n v="0"/>
    <n v="0"/>
    <n v="0"/>
    <n v="0"/>
    <n v="0"/>
    <n v="0"/>
    <n v="0"/>
    <n v="0"/>
    <n v="0"/>
    <n v="0"/>
    <n v="0.06850453581711768"/>
    <n v="0.00766908367648024"/>
    <n v="0"/>
    <n v="0"/>
    <n v="0"/>
    <n v="0"/>
    <n v="0"/>
    <n v="0"/>
    <n v="0"/>
    <m/>
    <n v="0"/>
    <m/>
    <n v="0"/>
    <m/>
    <n v="0"/>
    <m/>
    <m/>
    <n v="0"/>
    <n v="0"/>
    <n v="0"/>
    <n v="0"/>
    <m/>
    <n v="0"/>
    <n v="0"/>
    <n v="0"/>
    <n v="0"/>
    <n v="0"/>
    <x v="1"/>
    <m/>
    <x v="2"/>
    <x v="1"/>
    <s v="no root cause"/>
    <x v="1"/>
    <s v=""/>
  </r>
  <r>
    <s v="Fotokol-Town-IHS"/>
    <s v="EXN_259"/>
    <s v="EXTREME-NORD"/>
    <s v="IHS"/>
    <s v="Hybrid-Gen"/>
    <s v="EXTREME-NORD"/>
    <s v="Fotokol"/>
    <s v="Huawei"/>
    <n v="0"/>
    <n v="0"/>
    <n v="0"/>
    <n v="0"/>
    <n v="0"/>
    <n v="0"/>
    <n v="0"/>
    <n v="0"/>
    <n v="0"/>
    <n v="0"/>
    <n v="0"/>
    <n v="15.52547134544977"/>
    <n v="0"/>
    <n v="2.275506302203275"/>
    <n v="0.7692447629076028"/>
    <n v="0.004547944970935955"/>
    <n v="0.004815471145696894"/>
    <n v="0"/>
    <n v="0"/>
    <n v="0"/>
    <n v="0"/>
    <n v="0"/>
    <n v="0"/>
    <n v="0"/>
    <m/>
    <n v="0"/>
    <m/>
    <n v="0"/>
    <m/>
    <n v="0"/>
    <m/>
    <m/>
    <n v="0"/>
    <n v="0"/>
    <n v="0"/>
    <n v="0"/>
    <m/>
    <n v="0"/>
    <n v="0"/>
    <n v="0"/>
    <n v="0"/>
    <n v="0"/>
    <x v="1"/>
    <m/>
    <x v="2"/>
    <x v="1"/>
    <s v="no root cause"/>
    <x v="1"/>
    <s v=""/>
  </r>
  <r>
    <s v="Bogo-Marche"/>
    <s v="EXN_191"/>
    <s v="EXTREME-NORD"/>
    <s v="CAMUSAT"/>
    <s v="Bad Grid + GE"/>
    <s v="EXTREME-NORD"/>
    <s v="Bogo"/>
    <s v="Huawei"/>
    <n v="0"/>
    <n v="0"/>
    <n v="0"/>
    <n v="0"/>
    <n v="0"/>
    <n v="0"/>
    <n v="0"/>
    <n v="0"/>
    <n v="0"/>
    <n v="0"/>
    <n v="0"/>
    <n v="0"/>
    <n v="0"/>
    <n v="0"/>
    <n v="0.003460005193574805"/>
    <n v="0"/>
    <n v="0.003210314097131262"/>
    <n v="0"/>
    <n v="0"/>
    <n v="0"/>
    <n v="0"/>
    <n v="0"/>
    <n v="0"/>
    <n v="0"/>
    <m/>
    <n v="0"/>
    <m/>
    <n v="0"/>
    <m/>
    <n v="0"/>
    <m/>
    <m/>
    <n v="0"/>
    <n v="0"/>
    <n v="0"/>
    <n v="0"/>
    <m/>
    <n v="0"/>
    <n v="0"/>
    <n v="0"/>
    <n v="0"/>
    <n v="0"/>
    <x v="1"/>
    <m/>
    <x v="2"/>
    <x v="1"/>
    <s v="no root cause"/>
    <x v="1"/>
    <s v=""/>
  </r>
  <r>
    <s v="Jakiri"/>
    <s v="NRO_019"/>
    <s v="NORD-OUEST"/>
    <s v="IHS"/>
    <s v="Grid-Gen"/>
    <s v="NORD-OUEST"/>
    <s v="Jakiri"/>
    <s v="Huawei"/>
    <n v="0"/>
    <n v="0"/>
    <n v="0"/>
    <n v="0"/>
    <n v="0"/>
    <n v="0"/>
    <n v="0"/>
    <n v="0"/>
    <n v="0"/>
    <n v="0"/>
    <n v="0"/>
    <n v="0"/>
    <n v="0"/>
    <n v="3.834452662848532"/>
    <n v="0"/>
    <n v="0"/>
    <n v="0.001159280090630734"/>
    <n v="0"/>
    <n v="0"/>
    <n v="0"/>
    <n v="0"/>
    <n v="0"/>
    <n v="0"/>
    <n v="0"/>
    <m/>
    <n v="0"/>
    <m/>
    <n v="0"/>
    <m/>
    <n v="0"/>
    <m/>
    <m/>
    <n v="0"/>
    <n v="0"/>
    <n v="0"/>
    <n v="0"/>
    <m/>
    <n v="0"/>
    <n v="0"/>
    <n v="0"/>
    <n v="0"/>
    <n v="0"/>
    <x v="1"/>
    <m/>
    <x v="2"/>
    <x v="1"/>
    <s v="no root cause"/>
    <x v="1"/>
    <s v=""/>
  </r>
  <r>
    <s v="Kumbo-II"/>
    <s v="NRO_020"/>
    <s v="NORD-OUEST"/>
    <m/>
    <m/>
    <s v="NORD-OUEST"/>
    <s v="Kumbo"/>
    <s v="Huawei"/>
    <n v="0"/>
    <n v="0"/>
    <n v="0"/>
    <n v="0"/>
    <n v="0"/>
    <n v="0"/>
    <n v="0"/>
    <n v="0"/>
    <n v="0"/>
    <n v="0"/>
    <n v="0"/>
    <n v="0"/>
    <n v="0"/>
    <n v="2.533811741474119"/>
    <n v="0"/>
    <n v="0"/>
    <n v="0.0008025785242828158"/>
    <n v="0"/>
    <n v="0"/>
    <n v="0"/>
    <n v="0"/>
    <n v="0"/>
    <n v="0"/>
    <n v="0"/>
    <m/>
    <n v="0"/>
    <m/>
    <n v="0"/>
    <m/>
    <n v="0"/>
    <m/>
    <m/>
    <n v="0"/>
    <n v="0"/>
    <n v="0"/>
    <n v="0"/>
    <m/>
    <n v="0"/>
    <n v="0"/>
    <n v="0"/>
    <n v="0"/>
    <n v="0"/>
    <x v="1"/>
    <m/>
    <x v="2"/>
    <x v="1"/>
    <s v="no root cause"/>
    <x v="1"/>
    <s v=""/>
  </r>
  <r>
    <s v="MBIYEH-IHS"/>
    <s v="NRO_150"/>
    <s v="NORD-OUEST"/>
    <s v="IHS"/>
    <m/>
    <s v="NORD-OUEST"/>
    <s v="Ndu"/>
    <s v="Huawei"/>
    <n v="0"/>
    <n v="0"/>
    <n v="0"/>
    <n v="0"/>
    <n v="0"/>
    <n v="0"/>
    <n v="0"/>
    <n v="0"/>
    <n v="0"/>
    <n v="0"/>
    <n v="0"/>
    <n v="0"/>
    <n v="0"/>
    <n v="2.537200406354424"/>
    <n v="0"/>
    <n v="0.0043517591094446"/>
    <n v="0.0005350523495218772"/>
    <n v="0"/>
    <n v="0"/>
    <n v="0"/>
    <n v="0"/>
    <n v="0"/>
    <n v="0"/>
    <n v="0"/>
    <m/>
    <n v="0"/>
    <m/>
    <n v="0"/>
    <m/>
    <n v="0"/>
    <m/>
    <m/>
    <n v="0"/>
    <n v="0"/>
    <n v="0"/>
    <n v="0"/>
    <m/>
    <n v="0"/>
    <n v="0"/>
    <n v="0"/>
    <n v="0"/>
    <n v="0"/>
    <x v="1"/>
    <m/>
    <x v="2"/>
    <x v="1"/>
    <s v="no root cause"/>
    <x v="1"/>
    <s v=""/>
  </r>
  <r>
    <s v="Ndop-Catholic-Church"/>
    <s v="NRO_136"/>
    <s v="NORD-OUEST"/>
    <s v="IHS"/>
    <s v="Grid-Gen"/>
    <s v="NORD-OUEST"/>
    <s v="Ndop"/>
    <s v="Huawei"/>
    <n v="0"/>
    <n v="0"/>
    <n v="0"/>
    <n v="0"/>
    <n v="0"/>
    <n v="0"/>
    <n v="0"/>
    <n v="0"/>
    <n v="0"/>
    <n v="0"/>
    <n v="0"/>
    <n v="0"/>
    <n v="0"/>
    <n v="0.0008025785242828158"/>
    <n v="0"/>
    <n v="0"/>
    <n v="0.0003567015663479182"/>
    <n v="0"/>
    <n v="0"/>
    <n v="0"/>
    <n v="0"/>
    <n v="0"/>
    <n v="0"/>
    <n v="0"/>
    <m/>
    <n v="0"/>
    <m/>
    <n v="0"/>
    <m/>
    <n v="0"/>
    <m/>
    <m/>
    <n v="0"/>
    <n v="0"/>
    <n v="0"/>
    <n v="0"/>
    <m/>
    <n v="0"/>
    <n v="0"/>
    <n v="0"/>
    <n v="0"/>
    <n v="0"/>
    <x v="1"/>
    <m/>
    <x v="2"/>
    <x v="1"/>
    <s v="no root cause"/>
    <x v="1"/>
    <s v=""/>
  </r>
  <r>
    <s v="Jakiri-Church-IHS"/>
    <s v="NRO_138"/>
    <s v="NORD-OUEST"/>
    <s v="IHS"/>
    <s v="Grid-Gen"/>
    <s v="NORD-OUEST"/>
    <s v="Jakiri"/>
    <s v="Huawei"/>
    <n v="0"/>
    <n v="0"/>
    <n v="0"/>
    <n v="0"/>
    <n v="0"/>
    <n v="0"/>
    <n v="0"/>
    <n v="0"/>
    <n v="0"/>
    <n v="0"/>
    <n v="0"/>
    <n v="0"/>
    <n v="0"/>
    <n v="2.473796702936082"/>
    <n v="0.07854568490981159"/>
    <n v="0.0002675261747609386"/>
    <n v="0.0002675261747609386"/>
    <n v="0"/>
    <n v="0"/>
    <n v="0"/>
    <n v="0.00927424072504641"/>
    <n v="0"/>
    <n v="0"/>
    <n v="0"/>
    <m/>
    <n v="0"/>
    <m/>
    <n v="0"/>
    <m/>
    <n v="0"/>
    <m/>
    <m/>
    <n v="0"/>
    <n v="0"/>
    <n v="0"/>
    <n v="0"/>
    <m/>
    <n v="0"/>
    <n v="0"/>
    <n v="0"/>
    <n v="0"/>
    <n v="0"/>
    <x v="1"/>
    <m/>
    <x v="2"/>
    <x v="1"/>
    <s v="no root cause"/>
    <x v="1"/>
    <s v=""/>
  </r>
  <r>
    <s v="Amchide"/>
    <s v="EXN_007"/>
    <s v="EXTREME-NORD"/>
    <s v="IHS"/>
    <s v="Grid-Hybrid-Gen"/>
    <s v="EXTREME-NORD"/>
    <s v="Amchide"/>
    <s v="Huawei"/>
    <n v="0"/>
    <n v="0"/>
    <n v="0"/>
    <n v="0"/>
    <n v="0"/>
    <n v="0"/>
    <n v="0"/>
    <n v="0"/>
    <n v="0"/>
    <n v="0"/>
    <n v="0"/>
    <n v="0"/>
    <n v="0"/>
    <n v="0.5831713908222113"/>
    <n v="0.006777329760610444"/>
    <n v="0.001248455482217714"/>
    <n v="0.0001783507831739591"/>
    <n v="0"/>
    <n v="0"/>
    <n v="0"/>
    <n v="0"/>
    <n v="0"/>
    <n v="0"/>
    <n v="0"/>
    <m/>
    <n v="0"/>
    <m/>
    <n v="0"/>
    <m/>
    <n v="0"/>
    <m/>
    <m/>
    <n v="0"/>
    <n v="0"/>
    <n v="0"/>
    <n v="0"/>
    <m/>
    <n v="0"/>
    <n v="0"/>
    <n v="0"/>
    <n v="0"/>
    <n v="0"/>
    <x v="2"/>
    <s v="site vandalise"/>
    <x v="9"/>
    <x v="5"/>
    <s v="EXCLU"/>
    <x v="4"/>
    <s v=""/>
  </r>
  <r>
    <s v="Mindif"/>
    <s v="EXN_037"/>
    <s v="EXTREME-NORD"/>
    <s v="IHS"/>
    <s v="Grid-Gen"/>
    <s v="EXTREME-NORD"/>
    <s v="Mindif"/>
    <s v="Huawei"/>
    <n v="0"/>
    <n v="0"/>
    <n v="0"/>
    <n v="0"/>
    <n v="0"/>
    <n v="0"/>
    <n v="0"/>
    <n v="0"/>
    <n v="0"/>
    <n v="0"/>
    <n v="0"/>
    <n v="0"/>
    <n v="0"/>
    <n v="0"/>
    <n v="0"/>
    <n v="0"/>
    <n v="8.917539158697954e-05"/>
    <n v="0"/>
    <n v="0"/>
    <n v="0"/>
    <n v="0"/>
    <n v="0"/>
    <n v="0"/>
    <n v="0"/>
    <m/>
    <n v="0"/>
    <m/>
    <n v="0"/>
    <m/>
    <n v="0"/>
    <m/>
    <m/>
    <n v="0"/>
    <n v="0"/>
    <n v="0"/>
    <n v="0"/>
    <m/>
    <n v="0"/>
    <n v="0"/>
    <n v="0"/>
    <n v="0"/>
    <n v="0"/>
    <x v="1"/>
    <m/>
    <x v="2"/>
    <x v="1"/>
    <s v="no root cause"/>
    <x v="1"/>
    <s v=""/>
  </r>
  <r>
    <s v="Pette"/>
    <s v="EXN_039"/>
    <s v="EXTREME-NORD"/>
    <s v="CAMUSAT"/>
    <s v="Hybrid Solar - S3"/>
    <s v="EXTREME-NORD"/>
    <s v="Pette"/>
    <s v="Huawei"/>
    <n v="0"/>
    <n v="0"/>
    <n v="0"/>
    <n v="0"/>
    <n v="0"/>
    <n v="0"/>
    <n v="0"/>
    <n v="0"/>
    <n v="0"/>
    <n v="0"/>
    <n v="0"/>
    <n v="0"/>
    <n v="0"/>
    <n v="18.49140919947607"/>
    <n v="18.49140919947607"/>
    <n v="7.969069693778842"/>
    <n v="0"/>
    <n v="0"/>
    <n v="0"/>
    <n v="0"/>
    <n v="0"/>
    <n v="0"/>
    <n v="0"/>
    <n v="0"/>
    <m/>
    <n v="0"/>
    <m/>
    <n v="0"/>
    <m/>
    <n v="0"/>
    <m/>
    <m/>
    <n v="0"/>
    <n v="0"/>
    <n v="0"/>
    <n v="0"/>
    <m/>
    <n v="0"/>
    <n v="0"/>
    <n v="0"/>
    <n v="0"/>
    <n v="0"/>
    <x v="1"/>
    <m/>
    <x v="2"/>
    <x v="1"/>
    <s v="no root cause"/>
    <x v="1"/>
    <s v=""/>
  </r>
  <r>
    <s v="Bafut-Swie-Hill-IHS"/>
    <s v="NRO_102"/>
    <s v="NORD-OUEST"/>
    <s v="IHS"/>
    <s v="Gen Only"/>
    <s v="NORD-OUEST"/>
    <s v="Bafut"/>
    <s v="Huawei"/>
    <n v="0"/>
    <n v="0"/>
    <n v="0"/>
    <n v="0"/>
    <n v="0"/>
    <n v="0"/>
    <n v="0"/>
    <n v="0"/>
    <n v="0"/>
    <n v="0"/>
    <n v="0"/>
    <n v="0"/>
    <n v="0"/>
    <n v="0"/>
    <n v="2.359152819511861"/>
    <n v="5.980815162955544"/>
    <n v="0"/>
    <n v="0"/>
    <n v="0"/>
    <n v="0"/>
    <n v="0"/>
    <n v="0"/>
    <n v="0"/>
    <n v="0"/>
    <m/>
    <n v="0"/>
    <m/>
    <n v="0"/>
    <m/>
    <n v="0"/>
    <m/>
    <m/>
    <n v="0"/>
    <n v="0"/>
    <n v="0"/>
    <n v="0"/>
    <m/>
    <n v="0"/>
    <n v="0"/>
    <n v="0"/>
    <n v="0"/>
    <n v="0"/>
    <x v="1"/>
    <m/>
    <x v="2"/>
    <x v="1"/>
    <s v="no root cause"/>
    <x v="1"/>
    <s v=""/>
  </r>
  <r>
    <s v="Muyuka-Beach-Bush-IHS"/>
    <s v="SUO_255"/>
    <s v="SUD-OUEST"/>
    <s v="HIS "/>
    <s v="Hybrid-Gen"/>
    <s v="SUD-OUEST"/>
    <s v="Muyuka"/>
    <s v="Huawei"/>
    <n v="0"/>
    <n v="0"/>
    <n v="0"/>
    <n v="0"/>
    <n v="0"/>
    <n v="0"/>
    <n v="0"/>
    <n v="0"/>
    <n v="0"/>
    <n v="0"/>
    <n v="0"/>
    <n v="0"/>
    <n v="0"/>
    <n v="0"/>
    <n v="0"/>
    <n v="4.822533836710584"/>
    <n v="0"/>
    <n v="0"/>
    <n v="0"/>
    <n v="0"/>
    <n v="0"/>
    <n v="0"/>
    <n v="0"/>
    <n v="0"/>
    <m/>
    <n v="0"/>
    <m/>
    <n v="0"/>
    <m/>
    <n v="0"/>
    <m/>
    <m/>
    <n v="0"/>
    <n v="0"/>
    <n v="0"/>
    <n v="0"/>
    <m/>
    <n v="0"/>
    <n v="0"/>
    <n v="0"/>
    <n v="0"/>
    <n v="0"/>
    <x v="1"/>
    <m/>
    <x v="4"/>
    <x v="0"/>
    <s v="Defaut GE &amp; Power Cabinet"/>
    <x v="0"/>
    <s v="{05-25-2026   groupe whatsapp   incident}:    impacted by  SUO_008_N_Mpenda-Mbocko-IHS,Cause: Probleme energie    Action: RCA attendu de IHS      ;      {05-25-2026 ocm ran 22H}: P2 incident at SUO_008_N_Mpenda-Mbocko-IHS; Power issue; IHS      ;      {05-25-2026 ocm ran 17H}: P2 incident at SUO_008_N_Mpenda-Mbocko-IHS"/>
  </r>
  <r>
    <s v="Ouro-Zangui"/>
    <s v="EXN_199"/>
    <s v="EXTREME-NORD"/>
    <s v="IHS"/>
    <s v="Hybrid-Gen"/>
    <s v="EXTREME-NORD"/>
    <s v="Ouro Zangui"/>
    <s v="Huawei"/>
    <n v="0"/>
    <n v="0"/>
    <n v="0"/>
    <n v="0"/>
    <n v="0"/>
    <n v="0"/>
    <n v="0"/>
    <n v="0"/>
    <n v="0"/>
    <n v="0"/>
    <n v="0"/>
    <n v="0"/>
    <n v="0"/>
    <n v="0.004815471145696894"/>
    <n v="0.09736169253466423"/>
    <n v="1.351470894578992"/>
    <n v="0"/>
    <n v="0"/>
    <n v="0"/>
    <n v="0"/>
    <n v="0"/>
    <n v="0"/>
    <n v="0"/>
    <n v="0"/>
    <m/>
    <n v="0"/>
    <m/>
    <n v="0"/>
    <m/>
    <n v="0"/>
    <m/>
    <m/>
    <n v="0"/>
    <n v="0"/>
    <n v="0"/>
    <n v="0"/>
    <m/>
    <n v="0"/>
    <n v="0"/>
    <n v="0"/>
    <n v="0"/>
    <n v="0"/>
    <x v="1"/>
    <m/>
    <x v="4"/>
    <x v="0"/>
    <s v="Defaut GE &amp; Power Cabinet"/>
    <x v="0"/>
    <s v="{hourly IHS}: 25/05/2026 01:49 4:34:30 50.2V Gen stopped due to fuel shortage"/>
  </r>
  <r>
    <s v="Dargala-New"/>
    <s v="EXN_190"/>
    <s v="EXTREME-NORD"/>
    <s v="IHS"/>
    <s v="Grid-Gen"/>
    <s v="EXTREME-NORD"/>
    <s v="Dargala"/>
    <s v="Huawei"/>
    <n v="0"/>
    <n v="0"/>
    <n v="0"/>
    <n v="0"/>
    <n v="0"/>
    <n v="0"/>
    <n v="0"/>
    <n v="0"/>
    <n v="0"/>
    <n v="0"/>
    <n v="0"/>
    <n v="0"/>
    <n v="0"/>
    <n v="0.004280418796175016"/>
    <n v="0.09773622917932956"/>
    <n v="1.35141738934404"/>
    <n v="0"/>
    <n v="0"/>
    <n v="0"/>
    <n v="0"/>
    <n v="0"/>
    <n v="0"/>
    <n v="0"/>
    <n v="0"/>
    <m/>
    <n v="0"/>
    <m/>
    <n v="0"/>
    <m/>
    <n v="0"/>
    <m/>
    <m/>
    <n v="0"/>
    <n v="0"/>
    <n v="0"/>
    <n v="0"/>
    <m/>
    <n v="0"/>
    <n v="0"/>
    <n v="0"/>
    <n v="0"/>
    <n v="0"/>
    <x v="1"/>
    <m/>
    <x v="2"/>
    <x v="1"/>
    <s v="no root cause"/>
    <x v="1"/>
    <s v=""/>
  </r>
  <r>
    <s v="Gagadje"/>
    <s v="EXN_209"/>
    <s v="EXTREME-NORD"/>
    <s v="CAMUSAT"/>
    <s v="Hybrid Solar - S3"/>
    <s v="EXTREME-NORD"/>
    <s v="Mindif"/>
    <s v="Huawei"/>
    <n v="0"/>
    <n v="0"/>
    <n v="0"/>
    <n v="0"/>
    <n v="0"/>
    <n v="0"/>
    <n v="0"/>
    <n v="0"/>
    <n v="0"/>
    <n v="0"/>
    <n v="0"/>
    <n v="0"/>
    <n v="0"/>
    <n v="0.0548785359826272"/>
    <n v="0.1089188232843368"/>
    <n v="1.350561305584805"/>
    <n v="0"/>
    <n v="0"/>
    <n v="0"/>
    <n v="0"/>
    <n v="0"/>
    <n v="0"/>
    <n v="0"/>
    <n v="0"/>
    <m/>
    <n v="0"/>
    <m/>
    <n v="0"/>
    <m/>
    <n v="0"/>
    <m/>
    <m/>
    <n v="0"/>
    <n v="0"/>
    <n v="0"/>
    <n v="0"/>
    <m/>
    <n v="0"/>
    <n v="0"/>
    <n v="0"/>
    <n v="0"/>
    <n v="0"/>
    <x v="1"/>
    <m/>
    <x v="2"/>
    <x v="1"/>
    <s v="no root cause"/>
    <x v="1"/>
    <s v=""/>
  </r>
  <r>
    <s v="Kar-Hay-Ville"/>
    <s v="EXN_192"/>
    <s v="EXTREME-NORD"/>
    <s v="CAMUSAT"/>
    <s v="Bad Grid + GE"/>
    <s v="EXTREME-NORD"/>
    <s v="Kar-Hay"/>
    <s v="Huawei"/>
    <n v="0"/>
    <n v="0"/>
    <n v="0"/>
    <n v="0"/>
    <n v="0"/>
    <n v="0"/>
    <n v="0"/>
    <n v="0"/>
    <n v="0"/>
    <n v="0"/>
    <n v="0"/>
    <n v="0"/>
    <n v="0"/>
    <n v="0.7245322215658911"/>
    <n v="0.05404028730170961"/>
    <n v="1.056460864130946"/>
    <n v="0"/>
    <n v="0"/>
    <n v="0"/>
    <n v="0"/>
    <n v="0"/>
    <n v="0"/>
    <n v="0"/>
    <n v="0"/>
    <m/>
    <n v="0"/>
    <m/>
    <n v="0"/>
    <m/>
    <n v="0"/>
    <m/>
    <m/>
    <n v="0"/>
    <n v="0"/>
    <n v="0"/>
    <n v="0"/>
    <m/>
    <n v="0"/>
    <n v="0"/>
    <n v="0"/>
    <n v="0"/>
    <n v="0"/>
    <x v="1"/>
    <m/>
    <x v="4"/>
    <x v="0"/>
    <s v="Defaut GE &amp; Power Cabinet"/>
    <x v="0"/>
    <s v="{05-25-2026  incident}:    impacted by  EXN_074_H_Dziguilao ,   RCA: Power issue / En attente RCA IHS      ;      {05-25-2026 ocm ran 17H}: P1 Incident at EXN_074_H_Dziguilao; Power issue; IHS"/>
  </r>
  <r>
    <s v="Meri"/>
    <s v="EXN_023"/>
    <s v="EXTREME-NORD"/>
    <s v="IHS"/>
    <s v="Grid-Gen"/>
    <s v="EXTREME-NORD"/>
    <s v="Meri"/>
    <s v="Huawei"/>
    <n v="0"/>
    <n v="0"/>
    <n v="0"/>
    <n v="0"/>
    <n v="0"/>
    <n v="0"/>
    <n v="0"/>
    <n v="0"/>
    <n v="0"/>
    <n v="0"/>
    <n v="0"/>
    <n v="0"/>
    <n v="0"/>
    <n v="1.278596764574113"/>
    <n v="0.06670319290706068"/>
    <n v="0.04940316693918665"/>
    <n v="0"/>
    <n v="0"/>
    <n v="0"/>
    <n v="0"/>
    <n v="0"/>
    <n v="0"/>
    <n v="0"/>
    <n v="0"/>
    <m/>
    <n v="0"/>
    <m/>
    <n v="0"/>
    <m/>
    <n v="0"/>
    <m/>
    <m/>
    <n v="0"/>
    <n v="0"/>
    <n v="0"/>
    <n v="0"/>
    <m/>
    <n v="0"/>
    <n v="0"/>
    <n v="0"/>
    <n v="0"/>
    <n v="0"/>
    <x v="1"/>
    <m/>
    <x v="4"/>
    <x v="0"/>
    <s v="Defaut GE &amp; Power Cabinet"/>
    <x v="0"/>
    <s v="{hourly IHS}: 25/05/2026 21:52 1:07:23 FME Brice is managing with level 0      ;      {05-25-2026 ticket}: INC-20260525-00024900"/>
  </r>
  <r>
    <s v="Maga"/>
    <s v="EXN_014"/>
    <s v="EXTREME-NORD"/>
    <s v="IHS"/>
    <s v="Grid-Gen"/>
    <s v="EXTREME-NORD"/>
    <s v="Maga"/>
    <s v="Huawei"/>
    <n v="0"/>
    <n v="0"/>
    <n v="0"/>
    <n v="0"/>
    <n v="0"/>
    <n v="0"/>
    <n v="0"/>
    <n v="0"/>
    <n v="0"/>
    <n v="0"/>
    <n v="0"/>
    <n v="0"/>
    <n v="0"/>
    <n v="0"/>
    <n v="0.01647961236527382"/>
    <n v="0.03602685820113973"/>
    <n v="0"/>
    <n v="0"/>
    <n v="0"/>
    <n v="0"/>
    <n v="0"/>
    <n v="0"/>
    <n v="0"/>
    <n v="0"/>
    <m/>
    <n v="0"/>
    <m/>
    <n v="0"/>
    <m/>
    <n v="0"/>
    <m/>
    <m/>
    <n v="0"/>
    <n v="0"/>
    <n v="0"/>
    <n v="0"/>
    <m/>
    <n v="0"/>
    <n v="0"/>
    <n v="0"/>
    <n v="0"/>
    <n v="0"/>
    <x v="1"/>
    <m/>
    <x v="2"/>
    <x v="1"/>
    <s v="no root cause"/>
    <x v="1"/>
    <s v=""/>
  </r>
  <r>
    <s v="Zouhaye"/>
    <s v="EXN_242"/>
    <s v="EXTREME-NORD"/>
    <s v="CAMUSAT"/>
    <s v="Hybrid Solar - S3"/>
    <s v="EXTREME-NORD"/>
    <s v="Zouhaye"/>
    <s v="Huawei"/>
    <n v="0"/>
    <n v="0"/>
    <n v="0"/>
    <n v="0"/>
    <n v="0"/>
    <n v="0"/>
    <n v="0"/>
    <n v="0"/>
    <n v="0"/>
    <n v="0"/>
    <n v="0"/>
    <n v="0"/>
    <n v="0"/>
    <n v="0.2037479346979308"/>
    <n v="0"/>
    <n v="0.01462476422026465"/>
    <n v="0"/>
    <n v="0"/>
    <n v="0"/>
    <n v="0"/>
    <n v="25.79795923899861"/>
    <n v="0"/>
    <n v="0"/>
    <n v="0"/>
    <m/>
    <n v="0"/>
    <m/>
    <n v="0"/>
    <m/>
    <n v="0"/>
    <m/>
    <m/>
    <n v="0"/>
    <n v="0"/>
    <n v="0"/>
    <n v="0"/>
    <m/>
    <n v="0"/>
    <n v="0"/>
    <n v="0"/>
    <n v="0"/>
    <n v="0"/>
    <x v="1"/>
    <m/>
    <x v="4"/>
    <x v="0"/>
    <s v="Defaut GE &amp; Power Cabinet"/>
    <x v="0"/>
    <s v="{05-25-2026  incident}:    impacted by  EXN_074_H_Dziguilao ,   RCA: Power issue / En attente RCA IHS      ;      {05-25-2026 ocm ran 17H}: P1 Incident at EXN_074_H_Dziguilao; Power issue; IHS"/>
  </r>
  <r>
    <s v="Hougno"/>
    <s v="EXN_245"/>
    <s v="EXTREME-NORD"/>
    <s v="CAMUSAT"/>
    <s v="HGB"/>
    <s v="EXTREME-NORD"/>
    <s v="Hougno"/>
    <s v="Huawei"/>
    <n v="0"/>
    <n v="0"/>
    <n v="0"/>
    <n v="0"/>
    <n v="0"/>
    <n v="0"/>
    <n v="0"/>
    <n v="0"/>
    <n v="0"/>
    <n v="0"/>
    <n v="0"/>
    <n v="0"/>
    <n v="0"/>
    <n v="0.2044791729089441"/>
    <n v="0"/>
    <n v="0.01382218569598183"/>
    <n v="0"/>
    <n v="0"/>
    <n v="0"/>
    <n v="0"/>
    <n v="0"/>
    <n v="0"/>
    <n v="0"/>
    <n v="0"/>
    <m/>
    <n v="0"/>
    <m/>
    <n v="0"/>
    <m/>
    <n v="0"/>
    <m/>
    <m/>
    <n v="0"/>
    <n v="0"/>
    <n v="0"/>
    <n v="0"/>
    <m/>
    <n v="0"/>
    <n v="0"/>
    <n v="0"/>
    <n v="0"/>
    <n v="0"/>
    <x v="1"/>
    <m/>
    <x v="4"/>
    <x v="0"/>
    <s v="Defaut GE &amp; Power Cabinet"/>
    <x v="0"/>
    <s v="{05-25-2026  incident}:    impacted by  EXN_074_H_Dziguilao ,   RCA: Power issue / En attente RCA IHS      ;      {05-25-2026 ocm ran 17H}: P1 Incident at EXN_074_H_Dziguilao; Power issue; IHS"/>
  </r>
  <r>
    <s v="Idenau-MTN"/>
    <s v="SUO_036"/>
    <s v="SUD-OUEST"/>
    <s v="IHS"/>
    <s v="Grid-Gen"/>
    <s v="SUD-OUEST"/>
    <s v="Idenau"/>
    <s v="Huawei"/>
    <n v="0"/>
    <n v="0"/>
    <n v="0"/>
    <n v="0"/>
    <n v="0"/>
    <n v="0"/>
    <n v="0"/>
    <n v="0"/>
    <n v="0"/>
    <n v="0"/>
    <n v="0"/>
    <n v="0"/>
    <n v="0"/>
    <n v="0"/>
    <n v="0"/>
    <n v="0.009916303544472125"/>
    <n v="0"/>
    <n v="0"/>
    <n v="0"/>
    <n v="0"/>
    <n v="0"/>
    <n v="0"/>
    <n v="0"/>
    <n v="0"/>
    <m/>
    <n v="0"/>
    <m/>
    <n v="0"/>
    <m/>
    <n v="0"/>
    <m/>
    <m/>
    <n v="0"/>
    <n v="0"/>
    <n v="0"/>
    <n v="0"/>
    <m/>
    <n v="0"/>
    <n v="0"/>
    <n v="0"/>
    <n v="0"/>
    <n v="0"/>
    <x v="1"/>
    <m/>
    <x v="4"/>
    <x v="0"/>
    <s v="Defaut GE &amp; Power Cabinet"/>
    <x v="0"/>
    <s v="{05-25-2026  incident}:    impacted by SUO_011_H_Monkey-Hill,   RCA: Power issue / En attente RCA IHS"/>
  </r>
  <r>
    <s v="Bogo"/>
    <s v="EXN_006"/>
    <s v="EXTREME-NORD"/>
    <s v="IHS"/>
    <s v="Grid-Hybrid-Gen"/>
    <s v="EXTREME-NORD"/>
    <s v="Bogo"/>
    <s v="Huawei"/>
    <n v="0"/>
    <n v="0"/>
    <n v="0"/>
    <n v="0"/>
    <n v="0"/>
    <n v="0"/>
    <n v="0"/>
    <n v="0"/>
    <n v="0"/>
    <n v="0"/>
    <n v="0"/>
    <n v="0"/>
    <n v="0"/>
    <n v="0"/>
    <n v="0"/>
    <n v="0.006777329760610443"/>
    <n v="0"/>
    <n v="0"/>
    <n v="0"/>
    <n v="0"/>
    <n v="0"/>
    <n v="0"/>
    <n v="0"/>
    <n v="0"/>
    <m/>
    <n v="0"/>
    <m/>
    <n v="0"/>
    <m/>
    <n v="0"/>
    <m/>
    <m/>
    <n v="0"/>
    <n v="0"/>
    <n v="0"/>
    <n v="0"/>
    <m/>
    <n v="0"/>
    <n v="0"/>
    <n v="0"/>
    <n v="0"/>
    <n v="0"/>
    <x v="1"/>
    <m/>
    <x v="2"/>
    <x v="1"/>
    <s v="no root cause"/>
    <x v="1"/>
    <s v=""/>
  </r>
  <r>
    <s v="Zidim-IHS"/>
    <s v="EXN_154"/>
    <s v="EXTREME-NORD"/>
    <s v="IHS"/>
    <s v="Solar-Gen"/>
    <s v="EXTREME-NORD"/>
    <s v="Zidim"/>
    <s v="Huawei"/>
    <n v="0"/>
    <n v="0"/>
    <n v="0"/>
    <n v="0"/>
    <n v="0"/>
    <n v="0"/>
    <n v="0"/>
    <n v="0"/>
    <n v="0"/>
    <n v="0"/>
    <n v="0"/>
    <n v="0"/>
    <n v="0"/>
    <n v="0.0002675261747609386"/>
    <n v="0"/>
    <n v="0.003031963313957304"/>
    <n v="0"/>
    <n v="0"/>
    <n v="0"/>
    <n v="0"/>
    <n v="0"/>
    <n v="0"/>
    <n v="0"/>
    <n v="0"/>
    <m/>
    <n v="0"/>
    <m/>
    <n v="0"/>
    <m/>
    <n v="0"/>
    <m/>
    <m/>
    <n v="0"/>
    <n v="0"/>
    <n v="0"/>
    <n v="0"/>
    <m/>
    <n v="0"/>
    <n v="0"/>
    <n v="0"/>
    <n v="0"/>
    <n v="0"/>
    <x v="1"/>
    <m/>
    <x v="4"/>
    <x v="0"/>
    <s v="Defaut GE &amp; Power Cabinet"/>
    <x v="0"/>
    <s v="{05-25-2026 groupe whatsapp  incident}:    impacted by  EXN_130_H_Gazawa-MTN-IHS   RCA: Power issue / En attente RCA IHS"/>
  </r>
  <r>
    <s v="Mamfe-Camtel"/>
    <s v="SUO_245"/>
    <s v="SUD-OUEST"/>
    <s v="ESCO"/>
    <s v="HGB"/>
    <s v="SUD-OUEST"/>
    <s v="Mamfe"/>
    <s v="NOKIA"/>
    <n v="0"/>
    <n v="0"/>
    <n v="0"/>
    <n v="0"/>
    <n v="18.54206980560781"/>
    <n v="18.54217801883617"/>
    <n v="18.54206980560781"/>
    <n v="18.54223212545034"/>
    <n v="18.54206980560781"/>
    <n v="18.54217801883617"/>
    <n v="13.30477146627006"/>
    <n v="0.00784743445965419"/>
    <n v="12.85008102140553"/>
    <n v="3.665037253911589"/>
    <n v="2.260025454223775"/>
    <n v="0"/>
    <n v="0"/>
    <n v="0"/>
    <n v="0"/>
    <n v="0"/>
    <n v="5.789686046592889e-17"/>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      {05-25-2026 ocm ran 22H}: 23/05/2026 Site resté down apres bachuo ntai  FME stanley activé ETA asap _x000a_Indisponibiilité des services voix &amp; data dans la zone de SUO_030_N_Bachuo-Ntai et envrions      ;      {05-25-2026 ocm ran 17H}: 23/05/2026 Site resté down apres bachuo ntai  FME stanley activé ETA asap _x000a_Indisponibiilité des services voix &amp; data dans la zone de SUO_030_N_Bachuo-Ntai et envrions"/>
  </r>
  <r>
    <s v="Kumbo-Bangam-IHS"/>
    <s v="NRO_052"/>
    <s v="NORD-OUEST"/>
    <s v="IHS"/>
    <s v="Grid-Gen"/>
    <s v="NORD-OUEST"/>
    <s v="Kumbo-Bangam"/>
    <s v="Huawei"/>
    <n v="0"/>
    <n v="0"/>
    <n v="0"/>
    <n v="0"/>
    <n v="0"/>
    <n v="0"/>
    <n v="0"/>
    <n v="0"/>
    <n v="0"/>
    <n v="0"/>
    <n v="0"/>
    <n v="0.0326738634774693"/>
    <n v="0"/>
    <n v="8.060099933510829"/>
    <n v="0.6659796594498806"/>
    <n v="0"/>
    <n v="0"/>
    <n v="0"/>
    <n v="0"/>
    <n v="0"/>
    <n v="0"/>
    <n v="0"/>
    <n v="0"/>
    <n v="0"/>
    <m/>
    <n v="0"/>
    <m/>
    <n v="0"/>
    <m/>
    <n v="0"/>
    <m/>
    <m/>
    <n v="0"/>
    <n v="0"/>
    <n v="0"/>
    <n v="0"/>
    <m/>
    <n v="0"/>
    <n v="0"/>
    <n v="0"/>
    <n v="0"/>
    <n v="0"/>
    <x v="1"/>
    <m/>
    <x v="2"/>
    <x v="1"/>
    <s v="no root cause"/>
    <x v="1"/>
    <s v=""/>
  </r>
  <r>
    <s v="Wina-IHS"/>
    <s v="EXN_127"/>
    <s v="EXTREME-NORD"/>
    <s v="IHS"/>
    <s v="Gen Only"/>
    <s v="EXTREME-NORD"/>
    <s v="Wina"/>
    <s v="Huawei"/>
    <n v="0"/>
    <n v="0"/>
    <n v="0"/>
    <n v="0"/>
    <n v="0"/>
    <n v="0"/>
    <n v="0"/>
    <n v="0"/>
    <n v="0"/>
    <n v="0"/>
    <n v="0"/>
    <n v="0"/>
    <n v="0"/>
    <n v="0.03272736871242148"/>
    <n v="0.3658687966030597"/>
    <n v="0"/>
    <n v="0"/>
    <n v="0"/>
    <n v="0"/>
    <n v="0"/>
    <n v="0"/>
    <n v="0"/>
    <n v="0"/>
    <n v="0"/>
    <m/>
    <n v="0"/>
    <m/>
    <n v="0"/>
    <m/>
    <n v="0"/>
    <m/>
    <m/>
    <n v="0"/>
    <n v="0"/>
    <n v="0"/>
    <n v="0"/>
    <m/>
    <n v="0"/>
    <n v="0"/>
    <n v="0"/>
    <n v="0"/>
    <n v="0"/>
    <x v="1"/>
    <m/>
    <x v="4"/>
    <x v="0"/>
    <s v="Defaut GE &amp; Power Cabinet"/>
    <x v="0"/>
    <s v="{05-25-2026 ocm ran 17H}: P1 Incident at EXN_074_H_Dziguilao; Power issue; IHS"/>
  </r>
  <r>
    <s v="Tiko-Stadium-IHS"/>
    <s v="SUO_105"/>
    <s v="SUD-OUEST"/>
    <s v="IHS"/>
    <s v="Grid-Gen"/>
    <s v="SUD-OUEST"/>
    <s v="Tiko"/>
    <s v="Huawei"/>
    <n v="0"/>
    <n v="0"/>
    <n v="0"/>
    <n v="0"/>
    <n v="0"/>
    <n v="0"/>
    <n v="0"/>
    <n v="0"/>
    <n v="0"/>
    <n v="0"/>
    <n v="0"/>
    <n v="0"/>
    <n v="0"/>
    <n v="0"/>
    <n v="0.1840580082355258"/>
    <n v="0"/>
    <n v="0"/>
    <n v="0"/>
    <n v="0"/>
    <n v="0"/>
    <n v="0"/>
    <n v="0"/>
    <n v="0"/>
    <n v="0"/>
    <m/>
    <n v="0"/>
    <m/>
    <n v="0"/>
    <m/>
    <n v="0"/>
    <m/>
    <m/>
    <n v="0"/>
    <n v="0"/>
    <n v="0"/>
    <n v="0"/>
    <m/>
    <n v="0"/>
    <n v="0"/>
    <n v="0"/>
    <n v="0"/>
    <n v="0"/>
    <x v="1"/>
    <m/>
    <x v="2"/>
    <x v="1"/>
    <s v="no root cause"/>
    <x v="1"/>
    <s v=""/>
  </r>
  <r>
    <s v="Balaza"/>
    <s v="EXN_036"/>
    <s v="EXTREME-NORD"/>
    <s v="IHS"/>
    <s v="Solar-Grid-Gen"/>
    <s v="EXTREME-NORD"/>
    <s v="Balaza"/>
    <s v="Huawei"/>
    <n v="0"/>
    <n v="0"/>
    <n v="0"/>
    <n v="0"/>
    <n v="0"/>
    <n v="0"/>
    <n v="0"/>
    <n v="0"/>
    <n v="0"/>
    <n v="0"/>
    <n v="0"/>
    <n v="0"/>
    <n v="0"/>
    <n v="0"/>
    <n v="0.1149470797556166"/>
    <n v="0"/>
    <n v="0"/>
    <n v="0"/>
    <n v="0"/>
    <n v="0"/>
    <n v="0"/>
    <n v="0"/>
    <n v="0"/>
    <n v="0"/>
    <m/>
    <n v="0"/>
    <m/>
    <n v="0"/>
    <m/>
    <n v="0"/>
    <m/>
    <m/>
    <n v="0"/>
    <n v="0"/>
    <n v="0"/>
    <n v="0"/>
    <m/>
    <n v="0"/>
    <n v="0"/>
    <n v="0"/>
    <n v="0"/>
    <n v="0"/>
    <x v="1"/>
    <m/>
    <x v="4"/>
    <x v="0"/>
    <s v="Defaut GE &amp; Power Cabinet"/>
    <x v="0"/>
    <s v="{05-25-2026  incident}:    impacted by  EXN_036_N_Balaza , Cause:   Soucis Energie   Action: En Attente RCA IHS      ;      {hourly IHS}: 25/05/2026 20:20 2:39:24 FME isinformed and managing ETA ASAP      ;      {05-25-2026 ocm ran 22H}: Power status check Ongoing"/>
  </r>
  <r>
    <s v="Kolofata"/>
    <s v="EXN_104"/>
    <s v="EXTREME-NORD"/>
    <s v="IHS"/>
    <s v="Grid-Hybrid-Gen"/>
    <s v="EXTREME-NORD"/>
    <s v="Kolofata"/>
    <s v="Huawei"/>
    <n v="0"/>
    <n v="0"/>
    <n v="0"/>
    <n v="0"/>
    <n v="0"/>
    <n v="0"/>
    <n v="0"/>
    <n v="0"/>
    <n v="0"/>
    <n v="0"/>
    <n v="0"/>
    <n v="0"/>
    <n v="0"/>
    <n v="0.5653719826614502"/>
    <n v="0.007579908284893262"/>
    <n v="0"/>
    <n v="0"/>
    <n v="0"/>
    <n v="0"/>
    <n v="0"/>
    <n v="0"/>
    <n v="0"/>
    <n v="0"/>
    <n v="0"/>
    <m/>
    <n v="0"/>
    <m/>
    <n v="0"/>
    <m/>
    <n v="0"/>
    <m/>
    <m/>
    <n v="0"/>
    <n v="0"/>
    <n v="0"/>
    <n v="0"/>
    <m/>
    <n v="0"/>
    <n v="0"/>
    <n v="0"/>
    <n v="0"/>
    <n v="0"/>
    <x v="1"/>
    <m/>
    <x v="4"/>
    <x v="0"/>
    <s v="Defaut GE &amp; Power Cabinet"/>
    <x v="0"/>
    <s v="{hourly IHS}: 25/05/2026 13:03 0:57:00 23 Our FME MICHEL is manahging with level zero"/>
  </r>
  <r>
    <s v="Pouss-New"/>
    <s v="EXN_189"/>
    <s v="EXTREME-NORD"/>
    <s v="IHS"/>
    <s v="Grid-Hybrid-Gen"/>
    <s v="EXTREME-NORD"/>
    <s v="Pouss"/>
    <s v="Huawei"/>
    <n v="0"/>
    <n v="0"/>
    <n v="0"/>
    <n v="0"/>
    <n v="0"/>
    <n v="0"/>
    <n v="0"/>
    <n v="0"/>
    <n v="0"/>
    <n v="0"/>
    <n v="0"/>
    <n v="0"/>
    <n v="0"/>
    <n v="0"/>
    <n v="0.003477840271892202"/>
    <n v="0"/>
    <n v="0"/>
    <n v="0"/>
    <n v="0"/>
    <n v="0"/>
    <n v="0"/>
    <n v="0"/>
    <n v="0"/>
    <n v="0"/>
    <m/>
    <n v="0"/>
    <m/>
    <n v="0"/>
    <m/>
    <n v="0"/>
    <m/>
    <m/>
    <n v="0"/>
    <n v="0"/>
    <n v="0"/>
    <n v="0"/>
    <m/>
    <n v="0"/>
    <n v="0"/>
    <n v="0"/>
    <n v="0"/>
    <n v="0"/>
    <x v="1"/>
    <m/>
    <x v="2"/>
    <x v="1"/>
    <s v="no root cause"/>
    <x v="1"/>
    <s v=""/>
  </r>
  <r>
    <s v="Bogo-MTN"/>
    <s v="EXN_097"/>
    <s v="EXTREME-NORD"/>
    <s v="IHS"/>
    <s v="Grid-Gen"/>
    <s v="EXTREME-NORD"/>
    <s v="Bogo"/>
    <s v="Huawei"/>
    <n v="0"/>
    <n v="0"/>
    <n v="0"/>
    <n v="0"/>
    <n v="0"/>
    <n v="0"/>
    <n v="0"/>
    <n v="0"/>
    <n v="0"/>
    <n v="0"/>
    <n v="0"/>
    <n v="0"/>
    <n v="0"/>
    <n v="0"/>
    <n v="0.003388664880305222"/>
    <n v="0"/>
    <n v="0"/>
    <n v="0"/>
    <n v="0"/>
    <n v="0"/>
    <n v="0"/>
    <n v="0"/>
    <n v="0"/>
    <n v="0"/>
    <m/>
    <n v="0"/>
    <m/>
    <n v="0"/>
    <m/>
    <n v="0"/>
    <m/>
    <m/>
    <n v="0"/>
    <n v="0"/>
    <n v="0"/>
    <n v="0"/>
    <m/>
    <n v="0"/>
    <n v="0"/>
    <n v="0"/>
    <n v="0"/>
    <n v="0"/>
    <x v="1"/>
    <m/>
    <x v="2"/>
    <x v="1"/>
    <s v="no root cause"/>
    <x v="1"/>
    <s v=""/>
  </r>
  <r>
    <s v="Dziguilao"/>
    <s v="EXN_074"/>
    <s v="EXTREME-NORD"/>
    <s v="IHS"/>
    <s v="Gen-Solar AER"/>
    <s v="EXTREME-NORD"/>
    <s v="Dziguilao"/>
    <s v="Huawei"/>
    <n v="0"/>
    <n v="0"/>
    <n v="0"/>
    <n v="0"/>
    <n v="0"/>
    <n v="0"/>
    <n v="0"/>
    <n v="0"/>
    <n v="0"/>
    <n v="0"/>
    <n v="0"/>
    <n v="0"/>
    <n v="0"/>
    <n v="0"/>
    <n v="0.0002675261747609386"/>
    <n v="0"/>
    <n v="0"/>
    <n v="0"/>
    <n v="0"/>
    <n v="0"/>
    <n v="0"/>
    <n v="0"/>
    <n v="0"/>
    <n v="0"/>
    <m/>
    <n v="0"/>
    <m/>
    <n v="0"/>
    <m/>
    <n v="0"/>
    <m/>
    <m/>
    <n v="0"/>
    <n v="0"/>
    <n v="0"/>
    <n v="0"/>
    <m/>
    <n v="0"/>
    <n v="0"/>
    <n v="0"/>
    <n v="0"/>
    <n v="0"/>
    <x v="1"/>
    <m/>
    <x v="4"/>
    <x v="0"/>
    <s v="Defaut GE &amp; Power Cabinet"/>
    <x v="0"/>
    <s v="{05-25-2026  incident}:    impacted by  EXN_074_H_Dziguilao ,   RCA: Power issue / En attente RCA IHS      ;      {hourly IHS}: 25/05/2026 14:12 3:07:21 Theo reports DG Faulty      ;      {05-25-2026 ocm ran 17H}: P1 Incident at EXN_074_H_Dziguilao; Power issue; IHS"/>
  </r>
  <r>
    <s v="Tiko-Junction-IHS"/>
    <s v="SUO_205"/>
    <s v="SUD-OUEST"/>
    <s v="IHS"/>
    <s v="Grid-Gen"/>
    <s v="SUD-OUEST"/>
    <s v="Tiko"/>
    <s v="Huawei"/>
    <n v="0"/>
    <n v="0"/>
    <n v="0"/>
    <n v="0"/>
    <n v="0"/>
    <n v="0"/>
    <n v="0"/>
    <n v="0"/>
    <n v="0"/>
    <n v="0"/>
    <n v="0"/>
    <n v="0"/>
    <n v="0"/>
    <n v="0.0692179389498135"/>
    <n v="8.917539158697954e-05"/>
    <n v="0"/>
    <n v="0"/>
    <n v="0"/>
    <n v="0"/>
    <n v="0"/>
    <n v="0"/>
    <n v="0"/>
    <n v="0"/>
    <n v="0"/>
    <m/>
    <n v="0"/>
    <m/>
    <n v="0"/>
    <m/>
    <n v="0"/>
    <m/>
    <m/>
    <n v="0"/>
    <n v="0"/>
    <n v="0"/>
    <n v="0"/>
    <m/>
    <n v="0"/>
    <n v="0"/>
    <n v="0"/>
    <n v="0"/>
    <n v="0"/>
    <x v="1"/>
    <m/>
    <x v="2"/>
    <x v="1"/>
    <s v="no root cause"/>
    <x v="1"/>
    <s v=""/>
  </r>
  <r>
    <s v="Kembong"/>
    <s v="NRO_026"/>
    <s v="NORD-OUEST"/>
    <s v="IHS"/>
    <s v="Grid-Gen"/>
    <s v="NORD-OUEST"/>
    <s v="Kembong"/>
    <s v="NOKIA"/>
    <n v="0"/>
    <n v="0"/>
    <n v="0"/>
    <n v="0"/>
    <n v="0"/>
    <n v="0"/>
    <n v="0"/>
    <n v="0"/>
    <n v="0"/>
    <n v="0"/>
    <n v="0"/>
    <n v="0"/>
    <n v="0"/>
    <n v="0"/>
    <n v="0"/>
    <n v="0"/>
    <n v="0"/>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      (05/25/2026 cell nokia): 25/05/2026 :  GHOST  TOWN_x000a_22/05/2026 : Action avec le level non productive || Look down dans la zone || Feedback PM : Intevenion planned 24.05.2025 while waiting acces to be granted by local resident_x000a_21/05/2026: Access isssue || Action evec le level 0 en cours || Si l'action n'aboutti pas le FME interveindra demain si l'access est possible_x000a_19/05/2026:LOCK DOWN_x000a_18/05/2026 : GHOST  TOWN_x000a_17/05/2026  : No access for this site for now we keep tryin_x000a_16/05/2026  : No access for this site for now we keep trying_x000a_15/05/2026 : No access for this site for now we keep trying_x000a_14/05/2026 : Feedback RM :No access for this site for now we keep trying_x000a_12/05/2026: Fme should check and clean jumper, port 1 || Insecurity zone: Access clearance negotiation on site for intervention_x000a_11/05/2026 : Ghost town         _x000a_09/05/2026 : Need BO RAN analysis||Fme should check and clean jumper, port 1      ;      (05/25/2026 cell nokia): 25/05/2026 :  GHOST  TOWN_x000a_22/05/2026 : Action avec le level non productive || Look down dans la zone || Feedback PM : Intevenion planned 24.05.2025 while waiting acces to be granted by local resident_x000a_21/05/2026: Access isssue || Action evec le level 0 en cours || Si l'action n'aboutti pas le FME interveindra demain si l'access est possible_x000a_19/05/2026:LOCK DOWN_x000a_18/05/2026 : GHOST  TOWN_x000a_17/05/2026  : No access for this site for now we keep tryin_x000a_16/05/2026  : No access for this site for now we keep trying_x000a_15/05/2026 : No access for this site for now we keep trying_x000a_14/05/2026 : Feedback RM :No access for this site for now we keep trying_x000a_12/05/2026: Fme should check and clean jumper, port 1 || Insecurity zone: Access clearance negotiation on site for intervention_x000a_11/05/2026 : Ghost town         _x000a_09/05/2026 : Need BO RAN analysis||Fme should check and clean jumper, port 1      ;      {05-25-2026 ticket}: INC-20260525-00025639...Others"/>
  </r>
  <r>
    <s v="Mamfe-Brasserie"/>
    <s v="SUO_073"/>
    <s v="SUD-OUEST"/>
    <s v="IHS"/>
    <s v="Grid-Gen"/>
    <s v="SUD-OUEST"/>
    <s v="Mamfe"/>
    <s v="Huawei"/>
    <n v="0"/>
    <n v="0"/>
    <n v="0"/>
    <n v="0"/>
    <n v="0"/>
    <n v="0"/>
    <n v="0"/>
    <n v="0"/>
    <n v="0"/>
    <n v="0"/>
    <n v="0"/>
    <n v="0"/>
    <n v="0"/>
    <n v="0"/>
    <n v="0"/>
    <n v="0"/>
    <n v="0"/>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r>
  <r>
    <s v="Guidiguis"/>
    <s v="EXN_018"/>
    <s v="EXTREME-NORD"/>
    <s v="IHS"/>
    <s v="Grid-Gen"/>
    <s v="EXTREME-NORD"/>
    <s v="Guidiguis"/>
    <s v="Huawei"/>
    <n v="0"/>
    <n v="0"/>
    <n v="0"/>
    <n v="0"/>
    <n v="0"/>
    <n v="0"/>
    <n v="0"/>
    <n v="0"/>
    <n v="0"/>
    <n v="0"/>
    <n v="0"/>
    <n v="0"/>
    <n v="0"/>
    <n v="0"/>
    <n v="0"/>
    <n v="0"/>
    <n v="0"/>
    <n v="0"/>
    <n v="0"/>
    <n v="0"/>
    <n v="0"/>
    <n v="0"/>
    <n v="0"/>
    <n v="0"/>
    <m/>
    <n v="0"/>
    <m/>
    <n v="0"/>
    <m/>
    <n v="0"/>
    <m/>
    <m/>
    <n v="0"/>
    <n v="0"/>
    <n v="0"/>
    <n v="0"/>
    <m/>
    <n v="0"/>
    <n v="0"/>
    <n v="0"/>
    <n v="0"/>
    <n v="0"/>
    <x v="1"/>
    <m/>
    <x v="2"/>
    <x v="1"/>
    <s v="no root cause"/>
    <x v="1"/>
    <s v=""/>
  </r>
  <r>
    <s v="Ekata-IHS"/>
    <s v="SUO_266"/>
    <s v="SUD-OUEST"/>
    <m/>
    <m/>
    <s v="SUD-OUEST"/>
    <s v="Bavenga"/>
    <s v="Huawei"/>
    <n v="0"/>
    <n v="0"/>
    <n v="0"/>
    <n v="0"/>
    <n v="0"/>
    <n v="0"/>
    <n v="0"/>
    <n v="0"/>
    <n v="0"/>
    <n v="0"/>
    <n v="0"/>
    <n v="0"/>
    <n v="0"/>
    <n v="0"/>
    <n v="0"/>
    <n v="0"/>
    <n v="0"/>
    <n v="0"/>
    <n v="0"/>
    <n v="0"/>
    <n v="0"/>
    <n v="0"/>
    <n v="0"/>
    <n v="0"/>
    <m/>
    <n v="0"/>
    <m/>
    <n v="0"/>
    <m/>
    <n v="0"/>
    <m/>
    <m/>
    <n v="0"/>
    <n v="0"/>
    <n v="0"/>
    <n v="0"/>
    <m/>
    <n v="0"/>
    <n v="0"/>
    <n v="0"/>
    <n v="0"/>
    <n v="0"/>
    <x v="1"/>
    <m/>
    <x v="4"/>
    <x v="0"/>
    <s v="Defaut GE &amp; Power Cabinet"/>
    <x v="0"/>
    <s v="{05-25-2026   groupe whatsapp   incident}:    impacted by  SUO_008_N_Mpenda-Mbocko-IHS,Cause: Probleme energie    Action: RCA attendu de IHS      ;      {05-25-2026 ocm ran 22H}: P2 incident at SUO_008_N_Mpenda-Mbocko-IHS; Power issue; IHS      ;      {05-25-2026 ocm ran 17H}: P2 incident at SUO_008_N_Mpenda-Mbocko-IHS"/>
  </r>
  <r>
    <s v="Bambili"/>
    <s v="SUO_010"/>
    <s v="NORD-OUEST"/>
    <s v="IHS"/>
    <s v="Grid-Gen"/>
    <s v="SUD-OUEST"/>
    <s v="Bambili"/>
    <s v="Huawei"/>
    <n v="0"/>
    <n v="0"/>
    <n v="0"/>
    <n v="0"/>
    <n v="0"/>
    <n v="0"/>
    <n v="0"/>
    <n v="0"/>
    <n v="0"/>
    <n v="0"/>
    <n v="0"/>
    <n v="0"/>
    <n v="0"/>
    <n v="0"/>
    <n v="0"/>
    <n v="0"/>
    <n v="0"/>
    <n v="0"/>
    <n v="0"/>
    <n v="0"/>
    <n v="0"/>
    <n v="0"/>
    <n v="0"/>
    <n v="0"/>
    <m/>
    <n v="0"/>
    <m/>
    <n v="0"/>
    <m/>
    <n v="0"/>
    <m/>
    <m/>
    <n v="0"/>
    <n v="0"/>
    <n v="0"/>
    <n v="0"/>
    <m/>
    <n v="0"/>
    <n v="0"/>
    <n v="0"/>
    <n v="0"/>
    <n v="0"/>
    <x v="1"/>
    <m/>
    <x v="4"/>
    <x v="0"/>
    <s v="Defaut GE &amp; Power Cabinet"/>
    <x v="0"/>
    <s v="{hourly IHS}: 25/05/2026 05:19 1:04:19 FME is managing with L0 ETA 06:10"/>
  </r>
  <r>
    <s v="Hina"/>
    <s v="EXN_047"/>
    <s v="EXTREME-NORD"/>
    <s v="IHS"/>
    <s v="Solar-Gen"/>
    <s v="EXTREME-NORD"/>
    <s v="Hina"/>
    <s v="Huawei"/>
    <n v="0"/>
    <n v="0"/>
    <n v="0"/>
    <n v="0"/>
    <n v="0"/>
    <n v="0"/>
    <n v="0"/>
    <n v="0"/>
    <n v="0"/>
    <n v="0"/>
    <n v="0"/>
    <n v="0"/>
    <n v="0"/>
    <n v="0"/>
    <n v="0"/>
    <n v="0"/>
    <n v="0"/>
    <n v="0"/>
    <n v="0"/>
    <n v="0"/>
    <n v="0"/>
    <n v="0"/>
    <n v="0"/>
    <n v="0"/>
    <m/>
    <n v="0"/>
    <m/>
    <n v="0"/>
    <m/>
    <n v="0"/>
    <m/>
    <m/>
    <n v="0"/>
    <n v="0"/>
    <n v="0"/>
    <n v="0"/>
    <m/>
    <n v="0"/>
    <n v="0"/>
    <n v="0"/>
    <n v="0"/>
    <n v="0"/>
    <x v="1"/>
    <m/>
    <x v="4"/>
    <x v="0"/>
    <s v="Defaut GE &amp; Power Cabinet"/>
    <x v="0"/>
    <s v="{05-25-2026  incident}:    impacted by   EXN_047_H_Hina  ,Cause: Probleme energie    Action: RCA attendu de IHS"/>
  </r>
  <r>
    <s v="Mile29-Mamfe-IHS"/>
    <s v="SUO_102"/>
    <s v="SUD-OUEST"/>
    <s v="IHS"/>
    <s v="Solar-Gen"/>
    <s v="SUD-OUEST"/>
    <s v="Mile29"/>
    <s v="NOKIA"/>
    <n v="0"/>
    <n v="0"/>
    <n v="0"/>
    <n v="0"/>
    <n v="0"/>
    <n v="0"/>
    <n v="0"/>
    <n v="0"/>
    <n v="0"/>
    <n v="0"/>
    <n v="0"/>
    <n v="0"/>
    <n v="0"/>
    <n v="0"/>
    <n v="0"/>
    <n v="0"/>
    <n v="0"/>
    <n v="0"/>
    <n v="0"/>
    <n v="0"/>
    <n v="0.002586086356022412"/>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r>
  <r>
    <s v="Elogbatindi"/>
    <s v="SUO_037"/>
    <s v="LITTORAL"/>
    <s v="IHS"/>
    <s v="Grid-Gen"/>
    <s v="SUD-OUEST"/>
    <s v="Elogbatindi"/>
    <s v="ZTE"/>
    <n v="0"/>
    <n v="0"/>
    <n v="0"/>
    <n v="0"/>
    <n v="0"/>
    <n v="0"/>
    <n v="0"/>
    <n v="0"/>
    <n v="0"/>
    <n v="0"/>
    <n v="0"/>
    <n v="0"/>
    <n v="0"/>
    <n v="0"/>
    <n v="0"/>
    <n v="0"/>
    <n v="0"/>
    <n v="0"/>
    <n v="0"/>
    <n v="0"/>
    <n v="0"/>
    <n v="0"/>
    <n v="0"/>
    <n v="0"/>
    <m/>
    <n v="0"/>
    <m/>
    <n v="0"/>
    <m/>
    <n v="0"/>
    <m/>
    <m/>
    <n v="0"/>
    <n v="0"/>
    <n v="0"/>
    <n v="0"/>
    <m/>
    <n v="0"/>
    <n v="0"/>
    <n v="0"/>
    <n v="0"/>
    <n v="0"/>
    <x v="1"/>
    <m/>
    <x v="2"/>
    <x v="1"/>
    <s v="no root cause"/>
    <x v="1"/>
    <s v=""/>
  </r>
  <r>
    <s v="Mamfe-Centre-IHS"/>
    <s v="SUO_106"/>
    <s v="SUD-OUEST"/>
    <s v="IHS"/>
    <s v="Grid - Gen"/>
    <s v="SUD-OUEST"/>
    <s v="Mamfe"/>
    <s v="NOKIA"/>
    <n v="0"/>
    <n v="0"/>
    <n v="0"/>
    <n v="0"/>
    <n v="0"/>
    <n v="0"/>
    <n v="0"/>
    <n v="0"/>
    <n v="0"/>
    <n v="0"/>
    <n v="0"/>
    <n v="0"/>
    <n v="0"/>
    <n v="0"/>
    <n v="0"/>
    <n v="0"/>
    <n v="0"/>
    <n v="0"/>
    <n v="0"/>
    <n v="0"/>
    <n v="0"/>
    <n v="0"/>
    <n v="0"/>
    <n v="0"/>
    <m/>
    <n v="0"/>
    <m/>
    <n v="0"/>
    <m/>
    <n v="0"/>
    <m/>
    <m/>
    <n v="0"/>
    <n v="0"/>
    <n v="0"/>
    <n v="0"/>
    <m/>
    <n v="0"/>
    <n v="0"/>
    <n v="0"/>
    <n v="0"/>
    <n v="0"/>
    <x v="1"/>
    <m/>
    <x v="4"/>
    <x v="0"/>
    <s v="Defaut GE &amp; Power Cabinet"/>
    <x v="0"/>
    <s v="{05-25-2026 ticket}: INC-20260525-00027291...Grid Outage"/>
  </r>
  <r>
    <s v="Datcheka"/>
    <s v="EXN_075"/>
    <s v="EXTREME-NORD"/>
    <s v="IHS"/>
    <s v="Gen-Solar AER"/>
    <s v="EXTREME-NORD"/>
    <s v="Datcheka"/>
    <s v="Huawei"/>
    <n v="0"/>
    <n v="0"/>
    <n v="0"/>
    <n v="0"/>
    <n v="0"/>
    <n v="0"/>
    <n v="0"/>
    <n v="0"/>
    <n v="0"/>
    <n v="0"/>
    <n v="0"/>
    <n v="0"/>
    <n v="0"/>
    <n v="0"/>
    <n v="0"/>
    <n v="0"/>
    <n v="0"/>
    <n v="0"/>
    <n v="0"/>
    <n v="0"/>
    <n v="0"/>
    <n v="0"/>
    <n v="0"/>
    <n v="0"/>
    <m/>
    <n v="0"/>
    <m/>
    <n v="0"/>
    <m/>
    <n v="0"/>
    <m/>
    <m/>
    <n v="0"/>
    <n v="0"/>
    <n v="0"/>
    <n v="0"/>
    <m/>
    <n v="0"/>
    <n v="0"/>
    <n v="0"/>
    <n v="0"/>
    <n v="0"/>
    <x v="1"/>
    <m/>
    <x v="4"/>
    <x v="0"/>
    <s v="Defaut GE &amp; Power Cabinet"/>
    <x v="0"/>
    <s v="{05-25-2026  incident}:    impacted by  EXN_074_H_Dziguilao ,   RCA: Power issue / En attente RCA IHS      ;      {05-25-2026 ocm ran 17H}: P1 Incident at EXN_074_H_Dziguilao; Power issue; IHS"/>
  </r>
  <r>
    <s v="Minawao-IHS"/>
    <s v="EXN_155"/>
    <s v="EXTREME-NORD"/>
    <s v="IHS"/>
    <s v="Solar-Gen"/>
    <s v="EXTREME-NORD"/>
    <s v="Minawao"/>
    <s v="Huawei"/>
    <n v="0"/>
    <n v="0"/>
    <n v="0"/>
    <n v="0"/>
    <n v="0"/>
    <n v="0"/>
    <n v="0"/>
    <n v="0"/>
    <n v="0"/>
    <n v="0"/>
    <n v="0"/>
    <n v="0"/>
    <n v="0"/>
    <n v="0"/>
    <n v="0"/>
    <n v="0"/>
    <n v="0"/>
    <n v="0"/>
    <n v="0"/>
    <n v="0"/>
    <n v="0"/>
    <n v="0"/>
    <n v="0"/>
    <n v="0"/>
    <m/>
    <n v="0"/>
    <m/>
    <n v="0"/>
    <m/>
    <n v="0"/>
    <m/>
    <m/>
    <n v="0"/>
    <n v="0"/>
    <n v="0"/>
    <n v="0"/>
    <m/>
    <n v="0"/>
    <n v="0"/>
    <n v="0"/>
    <n v="0"/>
    <n v="0"/>
    <x v="1"/>
    <m/>
    <x v="4"/>
    <x v="0"/>
    <s v="Defaut GE &amp; Power Cabinet"/>
    <x v="0"/>
    <s v="{hourly IHS}: 25/05/2026 07:20 1:40:00 1.7 V Our FME robert IS MANAGING with level zero"/>
  </r>
  <r>
    <s v="Kikai-IHS"/>
    <s v="NRO_053"/>
    <s v="NORD-OUEST"/>
    <s v="IHS"/>
    <s v="Gen Only"/>
    <s v="NORD-OUEST"/>
    <s v="Kikai"/>
    <s v="NOKIA"/>
    <n v="0"/>
    <n v="0"/>
    <n v="0"/>
    <n v="0"/>
    <n v="0"/>
    <n v="0"/>
    <n v="0"/>
    <n v="0"/>
    <n v="0"/>
    <n v="0"/>
    <n v="0"/>
    <n v="0"/>
    <n v="0"/>
    <n v="0"/>
    <n v="0"/>
    <n v="0"/>
    <n v="0"/>
    <n v="0"/>
    <n v="0"/>
    <n v="0"/>
    <n v="0"/>
    <n v="0"/>
    <n v="0"/>
    <n v="0"/>
    <m/>
    <n v="0"/>
    <m/>
    <n v="0"/>
    <m/>
    <n v="0"/>
    <m/>
    <m/>
    <n v="0"/>
    <n v="0"/>
    <n v="0"/>
    <n v="0"/>
    <m/>
    <n v="0"/>
    <n v="0"/>
    <n v="0"/>
    <n v="0"/>
    <n v="0"/>
    <x v="1"/>
    <m/>
    <x v="2"/>
    <x v="1"/>
    <s v="no root cause"/>
    <x v="1"/>
    <s v=""/>
  </r>
  <r>
    <s v="Nkar-IHS"/>
    <s v="NRO_142"/>
    <s v="SUD-OUEST"/>
    <s v="IHS"/>
    <s v="Hybrid-Gen"/>
    <s v="NORD-OUEST"/>
    <s v="Buea"/>
    <s v="NOKIA"/>
    <n v="0"/>
    <n v="0"/>
    <n v="0"/>
    <n v="0"/>
    <n v="0"/>
    <n v="0"/>
    <n v="0"/>
    <n v="0"/>
    <n v="0"/>
    <n v="0"/>
    <n v="0"/>
    <n v="0"/>
    <n v="0"/>
    <n v="0"/>
    <n v="0"/>
    <n v="0"/>
    <n v="0"/>
    <n v="0"/>
    <n v="0"/>
    <n v="0"/>
    <n v="0"/>
    <n v="0"/>
    <n v="0"/>
    <n v="0"/>
    <m/>
    <n v="0"/>
    <m/>
    <n v="0"/>
    <m/>
    <n v="0"/>
    <m/>
    <m/>
    <n v="0"/>
    <n v="0"/>
    <n v="0"/>
    <n v="0"/>
    <m/>
    <n v="0"/>
    <n v="0"/>
    <n v="0"/>
    <n v="0"/>
    <n v="0"/>
    <x v="1"/>
    <m/>
    <x v="2"/>
    <x v="1"/>
    <s v="no root cause"/>
    <x v="1"/>
    <s v=""/>
  </r>
  <r>
    <s v="Datcheka-IHS"/>
    <s v="EXN_265"/>
    <s v="EXTREME-NORD"/>
    <m/>
    <m/>
    <s v="EXTREME-NORD"/>
    <s v="Datcheka"/>
    <s v="Huawei"/>
    <n v="0"/>
    <n v="0"/>
    <n v="0"/>
    <n v="0"/>
    <n v="0"/>
    <n v="0"/>
    <n v="0"/>
    <n v="0"/>
    <n v="0"/>
    <n v="0"/>
    <n v="0"/>
    <n v="0"/>
    <n v="0"/>
    <n v="0"/>
    <n v="0"/>
    <n v="0"/>
    <n v="0"/>
    <n v="0"/>
    <n v="0"/>
    <n v="0"/>
    <n v="0"/>
    <n v="0"/>
    <n v="0"/>
    <n v="0"/>
    <m/>
    <n v="0"/>
    <m/>
    <n v="0"/>
    <m/>
    <n v="0"/>
    <m/>
    <m/>
    <n v="0"/>
    <n v="0"/>
    <n v="0"/>
    <n v="0"/>
    <m/>
    <n v="0"/>
    <n v="0"/>
    <n v="0"/>
    <n v="0"/>
    <n v="0"/>
    <x v="1"/>
    <m/>
    <x v="4"/>
    <x v="0"/>
    <s v="Defaut GE &amp; Power Cabinet"/>
    <x v="0"/>
    <s v="{05-25-2026  incident}:    impacted by  EXN_074_H_Dziguilao ,   RCA: Power issue / En attente RCA IHS      ;      {hourly IHS}: 25/05/2026 02:09 4:14:37 48.9V Mamoudou is informed and managing with L0.      ;      {05-25-2026 ocm ran 17H}: P1 Incident at EXN_074_H_Dziguilao; Power issue; IHS"/>
  </r>
  <r>
    <s v="Debunsha-MTN"/>
    <s v="SUO_035"/>
    <s v="SUD-OUEST"/>
    <s v="IHS"/>
    <s v="Grid-Gen"/>
    <s v="SUD-OUEST"/>
    <s v="Debunsha"/>
    <s v="Huawei"/>
    <n v="0"/>
    <n v="0"/>
    <n v="0"/>
    <n v="0"/>
    <n v="0"/>
    <n v="0"/>
    <n v="0"/>
    <n v="0"/>
    <n v="0"/>
    <n v="0"/>
    <n v="0"/>
    <n v="0"/>
    <n v="0"/>
    <n v="0"/>
    <n v="0"/>
    <n v="0"/>
    <n v="0"/>
    <n v="0"/>
    <n v="0"/>
    <n v="0"/>
    <n v="0"/>
    <n v="0"/>
    <n v="0"/>
    <n v="0"/>
    <m/>
    <n v="0"/>
    <m/>
    <n v="0"/>
    <m/>
    <n v="0"/>
    <m/>
    <m/>
    <n v="0"/>
    <n v="0"/>
    <n v="0"/>
    <n v="0"/>
    <m/>
    <n v="0"/>
    <n v="0"/>
    <n v="0"/>
    <n v="0"/>
    <n v="0"/>
    <x v="1"/>
    <m/>
    <x v="4"/>
    <x v="0"/>
    <s v="Defaut GE &amp; Power Cabinet"/>
    <x v="0"/>
    <s v="{05-25-2026  incident}:    impacted by SUO_011_H_Monkey-Hill,   RCA: Power issue / En attente RCA IHS"/>
  </r>
  <r>
    <s v="Bamessing-IHS"/>
    <s v="NRO_038"/>
    <s v="NORD-OUEST"/>
    <s v="IHS"/>
    <s v="Grid-Gen"/>
    <s v="NORD-OUEST"/>
    <s v="Bamessing"/>
    <s v="Huawei"/>
    <n v="0"/>
    <n v="0"/>
    <n v="0"/>
    <n v="0"/>
    <n v="0"/>
    <n v="0"/>
    <n v="0"/>
    <n v="0"/>
    <n v="0"/>
    <n v="0"/>
    <n v="0"/>
    <n v="0"/>
    <n v="0"/>
    <n v="0"/>
    <n v="0"/>
    <n v="0"/>
    <n v="0"/>
    <n v="0"/>
    <n v="0"/>
    <n v="0"/>
    <n v="1.073439858689108"/>
    <n v="0"/>
    <n v="0"/>
    <n v="0"/>
    <m/>
    <n v="0"/>
    <m/>
    <n v="0"/>
    <m/>
    <n v="0"/>
    <m/>
    <m/>
    <n v="0"/>
    <n v="0"/>
    <n v="0"/>
    <n v="0"/>
    <m/>
    <n v="0"/>
    <n v="0"/>
    <n v="0"/>
    <n v="0"/>
    <n v="0"/>
    <x v="1"/>
    <m/>
    <x v="4"/>
    <x v="0"/>
    <s v="Defaut GE &amp; Power Cabinet"/>
    <x v="0"/>
    <s v="{hourly IHS}: 25/05/2026 06:44 16:15:54 Hans is managing with level 0, insecurity      ;      {05-25-2026 ocm ran 22H}: 25.05.26: IHS: 45 v : fme Roland is informed  and is maanging with level 0      ;      {05-25-2026 ocm ran 17H}: 25.05.26: IHS: 45 v : fme Roland is informed  and is maanging with level 0"/>
  </r>
  <r>
    <s v="Bakwele-IHS"/>
    <s v="SUO_249"/>
    <s v="SUD-OUEST"/>
    <s v="IHS"/>
    <s v="Hybrid Gen"/>
    <s v="SUD-OUEST"/>
    <s v="Pella"/>
    <s v="NOKIA"/>
    <n v="0"/>
    <n v="0"/>
    <n v="0"/>
    <n v="0"/>
    <n v="0"/>
    <n v="0"/>
    <n v="0"/>
    <n v="0"/>
    <n v="0"/>
    <n v="0"/>
    <n v="0"/>
    <n v="0"/>
    <n v="0"/>
    <n v="0"/>
    <n v="0"/>
    <n v="0"/>
    <n v="0"/>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r>
  <r>
    <s v="Mamfe-Town-IHS"/>
    <s v="SUO_107"/>
    <s v="SUD-OUEST"/>
    <s v="IHS"/>
    <s v="Gen Only"/>
    <s v="SUD-OUEST"/>
    <s v="Mamfe"/>
    <s v="NOKIA"/>
    <n v="0"/>
    <n v="0"/>
    <n v="0"/>
    <n v="0"/>
    <n v="0"/>
    <n v="0"/>
    <n v="0"/>
    <n v="0"/>
    <n v="0"/>
    <n v="0"/>
    <n v="0"/>
    <n v="0"/>
    <n v="0"/>
    <n v="0"/>
    <n v="0"/>
    <n v="0"/>
    <n v="0"/>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r>
  <r>
    <s v="Kumbe-MTN"/>
    <s v="SUO_088"/>
    <s v="SUD-OUEST"/>
    <s v="IHS"/>
    <s v="Gen Only"/>
    <s v="SUD-OUEST"/>
    <s v="Kumbe"/>
    <s v="Huawei"/>
    <n v="0"/>
    <n v="0"/>
    <n v="0"/>
    <n v="0"/>
    <n v="0"/>
    <n v="0"/>
    <n v="0"/>
    <n v="0"/>
    <n v="0"/>
    <n v="0"/>
    <n v="0"/>
    <n v="0"/>
    <n v="0"/>
    <n v="0"/>
    <n v="0"/>
    <n v="0"/>
    <n v="0"/>
    <n v="0"/>
    <n v="0"/>
    <n v="0"/>
    <n v="0"/>
    <n v="0"/>
    <n v="0"/>
    <n v="0"/>
    <m/>
    <n v="0"/>
    <m/>
    <n v="0"/>
    <m/>
    <n v="0"/>
    <m/>
    <m/>
    <n v="0"/>
    <n v="0"/>
    <n v="0"/>
    <n v="0"/>
    <m/>
    <n v="0"/>
    <n v="0"/>
    <n v="0"/>
    <n v="0"/>
    <n v="0"/>
    <x v="1"/>
    <m/>
    <x v="2"/>
    <x v="1"/>
    <s v="no root cause"/>
    <x v="1"/>
    <s v=""/>
  </r>
  <r>
    <s v="Mutengene-Ombe-IHS"/>
    <s v="SUO_149"/>
    <s v="SUD-OUEST"/>
    <s v="IHS"/>
    <s v="Gen Only"/>
    <s v="SUD-OUEST"/>
    <s v="Mutengene"/>
    <s v="Huawei"/>
    <n v="0"/>
    <n v="0"/>
    <n v="0"/>
    <n v="0"/>
    <n v="0"/>
    <n v="0"/>
    <n v="0"/>
    <n v="0"/>
    <n v="0"/>
    <n v="0"/>
    <n v="0"/>
    <n v="0"/>
    <n v="0"/>
    <n v="0"/>
    <n v="0"/>
    <n v="0"/>
    <n v="0"/>
    <n v="0"/>
    <n v="0"/>
    <n v="0"/>
    <n v="0"/>
    <n v="0"/>
    <n v="0"/>
    <n v="0"/>
    <m/>
    <n v="0"/>
    <m/>
    <n v="0"/>
    <m/>
    <n v="0"/>
    <m/>
    <m/>
    <n v="0"/>
    <n v="0"/>
    <n v="0"/>
    <n v="0"/>
    <m/>
    <n v="0"/>
    <n v="0"/>
    <n v="0"/>
    <n v="0"/>
    <n v="0"/>
    <x v="1"/>
    <m/>
    <x v="4"/>
    <x v="0"/>
    <s v="Defaut GE &amp; Power Cabinet"/>
    <x v="0"/>
    <s v="{hourly IHS}: 25/05/2026 07:05 8:12:50 FME is informed and managing"/>
  </r>
  <r>
    <s v="Makary"/>
    <s v="EXN_020"/>
    <s v="EXTREME-NORD"/>
    <s v="IHS"/>
    <s v="Solar-Gen"/>
    <s v="EXTREME-NORD"/>
    <s v="Makary"/>
    <s v="Huawei"/>
    <n v="0"/>
    <n v="0"/>
    <n v="0"/>
    <n v="0"/>
    <n v="0"/>
    <n v="0"/>
    <n v="0"/>
    <n v="0"/>
    <n v="0"/>
    <n v="0"/>
    <n v="0"/>
    <n v="0"/>
    <n v="0"/>
    <n v="0"/>
    <n v="0"/>
    <n v="0"/>
    <n v="0"/>
    <n v="0"/>
    <n v="0"/>
    <n v="0"/>
    <n v="0"/>
    <n v="0"/>
    <n v="0"/>
    <n v="0"/>
    <m/>
    <n v="0"/>
    <m/>
    <n v="0"/>
    <m/>
    <n v="0"/>
    <m/>
    <m/>
    <n v="0"/>
    <n v="0"/>
    <n v="0"/>
    <n v="0"/>
    <m/>
    <n v="0"/>
    <n v="0"/>
    <n v="0"/>
    <n v="0"/>
    <n v="0"/>
    <x v="1"/>
    <m/>
    <x v="2"/>
    <x v="1"/>
    <s v="no root cause"/>
    <x v="1"/>
    <s v=""/>
  </r>
  <r>
    <s v="Goulourgou"/>
    <s v="EXN_200"/>
    <s v="EXTREME-NORD"/>
    <s v="IHS"/>
    <s v="Hybrid-Gen"/>
    <s v="EXTREME-NORD"/>
    <s v="Kalfou"/>
    <s v="NOKIA"/>
    <n v="0"/>
    <n v="0"/>
    <n v="0"/>
    <n v="0"/>
    <n v="0"/>
    <n v="0"/>
    <n v="0"/>
    <n v="0"/>
    <n v="0"/>
    <n v="0"/>
    <n v="0"/>
    <n v="0"/>
    <n v="0"/>
    <n v="0"/>
    <n v="0"/>
    <n v="0"/>
    <n v="0"/>
    <n v="0"/>
    <n v="0"/>
    <n v="0"/>
    <n v="0"/>
    <n v="0"/>
    <n v="0"/>
    <n v="0"/>
    <m/>
    <n v="0"/>
    <m/>
    <n v="0"/>
    <m/>
    <n v="0"/>
    <m/>
    <m/>
    <n v="0"/>
    <n v="0"/>
    <n v="0"/>
    <n v="0"/>
    <m/>
    <n v="0"/>
    <n v="0"/>
    <n v="0"/>
    <n v="0"/>
    <n v="0"/>
    <x v="1"/>
    <m/>
    <x v="4"/>
    <x v="0"/>
    <s v="Defaut GE &amp; Power Cabinet"/>
    <x v="0"/>
    <s v="{05-25-2026 ocm ran 17H}: P1 Incident at EXN_074_H_Dziguilao; Power issue; IHS"/>
  </r>
  <r>
    <s v="Lara"/>
    <s v="EXN_102"/>
    <s v="EXTREME-NORD"/>
    <s v="IHS"/>
    <s v="Grid-Gen"/>
    <s v="EXTREME-NORD"/>
    <s v="Lara"/>
    <s v="Huawei"/>
    <n v="0"/>
    <n v="0"/>
    <n v="0"/>
    <n v="0"/>
    <n v="0"/>
    <n v="0"/>
    <n v="0"/>
    <n v="0"/>
    <n v="0"/>
    <n v="0"/>
    <n v="0"/>
    <n v="0.3013532404877876"/>
    <n v="0"/>
    <n v="0"/>
    <n v="0"/>
    <n v="0"/>
    <n v="0"/>
    <n v="0"/>
    <n v="0"/>
    <n v="0"/>
    <n v="0"/>
    <n v="0"/>
    <n v="0"/>
    <n v="0"/>
    <m/>
    <n v="0"/>
    <m/>
    <n v="0"/>
    <m/>
    <n v="0"/>
    <m/>
    <m/>
    <n v="0"/>
    <n v="0"/>
    <n v="0"/>
    <n v="0"/>
    <m/>
    <n v="0"/>
    <n v="0"/>
    <n v="0"/>
    <n v="0"/>
    <n v="0"/>
    <x v="1"/>
    <m/>
    <x v="2"/>
    <x v="1"/>
    <s v="no root cause"/>
    <x v="1"/>
    <s v=""/>
  </r>
  <r>
    <s v="Waza"/>
    <s v="EXN_033"/>
    <s v="EXTREME-NORD"/>
    <s v="IHS"/>
    <s v="Grid-Hybrid-Gen"/>
    <s v="EXTREME-NORD"/>
    <s v="Waza"/>
    <s v="NOKIA"/>
    <n v="0"/>
    <n v="0"/>
    <n v="0"/>
    <n v="0"/>
    <n v="0"/>
    <n v="0"/>
    <n v="0"/>
    <n v="0"/>
    <n v="0"/>
    <n v="0"/>
    <n v="0"/>
    <n v="0"/>
    <n v="0"/>
    <n v="0"/>
    <n v="0"/>
    <n v="0"/>
    <n v="0"/>
    <n v="0"/>
    <n v="0"/>
    <n v="0"/>
    <n v="0"/>
    <n v="0"/>
    <n v="0"/>
    <n v="0"/>
    <m/>
    <n v="0"/>
    <m/>
    <n v="0"/>
    <m/>
    <n v="0"/>
    <m/>
    <m/>
    <n v="0"/>
    <n v="0"/>
    <n v="0"/>
    <n v="0"/>
    <m/>
    <n v="0"/>
    <n v="0"/>
    <n v="0"/>
    <n v="0"/>
    <n v="0"/>
    <x v="1"/>
    <m/>
    <x v="5"/>
    <x v="2"/>
    <s v="MPR ISSUE"/>
    <x v="2"/>
    <s v="{05-25-2026 ocm ran 22H}: 24/05/2026 escalade RM teleinfra : Intervention ce 25/05/2026_x000a_23/05/2026 Nous recevons les trames du port de la RTN de Waza sur le MPR de Mora-II._x000a_BV faire le check et partager le statut. Apres amchide_x000a_22.05.26: Link restored, BO TX is checking_x000a_22.05.26: RTN link Mora-II&lt;&gt;Waza misaligned but not yet accepted, escalated to Huawei projet_x000a_21.05.26: RTN link Mora-II&lt;&gt;Waza misaligned but not yet accepted, escalated to Huawei projet_x000a_20.05.26: Besoin d'un FME sur site pour vérifier le statut de la RTN; CM-20260520-00003335; FME Yaouba activé, Update ASAP      ;      {05-25-2026 ocm ran 17H}: 24/05/2026 escalade RM teleinfra : Intervention ce 25/05/2026_x000a_23/05/2026 Nous recevons les trames du port de la RTN de Waza sur le MPR de Mora-II._x000a_BV faire le check et partager le statut. Apres amchide_x000a_22.05.26: Link restored, BO TX is checking_x000a_22.05.26: RTN link Mora-II&lt;&gt;Waza misaligned but not yet accepted, escalated to Huawei projet_x000a_21.05.26: RTN link Mora-II&lt;&gt;Waza misaligned but not yet accepted, escalated to Huawei projet_x000a_20.05.26: Besoin d'un FME sur site pour vérifier le statut de la RTN; CM-20260520-00003335; FME Yaouba activé, Update ASAP"/>
  </r>
  <r>
    <s v="Mayo-kaba-IHS"/>
    <s v="EXN_162"/>
    <s v="EXTREME-NORD"/>
    <s v="IHS"/>
    <s v="Hybrid-Gen"/>
    <s v="EXTREME-NORD"/>
    <s v="Mayo-Kaba "/>
    <s v="Huawei"/>
    <n v="0"/>
    <n v="0"/>
    <n v="0"/>
    <n v="0"/>
    <n v="0"/>
    <n v="0"/>
    <n v="0"/>
    <n v="0"/>
    <n v="0"/>
    <n v="0"/>
    <n v="0"/>
    <n v="0"/>
    <n v="0"/>
    <n v="0"/>
    <n v="0"/>
    <n v="0"/>
    <n v="0"/>
    <n v="0"/>
    <n v="0"/>
    <n v="0"/>
    <n v="0"/>
    <n v="0"/>
    <n v="0"/>
    <n v="0"/>
    <m/>
    <n v="0"/>
    <m/>
    <n v="0"/>
    <m/>
    <n v="0"/>
    <m/>
    <m/>
    <n v="0"/>
    <n v="0"/>
    <n v="0"/>
    <n v="0"/>
    <m/>
    <n v="0"/>
    <n v="0"/>
    <n v="0"/>
    <n v="0"/>
    <n v="0"/>
    <x v="1"/>
    <m/>
    <x v="4"/>
    <x v="0"/>
    <s v="Defaut GE &amp; Power Cabinet"/>
    <x v="0"/>
    <s v="{hourly IHS}: 25/05/2026 08:55 0:05:00 41 Michel is managing with level 0, ETA asap"/>
  </r>
  <r>
    <s v="Doumo-IHS"/>
    <s v="EXN_165"/>
    <s v="EXTREME-NORD"/>
    <s v="IHS"/>
    <s v="Hybrid-Gen"/>
    <s v="EXTREME-NORD"/>
    <s v="Doumo"/>
    <s v="Huawei"/>
    <n v="0"/>
    <n v="0"/>
    <n v="0"/>
    <n v="0"/>
    <n v="0"/>
    <n v="0"/>
    <n v="0"/>
    <n v="0"/>
    <n v="0"/>
    <n v="0"/>
    <n v="0"/>
    <n v="0"/>
    <n v="0"/>
    <n v="0"/>
    <n v="0"/>
    <n v="0"/>
    <n v="0"/>
    <n v="0"/>
    <n v="0"/>
    <n v="0"/>
    <n v="0"/>
    <n v="0"/>
    <n v="0"/>
    <n v="0"/>
    <m/>
    <n v="0"/>
    <m/>
    <n v="0"/>
    <m/>
    <n v="0"/>
    <m/>
    <m/>
    <n v="0"/>
    <n v="0"/>
    <n v="0"/>
    <n v="0"/>
    <m/>
    <n v="0"/>
    <n v="0"/>
    <n v="0"/>
    <n v="0"/>
    <n v="0"/>
    <x v="1"/>
    <m/>
    <x v="2"/>
    <x v="1"/>
    <s v="no root cause"/>
    <x v="1"/>
    <s v=""/>
  </r>
  <r>
    <s v="Maltam"/>
    <s v="EXN_035"/>
    <s v="EXTREME-NORD"/>
    <s v="IHS"/>
    <s v="Solar-Gen"/>
    <s v="EXTREME-NORD"/>
    <s v="Maltam"/>
    <s v="NOKIA"/>
    <n v="0"/>
    <n v="0"/>
    <n v="0"/>
    <n v="0"/>
    <n v="0"/>
    <n v="0"/>
    <n v="0"/>
    <n v="0"/>
    <n v="0"/>
    <n v="0"/>
    <n v="0"/>
    <n v="0"/>
    <n v="0"/>
    <n v="0"/>
    <n v="0"/>
    <n v="0"/>
    <n v="0"/>
    <n v="0"/>
    <n v="0"/>
    <n v="0"/>
    <n v="0"/>
    <n v="0"/>
    <n v="0"/>
    <n v="0"/>
    <m/>
    <n v="0"/>
    <m/>
    <n v="0"/>
    <m/>
    <n v="0"/>
    <m/>
    <m/>
    <n v="0"/>
    <n v="0"/>
    <n v="0"/>
    <n v="0"/>
    <m/>
    <n v="0"/>
    <n v="0"/>
    <n v="0"/>
    <n v="0"/>
    <n v="0"/>
    <x v="1"/>
    <m/>
    <x v="2"/>
    <x v="1"/>
    <s v="no root cause"/>
    <x v="1"/>
    <s v=""/>
  </r>
  <r>
    <s v="Tiko"/>
    <s v="SUO_004"/>
    <s v="SUD-OUEST"/>
    <s v="IHS"/>
    <s v="Grid-Gen"/>
    <s v="SUD-OUEST"/>
    <s v="Tiko"/>
    <s v="Huawei"/>
    <n v="0"/>
    <n v="0"/>
    <n v="0"/>
    <n v="0"/>
    <n v="0"/>
    <n v="0"/>
    <n v="0"/>
    <n v="0"/>
    <n v="0"/>
    <n v="0"/>
    <n v="0"/>
    <n v="0"/>
    <n v="0"/>
    <n v="0"/>
    <n v="0"/>
    <n v="0"/>
    <n v="0"/>
    <n v="0"/>
    <n v="0"/>
    <n v="0"/>
    <n v="0"/>
    <n v="0"/>
    <n v="0"/>
    <n v="0"/>
    <m/>
    <n v="0"/>
    <m/>
    <n v="0"/>
    <m/>
    <n v="0"/>
    <m/>
    <m/>
    <n v="0"/>
    <n v="0"/>
    <n v="0"/>
    <n v="0"/>
    <m/>
    <n v="0"/>
    <n v="0"/>
    <n v="0"/>
    <n v="0"/>
    <n v="0"/>
    <x v="1"/>
    <m/>
    <x v="2"/>
    <x v="1"/>
    <s v="no root cause"/>
    <x v="1"/>
    <s v=""/>
  </r>
  <r>
    <s v="Gazawa-MTN-IHS"/>
    <s v="EXN_130"/>
    <s v="EXTREME-NORD"/>
    <s v="IHS"/>
    <s v="Grid-Gen"/>
    <s v="EXTREME-NORD"/>
    <s v="Gazawa"/>
    <s v="Huawei"/>
    <n v="0"/>
    <n v="0"/>
    <n v="0"/>
    <n v="0"/>
    <n v="0"/>
    <n v="0"/>
    <n v="0"/>
    <n v="0"/>
    <n v="0"/>
    <n v="0"/>
    <n v="0"/>
    <n v="0"/>
    <n v="0"/>
    <n v="0"/>
    <n v="0"/>
    <n v="0"/>
    <n v="0"/>
    <n v="0"/>
    <n v="0"/>
    <n v="0"/>
    <n v="0"/>
    <n v="0"/>
    <n v="0"/>
    <n v="0"/>
    <m/>
    <n v="0"/>
    <m/>
    <n v="0"/>
    <m/>
    <n v="0"/>
    <m/>
    <m/>
    <n v="0"/>
    <n v="0"/>
    <n v="0"/>
    <n v="0"/>
    <m/>
    <n v="0"/>
    <n v="0"/>
    <n v="0"/>
    <n v="0"/>
    <n v="0"/>
    <x v="1"/>
    <m/>
    <x v="4"/>
    <x v="0"/>
    <s v="Defaut GE &amp; Power Cabinet"/>
    <x v="0"/>
    <s v="{05-25-2026 groupe whatsapp  incident}:    impacted by  EXN_130_H_Gazawa-MTN-IHS   RCA: Power issue / En attente RCA IHS      ;      {hourly IHS}: 25/05/2026 08:31 2:29:00 40 Our FME ALBAN is managing with level zero"/>
  </r>
  <r>
    <s v="Moutourwa-MTN"/>
    <s v="EXN_027"/>
    <s v="EXTREME-NORD"/>
    <s v="IHS"/>
    <s v="Grid-Gen"/>
    <s v="EXTREME-NORD"/>
    <s v="Moutourwa"/>
    <s v="Huawei"/>
    <n v="0"/>
    <n v="0"/>
    <n v="0"/>
    <n v="0"/>
    <n v="0"/>
    <n v="0"/>
    <n v="0"/>
    <n v="0"/>
    <n v="0"/>
    <n v="0"/>
    <n v="0"/>
    <n v="0"/>
    <n v="0"/>
    <n v="0"/>
    <n v="0"/>
    <n v="0"/>
    <n v="0"/>
    <n v="0"/>
    <n v="0"/>
    <n v="0"/>
    <n v="0"/>
    <n v="0"/>
    <n v="0"/>
    <n v="0"/>
    <m/>
    <n v="0"/>
    <m/>
    <n v="0"/>
    <m/>
    <n v="0"/>
    <m/>
    <m/>
    <n v="0"/>
    <n v="0"/>
    <n v="0"/>
    <n v="0"/>
    <m/>
    <n v="0"/>
    <n v="0"/>
    <n v="0"/>
    <n v="0"/>
    <n v="0"/>
    <x v="1"/>
    <m/>
    <x v="2"/>
    <x v="1"/>
    <s v="no root cause"/>
    <x v="1"/>
    <s v=""/>
  </r>
  <r>
    <s v="Mouda-IHS"/>
    <s v="EXN_186"/>
    <s v="EXTREME-NORD"/>
    <s v="IHS"/>
    <s v="Hybrid-Gen"/>
    <s v="EXTREME-NORD"/>
    <s v="Mouda"/>
    <s v="Huawei"/>
    <n v="0"/>
    <n v="0"/>
    <n v="0"/>
    <n v="0"/>
    <n v="0"/>
    <n v="0"/>
    <n v="0"/>
    <n v="0"/>
    <n v="0"/>
    <n v="0"/>
    <n v="0"/>
    <n v="0"/>
    <n v="0"/>
    <n v="0"/>
    <n v="0"/>
    <n v="0"/>
    <n v="0"/>
    <n v="0"/>
    <n v="0"/>
    <n v="0"/>
    <n v="9.97631858301016"/>
    <n v="0"/>
    <n v="0"/>
    <n v="0"/>
    <m/>
    <n v="0"/>
    <m/>
    <n v="0"/>
    <m/>
    <n v="0"/>
    <m/>
    <m/>
    <n v="0"/>
    <n v="0"/>
    <n v="0"/>
    <n v="0"/>
    <m/>
    <n v="0"/>
    <n v="0"/>
    <n v="0"/>
    <n v="0"/>
    <n v="0"/>
    <x v="1"/>
    <m/>
    <x v="2"/>
    <x v="1"/>
    <s v="no root cause"/>
    <x v="1"/>
    <s v=""/>
  </r>
  <r>
    <s v="Badjouma-Zagam"/>
    <s v="EXN_239"/>
    <s v="EXTREME-NORD"/>
    <s v="CAMUSAT"/>
    <s v="Hybrid Solar - S3"/>
    <s v="EXTREME-NORD"/>
    <s v="Badjouma"/>
    <s v="Huawei"/>
    <n v="0"/>
    <n v="0"/>
    <n v="0"/>
    <n v="0"/>
    <n v="0"/>
    <n v="0"/>
    <n v="0"/>
    <n v="0"/>
    <n v="0"/>
    <n v="0"/>
    <n v="0"/>
    <n v="0"/>
    <n v="0"/>
    <n v="0"/>
    <n v="0"/>
    <n v="0"/>
    <n v="0"/>
    <n v="0"/>
    <n v="0"/>
    <n v="0"/>
    <n v="0"/>
    <n v="0"/>
    <n v="0"/>
    <n v="0"/>
    <m/>
    <n v="0"/>
    <m/>
    <n v="0"/>
    <m/>
    <n v="0"/>
    <m/>
    <m/>
    <n v="0"/>
    <n v="0"/>
    <n v="0"/>
    <n v="0"/>
    <m/>
    <n v="0"/>
    <n v="0"/>
    <n v="0"/>
    <n v="0"/>
    <n v="0"/>
    <x v="1"/>
    <m/>
    <x v="2"/>
    <x v="1"/>
    <s v="no root cause"/>
    <x v="1"/>
    <s v=""/>
  </r>
  <r>
    <s v="Gamdougoum-IHS"/>
    <s v="EXN_163"/>
    <s v="EXTREME-NORD"/>
    <s v="IHS"/>
    <s v="Solar-Gen"/>
    <s v="EXTREME-NORD"/>
    <s v="Gamdougoum"/>
    <s v="Huawei"/>
    <n v="0"/>
    <n v="0"/>
    <n v="0"/>
    <n v="0"/>
    <n v="0"/>
    <n v="0"/>
    <n v="0"/>
    <n v="0"/>
    <n v="0"/>
    <n v="0"/>
    <n v="0"/>
    <n v="0"/>
    <n v="0"/>
    <n v="0"/>
    <n v="0"/>
    <n v="0"/>
    <n v="0"/>
    <n v="0"/>
    <n v="0"/>
    <n v="0"/>
    <n v="0"/>
    <n v="0"/>
    <n v="0"/>
    <n v="0"/>
    <m/>
    <n v="0"/>
    <m/>
    <n v="0"/>
    <m/>
    <n v="0"/>
    <m/>
    <m/>
    <n v="0"/>
    <n v="0"/>
    <n v="0"/>
    <n v="0"/>
    <m/>
    <n v="0"/>
    <n v="0"/>
    <n v="0"/>
    <n v="0"/>
    <n v="0"/>
    <x v="1"/>
    <m/>
    <x v="2"/>
    <x v="1"/>
    <s v="no root cause"/>
    <x v="1"/>
    <s v=""/>
  </r>
  <r>
    <s v="Tiko-Likomba-IHS"/>
    <s v="SUO_209"/>
    <s v="SUD-OUEST"/>
    <s v="IHS"/>
    <s v="Grid-Gen"/>
    <s v="SUD-OUEST"/>
    <s v="Tiko"/>
    <s v="Huawei"/>
    <n v="0"/>
    <n v="0"/>
    <n v="0"/>
    <n v="0"/>
    <n v="0"/>
    <n v="0"/>
    <n v="0"/>
    <n v="0"/>
    <n v="0"/>
    <n v="0"/>
    <n v="0"/>
    <n v="0"/>
    <n v="0"/>
    <n v="0"/>
    <n v="0"/>
    <n v="0"/>
    <n v="0"/>
    <n v="0"/>
    <n v="0"/>
    <n v="0"/>
    <n v="0"/>
    <n v="0"/>
    <n v="0"/>
    <n v="0"/>
    <m/>
    <n v="0"/>
    <m/>
    <n v="0"/>
    <m/>
    <n v="0"/>
    <m/>
    <m/>
    <n v="0"/>
    <n v="0"/>
    <n v="0"/>
    <n v="0"/>
    <m/>
    <n v="0"/>
    <n v="0"/>
    <n v="0"/>
    <n v="0"/>
    <n v="0"/>
    <x v="1"/>
    <m/>
    <x v="2"/>
    <x v="1"/>
    <s v="no root cause"/>
    <x v="1"/>
    <s v=""/>
  </r>
  <r>
    <s v="Ngambe"/>
    <s v="SUO_029"/>
    <s v="LITTORAL"/>
    <s v="IHS"/>
    <s v="Grid-Hybrid-Gen"/>
    <s v="SUD-OUEST"/>
    <s v="Ngambe"/>
    <s v="ZTE"/>
    <n v="0"/>
    <n v="0"/>
    <n v="0"/>
    <n v="0"/>
    <n v="0"/>
    <n v="0"/>
    <n v="0"/>
    <n v="0"/>
    <n v="0"/>
    <n v="0"/>
    <n v="0"/>
    <n v="0"/>
    <n v="0"/>
    <n v="0"/>
    <n v="0"/>
    <n v="0"/>
    <n v="0"/>
    <n v="0"/>
    <n v="0"/>
    <n v="0"/>
    <n v="0"/>
    <n v="0"/>
    <n v="0"/>
    <n v="0"/>
    <m/>
    <n v="0"/>
    <m/>
    <n v="0"/>
    <m/>
    <n v="0"/>
    <m/>
    <m/>
    <n v="0"/>
    <n v="0"/>
    <n v="0"/>
    <n v="0"/>
    <m/>
    <n v="0"/>
    <n v="0"/>
    <n v="0"/>
    <n v="0"/>
    <n v="0"/>
    <x v="1"/>
    <m/>
    <x v="2"/>
    <x v="1"/>
    <s v="no root cause"/>
    <x v="1"/>
    <s v=""/>
  </r>
  <r>
    <s v="Tiko-Market-IHS"/>
    <s v="SUO_104"/>
    <s v="SUD-OUEST"/>
    <s v="IHS"/>
    <s v="Grid-Gen"/>
    <s v="SUD-OUEST"/>
    <s v="Tiko"/>
    <s v="Huawei"/>
    <n v="0"/>
    <n v="0"/>
    <n v="0"/>
    <n v="0"/>
    <n v="0"/>
    <n v="0"/>
    <n v="0"/>
    <n v="0"/>
    <n v="0"/>
    <n v="0"/>
    <n v="0"/>
    <n v="0"/>
    <n v="0"/>
    <n v="0"/>
    <n v="0"/>
    <n v="0"/>
    <n v="0"/>
    <n v="0"/>
    <n v="0"/>
    <n v="0"/>
    <n v="0"/>
    <n v="0"/>
    <n v="0"/>
    <n v="0"/>
    <m/>
    <n v="0"/>
    <m/>
    <n v="0"/>
    <m/>
    <n v="0"/>
    <m/>
    <m/>
    <n v="0"/>
    <n v="0"/>
    <n v="0"/>
    <n v="0"/>
    <m/>
    <n v="0"/>
    <n v="0"/>
    <n v="0"/>
    <n v="0"/>
    <n v="0"/>
    <x v="1"/>
    <m/>
    <x v="2"/>
    <x v="1"/>
    <s v="no root cause"/>
    <x v="1"/>
    <s v=""/>
  </r>
  <r>
    <s v="Santa-New"/>
    <s v="NRO_104"/>
    <s v="NORD-OUEST"/>
    <s v="IHS"/>
    <s v="Grid-Gen"/>
    <s v="NORD-OUEST"/>
    <s v="Santa"/>
    <s v="Huawei"/>
    <n v="0"/>
    <n v="0"/>
    <n v="0"/>
    <n v="0"/>
    <n v="0"/>
    <n v="0"/>
    <n v="0"/>
    <n v="0"/>
    <n v="0"/>
    <n v="0"/>
    <n v="0"/>
    <n v="0"/>
    <n v="0"/>
    <n v="0"/>
    <n v="0"/>
    <n v="0"/>
    <n v="0"/>
    <n v="0"/>
    <n v="0"/>
    <n v="0"/>
    <n v="0"/>
    <n v="0"/>
    <n v="0"/>
    <n v="0"/>
    <m/>
    <n v="0"/>
    <m/>
    <n v="0"/>
    <m/>
    <n v="0"/>
    <m/>
    <m/>
    <n v="0"/>
    <n v="0"/>
    <n v="0"/>
    <n v="0"/>
    <m/>
    <n v="0"/>
    <n v="0"/>
    <n v="0"/>
    <n v="0"/>
    <n v="0"/>
    <x v="1"/>
    <m/>
    <x v="2"/>
    <x v="1"/>
    <s v="no root cause"/>
    <x v="1"/>
    <s v=""/>
  </r>
  <r>
    <s v="Akum"/>
    <s v="NRO_001"/>
    <s v="NORD-OUEST"/>
    <s v="CAMUSAT"/>
    <s v="Medium Grid + Solar + GE"/>
    <s v="NORD-OUEST"/>
    <s v="Akum"/>
    <s v="Huawei"/>
    <n v="0"/>
    <n v="0"/>
    <n v="0"/>
    <n v="0"/>
    <n v="0"/>
    <n v="0"/>
    <n v="0"/>
    <n v="0"/>
    <n v="0"/>
    <n v="0"/>
    <n v="0"/>
    <n v="0"/>
    <n v="0"/>
    <n v="0"/>
    <n v="0"/>
    <n v="0"/>
    <n v="0"/>
    <n v="0"/>
    <n v="0"/>
    <n v="0"/>
    <n v="0"/>
    <n v="0"/>
    <n v="0"/>
    <n v="0"/>
    <m/>
    <n v="0"/>
    <m/>
    <n v="0"/>
    <m/>
    <n v="0"/>
    <m/>
    <m/>
    <n v="0"/>
    <n v="0"/>
    <n v="0"/>
    <n v="0"/>
    <m/>
    <n v="0"/>
    <n v="0"/>
    <n v="0"/>
    <n v="0"/>
    <n v="0"/>
    <x v="1"/>
    <m/>
    <x v="2"/>
    <x v="1"/>
    <s v="no root cause"/>
    <x v="1"/>
    <s v=""/>
  </r>
  <r>
    <s v="Ndom"/>
    <s v="SUO_028"/>
    <s v="CENTRE"/>
    <s v="IHS"/>
    <s v="Grid Gen"/>
    <s v="SUD-OUEST"/>
    <s v="Ndom"/>
    <s v="ZTE"/>
    <n v="0"/>
    <n v="0"/>
    <n v="0"/>
    <n v="0"/>
    <n v="0"/>
    <n v="0"/>
    <n v="0"/>
    <n v="0"/>
    <n v="0"/>
    <n v="0"/>
    <n v="0"/>
    <n v="0"/>
    <n v="0"/>
    <n v="0"/>
    <n v="0"/>
    <n v="0"/>
    <n v="0"/>
    <n v="0"/>
    <n v="0"/>
    <n v="0"/>
    <n v="0"/>
    <n v="0"/>
    <n v="0"/>
    <n v="0"/>
    <m/>
    <n v="0"/>
    <m/>
    <n v="0"/>
    <m/>
    <n v="0"/>
    <m/>
    <m/>
    <n v="0"/>
    <n v="0"/>
    <n v="0"/>
    <n v="0"/>
    <m/>
    <n v="0"/>
    <n v="0"/>
    <n v="0"/>
    <n v="0"/>
    <n v="0"/>
    <x v="1"/>
    <m/>
    <x v="2"/>
    <x v="1"/>
    <s v="no root cause"/>
    <x v="1"/>
    <s v=""/>
  </r>
  <r>
    <s v="Sabga"/>
    <s v="NRO_048"/>
    <s v="NORD-OUEST"/>
    <s v="IHS"/>
    <s v="Grid-Gen"/>
    <s v="NORD-OUEST"/>
    <s v="Sabga"/>
    <s v="Huawei"/>
    <n v="0"/>
    <n v="0"/>
    <n v="0"/>
    <n v="0"/>
    <n v="0"/>
    <n v="0"/>
    <n v="0"/>
    <n v="0"/>
    <n v="0"/>
    <n v="0"/>
    <n v="0"/>
    <n v="0"/>
    <n v="0"/>
    <n v="0"/>
    <n v="0"/>
    <n v="0"/>
    <n v="0"/>
    <n v="0"/>
    <n v="0"/>
    <n v="0"/>
    <n v="0"/>
    <n v="0"/>
    <n v="0"/>
    <n v="0"/>
    <m/>
    <n v="0"/>
    <m/>
    <n v="0"/>
    <m/>
    <n v="0"/>
    <m/>
    <m/>
    <n v="0"/>
    <n v="0"/>
    <n v="0"/>
    <n v="0"/>
    <m/>
    <n v="0"/>
    <n v="0"/>
    <n v="0"/>
    <n v="0"/>
    <n v="0"/>
    <x v="1"/>
    <m/>
    <x v="2"/>
    <x v="1"/>
    <s v="no root cause"/>
    <x v="1"/>
    <s v=""/>
  </r>
  <r>
    <s v="Mundemba"/>
    <s v="SUO_020"/>
    <s v="SUD-OUEST"/>
    <s v="IHS"/>
    <s v="Hybrid-Gen"/>
    <s v="SUD-OUEST"/>
    <s v="Mundemba"/>
    <s v="NOKIA"/>
    <n v="0"/>
    <n v="0"/>
    <n v="0"/>
    <n v="0"/>
    <n v="0"/>
    <n v="0"/>
    <n v="0"/>
    <n v="0"/>
    <n v="0"/>
    <n v="0"/>
    <n v="0"/>
    <n v="0"/>
    <n v="0"/>
    <n v="0"/>
    <n v="0"/>
    <n v="0"/>
    <n v="0"/>
    <n v="0"/>
    <n v="0"/>
    <n v="0"/>
    <n v="0"/>
    <n v="0"/>
    <n v="0"/>
    <n v="0"/>
    <m/>
    <n v="0"/>
    <m/>
    <n v="0"/>
    <m/>
    <n v="0"/>
    <m/>
    <m/>
    <n v="0"/>
    <n v="0"/>
    <n v="0"/>
    <n v="0"/>
    <m/>
    <n v="0"/>
    <n v="0"/>
    <n v="0"/>
    <n v="0"/>
    <n v="0"/>
    <x v="1"/>
    <m/>
    <x v="2"/>
    <x v="1"/>
    <s v="no root cause"/>
    <x v="1"/>
    <s v=""/>
  </r>
  <r>
    <s v="Nguti"/>
    <s v="SUO_022"/>
    <s v="SUD-OUEST"/>
    <s v="CAMUSAT"/>
    <s v="HGB"/>
    <s v="SUD-OUEST"/>
    <s v="Nguti"/>
    <s v="NOKIA"/>
    <n v="0"/>
    <n v="0"/>
    <n v="0"/>
    <n v="0"/>
    <n v="0"/>
    <n v="0"/>
    <n v="0"/>
    <n v="0"/>
    <n v="0"/>
    <n v="0"/>
    <n v="0"/>
    <n v="0"/>
    <n v="0"/>
    <n v="0"/>
    <n v="0"/>
    <n v="0"/>
    <n v="0"/>
    <n v="0"/>
    <n v="0"/>
    <n v="0"/>
    <n v="0"/>
    <n v="0"/>
    <n v="0"/>
    <n v="0"/>
    <m/>
    <n v="0"/>
    <m/>
    <n v="0"/>
    <m/>
    <n v="0"/>
    <m/>
    <m/>
    <n v="0"/>
    <n v="0"/>
    <n v="0"/>
    <n v="0"/>
    <m/>
    <n v="0"/>
    <n v="0"/>
    <n v="0"/>
    <n v="0"/>
    <n v="0"/>
    <x v="1"/>
    <m/>
    <x v="15"/>
    <x v="9"/>
    <s v="Projet OCM (ZTE, NOKIA, autres projets)"/>
    <x v="5"/>
    <s v="{05-25-2026 ocm ran 22H}: New site not yet transferred to MSP      ;      {05-25-2026 ocm ran 17H}: New site not yet transferred to MSP"/>
  </r>
  <r>
    <s v="Konye"/>
    <s v="SUO_032"/>
    <s v="SUD-OUEST"/>
    <s v="IHS"/>
    <s v="Hybrid-Gen"/>
    <s v="SUD-OUEST"/>
    <s v="Konye"/>
    <s v="NOKIA"/>
    <n v="0"/>
    <n v="0"/>
    <n v="0"/>
    <n v="0"/>
    <n v="0"/>
    <n v="0"/>
    <n v="0"/>
    <n v="0"/>
    <n v="0"/>
    <n v="0"/>
    <n v="0"/>
    <n v="0"/>
    <n v="0"/>
    <n v="0"/>
    <n v="0"/>
    <n v="0"/>
    <n v="0"/>
    <n v="0"/>
    <n v="0"/>
    <n v="0"/>
    <n v="0"/>
    <n v="0"/>
    <n v="0"/>
    <n v="0"/>
    <m/>
    <n v="0"/>
    <m/>
    <n v="0"/>
    <m/>
    <n v="0"/>
    <m/>
    <m/>
    <n v="0"/>
    <n v="0"/>
    <n v="0"/>
    <n v="0"/>
    <m/>
    <n v="0"/>
    <n v="0"/>
    <n v="0"/>
    <n v="0"/>
    <n v="0"/>
    <x v="1"/>
    <m/>
    <x v="2"/>
    <x v="1"/>
    <s v="no root cause"/>
    <x v="1"/>
    <s v=""/>
  </r>
  <r>
    <s v="Kurume"/>
    <s v="SUO_034"/>
    <s v="SUD-OUEST"/>
    <s v="CAMUSAT"/>
    <e v="#N/A"/>
    <s v="SUD-OUEST"/>
    <s v="Kurume"/>
    <s v="NOKIA"/>
    <n v="0"/>
    <n v="0"/>
    <n v="0"/>
    <n v="0"/>
    <n v="0"/>
    <n v="0"/>
    <n v="0"/>
    <n v="0"/>
    <n v="0"/>
    <n v="0"/>
    <n v="0"/>
    <n v="0"/>
    <n v="0"/>
    <n v="0"/>
    <n v="0"/>
    <n v="0"/>
    <n v="0"/>
    <n v="0"/>
    <n v="0"/>
    <n v="0"/>
    <n v="0"/>
    <n v="0"/>
    <n v="0"/>
    <n v="0"/>
    <m/>
    <n v="0"/>
    <m/>
    <n v="0"/>
    <m/>
    <n v="0"/>
    <m/>
    <m/>
    <n v="0"/>
    <n v="0"/>
    <n v="0"/>
    <n v="0"/>
    <m/>
    <n v="0"/>
    <n v="0"/>
    <n v="0"/>
    <n v="0"/>
    <n v="0"/>
    <x v="1"/>
    <m/>
    <x v="2"/>
    <x v="1"/>
    <s v="no root cause"/>
    <x v="1"/>
    <s v=""/>
  </r>
  <r>
    <s v="Ekona-MTN"/>
    <s v="SUO_087"/>
    <s v="SUD-OUEST"/>
    <s v="IHS"/>
    <s v="Vandalized"/>
    <s v="SUD-OUEST"/>
    <s v="Ekona"/>
    <s v="NOKIA"/>
    <n v="0"/>
    <n v="0"/>
    <n v="0"/>
    <n v="0"/>
    <n v="0"/>
    <n v="0"/>
    <n v="0"/>
    <n v="0"/>
    <n v="0"/>
    <n v="0"/>
    <n v="0"/>
    <n v="0"/>
    <n v="0"/>
    <n v="0"/>
    <n v="0"/>
    <n v="0"/>
    <n v="0"/>
    <n v="0"/>
    <n v="0"/>
    <n v="0"/>
    <n v="0"/>
    <n v="0"/>
    <n v="0"/>
    <n v="0"/>
    <m/>
    <n v="0"/>
    <m/>
    <n v="0"/>
    <m/>
    <n v="0"/>
    <m/>
    <m/>
    <n v="0"/>
    <n v="0"/>
    <n v="0"/>
    <n v="0"/>
    <m/>
    <n v="0"/>
    <n v="0"/>
    <n v="0"/>
    <n v="0"/>
    <n v="0"/>
    <x v="1"/>
    <m/>
    <x v="15"/>
    <x v="9"/>
    <s v="Projet OCM (ZTE, NOKIA, autres projets)"/>
    <x v="5"/>
    <s v="{05-25-2026 ocm ran 22H}: New site not yet transferred to MSP      ;      {05-25-2026 ocm ran 17H}: New site not yet transferred to MSP"/>
  </r>
  <r>
    <s v="Munyengue-Trouble-IHS"/>
    <s v="SUO_098"/>
    <s v="SUD-OUEST"/>
    <s v="IHS"/>
    <s v="Gen Only"/>
    <s v="SUD-OUEST"/>
    <s v="Muyengue"/>
    <s v="NOKIA"/>
    <n v="0"/>
    <n v="0"/>
    <n v="0"/>
    <n v="0"/>
    <n v="0"/>
    <n v="0"/>
    <n v="0"/>
    <n v="0"/>
    <n v="0"/>
    <n v="0"/>
    <n v="0"/>
    <n v="0"/>
    <n v="0"/>
    <n v="0"/>
    <n v="0"/>
    <n v="0"/>
    <n v="0"/>
    <n v="0"/>
    <n v="0"/>
    <n v="0"/>
    <n v="0"/>
    <n v="0"/>
    <n v="0"/>
    <n v="0"/>
    <m/>
    <n v="0"/>
    <m/>
    <n v="0"/>
    <m/>
    <n v="0"/>
    <m/>
    <m/>
    <n v="0"/>
    <n v="0"/>
    <n v="0"/>
    <n v="0"/>
    <m/>
    <n v="0"/>
    <n v="0"/>
    <n v="0"/>
    <n v="0"/>
    <n v="0"/>
    <x v="1"/>
    <m/>
    <x v="2"/>
    <x v="1"/>
    <s v="no root cause"/>
    <x v="1"/>
    <s v=""/>
  </r>
  <r>
    <s v="Muyengue-II-IHS"/>
    <s v="SUO_026"/>
    <s v="SUD-OUEST"/>
    <s v="IHS"/>
    <s v="Grid-Gen"/>
    <s v="SUD-OUEST"/>
    <s v="Muyengue"/>
    <s v="NOKIA"/>
    <n v="0"/>
    <n v="0"/>
    <n v="0"/>
    <n v="0"/>
    <n v="0"/>
    <n v="0"/>
    <n v="0"/>
    <n v="0"/>
    <n v="0"/>
    <n v="0"/>
    <n v="0"/>
    <n v="0"/>
    <n v="0"/>
    <n v="0"/>
    <n v="0"/>
    <n v="0"/>
    <n v="0"/>
    <n v="0"/>
    <n v="0"/>
    <n v="0"/>
    <n v="0"/>
    <n v="0"/>
    <n v="0"/>
    <n v="0"/>
    <m/>
    <n v="0"/>
    <m/>
    <n v="0"/>
    <m/>
    <n v="0"/>
    <m/>
    <m/>
    <n v="0"/>
    <n v="0"/>
    <n v="0"/>
    <n v="0"/>
    <m/>
    <n v="0"/>
    <n v="0"/>
    <n v="0"/>
    <n v="0"/>
    <n v="0"/>
    <x v="1"/>
    <m/>
    <x v="2"/>
    <x v="1"/>
    <s v="no root cause"/>
    <x v="1"/>
    <s v=""/>
  </r>
  <r>
    <s v="Babensi-IHS"/>
    <s v="SUO_099"/>
    <s v="SUD-OUEST"/>
    <s v="IHS"/>
    <s v="Gen Only"/>
    <s v="SUD-OUEST"/>
    <s v="Babensi"/>
    <s v="NOKIA"/>
    <n v="0"/>
    <n v="0"/>
    <n v="0"/>
    <n v="0"/>
    <n v="0"/>
    <n v="0"/>
    <n v="0"/>
    <n v="0"/>
    <n v="0"/>
    <n v="0"/>
    <n v="0"/>
    <n v="0"/>
    <n v="0"/>
    <n v="0"/>
    <n v="0"/>
    <n v="0"/>
    <n v="0"/>
    <n v="0"/>
    <n v="0"/>
    <n v="0"/>
    <n v="0"/>
    <n v="0"/>
    <n v="0"/>
    <n v="0"/>
    <m/>
    <n v="0"/>
    <m/>
    <n v="0"/>
    <m/>
    <n v="0"/>
    <m/>
    <m/>
    <n v="0"/>
    <n v="0"/>
    <n v="0"/>
    <n v="0"/>
    <m/>
    <n v="0"/>
    <n v="0"/>
    <n v="0"/>
    <n v="0"/>
    <n v="0"/>
    <x v="1"/>
    <m/>
    <x v="2"/>
    <x v="1"/>
    <s v="no root cause"/>
    <x v="1"/>
    <s v=""/>
  </r>
  <r>
    <s v="Ekona-II-IHS"/>
    <s v="SUO_128"/>
    <s v="SUD-OUEST"/>
    <s v="IHS"/>
    <s v="Vandalized"/>
    <s v="SUD-OUEST"/>
    <s v="Ekona"/>
    <s v="NOKIA"/>
    <n v="0"/>
    <n v="0"/>
    <n v="0"/>
    <n v="0"/>
    <n v="0"/>
    <n v="0"/>
    <n v="0"/>
    <n v="0"/>
    <n v="0"/>
    <n v="0"/>
    <n v="0"/>
    <n v="3.290867688476616"/>
    <n v="0"/>
    <n v="0"/>
    <n v="0"/>
    <n v="0"/>
    <n v="0"/>
    <n v="0"/>
    <n v="0"/>
    <n v="0"/>
    <n v="0.5907869692637395"/>
    <n v="0"/>
    <n v="0"/>
    <n v="0"/>
    <m/>
    <n v="0"/>
    <m/>
    <n v="0"/>
    <m/>
    <n v="0"/>
    <m/>
    <m/>
    <n v="0"/>
    <n v="0"/>
    <n v="0"/>
    <n v="0"/>
    <m/>
    <n v="0"/>
    <n v="0"/>
    <n v="0"/>
    <n v="0"/>
    <n v="0"/>
    <x v="1"/>
    <m/>
    <x v="2"/>
    <x v="1"/>
    <s v="no root cause"/>
    <x v="1"/>
    <s v=""/>
  </r>
  <r>
    <s v="Akwaya-IHS"/>
    <s v="SUO_092"/>
    <s v="SUD-OUEST"/>
    <s v="IHS"/>
    <s v="Solar-Gen"/>
    <s v="SUD-OUEST"/>
    <s v="Akwaya"/>
    <s v="NOKIA"/>
    <n v="0"/>
    <n v="0"/>
    <n v="0"/>
    <n v="0"/>
    <n v="0"/>
    <n v="0"/>
    <n v="0"/>
    <n v="0"/>
    <n v="0"/>
    <n v="0"/>
    <n v="0"/>
    <n v="0"/>
    <n v="0"/>
    <n v="0"/>
    <n v="0"/>
    <n v="0"/>
    <n v="0"/>
    <n v="0"/>
    <n v="0"/>
    <n v="0"/>
    <n v="0"/>
    <n v="0"/>
    <n v="0"/>
    <n v="0"/>
    <m/>
    <n v="0"/>
    <m/>
    <n v="0"/>
    <m/>
    <n v="0"/>
    <m/>
    <m/>
    <n v="0"/>
    <n v="0"/>
    <n v="0"/>
    <n v="0"/>
    <m/>
    <n v="0"/>
    <n v="0"/>
    <n v="0"/>
    <n v="0"/>
    <n v="0"/>
    <x v="1"/>
    <m/>
    <x v="2"/>
    <x v="1"/>
    <s v="no root cause"/>
    <x v="1"/>
    <s v=""/>
  </r>
  <r>
    <s v="Njikwa-Town-IHS"/>
    <s v="NRO_022"/>
    <s v="NORD-OUEST"/>
    <m/>
    <m/>
    <s v="NORD-OUEST"/>
    <s v="Njikwa"/>
    <s v="NOKIA"/>
    <n v="0"/>
    <n v="0"/>
    <n v="0"/>
    <n v="0"/>
    <n v="0"/>
    <n v="0"/>
    <n v="0"/>
    <n v="0"/>
    <n v="0"/>
    <n v="0"/>
    <n v="0"/>
    <n v="0"/>
    <n v="0"/>
    <n v="0"/>
    <n v="0"/>
    <n v="0"/>
    <n v="0"/>
    <n v="0"/>
    <n v="0"/>
    <n v="0"/>
    <n v="0"/>
    <n v="0"/>
    <n v="0"/>
    <n v="0"/>
    <m/>
    <n v="0"/>
    <m/>
    <n v="0"/>
    <m/>
    <n v="0"/>
    <m/>
    <m/>
    <n v="0"/>
    <n v="0"/>
    <n v="0"/>
    <n v="0"/>
    <m/>
    <n v="0"/>
    <n v="0"/>
    <n v="0"/>
    <n v="0"/>
    <n v="0"/>
    <x v="1"/>
    <m/>
    <x v="2"/>
    <x v="1"/>
    <s v="no root cause"/>
    <x v="1"/>
    <s v=""/>
  </r>
  <r>
    <s v="Bova-Bokombo-IHS"/>
    <s v="SUO_025"/>
    <s v="SUD-OUEST"/>
    <s v="IHS"/>
    <s v="Gen Only"/>
    <s v="SUD-OUEST"/>
    <s v="Bova-Bokombo"/>
    <s v="NOKIA"/>
    <n v="0"/>
    <n v="0"/>
    <n v="0"/>
    <n v="0"/>
    <n v="0"/>
    <n v="0"/>
    <n v="0"/>
    <n v="0"/>
    <n v="0"/>
    <n v="0"/>
    <n v="0"/>
    <n v="0"/>
    <n v="0"/>
    <n v="0"/>
    <n v="0"/>
    <n v="0"/>
    <n v="0"/>
    <n v="0"/>
    <n v="0"/>
    <n v="0"/>
    <n v="0"/>
    <n v="0"/>
    <n v="0"/>
    <n v="0"/>
    <m/>
    <n v="0"/>
    <m/>
    <n v="0"/>
    <m/>
    <n v="0"/>
    <m/>
    <m/>
    <n v="0"/>
    <n v="0"/>
    <n v="0"/>
    <n v="0"/>
    <m/>
    <n v="0"/>
    <n v="0"/>
    <n v="0"/>
    <n v="0"/>
    <n v="0"/>
    <x v="1"/>
    <m/>
    <x v="2"/>
    <x v="1"/>
    <s v="no root cause"/>
    <x v="1"/>
    <s v=""/>
  </r>
  <r>
    <s v="Abuenshie"/>
    <s v="NRO_045"/>
    <s v="NORD-OUEST"/>
    <s v="IHS"/>
    <s v="Vandalized"/>
    <s v="NORD-OUEST"/>
    <s v="Abuenshie"/>
    <s v="NOKIA"/>
    <n v="0"/>
    <n v="0"/>
    <n v="0"/>
    <n v="0"/>
    <n v="0"/>
    <n v="0"/>
    <n v="0"/>
    <n v="0"/>
    <n v="0"/>
    <n v="0"/>
    <n v="0"/>
    <n v="0"/>
    <n v="0"/>
    <n v="0"/>
    <n v="0"/>
    <n v="0"/>
    <n v="0"/>
    <n v="0"/>
    <n v="0"/>
    <n v="0"/>
    <n v="0"/>
    <n v="0"/>
    <n v="0"/>
    <n v="0"/>
    <m/>
    <n v="0"/>
    <m/>
    <n v="0"/>
    <m/>
    <n v="0"/>
    <m/>
    <m/>
    <n v="0"/>
    <n v="0"/>
    <n v="0"/>
    <n v="0"/>
    <m/>
    <n v="0"/>
    <n v="0"/>
    <n v="0"/>
    <n v="0"/>
    <n v="0"/>
    <x v="1"/>
    <m/>
    <x v="2"/>
    <x v="1"/>
    <s v="no root cause"/>
    <x v="1"/>
    <s v=""/>
  </r>
  <r>
    <s v="Tugi"/>
    <s v="NRO_076"/>
    <s v="NORD-OUEST"/>
    <m/>
    <m/>
    <s v="NORD-OUEST"/>
    <s v="Tugi"/>
    <s v="NOKIA"/>
    <n v="0"/>
    <n v="0"/>
    <n v="0"/>
    <n v="0"/>
    <n v="0"/>
    <n v="0"/>
    <n v="0"/>
    <n v="0"/>
    <n v="0"/>
    <n v="0"/>
    <n v="0"/>
    <n v="1.468718699437553"/>
    <n v="0"/>
    <n v="0"/>
    <n v="0"/>
    <n v="0"/>
    <n v="0"/>
    <n v="0"/>
    <n v="0"/>
    <n v="0"/>
    <n v="0"/>
    <n v="0"/>
    <n v="0"/>
    <n v="0"/>
    <m/>
    <n v="0"/>
    <m/>
    <n v="0"/>
    <m/>
    <n v="0"/>
    <m/>
    <m/>
    <n v="0"/>
    <n v="0"/>
    <n v="0"/>
    <n v="0"/>
    <m/>
    <n v="0"/>
    <n v="0"/>
    <n v="0"/>
    <n v="0"/>
    <n v="0"/>
    <x v="1"/>
    <m/>
    <x v="2"/>
    <x v="1"/>
    <s v="no root cause"/>
    <x v="1"/>
    <s v=""/>
  </r>
  <r>
    <s v="Jikejem"/>
    <s v="NRO_071"/>
    <s v="NORD-OUEST"/>
    <s v="IHS"/>
    <s v="Hybrid-Gen"/>
    <s v="NORD-OUEST"/>
    <s v="Jikejem"/>
    <s v="NOKIA"/>
    <n v="0"/>
    <n v="0"/>
    <n v="0"/>
    <n v="0"/>
    <n v="0"/>
    <n v="0"/>
    <n v="0"/>
    <n v="0"/>
    <n v="0"/>
    <n v="0"/>
    <n v="0"/>
    <n v="0.007294547031814641"/>
    <n v="0"/>
    <n v="0"/>
    <n v="0"/>
    <n v="0"/>
    <n v="0"/>
    <n v="0"/>
    <n v="0"/>
    <n v="0"/>
    <n v="0"/>
    <n v="0"/>
    <n v="0"/>
    <n v="0"/>
    <m/>
    <n v="0"/>
    <m/>
    <n v="0"/>
    <m/>
    <n v="0"/>
    <m/>
    <m/>
    <n v="0"/>
    <n v="0"/>
    <n v="0"/>
    <n v="0"/>
    <m/>
    <n v="0"/>
    <n v="0"/>
    <n v="0"/>
    <n v="0"/>
    <n v="0"/>
    <x v="1"/>
    <m/>
    <x v="2"/>
    <x v="1"/>
    <s v="no root cause"/>
    <x v="1"/>
    <s v=""/>
  </r>
  <r>
    <s v="Bai-Kuke-IHS"/>
    <s v="SUO_153"/>
    <s v="SUD-OUEST"/>
    <s v="IHS"/>
    <s v="Vandalized"/>
    <s v="SUD-OUEST"/>
    <s v="Bai-Kuke"/>
    <s v="NOKIA"/>
    <n v="0"/>
    <n v="0"/>
    <n v="0"/>
    <n v="0"/>
    <n v="0"/>
    <n v="0"/>
    <n v="0"/>
    <n v="0"/>
    <n v="0"/>
    <n v="0"/>
    <n v="0"/>
    <n v="0"/>
    <n v="0"/>
    <n v="0"/>
    <n v="0"/>
    <n v="0"/>
    <n v="0"/>
    <n v="0"/>
    <n v="0"/>
    <n v="0"/>
    <n v="0"/>
    <n v="0"/>
    <n v="0"/>
    <n v="0"/>
    <m/>
    <n v="0"/>
    <m/>
    <n v="0"/>
    <m/>
    <n v="0"/>
    <m/>
    <m/>
    <n v="0"/>
    <n v="0"/>
    <n v="0"/>
    <n v="0"/>
    <m/>
    <n v="0"/>
    <n v="0"/>
    <n v="0"/>
    <n v="0"/>
    <n v="0"/>
    <x v="1"/>
    <m/>
    <x v="2"/>
    <x v="1"/>
    <s v="no root cause"/>
    <x v="1"/>
    <s v=""/>
  </r>
  <r>
    <s v="Kwaja"/>
    <s v="NRO_096"/>
    <s v="NORD-OUEST"/>
    <s v="IHS"/>
    <s v="Vandalized"/>
    <s v="NORD-OUEST"/>
    <s v="Kwaja"/>
    <s v="NOKIA"/>
    <n v="0"/>
    <n v="0"/>
    <n v="0"/>
    <n v="0"/>
    <n v="0"/>
    <n v="0"/>
    <n v="0"/>
    <n v="0"/>
    <n v="0"/>
    <n v="0"/>
    <n v="0"/>
    <n v="0"/>
    <n v="0"/>
    <n v="0"/>
    <n v="0"/>
    <n v="0"/>
    <n v="0"/>
    <n v="0"/>
    <n v="0"/>
    <n v="0"/>
    <n v="0"/>
    <n v="0"/>
    <n v="0"/>
    <n v="0"/>
    <m/>
    <n v="0"/>
    <m/>
    <n v="0"/>
    <m/>
    <n v="0"/>
    <m/>
    <m/>
    <n v="0"/>
    <n v="0"/>
    <n v="0"/>
    <n v="0"/>
    <m/>
    <n v="0"/>
    <n v="0"/>
    <n v="0"/>
    <n v="0"/>
    <n v="0"/>
    <x v="1"/>
    <m/>
    <x v="2"/>
    <x v="1"/>
    <s v="no root cause"/>
    <x v="1"/>
    <s v=""/>
  </r>
  <r>
    <s v="Jikejem-II"/>
    <s v="NRO_111"/>
    <s v="NORD-OUEST"/>
    <m/>
    <m/>
    <s v="NORD-OUEST"/>
    <s v="Jikejem"/>
    <s v="NOKIA"/>
    <n v="0"/>
    <n v="0"/>
    <n v="0"/>
    <n v="0"/>
    <n v="0"/>
    <n v="0"/>
    <n v="0"/>
    <n v="0"/>
    <n v="0"/>
    <n v="0"/>
    <n v="0"/>
    <n v="0"/>
    <n v="0"/>
    <n v="0"/>
    <n v="0"/>
    <n v="0"/>
    <n v="0"/>
    <n v="0"/>
    <n v="0"/>
    <n v="0"/>
    <n v="0"/>
    <n v="0"/>
    <n v="0"/>
    <n v="0"/>
    <m/>
    <n v="0"/>
    <m/>
    <n v="0"/>
    <m/>
    <n v="0"/>
    <m/>
    <m/>
    <n v="0"/>
    <n v="0"/>
    <n v="0"/>
    <n v="0"/>
    <m/>
    <n v="0"/>
    <n v="0"/>
    <n v="0"/>
    <n v="0"/>
    <n v="0"/>
    <x v="1"/>
    <m/>
    <x v="2"/>
    <x v="1"/>
    <s v="no root cause"/>
    <x v="1"/>
    <s v=""/>
  </r>
  <r>
    <s v="Gossi-IHS"/>
    <s v="EXN_232"/>
    <s v="EXTREME-NORD"/>
    <s v="CAMUSAT"/>
    <s v="Hybrid Solar - S3"/>
    <s v="EXTREME-NORD"/>
    <s v="Gossi"/>
    <s v="NOKIA"/>
    <n v="0"/>
    <n v="0"/>
    <n v="0"/>
    <n v="0"/>
    <n v="0"/>
    <n v="0"/>
    <n v="0"/>
    <n v="0"/>
    <n v="0"/>
    <n v="0"/>
    <n v="0"/>
    <n v="0"/>
    <n v="0"/>
    <n v="0"/>
    <n v="0"/>
    <n v="0"/>
    <n v="0"/>
    <n v="0"/>
    <n v="0"/>
    <n v="0"/>
    <n v="0"/>
    <n v="0"/>
    <n v="0"/>
    <n v="0"/>
    <m/>
    <n v="0"/>
    <m/>
    <n v="0"/>
    <m/>
    <n v="0"/>
    <m/>
    <m/>
    <n v="0"/>
    <n v="0"/>
    <n v="0"/>
    <n v="0"/>
    <m/>
    <n v="0"/>
    <n v="0"/>
    <n v="0"/>
    <n v="0"/>
    <n v="0"/>
    <x v="1"/>
    <m/>
    <x v="2"/>
    <x v="1"/>
    <s v="no root cause"/>
    <x v="1"/>
    <s v=""/>
  </r>
  <r>
    <s v="Mora"/>
    <s v="EXN_005"/>
    <s v="EXTREME-NORD"/>
    <s v="CAMUSAT"/>
    <s v="Bad Grid + Solar + GE"/>
    <s v="EXTREME-NORD"/>
    <s v="Mora"/>
    <s v="Huawei"/>
    <n v="0"/>
    <n v="0"/>
    <n v="0"/>
    <n v="0"/>
    <n v="0"/>
    <n v="0"/>
    <n v="0"/>
    <n v="0"/>
    <n v="0"/>
    <n v="0"/>
    <n v="0"/>
    <n v="0"/>
    <n v="0"/>
    <n v="0"/>
    <n v="0"/>
    <n v="0"/>
    <n v="0"/>
    <n v="0"/>
    <n v="0"/>
    <n v="0"/>
    <n v="0"/>
    <n v="0"/>
    <n v="0"/>
    <n v="0"/>
    <m/>
    <n v="0"/>
    <m/>
    <n v="0"/>
    <m/>
    <n v="0"/>
    <m/>
    <m/>
    <n v="0"/>
    <n v="0"/>
    <n v="0"/>
    <n v="0"/>
    <m/>
    <n v="0"/>
    <n v="0"/>
    <n v="0"/>
    <n v="0"/>
    <n v="0"/>
    <x v="1"/>
    <m/>
    <x v="2"/>
    <x v="1"/>
    <s v="no root cause"/>
    <x v="1"/>
    <s v=""/>
  </r>
  <r>
    <s v="Balatchi-IHS"/>
    <s v="NRO_027"/>
    <s v="NORD-OUEST"/>
    <s v="IHS"/>
    <s v="Hybrid-Gen"/>
    <s v="NORD-OUEST"/>
    <s v="Balatchi"/>
    <s v="Huawei"/>
    <n v="0"/>
    <n v="0"/>
    <n v="0"/>
    <n v="0"/>
    <n v="0"/>
    <n v="0"/>
    <n v="0"/>
    <n v="0"/>
    <n v="0"/>
    <n v="0"/>
    <n v="0"/>
    <n v="0"/>
    <n v="0"/>
    <n v="0"/>
    <n v="0"/>
    <n v="0"/>
    <n v="0"/>
    <n v="0"/>
    <n v="0"/>
    <n v="0"/>
    <n v="0"/>
    <n v="0"/>
    <n v="0"/>
    <n v="0"/>
    <m/>
    <n v="0"/>
    <m/>
    <n v="0"/>
    <m/>
    <n v="0"/>
    <m/>
    <m/>
    <n v="0"/>
    <n v="0"/>
    <n v="0"/>
    <n v="0"/>
    <m/>
    <n v="0"/>
    <n v="0"/>
    <n v="0"/>
    <n v="0"/>
    <n v="0"/>
    <x v="1"/>
    <m/>
    <x v="2"/>
    <x v="1"/>
    <s v="no root cause"/>
    <x v="1"/>
    <s v=""/>
  </r>
  <r>
    <s v="Mamfe"/>
    <s v="SUO_009"/>
    <s v="SUD-OUEST"/>
    <s v="CAMUSAT"/>
    <s v="Bad Grid + GE"/>
    <s v="SUD-OUEST"/>
    <s v="Mamfe"/>
    <s v="NOKIA"/>
    <n v="0"/>
    <n v="0"/>
    <n v="0"/>
    <n v="0"/>
    <n v="0"/>
    <n v="0"/>
    <n v="0"/>
    <n v="0"/>
    <n v="0"/>
    <n v="0"/>
    <n v="0"/>
    <n v="0"/>
    <n v="0"/>
    <n v="0"/>
    <n v="0"/>
    <n v="0"/>
    <n v="0"/>
    <n v="0"/>
    <n v="0"/>
    <n v="0"/>
    <n v="0"/>
    <n v="0"/>
    <n v="0"/>
    <n v="0"/>
    <m/>
    <n v="0"/>
    <m/>
    <n v="0"/>
    <m/>
    <n v="0"/>
    <m/>
    <m/>
    <n v="0"/>
    <n v="0"/>
    <n v="0"/>
    <n v="0"/>
    <m/>
    <n v="0"/>
    <n v="0"/>
    <n v="0"/>
    <n v="0"/>
    <n v="0"/>
    <x v="1"/>
    <m/>
    <x v="7"/>
    <x v="3"/>
    <s v="Sites strategiques, MLL, Pylone, etc."/>
    <x v="0"/>
    <s v="{05-25-2026 groupe whatsapp  incident}:    impacted by   OST_033_H_Batchingou  Cause: infiltration d'eau dans la radio de Yenon dir Batchingou   , Action: Sans action"/>
  </r>
  <r>
    <s v="Fotokol"/>
    <s v="EXN_013"/>
    <s v="EXTREME-NORD"/>
    <s v="IHS"/>
    <s v="Solar-Gen"/>
    <s v="EXTREME-NORD"/>
    <s v="Fotokol"/>
    <s v="NOKIA"/>
    <n v="0"/>
    <n v="0"/>
    <n v="0"/>
    <n v="0"/>
    <n v="0"/>
    <n v="0"/>
    <n v="0"/>
    <n v="0"/>
    <n v="0"/>
    <n v="0"/>
    <n v="0"/>
    <n v="0"/>
    <n v="0"/>
    <n v="0"/>
    <n v="0"/>
    <n v="0"/>
    <n v="0"/>
    <n v="0"/>
    <n v="0"/>
    <n v="0"/>
    <n v="0"/>
    <n v="0"/>
    <n v="0"/>
    <n v="0"/>
    <m/>
    <n v="0"/>
    <m/>
    <n v="0"/>
    <m/>
    <n v="0"/>
    <m/>
    <m/>
    <n v="0"/>
    <n v="0"/>
    <n v="0"/>
    <n v="0"/>
    <m/>
    <n v="0"/>
    <n v="0"/>
    <n v="0"/>
    <n v="0"/>
    <n v="0"/>
    <x v="1"/>
    <m/>
    <x v="2"/>
    <x v="1"/>
    <s v="no root cause"/>
    <x v="1"/>
    <s v=""/>
  </r>
  <r>
    <s v="Bafut-MTN"/>
    <s v="NRO_036"/>
    <s v="NORD-OUEST"/>
    <s v="IHS"/>
    <s v="Grid-Gen"/>
    <s v="NORD-OUEST"/>
    <s v="Bafut"/>
    <s v="Huawei"/>
    <n v="0"/>
    <n v="0"/>
    <n v="0"/>
    <n v="0"/>
    <n v="0"/>
    <n v="0"/>
    <n v="0"/>
    <n v="0"/>
    <n v="0"/>
    <n v="0"/>
    <n v="0"/>
    <n v="0"/>
    <n v="0"/>
    <n v="0"/>
    <n v="0"/>
    <n v="0"/>
    <n v="0"/>
    <n v="0"/>
    <n v="0"/>
    <n v="0"/>
    <n v="0"/>
    <n v="0"/>
    <n v="0"/>
    <n v="0"/>
    <m/>
    <n v="0"/>
    <m/>
    <n v="0"/>
    <m/>
    <n v="0"/>
    <m/>
    <m/>
    <n v="0"/>
    <n v="0"/>
    <n v="0"/>
    <n v="0"/>
    <m/>
    <n v="0"/>
    <n v="0"/>
    <n v="0"/>
    <n v="0"/>
    <n v="0"/>
    <x v="1"/>
    <m/>
    <x v="2"/>
    <x v="1"/>
    <s v="no root cause"/>
    <x v="1"/>
    <s v=""/>
  </r>
  <r>
    <s v="Mozogo"/>
    <s v="EXN_042"/>
    <s v="EXTREME-NORD"/>
    <s v="IHS"/>
    <s v="Solar-Gen"/>
    <s v="EXTREME-NORD"/>
    <s v="Mozogo"/>
    <s v="NOKIA"/>
    <n v="0"/>
    <n v="0"/>
    <n v="0"/>
    <n v="0"/>
    <n v="0"/>
    <n v="0"/>
    <n v="0"/>
    <n v="0"/>
    <n v="0"/>
    <n v="0"/>
    <n v="0"/>
    <n v="0"/>
    <n v="0"/>
    <n v="0"/>
    <n v="0"/>
    <n v="0"/>
    <n v="0"/>
    <n v="0"/>
    <n v="0"/>
    <n v="0"/>
    <n v="0"/>
    <n v="0"/>
    <n v="0"/>
    <n v="0"/>
    <m/>
    <n v="0"/>
    <m/>
    <n v="0"/>
    <m/>
    <n v="0"/>
    <m/>
    <m/>
    <n v="0"/>
    <n v="0"/>
    <n v="0"/>
    <n v="0"/>
    <m/>
    <n v="0"/>
    <n v="0"/>
    <n v="0"/>
    <n v="0"/>
    <n v="0"/>
    <x v="1"/>
    <m/>
    <x v="2"/>
    <x v="1"/>
    <s v="no root cause"/>
    <x v="1"/>
    <s v=""/>
  </r>
  <r>
    <s v="Maga-Ville"/>
    <s v="EXN_110"/>
    <s v="EXTREME-NORD"/>
    <s v="IHS"/>
    <s v="Hybrid-Gen"/>
    <s v="EXTREME-NORD"/>
    <s v="Maga"/>
    <s v="Huawei"/>
    <n v="0"/>
    <n v="0"/>
    <n v="0"/>
    <n v="0"/>
    <n v="0"/>
    <n v="0"/>
    <n v="0"/>
    <n v="0"/>
    <n v="0"/>
    <n v="0"/>
    <n v="0"/>
    <n v="0.002942787922370614"/>
    <n v="0"/>
    <n v="0.003477840271892201"/>
    <n v="0"/>
    <n v="0"/>
    <n v="0"/>
    <n v="0"/>
    <n v="0"/>
    <n v="0"/>
    <n v="0"/>
    <n v="0"/>
    <n v="0"/>
    <n v="0"/>
    <m/>
    <n v="0"/>
    <m/>
    <n v="0"/>
    <m/>
    <n v="0"/>
    <m/>
    <m/>
    <n v="0"/>
    <n v="0"/>
    <n v="0"/>
    <n v="0"/>
    <m/>
    <n v="0"/>
    <n v="0"/>
    <n v="0"/>
    <n v="0"/>
    <n v="0"/>
    <x v="1"/>
    <m/>
    <x v="4"/>
    <x v="0"/>
    <s v="Defaut GE &amp; Power Cabinet"/>
    <x v="0"/>
    <s v="{hourly IHS}: 25/05/2026 12:33 4:46:45 FME is informed and managing"/>
  </r>
  <r>
    <s v="Guere-IHS"/>
    <s v="EXN_126"/>
    <s v="EXTREME-NORD"/>
    <s v="IHS"/>
    <s v="Gen Only"/>
    <s v="EXTREME-NORD"/>
    <s v="Guere"/>
    <s v="Huawei"/>
    <n v="0"/>
    <n v="0"/>
    <n v="0"/>
    <n v="0"/>
    <n v="0"/>
    <n v="0"/>
    <n v="0"/>
    <n v="0"/>
    <n v="0"/>
    <n v="0"/>
    <n v="0"/>
    <n v="0"/>
    <n v="0"/>
    <n v="0.00401289262141408"/>
    <n v="0"/>
    <n v="0"/>
    <n v="0"/>
    <n v="0"/>
    <n v="0"/>
    <n v="0"/>
    <n v="0"/>
    <n v="0"/>
    <n v="0"/>
    <n v="0"/>
    <m/>
    <n v="0"/>
    <m/>
    <n v="0"/>
    <m/>
    <n v="0"/>
    <m/>
    <m/>
    <n v="0"/>
    <n v="0"/>
    <n v="0"/>
    <n v="0"/>
    <m/>
    <n v="0"/>
    <n v="0"/>
    <n v="0"/>
    <n v="0"/>
    <n v="0"/>
    <x v="1"/>
    <m/>
    <x v="4"/>
    <x v="0"/>
    <s v="Defaut GE &amp; Power Cabinet"/>
    <x v="0"/>
    <s v="{05-25-2026 ocm ran 17H}: P1 Incident at EXN_074_H_Dziguilao; Power issue; IHS"/>
  </r>
  <r>
    <s v="Gobo"/>
    <s v="EXN_048"/>
    <s v="EXTREME-NORD"/>
    <s v="IHS"/>
    <s v="Solar-Gen"/>
    <s v="EXTREME-NORD"/>
    <s v="Gobo"/>
    <s v="Huawei"/>
    <n v="0"/>
    <n v="0"/>
    <n v="0"/>
    <n v="0"/>
    <n v="0"/>
    <n v="0"/>
    <n v="0"/>
    <n v="0"/>
    <n v="0"/>
    <n v="0"/>
    <n v="0"/>
    <n v="0"/>
    <n v="0"/>
    <n v="0.01298393701506422"/>
    <n v="0"/>
    <n v="0"/>
    <n v="0"/>
    <n v="0"/>
    <n v="0"/>
    <n v="0"/>
    <m/>
    <n v="0"/>
    <n v="0"/>
    <n v="0"/>
    <m/>
    <n v="0"/>
    <m/>
    <n v="0"/>
    <m/>
    <n v="0"/>
    <m/>
    <m/>
    <n v="0"/>
    <n v="0"/>
    <n v="0"/>
    <n v="0"/>
    <m/>
    <n v="0"/>
    <n v="0"/>
    <n v="0"/>
    <n v="0"/>
    <n v="0"/>
    <x v="1"/>
    <m/>
    <x v="4"/>
    <x v="0"/>
    <s v="Defaut GE &amp; Power Cabinet"/>
    <x v="0"/>
    <s v="{hourly IHS}: 25/05/2026 02:32 3:50:51 45.4V FME is informed and managing with L0."/>
  </r>
  <r>
    <s v="Bougoudoum-IHS"/>
    <s v="EXN_135"/>
    <s v="EXTREME-NORD"/>
    <s v="IHS"/>
    <s v="Gen Only"/>
    <s v="EXTREME-NORD"/>
    <s v="Bougoudoum"/>
    <s v="Huawei"/>
    <n v="0"/>
    <n v="0"/>
    <n v="0"/>
    <n v="0"/>
    <n v="0"/>
    <n v="0"/>
    <n v="0"/>
    <n v="0"/>
    <n v="0"/>
    <n v="0"/>
    <n v="0"/>
    <n v="0"/>
    <n v="0"/>
    <n v="0.01326929826814255"/>
    <n v="0"/>
    <n v="0"/>
    <n v="0"/>
    <n v="0"/>
    <n v="0"/>
    <n v="0"/>
    <m/>
    <n v="0"/>
    <n v="0"/>
    <n v="0"/>
    <m/>
    <n v="0"/>
    <m/>
    <n v="0"/>
    <m/>
    <n v="0"/>
    <m/>
    <m/>
    <n v="0"/>
    <n v="0"/>
    <n v="0"/>
    <n v="0"/>
    <m/>
    <n v="0"/>
    <n v="0"/>
    <n v="0"/>
    <n v="0"/>
    <n v="0"/>
    <x v="1"/>
    <m/>
    <x v="2"/>
    <x v="1"/>
    <s v="no root cause"/>
    <x v="1"/>
    <s v=""/>
  </r>
  <r>
    <s v="Kalfou"/>
    <s v="EXN_058"/>
    <s v="EXTREME-NORD"/>
    <s v="IHS"/>
    <s v="Grid-Gen"/>
    <s v="EXTREME-NORD"/>
    <s v="Kalfou"/>
    <s v="Huawei"/>
    <n v="0"/>
    <n v="0"/>
    <n v="0"/>
    <n v="0"/>
    <n v="0"/>
    <n v="0"/>
    <n v="0"/>
    <n v="0"/>
    <n v="0"/>
    <n v="0"/>
    <n v="0"/>
    <n v="0"/>
    <n v="0"/>
    <n v="0.01339414381636433"/>
    <n v="0"/>
    <n v="0"/>
    <n v="0"/>
    <n v="0"/>
    <n v="0"/>
    <n v="0"/>
    <m/>
    <n v="0"/>
    <n v="0"/>
    <n v="0"/>
    <m/>
    <n v="0"/>
    <m/>
    <n v="0"/>
    <m/>
    <n v="0"/>
    <m/>
    <m/>
    <n v="0"/>
    <n v="0"/>
    <n v="0"/>
    <n v="0"/>
    <m/>
    <n v="0"/>
    <n v="0"/>
    <n v="0"/>
    <n v="0"/>
    <n v="0"/>
    <x v="1"/>
    <m/>
    <x v="2"/>
    <x v="1"/>
    <s v="no root cause"/>
    <x v="1"/>
    <s v=""/>
  </r>
  <r>
    <s v="Godola-MTN"/>
    <s v="EXN_028"/>
    <s v="EXTREME-NORD"/>
    <s v="IHS"/>
    <s v="Grid-Gen"/>
    <s v="EXTREME-NORD"/>
    <s v="Godola"/>
    <s v="Huawei"/>
    <n v="0"/>
    <n v="0"/>
    <n v="0"/>
    <n v="0"/>
    <n v="0"/>
    <n v="0"/>
    <n v="0"/>
    <n v="0"/>
    <n v="0"/>
    <n v="0"/>
    <n v="0"/>
    <n v="0"/>
    <n v="0"/>
    <n v="0.561804966997971"/>
    <n v="0"/>
    <n v="0"/>
    <n v="0"/>
    <n v="0"/>
    <n v="0"/>
    <n v="0"/>
    <m/>
    <n v="0"/>
    <n v="0"/>
    <n v="0"/>
    <m/>
    <n v="0"/>
    <m/>
    <n v="0"/>
    <m/>
    <n v="0"/>
    <m/>
    <m/>
    <n v="0"/>
    <n v="0"/>
    <n v="0"/>
    <n v="0"/>
    <m/>
    <n v="0"/>
    <n v="0"/>
    <n v="0"/>
    <n v="0"/>
    <n v="0"/>
    <x v="1"/>
    <m/>
    <x v="2"/>
    <x v="1"/>
    <s v="no root cause"/>
    <x v="1"/>
    <s v=""/>
  </r>
  <r>
    <s v="Doulek"/>
    <s v="EXN_272"/>
    <s v="EXTREME-NORD"/>
    <s v="ESCO"/>
    <s v="Hybrid Solar - S3"/>
    <s v="EXTREME-NORD"/>
    <s v="Doulek"/>
    <s v="Huawei"/>
    <n v="0"/>
    <n v="0"/>
    <n v="0"/>
    <n v="0"/>
    <n v="0"/>
    <n v="0"/>
    <n v="0"/>
    <n v="0"/>
    <n v="0"/>
    <n v="0"/>
    <n v="0"/>
    <n v="0"/>
    <n v="0"/>
    <n v="0.5661745611857331"/>
    <n v="0"/>
    <n v="0"/>
    <n v="0"/>
    <n v="0"/>
    <n v="0"/>
    <n v="0"/>
    <m/>
    <n v="0"/>
    <n v="0"/>
    <n v="0"/>
    <m/>
    <n v="0"/>
    <m/>
    <n v="0"/>
    <m/>
    <n v="0"/>
    <m/>
    <m/>
    <n v="0"/>
    <n v="0"/>
    <n v="0"/>
    <n v="0"/>
    <m/>
    <n v="0"/>
    <n v="0"/>
    <n v="0"/>
    <n v="0"/>
    <n v="0"/>
    <x v="1"/>
    <m/>
    <x v="2"/>
    <x v="1"/>
    <s v="no root cause"/>
    <x v="1"/>
    <s v=""/>
  </r>
  <r>
    <s v="DOUBLE-IHS"/>
    <s v="EXN_109"/>
    <s v="EXTREME-NORD"/>
    <s v="IHS"/>
    <s v="Grid-Gen"/>
    <s v="EXTREME-NORD"/>
    <s v="Double(Djakaramani)"/>
    <s v="Huawei"/>
    <n v="0"/>
    <n v="0"/>
    <n v="0"/>
    <n v="0"/>
    <n v="0"/>
    <n v="0"/>
    <n v="0"/>
    <n v="0"/>
    <n v="0"/>
    <n v="0"/>
    <n v="0"/>
    <n v="0"/>
    <n v="0"/>
    <n v="0.5667987889268419"/>
    <n v="0"/>
    <n v="0"/>
    <n v="0"/>
    <n v="0"/>
    <n v="0"/>
    <n v="0"/>
    <m/>
    <n v="0"/>
    <n v="0"/>
    <n v="0"/>
    <m/>
    <n v="0"/>
    <m/>
    <n v="0"/>
    <m/>
    <n v="0"/>
    <m/>
    <m/>
    <n v="0"/>
    <n v="0"/>
    <n v="0"/>
    <n v="0"/>
    <m/>
    <n v="0"/>
    <n v="0"/>
    <n v="0"/>
    <n v="0"/>
    <n v="0"/>
    <x v="1"/>
    <m/>
    <x v="2"/>
    <x v="1"/>
    <s v="no root cause"/>
    <x v="1"/>
    <s v=""/>
  </r>
  <r>
    <s v="Guendjen"/>
    <s v="EXN_205"/>
    <s v="EXTREME-NORD"/>
    <s v="CAMUSAT"/>
    <s v="Hybrid Solar - S3"/>
    <s v="EXTREME-NORD"/>
    <s v="Kalfou"/>
    <s v="Huawei"/>
    <n v="0"/>
    <n v="0"/>
    <n v="0"/>
    <n v="0"/>
    <n v="0"/>
    <n v="0"/>
    <n v="0"/>
    <n v="0"/>
    <n v="0"/>
    <n v="0"/>
    <n v="0"/>
    <n v="0"/>
    <n v="0"/>
    <n v="0.6445418953123706"/>
    <n v="0"/>
    <n v="0"/>
    <n v="0"/>
    <n v="0"/>
    <n v="0"/>
    <n v="0"/>
    <m/>
    <n v="0"/>
    <n v="0"/>
    <n v="0"/>
    <m/>
    <n v="0"/>
    <m/>
    <n v="0"/>
    <m/>
    <n v="0"/>
    <m/>
    <m/>
    <n v="0"/>
    <n v="0"/>
    <n v="0"/>
    <n v="0"/>
    <m/>
    <n v="0"/>
    <n v="0"/>
    <n v="0"/>
    <n v="0"/>
    <n v="0"/>
    <x v="1"/>
    <m/>
    <x v="4"/>
    <x v="0"/>
    <s v="Defaut GE &amp; Power Cabinet"/>
    <x v="0"/>
    <s v="{05-25-2026    groupe whatsapp  incident}:    impacted by  EXN_096_H_Yagoua-Ville ,Cause: Probleme energie    Action: RCA attendu de IHS"/>
  </r>
  <r>
    <s v="Mbengwi"/>
    <s v="NRO_011"/>
    <s v="NORD-OUEST"/>
    <m/>
    <m/>
    <s v="NORD-OUEST"/>
    <s v="Mbengwi"/>
    <s v="Huawei"/>
    <n v="0"/>
    <n v="0"/>
    <n v="0"/>
    <n v="0"/>
    <n v="0"/>
    <n v="0"/>
    <n v="0"/>
    <n v="0"/>
    <n v="0"/>
    <n v="0"/>
    <n v="0"/>
    <n v="0"/>
    <n v="0"/>
    <n v="1.570985038509501"/>
    <n v="0"/>
    <n v="0"/>
    <n v="0"/>
    <n v="0"/>
    <n v="0"/>
    <n v="0"/>
    <m/>
    <n v="0"/>
    <n v="0"/>
    <n v="0"/>
    <m/>
    <n v="0"/>
    <m/>
    <n v="0"/>
    <m/>
    <n v="0"/>
    <m/>
    <m/>
    <n v="0"/>
    <n v="0"/>
    <n v="0"/>
    <n v="0"/>
    <m/>
    <n v="0"/>
    <n v="0"/>
    <n v="0"/>
    <n v="0"/>
    <n v="0"/>
    <x v="1"/>
    <m/>
    <x v="2"/>
    <x v="1"/>
    <s v="no root cause"/>
    <x v="1"/>
    <s v=""/>
  </r>
  <r>
    <s v="Mbengwi-Mile17-IHS"/>
    <s v="NRO_144"/>
    <s v="NORD-OUEST"/>
    <m/>
    <m/>
    <s v="NORD-OUEST"/>
    <s v="Mbengwi"/>
    <s v="Huawei"/>
    <n v="0"/>
    <n v="0"/>
    <n v="0"/>
    <n v="0"/>
    <n v="0"/>
    <n v="0"/>
    <n v="0"/>
    <n v="0"/>
    <n v="0"/>
    <n v="0"/>
    <n v="0"/>
    <n v="0"/>
    <n v="0"/>
    <n v="1.914381636432642"/>
    <n v="0"/>
    <n v="0"/>
    <n v="0"/>
    <n v="0"/>
    <n v="0"/>
    <n v="0"/>
    <m/>
    <n v="0"/>
    <n v="0"/>
    <n v="0"/>
    <m/>
    <n v="0"/>
    <m/>
    <n v="0"/>
    <m/>
    <n v="0"/>
    <m/>
    <m/>
    <n v="0"/>
    <n v="0"/>
    <n v="0"/>
    <n v="0"/>
    <m/>
    <n v="0"/>
    <n v="0"/>
    <n v="0"/>
    <n v="0"/>
    <n v="0"/>
    <x v="1"/>
    <m/>
    <x v="2"/>
    <x v="1"/>
    <s v="no root cause"/>
    <x v="1"/>
    <s v=""/>
  </r>
  <r>
    <s v="Wum-II-IHS"/>
    <s v="NRO_149"/>
    <s v="NORD-OUEST"/>
    <m/>
    <m/>
    <s v="NORD-OUEST"/>
    <s v="Wum"/>
    <s v="Huawei"/>
    <n v="0"/>
    <n v="0"/>
    <n v="0"/>
    <n v="0"/>
    <n v="0"/>
    <n v="0"/>
    <n v="0"/>
    <n v="0"/>
    <n v="0"/>
    <n v="0"/>
    <n v="0"/>
    <n v="0"/>
    <n v="0"/>
    <n v="1.92404824888067"/>
    <n v="0"/>
    <n v="0"/>
    <n v="0"/>
    <n v="0"/>
    <n v="0"/>
    <n v="0"/>
    <m/>
    <n v="0"/>
    <n v="0"/>
    <n v="0"/>
    <m/>
    <n v="0"/>
    <m/>
    <n v="0"/>
    <m/>
    <n v="0"/>
    <m/>
    <m/>
    <n v="0"/>
    <n v="0"/>
    <n v="0"/>
    <n v="0"/>
    <m/>
    <n v="0"/>
    <n v="0"/>
    <n v="0"/>
    <n v="0"/>
    <n v="0"/>
    <x v="1"/>
    <m/>
    <x v="2"/>
    <x v="1"/>
    <s v="no root cause"/>
    <x v="1"/>
    <s v=""/>
  </r>
  <r>
    <s v="Wum"/>
    <s v="NRO_007"/>
    <s v="NORD-OUEST"/>
    <s v="IHS"/>
    <s v="Grid-Gen"/>
    <s v="NORD-OUEST"/>
    <s v="Wum"/>
    <s v="Huawei"/>
    <n v="0"/>
    <n v="0"/>
    <n v="0"/>
    <n v="0"/>
    <n v="0"/>
    <n v="0"/>
    <n v="0"/>
    <n v="0"/>
    <n v="0"/>
    <n v="0"/>
    <n v="0"/>
    <n v="0"/>
    <n v="0"/>
    <n v="1.925118353579715"/>
    <n v="0"/>
    <n v="0"/>
    <n v="0"/>
    <n v="0"/>
    <n v="0"/>
    <n v="0"/>
    <m/>
    <n v="0"/>
    <n v="0"/>
    <n v="0"/>
    <m/>
    <n v="0"/>
    <m/>
    <n v="0"/>
    <m/>
    <n v="0"/>
    <m/>
    <m/>
    <n v="0"/>
    <n v="0"/>
    <n v="0"/>
    <n v="0"/>
    <m/>
    <n v="0"/>
    <n v="0"/>
    <n v="0"/>
    <n v="0"/>
    <n v="0"/>
    <x v="1"/>
    <m/>
    <x v="4"/>
    <x v="0"/>
    <s v="Defaut GE &amp; Power Cabinet"/>
    <x v="0"/>
    <s v="{05-25-2026 ocm ran 22H}: 24/05/2026 escalade RM denis_x000a_23/05/2026 |Check to be done by FME Jerry when comming back from BAFMENG_x000a_22.05.26: Power issue solved. Need FME on site to check BTS status and its interco with MPR_2, S1P3; CM-20260522-00004292; FME Uche activated to check, update ASAP_x000a_21.05.26: IHS: 41v: FME is informed and managing      ;      {05-25-2026 ocm ran 17H}: 24/05/2026 escalade RM denis_x000a_23/05/2026 |Check to be done by FME Jerry when comming back from BAFMENG_x000a_22.05.26: Power issue solved. Need FME on site to check BTS status and its interco with MPR_2, S1P3; CM-20260522-00004292; FME Uche activated to check, update ASAP_x000a_21.05.26: IHS: 41v: FME is informed and managing"/>
  </r>
  <r>
    <s v="Akum-IHS"/>
    <s v="NRO_139"/>
    <s v="NORD-OUEST"/>
    <s v="IHS"/>
    <m/>
    <s v="NORD-OUEST"/>
    <s v="Akum"/>
    <s v="Huawei"/>
    <n v="0"/>
    <n v="0"/>
    <n v="0"/>
    <n v="0"/>
    <n v="0"/>
    <n v="0"/>
    <n v="0"/>
    <n v="0"/>
    <n v="0"/>
    <n v="0"/>
    <n v="0"/>
    <n v="0"/>
    <n v="0"/>
    <n v="2.518188212868081"/>
    <n v="0"/>
    <n v="0"/>
    <n v="0"/>
    <n v="0"/>
    <n v="0"/>
    <n v="0"/>
    <m/>
    <n v="0"/>
    <n v="0"/>
    <n v="0"/>
    <m/>
    <n v="0"/>
    <m/>
    <n v="0"/>
    <m/>
    <n v="0"/>
    <m/>
    <m/>
    <n v="0"/>
    <n v="0"/>
    <n v="0"/>
    <n v="0"/>
    <m/>
    <n v="0"/>
    <n v="0"/>
    <n v="0"/>
    <n v="0"/>
    <n v="0"/>
    <x v="1"/>
    <m/>
    <x v="2"/>
    <x v="1"/>
    <s v="no root cause"/>
    <x v="1"/>
    <s v=""/>
  </r>
  <r>
    <s v="Bali-Njenka-IHS"/>
    <s v="NRO_151"/>
    <s v="NORD-OUEST"/>
    <m/>
    <m/>
    <s v="NORD-OUEST"/>
    <s v="Bali"/>
    <s v="Huawei"/>
    <n v="0"/>
    <n v="0"/>
    <n v="0"/>
    <n v="0"/>
    <n v="0"/>
    <n v="0"/>
    <n v="0"/>
    <n v="0"/>
    <n v="0"/>
    <n v="0"/>
    <n v="0"/>
    <n v="0"/>
    <n v="0"/>
    <n v="10.3441135680715"/>
    <n v="0"/>
    <n v="0"/>
    <n v="0"/>
    <n v="0"/>
    <n v="0"/>
    <n v="0"/>
    <m/>
    <n v="0"/>
    <n v="0"/>
    <n v="0"/>
    <m/>
    <n v="0"/>
    <m/>
    <n v="0"/>
    <m/>
    <n v="0"/>
    <m/>
    <m/>
    <n v="0"/>
    <n v="0"/>
    <n v="0"/>
    <n v="0"/>
    <m/>
    <n v="0"/>
    <n v="0"/>
    <n v="0"/>
    <n v="0"/>
    <n v="0"/>
    <x v="1"/>
    <m/>
    <x v="5"/>
    <x v="2"/>
    <s v="MPR ISSUE"/>
    <x v="2"/>
    <s v="{05-25-2026 groupe whatsapp incident}:    impacted by  NRO_017_H_Bali cause: Plantage du MPR a BALI   ,Action: Reset du MPR"/>
  </r>
  <r>
    <s v="Bali"/>
    <s v="NRO_017"/>
    <s v="NORD-OUEST"/>
    <s v="IHS"/>
    <s v="Grid-Gen"/>
    <s v="NORD-OUEST"/>
    <s v="Bali"/>
    <s v="Huawei"/>
    <n v="0"/>
    <n v="0"/>
    <n v="0"/>
    <n v="0"/>
    <n v="0"/>
    <n v="0"/>
    <n v="0"/>
    <n v="0"/>
    <n v="0"/>
    <n v="0"/>
    <n v="0"/>
    <n v="0"/>
    <n v="0"/>
    <n v="10.35287059152534"/>
    <n v="0"/>
    <n v="0"/>
    <n v="0"/>
    <n v="0"/>
    <n v="0"/>
    <n v="0"/>
    <m/>
    <n v="0"/>
    <n v="0"/>
    <n v="0"/>
    <m/>
    <n v="0"/>
    <m/>
    <n v="0"/>
    <m/>
    <n v="0"/>
    <m/>
    <m/>
    <n v="0"/>
    <n v="0"/>
    <n v="0"/>
    <n v="0"/>
    <m/>
    <n v="0"/>
    <n v="0"/>
    <n v="0"/>
    <n v="0"/>
    <n v="0"/>
    <x v="1"/>
    <m/>
    <x v="5"/>
    <x v="2"/>
    <s v="MPR ISSUE"/>
    <x v="2"/>
    <s v="{05-25-2026 groupe whatsapp incident}:    impacted by  NRO_017_H_Bali cause: Plantage du MPR a BALI   ,Action: Reset du MPR"/>
  </r>
  <r>
    <s v="Tsekenis"/>
    <s v="LIT_025"/>
    <s v="Douala"/>
    <s v="IHS"/>
    <s v="Grid-Gen"/>
    <s v="LITTORAL"/>
    <s v="Douala"/>
    <s v="ZTE"/>
    <n v="1.540950766623006"/>
    <n v="1.540950766623006"/>
    <n v="1.540950766623006"/>
    <n v="1.540950766623006"/>
    <n v="1.540950766623006"/>
    <n v="2.105395325211953"/>
    <n v="1.540950766623006"/>
    <n v="1.540950766623006"/>
    <n v="1.540950766623006"/>
    <n v="1.540950766623006"/>
    <n v="1.540950766623006"/>
    <n v="0.9838720953791453"/>
    <n v="1.540950766623006"/>
    <n v="1.540950766623006"/>
    <n v="1.540950766623006"/>
    <n v="1.540950766623006"/>
    <n v="1.540950766623006"/>
    <n v="1.540950766623006"/>
    <n v="1.540950766623006"/>
    <n v="1.110929193312274"/>
    <n v="2.172241198745552"/>
    <n v="0"/>
    <n v="0"/>
    <n v="0"/>
    <m/>
    <n v="0"/>
    <m/>
    <n v="0"/>
    <m/>
    <n v="0"/>
    <m/>
    <m/>
    <n v="0"/>
    <n v="0"/>
    <n v="0"/>
    <n v="0"/>
    <m/>
    <n v="0"/>
    <n v="0"/>
    <n v="0"/>
    <n v="0"/>
    <n v="0"/>
    <x v="2"/>
    <m/>
    <x v="9"/>
    <x v="5"/>
    <s v="EXCLU"/>
    <x v="4"/>
    <s v="(05/25/2026 cell zte): 23/05/2026 : Cell locked "/>
  </r>
  <r>
    <s v="Bouba-Ndjida-Park"/>
    <s v="NRD_167"/>
    <s v="NORD"/>
    <s v="CAMUSAT"/>
    <s v="Hybrid Solar - S3"/>
    <s v="NORD"/>
    <s v="Bouba-Ndjida"/>
    <s v="Huawei"/>
    <n v="0"/>
    <n v="0"/>
    <n v="0"/>
    <n v="0"/>
    <n v="0"/>
    <n v="0"/>
    <n v="0"/>
    <n v="0"/>
    <n v="0"/>
    <n v="0"/>
    <n v="0"/>
    <n v="0"/>
    <n v="0"/>
    <n v="0.02942787922370325"/>
    <n v="7.833897635211295"/>
    <n v="5.880225321245431"/>
    <n v="7.353759491828681"/>
    <n v="0"/>
    <n v="0"/>
    <n v="0"/>
    <n v="0"/>
    <n v="0"/>
    <n v="0"/>
    <n v="0"/>
    <m/>
    <n v="0"/>
    <m/>
    <n v="0"/>
    <m/>
    <n v="0"/>
    <m/>
    <m/>
    <n v="0"/>
    <n v="0"/>
    <n v="0"/>
    <n v="0"/>
    <m/>
    <n v="0"/>
    <n v="0"/>
    <n v="0"/>
    <n v="0"/>
    <n v="0"/>
    <x v="2"/>
    <m/>
    <x v="9"/>
    <x v="5"/>
    <s v="EXCLU"/>
    <x v="4"/>
    <s v=""/>
  </r>
  <r>
    <s v="Pouss-II"/>
    <s v="NRD_136"/>
    <s v="NORD"/>
    <s v="CAMUSAT"/>
    <s v="Hybrid Solar - S3"/>
    <s v="NORD"/>
    <s v="Pouss"/>
    <s v="Huawei"/>
    <n v="0"/>
    <n v="0"/>
    <n v="0"/>
    <n v="0"/>
    <n v="0"/>
    <n v="0"/>
    <n v="0"/>
    <n v="0"/>
    <n v="0"/>
    <n v="0"/>
    <n v="0"/>
    <n v="0"/>
    <n v="0"/>
    <n v="9.224284670678845"/>
    <n v="2.229135098578045"/>
    <n v="1.097838245827305"/>
    <n v="5.31314117106551"/>
    <n v="0"/>
    <n v="0"/>
    <n v="0"/>
    <n v="0"/>
    <n v="0"/>
    <n v="0"/>
    <n v="0"/>
    <m/>
    <n v="0"/>
    <m/>
    <n v="0"/>
    <m/>
    <n v="0"/>
    <m/>
    <m/>
    <n v="0"/>
    <n v="0"/>
    <n v="0"/>
    <n v="0"/>
    <m/>
    <n v="0"/>
    <n v="0"/>
    <n v="0"/>
    <n v="0"/>
    <n v="0"/>
    <x v="2"/>
    <m/>
    <x v="9"/>
    <x v="5"/>
    <s v="EXCLU"/>
    <x v="4"/>
    <s v=""/>
  </r>
  <r>
    <s v="Taram-FH"/>
    <s v="OST_092"/>
    <s v="OUEST"/>
    <s v="IHS"/>
    <s v="Grid-Hybrid-Gen"/>
    <s v="OUEST"/>
    <s v="Taram"/>
    <s v="Huawei"/>
    <n v="0"/>
    <n v="0"/>
    <n v="0"/>
    <n v="0"/>
    <n v="0"/>
    <n v="0"/>
    <n v="0"/>
    <n v="0"/>
    <n v="0"/>
    <n v="0"/>
    <n v="0"/>
    <n v="0"/>
    <n v="0"/>
    <n v="4.62311982604378"/>
    <n v="4.622852299869019"/>
    <n v="4.628381174147413"/>
    <n v="4.622852299869019"/>
    <n v="0"/>
    <n v="0"/>
    <n v="0"/>
    <n v="0"/>
    <n v="0"/>
    <n v="0"/>
    <n v="0"/>
    <m/>
    <n v="0"/>
    <m/>
    <n v="0"/>
    <m/>
    <n v="0"/>
    <m/>
    <m/>
    <n v="0"/>
    <n v="0"/>
    <n v="0"/>
    <n v="0"/>
    <m/>
    <n v="0"/>
    <n v="0"/>
    <n v="0"/>
    <n v="0"/>
    <n v="0"/>
    <x v="2"/>
    <m/>
    <x v="9"/>
    <x v="5"/>
    <s v="EXCLU"/>
    <x v="4"/>
    <s v=""/>
  </r>
  <r>
    <s v="Pangar-camrail"/>
    <s v="ADM_114"/>
    <s v="ADAMAOUA"/>
    <s v="CAMUSAT"/>
    <s v="Hybrid Solar - S3"/>
    <s v="ADAMAOUA"/>
    <s v="Pangar"/>
    <s v="Huawei"/>
    <n v="0"/>
    <n v="0"/>
    <n v="0"/>
    <n v="0"/>
    <n v="0"/>
    <n v="0"/>
    <n v="0"/>
    <n v="0"/>
    <n v="0"/>
    <n v="0"/>
    <n v="0"/>
    <n v="0"/>
    <n v="0"/>
    <n v="0.004886811458966478"/>
    <n v="0.001426806265391673"/>
    <n v="0.1576799274040972"/>
    <n v="0.05764297312182358"/>
    <n v="0"/>
    <n v="0"/>
    <n v="0"/>
    <n v="0"/>
    <n v="0"/>
    <n v="0"/>
    <n v="0"/>
    <m/>
    <n v="0"/>
    <m/>
    <n v="0"/>
    <m/>
    <n v="0"/>
    <m/>
    <m/>
    <n v="0"/>
    <n v="0"/>
    <n v="0"/>
    <n v="0"/>
    <m/>
    <n v="0"/>
    <n v="0"/>
    <n v="0"/>
    <n v="0"/>
    <n v="0"/>
    <x v="2"/>
    <m/>
    <x v="9"/>
    <x v="5"/>
    <s v="EXCLU"/>
    <x v="4"/>
    <s v=""/>
  </r>
  <r>
    <s v="Ngong-II"/>
    <s v="NRD_032"/>
    <s v="NORD"/>
    <s v="IHS"/>
    <s v="Grid-Gen"/>
    <s v="NORD"/>
    <s v="Ngong"/>
    <s v="Huawei"/>
    <n v="0"/>
    <n v="0"/>
    <n v="0"/>
    <n v="0"/>
    <n v="0"/>
    <n v="0"/>
    <n v="0"/>
    <n v="0"/>
    <n v="0"/>
    <n v="0"/>
    <n v="21.49480071796892"/>
    <n v="0"/>
    <n v="0"/>
    <n v="0"/>
    <n v="0"/>
    <n v="0"/>
    <n v="0"/>
    <n v="0"/>
    <n v="0"/>
    <n v="0"/>
    <n v="0"/>
    <n v="0"/>
    <n v="0"/>
    <n v="0"/>
    <m/>
    <n v="0"/>
    <m/>
    <n v="0"/>
    <m/>
    <n v="0"/>
    <m/>
    <m/>
    <n v="0"/>
    <n v="0"/>
    <n v="0"/>
    <n v="0"/>
    <m/>
    <n v="0"/>
    <n v="0"/>
    <n v="0"/>
    <n v="0"/>
    <n v="0"/>
    <x v="2"/>
    <m/>
    <x v="9"/>
    <x v="5"/>
    <s v="EXCLU"/>
    <x v="4"/>
    <s v=""/>
  </r>
  <r>
    <s v="Djoum"/>
    <s v="SUD_014"/>
    <s v="CENTRE"/>
    <s v="CAMUSAT"/>
    <s v="Medium Grid + Solar + GE"/>
    <s v="SUD"/>
    <s v="Djoum"/>
    <s v="ZTE"/>
    <n v="0"/>
    <n v="0"/>
    <n v="0"/>
    <n v="0"/>
    <n v="0"/>
    <n v="0"/>
    <n v="0"/>
    <n v="0"/>
    <n v="0"/>
    <n v="0"/>
    <n v="0"/>
    <n v="0.005796400453153663"/>
    <n v="0"/>
    <n v="0"/>
    <n v="0"/>
    <n v="0"/>
    <n v="0"/>
    <n v="0"/>
    <n v="0"/>
    <n v="0"/>
    <n v="0.002675261747609291"/>
    <n v="0"/>
    <n v="0"/>
    <n v="0"/>
    <m/>
    <n v="0"/>
    <m/>
    <n v="0"/>
    <m/>
    <n v="0"/>
    <m/>
    <m/>
    <n v="0"/>
    <n v="0"/>
    <n v="0"/>
    <n v="0"/>
    <m/>
    <n v="0"/>
    <n v="0"/>
    <n v="0"/>
    <n v="0"/>
    <n v="0"/>
    <x v="2"/>
    <m/>
    <x v="9"/>
    <x v="5"/>
    <s v="EXCLU"/>
    <x v="4"/>
    <s v=""/>
  </r>
  <r>
    <s v="Toumbouroum"/>
    <s v="ADM_182"/>
    <s v="ADAMAOUA"/>
    <s v="ESCO"/>
    <s v="Hybrid solar - s3"/>
    <s v="ADAMAOUA"/>
    <s v="Toumbouroum"/>
    <s v="Huawei"/>
    <n v="0"/>
    <n v="0"/>
    <n v="0"/>
    <n v="0"/>
    <n v="0"/>
    <n v="0"/>
    <n v="0"/>
    <n v="0"/>
    <n v="0"/>
    <n v="0"/>
    <n v="0"/>
    <n v="0"/>
    <n v="0"/>
    <n v="0"/>
    <n v="0"/>
    <n v="0"/>
    <n v="0"/>
    <n v="0"/>
    <n v="0"/>
    <n v="0"/>
    <n v="0"/>
    <n v="0"/>
    <n v="0"/>
    <n v="0"/>
    <m/>
    <n v="0"/>
    <m/>
    <n v="0"/>
    <m/>
    <n v="0"/>
    <m/>
    <m/>
    <n v="0"/>
    <n v="0"/>
    <n v="0"/>
    <n v="0"/>
    <m/>
    <n v="0"/>
    <n v="0"/>
    <n v="0"/>
    <n v="0"/>
    <n v="0"/>
    <x v="2"/>
    <m/>
    <x v="9"/>
    <x v="5"/>
    <s v="EXCLU"/>
    <x v="4"/>
    <s v=""/>
  </r>
  <r>
    <s v="Mbankomo-Okoa-Maria"/>
    <s v="CTR_541"/>
    <s v="CENTRE"/>
    <s v="IHS"/>
    <s v="Grid-Gen"/>
    <s v="CENTRE"/>
    <s v="Mbankomo"/>
    <s v="ZTE"/>
    <n v="0"/>
    <n v="0"/>
    <n v="0"/>
    <n v="0"/>
    <n v="0"/>
    <n v="0"/>
    <n v="0"/>
    <n v="0"/>
    <n v="0"/>
    <n v="0"/>
    <n v="0"/>
    <n v="0"/>
    <n v="0"/>
    <n v="0"/>
    <n v="0"/>
    <n v="0"/>
    <n v="0"/>
    <n v="0"/>
    <n v="0"/>
    <n v="0"/>
    <n v="0"/>
    <n v="0"/>
    <n v="0"/>
    <n v="0"/>
    <m/>
    <n v="0"/>
    <m/>
    <n v="0"/>
    <m/>
    <n v="0"/>
    <m/>
    <m/>
    <n v="0"/>
    <n v="0"/>
    <n v="0"/>
    <n v="0"/>
    <m/>
    <n v="0"/>
    <n v="0"/>
    <n v="0"/>
    <n v="0"/>
    <n v="0"/>
    <x v="2"/>
    <m/>
    <x v="9"/>
    <x v="5"/>
    <s v="EXCLU"/>
    <x v="4"/>
    <s v="{05-25-2026 goupe whatsapp incident}:    impacted by    CTR_007_Z_Messamendongo(CTR-007)  ,Cause: Boucle etherneet  ,Action: Desactivation de la bouclee"/>
  </r>
  <r>
    <s v="Zoetele"/>
    <s v="CTR_111"/>
    <s v="CENTRE"/>
    <s v="IHS"/>
    <s v="Grid-Gen"/>
    <s v="CENTRE"/>
    <s v="Zoetele"/>
    <s v="ZTE"/>
    <n v="0"/>
    <n v="0"/>
    <n v="0"/>
    <n v="0"/>
    <n v="0"/>
    <n v="0"/>
    <n v="0"/>
    <n v="0"/>
    <n v="0"/>
    <n v="0"/>
    <n v="0"/>
    <n v="0"/>
    <n v="0"/>
    <n v="0"/>
    <n v="0"/>
    <n v="0"/>
    <n v="0"/>
    <n v="0"/>
    <n v="0"/>
    <n v="0"/>
    <n v="0"/>
    <n v="0"/>
    <n v="0"/>
    <n v="0"/>
    <m/>
    <n v="0"/>
    <m/>
    <n v="0"/>
    <m/>
    <n v="0"/>
    <m/>
    <m/>
    <n v="0"/>
    <n v="0"/>
    <n v="0"/>
    <n v="0"/>
    <m/>
    <n v="0"/>
    <n v="0"/>
    <n v="0"/>
    <n v="0"/>
    <n v="0"/>
    <x v="2"/>
    <m/>
    <x v="9"/>
    <x v="5"/>
    <s v="EXCLU"/>
    <x v="4"/>
    <s v=""/>
  </r>
  <r>
    <s v="Endom"/>
    <s v="CTR_225"/>
    <s v="CENTRE"/>
    <s v="IHS"/>
    <s v="Grid-Hybrid-Gen"/>
    <s v="CENTRE"/>
    <s v="Endom"/>
    <s v="ZTE"/>
    <n v="0"/>
    <n v="0"/>
    <n v="0"/>
    <n v="0"/>
    <n v="0"/>
    <n v="0"/>
    <n v="0"/>
    <n v="0"/>
    <n v="0"/>
    <n v="0"/>
    <n v="0"/>
    <n v="0"/>
    <n v="0"/>
    <n v="0"/>
    <n v="0"/>
    <n v="0"/>
    <n v="0"/>
    <n v="0"/>
    <n v="0"/>
    <n v="0"/>
    <n v="0"/>
    <n v="0"/>
    <n v="0"/>
    <n v="0"/>
    <m/>
    <n v="0"/>
    <m/>
    <n v="0"/>
    <m/>
    <n v="0"/>
    <m/>
    <m/>
    <n v="0"/>
    <n v="0"/>
    <n v="0"/>
    <n v="0"/>
    <m/>
    <n v="0"/>
    <n v="0"/>
    <n v="0"/>
    <n v="0"/>
    <n v="0"/>
    <x v="2"/>
    <m/>
    <x v="9"/>
    <x v="5"/>
    <s v="EXCLU"/>
    <x v="4"/>
    <s v="(05/25/2026 cell zte): 25/05/2026 : Need BO TX analysis"/>
  </r>
  <r>
    <s v="Menganme-Camtel"/>
    <s v="CTR_142"/>
    <s v="CENTRE"/>
    <s v="CAMUSAT"/>
    <s v="Bad Grid + GE"/>
    <s v="CENTRE"/>
    <s v="Menganme"/>
    <s v="ZTE"/>
    <n v="0"/>
    <n v="0"/>
    <n v="0"/>
    <n v="0"/>
    <n v="0"/>
    <n v="0"/>
    <n v="0"/>
    <n v="0"/>
    <n v="0"/>
    <n v="0"/>
    <n v="0"/>
    <n v="0"/>
    <n v="0"/>
    <n v="0"/>
    <n v="0"/>
    <n v="0"/>
    <n v="0"/>
    <n v="0"/>
    <n v="0"/>
    <n v="0"/>
    <n v="0"/>
    <n v="0"/>
    <n v="0"/>
    <n v="0"/>
    <m/>
    <n v="0"/>
    <m/>
    <n v="0"/>
    <m/>
    <n v="0"/>
    <m/>
    <m/>
    <n v="0"/>
    <n v="0"/>
    <n v="0"/>
    <n v="0"/>
    <m/>
    <n v="0"/>
    <n v="0"/>
    <n v="0"/>
    <n v="0"/>
    <n v="0"/>
    <x v="2"/>
    <m/>
    <x v="9"/>
    <x v="5"/>
    <s v="EXCLU"/>
    <x v="4"/>
    <s v=""/>
  </r>
  <r>
    <s v="Obokoue-I"/>
    <s v="CTR_906"/>
    <s v="CENTRE"/>
    <s v="CAMUSAT"/>
    <s v="Hybrid Solar - S3"/>
    <s v="CENTRE"/>
    <s v="Mbankomo"/>
    <s v="ZTE"/>
    <n v="0"/>
    <n v="0"/>
    <n v="0"/>
    <n v="0"/>
    <n v="0"/>
    <n v="0"/>
    <n v="0"/>
    <n v="0"/>
    <n v="0"/>
    <n v="0"/>
    <n v="0"/>
    <n v="0"/>
    <n v="0"/>
    <n v="0"/>
    <n v="0"/>
    <n v="0"/>
    <n v="0"/>
    <n v="0"/>
    <n v="0"/>
    <n v="0"/>
    <n v="0"/>
    <n v="0"/>
    <n v="0"/>
    <n v="0"/>
    <m/>
    <n v="0"/>
    <m/>
    <n v="0"/>
    <m/>
    <n v="0"/>
    <m/>
    <m/>
    <n v="0"/>
    <n v="0"/>
    <n v="0"/>
    <n v="0"/>
    <m/>
    <n v="0"/>
    <n v="0"/>
    <n v="0"/>
    <n v="0"/>
    <n v="0"/>
    <x v="2"/>
    <m/>
    <x v="9"/>
    <x v="5"/>
    <s v="EXCLU"/>
    <x v="4"/>
    <s v="{05-25-2026 goupe whatsapp incident}:    impacted by    CTR_007_Z_Messamendongo(CTR-007)  ,Cause: Boucle etherneet  ,Action: Desactivation de la bouclee"/>
  </r>
  <r>
    <s v="Guidiguis-Ville"/>
    <s v="NRD_144"/>
    <s v="NORD"/>
    <s v="CAMUSAT"/>
    <s v="Good Grid + GE"/>
    <s v="NORD"/>
    <s v="Guidiguis"/>
    <s v="Huawei"/>
    <n v="0"/>
    <n v="0"/>
    <n v="0"/>
    <n v="0"/>
    <n v="0"/>
    <n v="0"/>
    <n v="0"/>
    <n v="0"/>
    <n v="0"/>
    <n v="0"/>
    <n v="0"/>
    <n v="0"/>
    <n v="0"/>
    <n v="0"/>
    <n v="0"/>
    <n v="0"/>
    <n v="0"/>
    <n v="0"/>
    <n v="0"/>
    <n v="0"/>
    <n v="0"/>
    <n v="0"/>
    <n v="0"/>
    <n v="0"/>
    <m/>
    <n v="0"/>
    <m/>
    <n v="0"/>
    <m/>
    <n v="0"/>
    <m/>
    <m/>
    <n v="0"/>
    <n v="0"/>
    <n v="0"/>
    <n v="0"/>
    <m/>
    <n v="0"/>
    <n v="0"/>
    <n v="0"/>
    <n v="0"/>
    <n v="0"/>
    <x v="2"/>
    <m/>
    <x v="9"/>
    <x v="5"/>
    <s v="EXCLU"/>
    <x v="4"/>
    <s v=""/>
  </r>
  <r>
    <s v="Maga-Lycee"/>
    <s v="NRD_135"/>
    <s v="EXTREME-NORD"/>
    <s v="CAMUSAT"/>
    <s v="Bad Grid + Solar + GE"/>
    <s v="NORD"/>
    <s v="Maga"/>
    <s v="Huawei"/>
    <n v="0"/>
    <n v="0"/>
    <n v="0"/>
    <n v="0"/>
    <n v="0"/>
    <n v="0"/>
    <n v="0"/>
    <n v="0"/>
    <n v="0"/>
    <n v="0"/>
    <n v="0"/>
    <n v="0.01105774855678554"/>
    <n v="0"/>
    <n v="0"/>
    <n v="0"/>
    <n v="0"/>
    <n v="0"/>
    <n v="0"/>
    <n v="0"/>
    <n v="0"/>
    <n v="0"/>
    <n v="0"/>
    <n v="0"/>
    <n v="0"/>
    <m/>
    <n v="0"/>
    <m/>
    <n v="0"/>
    <m/>
    <n v="0"/>
    <m/>
    <m/>
    <n v="0"/>
    <n v="0"/>
    <n v="0"/>
    <n v="0"/>
    <m/>
    <n v="0"/>
    <n v="0"/>
    <n v="0"/>
    <n v="0"/>
    <n v="0"/>
    <x v="2"/>
    <m/>
    <x v="9"/>
    <x v="5"/>
    <s v="EXCLU"/>
    <x v="4"/>
    <s v=""/>
  </r>
  <r>
    <s v="Phacochere"/>
    <s v="ADM_160"/>
    <s v="ADAMAOUA"/>
    <s v="CAMUSAT"/>
    <s v="Hybrid Solar - S3"/>
    <s v="ADAMAOUA"/>
    <s v="Phacochere"/>
    <s v="Huawei"/>
    <n v="0"/>
    <n v="0"/>
    <n v="0"/>
    <n v="0"/>
    <n v="0"/>
    <n v="0"/>
    <n v="0"/>
    <n v="0"/>
    <n v="0"/>
    <n v="0"/>
    <n v="0"/>
    <n v="0"/>
    <n v="0"/>
    <n v="0"/>
    <n v="0"/>
    <n v="0"/>
    <n v="0"/>
    <n v="0"/>
    <n v="0"/>
    <n v="0"/>
    <n v="0"/>
    <n v="0"/>
    <n v="0"/>
    <n v="0"/>
    <m/>
    <n v="0"/>
    <m/>
    <n v="0"/>
    <m/>
    <n v="0"/>
    <m/>
    <m/>
    <n v="0"/>
    <n v="0"/>
    <n v="0"/>
    <n v="0"/>
    <m/>
    <n v="0"/>
    <n v="0"/>
    <n v="0"/>
    <n v="0"/>
    <n v="0"/>
    <x v="2"/>
    <m/>
    <x v="9"/>
    <x v="5"/>
    <s v="EXCLU"/>
    <x v="4"/>
    <s v=""/>
  </r>
  <r>
    <s v="Guiwa-Yangamo"/>
    <s v="EST_123"/>
    <s v="CENTRE"/>
    <s v="CAMUSAT"/>
    <s v="Hybrid Solar - S2"/>
    <s v="EST"/>
    <s v="Guiwa-Yangamo"/>
    <s v="ZTE"/>
    <n v="0"/>
    <n v="0"/>
    <n v="0"/>
    <n v="0"/>
    <n v="0"/>
    <n v="0"/>
    <n v="0"/>
    <n v="0"/>
    <n v="0"/>
    <n v="0"/>
    <n v="0"/>
    <n v="0.3046588078177567"/>
    <n v="0"/>
    <n v="0"/>
    <n v="0"/>
    <n v="0"/>
    <n v="0"/>
    <n v="0"/>
    <n v="0"/>
    <n v="0"/>
    <n v="13.86855689960706"/>
    <n v="0"/>
    <n v="0"/>
    <n v="0"/>
    <m/>
    <n v="0"/>
    <m/>
    <n v="0"/>
    <m/>
    <n v="0"/>
    <m/>
    <m/>
    <n v="0"/>
    <n v="0"/>
    <n v="0"/>
    <n v="0"/>
    <m/>
    <n v="0"/>
    <n v="0"/>
    <n v="0"/>
    <n v="0"/>
    <n v="0"/>
    <x v="2"/>
    <m/>
    <x v="9"/>
    <x v="5"/>
    <s v="EXCLU"/>
    <x v="4"/>
    <s v="(05/25/2026 cell zte): 25/05/2026 : Need BO RAN analysis      ;      (05/25/2026 cell zte): 25/05/2026 : Need BO RAN analysis      ;      (05/25/2026 cell zte): 25/05/2026 : Need BO RAN analysis"/>
  </r>
  <r>
    <s v="Mbankomo-MTN"/>
    <s v="CTR_222"/>
    <s v="CENTRE"/>
    <s v="IHS"/>
    <s v="Grid-Gen"/>
    <s v="CENTRE"/>
    <s v="Mbankomo"/>
    <s v="ZTE"/>
    <n v="0"/>
    <n v="0"/>
    <n v="0"/>
    <n v="0"/>
    <n v="0"/>
    <n v="0"/>
    <n v="0"/>
    <n v="0"/>
    <n v="0"/>
    <n v="0"/>
    <n v="0"/>
    <n v="0"/>
    <n v="0"/>
    <n v="0"/>
    <n v="0"/>
    <n v="0"/>
    <n v="0"/>
    <n v="0"/>
    <n v="0"/>
    <n v="0"/>
    <n v="0"/>
    <n v="0"/>
    <n v="0"/>
    <n v="0"/>
    <m/>
    <n v="0"/>
    <m/>
    <n v="0"/>
    <m/>
    <n v="0"/>
    <m/>
    <m/>
    <n v="0"/>
    <n v="0"/>
    <n v="0"/>
    <n v="0"/>
    <m/>
    <n v="0"/>
    <n v="0"/>
    <n v="0"/>
    <n v="0"/>
    <n v="0"/>
    <x v="2"/>
    <m/>
    <x v="9"/>
    <x v="5"/>
    <s v="EXCLU"/>
    <x v="4"/>
    <s v="{05-25-2026 goupe whatsapp incident}:    impacted by    CTR_007_Z_Messamendongo(CTR-007)  ,Cause: Boucle etherneet  ,Action: Desactivation de la bouclee"/>
  </r>
  <r>
    <s v="Messamena"/>
    <s v="EST_046"/>
    <s v="CENTRE"/>
    <s v="IHS"/>
    <s v="Solar-Gen"/>
    <s v="EST"/>
    <s v="Messamena"/>
    <s v="ZTE"/>
    <n v="0"/>
    <n v="0"/>
    <n v="0"/>
    <n v="0"/>
    <n v="0"/>
    <n v="0"/>
    <n v="0"/>
    <n v="0"/>
    <n v="0"/>
    <n v="0"/>
    <n v="0"/>
    <n v="0"/>
    <n v="0"/>
    <n v="0"/>
    <n v="0"/>
    <n v="0"/>
    <n v="0"/>
    <n v="0"/>
    <n v="0"/>
    <n v="0"/>
    <n v="0"/>
    <n v="0"/>
    <n v="0"/>
    <n v="0"/>
    <m/>
    <n v="0"/>
    <m/>
    <n v="0"/>
    <m/>
    <n v="0"/>
    <m/>
    <m/>
    <n v="0"/>
    <n v="0"/>
    <n v="0"/>
    <n v="0"/>
    <m/>
    <n v="0"/>
    <n v="0"/>
    <n v="0"/>
    <n v="0"/>
    <n v="0"/>
    <x v="2"/>
    <m/>
    <x v="9"/>
    <x v="5"/>
    <s v="EXCLU"/>
    <x v="4"/>
    <s v=""/>
  </r>
  <r>
    <s v="Nji-Camtel"/>
    <s v="CTR_139"/>
    <s v="CENTRE"/>
    <s v="CAMUSAT"/>
    <s v="Hybrid Solar - S3"/>
    <s v="CENTRE"/>
    <s v="Nji"/>
    <s v="ZTE"/>
    <n v="0"/>
    <n v="0"/>
    <n v="0"/>
    <n v="0"/>
    <n v="0"/>
    <n v="0"/>
    <n v="0"/>
    <n v="0"/>
    <n v="0"/>
    <n v="0"/>
    <n v="0"/>
    <n v="0"/>
    <n v="0"/>
    <n v="0"/>
    <n v="0"/>
    <n v="0"/>
    <n v="0"/>
    <n v="0"/>
    <n v="0"/>
    <n v="0"/>
    <n v="0"/>
    <n v="0"/>
    <n v="0"/>
    <n v="0"/>
    <m/>
    <n v="0"/>
    <m/>
    <n v="0"/>
    <m/>
    <n v="0"/>
    <m/>
    <m/>
    <n v="0"/>
    <n v="0"/>
    <n v="0"/>
    <n v="0"/>
    <m/>
    <n v="0"/>
    <n v="0"/>
    <n v="0"/>
    <n v="0"/>
    <n v="0"/>
    <x v="2"/>
    <m/>
    <x v="9"/>
    <x v="5"/>
    <s v="EXCLU"/>
    <x v="4"/>
    <s v=""/>
  </r>
  <r>
    <s v="Nguelemendouka-FH"/>
    <s v="EST_024"/>
    <s v="CENTRE"/>
    <s v="IHS"/>
    <s v="Hybrid-Gen-Lithium"/>
    <s v="EST"/>
    <s v="Nguelemendouka"/>
    <s v="ZTE"/>
    <n v="0"/>
    <n v="0"/>
    <n v="0"/>
    <n v="0"/>
    <n v="0"/>
    <n v="0"/>
    <n v="0"/>
    <n v="0"/>
    <n v="0"/>
    <n v="0"/>
    <n v="0"/>
    <n v="0"/>
    <n v="0"/>
    <n v="0"/>
    <n v="0"/>
    <n v="0"/>
    <n v="0"/>
    <n v="0"/>
    <n v="0"/>
    <n v="0"/>
    <n v="0"/>
    <n v="0"/>
    <n v="0"/>
    <n v="0"/>
    <m/>
    <n v="0"/>
    <m/>
    <n v="0"/>
    <m/>
    <n v="0"/>
    <m/>
    <m/>
    <n v="0"/>
    <n v="0"/>
    <n v="0"/>
    <n v="0"/>
    <m/>
    <n v="0"/>
    <n v="0"/>
    <n v="0"/>
    <n v="0"/>
    <n v="0"/>
    <x v="2"/>
    <m/>
    <x v="9"/>
    <x v="5"/>
    <s v="EXCLU"/>
    <x v="4"/>
    <s v="{hourly IHS}: 25/05/2026 00:36 5:47:29 47.2V FME is informed and managing"/>
  </r>
  <r>
    <s v="Nguem-MTN"/>
    <s v="EST_077"/>
    <s v="CENTRE"/>
    <s v="IHS"/>
    <s v="Grid-Gen"/>
    <s v="EST"/>
    <s v="Nguem"/>
    <s v="ZTE"/>
    <n v="0"/>
    <n v="0"/>
    <n v="0"/>
    <n v="0"/>
    <n v="0"/>
    <n v="0"/>
    <n v="0"/>
    <n v="0"/>
    <n v="0"/>
    <n v="0"/>
    <n v="0"/>
    <n v="0"/>
    <n v="0"/>
    <n v="0"/>
    <n v="0"/>
    <n v="0"/>
    <n v="0"/>
    <n v="0"/>
    <n v="0"/>
    <n v="0"/>
    <n v="0"/>
    <n v="0"/>
    <n v="0"/>
    <n v="0"/>
    <m/>
    <n v="0"/>
    <m/>
    <n v="0"/>
    <m/>
    <n v="0"/>
    <m/>
    <m/>
    <n v="0"/>
    <n v="0"/>
    <n v="0"/>
    <n v="0"/>
    <m/>
    <n v="0"/>
    <n v="0"/>
    <n v="0"/>
    <n v="0"/>
    <n v="0"/>
    <x v="2"/>
    <m/>
    <x v="9"/>
    <x v="5"/>
    <s v="EXCLU"/>
    <x v="4"/>
    <s v=""/>
  </r>
  <r>
    <s v="Andom"/>
    <s v="EST_150"/>
    <s v="CENTRE"/>
    <s v="CAMUSAT"/>
    <m/>
    <s v="EST"/>
    <s v="Andom"/>
    <s v="ZTE"/>
    <n v="0"/>
    <n v="0"/>
    <n v="0"/>
    <n v="0"/>
    <n v="0"/>
    <n v="0"/>
    <n v="0"/>
    <n v="0"/>
    <n v="0"/>
    <n v="0"/>
    <n v="0"/>
    <n v="0"/>
    <n v="0"/>
    <n v="0"/>
    <n v="0"/>
    <n v="0"/>
    <n v="0"/>
    <n v="0"/>
    <n v="0"/>
    <n v="0"/>
    <n v="0"/>
    <n v="0"/>
    <n v="0"/>
    <n v="0"/>
    <m/>
    <n v="0"/>
    <m/>
    <n v="0"/>
    <m/>
    <n v="0"/>
    <m/>
    <m/>
    <n v="0"/>
    <n v="0"/>
    <n v="0"/>
    <n v="0"/>
    <m/>
    <n v="0"/>
    <n v="0"/>
    <n v="0"/>
    <n v="0"/>
    <n v="0"/>
    <x v="2"/>
    <m/>
    <x v="9"/>
    <x v="5"/>
    <s v="EXCLU"/>
    <x v="4"/>
    <s v="{05-25-2026 ocm ran 22H}: 25.05.26: Besoin d'un FME sur site pour vérifier le statut du MPR et la chaine antennaire de l'ODU 3.1; CM-20260525-00007789; FME Tchimeni Frank activé pour investigations, update ASAP      ;      {05-25-2026 ocm ran 17H}: Power status check Ongoing"/>
  </r>
  <r>
    <s v="Meba-CAMTEL"/>
    <s v="CTR_407"/>
    <s v="CENTRE"/>
    <s v="CAMUSAT"/>
    <s v="Hybrid Solar - S3"/>
    <s v="CENTRE"/>
    <s v="Meba"/>
    <s v="ZTE"/>
    <n v="0"/>
    <n v="0"/>
    <n v="0"/>
    <n v="0"/>
    <n v="0"/>
    <n v="0"/>
    <n v="0"/>
    <n v="0"/>
    <n v="0"/>
    <n v="0"/>
    <n v="0"/>
    <n v="0"/>
    <n v="0"/>
    <n v="0"/>
    <n v="0"/>
    <n v="0"/>
    <n v="0"/>
    <n v="0"/>
    <n v="0"/>
    <n v="0"/>
    <n v="0"/>
    <n v="0"/>
    <n v="0"/>
    <n v="0"/>
    <m/>
    <n v="0"/>
    <m/>
    <n v="0"/>
    <m/>
    <n v="0"/>
    <m/>
    <m/>
    <n v="0"/>
    <n v="0"/>
    <n v="0"/>
    <n v="0"/>
    <m/>
    <n v="0"/>
    <n v="0"/>
    <n v="0"/>
    <n v="0"/>
    <n v="0"/>
    <x v="2"/>
    <m/>
    <x v="9"/>
    <x v="5"/>
    <s v="EXCLU"/>
    <x v="4"/>
    <s v="(05/25/2026 cell zte): 25/05/2026 : Need BO RAN analysis      ;      (05/25/2026 cell zte): 25/05/2026 : Need BO RAN analysis      ;      (05/25/2026 cell zte): 25/05/2026 : Need BO RAN analysis ||Cell was down due to power || Join visite a planifier "/>
  </r>
  <r>
    <s v="Yoko"/>
    <s v="CTR_335"/>
    <s v="CENTRE"/>
    <s v="IHS"/>
    <s v="Grid-Gen"/>
    <s v="CENTRE"/>
    <s v="Yoko"/>
    <s v="ZTE"/>
    <n v="0"/>
    <n v="0"/>
    <n v="0"/>
    <n v="0"/>
    <n v="0"/>
    <n v="0"/>
    <n v="0"/>
    <n v="0"/>
    <n v="0"/>
    <n v="0"/>
    <n v="0"/>
    <n v="0"/>
    <n v="0"/>
    <n v="0"/>
    <n v="0"/>
    <n v="0"/>
    <n v="0"/>
    <n v="0"/>
    <n v="0"/>
    <n v="0"/>
    <n v="0"/>
    <n v="0"/>
    <n v="0"/>
    <n v="0"/>
    <m/>
    <n v="0"/>
    <m/>
    <n v="0"/>
    <m/>
    <n v="0"/>
    <m/>
    <m/>
    <n v="0"/>
    <n v="0"/>
    <n v="0"/>
    <n v="0"/>
    <m/>
    <n v="0"/>
    <n v="0"/>
    <n v="0"/>
    <n v="0"/>
    <n v="0"/>
    <x v="2"/>
    <m/>
    <x v="9"/>
    <x v="5"/>
    <s v="EXCLU"/>
    <x v="4"/>
    <s v=""/>
  </r>
  <r>
    <s v="Abong-Mbang-II"/>
    <s v="EST_036"/>
    <s v="CENTRE"/>
    <s v="IHS"/>
    <s v="Grid-Gen"/>
    <s v="EST"/>
    <s v="Abong-Mbang"/>
    <s v="ZTE"/>
    <n v="0"/>
    <n v="0"/>
    <n v="0"/>
    <n v="0"/>
    <n v="0"/>
    <n v="0"/>
    <n v="0"/>
    <n v="0"/>
    <n v="0"/>
    <n v="0"/>
    <n v="0"/>
    <n v="0"/>
    <n v="0"/>
    <n v="0"/>
    <n v="0"/>
    <n v="0"/>
    <n v="0"/>
    <n v="0"/>
    <n v="0"/>
    <n v="0"/>
    <n v="0"/>
    <n v="0"/>
    <n v="0"/>
    <n v="0"/>
    <m/>
    <n v="0"/>
    <m/>
    <n v="0"/>
    <m/>
    <n v="0"/>
    <m/>
    <m/>
    <n v="0"/>
    <n v="0"/>
    <n v="0"/>
    <n v="0"/>
    <m/>
    <n v="0"/>
    <n v="0"/>
    <n v="0"/>
    <n v="0"/>
    <n v="0"/>
    <x v="2"/>
    <m/>
    <x v="9"/>
    <x v="5"/>
    <s v="EXCLU"/>
    <x v="4"/>
    <s v=""/>
  </r>
  <r>
    <s v="Eseka"/>
    <s v="CTR_067"/>
    <s v="CENTRE"/>
    <s v="IHS"/>
    <s v="Grid-Gen"/>
    <s v="CENTRE"/>
    <s v="Eseka"/>
    <s v="ZTE"/>
    <n v="0"/>
    <n v="0"/>
    <n v="0"/>
    <n v="0"/>
    <n v="0"/>
    <n v="0"/>
    <n v="0"/>
    <n v="0"/>
    <n v="0"/>
    <n v="0"/>
    <n v="0"/>
    <n v="0"/>
    <n v="0"/>
    <n v="0"/>
    <n v="0"/>
    <n v="0"/>
    <n v="0"/>
    <n v="0"/>
    <n v="0"/>
    <n v="0"/>
    <n v="0"/>
    <n v="0"/>
    <n v="0"/>
    <n v="0"/>
    <m/>
    <n v="0"/>
    <m/>
    <n v="0"/>
    <m/>
    <n v="0"/>
    <m/>
    <m/>
    <n v="0"/>
    <n v="0"/>
    <n v="0"/>
    <n v="0"/>
    <m/>
    <n v="0"/>
    <n v="0"/>
    <n v="0"/>
    <n v="0"/>
    <n v="0"/>
    <x v="2"/>
    <m/>
    <x v="9"/>
    <x v="5"/>
    <s v="EXCLU"/>
    <x v="4"/>
    <s v=""/>
  </r>
  <r>
    <s v="Kette"/>
    <s v="EST_045"/>
    <s v="CENTRE"/>
    <s v="IHS"/>
    <s v="Solar-Gen-Lithium"/>
    <s v="EST"/>
    <s v="Kette"/>
    <s v="ZTE"/>
    <n v="0"/>
    <n v="0"/>
    <n v="0"/>
    <n v="0"/>
    <n v="0"/>
    <n v="0"/>
    <n v="0"/>
    <n v="0"/>
    <n v="0"/>
    <n v="0"/>
    <n v="0"/>
    <n v="0"/>
    <n v="0"/>
    <n v="0"/>
    <n v="0"/>
    <n v="0"/>
    <n v="0"/>
    <n v="0"/>
    <n v="0"/>
    <n v="0"/>
    <n v="0"/>
    <n v="0"/>
    <n v="0"/>
    <n v="0"/>
    <m/>
    <n v="0"/>
    <m/>
    <n v="0"/>
    <m/>
    <n v="0"/>
    <m/>
    <m/>
    <n v="0"/>
    <n v="0"/>
    <n v="0"/>
    <n v="0"/>
    <m/>
    <n v="0"/>
    <n v="0"/>
    <n v="0"/>
    <n v="0"/>
    <n v="0"/>
    <x v="2"/>
    <m/>
    <x v="9"/>
    <x v="5"/>
    <s v="EXCLU"/>
    <x v="4"/>
    <s v="{hourly IHS}: 25-05-2026 18:11:59 4:48:01 FME Germain is managing with level 0      ;      {05-25-2026 ocm ran 22H}: Impacted by EST_045_Z_Kette (Power issue)"/>
  </r>
  <r>
    <s v="Eseka-Town-MTN-IHS"/>
    <s v="CTR_185"/>
    <s v="CENTRE"/>
    <s v="IHS"/>
    <s v="Grid-Gen"/>
    <s v="CENTRE"/>
    <s v="Eseka"/>
    <s v="ZTE"/>
    <n v="0"/>
    <n v="0"/>
    <n v="0"/>
    <n v="0"/>
    <n v="0"/>
    <n v="0"/>
    <n v="0"/>
    <n v="0"/>
    <n v="0"/>
    <n v="0"/>
    <n v="0"/>
    <n v="0"/>
    <n v="0"/>
    <n v="0"/>
    <n v="0"/>
    <n v="0"/>
    <n v="0"/>
    <n v="0"/>
    <n v="0"/>
    <n v="0"/>
    <n v="0"/>
    <n v="0"/>
    <n v="0"/>
    <n v="0"/>
    <m/>
    <n v="0"/>
    <m/>
    <n v="0"/>
    <m/>
    <n v="0"/>
    <m/>
    <m/>
    <n v="0"/>
    <n v="0"/>
    <n v="0"/>
    <n v="0"/>
    <m/>
    <n v="0"/>
    <n v="0"/>
    <n v="0"/>
    <n v="0"/>
    <n v="0"/>
    <x v="2"/>
    <m/>
    <x v="9"/>
    <x v="5"/>
    <s v="EXCLU"/>
    <x v="4"/>
    <s v=""/>
  </r>
  <r>
    <s v="Biyouha"/>
    <s v="CTR_855"/>
    <s v="CENTRE"/>
    <s v="CAMUSAT"/>
    <s v="HGB"/>
    <s v="CENTRE"/>
    <s v="Biyouha"/>
    <s v="ZTE"/>
    <n v="0"/>
    <n v="0"/>
    <n v="0"/>
    <n v="0"/>
    <n v="0"/>
    <n v="0"/>
    <n v="0"/>
    <n v="0"/>
    <n v="0"/>
    <n v="0"/>
    <n v="0"/>
    <n v="0"/>
    <n v="0"/>
    <n v="0"/>
    <n v="0"/>
    <n v="0"/>
    <n v="0"/>
    <n v="0"/>
    <n v="0"/>
    <n v="0"/>
    <n v="0"/>
    <n v="0"/>
    <n v="0"/>
    <n v="0"/>
    <m/>
    <n v="0"/>
    <m/>
    <n v="0"/>
    <m/>
    <n v="0"/>
    <m/>
    <m/>
    <n v="0"/>
    <n v="0"/>
    <n v="0"/>
    <n v="0"/>
    <m/>
    <n v="0"/>
    <n v="0"/>
    <n v="0"/>
    <n v="0"/>
    <n v="0"/>
    <x v="2"/>
    <m/>
    <x v="9"/>
    <x v="5"/>
    <s v="EXCLU"/>
    <x v="4"/>
    <s v="{05-25-2026 ocm ran 22H}: Power status check Ongoing"/>
  </r>
  <r>
    <s v="Ngoumou-I"/>
    <s v="CTR_577"/>
    <s v="CENTRE"/>
    <s v="CAMUSAT"/>
    <s v="Medium Grid + GE"/>
    <s v="CENTRE"/>
    <s v="Ngoumou"/>
    <s v="ZTE"/>
    <n v="0"/>
    <n v="0"/>
    <n v="0"/>
    <n v="0"/>
    <n v="0"/>
    <n v="0"/>
    <n v="0"/>
    <n v="0"/>
    <n v="0"/>
    <n v="0"/>
    <n v="0"/>
    <n v="0"/>
    <n v="0"/>
    <n v="0"/>
    <n v="0"/>
    <n v="0"/>
    <n v="0"/>
    <n v="0"/>
    <n v="0"/>
    <n v="0"/>
    <n v="0"/>
    <n v="0"/>
    <n v="0"/>
    <n v="0"/>
    <m/>
    <n v="0"/>
    <m/>
    <n v="0"/>
    <m/>
    <n v="0"/>
    <m/>
    <m/>
    <n v="0"/>
    <n v="0"/>
    <n v="0"/>
    <n v="0"/>
    <m/>
    <n v="0"/>
    <n v="0"/>
    <n v="0"/>
    <n v="0"/>
    <n v="0"/>
    <x v="2"/>
    <m/>
    <x v="9"/>
    <x v="5"/>
    <s v="EXCLU"/>
    <x v="4"/>
    <s v="{05-25-2026 goupe whatsapp incident}:    impacted by    CTR_007_Z_Messamendongo(CTR-007)  ,Cause: Boucle etherneet  ,Action: Desactivation de la bouclee"/>
  </r>
  <r>
    <s v="Zili-Nkoteng-IHS"/>
    <s v="CTR_910"/>
    <s v="CENTRE"/>
    <s v="IHS"/>
    <s v="Hybrid-Gen"/>
    <s v="CENTRE"/>
    <s v="Nkoteng"/>
    <s v="ZTE"/>
    <n v="0"/>
    <n v="0"/>
    <n v="0"/>
    <n v="0"/>
    <n v="0"/>
    <n v="0"/>
    <n v="0"/>
    <n v="0"/>
    <n v="0"/>
    <n v="0"/>
    <n v="0"/>
    <n v="0"/>
    <n v="0"/>
    <n v="0"/>
    <n v="0"/>
    <n v="0"/>
    <n v="0"/>
    <n v="0"/>
    <n v="0"/>
    <n v="0"/>
    <n v="0"/>
    <n v="0"/>
    <n v="0"/>
    <n v="0"/>
    <m/>
    <n v="0"/>
    <m/>
    <n v="0"/>
    <m/>
    <n v="0"/>
    <m/>
    <m/>
    <n v="0"/>
    <n v="0"/>
    <n v="0"/>
    <n v="0"/>
    <m/>
    <n v="0"/>
    <n v="0"/>
    <n v="0"/>
    <n v="0"/>
    <n v="0"/>
    <x v="2"/>
    <m/>
    <x v="9"/>
    <x v="5"/>
    <s v="EXCLU"/>
    <x v="4"/>
    <s v=""/>
  </r>
  <r>
    <s v="Bouam"/>
    <s v="EST_003"/>
    <s v="CENTRE"/>
    <s v="IHS"/>
    <s v="Grid-Gen"/>
    <s v="EST"/>
    <s v="Bouam"/>
    <s v="ZTE"/>
    <n v="0"/>
    <n v="0"/>
    <n v="0"/>
    <n v="0"/>
    <n v="0"/>
    <n v="0"/>
    <n v="0"/>
    <n v="0"/>
    <n v="0"/>
    <n v="0"/>
    <n v="0"/>
    <n v="0"/>
    <n v="0"/>
    <n v="0"/>
    <n v="0"/>
    <n v="0"/>
    <n v="0"/>
    <n v="0"/>
    <n v="0"/>
    <n v="0"/>
    <n v="0"/>
    <n v="0"/>
    <n v="0"/>
    <n v="0"/>
    <m/>
    <n v="0"/>
    <m/>
    <n v="0"/>
    <m/>
    <n v="0"/>
    <m/>
    <m/>
    <n v="0"/>
    <n v="0"/>
    <n v="0"/>
    <n v="0"/>
    <m/>
    <n v="0"/>
    <n v="0"/>
    <n v="0"/>
    <n v="0"/>
    <n v="0"/>
    <x v="2"/>
    <m/>
    <x v="9"/>
    <x v="5"/>
    <s v="EXCLU"/>
    <x v="4"/>
    <s v=""/>
  </r>
  <r>
    <s v="Akonolinga"/>
    <s v="CTR_057"/>
    <s v="CENTRE"/>
    <s v="CAMUSAT"/>
    <s v="Medium Grid + Solar + GE"/>
    <s v="CENTRE"/>
    <s v="Akonolinga"/>
    <s v="NOKIA"/>
    <n v="0"/>
    <n v="0"/>
    <n v="0"/>
    <n v="0"/>
    <n v="0"/>
    <n v="0"/>
    <n v="0"/>
    <n v="0"/>
    <n v="0"/>
    <n v="0"/>
    <n v="0"/>
    <n v="0"/>
    <n v="0"/>
    <n v="0"/>
    <n v="0"/>
    <n v="0"/>
    <n v="0"/>
    <n v="0"/>
    <n v="0"/>
    <n v="0"/>
    <n v="0"/>
    <n v="0"/>
    <n v="0"/>
    <n v="0"/>
    <m/>
    <n v="0"/>
    <m/>
    <n v="0"/>
    <m/>
    <n v="0"/>
    <m/>
    <m/>
    <n v="0"/>
    <n v="0"/>
    <n v="0"/>
    <n v="0"/>
    <m/>
    <n v="0"/>
    <n v="0"/>
    <n v="0"/>
    <n v="0"/>
    <n v="0"/>
    <x v="2"/>
    <m/>
    <x v="9"/>
    <x v="5"/>
    <s v="EXCLU"/>
    <x v="4"/>
    <s v=""/>
  </r>
  <r>
    <s v="Borongo-IHS"/>
    <s v="EST_154"/>
    <s v="CENTRE"/>
    <m/>
    <m/>
    <s v="EST"/>
    <s v="Nganha "/>
    <s v="ZTE"/>
    <n v="0"/>
    <n v="0"/>
    <n v="0"/>
    <n v="0"/>
    <n v="0"/>
    <n v="0"/>
    <n v="0"/>
    <n v="0"/>
    <n v="0"/>
    <n v="0"/>
    <n v="0"/>
    <n v="0"/>
    <n v="0"/>
    <n v="0"/>
    <n v="0"/>
    <n v="0"/>
    <n v="0"/>
    <n v="0"/>
    <n v="0"/>
    <n v="0"/>
    <n v="0"/>
    <n v="0"/>
    <n v="0"/>
    <n v="0"/>
    <m/>
    <n v="0"/>
    <m/>
    <n v="0"/>
    <m/>
    <n v="0"/>
    <m/>
    <m/>
    <n v="0"/>
    <n v="0"/>
    <n v="0"/>
    <n v="0"/>
    <m/>
    <n v="0"/>
    <n v="0"/>
    <n v="0"/>
    <n v="0"/>
    <n v="0"/>
    <x v="2"/>
    <m/>
    <x v="9"/>
    <x v="5"/>
    <s v="EXCLU"/>
    <x v="4"/>
    <s v=""/>
  </r>
  <r>
    <s v="Doume-MTN-IHS"/>
    <s v="EST_092"/>
    <s v="CENTRE"/>
    <s v="IHS"/>
    <s v="Grid-Gen"/>
    <s v="EST"/>
    <s v="Doume"/>
    <s v="ZTE"/>
    <n v="0"/>
    <n v="0"/>
    <n v="0"/>
    <n v="0"/>
    <n v="0"/>
    <n v="0"/>
    <n v="0"/>
    <n v="0"/>
    <n v="0"/>
    <n v="0"/>
    <n v="0"/>
    <n v="0"/>
    <n v="0"/>
    <n v="0"/>
    <n v="0"/>
    <n v="0"/>
    <n v="0"/>
    <n v="0"/>
    <n v="0"/>
    <n v="0"/>
    <n v="0"/>
    <n v="0"/>
    <n v="0"/>
    <n v="0"/>
    <m/>
    <n v="0"/>
    <m/>
    <n v="0"/>
    <m/>
    <n v="0"/>
    <m/>
    <m/>
    <n v="0"/>
    <n v="0"/>
    <n v="0"/>
    <n v="0"/>
    <m/>
    <n v="0"/>
    <n v="0"/>
    <n v="0"/>
    <n v="0"/>
    <n v="0"/>
    <x v="2"/>
    <m/>
    <x v="9"/>
    <x v="5"/>
    <s v="EXCLU"/>
    <x v="4"/>
    <s v=""/>
  </r>
  <r>
    <s v="Djoum-Caminex"/>
    <s v="SUD_252"/>
    <s v="CENTRE"/>
    <s v="IHS"/>
    <s v="Gen-Lithium"/>
    <s v="SUD"/>
    <s v="Djoum"/>
    <s v="ZTE"/>
    <n v="0"/>
    <n v="0"/>
    <n v="0"/>
    <n v="0"/>
    <n v="0"/>
    <n v="0"/>
    <n v="0"/>
    <n v="0"/>
    <n v="0"/>
    <n v="0"/>
    <n v="0"/>
    <n v="0"/>
    <n v="0"/>
    <n v="0"/>
    <n v="0"/>
    <n v="0"/>
    <n v="0"/>
    <n v="0"/>
    <n v="0"/>
    <n v="0"/>
    <n v="0"/>
    <n v="0"/>
    <n v="0"/>
    <n v="0"/>
    <m/>
    <n v="0"/>
    <m/>
    <n v="0"/>
    <m/>
    <n v="0"/>
    <m/>
    <m/>
    <n v="0"/>
    <n v="0"/>
    <n v="0"/>
    <n v="0"/>
    <m/>
    <n v="0"/>
    <n v="0"/>
    <n v="0"/>
    <n v="0"/>
    <n v="0"/>
    <x v="2"/>
    <m/>
    <x v="9"/>
    <x v="5"/>
    <s v="EXCLU"/>
    <x v="4"/>
    <s v=""/>
  </r>
  <r>
    <s v="Minisite-Soa"/>
    <s v="CTR_689"/>
    <s v="Yaounde"/>
    <s v="CAMUSAT"/>
    <s v="Good Grid no GE - 8h"/>
    <s v="CENTRE"/>
    <s v="Yaounde"/>
    <s v="NOKIA"/>
    <n v="0"/>
    <n v="0"/>
    <n v="0"/>
    <n v="0"/>
    <n v="0"/>
    <n v="0"/>
    <n v="0"/>
    <n v="0"/>
    <n v="0"/>
    <n v="0"/>
    <n v="0"/>
    <n v="0"/>
    <n v="0"/>
    <n v="0"/>
    <n v="0"/>
    <n v="0"/>
    <n v="0"/>
    <n v="0"/>
    <n v="0"/>
    <n v="0"/>
    <n v="0"/>
    <n v="0"/>
    <n v="0"/>
    <n v="0"/>
    <m/>
    <n v="0"/>
    <m/>
    <n v="0"/>
    <m/>
    <n v="0"/>
    <m/>
    <m/>
    <n v="0"/>
    <n v="0"/>
    <n v="0"/>
    <n v="0"/>
    <m/>
    <n v="0"/>
    <n v="0"/>
    <n v="0"/>
    <n v="0"/>
    <n v="0"/>
    <x v="2"/>
    <m/>
    <x v="9"/>
    <x v="5"/>
    <s v="EXCLU"/>
    <x v="4"/>
    <s v=""/>
  </r>
  <r>
    <s v="Ndemba"/>
    <s v="EST_075"/>
    <s v="CENTRE"/>
    <s v="IHS"/>
    <s v="Grid-Gen"/>
    <s v="EST"/>
    <s v="Ndemba"/>
    <s v="ZTE"/>
    <n v="0"/>
    <n v="0"/>
    <n v="0"/>
    <n v="0"/>
    <n v="0"/>
    <n v="0"/>
    <n v="0"/>
    <n v="0"/>
    <n v="0"/>
    <n v="0"/>
    <n v="0"/>
    <n v="0"/>
    <n v="0"/>
    <n v="0"/>
    <n v="0"/>
    <n v="0"/>
    <n v="0"/>
    <n v="0"/>
    <n v="0"/>
    <n v="0"/>
    <n v="0"/>
    <n v="0"/>
    <n v="0"/>
    <n v="0"/>
    <m/>
    <n v="0"/>
    <m/>
    <n v="0"/>
    <m/>
    <n v="0"/>
    <m/>
    <m/>
    <n v="0"/>
    <n v="0"/>
    <n v="0"/>
    <n v="0"/>
    <m/>
    <n v="0"/>
    <n v="0"/>
    <n v="0"/>
    <n v="0"/>
    <n v="0"/>
    <x v="2"/>
    <m/>
    <x v="9"/>
    <x v="5"/>
    <s v="EXCLU"/>
    <x v="4"/>
    <s v=""/>
  </r>
  <r>
    <s v="Afanoya-MTN-IHS"/>
    <s v="CTR_463"/>
    <s v="CENTRE"/>
    <s v="IHS"/>
    <s v="Grid-Gen"/>
    <s v="CENTRE"/>
    <s v="Afanoya"/>
    <s v="ZTE"/>
    <n v="0"/>
    <n v="0"/>
    <n v="0"/>
    <n v="0"/>
    <n v="0"/>
    <n v="0"/>
    <n v="0"/>
    <n v="0"/>
    <n v="0"/>
    <n v="0"/>
    <n v="0"/>
    <n v="0"/>
    <n v="0"/>
    <n v="0"/>
    <n v="0"/>
    <n v="0"/>
    <n v="0"/>
    <n v="0"/>
    <n v="0"/>
    <n v="0"/>
    <n v="0"/>
    <n v="0"/>
    <n v="0"/>
    <n v="0"/>
    <m/>
    <n v="0"/>
    <m/>
    <n v="0"/>
    <m/>
    <n v="0"/>
    <m/>
    <m/>
    <n v="0"/>
    <n v="0"/>
    <n v="0"/>
    <n v="0"/>
    <m/>
    <n v="0"/>
    <n v="0"/>
    <n v="0"/>
    <n v="0"/>
    <n v="0"/>
    <x v="2"/>
    <m/>
    <x v="9"/>
    <x v="5"/>
    <s v="EXCLU"/>
    <x v="4"/>
    <s v="{05-25-2026 goupe whatsapp incident}:    impacted by    CTR_007_Z_Messamendongo(CTR-007)  ,Cause: Boucle etherneet  ,Action: Desactivation de la bouclee"/>
  </r>
  <r>
    <s v="Mom"/>
    <s v="CTR_202"/>
    <s v="CENTRE"/>
    <s v="IHS"/>
    <s v="Grid-Gen"/>
    <s v="CENTRE"/>
    <s v="Mom"/>
    <s v="ZTE"/>
    <n v="0"/>
    <n v="0"/>
    <n v="0"/>
    <n v="0"/>
    <n v="0"/>
    <n v="0"/>
    <n v="0"/>
    <n v="0"/>
    <n v="0"/>
    <n v="0"/>
    <n v="0"/>
    <n v="0"/>
    <n v="0"/>
    <n v="0"/>
    <n v="0"/>
    <n v="0"/>
    <n v="0"/>
    <n v="0"/>
    <n v="0"/>
    <n v="0"/>
    <n v="0"/>
    <n v="0"/>
    <n v="0"/>
    <n v="0"/>
    <m/>
    <n v="0"/>
    <m/>
    <n v="0"/>
    <m/>
    <n v="0"/>
    <m/>
    <m/>
    <n v="0"/>
    <n v="0"/>
    <n v="0"/>
    <n v="0"/>
    <m/>
    <n v="0"/>
    <n v="0"/>
    <n v="0"/>
    <n v="0"/>
    <n v="0"/>
    <x v="2"/>
    <m/>
    <x v="9"/>
    <x v="5"/>
    <s v="EXCLU"/>
    <x v="4"/>
    <s v=""/>
  </r>
  <r>
    <s v="Bondjock"/>
    <s v="CTR_205"/>
    <s v="CENTRE"/>
    <s v="IHS"/>
    <s v="Grid-Gen"/>
    <s v="CENTRE"/>
    <s v="Bondjock"/>
    <s v="ZTE"/>
    <n v="0"/>
    <n v="0"/>
    <n v="0"/>
    <n v="0"/>
    <n v="0"/>
    <n v="0"/>
    <n v="0"/>
    <n v="0"/>
    <n v="0"/>
    <n v="0"/>
    <n v="0"/>
    <n v="0"/>
    <n v="0"/>
    <n v="0"/>
    <n v="0"/>
    <n v="0"/>
    <n v="0"/>
    <n v="0"/>
    <n v="0"/>
    <n v="0"/>
    <n v="0"/>
    <n v="0"/>
    <n v="0"/>
    <n v="0"/>
    <m/>
    <n v="0"/>
    <m/>
    <n v="0"/>
    <m/>
    <n v="0"/>
    <m/>
    <m/>
    <n v="0"/>
    <n v="0"/>
    <n v="0"/>
    <n v="0"/>
    <m/>
    <n v="0"/>
    <n v="0"/>
    <n v="0"/>
    <n v="0"/>
    <n v="0"/>
    <x v="2"/>
    <m/>
    <x v="9"/>
    <x v="5"/>
    <s v="EXCLU"/>
    <x v="4"/>
    <s v=""/>
  </r>
  <r>
    <s v="BTS-Mobile-Bachuo-Akagbe"/>
    <s v="SUO_168"/>
    <s v="SUD-OUEST"/>
    <m/>
    <m/>
    <s v="SUD-OUEST"/>
    <s v="Bachuo"/>
    <s v="NOKIA"/>
    <n v="0"/>
    <n v="0"/>
    <n v="0"/>
    <n v="0"/>
    <n v="0"/>
    <n v="0"/>
    <n v="0"/>
    <n v="0"/>
    <n v="0"/>
    <n v="0"/>
    <n v="0"/>
    <n v="0"/>
    <n v="0"/>
    <n v="0"/>
    <n v="0"/>
    <n v="0"/>
    <n v="0"/>
    <n v="0"/>
    <n v="0"/>
    <n v="0"/>
    <n v="0"/>
    <n v="0"/>
    <n v="0"/>
    <n v="0"/>
    <m/>
    <n v="0"/>
    <m/>
    <n v="0"/>
    <m/>
    <n v="0"/>
    <m/>
    <m/>
    <n v="0"/>
    <n v="0"/>
    <n v="0"/>
    <n v="0"/>
    <m/>
    <n v="0"/>
    <n v="0"/>
    <n v="0"/>
    <n v="0"/>
    <n v="0"/>
    <x v="2"/>
    <m/>
    <x v="9"/>
    <x v="5"/>
    <s v="EXCLU"/>
    <x v="4"/>
    <s v=""/>
  </r>
  <r>
    <s v="Otele"/>
    <s v="CTR_201"/>
    <s v="CENTRE"/>
    <s v="IHS"/>
    <s v="Grid-Gen"/>
    <s v="CENTRE"/>
    <s v="Otele"/>
    <s v="ZTE"/>
    <n v="0"/>
    <n v="0"/>
    <n v="0"/>
    <n v="0"/>
    <n v="0"/>
    <n v="0"/>
    <n v="0"/>
    <n v="0"/>
    <n v="0"/>
    <n v="0"/>
    <n v="0"/>
    <n v="0"/>
    <n v="0"/>
    <n v="0"/>
    <n v="0"/>
    <n v="0"/>
    <n v="0"/>
    <n v="0"/>
    <n v="0"/>
    <n v="0"/>
    <n v="0"/>
    <n v="0"/>
    <n v="0"/>
    <n v="0"/>
    <m/>
    <n v="0"/>
    <m/>
    <n v="0"/>
    <m/>
    <n v="0"/>
    <m/>
    <m/>
    <n v="0"/>
    <n v="0"/>
    <n v="0"/>
    <n v="0"/>
    <m/>
    <n v="0"/>
    <n v="0"/>
    <n v="0"/>
    <n v="0"/>
    <n v="0"/>
    <x v="2"/>
    <m/>
    <x v="9"/>
    <x v="5"/>
    <s v="EXCLU"/>
    <x v="4"/>
    <s v=""/>
  </r>
  <r>
    <s v="Carrefour-Mezzanine"/>
    <s v="LIT_734"/>
    <s v="Douala"/>
    <s v="OCM"/>
    <e v="#N/A"/>
    <s v="LITTORAL"/>
    <s v="Douala"/>
    <s v="ZTE"/>
    <n v="0"/>
    <n v="0"/>
    <n v="0"/>
    <n v="0"/>
    <n v="0"/>
    <n v="0"/>
    <n v="0"/>
    <n v="0"/>
    <n v="0"/>
    <n v="0"/>
    <n v="0"/>
    <n v="0"/>
    <n v="0"/>
    <n v="0"/>
    <n v="0"/>
    <n v="0"/>
    <n v="0"/>
    <n v="0"/>
    <n v="0"/>
    <n v="0"/>
    <n v="0"/>
    <n v="0"/>
    <n v="0"/>
    <n v="0"/>
    <m/>
    <n v="0"/>
    <m/>
    <n v="0"/>
    <m/>
    <n v="0"/>
    <m/>
    <m/>
    <n v="0"/>
    <n v="0"/>
    <n v="0"/>
    <n v="0"/>
    <m/>
    <n v="0"/>
    <n v="0"/>
    <n v="0"/>
    <n v="0"/>
    <n v="0"/>
    <x v="2"/>
    <m/>
    <x v="9"/>
    <x v="5"/>
    <s v="EXCLU"/>
    <x v="4"/>
    <s v=""/>
  </r>
  <r>
    <s v="Doume"/>
    <s v="EST_020"/>
    <s v="CENTRE"/>
    <s v="IHS"/>
    <s v="Grid-Gen-Lithium"/>
    <s v="EST"/>
    <s v="Doume"/>
    <s v="ZTE"/>
    <n v="0"/>
    <n v="0"/>
    <n v="0"/>
    <n v="0"/>
    <n v="0"/>
    <n v="0"/>
    <n v="0"/>
    <n v="0"/>
    <n v="0"/>
    <n v="0"/>
    <n v="0"/>
    <n v="0"/>
    <n v="0"/>
    <n v="0"/>
    <n v="0"/>
    <n v="0"/>
    <n v="0"/>
    <n v="0"/>
    <n v="0"/>
    <n v="0"/>
    <n v="0"/>
    <n v="0"/>
    <n v="0"/>
    <n v="0"/>
    <m/>
    <n v="0"/>
    <m/>
    <n v="0"/>
    <m/>
    <n v="0"/>
    <m/>
    <m/>
    <n v="0"/>
    <n v="0"/>
    <n v="0"/>
    <n v="0"/>
    <m/>
    <n v="0"/>
    <n v="0"/>
    <n v="0"/>
    <n v="0"/>
    <n v="0"/>
    <x v="2"/>
    <m/>
    <x v="9"/>
    <x v="5"/>
    <s v="EXCLU"/>
    <x v="4"/>
    <s v=""/>
  </r>
  <r>
    <s v="Matomb"/>
    <s v="CTR_005"/>
    <s v="CENTRE"/>
    <s v="IHS"/>
    <s v="Grid-Gen"/>
    <s v="CENTRE"/>
    <s v="Matomb"/>
    <s v="ZTE"/>
    <n v="0"/>
    <n v="0"/>
    <n v="0"/>
    <n v="0"/>
    <n v="0"/>
    <n v="0"/>
    <n v="0"/>
    <n v="0"/>
    <n v="0"/>
    <n v="0"/>
    <n v="0"/>
    <n v="3.06383459891049"/>
    <n v="0"/>
    <n v="0"/>
    <n v="0"/>
    <n v="0"/>
    <n v="0"/>
    <n v="0"/>
    <n v="0"/>
    <n v="0"/>
    <n v="0"/>
    <n v="0"/>
    <n v="0"/>
    <n v="0"/>
    <m/>
    <n v="0"/>
    <m/>
    <n v="0"/>
    <m/>
    <n v="0"/>
    <m/>
    <m/>
    <n v="0"/>
    <n v="0"/>
    <n v="0"/>
    <n v="0"/>
    <m/>
    <n v="0"/>
    <n v="0"/>
    <n v="0"/>
    <n v="0"/>
    <n v="0"/>
    <x v="2"/>
    <m/>
    <x v="9"/>
    <x v="5"/>
    <s v="EXCLU"/>
    <x v="4"/>
    <s v=""/>
  </r>
  <r>
    <s v="Mbakwa-Supe-MTN"/>
    <s v="SUO_049"/>
    <s v="SUD-OUEST"/>
    <s v="IHS"/>
    <s v="Vandalized"/>
    <s v="SUD-OUEST"/>
    <s v="Mbakwa"/>
    <s v="Huawei"/>
    <n v="0"/>
    <n v="0"/>
    <n v="0"/>
    <n v="0"/>
    <n v="0"/>
    <n v="0"/>
    <n v="0"/>
    <n v="0"/>
    <n v="0"/>
    <n v="0"/>
    <n v="0"/>
    <n v="0"/>
    <n v="0"/>
    <n v="0"/>
    <n v="0"/>
    <n v="0"/>
    <n v="0"/>
    <n v="0"/>
    <n v="0"/>
    <n v="0"/>
    <n v="0"/>
    <n v="0"/>
    <n v="0"/>
    <n v="0"/>
    <m/>
    <n v="0"/>
    <m/>
    <n v="0"/>
    <m/>
    <n v="0"/>
    <m/>
    <m/>
    <n v="0"/>
    <n v="0"/>
    <n v="0"/>
    <n v="0"/>
    <m/>
    <n v="0"/>
    <n v="0"/>
    <n v="0"/>
    <n v="0"/>
    <n v="0"/>
    <x v="2"/>
    <m/>
    <x v="9"/>
    <x v="5"/>
    <s v="EXCLU"/>
    <x v="4"/>
    <s v=""/>
  </r>
  <r>
    <s v="Boumnyebel"/>
    <s v="CTR_058"/>
    <s v="CENTRE"/>
    <s v="IHS"/>
    <s v="Grid-Gen"/>
    <s v="CENTRE"/>
    <s v="Boumnyebel"/>
    <s v="ZTE"/>
    <n v="0"/>
    <n v="0"/>
    <n v="0"/>
    <n v="0"/>
    <n v="0"/>
    <n v="0"/>
    <n v="0"/>
    <n v="0"/>
    <n v="0"/>
    <n v="0"/>
    <n v="0"/>
    <n v="0"/>
    <n v="0"/>
    <n v="0"/>
    <n v="0"/>
    <n v="0"/>
    <n v="0"/>
    <n v="0"/>
    <n v="0"/>
    <n v="0"/>
    <n v="0"/>
    <n v="0"/>
    <n v="0"/>
    <n v="0"/>
    <m/>
    <n v="0"/>
    <m/>
    <n v="0"/>
    <m/>
    <n v="0"/>
    <m/>
    <m/>
    <n v="0"/>
    <n v="0"/>
    <n v="0"/>
    <n v="0"/>
    <m/>
    <n v="0"/>
    <n v="0"/>
    <n v="0"/>
    <n v="0"/>
    <n v="0"/>
    <x v="2"/>
    <m/>
    <x v="9"/>
    <x v="5"/>
    <s v="EXCLU"/>
    <x v="4"/>
    <s v=""/>
  </r>
  <r>
    <s v="Loum-Camtel"/>
    <s v="LIT_086"/>
    <s v="LITTORAL"/>
    <s v="CAMUSAT"/>
    <s v="Medium Grid + Solar + GE"/>
    <s v="LITTORAL"/>
    <s v="Loum"/>
    <s v="ZTE"/>
    <n v="0"/>
    <n v="0"/>
    <n v="0"/>
    <n v="0"/>
    <n v="0"/>
    <n v="0"/>
    <n v="0"/>
    <n v="0"/>
    <n v="0"/>
    <n v="0"/>
    <n v="0"/>
    <n v="0"/>
    <n v="0"/>
    <n v="0"/>
    <n v="0"/>
    <n v="0"/>
    <n v="0"/>
    <n v="0"/>
    <n v="0"/>
    <n v="0"/>
    <n v="0"/>
    <n v="0"/>
    <n v="0"/>
    <n v="0"/>
    <m/>
    <n v="0"/>
    <m/>
    <n v="0"/>
    <m/>
    <n v="0"/>
    <m/>
    <m/>
    <n v="0"/>
    <n v="0"/>
    <n v="0"/>
    <n v="0"/>
    <m/>
    <n v="0"/>
    <n v="0"/>
    <n v="0"/>
    <n v="0"/>
    <n v="0"/>
    <x v="2"/>
    <m/>
    <x v="9"/>
    <x v="5"/>
    <s v="EXCLU"/>
    <x v="4"/>
    <s v=""/>
  </r>
  <r>
    <s v="H-ville"/>
    <s v="CTR_077"/>
    <s v="Yaounde"/>
    <s v="IHS"/>
    <s v="Grid Only"/>
    <s v="CENTRE"/>
    <s v="Yaounde"/>
    <s v="NOKIA"/>
    <n v="0"/>
    <n v="0"/>
    <n v="0"/>
    <n v="0"/>
    <n v="0"/>
    <n v="0"/>
    <n v="0"/>
    <n v="0"/>
    <n v="0"/>
    <n v="0"/>
    <n v="0"/>
    <n v="0"/>
    <n v="0"/>
    <n v="0"/>
    <n v="0"/>
    <n v="0"/>
    <n v="0"/>
    <n v="0"/>
    <n v="0"/>
    <n v="0"/>
    <n v="0"/>
    <n v="0"/>
    <n v="0"/>
    <n v="0"/>
    <m/>
    <n v="0"/>
    <m/>
    <n v="0"/>
    <m/>
    <n v="0"/>
    <m/>
    <m/>
    <n v="0"/>
    <n v="0"/>
    <n v="0"/>
    <n v="0"/>
    <m/>
    <n v="0"/>
    <n v="0"/>
    <n v="0"/>
    <n v="0"/>
    <n v="0"/>
    <x v="2"/>
    <m/>
    <x v="9"/>
    <x v="5"/>
    <s v="EXCLU"/>
    <x v="4"/>
    <s v=""/>
  </r>
  <r>
    <s v="Kotto-Logpom"/>
    <s v="LIT_612"/>
    <s v="Douala"/>
    <s v="CAMUSAT"/>
    <s v="Good Grid no GE - 8h"/>
    <s v="LITTORAL"/>
    <s v="Douala"/>
    <s v="ZTE"/>
    <n v="0"/>
    <n v="0"/>
    <n v="0"/>
    <n v="0"/>
    <n v="0"/>
    <n v="0"/>
    <n v="0"/>
    <n v="0"/>
    <n v="0"/>
    <n v="0"/>
    <n v="0"/>
    <n v="0"/>
    <n v="0"/>
    <n v="0"/>
    <n v="0"/>
    <n v="0"/>
    <n v="0"/>
    <n v="0"/>
    <n v="0"/>
    <n v="0"/>
    <n v="0"/>
    <n v="0"/>
    <n v="0"/>
    <n v="0"/>
    <m/>
    <n v="0"/>
    <m/>
    <n v="0"/>
    <m/>
    <n v="0"/>
    <m/>
    <m/>
    <n v="0"/>
    <n v="0"/>
    <n v="0"/>
    <n v="0"/>
    <m/>
    <n v="0"/>
    <n v="0"/>
    <n v="0"/>
    <n v="0"/>
    <n v="0"/>
    <x v="2"/>
    <m/>
    <x v="9"/>
    <x v="5"/>
    <s v="EXCLU"/>
    <x v="4"/>
    <s v=""/>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7:C14" firstHeaderRow="1" firstDataRow="1" firstDataCol="1" rowPageCount="1" colPageCount="1"/>
  <pivotFields count="57">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2"/>
        <item t="data" h="1" sd="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9">
        <item t="data" sd="1" x="6"/>
        <item t="data" sd="1" x="2"/>
        <item t="data" sd="1" x="4"/>
        <item t="data" sd="1" x="1"/>
        <item t="data" sd="1" x="0"/>
        <item t="data" sd="1" x="5"/>
        <item t="data" sd="1" x="3"/>
        <item t="data" sd="1" m="1" x="7"/>
        <item t="default" sd="1"/>
      </items>
    </pivotField>
    <pivotField showDropDowns="1" compact="1" outline="1" subtotalTop="1" dragToRow="1" dragToCol="1" dragToPage="1" dragToData="1" dragOff="1" showAll="0" topAutoShow="1" itemPageCount="10" sortType="manual" defaultSubtotal="1"/>
  </pivotFields>
  <rowFields count="1">
    <field x="55"/>
  </rowFields>
  <rowItems count="7">
    <i t="data" r="0" i="0">
      <x v="0"/>
    </i>
    <i t="data" r="0" i="0">
      <x v="1"/>
    </i>
    <i t="data" r="0" i="0">
      <x v="3"/>
    </i>
    <i t="data" r="0" i="0">
      <x v="4"/>
    </i>
    <i t="data" r="0" i="0">
      <x v="5"/>
    </i>
    <i t="data" r="0" i="0">
      <x v="6"/>
    </i>
    <i t="grand" r="0" i="0">
      <x v="0"/>
    </i>
  </rowItems>
  <colItems count="1">
    <i t="data" r="0" i="0"/>
  </colItems>
  <pageFields count="1">
    <pageField fld="50" hier="-1"/>
  </pageFields>
  <dataFields count="1">
    <dataField name="Sum of NUR  DU JOUR 05/25/2026" fld="49" subtotal="sum" showDataAs="normal" baseField="0" baseItem="0"/>
  </dataFields>
  <formats count="24">
    <format action="formatting" dxfId="74">
      <pivotArea type="all" dataOnly="0" outline="0" fieldPosition="0"/>
    </format>
    <format action="formatting" dxfId="73">
      <pivotArea type="normal" dataOnly="1" outline="0" collapsedLevelsAreSubtotals="1" fieldPosition="0"/>
    </format>
    <format action="formatting" dxfId="72">
      <pivotArea field="55" type="button" dataOnly="0" labelOnly="1" outline="0" axis="axisRow" fieldPosition="0"/>
    </format>
    <format action="formatting" dxfId="71">
      <pivotArea type="normal" dataOnly="0" labelOnly="1" outline="1" fieldPosition="0">
        <references count="1">
          <reference field="55">
            <x v="0"/>
            <x v="1"/>
            <x v="3"/>
            <x v="4"/>
            <x v="6"/>
          </reference>
        </references>
      </pivotArea>
    </format>
    <format action="formatting" dxfId="70">
      <pivotArea type="normal" dataOnly="0" labelOnly="1" grandRow="1" outline="0" fieldPosition="0"/>
    </format>
    <format action="formatting" dxfId="69">
      <pivotArea type="normal" dataOnly="0" labelOnly="1" outline="0" axis="axisValues" fieldPosition="0"/>
    </format>
    <format action="formatting" dxfId="68">
      <pivotArea type="all" dataOnly="0" outline="0" fieldPosition="0"/>
    </format>
    <format action="formatting" dxfId="67">
      <pivotArea type="normal" dataOnly="1" outline="0" collapsedLevelsAreSubtotals="1" fieldPosition="0"/>
    </format>
    <format action="formatting" dxfId="66">
      <pivotArea field="55" type="button" dataOnly="0" labelOnly="1" outline="0" axis="axisRow" fieldPosition="0"/>
    </format>
    <format action="formatting" dxfId="65">
      <pivotArea type="normal" dataOnly="0" labelOnly="1" outline="1" fieldPosition="0">
        <references count="1">
          <reference field="55">
            <x v="0"/>
            <x v="1"/>
            <x v="3"/>
            <x v="4"/>
            <x v="6"/>
          </reference>
        </references>
      </pivotArea>
    </format>
    <format action="formatting" dxfId="64">
      <pivotArea type="normal" dataOnly="0" labelOnly="1" grandRow="1" outline="0" fieldPosition="0"/>
    </format>
    <format action="formatting" dxfId="63">
      <pivotArea type="normal" dataOnly="0" labelOnly="1" outline="0" axis="axisValues" fieldPosition="0"/>
    </format>
    <format action="formatting" dxfId="62">
      <pivotArea type="all" dataOnly="0" outline="0" fieldPosition="0"/>
    </format>
    <format action="formatting" dxfId="61">
      <pivotArea type="normal" dataOnly="1" outline="0" collapsedLevelsAreSubtotals="1" fieldPosition="0"/>
    </format>
    <format action="formatting" dxfId="60">
      <pivotArea field="55" type="button" dataOnly="0" labelOnly="1" outline="0" axis="axisRow" fieldPosition="0"/>
    </format>
    <format action="formatting" dxfId="59">
      <pivotArea type="normal" dataOnly="0" labelOnly="1" outline="1" fieldPosition="0">
        <references count="1">
          <reference field="55">
            <x v="0"/>
            <x v="1"/>
            <x v="3"/>
            <x v="4"/>
            <x v="6"/>
          </reference>
        </references>
      </pivotArea>
    </format>
    <format action="formatting" dxfId="58">
      <pivotArea type="normal" dataOnly="0" labelOnly="1" grandRow="1" outline="0" fieldPosition="0"/>
    </format>
    <format action="formatting" dxfId="57">
      <pivotArea type="normal" dataOnly="0" labelOnly="1" outline="0" axis="axisValues" fieldPosition="0"/>
    </format>
    <format action="formatting" dxfId="56">
      <pivotArea type="all" dataOnly="0" outline="0" fieldPosition="0"/>
    </format>
    <format action="formatting" dxfId="55">
      <pivotArea type="normal" dataOnly="1" outline="0" collapsedLevelsAreSubtotals="1" fieldPosition="0"/>
    </format>
    <format action="formatting" dxfId="54">
      <pivotArea field="55" type="button" dataOnly="0" labelOnly="1" outline="0" axis="axisRow" fieldPosition="0"/>
    </format>
    <format action="formatting" dxfId="53">
      <pivotArea type="normal" dataOnly="0" labelOnly="1" outline="1" fieldPosition="0">
        <references count="1">
          <reference field="55">
            <x v="0"/>
            <x v="1"/>
            <x v="3"/>
            <x v="4"/>
            <x v="6"/>
          </reference>
        </references>
      </pivotArea>
    </format>
    <format action="formatting" dxfId="52">
      <pivotArea type="normal" dataOnly="0" labelOnly="1" grandRow="1" outline="0" fieldPosition="0"/>
    </format>
    <format action="formatting" dxfId="51">
      <pivotArea type="normal" dataOnly="0" labelOnly="1" outline="0" axis="axisValues" fieldPosition="0"/>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3" cacheId="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I3:J18" firstHeaderRow="1" firstDataRow="1" firstDataCol="1" rowPageCount="1" colPageCount="1"/>
  <pivotFields count="57">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2"/>
        <item t="data" h="1" sd="1" x="1"/>
        <item t="data" sd="1" x="0"/>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0">
        <item t="data" sd="1" x="13"/>
        <item t="data" sd="1" x="0"/>
        <item t="data" sd="1" x="3"/>
        <item t="data" sd="1" x="11"/>
        <item t="data" sd="1" x="7"/>
        <item t="data" sd="1" x="9"/>
        <item t="data" sd="1" x="12"/>
        <item t="data" sd="1" x="4"/>
        <item t="data" sd="1" x="1"/>
        <item t="data" sd="1" x="2"/>
        <item t="data" sd="1" x="6"/>
        <item t="data" sd="1" x="5"/>
        <item t="data" sd="1" x="8"/>
        <item t="data" sd="1" x="15"/>
        <item t="data" sd="1" m="1" x="18"/>
        <item t="data" sd="1" m="1" x="17"/>
        <item t="data" sd="1" x="10"/>
        <item t="data" sd="1" m="1" x="16"/>
        <item t="data" sd="1" x="1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2"/>
  </rowFields>
  <rowItems count="15">
    <i t="data" r="0" i="0">
      <x v="0"/>
    </i>
    <i t="data" r="0" i="0">
      <x v="1"/>
    </i>
    <i t="data" r="0" i="0">
      <x v="2"/>
    </i>
    <i t="data" r="0" i="0">
      <x v="3"/>
    </i>
    <i t="data" r="0" i="0">
      <x v="4"/>
    </i>
    <i t="data" r="0" i="0">
      <x v="6"/>
    </i>
    <i t="data" r="0" i="0">
      <x v="7"/>
    </i>
    <i t="data" r="0" i="0">
      <x v="8"/>
    </i>
    <i t="data" r="0" i="0">
      <x v="9"/>
    </i>
    <i t="data" r="0" i="0">
      <x v="10"/>
    </i>
    <i t="data" r="0" i="0">
      <x v="11"/>
    </i>
    <i t="data" r="0" i="0">
      <x v="12"/>
    </i>
    <i t="data" r="0" i="0">
      <x v="16"/>
    </i>
    <i t="data" r="0" i="0">
      <x v="18"/>
    </i>
    <i t="grand" r="0" i="0">
      <x v="0"/>
    </i>
  </rowItems>
  <colItems count="1">
    <i t="data" r="0" i="0"/>
  </colItems>
  <pageFields count="1">
    <pageField fld="50" hier="-1"/>
  </pageFields>
  <dataFields count="1">
    <dataField name="Sum of NUR  DU JOUR 05/25/2026" fld="49" subtotal="sum" showDataAs="normal" baseField="0" baseItem="0"/>
  </dataFields>
  <formats count="24">
    <format action="formatting" dxfId="50">
      <pivotArea type="all" dataOnly="0" outline="0" fieldPosition="0"/>
    </format>
    <format action="formatting" dxfId="49">
      <pivotArea type="normal" dataOnly="1" outline="0" collapsedLevelsAreSubtotals="1" fieldPosition="0"/>
    </format>
    <format action="formatting" dxfId="48">
      <pivotArea field="52" type="button" dataOnly="0" labelOnly="1" outline="0" axis="axisRow" fieldPosition="0"/>
    </format>
    <format action="formatting" dxfId="47">
      <pivotArea type="normal" dataOnly="0" labelOnly="1" outline="1" fieldPosition="0">
        <references count="1">
          <reference field="52">
            <x v="0"/>
            <x v="1"/>
            <x v="2"/>
            <x v="3"/>
            <x v="4"/>
            <x v="6"/>
            <x v="7"/>
            <x v="8"/>
            <x v="9"/>
            <x v="10"/>
            <x v="11"/>
            <x v="12"/>
            <x v="17"/>
          </reference>
        </references>
      </pivotArea>
    </format>
    <format action="formatting" dxfId="46">
      <pivotArea type="normal" dataOnly="0" labelOnly="1" grandRow="1" outline="0" fieldPosition="0"/>
    </format>
    <format action="formatting" dxfId="45">
      <pivotArea type="normal" dataOnly="0" labelOnly="1" outline="0" axis="axisValues" fieldPosition="0"/>
    </format>
    <format action="formatting" dxfId="44">
      <pivotArea type="all" dataOnly="0" outline="0" fieldPosition="0"/>
    </format>
    <format action="formatting" dxfId="43">
      <pivotArea type="normal" dataOnly="1" outline="0" collapsedLevelsAreSubtotals="1" fieldPosition="0"/>
    </format>
    <format action="formatting" dxfId="42">
      <pivotArea field="52" type="button" dataOnly="0" labelOnly="1" outline="0" axis="axisRow" fieldPosition="0"/>
    </format>
    <format action="formatting" dxfId="41">
      <pivotArea type="normal" dataOnly="0" labelOnly="1" outline="1" fieldPosition="0">
        <references count="1">
          <reference field="52">
            <x v="0"/>
            <x v="1"/>
            <x v="2"/>
            <x v="3"/>
            <x v="4"/>
            <x v="6"/>
            <x v="7"/>
            <x v="8"/>
            <x v="9"/>
            <x v="10"/>
            <x v="11"/>
            <x v="12"/>
            <x v="17"/>
          </reference>
        </references>
      </pivotArea>
    </format>
    <format action="formatting" dxfId="40">
      <pivotArea type="normal" dataOnly="0" labelOnly="1" grandRow="1" outline="0" fieldPosition="0"/>
    </format>
    <format action="formatting" dxfId="39">
      <pivotArea type="normal" dataOnly="0" labelOnly="1" outline="0" axis="axisValues" fieldPosition="0"/>
    </format>
    <format action="formatting" dxfId="38">
      <pivotArea type="all" dataOnly="0" outline="0" fieldPosition="0"/>
    </format>
    <format action="formatting" dxfId="37">
      <pivotArea type="normal" dataOnly="1" outline="0" collapsedLevelsAreSubtotals="1" fieldPosition="0"/>
    </format>
    <format action="formatting" dxfId="36">
      <pivotArea field="52" type="button" dataOnly="0" labelOnly="1" outline="0" axis="axisRow" fieldPosition="0"/>
    </format>
    <format action="formatting" dxfId="35">
      <pivotArea type="normal" dataOnly="0" labelOnly="1" outline="1" fieldPosition="0">
        <references count="1">
          <reference field="52">
            <x v="0"/>
            <x v="1"/>
            <x v="2"/>
            <x v="3"/>
            <x v="4"/>
            <x v="6"/>
            <x v="7"/>
            <x v="8"/>
            <x v="9"/>
            <x v="10"/>
            <x v="11"/>
            <x v="12"/>
            <x v="17"/>
          </reference>
        </references>
      </pivotArea>
    </format>
    <format action="formatting" dxfId="34">
      <pivotArea type="normal" dataOnly="0" labelOnly="1" grandRow="1" outline="0" fieldPosition="0"/>
    </format>
    <format action="formatting" dxfId="33">
      <pivotArea type="normal" dataOnly="0" labelOnly="1" outline="0" axis="axisValues" fieldPosition="0"/>
    </format>
    <format action="formatting" dxfId="32">
      <pivotArea type="all" dataOnly="0" outline="0" fieldPosition="0"/>
    </format>
    <format action="formatting" dxfId="31">
      <pivotArea type="normal" dataOnly="1" outline="0" collapsedLevelsAreSubtotals="1" fieldPosition="0"/>
    </format>
    <format action="formatting" dxfId="30">
      <pivotArea field="52" type="button" dataOnly="0" labelOnly="1" outline="0" axis="axisRow" fieldPosition="0"/>
    </format>
    <format action="formatting" dxfId="29">
      <pivotArea type="normal" dataOnly="0" labelOnly="1" outline="1" fieldPosition="0">
        <references count="1">
          <reference field="52">
            <x v="0"/>
            <x v="1"/>
            <x v="2"/>
            <x v="3"/>
            <x v="4"/>
            <x v="6"/>
            <x v="7"/>
            <x v="8"/>
            <x v="9"/>
            <x v="10"/>
            <x v="11"/>
            <x v="12"/>
            <x v="17"/>
          </reference>
        </references>
      </pivotArea>
    </format>
    <format action="formatting" dxfId="28">
      <pivotArea type="normal" dataOnly="0" labelOnly="1" grandRow="1" outline="0" fieldPosition="0"/>
    </format>
    <format action="formatting" dxfId="27">
      <pivotArea type="normal" dataOnly="0" labelOnly="1" outline="0" axis="axisValues" fieldPosition="0"/>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2" cacheId="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F5:G14" firstHeaderRow="1" firstDataRow="1" firstDataCol="1" rowPageCount="1" colPageCount="1"/>
  <pivotFields count="57">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dataField="1" showDropDowns="1" compact="1" numFmtId="2"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4">
        <item t="data" h="1" sd="1" x="2"/>
        <item t="data" h="1" sd="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sd="1" x="8"/>
        <item t="data" sd="1" x="3"/>
        <item t="data" sd="1" x="5"/>
        <item t="data" sd="1" x="1"/>
        <item t="data" sd="1" x="0"/>
        <item t="data" sd="1" x="7"/>
        <item t="data" sd="1" x="4"/>
        <item t="data" sd="1" m="1" x="11"/>
        <item t="data" sd="1" x="9"/>
        <item t="data" sd="1" x="2"/>
        <item t="data" sd="1" m="1" x="10"/>
        <item t="data" sd="1" x="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3"/>
  </rowFields>
  <rowItems count="9">
    <i t="data" r="0" i="0">
      <x v="0"/>
    </i>
    <i t="data" r="0" i="0">
      <x v="1"/>
    </i>
    <i t="data" r="0" i="0">
      <x v="3"/>
    </i>
    <i t="data" r="0" i="0">
      <x v="4"/>
    </i>
    <i t="data" r="0" i="0">
      <x v="5"/>
    </i>
    <i t="data" r="0" i="0">
      <x v="6"/>
    </i>
    <i t="data" r="0" i="0">
      <x v="9"/>
    </i>
    <i t="data" r="0" i="0">
      <x v="11"/>
    </i>
    <i t="grand" r="0" i="0">
      <x v="0"/>
    </i>
  </rowItems>
  <colItems count="1">
    <i t="data" r="0" i="0"/>
  </colItems>
  <pageFields count="1">
    <pageField fld="50" hier="-1"/>
  </pageFields>
  <dataFields count="1">
    <dataField name="Sum of NUR  DU JOUR 05/25/2026" fld="49" subtotal="sum" showDataAs="normal" baseField="0" baseItem="0"/>
  </dataFields>
  <formats count="24">
    <format action="formatting" dxfId="26">
      <pivotArea type="all" dataOnly="0" outline="0" fieldPosition="0"/>
    </format>
    <format action="formatting" dxfId="25">
      <pivotArea type="normal" dataOnly="1" outline="0" collapsedLevelsAreSubtotals="1" fieldPosition="0"/>
    </format>
    <format action="formatting" dxfId="24">
      <pivotArea field="53" type="button" dataOnly="0" labelOnly="1" outline="0" axis="axisRow" fieldPosition="0"/>
    </format>
    <format action="formatting" dxfId="23">
      <pivotArea type="normal" dataOnly="0" labelOnly="1" outline="1" fieldPosition="0">
        <references count="1">
          <reference field="53">
            <x v="0"/>
            <x v="1"/>
            <x v="3"/>
            <x v="4"/>
            <x v="5"/>
            <x v="6"/>
            <x v="9"/>
          </reference>
        </references>
      </pivotArea>
    </format>
    <format action="formatting" dxfId="22">
      <pivotArea type="normal" dataOnly="0" labelOnly="1" grandRow="1" outline="0" fieldPosition="0"/>
    </format>
    <format action="formatting" dxfId="21">
      <pivotArea type="normal" dataOnly="0" labelOnly="1" outline="0" axis="axisValues" fieldPosition="0"/>
    </format>
    <format action="formatting" dxfId="20">
      <pivotArea type="all" dataOnly="0" outline="0" fieldPosition="0"/>
    </format>
    <format action="formatting" dxfId="19">
      <pivotArea type="normal" dataOnly="1" outline="0" collapsedLevelsAreSubtotals="1" fieldPosition="0"/>
    </format>
    <format action="formatting" dxfId="18">
      <pivotArea field="53" type="button" dataOnly="0" labelOnly="1" outline="0" axis="axisRow" fieldPosition="0"/>
    </format>
    <format action="formatting" dxfId="17">
      <pivotArea type="normal" dataOnly="0" labelOnly="1" outline="1" fieldPosition="0">
        <references count="1">
          <reference field="53">
            <x v="0"/>
            <x v="1"/>
            <x v="3"/>
            <x v="4"/>
            <x v="5"/>
            <x v="6"/>
            <x v="9"/>
          </reference>
        </references>
      </pivotArea>
    </format>
    <format action="formatting" dxfId="16">
      <pivotArea type="normal" dataOnly="0" labelOnly="1" grandRow="1" outline="0" fieldPosition="0"/>
    </format>
    <format action="formatting" dxfId="15">
      <pivotArea type="normal" dataOnly="0" labelOnly="1" outline="0" axis="axisValues" fieldPosition="0"/>
    </format>
    <format action="formatting" dxfId="14">
      <pivotArea type="all" dataOnly="0" outline="0" fieldPosition="0"/>
    </format>
    <format action="formatting" dxfId="13">
      <pivotArea type="normal" dataOnly="1" outline="0" collapsedLevelsAreSubtotals="1" fieldPosition="0"/>
    </format>
    <format action="formatting" dxfId="12">
      <pivotArea field="53" type="button" dataOnly="0" labelOnly="1" outline="0" axis="axisRow" fieldPosition="0"/>
    </format>
    <format action="formatting" dxfId="11">
      <pivotArea type="normal" dataOnly="0" labelOnly="1" outline="1" fieldPosition="0">
        <references count="1">
          <reference field="53">
            <x v="0"/>
            <x v="1"/>
            <x v="3"/>
            <x v="4"/>
            <x v="5"/>
            <x v="6"/>
            <x v="9"/>
          </reference>
        </references>
      </pivotArea>
    </format>
    <format action="formatting" dxfId="10">
      <pivotArea type="normal" dataOnly="0" labelOnly="1" grandRow="1" outline="0" fieldPosition="0"/>
    </format>
    <format action="formatting" dxfId="9">
      <pivotArea type="normal" dataOnly="0" labelOnly="1" outline="0" axis="axisValues" fieldPosition="0"/>
    </format>
    <format action="formatting" dxfId="8">
      <pivotArea type="all" dataOnly="0" outline="0" fieldPosition="0"/>
    </format>
    <format action="formatting" dxfId="7">
      <pivotArea type="normal" dataOnly="1" outline="0" collapsedLevelsAreSubtotals="1" fieldPosition="0"/>
    </format>
    <format action="formatting" dxfId="6">
      <pivotArea field="53" type="button" dataOnly="0" labelOnly="1" outline="0" axis="axisRow" fieldPosition="0"/>
    </format>
    <format action="formatting" dxfId="5">
      <pivotArea type="normal" dataOnly="0" labelOnly="1" outline="1" fieldPosition="0">
        <references count="1">
          <reference field="53">
            <x v="0"/>
            <x v="1"/>
            <x v="3"/>
            <x v="4"/>
            <x v="5"/>
            <x v="6"/>
            <x v="9"/>
          </reference>
        </references>
      </pivotArea>
    </format>
    <format action="formatting" dxfId="4">
      <pivotArea type="normal" dataOnly="0" labelOnly="1" grandRow="1" outline="0" fieldPosition="0"/>
    </format>
    <format action="formatting" dxfId="3">
      <pivotArea type="normal" dataOnly="0" labelOnly="1" outline="0" axis="axisValues"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 Type="http://schemas.openxmlformats.org/officeDocument/2006/relationships/pivotTable" Target="/xl/pivotTables/pivotTable2.xml" Id="rId3"/><Relationship Type="http://schemas.openxmlformats.org/officeDocument/2006/relationships/pivotTable" Target="/xl/pivotTables/pivotTable3.xml" Id="rId4"/></Relationships>
</file>

<file path=xl/worksheets/sheet1.xml><?xml version="1.0" encoding="utf-8"?>
<worksheet xmlns="http://schemas.openxmlformats.org/spreadsheetml/2006/main">
  <sheetPr>
    <outlinePr summaryBelow="1" summaryRight="1"/>
    <pageSetUpPr/>
  </sheetPr>
  <dimension ref="A1:AR2462"/>
  <sheetViews>
    <sheetView workbookViewId="0">
      <selection activeCell="A1" sqref="A1"/>
    </sheetView>
  </sheetViews>
  <sheetFormatPr baseColWidth="8" defaultRowHeight="15"/>
  <sheetData>
    <row r="1">
      <c r="A1" s="55" t="inlineStr">
        <is>
          <t>Nom du Physique</t>
        </is>
      </c>
      <c r="B1" s="55" t="inlineStr">
        <is>
          <t>Codesite</t>
        </is>
      </c>
      <c r="C1" s="55" t="inlineStr">
        <is>
          <t>CLUSTER</t>
        </is>
      </c>
      <c r="D1" s="55" t="inlineStr">
        <is>
          <t>Owner</t>
        </is>
      </c>
      <c r="E1" s="55" t="inlineStr">
        <is>
          <t>Topology</t>
        </is>
      </c>
      <c r="F1" s="55" t="inlineStr">
        <is>
          <t>Region</t>
        </is>
      </c>
      <c r="G1" s="55" t="inlineStr">
        <is>
          <t>Ville</t>
        </is>
      </c>
      <c r="H1" s="55" t="inlineStr">
        <is>
          <t>Equipementiers</t>
        </is>
      </c>
      <c r="I1" s="55" t="inlineStr">
        <is>
          <t>NUR  DU JOUR 05/14/2026</t>
        </is>
      </c>
      <c r="J1" s="55" t="inlineStr">
        <is>
          <t>NUR  DU JOUR 05/18/2026</t>
        </is>
      </c>
      <c r="K1" s="55" t="inlineStr">
        <is>
          <t>NUR  DU JOUR 05/20/2026</t>
        </is>
      </c>
      <c r="L1" s="55" t="inlineStr">
        <is>
          <t>NUR  DU JOUR 05/21/2026</t>
        </is>
      </c>
      <c r="M1" s="55" t="inlineStr">
        <is>
          <t>NUR  DU JOUR 05/24/2026</t>
        </is>
      </c>
      <c r="N1" s="55" t="inlineStr">
        <is>
          <t>NUR 2G</t>
        </is>
      </c>
      <c r="O1" s="55" t="inlineStr">
        <is>
          <t>NUR 3G</t>
        </is>
      </c>
      <c r="P1" s="55" t="inlineStr">
        <is>
          <t>NUR 4G</t>
        </is>
      </c>
      <c r="Q1" s="55" t="inlineStr">
        <is>
          <t>NUR  DU JOUR 05/25/2026</t>
        </is>
      </c>
      <c r="R1" s="55" t="inlineStr">
        <is>
          <t>oprationnel</t>
        </is>
      </c>
      <c r="S1" s="55" t="inlineStr">
        <is>
          <t>Raison d'exclusion</t>
        </is>
      </c>
      <c r="T1" s="55" t="inlineStr">
        <is>
          <t>OCM NOMENCLATURE</t>
        </is>
      </c>
      <c r="U1" s="55" t="inlineStr">
        <is>
          <t>CAUSE</t>
        </is>
      </c>
      <c r="V1" s="55" t="inlineStr">
        <is>
          <t>SUB RCA</t>
        </is>
      </c>
      <c r="W1" s="55" t="inlineStr">
        <is>
          <t>CATEGORIE</t>
        </is>
      </c>
      <c r="X1" s="55" t="inlineStr">
        <is>
          <t>Verifications</t>
        </is>
      </c>
      <c r="Y1" s="55" t="inlineStr">
        <is>
          <t>cleaning comment</t>
        </is>
      </c>
      <c r="Z1" s="55" t="inlineStr">
        <is>
          <t>SITE WITH  GPS ISSUE   || 14/04/2026: hardware issue,  site with GPS issue (alarm : TDD down 09Apr 02pm)</t>
        </is>
      </c>
      <c r="AA1" s="55" t="inlineStr">
        <is>
          <t>INCIDENT 05-25-2026</t>
        </is>
      </c>
      <c r="AB1" s="55" t="inlineStr">
        <is>
          <t>top offenders 05-25-2026</t>
        </is>
      </c>
      <c r="AC1" s="55" t="inlineStr">
        <is>
          <t>RETOUR CAMUSAT 05-25-2026</t>
        </is>
      </c>
      <c r="AD1" s="55" t="inlineStr">
        <is>
          <t>RETOUR IHS 05-25-2026</t>
        </is>
      </c>
      <c r="AE1" s="55" t="inlineStr">
        <is>
          <t>Hourly IHS 05-25-2026</t>
        </is>
      </c>
      <c r="AF1" s="55" t="inlineStr">
        <is>
          <t>cell downs 25052026 8h25 05-25-2026</t>
        </is>
      </c>
      <c r="AG1" s="55" t="inlineStr">
        <is>
          <t>cell downs 25052026 12h46 05-25-2026</t>
        </is>
      </c>
      <c r="AH1" s="55" t="inlineStr">
        <is>
          <t>cell downs 25052026 16h49 05-25-2026</t>
        </is>
      </c>
      <c r="AI1" s="55" t="inlineStr">
        <is>
          <t>cells down 25052026 8h46 05-25-2026</t>
        </is>
      </c>
      <c r="AJ1" s="55" t="inlineStr">
        <is>
          <t>cells down 25052026 12h41 05-25-2026</t>
        </is>
      </c>
      <c r="AK1" s="55" t="inlineStr">
        <is>
          <t>cells down 25052026 16h33 05-25-2026</t>
        </is>
      </c>
      <c r="AL1" s="55" t="inlineStr">
        <is>
          <t>Cells Huawei 25052026 8h 05-25-2026</t>
        </is>
      </c>
      <c r="AM1" s="55" t="inlineStr">
        <is>
          <t>Cells Huawei 25052026 14h 05-25-2026</t>
        </is>
      </c>
      <c r="AN1" s="55" t="inlineStr">
        <is>
          <t>Cells Huawei 25052026 17h 05-25-2026</t>
        </is>
      </c>
      <c r="AO1" s="55" t="inlineStr">
        <is>
          <t>OCM Ran 05-25-2026 22H 05-25-2026</t>
        </is>
      </c>
      <c r="AP1" s="55" t="inlineStr">
        <is>
          <t>OCM Ran 05-25-2026 17H 05-25-2026</t>
        </is>
      </c>
      <c r="AQ1" s="55" t="inlineStr">
        <is>
          <t>Ticket 05-25-2026</t>
        </is>
      </c>
      <c r="AR1" s="55" t="inlineStr">
        <is>
          <t>Dashbord suivi TOP OFFENDERS 05-25-2026</t>
        </is>
      </c>
    </row>
    <row r="2">
      <c r="A2" t="inlineStr">
        <is>
          <t>Oyomabang-II</t>
        </is>
      </c>
      <c r="B2" t="inlineStr">
        <is>
          <t>CTR_865</t>
        </is>
      </c>
      <c r="C2" t="inlineStr">
        <is>
          <t>Yaounde</t>
        </is>
      </c>
      <c r="D2" t="inlineStr">
        <is>
          <t>CAMUSAT</t>
        </is>
      </c>
      <c r="E2" t="inlineStr">
        <is>
          <t>Good Grid + GE</t>
        </is>
      </c>
      <c r="F2" t="inlineStr">
        <is>
          <t>CENTRE</t>
        </is>
      </c>
      <c r="G2" t="inlineStr">
        <is>
          <t>Yaounde</t>
        </is>
      </c>
      <c r="H2" t="inlineStr">
        <is>
          <t>ZTE</t>
        </is>
      </c>
      <c r="I2" t="n">
        <v>38.53026113408269</v>
      </c>
      <c r="J2" t="n">
        <v>59.92227829570848</v>
      </c>
      <c r="K2" t="n">
        <v>59.80297945684341</v>
      </c>
      <c r="L2" t="n">
        <v>13.647045226905</v>
      </c>
      <c r="M2" t="n">
        <v>13.64850770332703</v>
      </c>
      <c r="N2" t="n">
        <v>30.76902709334995</v>
      </c>
      <c r="O2" t="n">
        <v>27.34548988307136</v>
      </c>
      <c r="P2" t="n">
        <v>88.63965059853308</v>
      </c>
      <c r="Q2" t="n">
        <v>59.798574192499</v>
      </c>
      <c r="R2" t="inlineStr">
        <is>
          <t>Operationnel</t>
        </is>
      </c>
      <c r="S2" t="inlineStr"/>
      <c r="T2" t="inlineStr">
        <is>
          <t>Exclu</t>
        </is>
      </c>
      <c r="U2" t="inlineStr">
        <is>
          <t>Exclu</t>
        </is>
      </c>
      <c r="V2" t="inlineStr">
        <is>
          <t>EXCLU</t>
        </is>
      </c>
      <c r="W2" t="inlineStr">
        <is>
          <t>Exclu</t>
        </is>
      </c>
      <c r="X2" t="inlineStr">
        <is>
          <t>{05-25-2026 top offenders}: Power status check Ongoing     ;    {05-25-2026 retour CAMUSAT}: ATS faulty     ;    {05-25-2026 ticket}: INC-20260525-00012917..no power issue u=50v load=54  / no action done..Grid Outage..user:OCM_NOC.CAMUSAT</t>
        </is>
      </c>
      <c r="Y2" t="inlineStr">
        <is>
          <t>ATS faulty .no power issue u=50v load=54 / no action done.Grid Outage.user OCM_NOC.CAMUSAT</t>
        </is>
      </c>
      <c r="Z2" t="inlineStr"/>
      <c r="AA2" t="inlineStr"/>
      <c r="AB2" t="inlineStr">
        <is>
          <t>{05-25-2026 top offenders}: Power status check Ongoing</t>
        </is>
      </c>
      <c r="AC2" t="inlineStr">
        <is>
          <t>{05-25-2026 retour CAMUSAT}: ATS faulty</t>
        </is>
      </c>
      <c r="AD2" t="inlineStr"/>
      <c r="AE2" t="inlineStr"/>
      <c r="AF2" t="inlineStr"/>
      <c r="AG2" t="inlineStr"/>
      <c r="AH2" t="inlineStr"/>
      <c r="AI2" t="inlineStr"/>
      <c r="AJ2" t="inlineStr"/>
      <c r="AK2" t="inlineStr"/>
      <c r="AL2" t="inlineStr"/>
      <c r="AM2" t="inlineStr"/>
      <c r="AN2" t="inlineStr"/>
      <c r="AO2" t="inlineStr"/>
      <c r="AP2" t="inlineStr"/>
      <c r="AQ2" t="inlineStr">
        <is>
          <t>{05-25-2026 ticket}: INC-20260525-00012917..no power issue u=50v load=54  / no action done..Grid Outage..user:OCM_NOC.CAMUSAT</t>
        </is>
      </c>
      <c r="AR2" t="inlineStr"/>
    </row>
    <row r="3">
      <c r="A3" t="inlineStr">
        <is>
          <t>Mini-Ferme</t>
        </is>
      </c>
      <c r="B3" t="inlineStr">
        <is>
          <t>CTR_050</t>
        </is>
      </c>
      <c r="C3" t="inlineStr">
        <is>
          <t>Yaounde</t>
        </is>
      </c>
      <c r="D3" t="inlineStr">
        <is>
          <t>IHS</t>
        </is>
      </c>
      <c r="E3" t="inlineStr">
        <is>
          <t>GridOnly</t>
        </is>
      </c>
      <c r="F3" t="inlineStr">
        <is>
          <t>CENTRE</t>
        </is>
      </c>
      <c r="G3" t="inlineStr">
        <is>
          <t>Yaounde</t>
        </is>
      </c>
      <c r="H3" t="inlineStr">
        <is>
          <t>ZTE</t>
        </is>
      </c>
      <c r="I3" t="n">
        <v>3.510585475682941</v>
      </c>
      <c r="J3" t="n">
        <v>5.525717469530551</v>
      </c>
      <c r="K3" t="n">
        <v>8.273853347144819</v>
      </c>
      <c r="L3" t="n">
        <v>35.03506733098766</v>
      </c>
      <c r="M3" t="n">
        <v>36.76203796446112</v>
      </c>
      <c r="N3" t="n">
        <v>30.25033571933863</v>
      </c>
      <c r="O3" t="n">
        <v>27.24640951885512</v>
      </c>
      <c r="P3" t="n">
        <v>82.11388653590647</v>
      </c>
      <c r="Q3" t="n">
        <v>56.28813139744257</v>
      </c>
      <c r="R3" t="inlineStr">
        <is>
          <t>Operationnel</t>
        </is>
      </c>
      <c r="S3" t="inlineStr"/>
      <c r="T3" t="inlineStr">
        <is>
          <t>ENVTECH</t>
        </is>
      </c>
      <c r="U3" t="inlineStr">
        <is>
          <t>ENVTECH</t>
        </is>
      </c>
      <c r="V3" t="inlineStr">
        <is>
          <t>Sites strategiques, MLL, Pylone, etc.</t>
        </is>
      </c>
      <c r="W3" t="inlineStr">
        <is>
          <t>PASSIVE</t>
        </is>
      </c>
      <c r="X3" t="inlineStr">
        <is>
          <t>{05-25-2026 top offenders}: 23/05/2026 : Attente validation join visiste par IHS 
22/05/2026 : Power issue || Mail sent to IHS || Feedback : No power issue at Mini ferme      ;    {None hourly IHS}: 25-05-2026 16:21:22..6:38:38..Grid outage, no space to deploy MDG, awaiting grid return     ;    {05/25/2026 cell zte}: 23/05/2026 : Attente validation join visiste par IHS 
22/05/2026 : Power issue || Mail sent to IHS || Feedback : No power issue at Mini ferme      ;    {05/25/2026 cell zte}: 23/05/2026 : Attente validation join visiste par IHS 
22/05/2026 : Power issue || Mail sent to IHS || Feedback : No power issue at Mini ferme      ;    {05/25/2026 cell zte}: 23/05/2026 : Attente validation join visiste par IHS 
22/05/2026 : Power issue || Mail sent to IHS || Feedback : No power issue at Mini ferme      ;    {05-25-2026 ocm ran 22H}: 25.05.26: IHS: Grid outage, no space to deploy MDG, awaiting grid return     ;    {05-25-2026 ocm ran 17H}: Power status check Ongoing     ;    {05-25-2026 ticket}: INC-20260525-00016222..user:OCM_NOC.IHS</t>
        </is>
      </c>
      <c r="Y3" t="inlineStr">
        <is>
          <t>23/05/2026 Attente validation join visiste par IHS
22/05/2026 Power issue || Mail sent to IHS || Feedback No power issue at Mini ferme 25-05-2026 16 21 22.6 38 38.Grid outage, no space to deploy MDG, awaiting grid return 23/05/2026 Attente validation join visiste par IHS
22/05/2026 Power issue || Mail sent to IHS || Feedback No power issue at Mini ferme 23/05/2026 Attente validation join visiste par IHS
22/05/2026 Power issue || Mail sent to IHS || Feedback No power issue at Mini ferme 23/05/2026 Attente validation join visiste par IHS
22/05/2026 Power issue || Mail sent to IHS || Feedback No power issue at Mini ferme 25.05.26 IHS Grid outage, no space to deploy MDG, awaiting grid return .user OCM_NOC.IHS</t>
        </is>
      </c>
      <c r="Z3" t="inlineStr"/>
      <c r="AA3" t="inlineStr"/>
      <c r="AB3" t="inlineStr">
        <is>
          <t xml:space="preserve">{05-25-2026 top offenders}: 23/05/2026 : Attente validation join visiste par IHS 
22/05/2026 : Power issue || Mail sent to IHS || Feedback : No power issue at Mini ferme </t>
        </is>
      </c>
      <c r="AC3" t="inlineStr"/>
      <c r="AD3" t="inlineStr"/>
      <c r="AE3" t="inlineStr">
        <is>
          <t>{None hourly IHS}: 25-05-2026 16:21:22..6:38:38..Grid outage, no space to deploy MDG, awaiting grid return</t>
        </is>
      </c>
      <c r="AF3" t="inlineStr"/>
      <c r="AG3" t="inlineStr"/>
      <c r="AH3" t="inlineStr"/>
      <c r="AI3" t="inlineStr">
        <is>
          <t xml:space="preserve">{05/25/2026 cell zte}: 23/05/2026 : Attente validation join visiste par IHS 
22/05/2026 : Power issue || Mail sent to IHS || Feedback : No power issue at Mini ferme </t>
        </is>
      </c>
      <c r="AJ3" t="inlineStr">
        <is>
          <t xml:space="preserve">{05/25/2026 cell zte}: 23/05/2026 : Attente validation join visiste par IHS 
22/05/2026 : Power issue || Mail sent to IHS || Feedback : No power issue at Mini ferme </t>
        </is>
      </c>
      <c r="AK3" t="inlineStr">
        <is>
          <t xml:space="preserve">{05/25/2026 cell zte}: 23/05/2026 : Attente validation join visiste par IHS 
22/05/2026 : Power issue || Mail sent to IHS || Feedback : No power issue at Mini ferme </t>
        </is>
      </c>
      <c r="AL3" t="inlineStr"/>
      <c r="AM3" t="inlineStr"/>
      <c r="AN3" t="inlineStr"/>
      <c r="AO3" t="inlineStr">
        <is>
          <t>{05-25-2026 ocm ran 22H}: 25.05.26: IHS: Grid outage, no space to deploy MDG, awaiting grid return</t>
        </is>
      </c>
      <c r="AP3" t="inlineStr">
        <is>
          <t>{05-25-2026 ocm ran 17H}: Power status check Ongoing</t>
        </is>
      </c>
      <c r="AQ3" t="inlineStr">
        <is>
          <t>{05-25-2026 ticket}: INC-20260525-00016222..user:OCM_NOC.IHS</t>
        </is>
      </c>
      <c r="AR3" t="inlineStr"/>
    </row>
    <row r="4">
      <c r="A4" t="inlineStr">
        <is>
          <t>Missoke-Chefferie</t>
        </is>
      </c>
      <c r="B4" t="inlineStr">
        <is>
          <t>LIT_732</t>
        </is>
      </c>
      <c r="C4" t="inlineStr">
        <is>
          <t>Douala</t>
        </is>
      </c>
      <c r="D4" t="inlineStr">
        <is>
          <t>CAMUSAT</t>
        </is>
      </c>
      <c r="E4" t="inlineStr">
        <is>
          <t>Good Grid no GE - 8h</t>
        </is>
      </c>
      <c r="F4" t="inlineStr">
        <is>
          <t>LITTORAL</t>
        </is>
      </c>
      <c r="G4" t="inlineStr">
        <is>
          <t>Douala</t>
        </is>
      </c>
      <c r="H4" t="inlineStr">
        <is>
          <t>ZTE</t>
        </is>
      </c>
      <c r="I4" t="n">
        <v>0</v>
      </c>
      <c r="J4" t="n">
        <v>0</v>
      </c>
      <c r="K4" t="n">
        <v>0</v>
      </c>
      <c r="L4" t="n">
        <v>0</v>
      </c>
      <c r="M4" t="n">
        <v>21.01776587821351</v>
      </c>
      <c r="N4" t="n">
        <v>24.0819924543082</v>
      </c>
      <c r="O4" t="n">
        <v>20.51914498267661</v>
      </c>
      <c r="P4" t="n">
        <v>70.9177944565924</v>
      </c>
      <c r="Q4" t="n">
        <v>47.31023833371857</v>
      </c>
      <c r="R4" t="inlineStr">
        <is>
          <t>Operationnel</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t="inlineStr">
        <is>
          <t>Brazzaville-II</t>
        </is>
      </c>
      <c r="B5" t="inlineStr">
        <is>
          <t>LIT_694</t>
        </is>
      </c>
      <c r="C5" t="inlineStr">
        <is>
          <t>Douala</t>
        </is>
      </c>
      <c r="D5" t="inlineStr">
        <is>
          <t>CAMUSAT</t>
        </is>
      </c>
      <c r="E5" t="inlineStr">
        <is>
          <t>Good Grid no GE - 8h</t>
        </is>
      </c>
      <c r="F5" t="inlineStr">
        <is>
          <t>LITTORAL</t>
        </is>
      </c>
      <c r="G5" t="inlineStr">
        <is>
          <t>Douala</t>
        </is>
      </c>
      <c r="H5" t="inlineStr">
        <is>
          <t>ZTE</t>
        </is>
      </c>
      <c r="I5" t="n">
        <v>0</v>
      </c>
      <c r="J5" t="n">
        <v>0</v>
      </c>
      <c r="K5" t="n">
        <v>0</v>
      </c>
      <c r="L5" t="n">
        <v>0</v>
      </c>
      <c r="M5" t="n">
        <v>29.21000590697794</v>
      </c>
      <c r="N5" t="n">
        <v>16.32797481305628</v>
      </c>
      <c r="O5" t="n">
        <v>17.40541836245499</v>
      </c>
      <c r="P5" t="n">
        <v>74.24206607174519</v>
      </c>
      <c r="Q5" t="n">
        <v>46.89122100372968</v>
      </c>
      <c r="R5" t="inlineStr">
        <is>
          <t>Operationnel</t>
        </is>
      </c>
      <c r="S5" t="inlineStr"/>
      <c r="T5" t="inlineStr"/>
      <c r="U5" t="inlineStr"/>
      <c r="V5" t="inlineStr"/>
      <c r="W5" t="inlineStr"/>
      <c r="X5" t="inlineStr">
        <is>
          <t>{05-25-2026 top offenders}: 25/05/2026 : Need BO RAN analysis     ;    {05/25/2026 cell zte}: 25/05/2026 : Need BO RAN analysis     ;    {05/25/2026 cell zte}: 25/05/2026 : Need BO RAN analysis     ;    {05-25-2026 ticket}: INC-20260525-00001688..Grid Outage</t>
        </is>
      </c>
      <c r="Y5" t="inlineStr">
        <is>
          <t>25/05/2026 Need BO RAN analysis 25/05/2026 Need BO RAN analysis 25/05/2026 Need BO RAN analysis .Grid Outage</t>
        </is>
      </c>
      <c r="Z5" t="inlineStr"/>
      <c r="AA5" t="inlineStr"/>
      <c r="AB5" t="inlineStr">
        <is>
          <t>{05-25-2026 top offenders}: 25/05/2026 : Need BO RAN analysis</t>
        </is>
      </c>
      <c r="AC5" t="inlineStr"/>
      <c r="AD5" t="inlineStr"/>
      <c r="AE5" t="inlineStr"/>
      <c r="AF5" t="inlineStr"/>
      <c r="AG5" t="inlineStr"/>
      <c r="AH5" t="inlineStr"/>
      <c r="AI5" t="inlineStr">
        <is>
          <t>{05/25/2026 cell zte}: 25/05/2026 : Need BO RAN analysis</t>
        </is>
      </c>
      <c r="AJ5" t="inlineStr">
        <is>
          <t>{05/25/2026 cell zte}: 25/05/2026 : Need BO RAN analysis</t>
        </is>
      </c>
      <c r="AK5" t="inlineStr"/>
      <c r="AL5" t="inlineStr"/>
      <c r="AM5" t="inlineStr"/>
      <c r="AN5" t="inlineStr"/>
      <c r="AO5" t="inlineStr"/>
      <c r="AP5" t="inlineStr"/>
      <c r="AQ5" t="inlineStr">
        <is>
          <t>{05-25-2026 ticket}: INC-20260525-00001688..Grid Outage</t>
        </is>
      </c>
      <c r="AR5" t="inlineStr"/>
    </row>
    <row r="6">
      <c r="A6" t="inlineStr">
        <is>
          <t>BATA-Mokolo</t>
        </is>
      </c>
      <c r="B6" t="inlineStr">
        <is>
          <t>CTR_409</t>
        </is>
      </c>
      <c r="C6" t="inlineStr">
        <is>
          <t>Yaounde</t>
        </is>
      </c>
      <c r="D6" t="inlineStr">
        <is>
          <t>IHS</t>
        </is>
      </c>
      <c r="E6" t="inlineStr">
        <is>
          <t>GridOnly</t>
        </is>
      </c>
      <c r="F6" t="inlineStr">
        <is>
          <t>CENTRE</t>
        </is>
      </c>
      <c r="G6" t="inlineStr">
        <is>
          <t>Yaounde</t>
        </is>
      </c>
      <c r="H6" t="inlineStr">
        <is>
          <t>ZTE</t>
        </is>
      </c>
      <c r="I6" t="n">
        <v>0</v>
      </c>
      <c r="J6" t="n">
        <v>0</v>
      </c>
      <c r="K6" t="n">
        <v>1.150505232098575</v>
      </c>
      <c r="L6" t="n">
        <v>0.0815598131454514</v>
      </c>
      <c r="M6" t="n">
        <v>13.86855689960706</v>
      </c>
      <c r="N6" t="n">
        <v>22.78270365974046</v>
      </c>
      <c r="O6" t="n">
        <v>19.41996389118394</v>
      </c>
      <c r="P6" t="n">
        <v>69.1747064791285</v>
      </c>
      <c r="Q6" t="n">
        <v>45.84669180699307</v>
      </c>
      <c r="R6" t="inlineStr">
        <is>
          <t>Operationnel</t>
        </is>
      </c>
      <c r="S6" t="inlineStr"/>
      <c r="T6" t="inlineStr"/>
      <c r="U6" t="inlineStr"/>
      <c r="V6" t="inlineStr"/>
      <c r="W6" t="inlineStr"/>
      <c r="X6" t="inlineStr">
        <is>
          <t>{05-25-2026 top offenders}: 24/05/2026 : Feedback IHS : Grid outage , no space //  grid return
23/05/2026 : Power issue || Mail sent to IHS      ;    {05-25-2026 retour IHS}: IHS     ;    {None hourly IHS}: 25-05-2026 19:39:19..3:20:41..Grid outage, no space to deploy MDG, awaiting grid return     ;    {05/25/2026 cell zte}: 24/05/2026 : Feedback IHS : Grid outage , no space //  grid return
23/05/2026 : Power issue || Mail sent to IHS      ;    {05-25-2026 ocm ran 22H}: Power status check Ongoing     ;    {05-25-2026 ticket}: INC-20260525-00021319..user:OCM_NOC.IHS</t>
        </is>
      </c>
      <c r="Y6" t="inlineStr">
        <is>
          <t>24/05/2026 Feedback IHS Grid outage , no space // grid return
23/05/2026 Power issue || Mail sent to IHS IHS 25-05-2026 19 39 19.3 20 41.Grid outage, no space to deploy MDG, awaiting grid return 24/05/2026 Feedback IHS Grid outage , no space // grid return
23/05/2026 Power issue || Mail sent to IHS .user OCM_NOC.IHS</t>
        </is>
      </c>
      <c r="Z6" t="inlineStr"/>
      <c r="AA6" t="inlineStr"/>
      <c r="AB6" t="inlineStr">
        <is>
          <t xml:space="preserve">{05-25-2026 top offenders}: 24/05/2026 : Feedback IHS : Grid outage , no space //  grid return
23/05/2026 : Power issue || Mail sent to IHS </t>
        </is>
      </c>
      <c r="AC6" t="inlineStr"/>
      <c r="AD6" t="inlineStr">
        <is>
          <t>{05-25-2026 retour IHS}: IHS</t>
        </is>
      </c>
      <c r="AE6" t="inlineStr">
        <is>
          <t>{None hourly IHS}: 25-05-2026 19:39:19..3:20:41..Grid outage, no space to deploy MDG, awaiting grid return</t>
        </is>
      </c>
      <c r="AF6" t="inlineStr"/>
      <c r="AG6" t="inlineStr"/>
      <c r="AH6" t="inlineStr"/>
      <c r="AI6" t="inlineStr">
        <is>
          <t xml:space="preserve">{05/25/2026 cell zte}: 24/05/2026 : Feedback IHS : Grid outage , no space //  grid return
23/05/2026 : Power issue || Mail sent to IHS </t>
        </is>
      </c>
      <c r="AJ6" t="inlineStr"/>
      <c r="AK6" t="inlineStr"/>
      <c r="AL6" t="inlineStr"/>
      <c r="AM6" t="inlineStr"/>
      <c r="AN6" t="inlineStr"/>
      <c r="AO6" t="inlineStr">
        <is>
          <t>{05-25-2026 ocm ran 22H}: Power status check Ongoing</t>
        </is>
      </c>
      <c r="AP6" t="inlineStr"/>
      <c r="AQ6" t="inlineStr">
        <is>
          <t>{05-25-2026 ticket}: INC-20260525-00021319..user:OCM_NOC.IHS</t>
        </is>
      </c>
      <c r="AR6" t="inlineStr"/>
    </row>
    <row r="7">
      <c r="A7" t="inlineStr">
        <is>
          <t>CNDH</t>
        </is>
      </c>
      <c r="B7" t="inlineStr">
        <is>
          <t>CTR_046</t>
        </is>
      </c>
      <c r="C7" t="inlineStr">
        <is>
          <t>Yaounde</t>
        </is>
      </c>
      <c r="D7" t="inlineStr">
        <is>
          <t>CAMUSAT</t>
        </is>
      </c>
      <c r="E7" t="inlineStr">
        <is>
          <t>Grid-Gen</t>
        </is>
      </c>
      <c r="F7" t="inlineStr">
        <is>
          <t>CENTRE</t>
        </is>
      </c>
      <c r="G7" t="inlineStr">
        <is>
          <t>Yaounde</t>
        </is>
      </c>
      <c r="H7" t="inlineStr">
        <is>
          <t>ZTE</t>
        </is>
      </c>
      <c r="I7" t="n">
        <v>0.7105316850867356</v>
      </c>
      <c r="J7" t="n">
        <v>0</v>
      </c>
      <c r="K7" t="n">
        <v>3.905471944708405</v>
      </c>
      <c r="L7" t="n">
        <v>4.642328205391618</v>
      </c>
      <c r="M7" t="n">
        <v>8.497433888931692</v>
      </c>
      <c r="N7" t="n">
        <v>21.81214005091743</v>
      </c>
      <c r="O7" t="n">
        <v>18.61042684564671</v>
      </c>
      <c r="P7" t="n">
        <v>64.85051995438499</v>
      </c>
      <c r="Q7" t="n">
        <v>43.18131069277153</v>
      </c>
      <c r="R7" t="inlineStr">
        <is>
          <t>Operationnel</t>
        </is>
      </c>
      <c r="S7" t="inlineStr"/>
      <c r="T7" t="inlineStr"/>
      <c r="U7" t="inlineStr"/>
      <c r="V7" t="inlineStr"/>
      <c r="W7" t="inlineStr"/>
      <c r="X7" t="inlineStr">
        <is>
          <t>{05-25-2026 top offenders}: Power status check Ongoing     ;    {05-25-2026 ocm ran 17H}: Power status check Ongoing     ;    {05-25-2026 ticket}: INC-20260525-00016363..Grid Outage</t>
        </is>
      </c>
      <c r="Y7" t="inlineStr">
        <is>
          <t>.Grid Outage</t>
        </is>
      </c>
      <c r="Z7" t="inlineStr"/>
      <c r="AA7" t="inlineStr"/>
      <c r="AB7" t="inlineStr">
        <is>
          <t>{05-25-2026 top offenders}: Power status check Ongoing</t>
        </is>
      </c>
      <c r="AC7" t="inlineStr"/>
      <c r="AD7" t="inlineStr"/>
      <c r="AE7" t="inlineStr"/>
      <c r="AF7" t="inlineStr"/>
      <c r="AG7" t="inlineStr"/>
      <c r="AH7" t="inlineStr"/>
      <c r="AI7" t="inlineStr"/>
      <c r="AJ7" t="inlineStr"/>
      <c r="AK7" t="inlineStr"/>
      <c r="AL7" t="inlineStr"/>
      <c r="AM7" t="inlineStr"/>
      <c r="AN7" t="inlineStr"/>
      <c r="AO7" t="inlineStr"/>
      <c r="AP7" t="inlineStr">
        <is>
          <t>{05-25-2026 ocm ran 17H}: Power status check Ongoing</t>
        </is>
      </c>
      <c r="AQ7" t="inlineStr">
        <is>
          <t>{05-25-2026 ticket}: INC-20260525-00016363..Grid Outage</t>
        </is>
      </c>
      <c r="AR7" t="inlineStr"/>
    </row>
    <row r="8">
      <c r="A8" t="inlineStr">
        <is>
          <t>Emana-Bilick-IHS</t>
        </is>
      </c>
      <c r="B8" t="inlineStr">
        <is>
          <t>CTR_160</t>
        </is>
      </c>
      <c r="C8" t="inlineStr">
        <is>
          <t>Yaounde</t>
        </is>
      </c>
      <c r="D8" t="inlineStr">
        <is>
          <t>IHS</t>
        </is>
      </c>
      <c r="E8" t="inlineStr">
        <is>
          <t>Grid-Gen</t>
        </is>
      </c>
      <c r="F8" t="inlineStr">
        <is>
          <t>CENTRE</t>
        </is>
      </c>
      <c r="G8" t="inlineStr">
        <is>
          <t>Yaounde</t>
        </is>
      </c>
      <c r="H8" t="inlineStr">
        <is>
          <t>ZTE</t>
        </is>
      </c>
      <c r="I8" t="n">
        <v>0</v>
      </c>
      <c r="J8" t="n">
        <v>3.602132932686133</v>
      </c>
      <c r="K8" t="n">
        <v>0</v>
      </c>
      <c r="L8" t="n">
        <v>0</v>
      </c>
      <c r="M8" t="n">
        <v>27.93733038840521</v>
      </c>
      <c r="N8" t="n">
        <v>26.65521623922401</v>
      </c>
      <c r="O8" t="n">
        <v>22.67644061255784</v>
      </c>
      <c r="P8" t="n">
        <v>58.44278121422646</v>
      </c>
      <c r="Q8" t="n">
        <v>41.89634680523809</v>
      </c>
      <c r="R8" t="inlineStr">
        <is>
          <t>Operationnel</t>
        </is>
      </c>
      <c r="S8" t="inlineStr"/>
      <c r="T8" t="inlineStr"/>
      <c r="U8" t="inlineStr"/>
      <c r="V8" t="inlineStr"/>
      <c r="W8" t="inlineStr"/>
      <c r="X8" t="inlineStr">
        <is>
          <t>{05-25-2026 top offenders}: 25.05.26: Besoin d'un FME sur site pour vérifier le statut du MPR; CM-20260525-00005600; FME Totat activé pour investigations, update ASAP
24/05/2026 IHS: Grid outage, site down because site behaves as Grid only site (Gen Noise)     ;    {05-25-2026 retour IHS}: IHS     ;    {05-25-2026 ocm ran 17H}: 25.05.26: Besoin d'un FME sur site pour vérifier le statut du MPR; CM-20260525-00005600; FME Totat activé pour investigations, update ASAP
24/05/2026 IHS: Grid outage, site down because site behaves as Grid only site (Gen Noise)</t>
        </is>
      </c>
      <c r="Y8" t="inlineStr">
        <is>
          <t>25.05.26 Besoin d'un FME sur site pour vérifier le statut du MPR; FME Totat activé pour investigations, update ASAP
24/05/2026 IHS Grid outage, site down because site behaves as Grid only site (Gen Noise) IHS 25.05.26 Besoin d'un FME sur site pour vérifier le statut du MPR; FME Totat activé pour investigations, update ASAP
24/05/2026 IHS Grid outage, site down because site behaves as Grid only site (Gen Noise)</t>
        </is>
      </c>
      <c r="Z8" t="inlineStr"/>
      <c r="AA8" t="inlineStr"/>
      <c r="AB8" t="inlineStr">
        <is>
          <t>{05-25-2026 top offenders}: 25.05.26: Besoin d'un FME sur site pour vérifier le statut du MPR; CM-20260525-00005600; FME Totat activé pour investigations, update ASAP
24/05/2026 IHS: Grid outage, site down because site behaves as Grid only site (Gen Noise)</t>
        </is>
      </c>
      <c r="AC8" t="inlineStr"/>
      <c r="AD8" t="inlineStr">
        <is>
          <t>{05-25-2026 retour IHS}: IHS</t>
        </is>
      </c>
      <c r="AE8" t="inlineStr"/>
      <c r="AF8" t="inlineStr"/>
      <c r="AG8" t="inlineStr"/>
      <c r="AH8" t="inlineStr"/>
      <c r="AI8" t="inlineStr"/>
      <c r="AJ8" t="inlineStr"/>
      <c r="AK8" t="inlineStr"/>
      <c r="AL8" t="inlineStr"/>
      <c r="AM8" t="inlineStr"/>
      <c r="AN8" t="inlineStr"/>
      <c r="AO8" t="inlineStr"/>
      <c r="AP8" t="inlineStr">
        <is>
          <t>{05-25-2026 ocm ran 17H}: 25.05.26: Besoin d'un FME sur site pour vérifier le statut du MPR; CM-20260525-00005600; FME Totat activé pour investigations, update ASAP
24/05/2026 IHS: Grid outage, site down because site behaves as Grid only site (Gen Noise)</t>
        </is>
      </c>
      <c r="AQ8" t="inlineStr"/>
      <c r="AR8" t="inlineStr"/>
    </row>
    <row r="9">
      <c r="A9" t="inlineStr">
        <is>
          <t>Koweit-City</t>
        </is>
      </c>
      <c r="B9" t="inlineStr">
        <is>
          <t>CTR_258</t>
        </is>
      </c>
      <c r="C9" t="inlineStr">
        <is>
          <t>Yaounde</t>
        </is>
      </c>
      <c r="D9" t="inlineStr">
        <is>
          <t>CAMUSAT</t>
        </is>
      </c>
      <c r="E9" t="inlineStr">
        <is>
          <t>Good Grid + GE</t>
        </is>
      </c>
      <c r="F9" t="inlineStr">
        <is>
          <t>CENTRE</t>
        </is>
      </c>
      <c r="G9" t="inlineStr">
        <is>
          <t>Yaounde</t>
        </is>
      </c>
      <c r="H9" t="inlineStr">
        <is>
          <t>ZTE</t>
        </is>
      </c>
      <c r="I9" t="n">
        <v>23.60092728139188</v>
      </c>
      <c r="J9" t="n">
        <v>30.20402616191968</v>
      </c>
      <c r="K9" t="n">
        <v>19.28822699346237</v>
      </c>
      <c r="L9" t="n">
        <v>38.20566270870609</v>
      </c>
      <c r="M9" t="n">
        <v>27.26369948035717</v>
      </c>
      <c r="N9" t="n">
        <v>14.58605605713623</v>
      </c>
      <c r="O9" t="n">
        <v>16.02620906732492</v>
      </c>
      <c r="P9" t="n">
        <v>53.34036628821955</v>
      </c>
      <c r="Q9" t="n">
        <v>35.27946140917094</v>
      </c>
      <c r="R9" t="inlineStr">
        <is>
          <t>Operationnel</t>
        </is>
      </c>
      <c r="S9" t="inlineStr"/>
      <c r="T9" t="inlineStr"/>
      <c r="U9" t="inlineStr"/>
      <c r="V9" t="inlineStr"/>
      <c r="W9" t="inlineStr"/>
      <c r="X9" t="inlineStr">
        <is>
          <t>{05-25-2026 top offenders}: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    {05-25-2026 retour CAMUSAT}: Mauvaises phases ENEO     ;    {05/25/2026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    {05/25/2026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    {05/25/2026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    {05-25-2026 ticket}: INC-20260525-00017059..Grid Outage</t>
        </is>
      </c>
      <c r="Y9" t="inlineStr">
        <is>
          <t>19/05/2026 En attente du feedback de Camusat
11/05/2026 R.I transferer a Camusat || Feedback 3PP Mauvaise tension
09/05/2026 FME activer pour avoir les evidensces power pour pouvoir interpeller le powerco par rapport aux intabillites power du site || ETA 16h || Feedback FME - Mauvaise tension Eneo à l'arrivée
- Pas de backups battery sur site
- 03/4 redresseurs fonctionnel dans la baie d'énergie || En attente du R.I pour interpeller camusat
08/05/2026 Need BO RAN analysis Cell was down due to power Mauvaises phases ENEO 19/05/2026 En attente du feedback de Camusat
11/05/2026 R.I transferer a Camusat || Feedback 3PP Mauvaise tension
09/05/2026 FME activer pour avoir les evidensces power pour pouvoir interpeller le powerco par rapport aux intabillites power du site || ETA 16h || Feedback FME - Mauvaise tension Eneo à l'arrivée
- Pas de backups battery sur site
- 03/4 redresseurs fonctionnel dans la baie d'énergie || En attente du R.I pour interpeller camusat
08/05/2026 Need BO RAN analysis Cell was down due to power 19/05/2026 En attente du feedback de Camusat
11/05/2026 R.I transferer a Camusat || Feedback 3PP Mauvaise tension
09/05/2026 FME activer pour avoir les evidensces power pour pouvoir interpeller le powerco par rapport aux intabillites power du site || ETA 16h || Feedback FME - Mauvaise tension Eneo à l'arrivée
- Pas de backups battery sur site
- 03/4 redresseurs fonctionnel dans la baie d'énergie || En attente du R.I pour interpeller camusat
08/05/2026 Need BO RAN analysis Cell was down due to power 19/05/2026 En attente du feedback de Camusat
11/05/2026 R.I transferer a Camusat || Feedback 3PP Mauvaise tension
09/05/2026 FME activer pour avoir les evidensces power pour pouvoir interpeller le powerco par rapport aux intabillites power du site || ETA 16h || Feedback FME - Mauvaise tension Eneo à l'arrivée
- Pas de backups battery sur site
- 03/4 redresseurs fonctionnel dans la baie d'énergie || En attente du R.I pour interpeller camusat
08/05/2026 Need BO RAN analysis Cell was down due to power .Grid Outage</t>
        </is>
      </c>
      <c r="Z9" t="inlineStr"/>
      <c r="AA9" t="inlineStr"/>
      <c r="AB9" t="inlineStr">
        <is>
          <t xml:space="preserve">{05-25-2026 top offenders}: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is>
      </c>
      <c r="AC9" t="inlineStr">
        <is>
          <t>{05-25-2026 retour CAMUSAT}: Mauvaises phases ENEO</t>
        </is>
      </c>
      <c r="AD9" t="inlineStr"/>
      <c r="AE9" t="inlineStr"/>
      <c r="AF9" t="inlineStr"/>
      <c r="AG9" t="inlineStr"/>
      <c r="AH9" t="inlineStr"/>
      <c r="AI9" t="inlineStr">
        <is>
          <t xml:space="preserve">{05/25/2026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is>
      </c>
      <c r="AJ9" t="inlineStr">
        <is>
          <t xml:space="preserve">{05/25/2026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is>
      </c>
      <c r="AK9" t="inlineStr">
        <is>
          <t xml:space="preserve">{05/25/2026 cell zte}: 19/05/2026 : En attente du feedback de Camusat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is>
      </c>
      <c r="AL9" t="inlineStr"/>
      <c r="AM9" t="inlineStr"/>
      <c r="AN9" t="inlineStr"/>
      <c r="AO9" t="inlineStr"/>
      <c r="AP9" t="inlineStr"/>
      <c r="AQ9" t="inlineStr">
        <is>
          <t>{05-25-2026 ticket}: INC-20260525-00017059..Grid Outage</t>
        </is>
      </c>
      <c r="AR9" t="inlineStr"/>
    </row>
    <row r="10">
      <c r="A10" t="inlineStr">
        <is>
          <t>Ebom-Maetur</t>
        </is>
      </c>
      <c r="B10" t="inlineStr">
        <is>
          <t>CTR_596</t>
        </is>
      </c>
      <c r="C10" t="inlineStr">
        <is>
          <t>Yaounde</t>
        </is>
      </c>
      <c r="D10" t="inlineStr">
        <is>
          <t>CAMUSAT</t>
        </is>
      </c>
      <c r="E10" t="inlineStr">
        <is>
          <t>Good Grid no GE - 8h</t>
        </is>
      </c>
      <c r="F10" t="inlineStr">
        <is>
          <t>CENTRE</t>
        </is>
      </c>
      <c r="G10" t="inlineStr">
        <is>
          <t>Yaounde</t>
        </is>
      </c>
      <c r="H10" t="inlineStr">
        <is>
          <t>ZTE</t>
        </is>
      </c>
      <c r="I10" t="n">
        <v>0.4043747306903178</v>
      </c>
      <c r="J10" t="n">
        <v>0</v>
      </c>
      <c r="K10" t="n">
        <v>0</v>
      </c>
      <c r="L10" t="n">
        <v>10.85861990737174</v>
      </c>
      <c r="M10" t="n">
        <v>34.1509289935594</v>
      </c>
      <c r="N10" t="n">
        <v>22.95818195988154</v>
      </c>
      <c r="O10" t="n">
        <v>26.5164555218948</v>
      </c>
      <c r="P10" t="n">
        <v>43.34733905053331</v>
      </c>
      <c r="Q10" t="n">
        <v>34.78544757485739</v>
      </c>
      <c r="R10" t="inlineStr">
        <is>
          <t>Operationnel</t>
        </is>
      </c>
      <c r="S10" t="inlineStr"/>
      <c r="T10" t="inlineStr"/>
      <c r="U10" t="inlineStr"/>
      <c r="V10" t="inlineStr"/>
      <c r="W10" t="inlineStr"/>
      <c r="X10" t="inlineStr">
        <is>
          <t>{05-25-2026 top offenders}: 25/05/2026 : Need BO RAN analysis     ;    {05/25/2026 cell zte}: 25/05/2026 : Need BO RAN analysis</t>
        </is>
      </c>
      <c r="Y10" t="inlineStr">
        <is>
          <t>25/05/2026 Need BO RAN analysis 25/05/2026 Need BO RAN analysis</t>
        </is>
      </c>
      <c r="Z10" t="inlineStr"/>
      <c r="AA10" t="inlineStr"/>
      <c r="AB10" t="inlineStr">
        <is>
          <t>{05-25-2026 top offenders}: 25/05/2026 : Need BO RAN analysis</t>
        </is>
      </c>
      <c r="AC10" t="inlineStr"/>
      <c r="AD10" t="inlineStr"/>
      <c r="AE10" t="inlineStr"/>
      <c r="AF10" t="inlineStr"/>
      <c r="AG10" t="inlineStr"/>
      <c r="AH10" t="inlineStr"/>
      <c r="AI10" t="inlineStr"/>
      <c r="AJ10" t="inlineStr">
        <is>
          <t>{05/25/2026 cell zte}: 25/05/2026 : Need BO RAN analysis</t>
        </is>
      </c>
      <c r="AK10" t="inlineStr"/>
      <c r="AL10" t="inlineStr"/>
      <c r="AM10" t="inlineStr"/>
      <c r="AN10" t="inlineStr"/>
      <c r="AO10" t="inlineStr"/>
      <c r="AP10" t="inlineStr"/>
      <c r="AQ10" t="inlineStr"/>
      <c r="AR10" t="inlineStr"/>
    </row>
    <row r="11">
      <c r="A11" t="inlineStr">
        <is>
          <t>Kumba-Bonakama2</t>
        </is>
      </c>
      <c r="B11" t="inlineStr">
        <is>
          <t>SUO_231</t>
        </is>
      </c>
      <c r="C11" t="inlineStr">
        <is>
          <t>SUD-OUEST</t>
        </is>
      </c>
      <c r="D11" t="inlineStr">
        <is>
          <t>IHS</t>
        </is>
      </c>
      <c r="E11" t="inlineStr">
        <is>
          <t>Hybrid-Gen</t>
        </is>
      </c>
      <c r="F11" t="inlineStr">
        <is>
          <t>SUD-OUEST</t>
        </is>
      </c>
      <c r="G11" t="inlineStr">
        <is>
          <t>Kumba</t>
        </is>
      </c>
      <c r="H11" t="inlineStr">
        <is>
          <t>Huawei</t>
        </is>
      </c>
      <c r="I11" t="n">
        <v>2.011350957244324</v>
      </c>
      <c r="J11" t="n">
        <v>0.1535600243127788</v>
      </c>
      <c r="K11" t="n">
        <v>1.154892661364654</v>
      </c>
      <c r="L11" t="n">
        <v>0.7211435566855858</v>
      </c>
      <c r="M11" t="n">
        <v>10.53473488512783</v>
      </c>
      <c r="N11" t="n">
        <v>22.36442833790951</v>
      </c>
      <c r="O11" t="n">
        <v>38.09398279901126</v>
      </c>
      <c r="P11" t="n">
        <v>35.63485790175258</v>
      </c>
      <c r="Q11" t="n">
        <v>34.56539837857736</v>
      </c>
      <c r="R11" t="inlineStr">
        <is>
          <t>Operationnel</t>
        </is>
      </c>
      <c r="S11" t="inlineStr"/>
      <c r="T11" t="inlineStr"/>
      <c r="U11" t="inlineStr"/>
      <c r="V11" t="inlineStr"/>
      <c r="W11" t="inlineStr"/>
      <c r="X11" t="inlineStr">
        <is>
          <t>{05-25-2026 top offenders}: 25/05/2026 : Besoin d'analyse BO RAN     ;    {None hourly IHS}: 25/05/2026 18:00..4:25:01..Fme is managing with level 0     ;    {05/25/2026 cell huawei}: 25/05/2026 : Besoin d'analyse BO RAN</t>
        </is>
      </c>
      <c r="Y11" t="inlineStr">
        <is>
          <t>25/05/2026 Besoin d'analyse BO RAN 25/05/2026 18 00.4 25 01.Fme is managing with level 0 25/05/2026 Besoin d'analyse BO RAN</t>
        </is>
      </c>
      <c r="Z11" t="inlineStr"/>
      <c r="AA11" t="inlineStr"/>
      <c r="AB11" t="inlineStr">
        <is>
          <t>{05-25-2026 top offenders}: 25/05/2026 : Besoin d'analyse BO RAN</t>
        </is>
      </c>
      <c r="AC11" t="inlineStr"/>
      <c r="AD11" t="inlineStr"/>
      <c r="AE11" t="inlineStr">
        <is>
          <t>{None hourly IHS}: 25/05/2026 18:00..4:25:01..Fme is managing with level 0</t>
        </is>
      </c>
      <c r="AF11" t="inlineStr"/>
      <c r="AG11" t="inlineStr"/>
      <c r="AH11" t="inlineStr"/>
      <c r="AI11" t="inlineStr"/>
      <c r="AJ11" t="inlineStr"/>
      <c r="AK11" t="inlineStr"/>
      <c r="AL11" t="inlineStr"/>
      <c r="AM11" t="inlineStr"/>
      <c r="AN11" t="inlineStr">
        <is>
          <t>{05/25/2026 cell huawei}: 25/05/2026 : Besoin d'analyse BO RAN</t>
        </is>
      </c>
      <c r="AO11" t="inlineStr"/>
      <c r="AP11" t="inlineStr"/>
      <c r="AQ11" t="inlineStr"/>
      <c r="AR11" t="inlineStr"/>
    </row>
    <row r="12">
      <c r="A12" t="inlineStr">
        <is>
          <t>EST_200_Z_Batouri-Qtier-Admin-MTN-IHS</t>
        </is>
      </c>
      <c r="B12" t="inlineStr">
        <is>
          <t>EST_200</t>
        </is>
      </c>
      <c r="C12" t="inlineStr">
        <is>
          <t>CENTRE</t>
        </is>
      </c>
      <c r="D12" t="inlineStr">
        <is>
          <t>IHS</t>
        </is>
      </c>
      <c r="E12" t="inlineStr"/>
      <c r="F12" t="inlineStr">
        <is>
          <t>EST</t>
        </is>
      </c>
      <c r="G12" t="inlineStr">
        <is>
          <t>Batouri</t>
        </is>
      </c>
      <c r="H12" t="inlineStr">
        <is>
          <t>ZTE</t>
        </is>
      </c>
      <c r="I12" t="n">
        <v>0</v>
      </c>
      <c r="J12" t="n">
        <v>4.712758929667012</v>
      </c>
      <c r="K12" t="n">
        <v>0</v>
      </c>
      <c r="L12" t="n">
        <v>21.50634001364027</v>
      </c>
      <c r="M12" t="n">
        <v>24.70367017375647</v>
      </c>
      <c r="N12" t="n">
        <v>19.9539435032313</v>
      </c>
      <c r="O12" t="n">
        <v>33.95911747605495</v>
      </c>
      <c r="P12" t="n">
        <v>38.78316884344897</v>
      </c>
      <c r="Q12" t="n">
        <v>34.47486752103826</v>
      </c>
      <c r="R12" t="inlineStr">
        <is>
          <t>Operationnel</t>
        </is>
      </c>
      <c r="S12" t="inlineStr"/>
      <c r="T12" t="inlineStr"/>
      <c r="U12" t="inlineStr"/>
      <c r="V12" t="inlineStr"/>
      <c r="W12" t="inlineStr"/>
      <c r="X12" t="inlineStr">
        <is>
          <t>{05-25-2026 top offenders}: 25.05.26: IHS: 44 : Fme is informed and managing     ;    {None hourly IHS}: 25-05-2026 09:17:09..13:42:51..FME isinformed and managing ETA ASAP     ;    {05-25-2026 ocm ran 22H}: 25.05.26: IHS: 44 : Fme is informed and managing     ;    {05-25-2026 ocm ran 17H}: 25.05.26: IHS: 44 : Fme is informed and managing</t>
        </is>
      </c>
      <c r="Y12" t="inlineStr">
        <is>
          <t>25.05.26 IHS 44 Fme is informed and managing 25-05-2026 09 17 09.13 42 51.FME isinformed and managing ETA ASAP 25.05.26 IHS 44 Fme is informed and managing 25.05.26 IHS 44 Fme is informed and managing</t>
        </is>
      </c>
      <c r="Z12" t="inlineStr"/>
      <c r="AA12" t="inlineStr"/>
      <c r="AB12" t="inlineStr">
        <is>
          <t>{05-25-2026 top offenders}: 25.05.26: IHS: 44 : Fme is informed and managing</t>
        </is>
      </c>
      <c r="AC12" t="inlineStr"/>
      <c r="AD12" t="inlineStr"/>
      <c r="AE12" t="inlineStr">
        <is>
          <t>{None hourly IHS}: 25-05-2026 09:17:09..13:42:51..FME isinformed and managing ETA ASAP</t>
        </is>
      </c>
      <c r="AF12" t="inlineStr"/>
      <c r="AG12" t="inlineStr"/>
      <c r="AH12" t="inlineStr"/>
      <c r="AI12" t="inlineStr"/>
      <c r="AJ12" t="inlineStr"/>
      <c r="AK12" t="inlineStr"/>
      <c r="AL12" t="inlineStr"/>
      <c r="AM12" t="inlineStr"/>
      <c r="AN12" t="inlineStr"/>
      <c r="AO12" t="inlineStr">
        <is>
          <t>{05-25-2026 ocm ran 22H}: 25.05.26: IHS: 44 : Fme is informed and managing</t>
        </is>
      </c>
      <c r="AP12" t="inlineStr">
        <is>
          <t>{05-25-2026 ocm ran 17H}: 25.05.26: IHS: 44 : Fme is informed and managing</t>
        </is>
      </c>
      <c r="AQ12" t="inlineStr"/>
      <c r="AR12" t="inlineStr"/>
    </row>
    <row r="13">
      <c r="A13" t="inlineStr">
        <is>
          <t>Logpom-Akanji-Immeuble</t>
        </is>
      </c>
      <c r="B13" t="inlineStr">
        <is>
          <t>LIT_618</t>
        </is>
      </c>
      <c r="C13" t="inlineStr">
        <is>
          <t>Douala</t>
        </is>
      </c>
      <c r="D13" t="inlineStr">
        <is>
          <t>CAMUSAT</t>
        </is>
      </c>
      <c r="E13" t="inlineStr">
        <is>
          <t>Good Grid no GE - 8h</t>
        </is>
      </c>
      <c r="F13" t="inlineStr">
        <is>
          <t>LITTORAL</t>
        </is>
      </c>
      <c r="G13" t="inlineStr">
        <is>
          <t>Douala</t>
        </is>
      </c>
      <c r="H13" t="inlineStr">
        <is>
          <t>ZTE</t>
        </is>
      </c>
      <c r="I13" t="n">
        <v>8.389192798623419</v>
      </c>
      <c r="J13" t="n">
        <v>5.77647867067314</v>
      </c>
      <c r="K13" t="n">
        <v>10.89232820539162</v>
      </c>
      <c r="L13" t="n">
        <v>9.698644248686625</v>
      </c>
      <c r="M13" t="n">
        <v>22.85040935071754</v>
      </c>
      <c r="N13" t="n">
        <v>9.002349036205732</v>
      </c>
      <c r="O13" t="n">
        <v>11.30727429439905</v>
      </c>
      <c r="P13" t="n">
        <v>55.03964364902696</v>
      </c>
      <c r="Q13" t="n">
        <v>33.78406143257056</v>
      </c>
      <c r="R13" t="inlineStr">
        <is>
          <t>Operationnel</t>
        </is>
      </c>
      <c r="S13" t="inlineStr"/>
      <c r="T13" t="inlineStr"/>
      <c r="U13" t="inlineStr"/>
      <c r="V13" t="inlineStr"/>
      <c r="W13" t="inlineStr"/>
      <c r="X13" t="inlineStr">
        <is>
          <t>{05-25-2026 top offenders}: 25/05/2026 : Need BO RAN analysis     ;    {05/25/2026 cell zte}: 25/05/2026 : Need BO RAN analysis     ;    {05/25/2026 cell zte}: 25/05/2026 : Need BO RAN analysis     ;    {05-25-2026 ticket}: INC-20260525-00021012..Grid Outage</t>
        </is>
      </c>
      <c r="Y13" t="inlineStr">
        <is>
          <t>25/05/2026 Need BO RAN analysis 25/05/2026 Need BO RAN analysis 25/05/2026 Need BO RAN analysis .Grid Outage</t>
        </is>
      </c>
      <c r="Z13" t="inlineStr"/>
      <c r="AA13" t="inlineStr"/>
      <c r="AB13" t="inlineStr">
        <is>
          <t>{05-25-2026 top offenders}: 25/05/2026 : Need BO RAN analysis</t>
        </is>
      </c>
      <c r="AC13" t="inlineStr"/>
      <c r="AD13" t="inlineStr"/>
      <c r="AE13" t="inlineStr"/>
      <c r="AF13" t="inlineStr"/>
      <c r="AG13" t="inlineStr"/>
      <c r="AH13" t="inlineStr"/>
      <c r="AI13" t="inlineStr"/>
      <c r="AJ13" t="inlineStr">
        <is>
          <t>{05/25/2026 cell zte}: 25/05/2026 : Need BO RAN analysis</t>
        </is>
      </c>
      <c r="AK13" t="inlineStr">
        <is>
          <t>{05/25/2026 cell zte}: 25/05/2026 : Need BO RAN analysis</t>
        </is>
      </c>
      <c r="AL13" t="inlineStr"/>
      <c r="AM13" t="inlineStr"/>
      <c r="AN13" t="inlineStr"/>
      <c r="AO13" t="inlineStr"/>
      <c r="AP13" t="inlineStr"/>
      <c r="AQ13" t="inlineStr">
        <is>
          <t>{05-25-2026 ticket}: INC-20260525-00021012..Grid Outage</t>
        </is>
      </c>
      <c r="AR13" t="inlineStr"/>
    </row>
    <row r="14">
      <c r="A14" t="inlineStr">
        <is>
          <t>Foumbot-Centre-Ville</t>
        </is>
      </c>
      <c r="B14" t="inlineStr">
        <is>
          <t>OST_125</t>
        </is>
      </c>
      <c r="C14" t="inlineStr">
        <is>
          <t>OUEST</t>
        </is>
      </c>
      <c r="D14" t="inlineStr">
        <is>
          <t>IHS</t>
        </is>
      </c>
      <c r="E14" t="inlineStr">
        <is>
          <t>Grid-Gen</t>
        </is>
      </c>
      <c r="F14" t="inlineStr">
        <is>
          <t>OUEST</t>
        </is>
      </c>
      <c r="G14" t="inlineStr">
        <is>
          <t>Foumbot</t>
        </is>
      </c>
      <c r="H14" t="inlineStr">
        <is>
          <t>Huawei</t>
        </is>
      </c>
      <c r="I14" t="n">
        <v>0</v>
      </c>
      <c r="J14" t="n">
        <v>0.6557958297306474</v>
      </c>
      <c r="K14" t="n">
        <v>1.61024004588609</v>
      </c>
      <c r="L14" t="n">
        <v>20.98172118493407</v>
      </c>
      <c r="M14" t="n">
        <v>27.68895908775715</v>
      </c>
      <c r="N14" t="n">
        <v>19.2607729937772</v>
      </c>
      <c r="O14" t="n">
        <v>16.18085943742329</v>
      </c>
      <c r="P14" t="n">
        <v>45.93394385017958</v>
      </c>
      <c r="Q14" t="n">
        <v>32.13656390807942</v>
      </c>
      <c r="R14" t="inlineStr">
        <is>
          <t>Operationnel</t>
        </is>
      </c>
      <c r="S14" t="inlineStr"/>
      <c r="T14" t="inlineStr"/>
      <c r="U14" t="inlineStr"/>
      <c r="V14" t="inlineStr"/>
      <c r="W14" t="inlineStr"/>
      <c r="X14" t="inlineStr">
        <is>
          <t>{05-25-2026 top offenders}: 25/05/2026 : Besoin d'analyse BO RAN || AOF coupe entre foumbot et foumbot centre ville || CDS active || Resolution planifiee pour ce jour  || Up apres restauration de la fibre et reroutage de trafique sur cette derniere     ;    {05/25/2026 cell huawei}: 25/05/2026 : Besoin d'analyse BO RAN || AOF coupe entre foumbot et foumbot centre ville || CDS active || Resolution planifiee pour ce jour  || Up apres restauration de la fibre et reroutage de trafique sur cette derniere</t>
        </is>
      </c>
      <c r="Y14" t="inlineStr">
        <is>
          <t>25/05/2026 Besoin d'analyse BO RAN || AOF coupe entre foumbot et foumbot centre ville || CDS active || Resolution planifiee pour ce jour || Up apres restauration de la fibre et reroutage de trafique sur cette derniere 25/05/2026 Besoin d'analyse BO RAN || AOF coupe entre foumbot et foumbot centre ville || CDS active || Resolution planifiee pour ce jour || Up apres restauration de la fibre et reroutage de trafique sur cette derniere</t>
        </is>
      </c>
      <c r="Z14" t="inlineStr"/>
      <c r="AA14" t="inlineStr"/>
      <c r="AB14" t="inlineStr">
        <is>
          <t>{05-25-2026 top offenders}: 25/05/2026 : Besoin d'analyse BO RAN || AOF coupe entre foumbot et foumbot centre ville || CDS active || Resolution planifiee pour ce jour  || Up apres restauration de la fibre et reroutage de trafique sur cette derniere</t>
        </is>
      </c>
      <c r="AC14" t="inlineStr"/>
      <c r="AD14" t="inlineStr"/>
      <c r="AE14" t="inlineStr"/>
      <c r="AF14" t="inlineStr"/>
      <c r="AG14" t="inlineStr"/>
      <c r="AH14" t="inlineStr"/>
      <c r="AI14" t="inlineStr"/>
      <c r="AJ14" t="inlineStr"/>
      <c r="AK14" t="inlineStr"/>
      <c r="AL14" t="inlineStr">
        <is>
          <t>{05/25/2026 cell huawei}: 25/05/2026 : Besoin d'analyse BO RAN || AOF coupe entre foumbot et foumbot centre ville || CDS active || Resolution planifiee pour ce jour  || Up apres restauration de la fibre et reroutage de trafique sur cette derniere</t>
        </is>
      </c>
      <c r="AM14" t="inlineStr"/>
      <c r="AN14" t="inlineStr"/>
      <c r="AO14" t="inlineStr"/>
      <c r="AP14" t="inlineStr"/>
      <c r="AQ14" t="inlineStr"/>
      <c r="AR14" t="inlineStr"/>
    </row>
    <row r="15">
      <c r="A15" t="inlineStr">
        <is>
          <t>MOLYKO-CHIEF-STREET-MTN</t>
        </is>
      </c>
      <c r="B15" t="inlineStr">
        <is>
          <t>SUO_228</t>
        </is>
      </c>
      <c r="C15" t="inlineStr">
        <is>
          <t>SUD-OUEST</t>
        </is>
      </c>
      <c r="D15" t="inlineStr">
        <is>
          <t>MTN sharing</t>
        </is>
      </c>
      <c r="E15" t="inlineStr"/>
      <c r="F15" t="inlineStr">
        <is>
          <t>SUD-OUEST</t>
        </is>
      </c>
      <c r="G15" t="inlineStr">
        <is>
          <t>Buea</t>
        </is>
      </c>
      <c r="H15" t="inlineStr">
        <is>
          <t>Huawei</t>
        </is>
      </c>
      <c r="I15" t="n">
        <v>32.35996609908314</v>
      </c>
      <c r="J15" t="n">
        <v>32.34239854694051</v>
      </c>
      <c r="K15" t="n">
        <v>27.3376615501394</v>
      </c>
      <c r="L15" t="n">
        <v>31.66366680649368</v>
      </c>
      <c r="M15" t="n">
        <v>32.39836502270048</v>
      </c>
      <c r="N15" t="n">
        <v>32.37293622531563</v>
      </c>
      <c r="O15" t="n">
        <v>19.40615107901439</v>
      </c>
      <c r="P15" t="n">
        <v>40.05695995771197</v>
      </c>
      <c r="Q15" t="n">
        <v>32.02696735181903</v>
      </c>
      <c r="R15" t="inlineStr">
        <is>
          <t>Operationnel</t>
        </is>
      </c>
      <c r="S15" t="inlineStr"/>
      <c r="T15" t="inlineStr"/>
      <c r="U15" t="inlineStr"/>
      <c r="V15" t="inlineStr"/>
      <c r="W15" t="inlineStr"/>
      <c r="X15" t="inlineStr">
        <is>
          <t>{05-25-2026 top offenders}: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     ;    {05/25/2026 cell huawei}: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     ;    {05/25/2026 cell huawei}: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     ;    {05/25/2026 cell huawei}: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c r="Y15" t="inlineStr">
        <is>
          <t>25/05/2026 Relance faite a MTN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 25/05/2026 Relance faite a MTN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 25/05/2026 Relance faite a MTN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t>
        </is>
      </c>
      <c r="Z15" t="inlineStr"/>
      <c r="AA15" t="inlineStr"/>
      <c r="AB15" t="inlineStr">
        <is>
          <t>{05-25-2026 top offenders}: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c r="AC15" t="inlineStr"/>
      <c r="AD15" t="inlineStr"/>
      <c r="AE15" t="inlineStr"/>
      <c r="AF15" t="inlineStr"/>
      <c r="AG15" t="inlineStr"/>
      <c r="AH15" t="inlineStr"/>
      <c r="AI15" t="inlineStr"/>
      <c r="AJ15" t="inlineStr"/>
      <c r="AK15" t="inlineStr"/>
      <c r="AL15" t="inlineStr">
        <is>
          <t>{05/25/2026 cell huawei}: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c r="AM15" t="inlineStr">
        <is>
          <t>{05/25/2026 cell huawei}: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c r="AN15" t="inlineStr">
        <is>
          <t>{05/25/2026 cell huawei}: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c r="AO15" t="inlineStr"/>
      <c r="AP15" t="inlineStr"/>
      <c r="AQ15" t="inlineStr"/>
      <c r="AR15" t="inlineStr"/>
    </row>
    <row r="16">
      <c r="A16" t="inlineStr">
        <is>
          <t>Sky-Way-Hotel-IHS</t>
        </is>
      </c>
      <c r="B16" t="inlineStr">
        <is>
          <t>LIT_141</t>
        </is>
      </c>
      <c r="C16" t="inlineStr">
        <is>
          <t>Douala</t>
        </is>
      </c>
      <c r="D16" t="inlineStr">
        <is>
          <t>IHS</t>
        </is>
      </c>
      <c r="E16" t="inlineStr">
        <is>
          <t>Grid-Gen-Lithium</t>
        </is>
      </c>
      <c r="F16" t="inlineStr">
        <is>
          <t>LITTORAL</t>
        </is>
      </c>
      <c r="G16" t="inlineStr">
        <is>
          <t>Douala</t>
        </is>
      </c>
      <c r="H16" t="inlineStr">
        <is>
          <t>ZTE</t>
        </is>
      </c>
      <c r="I16" t="n">
        <v>24.79363030878941</v>
      </c>
      <c r="J16" t="n">
        <v>35.66623291756198</v>
      </c>
      <c r="K16" t="n">
        <v>0</v>
      </c>
      <c r="L16" t="n">
        <v>0</v>
      </c>
      <c r="M16" t="n">
        <v>0</v>
      </c>
      <c r="N16" t="n">
        <v>14.83834514346007</v>
      </c>
      <c r="O16" t="n">
        <v>12.62639785659156</v>
      </c>
      <c r="P16" t="n">
        <v>49.0488752744234</v>
      </c>
      <c r="Q16" t="n">
        <v>31.93616896810517</v>
      </c>
      <c r="R16" t="inlineStr">
        <is>
          <t>Operationnel</t>
        </is>
      </c>
      <c r="S16" t="inlineStr"/>
      <c r="T16" t="inlineStr"/>
      <c r="U16" t="inlineStr"/>
      <c r="V16" t="inlineStr"/>
      <c r="W16" t="inlineStr"/>
      <c r="X16" t="inlineStr">
        <is>
          <t>{05-25-2026 top offenders}: 25.05.26: Besoin d'un FME sur site pour vérifier la chaine antennaire de l'ODU 4.1; PLM-20260525-00000662: FME Njoya activated to check, update ASAP     ;    {05-25-2026 ocm ran 22H}: 25.05.26: Besoin d'un FME sur site pour vérifier la chaine antennaire de l'ODU 4.1; PLM-20260525-00000662: FME Njoya activated to check, update ASAP     ;    {05-25-2026 ocm ran 17H}: 25.05.26: BO TRANS analysis ongoing     ;    {05-25-2026 ticket}: INC-20260525-00012310..25.05.26: Besoin d'un FME sur site pour vérifier la chaine antennaire de l'ODU 4.1; PLM-20260525-00000662: FME Njoya activated to check, update ASAP..problème d énergie..user:ndzie mbene lionnel</t>
        </is>
      </c>
      <c r="Y16" t="inlineStr">
        <is>
          <t>25.05.26 Besoin d'un FME sur site pour vérifier la chaine antennaire de l'ODU 4.1; FME Njoya activated to check, update ASAP 25.05.26 Besoin d'un FME sur site pour vérifier la chaine antennaire de l'ODU 4.1; FME Njoya activated to check, update ASAP 25.05.26 BO TRANS analysis ongoing .25.05.26 Besoin d'un FME sur site pour vérifier la chaine antennaire de l'ODU 4.1; FME Njoya activated to check, update ASAP.problème d énergie.user ndzie mbene lionnel</t>
        </is>
      </c>
      <c r="Z16" t="inlineStr"/>
      <c r="AA16" t="inlineStr"/>
      <c r="AB16" t="inlineStr">
        <is>
          <t>{05-25-2026 top offenders}: 25.05.26: Besoin d'un FME sur site pour vérifier la chaine antennaire de l'ODU 4.1; PLM-20260525-00000662: FME Njoya activated to check, update ASAP</t>
        </is>
      </c>
      <c r="AC16" t="inlineStr"/>
      <c r="AD16" t="inlineStr"/>
      <c r="AE16" t="inlineStr"/>
      <c r="AF16" t="inlineStr"/>
      <c r="AG16" t="inlineStr"/>
      <c r="AH16" t="inlineStr"/>
      <c r="AI16" t="inlineStr"/>
      <c r="AJ16" t="inlineStr"/>
      <c r="AK16" t="inlineStr"/>
      <c r="AL16" t="inlineStr"/>
      <c r="AM16" t="inlineStr"/>
      <c r="AN16" t="inlineStr"/>
      <c r="AO16" t="inlineStr">
        <is>
          <t>{05-25-2026 ocm ran 22H}: 25.05.26: Besoin d'un FME sur site pour vérifier la chaine antennaire de l'ODU 4.1; PLM-20260525-00000662: FME Njoya activated to check, update ASAP</t>
        </is>
      </c>
      <c r="AP16" t="inlineStr">
        <is>
          <t>{05-25-2026 ocm ran 17H}: 25.05.26: BO TRANS analysis ongoing</t>
        </is>
      </c>
      <c r="AQ16" t="inlineStr">
        <is>
          <t>{05-25-2026 ticket}: INC-20260525-00012310..25.05.26: Besoin d'un FME sur site pour vérifier la chaine antennaire de l'ODU 4.1; PLM-20260525-00000662: FME Njoya activated to check, update ASAP..problème d énergie..user:ndzie mbene lionnel</t>
        </is>
      </c>
      <c r="AR16" t="inlineStr"/>
    </row>
    <row r="17">
      <c r="A17" t="inlineStr">
        <is>
          <t>CTR_934_Z_Nkolbisson-II-MTN</t>
        </is>
      </c>
      <c r="B17" t="inlineStr">
        <is>
          <t>CTR_934</t>
        </is>
      </c>
      <c r="C17" t="inlineStr">
        <is>
          <t>Yaounde</t>
        </is>
      </c>
      <c r="D17" t="inlineStr">
        <is>
          <t>ESCO</t>
        </is>
      </c>
      <c r="E17" t="inlineStr">
        <is>
          <t>Hybrid Solar - S1</t>
        </is>
      </c>
      <c r="F17" t="inlineStr">
        <is>
          <t>CTR</t>
        </is>
      </c>
      <c r="G17" t="inlineStr">
        <is>
          <t>Yaoundé</t>
        </is>
      </c>
      <c r="H17" t="inlineStr">
        <is>
          <t>ZTE</t>
        </is>
      </c>
      <c r="I17" t="n">
        <v>0</v>
      </c>
      <c r="J17" t="n">
        <v>0</v>
      </c>
      <c r="K17" t="n">
        <v>37.50873918837552</v>
      </c>
      <c r="L17" t="n">
        <v>37.08822371180796</v>
      </c>
      <c r="M17" t="n">
        <v>18.45775440669114</v>
      </c>
      <c r="N17" t="n">
        <v>18.11573024951141</v>
      </c>
      <c r="O17" t="n">
        <v>15.55280149331375</v>
      </c>
      <c r="P17" t="n">
        <v>45.82662322951755</v>
      </c>
      <c r="Q17" t="n">
        <v>31.7062391384373</v>
      </c>
      <c r="R17" t="inlineStr">
        <is>
          <t>Operationnel</t>
        </is>
      </c>
      <c r="S17" t="inlineStr"/>
      <c r="T17" t="inlineStr"/>
      <c r="U17" t="inlineStr"/>
      <c r="V17" t="inlineStr"/>
      <c r="W17" t="inlineStr"/>
      <c r="X17" t="inlineStr">
        <is>
          <t>{05-25-2026 top offenders}: 25.05.26: Power alarms; Camusat feedack awaiting     ;    {05-25-2026 ocm ran 22H}: 25.05.26: Power alarms; Camusat feedack awaiting     ;    {05-25-2026 ocm ran 17H}: Power status check Ongoing</t>
        </is>
      </c>
      <c r="Y17" t="inlineStr">
        <is>
          <t>25.05.26 Power alarms; Camusat feedack awaiting 25.05.26 Power alarms; Camusat feedack awaiting</t>
        </is>
      </c>
      <c r="Z17" t="inlineStr"/>
      <c r="AA17" t="inlineStr"/>
      <c r="AB17" t="inlineStr">
        <is>
          <t>{05-25-2026 top offenders}: 25.05.26: Power alarms; Camusat feedack awaiting</t>
        </is>
      </c>
      <c r="AC17" t="inlineStr"/>
      <c r="AD17" t="inlineStr"/>
      <c r="AE17" t="inlineStr"/>
      <c r="AF17" t="inlineStr"/>
      <c r="AG17" t="inlineStr"/>
      <c r="AH17" t="inlineStr"/>
      <c r="AI17" t="inlineStr"/>
      <c r="AJ17" t="inlineStr"/>
      <c r="AK17" t="inlineStr"/>
      <c r="AL17" t="inlineStr"/>
      <c r="AM17" t="inlineStr"/>
      <c r="AN17" t="inlineStr"/>
      <c r="AO17" t="inlineStr">
        <is>
          <t>{05-25-2026 ocm ran 22H}: 25.05.26: Power alarms; Camusat feedack awaiting</t>
        </is>
      </c>
      <c r="AP17" t="inlineStr">
        <is>
          <t>{05-25-2026 ocm ran 17H}: Power status check Ongoing</t>
        </is>
      </c>
      <c r="AQ17" t="inlineStr"/>
      <c r="AR17" t="inlineStr"/>
    </row>
    <row r="18">
      <c r="A18" t="inlineStr">
        <is>
          <t>Ngodi-Akwa</t>
        </is>
      </c>
      <c r="B18" t="inlineStr">
        <is>
          <t>LIT_460</t>
        </is>
      </c>
      <c r="C18" t="inlineStr">
        <is>
          <t>Douala</t>
        </is>
      </c>
      <c r="D18" t="inlineStr">
        <is>
          <t>IHS</t>
        </is>
      </c>
      <c r="E18" t="inlineStr">
        <is>
          <t>GridOnly</t>
        </is>
      </c>
      <c r="F18" t="inlineStr">
        <is>
          <t>LITTORAL</t>
        </is>
      </c>
      <c r="G18" t="inlineStr">
        <is>
          <t>Douala</t>
        </is>
      </c>
      <c r="H18" t="inlineStr">
        <is>
          <t>ZTE</t>
        </is>
      </c>
      <c r="I18" t="n">
        <v>0</v>
      </c>
      <c r="J18" t="n">
        <v>0</v>
      </c>
      <c r="K18" t="n">
        <v>0</v>
      </c>
      <c r="L18" t="n">
        <v>0</v>
      </c>
      <c r="M18" t="n">
        <v>6.443492764665427</v>
      </c>
      <c r="N18" t="n">
        <v>27.42232493635321</v>
      </c>
      <c r="O18" t="n">
        <v>23.43672967009054</v>
      </c>
      <c r="P18" t="n">
        <v>37.85976006146208</v>
      </c>
      <c r="Q18" t="n">
        <v>31.52731763275718</v>
      </c>
      <c r="R18" t="inlineStr">
        <is>
          <t>Operationnel</t>
        </is>
      </c>
      <c r="S18" t="inlineStr"/>
      <c r="T18" t="inlineStr"/>
      <c r="U18" t="inlineStr"/>
      <c r="V18" t="inlineStr"/>
      <c r="W18" t="inlineStr"/>
      <c r="X18" t="inlineStr">
        <is>
          <t>{05-25-2026 top offenders}: 25.05.26: IHS: 2 V : Grid outage, no space to deploy MDG, awaiting grid return     ;    {None hourly IHS}: 25-05-2026 19:37:56..3:22:04..Grid outage, no space to deploy MDG, awaiting grid return     ;    {05-25-2026 ocm ran 17H}: 25.05.26: IHS: 2 V : Grid outage, no space to deploy MDG, awaiting grid return     ;    {05-25-2026 ticket}: INC-20260525-00021268..Grid Outage</t>
        </is>
      </c>
      <c r="Y18" t="inlineStr">
        <is>
          <t>25.05.26 IHS 2 V Grid outage, no space to deploy MDG, awaiting grid return 25-05-2026 19 37 56.3 22 04.Grid outage, no space to deploy MDG, awaiting grid return 25.05.26 IHS 2 V Grid outage, no space to deploy MDG, awaiting grid return .Grid Outage</t>
        </is>
      </c>
      <c r="Z18" t="inlineStr"/>
      <c r="AA18" t="inlineStr"/>
      <c r="AB18" t="inlineStr">
        <is>
          <t>{05-25-2026 top offenders}: 25.05.26: IHS: 2 V : Grid outage, no space to deploy MDG, awaiting grid return</t>
        </is>
      </c>
      <c r="AC18" t="inlineStr"/>
      <c r="AD18" t="inlineStr"/>
      <c r="AE18" t="inlineStr">
        <is>
          <t>{None hourly IHS}: 25-05-2026 19:37:56..3:22:04..Grid outage, no space to deploy MDG, awaiting grid return</t>
        </is>
      </c>
      <c r="AF18" t="inlineStr"/>
      <c r="AG18" t="inlineStr"/>
      <c r="AH18" t="inlineStr"/>
      <c r="AI18" t="inlineStr"/>
      <c r="AJ18" t="inlineStr"/>
      <c r="AK18" t="inlineStr"/>
      <c r="AL18" t="inlineStr"/>
      <c r="AM18" t="inlineStr"/>
      <c r="AN18" t="inlineStr"/>
      <c r="AO18" t="inlineStr"/>
      <c r="AP18" t="inlineStr">
        <is>
          <t>{05-25-2026 ocm ran 17H}: 25.05.26: IHS: 2 V : Grid outage, no space to deploy MDG, awaiting grid return</t>
        </is>
      </c>
      <c r="AQ18" t="inlineStr">
        <is>
          <t>{05-25-2026 ticket}: INC-20260525-00021268..Grid Outage</t>
        </is>
      </c>
      <c r="AR18" t="inlineStr"/>
    </row>
    <row r="19">
      <c r="A19" t="inlineStr">
        <is>
          <t>PK13-Sitabac-New</t>
        </is>
      </c>
      <c r="B19" t="inlineStr">
        <is>
          <t>LIT_667</t>
        </is>
      </c>
      <c r="C19" t="inlineStr">
        <is>
          <t>Douala</t>
        </is>
      </c>
      <c r="D19" t="inlineStr">
        <is>
          <t>CAMUSAT</t>
        </is>
      </c>
      <c r="E19" t="inlineStr">
        <is>
          <t>Medium Grid + GE</t>
        </is>
      </c>
      <c r="F19" t="inlineStr">
        <is>
          <t>LITTORAL</t>
        </is>
      </c>
      <c r="G19" t="inlineStr">
        <is>
          <t>Douala</t>
        </is>
      </c>
      <c r="H19" t="inlineStr">
        <is>
          <t>ZTE</t>
        </is>
      </c>
      <c r="I19" t="n">
        <v>0</v>
      </c>
      <c r="J19" t="n">
        <v>5.71703435464126</v>
      </c>
      <c r="K19" t="n">
        <v>0</v>
      </c>
      <c r="L19" t="n">
        <v>15.17231895968701</v>
      </c>
      <c r="M19" t="n">
        <v>0</v>
      </c>
      <c r="N19" t="n">
        <v>13.31324512707377</v>
      </c>
      <c r="O19" t="n">
        <v>11.43143022532309</v>
      </c>
      <c r="P19" t="n">
        <v>44.32362153537028</v>
      </c>
      <c r="Q19" t="n">
        <v>28.85305464953359</v>
      </c>
      <c r="R19" t="inlineStr">
        <is>
          <t>Operationnel</t>
        </is>
      </c>
      <c r="S19" t="inlineStr"/>
      <c r="T19" t="inlineStr"/>
      <c r="U19" t="inlineStr"/>
      <c r="V19" t="inlineStr"/>
      <c r="W19" t="inlineStr"/>
      <c r="X19" t="inlineStr">
        <is>
          <t>{05-25-2026 top offenders}: 25.05.26: Camusat: investigations ongoing / FME is trying to get level0     ;    {05-25-2026 retour CAMUSAT}: Relais de démarrage HS suite aux mauvaises tensions ENEO     ;    {05-25-2026 ocm ran 17H}: 25.05.26: Camusat: investigations ongoing / FME is trying to get level0     ;    {05-25-2026 ticket}: INC-20260525-00009816..investigations ongoing / FME is trying to get level0..Grid Outage..user:OCM_NOC.CAMUSAT</t>
        </is>
      </c>
      <c r="Y19" t="inlineStr">
        <is>
          <t>25.05.26 Camusat investigations ongoing / FME is trying to get level0 Relais de démarrage HS suite aux mauvaises tensions ENEO 25.05.26 Camusat investigations ongoing / FME is trying to get level0 .investigations ongoing / FME is trying to get level0.Grid Outage.user OCM_NOC.CAMUSAT</t>
        </is>
      </c>
      <c r="Z19" t="inlineStr"/>
      <c r="AA19" t="inlineStr"/>
      <c r="AB19" t="inlineStr">
        <is>
          <t>{05-25-2026 top offenders}: 25.05.26: Camusat: investigations ongoing / FME is trying to get level0</t>
        </is>
      </c>
      <c r="AC19" t="inlineStr">
        <is>
          <t>{05-25-2026 retour CAMUSAT}: Relais de démarrage HS suite aux mauvaises tensions ENEO</t>
        </is>
      </c>
      <c r="AD19" t="inlineStr"/>
      <c r="AE19" t="inlineStr"/>
      <c r="AF19" t="inlineStr"/>
      <c r="AG19" t="inlineStr"/>
      <c r="AH19" t="inlineStr"/>
      <c r="AI19" t="inlineStr"/>
      <c r="AJ19" t="inlineStr"/>
      <c r="AK19" t="inlineStr"/>
      <c r="AL19" t="inlineStr"/>
      <c r="AM19" t="inlineStr"/>
      <c r="AN19" t="inlineStr"/>
      <c r="AO19" t="inlineStr"/>
      <c r="AP19" t="inlineStr">
        <is>
          <t>{05-25-2026 ocm ran 17H}: 25.05.26: Camusat: investigations ongoing / FME is trying to get level0</t>
        </is>
      </c>
      <c r="AQ19" t="inlineStr">
        <is>
          <t>{05-25-2026 ticket}: INC-20260525-00009816..investigations ongoing / FME is trying to get level0..Grid Outage..user:OCM_NOC.CAMUSAT</t>
        </is>
      </c>
      <c r="AR19" t="inlineStr"/>
    </row>
    <row r="20">
      <c r="A20" t="inlineStr">
        <is>
          <t>Makepe-Nodal</t>
        </is>
      </c>
      <c r="B20" t="inlineStr">
        <is>
          <t>LIT_103</t>
        </is>
      </c>
      <c r="C20" t="inlineStr">
        <is>
          <t>Douala</t>
        </is>
      </c>
      <c r="D20" t="inlineStr">
        <is>
          <t>OCM/Strategique</t>
        </is>
      </c>
      <c r="E20" t="inlineStr"/>
      <c r="F20" t="inlineStr">
        <is>
          <t>LITTORAL</t>
        </is>
      </c>
      <c r="G20" t="inlineStr">
        <is>
          <t>Douala</t>
        </is>
      </c>
      <c r="H20" t="inlineStr">
        <is>
          <t>ZTE</t>
        </is>
      </c>
      <c r="I20" t="n">
        <v>0</v>
      </c>
      <c r="J20" t="n">
        <v>0</v>
      </c>
      <c r="K20" t="n">
        <v>0</v>
      </c>
      <c r="L20" t="n">
        <v>0</v>
      </c>
      <c r="M20" t="n">
        <v>55.47422759842826</v>
      </c>
      <c r="N20" t="n">
        <v>0</v>
      </c>
      <c r="O20" t="n">
        <v>0</v>
      </c>
      <c r="P20" t="n">
        <v>54.85287567278879</v>
      </c>
      <c r="Q20" t="n">
        <v>28.60514706092177</v>
      </c>
      <c r="R20" t="inlineStr">
        <is>
          <t>Operationnel</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row>
    <row r="21">
      <c r="A21" t="inlineStr">
        <is>
          <t>Mbalgong-Carrefour</t>
        </is>
      </c>
      <c r="B21" t="inlineStr">
        <is>
          <t>CTR_831</t>
        </is>
      </c>
      <c r="C21" t="inlineStr">
        <is>
          <t>Yaounde</t>
        </is>
      </c>
      <c r="D21" t="inlineStr">
        <is>
          <t>CAMUSAT</t>
        </is>
      </c>
      <c r="E21" t="inlineStr">
        <is>
          <t>Good Grid no GE - 8h</t>
        </is>
      </c>
      <c r="F21" t="inlineStr">
        <is>
          <t>CENTRE</t>
        </is>
      </c>
      <c r="G21" t="inlineStr">
        <is>
          <t>Yaounde</t>
        </is>
      </c>
      <c r="H21" t="inlineStr">
        <is>
          <t>ZTE</t>
        </is>
      </c>
      <c r="I21" t="n">
        <v>0.6191804139450341</v>
      </c>
      <c r="J21" t="n">
        <v>1.846661844061489</v>
      </c>
      <c r="K21" t="n">
        <v>3.194530052820368</v>
      </c>
      <c r="L21" t="n">
        <v>0.04927832139096475</v>
      </c>
      <c r="M21" t="n">
        <v>0.001872683223326521</v>
      </c>
      <c r="N21" t="n">
        <v>15.32306491772878</v>
      </c>
      <c r="O21" t="n">
        <v>13.01900047941083</v>
      </c>
      <c r="P21" t="n">
        <v>42.02836930660347</v>
      </c>
      <c r="Q21" t="n">
        <v>28.47607459913878</v>
      </c>
      <c r="R21" t="inlineStr">
        <is>
          <t>Operationnel</t>
        </is>
      </c>
      <c r="S21" t="inlineStr"/>
      <c r="T21" t="inlineStr"/>
      <c r="U21" t="inlineStr"/>
      <c r="V21" t="inlineStr"/>
      <c r="W21" t="inlineStr"/>
      <c r="X21" t="inlineStr">
        <is>
          <t>{05-25-2026 top offenders}: Power status check Ongoing     ;    {05-25-2026 ticket}: INC-20260525-00003684..power issues..Others</t>
        </is>
      </c>
      <c r="Y21" t="inlineStr">
        <is>
          <t>.power issues.</t>
        </is>
      </c>
      <c r="Z21" t="inlineStr"/>
      <c r="AA21" t="inlineStr"/>
      <c r="AB21" t="inlineStr">
        <is>
          <t>{05-25-2026 top offenders}: Power status check Ongoing</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{05-25-2026 ticket}: INC-20260525-00003684..power issues..Others</t>
        </is>
      </c>
      <c r="AR21" t="inlineStr"/>
    </row>
    <row r="22">
      <c r="A22" t="inlineStr">
        <is>
          <t>Ngo-Njo</t>
        </is>
      </c>
      <c r="B22" t="inlineStr">
        <is>
          <t>LIT_441</t>
        </is>
      </c>
      <c r="C22" t="inlineStr">
        <is>
          <t>Douala</t>
        </is>
      </c>
      <c r="D22" t="inlineStr">
        <is>
          <t>IHS</t>
        </is>
      </c>
      <c r="E22" t="inlineStr">
        <is>
          <t>Grid-Gen</t>
        </is>
      </c>
      <c r="F22" t="inlineStr">
        <is>
          <t>LITTORAL</t>
        </is>
      </c>
      <c r="G22" t="inlineStr">
        <is>
          <t>Douala</t>
        </is>
      </c>
      <c r="H22" t="inlineStr">
        <is>
          <t>ZTE</t>
        </is>
      </c>
      <c r="I22" t="n">
        <v>4.986027999646152</v>
      </c>
      <c r="J22" t="n">
        <v>15.06373900289071</v>
      </c>
      <c r="K22" t="n">
        <v>0</v>
      </c>
      <c r="L22" t="n">
        <v>0</v>
      </c>
      <c r="M22" t="n">
        <v>33.82515345301383</v>
      </c>
      <c r="N22" t="n">
        <v>13.03010683068954</v>
      </c>
      <c r="O22" t="n">
        <v>11.09423822978399</v>
      </c>
      <c r="P22" t="n">
        <v>43.24354106337292</v>
      </c>
      <c r="Q22" t="n">
        <v>28.13617367656585</v>
      </c>
      <c r="R22" t="inlineStr">
        <is>
          <t>Operationnel</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t="inlineStr">
        <is>
          <t>Kye-Ossi</t>
        </is>
      </c>
      <c r="B23" t="inlineStr">
        <is>
          <t>SUD_015</t>
        </is>
      </c>
      <c r="C23" t="inlineStr">
        <is>
          <t>CENTRE</t>
        </is>
      </c>
      <c r="D23" t="inlineStr">
        <is>
          <t>IHS</t>
        </is>
      </c>
      <c r="E23" t="inlineStr">
        <is>
          <t>Solar-Grid-Gen-Lithium</t>
        </is>
      </c>
      <c r="F23" t="inlineStr">
        <is>
          <t>SUD</t>
        </is>
      </c>
      <c r="G23" t="inlineStr">
        <is>
          <t>Kye-Ossi</t>
        </is>
      </c>
      <c r="H23" t="inlineStr">
        <is>
          <t>ZTE</t>
        </is>
      </c>
      <c r="I23" t="n">
        <v>0.4336599292874816</v>
      </c>
      <c r="J23" t="n">
        <v>0</v>
      </c>
      <c r="K23" t="n">
        <v>0.6535486098626561</v>
      </c>
      <c r="L23" t="n">
        <v>0.9584571087768565</v>
      </c>
      <c r="M23" t="n">
        <v>3.496691949673689</v>
      </c>
      <c r="N23" t="n">
        <v>25.4773259555012</v>
      </c>
      <c r="O23" t="n">
        <v>21.74078196667245</v>
      </c>
      <c r="P23" t="n">
        <v>32.77273528182162</v>
      </c>
      <c r="Q23" t="n">
        <v>28.02739753390805</v>
      </c>
      <c r="R23" t="inlineStr">
        <is>
          <t>Operationnel</t>
        </is>
      </c>
      <c r="S23" t="inlineStr"/>
      <c r="T23" t="inlineStr"/>
      <c r="U23" t="inlineStr"/>
      <c r="V23" t="inlineStr"/>
      <c r="W23" t="inlineStr"/>
      <c r="X23" t="inlineStr">
        <is>
          <t>{05-25-2026 top offenders}: 25.05.26: Besoin d'un FME sur site pour vérifier le statut de la BBU et son interco avec le MPR_KYE-OSSI_2 S1P6; CM-20260525-00005862; FME Fabrice activé pour investigations, update ASAP     ;    {05-25-2026 ocm ran 17H}: 25.05.26: Besoin d'un FME sur site pour vérifier le statut de la BBU et son interco avec le MPR_KYE-OSSI_2 S1P6; CM-20260525-00005862; FME Fabrice activé pour investigations, update ASAP</t>
        </is>
      </c>
      <c r="Y23" t="inlineStr">
        <is>
          <t>25.05.26 Besoin d'un FME sur site pour vérifier le statut de la BBU et son interco avec le MPR_KYE-OSSI_2 S1P6; FME Fabrice activé pour investigations, update ASAP 25.05.26 Besoin d'un FME sur site pour vérifier le statut de la BBU et son interco avec le MPR_KYE-OSSI_2 S1P6; FME Fabrice activé pour investigations, update ASAP</t>
        </is>
      </c>
      <c r="Z23" t="inlineStr"/>
      <c r="AA23" t="inlineStr"/>
      <c r="AB23" t="inlineStr">
        <is>
          <t>{05-25-2026 top offenders}: 25.05.26: Besoin d'un FME sur site pour vérifier le statut de la BBU et son interco avec le MPR_KYE-OSSI_2 S1P6; CM-20260525-00005862; FME Fabrice activé pour investigations, update ASAP</t>
        </is>
      </c>
      <c r="AC23" t="inlineStr"/>
      <c r="AD23" t="inlineStr"/>
      <c r="AE23" t="inlineStr"/>
      <c r="AF23" t="inlineStr"/>
      <c r="AG23" t="inlineStr"/>
      <c r="AH23" t="inlineStr"/>
      <c r="AI23" t="inlineStr"/>
      <c r="AJ23" t="inlineStr"/>
      <c r="AK23" t="inlineStr"/>
      <c r="AL23" t="inlineStr"/>
      <c r="AM23" t="inlineStr"/>
      <c r="AN23" t="inlineStr"/>
      <c r="AO23" t="inlineStr"/>
      <c r="AP23" t="inlineStr">
        <is>
          <t>{05-25-2026 ocm ran 17H}: 25.05.26: Besoin d'un FME sur site pour vérifier le statut de la BBU et son interco avec le MPR_KYE-OSSI_2 S1P6; CM-20260525-00005862; FME Fabrice activé pour investigations, update ASAP</t>
        </is>
      </c>
      <c r="AQ23" t="inlineStr"/>
      <c r="AR23" t="inlineStr"/>
    </row>
    <row r="24">
      <c r="A24" t="inlineStr">
        <is>
          <t>Soa-University-Stadium</t>
        </is>
      </c>
      <c r="B24" t="inlineStr">
        <is>
          <t>CTR_674</t>
        </is>
      </c>
      <c r="C24" t="inlineStr">
        <is>
          <t>Yaounde</t>
        </is>
      </c>
      <c r="D24" t="inlineStr">
        <is>
          <t>IHS</t>
        </is>
      </c>
      <c r="E24" t="inlineStr">
        <is>
          <t>Grid-Gen</t>
        </is>
      </c>
      <c r="F24" t="inlineStr">
        <is>
          <t>CENTRE</t>
        </is>
      </c>
      <c r="G24" t="inlineStr">
        <is>
          <t>Yaounde</t>
        </is>
      </c>
      <c r="H24" t="inlineStr">
        <is>
          <t>ZTE</t>
        </is>
      </c>
      <c r="I24" t="n">
        <v>0</v>
      </c>
      <c r="J24" t="n">
        <v>2.03061284182711</v>
      </c>
      <c r="K24" t="n">
        <v>0</v>
      </c>
      <c r="L24" t="n">
        <v>0</v>
      </c>
      <c r="M24" t="n">
        <v>27.90207043857171</v>
      </c>
      <c r="N24" t="n">
        <v>32.37293622531563</v>
      </c>
      <c r="O24" t="n">
        <v>27.54062241806665</v>
      </c>
      <c r="P24" t="n">
        <v>26.59417292122215</v>
      </c>
      <c r="Q24" t="n">
        <v>27.73711379921411</v>
      </c>
      <c r="R24" t="inlineStr">
        <is>
          <t>Operationnel</t>
        </is>
      </c>
      <c r="S24" t="inlineStr"/>
      <c r="T24" t="inlineStr"/>
      <c r="U24" t="inlineStr"/>
      <c r="V24" t="inlineStr"/>
      <c r="W24" t="inlineStr"/>
      <c r="X24" t="inlineStr">
        <is>
          <t>{05-25-2026 top offenders}: 25/05/2026 : Need BO RAN analysis     ;    {05/25/2026 cell zte}: 25/05/2026 : Need BO RAN analysis</t>
        </is>
      </c>
      <c r="Y24" t="inlineStr">
        <is>
          <t>25/05/2026 Need BO RAN analysis 25/05/2026 Need BO RAN analysis</t>
        </is>
      </c>
      <c r="Z24" t="inlineStr"/>
      <c r="AA24" t="inlineStr"/>
      <c r="AB24" t="inlineStr">
        <is>
          <t>{05-25-2026 top offenders}: 25/05/2026 : Need BO RAN analysis</t>
        </is>
      </c>
      <c r="AC24" t="inlineStr"/>
      <c r="AD24" t="inlineStr"/>
      <c r="AE24" t="inlineStr"/>
      <c r="AF24" t="inlineStr"/>
      <c r="AG24" t="inlineStr"/>
      <c r="AH24" t="inlineStr"/>
      <c r="AI24" t="inlineStr">
        <is>
          <t>{05/25/2026 cell zte}: 25/05/2026 : Need BO RAN analysis</t>
        </is>
      </c>
      <c r="AJ24" t="inlineStr"/>
      <c r="AK24" t="inlineStr"/>
      <c r="AL24" t="inlineStr"/>
      <c r="AM24" t="inlineStr"/>
      <c r="AN24" t="inlineStr"/>
      <c r="AO24" t="inlineStr"/>
      <c r="AP24" t="inlineStr"/>
      <c r="AQ24" t="inlineStr"/>
      <c r="AR24" t="inlineStr"/>
    </row>
    <row r="25">
      <c r="A25" t="inlineStr">
        <is>
          <t>MUTENGENE-Q12-IHS</t>
        </is>
      </c>
      <c r="B25" t="inlineStr">
        <is>
          <t>SUO_211</t>
        </is>
      </c>
      <c r="C25" t="inlineStr">
        <is>
          <t>SUD-OUEST</t>
        </is>
      </c>
      <c r="D25" t="inlineStr">
        <is>
          <t>IHS</t>
        </is>
      </c>
      <c r="E25" t="inlineStr">
        <is>
          <t>Grid +Gen</t>
        </is>
      </c>
      <c r="F25" t="inlineStr">
        <is>
          <t>SUD-OUEST</t>
        </is>
      </c>
      <c r="G25" t="inlineStr">
        <is>
          <t>Mutengene</t>
        </is>
      </c>
      <c r="H25" t="inlineStr">
        <is>
          <t>Huawei</t>
        </is>
      </c>
      <c r="I25" t="n">
        <v>27.73711379921411</v>
      </c>
      <c r="J25" t="n">
        <v>27.73711379921411</v>
      </c>
      <c r="K25" t="n">
        <v>27.73711379921411</v>
      </c>
      <c r="L25" t="n">
        <v>27.73711379921411</v>
      </c>
      <c r="M25" t="n">
        <v>27.73657874686459</v>
      </c>
      <c r="N25" t="n">
        <v>64.74587245063127</v>
      </c>
      <c r="O25" t="n">
        <v>55.08124483613329</v>
      </c>
      <c r="P25" t="n">
        <v>0</v>
      </c>
      <c r="Q25" t="n">
        <v>27.73711379921411</v>
      </c>
      <c r="R25" t="inlineStr">
        <is>
          <t>Insecurity</t>
        </is>
      </c>
      <c r="S25" t="inlineStr"/>
      <c r="T25" t="inlineStr"/>
      <c r="U25" t="inlineStr"/>
      <c r="V25" t="inlineStr"/>
      <c r="W25" t="inlineStr"/>
      <c r="X25" t="inlineStr">
        <is>
          <t xml:space="preserve">{05-25-2026 ocm ran 22H}: 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    {05-25-2026 ocm ran 17H}: 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Y25" t="inlineStr">
        <is>
          <t>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 Gen Overload. 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 Gen Overload.</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 xml:space="preserve">{05-25-2026 ocm ran 22H}: 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AP25" t="inlineStr">
        <is>
          <t xml:space="preserve">{05-25-2026 ocm ran 17H}: 24/05/2026 nouvel  ODU  UBT-S 3DB29118AA  recu faulty  nouvelle commande en cours 
23/05/2026 FME sur site travaux travaux en cours 
22.05.26: Spare reçue, FME en route pour le site, ETA=11H UTC - FME sur site et travaux en cours avec le BO TX
21/05/2026 ODU UBT-S 3DB29118AA Recu ETA=22/05/2026 8H UTC 
20.05.26: ODU UBT-S 3DB29118AA expedition en cours de bertoua vers Doula ETD=18/05/2026 , EXPEDITION VERS MUTENGE ETD=21/05/2026 
15/05/2026 ODU UBT-S 3DB29118AA expedition en cours de bertoua vers Doula ETD=18/05/2026 , EXPEDITION VERS MUTENGE ETD=19/05/2026 
15/05/2026 ODU UBT-S 3DB29118AA recu fautly Nouvelle en cours en attente de retour SPM UPDATE DANS 1HEURE
14/05/2026 ODU  recu fme sur site intervention en cours 
13/05/2026 ODU toujours en pas recu en attente 
11/05/2026   UBT-S 3DB29118AA ETD=12/05/2026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is>
      </c>
      <c r="AQ25" t="inlineStr"/>
      <c r="AR25" t="inlineStr"/>
    </row>
    <row r="26">
      <c r="A26" t="inlineStr">
        <is>
          <t>LIT_827_Z_Bwang-Bakoko</t>
        </is>
      </c>
      <c r="B26" t="inlineStr">
        <is>
          <t>LIT_827</t>
        </is>
      </c>
      <c r="C26" t="inlineStr">
        <is>
          <t>Douala</t>
        </is>
      </c>
      <c r="D26" t="inlineStr">
        <is>
          <t>ESCO</t>
        </is>
      </c>
      <c r="E26" t="inlineStr">
        <is>
          <t>Good Grid + Solar + GE</t>
        </is>
      </c>
      <c r="F26" t="inlineStr">
        <is>
          <t>LITTORAL</t>
        </is>
      </c>
      <c r="G26" t="inlineStr">
        <is>
          <t>Douala</t>
        </is>
      </c>
      <c r="H26" t="inlineStr">
        <is>
          <t>ZTE</t>
        </is>
      </c>
      <c r="I26" t="n">
        <v>2.351162704425667</v>
      </c>
      <c r="J26" t="n">
        <v>12.95631047875058</v>
      </c>
      <c r="K26" t="n">
        <v>0.9491828680518104</v>
      </c>
      <c r="L26" t="n">
        <v>0.4198912488264521</v>
      </c>
      <c r="M26" t="n">
        <v>7.555349382050206</v>
      </c>
      <c r="N26" t="n">
        <v>23.18786494490606</v>
      </c>
      <c r="O26" t="n">
        <v>20.2090473494701</v>
      </c>
      <c r="P26" t="n">
        <v>32.57885363792964</v>
      </c>
      <c r="Q26" t="n">
        <v>27.08513467624339</v>
      </c>
      <c r="R26" t="inlineStr">
        <is>
          <t>Operationnel</t>
        </is>
      </c>
      <c r="S26" t="inlineStr"/>
      <c r="T26" t="inlineStr"/>
      <c r="U26" t="inlineStr"/>
      <c r="V26" t="inlineStr"/>
      <c r="W26" t="inlineStr"/>
      <c r="X26" t="inlineStr">
        <is>
          <t>{05-25-2026 top offenders}: 25.05.26: Besoin d'un FME sur LIT_563_Yassa-Pesage pour reset physique de l'ODU 4.2; CM-20260525-00007346; FME Marius activé pour investigations, update ASAP     ;    {05-25-2026 retour CAMUSAT}: No power issue      ;    {05-25-2026 ocm ran 22H}: 25.05.26: Besoin d'un FME sur LIT_563_Yassa-Pesage pour reset physique de l'ODU 4.2; CM-20260525-00007346; FME Marius activé pour investigations, update ASAP     ;    {05-25-2026 ocm ran 17H}: Power status check Ongoing     ;    {05-25-2026 ticket}: INC-20260525-00005113..Grid Outage</t>
        </is>
      </c>
      <c r="Y26" t="inlineStr">
        <is>
          <t>25.05.26 Besoin d'un FME sur LIT_563_Yassa-Pesage pour reset physique de l'ODU 4.2; FME Marius activé pour investigations, update ASAP No power issue 25.05.26 Besoin d'un FME sur LIT_563_Yassa-Pesage pour reset physique de l'ODU 4.2; FME Marius activé pour investigations, update ASAP .Grid Outage</t>
        </is>
      </c>
      <c r="Z26" t="inlineStr"/>
      <c r="AA26" t="inlineStr"/>
      <c r="AB26" t="inlineStr">
        <is>
          <t>{05-25-2026 top offenders}: 25.05.26: Besoin d'un FME sur LIT_563_Yassa-Pesage pour reset physique de l'ODU 4.2; CM-20260525-00007346; FME Marius activé pour investigations, update ASAP</t>
        </is>
      </c>
      <c r="AC26" t="inlineStr">
        <is>
          <t xml:space="preserve">{05-25-2026 retour CAMUSAT}: No power issue </t>
        </is>
      </c>
      <c r="AD26" t="inlineStr"/>
      <c r="AE26" t="inlineStr"/>
      <c r="AF26" t="inlineStr"/>
      <c r="AG26" t="inlineStr"/>
      <c r="AH26" t="inlineStr"/>
      <c r="AI26" t="inlineStr"/>
      <c r="AJ26" t="inlineStr"/>
      <c r="AK26" t="inlineStr"/>
      <c r="AL26" t="inlineStr"/>
      <c r="AM26" t="inlineStr"/>
      <c r="AN26" t="inlineStr"/>
      <c r="AO26" t="inlineStr">
        <is>
          <t>{05-25-2026 ocm ran 22H}: 25.05.26: Besoin d'un FME sur LIT_563_Yassa-Pesage pour reset physique de l'ODU 4.2; CM-20260525-00007346; FME Marius activé pour investigations, update ASAP</t>
        </is>
      </c>
      <c r="AP26" t="inlineStr">
        <is>
          <t>{05-25-2026 ocm ran 17H}: Power status check Ongoing</t>
        </is>
      </c>
      <c r="AQ26" t="inlineStr">
        <is>
          <t>{05-25-2026 ticket}: INC-20260525-00005113..Grid Outage</t>
        </is>
      </c>
      <c r="AR26" t="inlineStr"/>
    </row>
    <row r="27">
      <c r="A27" t="inlineStr">
        <is>
          <t>Vallee-Omnisport</t>
        </is>
      </c>
      <c r="B27" t="inlineStr">
        <is>
          <t>CTR_758</t>
        </is>
      </c>
      <c r="C27" t="inlineStr">
        <is>
          <t>Yaounde</t>
        </is>
      </c>
      <c r="D27" t="inlineStr">
        <is>
          <t>CAMUSAT</t>
        </is>
      </c>
      <c r="E27" t="inlineStr">
        <is>
          <t>Good Grid no GE - 8h</t>
        </is>
      </c>
      <c r="F27" t="inlineStr">
        <is>
          <t>CENTRE</t>
        </is>
      </c>
      <c r="G27" t="inlineStr">
        <is>
          <t>Yaounde</t>
        </is>
      </c>
      <c r="H27" t="inlineStr">
        <is>
          <t>ZTE</t>
        </is>
      </c>
      <c r="I27" t="n">
        <v>0</v>
      </c>
      <c r="J27" t="n">
        <v>0</v>
      </c>
      <c r="K27" t="n">
        <v>0</v>
      </c>
      <c r="L27" t="n">
        <v>0.0004280418796175018</v>
      </c>
      <c r="M27" t="n">
        <v>13.86855689960706</v>
      </c>
      <c r="N27" t="n">
        <v>17.04974641199957</v>
      </c>
      <c r="O27" t="n">
        <v>14.59780491039098</v>
      </c>
      <c r="P27" t="n">
        <v>37.68366258670465</v>
      </c>
      <c r="Q27" t="n">
        <v>26.98695257010612</v>
      </c>
      <c r="R27" t="inlineStr">
        <is>
          <t>Operationnel</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row>
    <row r="28">
      <c r="A28" t="inlineStr">
        <is>
          <t>LIT_825_Z_Camp-Bertaud</t>
        </is>
      </c>
      <c r="B28" t="inlineStr">
        <is>
          <t>LIT_825</t>
        </is>
      </c>
      <c r="C28" t="inlineStr">
        <is>
          <t>Douala</t>
        </is>
      </c>
      <c r="D28" t="inlineStr">
        <is>
          <t>ESCO</t>
        </is>
      </c>
      <c r="E28" t="inlineStr">
        <is>
          <t>Good Grid no GE - 8h</t>
        </is>
      </c>
      <c r="F28" t="inlineStr">
        <is>
          <t>LIT</t>
        </is>
      </c>
      <c r="G28" t="inlineStr">
        <is>
          <t>Douala</t>
        </is>
      </c>
      <c r="H28" t="inlineStr">
        <is>
          <t>ZTE</t>
        </is>
      </c>
      <c r="I28" t="n">
        <v>0</v>
      </c>
      <c r="J28" t="n">
        <v>0</v>
      </c>
      <c r="K28" t="n">
        <v>0.5944609953971235</v>
      </c>
      <c r="L28" t="n">
        <v>1.617677273544443</v>
      </c>
      <c r="M28" t="n">
        <v>1.796545273989607</v>
      </c>
      <c r="N28" t="n">
        <v>12.76370454300205</v>
      </c>
      <c r="O28" t="n">
        <v>10.9225343492763</v>
      </c>
      <c r="P28" t="n">
        <v>40.87865697237928</v>
      </c>
      <c r="Q28" t="n">
        <v>26.80722848590173</v>
      </c>
      <c r="R28" t="inlineStr">
        <is>
          <t>Operationnel</t>
        </is>
      </c>
      <c r="S28" t="inlineStr"/>
      <c r="T28" t="inlineStr"/>
      <c r="U28" t="inlineStr"/>
      <c r="V28" t="inlineStr"/>
      <c r="W28" t="inlineStr"/>
      <c r="X28" t="inlineStr">
        <is>
          <t>{05-25-2026 top offenders}: Power status check Ongoing     ;    {05-25-2026 retour CAMUSAT}: Grid outage Grid only site     ;    {05-25-2026 ocm ran 22H}: Power status check Ongoing</t>
        </is>
      </c>
      <c r="Y28" t="inlineStr">
        <is>
          <t>Grid outage Grid only site</t>
        </is>
      </c>
      <c r="Z28" t="inlineStr"/>
      <c r="AA28" t="inlineStr"/>
      <c r="AB28" t="inlineStr">
        <is>
          <t>{05-25-2026 top offenders}: Power status check Ongoing</t>
        </is>
      </c>
      <c r="AC28" t="inlineStr">
        <is>
          <t>{05-25-2026 retour CAMUSAT}: Grid outage Grid only site</t>
        </is>
      </c>
      <c r="AD28" t="inlineStr"/>
      <c r="AE28" t="inlineStr"/>
      <c r="AF28" t="inlineStr"/>
      <c r="AG28" t="inlineStr"/>
      <c r="AH28" t="inlineStr"/>
      <c r="AI28" t="inlineStr"/>
      <c r="AJ28" t="inlineStr"/>
      <c r="AK28" t="inlineStr"/>
      <c r="AL28" t="inlineStr"/>
      <c r="AM28" t="inlineStr"/>
      <c r="AN28" t="inlineStr"/>
      <c r="AO28" t="inlineStr">
        <is>
          <t>{05-25-2026 ocm ran 22H}: Power status check Ongoing</t>
        </is>
      </c>
      <c r="AP28" t="inlineStr"/>
      <c r="AQ28" t="inlineStr"/>
      <c r="AR28" t="inlineStr"/>
    </row>
    <row r="29">
      <c r="A29" t="inlineStr">
        <is>
          <t>Garoua-Hodango</t>
        </is>
      </c>
      <c r="B29" t="inlineStr">
        <is>
          <t>NRD_160</t>
        </is>
      </c>
      <c r="C29" t="inlineStr">
        <is>
          <t>Garoua</t>
        </is>
      </c>
      <c r="D29" t="inlineStr">
        <is>
          <t>CAMUSAT</t>
        </is>
      </c>
      <c r="E29" t="inlineStr">
        <is>
          <t>Hybrid Solar - S3</t>
        </is>
      </c>
      <c r="F29" t="inlineStr">
        <is>
          <t>NORD</t>
        </is>
      </c>
      <c r="G29" t="inlineStr">
        <is>
          <t>Garoua</t>
        </is>
      </c>
      <c r="H29" t="inlineStr">
        <is>
          <t>Huawei</t>
        </is>
      </c>
      <c r="I29" t="n">
        <v>0</v>
      </c>
      <c r="J29" t="n">
        <v>0</v>
      </c>
      <c r="K29" t="n">
        <v>0</v>
      </c>
      <c r="L29" t="n">
        <v>6.994204312949979</v>
      </c>
      <c r="M29" t="n">
        <v>17.14307727868094</v>
      </c>
      <c r="N29" t="n">
        <v>26.0919371405505</v>
      </c>
      <c r="O29" t="n">
        <v>44.5368627830989</v>
      </c>
      <c r="P29" t="n">
        <v>12.69550273930925</v>
      </c>
      <c r="Q29" t="n">
        <v>25.29802415868369</v>
      </c>
      <c r="R29" t="inlineStr">
        <is>
          <t>Operationnel</t>
        </is>
      </c>
      <c r="S29" t="inlineStr"/>
      <c r="T29" t="inlineStr"/>
      <c r="U29" t="inlineStr"/>
      <c r="V29" t="inlineStr"/>
      <c r="W29" t="inlineStr"/>
      <c r="X29" t="inlineStr">
        <is>
          <t>{05-25-2026 top offenders}: IHS: Our FME is informed and managing with L0     ;    {05-25-2026 retour CAMUSAT}: Plantage du contoleur Powercore</t>
        </is>
      </c>
      <c r="Y29" t="inlineStr">
        <is>
          <t>IHS Our FME is informed and managing with L0 Plantage du contoleur Powercore</t>
        </is>
      </c>
      <c r="Z29" t="inlineStr"/>
      <c r="AA29" t="inlineStr"/>
      <c r="AB29" t="inlineStr">
        <is>
          <t>{05-25-2026 top offenders}: IHS: Our FME is informed and managing with L0</t>
        </is>
      </c>
      <c r="AC29" t="inlineStr">
        <is>
          <t>{05-25-2026 retour CAMUSAT}: Plantage du contoleur Powercore</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row>
    <row r="30">
      <c r="A30" t="inlineStr">
        <is>
          <t>Ngd-burkina-rural</t>
        </is>
      </c>
      <c r="B30" t="inlineStr">
        <is>
          <t>ADM_147</t>
        </is>
      </c>
      <c r="C30" t="inlineStr">
        <is>
          <t>Ngaoundere</t>
        </is>
      </c>
      <c r="D30" t="inlineStr">
        <is>
          <t>CAMUSAT</t>
        </is>
      </c>
      <c r="E30" t="inlineStr">
        <is>
          <t>Hybrid Solar - S3</t>
        </is>
      </c>
      <c r="F30" t="inlineStr">
        <is>
          <t>ADAMAOUA</t>
        </is>
      </c>
      <c r="G30" t="inlineStr">
        <is>
          <t>Ngaoundere</t>
        </is>
      </c>
      <c r="H30" t="inlineStr">
        <is>
          <t>Huawei</t>
        </is>
      </c>
      <c r="I30" t="n">
        <v>0</v>
      </c>
      <c r="J30" t="n">
        <v>0</v>
      </c>
      <c r="K30" t="n">
        <v>0</v>
      </c>
      <c r="L30" t="n">
        <v>0</v>
      </c>
      <c r="M30" t="n">
        <v>18.8117272060565</v>
      </c>
      <c r="N30" t="n">
        <v>13.24267912025547</v>
      </c>
      <c r="O30" t="n">
        <v>29.12288005208918</v>
      </c>
      <c r="P30" t="n">
        <v>23.98126807145186</v>
      </c>
      <c r="Q30" t="n">
        <v>24.17389700741654</v>
      </c>
      <c r="R30" t="inlineStr">
        <is>
          <t>EXCLU</t>
        </is>
      </c>
      <c r="S30" t="inlineStr">
        <is>
          <t xml:space="preserve"> Site vendalise</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row>
    <row r="31">
      <c r="A31" t="inlineStr">
        <is>
          <t>Kribi-Hotel-Paradis-IHS</t>
        </is>
      </c>
      <c r="B31" t="inlineStr">
        <is>
          <t>SUD_080</t>
        </is>
      </c>
      <c r="C31" t="inlineStr">
        <is>
          <t>LITTORAL</t>
        </is>
      </c>
      <c r="D31" t="inlineStr">
        <is>
          <t>IHS</t>
        </is>
      </c>
      <c r="E31" t="inlineStr">
        <is>
          <t>Grid-Gen</t>
        </is>
      </c>
      <c r="F31" t="inlineStr">
        <is>
          <t>SUD</t>
        </is>
      </c>
      <c r="G31" t="inlineStr">
        <is>
          <t>Kribi</t>
        </is>
      </c>
      <c r="H31" t="inlineStr">
        <is>
          <t>ZTE</t>
        </is>
      </c>
      <c r="I31" t="n">
        <v>23.11426149934509</v>
      </c>
      <c r="J31" t="n">
        <v>23.11426149934509</v>
      </c>
      <c r="K31" t="n">
        <v>23.11426149934509</v>
      </c>
      <c r="L31" t="n">
        <v>23.11426149934509</v>
      </c>
      <c r="M31" t="n">
        <v>23.11426149934509</v>
      </c>
      <c r="N31" t="n">
        <v>32.37293622531563</v>
      </c>
      <c r="O31" t="n">
        <v>55.08124483613329</v>
      </c>
      <c r="P31" t="n">
        <v>0</v>
      </c>
      <c r="Q31" t="n">
        <v>23.11426149934509</v>
      </c>
      <c r="R31" t="inlineStr">
        <is>
          <t>Operationnel</t>
        </is>
      </c>
      <c r="S31" t="inlineStr"/>
      <c r="T31" t="inlineStr"/>
      <c r="U31" t="inlineStr"/>
      <c r="V31" t="inlineStr"/>
      <c r="W31" t="inlineStr"/>
      <c r="X31" t="inlineStr">
        <is>
          <t>{05-25-2026 top offenders}: 26/05/2026 ODU 7-8GHz (3DB20859AB) et chassis MSS8  3DB18485EA pas disponibles chez Huawei, demande envoyée à OCM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     ;    {05-25-2026 ocm ran 22H}: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     ;    {05-25-2026 ocm ran 17H}: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t>
        </is>
      </c>
      <c r="Y31" t="inlineStr">
        <is>
          <t>26/05/2026 ODU 7-8GHz (3DB20859AB) et chassis MSS8 3DB18485EA pas disponibles chez Huawei, demande envoyée à OCM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FME Lucien activé pour investigations, update ASAP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FME Lucien activé pour investigations, update ASAP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FME Lucien activé pour investigations, update ASAP</t>
        </is>
      </c>
      <c r="Z31" t="inlineStr"/>
      <c r="AA31" t="inlineStr"/>
      <c r="AB31" t="inlineStr">
        <is>
          <t>{05-25-2026 top offenders}: 26/05/2026 ODU 7-8GHz (3DB20859AB) et chassis MSS8  3DB18485EA pas disponibles chez Huawei, demande envoyée à OCM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t>
        </is>
      </c>
      <c r="AC31" t="inlineStr"/>
      <c r="AD31" t="inlineStr"/>
      <c r="AE31" t="inlineStr"/>
      <c r="AF31" t="inlineStr"/>
      <c r="AG31" t="inlineStr"/>
      <c r="AH31" t="inlineStr"/>
      <c r="AI31" t="inlineStr"/>
      <c r="AJ31" t="inlineStr"/>
      <c r="AK31" t="inlineStr"/>
      <c r="AL31" t="inlineStr"/>
      <c r="AM31" t="inlineStr"/>
      <c r="AN31" t="inlineStr"/>
      <c r="AO31" t="inlineStr">
        <is>
          <t>{05-25-2026 ocm ran 22H}: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t>
        </is>
      </c>
      <c r="AP31" t="inlineStr">
        <is>
          <t>{05-25-2026 ocm ran 17H}: 23/05/2026 ODU 7-8GHz (3DB20859AB) et chassis MSS8  3DB18485EA pas disponibles chez Huawei, demande envoyée à OCM
22/05/2026 ODU 7-8GHz (3DB20859AB) et chassis MSS8  3DB18485EA pas disponibles chez Huawei, demande envoyée à OCM
21/05/2026 18.05.2026: Site foudroyé. CoreEvo-1G Disponible, MPT-ACC disponible mais tests cours, ODU(3DB20862AA) disponible mais en test en cours MSS8(3DB18485EA. Et ODU 7-8GHz (3DB20859AB) et chassis MSS8  3DB18485EA pas disponibles chez Huawei, demande envoyée à OCM
18.05.2026: Site foudroyé. CoreEvo-1G Disponible, MPT-ACC disponible mais tests cours, ODU(3DB20862AA) disponible mais en test en cours MSS8(3DB18485EA. Et ODU 7-8GHz (3DB20859AB) et chassis MSS8  3DB18485EA pas disponibles chez Huawei, demande envoyée à OCM
16.05.26: Site foudroyé, chassis MSS8, carte core, carte flash, carte MPT, ODU MPT 18Ghz 3DB20862AA faulty, commande passée et vérifications du SPM en cours
15.05.26: Site foudroyé, plusieurs cartes TX faulty, suite des investigations en hauteur ce 16.05.26
15.05.26: Besoin d'un FME sur site pour vérifier la chaine antennaire de l'ODU 3.2; CM-20260515-00006203; FME Lucien activé pour investigations, update ASAP</t>
        </is>
      </c>
      <c r="AQ31" t="inlineStr"/>
      <c r="AR31" t="inlineStr"/>
    </row>
    <row r="32">
      <c r="A32" t="inlineStr">
        <is>
          <t>Wonya-Mavio-IHS</t>
        </is>
      </c>
      <c r="B32" t="inlineStr">
        <is>
          <t>SUO_195</t>
        </is>
      </c>
      <c r="C32" t="inlineStr">
        <is>
          <t>SUD-OUEST</t>
        </is>
      </c>
      <c r="D32" t="inlineStr">
        <is>
          <t>IHS</t>
        </is>
      </c>
      <c r="E32" t="inlineStr">
        <is>
          <t>Grid-Gen</t>
        </is>
      </c>
      <c r="F32" t="inlineStr">
        <is>
          <t>SUD-OUEST</t>
        </is>
      </c>
      <c r="G32" t="inlineStr">
        <is>
          <t>Buea</t>
        </is>
      </c>
      <c r="H32" t="inlineStr">
        <is>
          <t>Huawei</t>
        </is>
      </c>
      <c r="I32" t="n">
        <v>23.11399397317033</v>
      </c>
      <c r="J32" t="n">
        <v>23.11426149934509</v>
      </c>
      <c r="K32" t="n">
        <v>23.11399397317033</v>
      </c>
      <c r="L32" t="n">
        <v>23.11426149934509</v>
      </c>
      <c r="M32" t="n">
        <v>23.11426149934509</v>
      </c>
      <c r="N32" t="n">
        <v>32.37293622531563</v>
      </c>
      <c r="O32" t="n">
        <v>55.08124483613329</v>
      </c>
      <c r="P32" t="n">
        <v>0</v>
      </c>
      <c r="Q32" t="n">
        <v>23.11426149934509</v>
      </c>
      <c r="R32" t="inlineStr">
        <is>
          <t>Operationnel</t>
        </is>
      </c>
      <c r="S32" t="inlineStr"/>
      <c r="T32" t="inlineStr"/>
      <c r="U32" t="inlineStr"/>
      <c r="V32" t="inlineStr"/>
      <c r="W32" t="inlineStr"/>
      <c r="X32" t="inlineStr">
        <is>
          <t>{05-25-2026 top offenders}: 26/05/2026 Carte EAC faulty. Celle mise à disposition à été utilisée sur Makepe-Orchidée, commande au niveau de OCM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{05-25-2026 retour IHS}: IHS     ;    {05-25-2026 ocm ran 22H}: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{05-25-2026 ocm ran 17H}: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Y32" t="inlineStr">
        <is>
          <t>26/05/2026 Carte EAC faulty. Celle mise à disposition à été utilisée sur Makepe-Orchidée, commande au niveau de OCM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IHS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Z32" t="inlineStr"/>
      <c r="AA32" t="inlineStr"/>
      <c r="AB32" t="inlineStr">
        <is>
          <t>{05-25-2026 top offenders}: 26/05/2026 Carte EAC faulty. Celle mise à disposition à été utilisée sur Makepe-Orchidée, commande au niveau de OCM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C32" t="inlineStr"/>
      <c r="AD32" t="inlineStr">
        <is>
          <t>{05-25-2026 retour IHS}: IHS</t>
        </is>
      </c>
      <c r="AE32" t="inlineStr"/>
      <c r="AF32" t="inlineStr"/>
      <c r="AG32" t="inlineStr"/>
      <c r="AH32" t="inlineStr"/>
      <c r="AI32" t="inlineStr"/>
      <c r="AJ32" t="inlineStr"/>
      <c r="AK32" t="inlineStr"/>
      <c r="AL32" t="inlineStr"/>
      <c r="AM32" t="inlineStr"/>
      <c r="AN32" t="inlineStr"/>
      <c r="AO32" t="inlineStr">
        <is>
          <t>{05-25-2026 ocm ran 22H}: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P32" t="inlineStr">
        <is>
          <t>{05-25-2026 ocm ran 17H}: 23/05/2026 Carte EAC faulty. Celle mise à disposition à été utilisée sur Makepe-Orchidée, commande au niveau de OCM
22/05/2026 Carte EAC faulty. Celle mise à disposition à été utilisée sur Makepe-Orchidée, commande au niveau de OCM
21/05/2026 Carte EAC faulty. Celle mise à disposition à été utilisée sur Makepe-Orchidée, commande au niveau de OCM
18.05.26: Carte EAC faulty. Celle mise à disposition à été utilisée sur Makepe-Orchidée, commande au niveau de OCM
16.05.26: Carte EAC mise à disposition par OCM, ETD=17.05.26 (à confirmer)
15/05/2026 Spare mise a disposition ce jour 
15/05/202612/05/2026 Rapport d’analyse partagé, validé par CEX, validation ING pour mise à disposition pending
06/05/2026 Carte EAC 3DB19417AA faulty, commande passée vers OCM
14/05/202612/05/2026 Rapport d’analyse partagé, validé par CEX, validation ING pour mise à disposition pending
06/05/2026 Carte EAC 3DB19417AA faulty, commande passée vers OCM
12/05/2026 Rapport d’analyse partagé, validé par CEX, validation ING pour mise à disposition pending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is>
      </c>
      <c r="AQ32" t="inlineStr"/>
      <c r="AR32" t="inlineStr"/>
    </row>
    <row r="33">
      <c r="A33" t="inlineStr">
        <is>
          <t>Buea-Hospital</t>
        </is>
      </c>
      <c r="B33" t="inlineStr">
        <is>
          <t>SUO_163</t>
        </is>
      </c>
      <c r="C33" t="inlineStr">
        <is>
          <t>SUD-OUEST</t>
        </is>
      </c>
      <c r="D33" t="inlineStr">
        <is>
          <t>IHS</t>
        </is>
      </c>
      <c r="E33" t="inlineStr">
        <is>
          <t>Grid-Gen</t>
        </is>
      </c>
      <c r="F33" t="inlineStr">
        <is>
          <t>SUD-OUEST</t>
        </is>
      </c>
      <c r="G33" t="inlineStr">
        <is>
          <t>Buea</t>
        </is>
      </c>
      <c r="H33" t="inlineStr">
        <is>
          <t>Huawei</t>
        </is>
      </c>
      <c r="I33" t="n">
        <v>0</v>
      </c>
      <c r="J33" t="n">
        <v>0</v>
      </c>
      <c r="K33" t="n">
        <v>0</v>
      </c>
      <c r="L33" t="n">
        <v>0</v>
      </c>
      <c r="M33" t="n">
        <v>10.20558851478029</v>
      </c>
      <c r="N33" t="n">
        <v>32.37293622531563</v>
      </c>
      <c r="O33" t="n">
        <v>55.08124483613329</v>
      </c>
      <c r="P33" t="n">
        <v>0</v>
      </c>
      <c r="Q33" t="n">
        <v>23.11426149934509</v>
      </c>
      <c r="R33" t="inlineStr">
        <is>
          <t>Operationnel</t>
        </is>
      </c>
      <c r="S33" t="inlineStr"/>
      <c r="T33" t="inlineStr"/>
      <c r="U33" t="inlineStr"/>
      <c r="V33" t="inlineStr"/>
      <c r="W33" t="inlineStr"/>
      <c r="X33" t="inlineStr">
        <is>
          <t>{05-25-2026 top offenders}: 26/05/2026 FME sur site investigation en cours 
25.05.26: Besoin d'un FME sur site pour vérifier le statut de la BBU et son interco avec le MPR S1P5; CM-20260525-00005675; FME Fabien activé pour investigations, update ASAP
24/05/2026 IHS: FME is managing with level 0     ;    {05-25-2026 ocm ran 22H}: 25.05.26: Besoin d'un FME sur site pour vérifier le statut de la BBU et son interco avec le MPR S1P5; CM-20260525-00005675; FME Fabien activé pour investigations, update ASAP
24/05/2026 IHS: FME is managing with level 0     ;    {05-25-2026 ocm ran 17H}: 25.05.26: Besoin d'un FME sur site pour vérifier le statut de la BBU et son interco avec le MPR S1P5; CM-20260525-00005675; FME Fabien activé pour investigations, update ASAP
24/05/2026 IHS: FME is managing with level 0</t>
        </is>
      </c>
      <c r="Y33" t="inlineStr">
        <is>
          <t>26/05/2026 FME sur site investigation en cours
25.05.26 Besoin d'un FME sur site pour vérifier le statut de la BBU et son interco avec le MPR S1P5; FME Fabien activé pour investigations, update ASAP
24/05/2026 IHS FME is managing with level 0 25.05.26 Besoin d'un FME sur site pour vérifier le statut de la BBU et son interco avec le MPR S1P5; FME Fabien activé pour investigations, update ASAP
24/05/2026 IHS FME is managing with level 0 25.05.26 Besoin d'un FME sur site pour vérifier le statut de la BBU et son interco avec le MPR S1P5; FME Fabien activé pour investigations, update ASAP
24/05/2026 IHS FME is managing with level 0</t>
        </is>
      </c>
      <c r="Z33" t="inlineStr"/>
      <c r="AA33" t="inlineStr"/>
      <c r="AB33" t="inlineStr">
        <is>
          <t>{05-25-2026 top offenders}: 26/05/2026 FME sur site investigation en cours 
25.05.26: Besoin d'un FME sur site pour vérifier le statut de la BBU et son interco avec le MPR S1P5; CM-20260525-00005675; FME Fabien activé pour investigations, update ASAP
24/05/2026 IHS: FME is managing with level 0</t>
        </is>
      </c>
      <c r="AC33" t="inlineStr"/>
      <c r="AD33" t="inlineStr"/>
      <c r="AE33" t="inlineStr"/>
      <c r="AF33" t="inlineStr"/>
      <c r="AG33" t="inlineStr"/>
      <c r="AH33" t="inlineStr"/>
      <c r="AI33" t="inlineStr"/>
      <c r="AJ33" t="inlineStr"/>
      <c r="AK33" t="inlineStr"/>
      <c r="AL33" t="inlineStr"/>
      <c r="AM33" t="inlineStr"/>
      <c r="AN33" t="inlineStr"/>
      <c r="AO33" t="inlineStr">
        <is>
          <t>{05-25-2026 ocm ran 22H}: 25.05.26: Besoin d'un FME sur site pour vérifier le statut de la BBU et son interco avec le MPR S1P5; CM-20260525-00005675; FME Fabien activé pour investigations, update ASAP
24/05/2026 IHS: FME is managing with level 0</t>
        </is>
      </c>
      <c r="AP33" t="inlineStr">
        <is>
          <t>{05-25-2026 ocm ran 17H}: 25.05.26: Besoin d'un FME sur site pour vérifier le statut de la BBU et son interco avec le MPR S1P5; CM-20260525-00005675; FME Fabien activé pour investigations, update ASAP
24/05/2026 IHS: FME is managing with level 0</t>
        </is>
      </c>
      <c r="AQ33" t="inlineStr"/>
      <c r="AR33" t="inlineStr"/>
    </row>
    <row r="34">
      <c r="A34" t="inlineStr">
        <is>
          <t>Bamenda-ATTIAH-IHS</t>
        </is>
      </c>
      <c r="B34" t="inlineStr">
        <is>
          <t>NRO_127</t>
        </is>
      </c>
      <c r="C34" t="inlineStr">
        <is>
          <t>NORD-OUEST</t>
        </is>
      </c>
      <c r="D34" t="inlineStr">
        <is>
          <t>IHS</t>
        </is>
      </c>
      <c r="E34" t="inlineStr">
        <is>
          <t>Grid-Gen</t>
        </is>
      </c>
      <c r="F34" t="inlineStr">
        <is>
          <t>NORD-OUEST</t>
        </is>
      </c>
      <c r="G34" t="inlineStr">
        <is>
          <t>Bamenda</t>
        </is>
      </c>
      <c r="H34" t="inlineStr">
        <is>
          <t>Huawei</t>
        </is>
      </c>
      <c r="I34" t="n">
        <v>4.02241655323557</v>
      </c>
      <c r="J34" t="n">
        <v>0.1955616337502461</v>
      </c>
      <c r="K34" t="n">
        <v>1.339503557028019</v>
      </c>
      <c r="L34" t="n">
        <v>1.871078066278005</v>
      </c>
      <c r="M34" t="n">
        <v>10.01617998304954</v>
      </c>
      <c r="N34" t="n">
        <v>32.37293622531563</v>
      </c>
      <c r="O34" t="n">
        <v>55.08124483613329</v>
      </c>
      <c r="P34" t="n">
        <v>0</v>
      </c>
      <c r="Q34" t="n">
        <v>23.11426149934509</v>
      </c>
      <c r="R34" t="inlineStr">
        <is>
          <t>Operationnel</t>
        </is>
      </c>
      <c r="S34" t="inlineStr"/>
      <c r="T34" t="inlineStr"/>
      <c r="U34" t="inlineStr"/>
      <c r="V34" t="inlineStr"/>
      <c r="W34" t="inlineStr"/>
      <c r="X34" t="inlineStr">
        <is>
          <t>{05-25-2026 top offenders}: 25.05.26: IHS: 44v : FME Pascal is managing with level 0
24/05/2026 IHS: FME Pascal is managing with level 0     ;    {05-25-2026 ocm ran 22H}: 25.05.26: IHS: 44v : FME Pascal is managing with level 0
24/05/2026 IHS: FME Pascal is managing with level 0     ;    {05-25-2026 ocm ran 17H}: 25.05.26: IHS: 44v : FME Pascal is managing with level 0
24/05/2026 IHS: FME Pascal is managing with level 0</t>
        </is>
      </c>
      <c r="Y34" t="inlineStr">
        <is>
          <t>25.05.26 IHS 44v FME Pascal is managing with level 0
24/05/2026 IHS FME Pascal is managing with level 0 25.05.26 IHS 44v FME Pascal is managing with level 0
24/05/2026 IHS FME Pascal is managing with level 0 25.05.26 IHS 44v FME Pascal is managing with level 0
24/05/2026 IHS FME Pascal is managing with level 0</t>
        </is>
      </c>
      <c r="Z34" t="inlineStr"/>
      <c r="AA34" t="inlineStr"/>
      <c r="AB34" t="inlineStr">
        <is>
          <t>{05-25-2026 top offenders}: 25.05.26: IHS: 44v : FME Pascal is managing with level 0
24/05/2026 IHS: FME Pascal is managing with level 0</t>
        </is>
      </c>
      <c r="AC34" t="inlineStr"/>
      <c r="AD34" t="inlineStr"/>
      <c r="AE34" t="inlineStr"/>
      <c r="AF34" t="inlineStr"/>
      <c r="AG34" t="inlineStr"/>
      <c r="AH34" t="inlineStr"/>
      <c r="AI34" t="inlineStr"/>
      <c r="AJ34" t="inlineStr"/>
      <c r="AK34" t="inlineStr"/>
      <c r="AL34" t="inlineStr"/>
      <c r="AM34" t="inlineStr"/>
      <c r="AN34" t="inlineStr"/>
      <c r="AO34" t="inlineStr">
        <is>
          <t>{05-25-2026 ocm ran 22H}: 25.05.26: IHS: 44v : FME Pascal is managing with level 0
24/05/2026 IHS: FME Pascal is managing with level 0</t>
        </is>
      </c>
      <c r="AP34" t="inlineStr">
        <is>
          <t>{05-25-2026 ocm ran 17H}: 25.05.26: IHS: 44v : FME Pascal is managing with level 0
24/05/2026 IHS: FME Pascal is managing with level 0</t>
        </is>
      </c>
      <c r="AQ34" t="inlineStr"/>
      <c r="AR34" t="inlineStr"/>
    </row>
    <row r="35">
      <c r="A35" t="inlineStr">
        <is>
          <t>Bamenda-Meta-Quater-IHS</t>
        </is>
      </c>
      <c r="B35" t="inlineStr">
        <is>
          <t>NRO_070</t>
        </is>
      </c>
      <c r="C35" t="inlineStr">
        <is>
          <t>NORD-OUEST</t>
        </is>
      </c>
      <c r="D35" t="inlineStr">
        <is>
          <t>IHS</t>
        </is>
      </c>
      <c r="E35" t="inlineStr">
        <is>
          <t>Grid-Gen</t>
        </is>
      </c>
      <c r="F35" t="inlineStr">
        <is>
          <t>NORD-OUEST</t>
        </is>
      </c>
      <c r="G35" t="inlineStr">
        <is>
          <t>Bamenda</t>
        </is>
      </c>
      <c r="H35" t="inlineStr">
        <is>
          <t>Huawei</t>
        </is>
      </c>
      <c r="I35" t="n">
        <v>0</v>
      </c>
      <c r="J35" t="n">
        <v>0</v>
      </c>
      <c r="K35" t="n">
        <v>0</v>
      </c>
      <c r="L35" t="n">
        <v>0</v>
      </c>
      <c r="M35" t="n">
        <v>5.591921280244726</v>
      </c>
      <c r="N35" t="n">
        <v>32.37293622531563</v>
      </c>
      <c r="O35" t="n">
        <v>55.08124483613329</v>
      </c>
      <c r="P35" t="n">
        <v>0</v>
      </c>
      <c r="Q35" t="n">
        <v>23.11426149934509</v>
      </c>
      <c r="R35" t="inlineStr">
        <is>
          <t>Operationnel</t>
        </is>
      </c>
      <c r="S35" t="inlineStr"/>
      <c r="T35" t="inlineStr"/>
      <c r="U35" t="inlineStr"/>
      <c r="V35" t="inlineStr"/>
      <c r="W35" t="inlineStr"/>
      <c r="X35" t="inlineStr">
        <is>
          <t>{05-25-2026 top offenders}: 26/05/2026 IHS: 36v : IENG Ibrahim is informed
25.05.26: IHS: 36v : IENG Ibrahim is informed.     ;    {05-25-2026 ocm ran 22H}: 25.05.26: IHS: 36v : IENG Ibrahim is informed.     ;    {05-25-2026 ocm ran 17H}: 25.05.26: IHS: 36v : IENG Ibrahim is informed.</t>
        </is>
      </c>
      <c r="Y35" t="inlineStr">
        <is>
          <t>26/05/2026 IHS 36v IENG Ibrahim is informed
25.05.26 IHS 36v IENG Ibrahim is informed. 25.05.26 IHS 36v IENG Ibrahim is informed. 25.05.26 IHS 36v IENG Ibrahim is informed.</t>
        </is>
      </c>
      <c r="Z35" t="inlineStr"/>
      <c r="AA35" t="inlineStr"/>
      <c r="AB35" t="inlineStr">
        <is>
          <t>{05-25-2026 top offenders}: 26/05/2026 IHS: 36v : IENG Ibrahim is informed
25.05.26: IHS: 36v : IENG Ibrahim is informed.</t>
        </is>
      </c>
      <c r="AC35" t="inlineStr"/>
      <c r="AD35" t="inlineStr"/>
      <c r="AE35" t="inlineStr"/>
      <c r="AF35" t="inlineStr"/>
      <c r="AG35" t="inlineStr"/>
      <c r="AH35" t="inlineStr"/>
      <c r="AI35" t="inlineStr"/>
      <c r="AJ35" t="inlineStr"/>
      <c r="AK35" t="inlineStr"/>
      <c r="AL35" t="inlineStr"/>
      <c r="AM35" t="inlineStr"/>
      <c r="AN35" t="inlineStr"/>
      <c r="AO35" t="inlineStr">
        <is>
          <t>{05-25-2026 ocm ran 22H}: 25.05.26: IHS: 36v : IENG Ibrahim is informed.</t>
        </is>
      </c>
      <c r="AP35" t="inlineStr">
        <is>
          <t>{05-25-2026 ocm ran 17H}: 25.05.26: IHS: 36v : IENG Ibrahim is informed.</t>
        </is>
      </c>
      <c r="AQ35" t="inlineStr"/>
      <c r="AR35" t="inlineStr"/>
    </row>
    <row r="36">
      <c r="A36" t="inlineStr">
        <is>
          <t>OST_406_H_Chefferie-Bangangte</t>
        </is>
      </c>
      <c r="B36" t="inlineStr">
        <is>
          <t>OST_406</t>
        </is>
      </c>
      <c r="C36" t="inlineStr">
        <is>
          <t>OUEST</t>
        </is>
      </c>
      <c r="D36" t="inlineStr">
        <is>
          <t>ESCO</t>
        </is>
      </c>
      <c r="E36" t="inlineStr">
        <is>
          <t>Hybrid Solar - S1</t>
        </is>
      </c>
      <c r="F36" t="inlineStr">
        <is>
          <t>OST</t>
        </is>
      </c>
      <c r="G36" t="inlineStr">
        <is>
          <t>Bangante</t>
        </is>
      </c>
      <c r="H36" t="inlineStr">
        <is>
          <t>Huawei</t>
        </is>
      </c>
      <c r="I36" t="n">
        <v>23.11426149934509</v>
      </c>
      <c r="J36" t="n">
        <v>23.11399397317033</v>
      </c>
      <c r="K36" t="n">
        <v>23.11426149934509</v>
      </c>
      <c r="L36" t="n">
        <v>23.11399397317033</v>
      </c>
      <c r="M36" t="n">
        <v>17.72093381616457</v>
      </c>
      <c r="N36" t="n">
        <v>32.3710627915063</v>
      </c>
      <c r="O36" t="n">
        <v>55.08124483613329</v>
      </c>
      <c r="P36" t="n">
        <v>0</v>
      </c>
      <c r="Q36" t="n">
        <v>23.11399397317033</v>
      </c>
      <c r="R36" t="inlineStr">
        <is>
          <t>EXCLU</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row>
    <row r="37">
      <c r="A37" t="inlineStr">
        <is>
          <t>Bda-Mankon-Palace-IHS</t>
        </is>
      </c>
      <c r="B37" t="inlineStr">
        <is>
          <t>NRO_059</t>
        </is>
      </c>
      <c r="C37" t="inlineStr">
        <is>
          <t>NORD-OUEST</t>
        </is>
      </c>
      <c r="D37" t="inlineStr">
        <is>
          <t>IHS</t>
        </is>
      </c>
      <c r="E37" t="inlineStr">
        <is>
          <t>Grid-Gen</t>
        </is>
      </c>
      <c r="F37" t="inlineStr">
        <is>
          <t>NORD-OUEST</t>
        </is>
      </c>
      <c r="G37" t="inlineStr">
        <is>
          <t>Bamenda</t>
        </is>
      </c>
      <c r="H37" t="inlineStr">
        <is>
          <t>Huawei</t>
        </is>
      </c>
      <c r="I37" t="n">
        <v>0</v>
      </c>
      <c r="J37" t="n">
        <v>0</v>
      </c>
      <c r="K37" t="n">
        <v>1.811330553914729</v>
      </c>
      <c r="L37" t="n">
        <v>0</v>
      </c>
      <c r="M37" t="n">
        <v>17.21627244009554</v>
      </c>
      <c r="N37" t="n">
        <v>32.3710627915063</v>
      </c>
      <c r="O37" t="n">
        <v>55.08124483613329</v>
      </c>
      <c r="P37" t="n">
        <v>0</v>
      </c>
      <c r="Q37" t="n">
        <v>23.11399397317033</v>
      </c>
      <c r="R37" t="inlineStr">
        <is>
          <t>Operationnel</t>
        </is>
      </c>
      <c r="S37" t="inlineStr"/>
      <c r="T37" t="inlineStr"/>
      <c r="U37" t="inlineStr"/>
      <c r="V37" t="inlineStr"/>
      <c r="W37" t="inlineStr"/>
      <c r="X37" t="inlineStr">
        <is>
          <t>{05-25-2026 top offenders}: 26/05/2026 FME Moses managing with level 0 escalade L2 IHS
25.05.26: IHS: 41v : FME Moses managing with level 0
24/05/2026 IHS: Fme is managing with level 0     ;    {05-25-2026 retour IHS}: IHS     ;    {05-25-2026 ocm ran 22H}: 25.05.26: IHS: 41v : FME Moses managing with level 0
24/05/2026 IHS: Fme is managing with level 0     ;    {05-25-2026 ocm ran 17H}: 25.05.26: IHS: 41v : FME Moses managing with level 0
24/05/2026 IHS: Fme is managing with level 0</t>
        </is>
      </c>
      <c r="Y37" t="inlineStr">
        <is>
          <t>26/05/2026 FME Moses managing with level 0 escalade L2 IHS
25.05.26 IHS 41v FME Moses managing with level 0
24/05/2026 IHS Fme is managing with level 0 IHS 25.05.26 IHS 41v FME Moses managing with level 0
24/05/2026 IHS Fme is managing with level 0 25.05.26 IHS 41v FME Moses managing with level 0
24/05/2026 IHS Fme is managing with level 0</t>
        </is>
      </c>
      <c r="Z37" t="inlineStr"/>
      <c r="AA37" t="inlineStr"/>
      <c r="AB37" t="inlineStr">
        <is>
          <t>{05-25-2026 top offenders}: 26/05/2026 FME Moses managing with level 0 escalade L2 IHS
25.05.26: IHS: 41v : FME Moses managing with level 0
24/05/2026 IHS: Fme is managing with level 0</t>
        </is>
      </c>
      <c r="AC37" t="inlineStr"/>
      <c r="AD37" t="inlineStr">
        <is>
          <t>{05-25-2026 retour IHS}: IHS</t>
        </is>
      </c>
      <c r="AE37" t="inlineStr"/>
      <c r="AF37" t="inlineStr"/>
      <c r="AG37" t="inlineStr"/>
      <c r="AH37" t="inlineStr"/>
      <c r="AI37" t="inlineStr"/>
      <c r="AJ37" t="inlineStr"/>
      <c r="AK37" t="inlineStr"/>
      <c r="AL37" t="inlineStr"/>
      <c r="AM37" t="inlineStr"/>
      <c r="AN37" t="inlineStr"/>
      <c r="AO37" t="inlineStr">
        <is>
          <t>{05-25-2026 ocm ran 22H}: 25.05.26: IHS: 41v : FME Moses managing with level 0
24/05/2026 IHS: Fme is managing with level 0</t>
        </is>
      </c>
      <c r="AP37" t="inlineStr">
        <is>
          <t>{05-25-2026 ocm ran 17H}: 25.05.26: IHS: 41v : FME Moses managing with level 0
24/05/2026 IHS: Fme is managing with level 0</t>
        </is>
      </c>
      <c r="AQ37" t="inlineStr"/>
      <c r="AR37" t="inlineStr"/>
    </row>
    <row r="38">
      <c r="A38" t="inlineStr">
        <is>
          <t>Zileng-HIS</t>
        </is>
      </c>
      <c r="B38" t="inlineStr">
        <is>
          <t>EXN_174</t>
        </is>
      </c>
      <c r="C38" t="inlineStr">
        <is>
          <t>EXTREME-NORD</t>
        </is>
      </c>
      <c r="D38" t="inlineStr">
        <is>
          <t>IHS</t>
        </is>
      </c>
      <c r="E38" t="inlineStr">
        <is>
          <t>Grid-Gen</t>
        </is>
      </c>
      <c r="F38" t="inlineStr">
        <is>
          <t>EXTREME-NORD</t>
        </is>
      </c>
      <c r="G38" t="inlineStr">
        <is>
          <t>Zileng</t>
        </is>
      </c>
      <c r="H38" t="inlineStr">
        <is>
          <t>NOKIA</t>
        </is>
      </c>
      <c r="I38" t="n">
        <v>23.02950920718083</v>
      </c>
      <c r="J38" t="n">
        <v>23.11351242605576</v>
      </c>
      <c r="K38" t="n">
        <v>23.11383345746547</v>
      </c>
      <c r="L38" t="n">
        <v>23.10507543273684</v>
      </c>
      <c r="M38" t="n">
        <v>20.06715618841359</v>
      </c>
      <c r="N38" t="n">
        <v>32.3676906106495</v>
      </c>
      <c r="O38" t="n">
        <v>55.08124483613329</v>
      </c>
      <c r="P38" t="n">
        <v>0</v>
      </c>
      <c r="Q38" t="n">
        <v>23.11351242605576</v>
      </c>
      <c r="R38" t="inlineStr">
        <is>
          <t>Insecurity</t>
        </is>
      </c>
      <c r="S38" t="inlineStr"/>
      <c r="T38" t="inlineStr"/>
      <c r="U38" t="inlineStr"/>
      <c r="V38" t="inlineStr"/>
      <c r="W38" t="inlineStr"/>
      <c r="X38" t="inlineStr">
        <is>
          <t>{05/25/2026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    {05-25-2026 ticket}: INC-20260525-00020912..Others Transmission equipement fault</t>
        </is>
      </c>
      <c r="Y38" t="inlineStr">
        <is>
          <t>21/05/2026 Feedback IHS rectifier added, joint.visit needed
18052026 En attente du feedback de IHS
15/05/2026 Redresseur faulty || IHS interpele
13/05/2026 Vérification de l’énergie ce jour sur le site || ETA 12h
12/05/2026 Joint viste OK || We still found instability of radio module on site. Did FME check actif power(power connectivity between Powerco Baie and radio module)? If not, he should go on site and do it.
11/05/2026 Need BO RAN analysis || Feedback BO RAN We still found instability of radio module on site. Did FME check actif power(power connectivity between Powerco Baie and radio module)? If not, he should go on site and do it. || Point renvoyer au RM apres nouvelle analyse du site 21/05/2026 Feedback IHS rectifier added, joint.visit needed
18052026 En attente du feedback de IHS
15/05/2026 Redresseur faulty || IHS interpele
13/05/2026 Vérification de l’énergie ce jour sur le site || ETA 12h
12/05/2026 Joint viste OK || We still found instability of radio module on site. Did FME check actif power(power connectivity between Powerco Baie and radio module)? If not, he should go on site and do it.
11/05/2026 Need BO RAN analysis || Feedback BO RAN We still found instability of radio module on site. Did FME check actif power(power connectivity between Powerco Baie and radio module)? If not, he should go on site and do it. || Point renvoyer au RM apres nouvelle analyse du site 21/05/2026 Feedback IHS rectifier added, joint.visit needed
18052026 En attente du feedback de IHS
15/05/2026 Redresseur faulty || IHS interpele
13/05/2026 Vérification de l’énergie ce jour sur le site || ETA 12h
12/05/2026 Joint viste OK || We still found instability of radio module on site. Did FME check actif power(power connectivity between Powerco Baie and radio module)? If not, he should go on site and do it.
11/05/2026 Need BO RAN analysis || Feedback BO RAN We still found instability of radio module on site. Did FME check actif power(power connectivity between Powerco Baie and radio module)? If not, he should go on site and do it. || Point renvoyer au RM apres nouvelle analyse du site .</t>
        </is>
      </c>
      <c r="Z38" t="inlineStr"/>
      <c r="AA38" t="inlineStr"/>
      <c r="AB38" t="inlineStr"/>
      <c r="AC38" t="inlineStr"/>
      <c r="AD38" t="inlineStr"/>
      <c r="AE38" t="inlineStr"/>
      <c r="AF38" t="inlineStr">
        <is>
          <t xml:space="preserve">{05/25/2026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t>
        </is>
      </c>
      <c r="AG38" t="inlineStr">
        <is>
          <t xml:space="preserve">{05/25/2026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t>
        </is>
      </c>
      <c r="AH38" t="inlineStr">
        <is>
          <t xml:space="preserve">{05/25/2026 cell nokia}: 21/05/2026 : Feedback IHS : rectifier added, joint.visit needed
18052026 : En attente du feedback de IHS 
15/05/2026 : Redresseur faulty || IHS interpele
13/05/2026 : Vérification de l’énergie ce jour sur le site || ETA 12h
12/05/2026 :Joint viste OK || We still found instability of radio module on site. Did FME check actif power(power connectivity between Powerco Baie and radio module)? If not, he should go on site and do it.
11/05/2026 : Need BO RAN analysis || Feedback BO RAN : We still found instability of radio module on site. Did FME check actif power(power connectivity between Powerco Baie and radio module)? If not, he should go on site and do it.||Point renvoyer au RM apres nouvelle analyse du site </t>
        </is>
      </c>
      <c r="AI38" t="inlineStr"/>
      <c r="AJ38" t="inlineStr"/>
      <c r="AK38" t="inlineStr"/>
      <c r="AL38" t="inlineStr"/>
      <c r="AM38" t="inlineStr"/>
      <c r="AN38" t="inlineStr"/>
      <c r="AO38" t="inlineStr"/>
      <c r="AP38" t="inlineStr"/>
      <c r="AQ38" t="inlineStr">
        <is>
          <t>{05-25-2026 ticket}: INC-20260525-00020912..Others Transmission equipement fault</t>
        </is>
      </c>
      <c r="AR38" t="inlineStr"/>
    </row>
    <row r="39">
      <c r="A39" t="inlineStr">
        <is>
          <t>Galim-Tignere</t>
        </is>
      </c>
      <c r="B39" t="inlineStr">
        <is>
          <t>ADM_024</t>
        </is>
      </c>
      <c r="C39" t="inlineStr">
        <is>
          <t>ADAMAOUA</t>
        </is>
      </c>
      <c r="D39" t="inlineStr">
        <is>
          <t>IHS</t>
        </is>
      </c>
      <c r="E39" t="inlineStr">
        <is>
          <t>Hybrid-Gen</t>
        </is>
      </c>
      <c r="F39" t="inlineStr">
        <is>
          <t>ADAMAOUA</t>
        </is>
      </c>
      <c r="G39" t="inlineStr">
        <is>
          <t>Galim-Tignere</t>
        </is>
      </c>
      <c r="H39" t="inlineStr">
        <is>
          <t>NOKIA</t>
        </is>
      </c>
      <c r="I39" t="n">
        <v>4.412398375723748</v>
      </c>
      <c r="J39" t="n">
        <v>23.11303087894119</v>
      </c>
      <c r="K39" t="n">
        <v>15.52002341808526</v>
      </c>
      <c r="L39" t="n">
        <v>23.11287036323634</v>
      </c>
      <c r="M39" t="n">
        <v>23.11281685800138</v>
      </c>
      <c r="N39" t="n">
        <v>32.36356905626896</v>
      </c>
      <c r="O39" t="n">
        <v>55.08124483613329</v>
      </c>
      <c r="P39" t="n">
        <v>0</v>
      </c>
      <c r="Q39" t="n">
        <v>23.11292386847129</v>
      </c>
      <c r="R39" t="inlineStr">
        <is>
          <t>Operationnel</t>
        </is>
      </c>
      <c r="S39" t="inlineStr"/>
      <c r="T39" t="inlineStr"/>
      <c r="U39" t="inlineStr"/>
      <c r="V39" t="inlineStr"/>
      <c r="W39" t="inlineStr"/>
      <c r="X39" t="inlineStr">
        <is>
          <t>{05-25-2026 top offenders}: 26.05.26: ODU 7-8G 3DB20858AC et 3DB20859AC faulty, commande passée à OCM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     ;    {05-25-2026 retour IHS}: IHS     ;    {05-25-2026 ocm ran 22H}: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     ;    {05-25-2026 ocm ran 17H}: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t>
        </is>
      </c>
      <c r="Y39" t="inlineStr">
        <is>
          <t>26.05.26 ODU 7-8G 3DB20858AC et 3DB20859AC faulty, commande passée à OCM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 IHS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t>
        </is>
      </c>
      <c r="Z39" t="inlineStr"/>
      <c r="AA39" t="inlineStr"/>
      <c r="AB39" t="inlineStr">
        <is>
          <t>{05-25-2026 top offenders}: 26.05.26: ODU 7-8G 3DB20858AC et 3DB20859AC faulty, commande passée à OCM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t>
        </is>
      </c>
      <c r="AC39" t="inlineStr"/>
      <c r="AD39" t="inlineStr">
        <is>
          <t>{05-25-2026 retour IHS}: IHS</t>
        </is>
      </c>
      <c r="AE39" t="inlineStr"/>
      <c r="AF39" t="inlineStr"/>
      <c r="AG39" t="inlineStr"/>
      <c r="AH39" t="inlineStr"/>
      <c r="AI39" t="inlineStr"/>
      <c r="AJ39" t="inlineStr"/>
      <c r="AK39" t="inlineStr"/>
      <c r="AL39" t="inlineStr"/>
      <c r="AM39" t="inlineStr"/>
      <c r="AN39" t="inlineStr"/>
      <c r="AO39" t="inlineStr">
        <is>
          <t>{05-25-2026 ocm ran 22H}: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t>
        </is>
      </c>
      <c r="AP39" t="inlineStr">
        <is>
          <t>{05-25-2026 ocm ran 17H}: 23.05.26: ODU 7-8G 3DB20858AC et 3DB20859AC faulty, commande passée à OCM
22.05.26: ODU 7-8G 3DB20858AC et 3DB20859AC faulty, commande passée à OCM
21.05.26: ODU 7-8G 3DB20858AC et 3DB20859AC faulty, commande passée à OCM
20.05.26: ODU 7-8G 3DB20858AC et 3DB20859AC faulty, commande passée à OCM</t>
        </is>
      </c>
      <c r="AQ39" t="inlineStr"/>
      <c r="AR39" t="inlineStr"/>
    </row>
    <row r="40">
      <c r="A40" t="inlineStr">
        <is>
          <t>Maroua-Boulore</t>
        </is>
      </c>
      <c r="B40" t="inlineStr">
        <is>
          <t>EXN_237</t>
        </is>
      </c>
      <c r="C40" t="inlineStr">
        <is>
          <t>Maroua</t>
        </is>
      </c>
      <c r="D40" t="inlineStr">
        <is>
          <t>CAMUSAT</t>
        </is>
      </c>
      <c r="E40" t="inlineStr">
        <is>
          <t>Medium Grid + GE</t>
        </is>
      </c>
      <c r="F40" t="inlineStr">
        <is>
          <t>EXTREME-NORD</t>
        </is>
      </c>
      <c r="G40" t="inlineStr">
        <is>
          <t>Maroua</t>
        </is>
      </c>
      <c r="H40" t="inlineStr">
        <is>
          <t>Huawei</t>
        </is>
      </c>
      <c r="I40" t="n">
        <v>1.21731543547554</v>
      </c>
      <c r="J40" t="n">
        <v>0</v>
      </c>
      <c r="K40" t="n">
        <v>7.007937323254374</v>
      </c>
      <c r="L40" t="n">
        <v>4.725404000194047</v>
      </c>
      <c r="M40" t="n">
        <v>11.48124249143203</v>
      </c>
      <c r="N40" t="n">
        <v>18.37214089021578</v>
      </c>
      <c r="O40" t="n">
        <v>23.36920626906169</v>
      </c>
      <c r="P40" t="n">
        <v>23.97579601941046</v>
      </c>
      <c r="Q40" t="n">
        <v>22.9719554094506</v>
      </c>
      <c r="R40" t="inlineStr">
        <is>
          <t>Operationnel</t>
        </is>
      </c>
      <c r="S40" t="inlineStr"/>
      <c r="T40" t="inlineStr"/>
      <c r="U40" t="inlineStr"/>
      <c r="V40" t="inlineStr"/>
      <c r="W40" t="inlineStr"/>
      <c r="X40" t="inlineStr">
        <is>
          <t xml:space="preserve">{05-25-2026 retour CAMUSAT}: No power issue </t>
        </is>
      </c>
      <c r="Y40" t="inlineStr">
        <is>
          <t>No power issue</t>
        </is>
      </c>
      <c r="Z40" t="inlineStr"/>
      <c r="AA40" t="inlineStr"/>
      <c r="AB40" t="inlineStr"/>
      <c r="AC40" t="inlineStr">
        <is>
          <t xml:space="preserve">{05-25-2026 retour CAMUSAT}: No power issue </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row>
    <row r="41">
      <c r="A41" t="inlineStr">
        <is>
          <t>BTS-Mobile-OKPLASTCAM</t>
        </is>
      </c>
      <c r="B41" t="inlineStr">
        <is>
          <t>LIT_780</t>
        </is>
      </c>
      <c r="C41" t="inlineStr">
        <is>
          <t>Douala</t>
        </is>
      </c>
      <c r="D41" t="inlineStr">
        <is>
          <t>WAS ORANGE</t>
        </is>
      </c>
      <c r="E41" t="inlineStr"/>
      <c r="F41" t="inlineStr">
        <is>
          <t>LITTORAL</t>
        </is>
      </c>
      <c r="G41" t="inlineStr">
        <is>
          <t>Douala</t>
        </is>
      </c>
      <c r="H41" t="inlineStr">
        <is>
          <t>ZTE</t>
        </is>
      </c>
      <c r="I41" t="n">
        <v>9.245704599738039</v>
      </c>
      <c r="J41" t="n">
        <v>9.245704599738039</v>
      </c>
      <c r="K41" t="n">
        <v>9.245704599738039</v>
      </c>
      <c r="L41" t="n">
        <v>9.245704599738039</v>
      </c>
      <c r="M41" t="n">
        <v>9.245704599738039</v>
      </c>
      <c r="N41" t="n">
        <v>0</v>
      </c>
      <c r="O41" t="n">
        <v>18.75057376296705</v>
      </c>
      <c r="P41" t="n">
        <v>30.10777753700748</v>
      </c>
      <c r="Q41" t="n">
        <v>21.99564538727802</v>
      </c>
      <c r="R41" t="inlineStr">
        <is>
          <t>Operationnel</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row>
    <row r="42">
      <c r="A42" t="inlineStr">
        <is>
          <t>Maroua-Zokok-Laddeo-IHS</t>
        </is>
      </c>
      <c r="B42" t="inlineStr">
        <is>
          <t>EXN_170</t>
        </is>
      </c>
      <c r="C42" t="inlineStr">
        <is>
          <t>Maroua</t>
        </is>
      </c>
      <c r="D42" t="inlineStr">
        <is>
          <t>IHS</t>
        </is>
      </c>
      <c r="E42" t="inlineStr">
        <is>
          <t>Grid-Gen</t>
        </is>
      </c>
      <c r="F42" t="inlineStr">
        <is>
          <t>EXTREME-NORD</t>
        </is>
      </c>
      <c r="G42" t="inlineStr">
        <is>
          <t>Maroua</t>
        </is>
      </c>
      <c r="H42" t="inlineStr">
        <is>
          <t>Huawei</t>
        </is>
      </c>
      <c r="I42" t="n">
        <v>0.5983668775486326</v>
      </c>
      <c r="J42" t="n">
        <v>0</v>
      </c>
      <c r="K42" t="n">
        <v>0</v>
      </c>
      <c r="L42" t="n">
        <v>0</v>
      </c>
      <c r="M42" t="n">
        <v>3.21177657355329</v>
      </c>
      <c r="N42" t="n">
        <v>24.78428034163439</v>
      </c>
      <c r="O42" t="n">
        <v>29.35706034456379</v>
      </c>
      <c r="P42" t="n">
        <v>15.39254038921612</v>
      </c>
      <c r="Q42" t="n">
        <v>21.42173040210254</v>
      </c>
      <c r="R42" t="inlineStr">
        <is>
          <t>Operationnel</t>
        </is>
      </c>
      <c r="S42" t="inlineStr"/>
      <c r="T42" t="inlineStr"/>
      <c r="U42" t="inlineStr"/>
      <c r="V42" t="inlineStr"/>
      <c r="W42" t="inlineStr"/>
      <c r="X42" t="inlineStr">
        <is>
          <t>{05-25-2026 top offenders}: 25.05.26: Besoin d'un FME sur site pour vérifier le statut du MPR; CM-20260525-00006088; FME Sadjo activé pour investigations, update ASAP     ;    {None hourly IHS}: 25/05/2026 04:25..1:58:47..47V..FME Albane managing with level 0 ETA : 05H30     ;    {05-25-2026 ocm ran 17H}: 25.05.26: Besoin d'un FME sur site pour vérifier le statut du MPR; CM-20260525-00006088; FME Sadjo activé pour investigations, update ASAP</t>
        </is>
      </c>
      <c r="Y42" t="inlineStr">
        <is>
          <t>25.05.26 Besoin d'un FME sur site pour vérifier le statut du MPR; FME Sadjo activé pour investigations, update ASAP 25/05/2026 04 25.1 58 47.47V.FME Albane managing with level 0 ETA 05H30 25.05.26 Besoin d'un FME sur site pour vérifier le statut du MPR; FME Sadjo activé pour investigations, update ASAP</t>
        </is>
      </c>
      <c r="Z42" t="inlineStr"/>
      <c r="AA42" t="inlineStr"/>
      <c r="AB42" t="inlineStr">
        <is>
          <t>{05-25-2026 top offenders}: 25.05.26: Besoin d'un FME sur site pour vérifier le statut du MPR; CM-20260525-00006088; FME Sadjo activé pour investigations, update ASAP</t>
        </is>
      </c>
      <c r="AC42" t="inlineStr"/>
      <c r="AD42" t="inlineStr"/>
      <c r="AE42" t="inlineStr">
        <is>
          <t>{None hourly IHS}: 25/05/2026 04:25..1:58:47..47V..FME Albane managing with level 0 ETA : 05H30</t>
        </is>
      </c>
      <c r="AF42" t="inlineStr"/>
      <c r="AG42" t="inlineStr"/>
      <c r="AH42" t="inlineStr"/>
      <c r="AI42" t="inlineStr"/>
      <c r="AJ42" t="inlineStr"/>
      <c r="AK42" t="inlineStr"/>
      <c r="AL42" t="inlineStr"/>
      <c r="AM42" t="inlineStr"/>
      <c r="AN42" t="inlineStr"/>
      <c r="AO42" t="inlineStr"/>
      <c r="AP42" t="inlineStr">
        <is>
          <t>{05-25-2026 ocm ran 17H}: 25.05.26: Besoin d'un FME sur site pour vérifier le statut du MPR; CM-20260525-00006088; FME Sadjo activé pour investigations, update ASAP</t>
        </is>
      </c>
      <c r="AQ42" t="inlineStr"/>
      <c r="AR42" t="inlineStr"/>
    </row>
    <row r="43">
      <c r="A43" t="inlineStr">
        <is>
          <t>La-Gare</t>
        </is>
      </c>
      <c r="B43" t="inlineStr">
        <is>
          <t>CTR_019</t>
        </is>
      </c>
      <c r="C43" t="inlineStr">
        <is>
          <t>Yaounde</t>
        </is>
      </c>
      <c r="D43" t="inlineStr">
        <is>
          <t>CAMUSAT</t>
        </is>
      </c>
      <c r="E43" t="inlineStr">
        <is>
          <t>Good Grid + GE</t>
        </is>
      </c>
      <c r="F43" t="inlineStr">
        <is>
          <t>CENTRE</t>
        </is>
      </c>
      <c r="G43" t="inlineStr">
        <is>
          <t>Yaounde</t>
        </is>
      </c>
      <c r="H43" t="inlineStr">
        <is>
          <t>ZTE</t>
        </is>
      </c>
      <c r="I43" t="n">
        <v>0.3292712158957622</v>
      </c>
      <c r="J43" t="n">
        <v>0.1411824799605056</v>
      </c>
      <c r="K43" t="n">
        <v>3.613743568670758</v>
      </c>
      <c r="L43" t="n">
        <v>2.4465447032671</v>
      </c>
      <c r="M43" t="n">
        <v>6.916086669919785</v>
      </c>
      <c r="N43" t="n">
        <v>18.16581338001431</v>
      </c>
      <c r="O43" t="n">
        <v>15.53951994315072</v>
      </c>
      <c r="P43" t="n">
        <v>25.06353736426575</v>
      </c>
      <c r="Q43" t="n">
        <v>20.88122051861554</v>
      </c>
      <c r="R43" t="inlineStr">
        <is>
          <t>Operationnel</t>
        </is>
      </c>
      <c r="S43" t="inlineStr"/>
      <c r="T43" t="inlineStr"/>
      <c r="U43" t="inlineStr"/>
      <c r="V43" t="inlineStr"/>
      <c r="W43" t="inlineStr"/>
      <c r="X43" t="inlineStr">
        <is>
          <t xml:space="preserve">{05-25-2026 retour CAMUSAT}: No power issue </t>
        </is>
      </c>
      <c r="Y43" t="inlineStr">
        <is>
          <t>No power issue</t>
        </is>
      </c>
      <c r="Z43" t="inlineStr"/>
      <c r="AA43" t="inlineStr"/>
      <c r="AB43" t="inlineStr"/>
      <c r="AC43" t="inlineStr">
        <is>
          <t xml:space="preserve">{05-25-2026 retour CAMUSAT}: No power issue </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t="inlineStr">
        <is>
          <t>Ayene</t>
        </is>
      </c>
      <c r="B44" t="inlineStr">
        <is>
          <t>CTR_651</t>
        </is>
      </c>
      <c r="C44" t="inlineStr">
        <is>
          <t>Yaounde</t>
        </is>
      </c>
      <c r="D44" t="inlineStr">
        <is>
          <t>CAMUSAT</t>
        </is>
      </c>
      <c r="E44" t="inlineStr">
        <is>
          <t>Good Grid + GE</t>
        </is>
      </c>
      <c r="F44" t="inlineStr">
        <is>
          <t>CENTRE</t>
        </is>
      </c>
      <c r="G44" t="inlineStr">
        <is>
          <t>Yaounde</t>
        </is>
      </c>
      <c r="H44" t="inlineStr">
        <is>
          <t>ZTE</t>
        </is>
      </c>
      <c r="I44" t="n">
        <v>0</v>
      </c>
      <c r="J44" t="n">
        <v>68.46219534119217</v>
      </c>
      <c r="K44" t="n">
        <v>13.86855689960706</v>
      </c>
      <c r="L44" t="n">
        <v>48.41831391450006</v>
      </c>
      <c r="M44" t="n">
        <v>0.1282877183370287</v>
      </c>
      <c r="N44" t="n">
        <v>9.315462273539321</v>
      </c>
      <c r="O44" t="n">
        <v>8.188872568520049</v>
      </c>
      <c r="P44" t="n">
        <v>32.13462561314343</v>
      </c>
      <c r="Q44" t="n">
        <v>20.83718571024989</v>
      </c>
      <c r="R44" t="inlineStr">
        <is>
          <t>EXCLU</t>
        </is>
      </c>
      <c r="S44" t="inlineStr">
        <is>
          <t>Site vendalisé</t>
        </is>
      </c>
      <c r="T44" t="inlineStr"/>
      <c r="U44" t="inlineStr"/>
      <c r="V44" t="inlineStr"/>
      <c r="W44" t="inlineStr"/>
      <c r="X44" t="inlineStr">
        <is>
          <t>{05-25-2026 top offenders}: 25.05.26: BO TX analysis ongoing     ;    {05-25-2026 retour CAMUSAT}: No power issue      ;    {05-25-2026 ocm ran 22H}: 25.05.26: BO TX analysis ongoing     ;    {05-25-2026 ticket}: INC-20260525-00016906..Grid Outage</t>
        </is>
      </c>
      <c r="Y44" t="inlineStr">
        <is>
          <t>25.05.26 BO TX analysis ongoing No power issue 25.05.26 BO TX analysis ongoing .Grid Outage</t>
        </is>
      </c>
      <c r="Z44" t="inlineStr"/>
      <c r="AA44" t="inlineStr"/>
      <c r="AB44" t="inlineStr">
        <is>
          <t>{05-25-2026 top offenders}: 25.05.26: BO TX analysis ongoing</t>
        </is>
      </c>
      <c r="AC44" t="inlineStr">
        <is>
          <t xml:space="preserve">{05-25-2026 retour CAMUSAT}: No power issue </t>
        </is>
      </c>
      <c r="AD44" t="inlineStr"/>
      <c r="AE44" t="inlineStr"/>
      <c r="AF44" t="inlineStr"/>
      <c r="AG44" t="inlineStr"/>
      <c r="AH44" t="inlineStr"/>
      <c r="AI44" t="inlineStr"/>
      <c r="AJ44" t="inlineStr"/>
      <c r="AK44" t="inlineStr"/>
      <c r="AL44" t="inlineStr"/>
      <c r="AM44" t="inlineStr"/>
      <c r="AN44" t="inlineStr"/>
      <c r="AO44" t="inlineStr">
        <is>
          <t>{05-25-2026 ocm ran 22H}: 25.05.26: BO TX analysis ongoing</t>
        </is>
      </c>
      <c r="AP44" t="inlineStr"/>
      <c r="AQ44" t="inlineStr">
        <is>
          <t>{05-25-2026 ticket}: INC-20260525-00016906..Grid Outage</t>
        </is>
      </c>
      <c r="AR44" t="inlineStr"/>
    </row>
    <row r="45">
      <c r="A45" t="inlineStr">
        <is>
          <t>Bertoua-Camtel</t>
        </is>
      </c>
      <c r="B45" t="inlineStr">
        <is>
          <t>EST_143</t>
        </is>
      </c>
      <c r="C45" t="inlineStr">
        <is>
          <t>CENTRE</t>
        </is>
      </c>
      <c r="D45" t="inlineStr">
        <is>
          <t>CAMUSAT</t>
        </is>
      </c>
      <c r="E45" t="inlineStr">
        <is>
          <t>Good Grid + GE</t>
        </is>
      </c>
      <c r="F45" t="inlineStr">
        <is>
          <t>EST</t>
        </is>
      </c>
      <c r="G45" t="inlineStr">
        <is>
          <t>Bertoua</t>
        </is>
      </c>
      <c r="H45" t="inlineStr">
        <is>
          <t>ZTE</t>
        </is>
      </c>
      <c r="I45" t="n">
        <v>3.293140200837249</v>
      </c>
      <c r="J45" t="n">
        <v>6.832511492924469</v>
      </c>
      <c r="K45" t="n">
        <v>0</v>
      </c>
      <c r="L45" t="n">
        <v>1.273709953115146</v>
      </c>
      <c r="M45" t="n">
        <v>3.137422132048067</v>
      </c>
      <c r="N45" t="n">
        <v>13.60225351606057</v>
      </c>
      <c r="O45" t="n">
        <v>23.83969190203698</v>
      </c>
      <c r="P45" t="n">
        <v>20.46920247030317</v>
      </c>
      <c r="Q45" t="n">
        <v>20.62011497204886</v>
      </c>
      <c r="R45" t="inlineStr">
        <is>
          <t>Operationnel</t>
        </is>
      </c>
      <c r="S45" t="inlineStr"/>
      <c r="T45" t="inlineStr"/>
      <c r="U45" t="inlineStr"/>
      <c r="V45" t="inlineStr"/>
      <c r="W45" t="inlineStr"/>
      <c r="X45" t="inlineStr">
        <is>
          <t xml:space="preserve">{05-25-2026 retour CAMUSAT}: No power issue </t>
        </is>
      </c>
      <c r="Y45" t="inlineStr">
        <is>
          <t>No power issue</t>
        </is>
      </c>
      <c r="Z45" t="inlineStr"/>
      <c r="AA45" t="inlineStr"/>
      <c r="AB45" t="inlineStr"/>
      <c r="AC45" t="inlineStr">
        <is>
          <t xml:space="preserve">{05-25-2026 retour CAMUSAT}: No power issue </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row>
    <row r="46">
      <c r="A46" t="inlineStr">
        <is>
          <t>Bertoua-Hopital-IHS</t>
        </is>
      </c>
      <c r="B46" t="inlineStr">
        <is>
          <t>EST_152</t>
        </is>
      </c>
      <c r="C46" t="inlineStr">
        <is>
          <t>CENTRE</t>
        </is>
      </c>
      <c r="D46" t="inlineStr">
        <is>
          <t>IHS</t>
        </is>
      </c>
      <c r="E46" t="inlineStr">
        <is>
          <t>Grid + Gen</t>
        </is>
      </c>
      <c r="F46" t="inlineStr">
        <is>
          <t>EST</t>
        </is>
      </c>
      <c r="G46" t="inlineStr">
        <is>
          <t>Bertoua</t>
        </is>
      </c>
      <c r="H46" t="inlineStr">
        <is>
          <t>ZTE</t>
        </is>
      </c>
      <c r="I46" t="n">
        <v>20.07432590537992</v>
      </c>
      <c r="J46" t="n">
        <v>8.82804273570126</v>
      </c>
      <c r="K46" t="n">
        <v>6.603865788895452</v>
      </c>
      <c r="L46" t="n">
        <v>6.47800364120959</v>
      </c>
      <c r="M46" t="n">
        <v>1.589265993784833</v>
      </c>
      <c r="N46" t="n">
        <v>12.19767774140818</v>
      </c>
      <c r="O46" t="n">
        <v>20.81766110414095</v>
      </c>
      <c r="P46" t="n">
        <v>19.95240135531785</v>
      </c>
      <c r="Q46" t="n">
        <v>19.13550521783051</v>
      </c>
      <c r="R46" t="inlineStr">
        <is>
          <t>Operationnel</t>
        </is>
      </c>
      <c r="S46" t="inlineStr"/>
      <c r="T46" t="inlineStr"/>
      <c r="U46" t="inlineStr"/>
      <c r="V46" t="inlineStr"/>
      <c r="W46" t="inlineStr"/>
      <c r="X46" t="inlineStr">
        <is>
          <t>{05-25-2026 retour IHS}: IHS     ;    {05-25-2026 ticket}: INC-20260525-00000898..Grid Outage</t>
        </is>
      </c>
      <c r="Y46" t="inlineStr">
        <is>
          <t>IHS .Grid Outage</t>
        </is>
      </c>
      <c r="Z46" t="inlineStr"/>
      <c r="AA46" t="inlineStr"/>
      <c r="AB46" t="inlineStr"/>
      <c r="AC46" t="inlineStr"/>
      <c r="AD46" t="inlineStr">
        <is>
          <t>{05-25-2026 retour IHS}: IHS</t>
        </is>
      </c>
      <c r="AE46" t="inlineStr"/>
      <c r="AF46" t="inlineStr"/>
      <c r="AG46" t="inlineStr"/>
      <c r="AH46" t="inlineStr"/>
      <c r="AI46" t="inlineStr"/>
      <c r="AJ46" t="inlineStr"/>
      <c r="AK46" t="inlineStr"/>
      <c r="AL46" t="inlineStr"/>
      <c r="AM46" t="inlineStr"/>
      <c r="AN46" t="inlineStr"/>
      <c r="AO46" t="inlineStr"/>
      <c r="AP46" t="inlineStr"/>
      <c r="AQ46" t="inlineStr">
        <is>
          <t>{05-25-2026 ticket}: INC-20260525-00000898..Grid Outage</t>
        </is>
      </c>
      <c r="AR46" t="inlineStr"/>
    </row>
    <row r="47">
      <c r="A47" t="inlineStr">
        <is>
          <t>EST_201_Z_Bertoua-Qtier-Toungou</t>
        </is>
      </c>
      <c r="B47" t="inlineStr">
        <is>
          <t>EST_201</t>
        </is>
      </c>
      <c r="C47" t="inlineStr">
        <is>
          <t>CENTRE</t>
        </is>
      </c>
      <c r="D47" t="inlineStr">
        <is>
          <t>ESCO</t>
        </is>
      </c>
      <c r="E47" t="inlineStr">
        <is>
          <t>Hybrid Solar - S1</t>
        </is>
      </c>
      <c r="F47" t="inlineStr">
        <is>
          <t>EST</t>
        </is>
      </c>
      <c r="G47" t="inlineStr">
        <is>
          <t>Bertoua</t>
        </is>
      </c>
      <c r="H47" t="inlineStr">
        <is>
          <t>ZTE</t>
        </is>
      </c>
      <c r="I47" t="n">
        <v>0</v>
      </c>
      <c r="J47" t="n">
        <v>0.5071226168768351</v>
      </c>
      <c r="K47" t="n">
        <v>0</v>
      </c>
      <c r="L47" t="n">
        <v>0</v>
      </c>
      <c r="M47" t="n">
        <v>1.884882416895668</v>
      </c>
      <c r="N47" t="n">
        <v>12.19567941201156</v>
      </c>
      <c r="O47" t="n">
        <v>20.76256923406469</v>
      </c>
      <c r="P47" t="n">
        <v>19.87945206154089</v>
      </c>
      <c r="Q47" t="n">
        <v>19.07868265831129</v>
      </c>
      <c r="R47" t="inlineStr">
        <is>
          <t>Operationnel</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row>
    <row r="48">
      <c r="A48" t="inlineStr">
        <is>
          <t>NRO_147_H_Bambili-Campus-two-IHS</t>
        </is>
      </c>
      <c r="B48" t="inlineStr">
        <is>
          <t>NRO_147</t>
        </is>
      </c>
      <c r="C48" t="inlineStr">
        <is>
          <t>NORD-OUEST</t>
        </is>
      </c>
      <c r="D48" t="inlineStr">
        <is>
          <t>IHS</t>
        </is>
      </c>
      <c r="E48" t="inlineStr">
        <is>
          <t>Hybrid Gen</t>
        </is>
      </c>
      <c r="F48" t="inlineStr">
        <is>
          <t>NRO</t>
        </is>
      </c>
      <c r="G48" t="inlineStr">
        <is>
          <t>Tubah</t>
        </is>
      </c>
      <c r="H48" t="inlineStr">
        <is>
          <t>Huawei</t>
        </is>
      </c>
      <c r="I48" t="n">
        <v>0</v>
      </c>
      <c r="J48" t="n">
        <v>0</v>
      </c>
      <c r="K48" t="n">
        <v>3.186272411559413</v>
      </c>
      <c r="L48" t="n">
        <v>0</v>
      </c>
      <c r="M48" t="n">
        <v>1.90692657369597</v>
      </c>
      <c r="N48" t="n">
        <v>26.55592424732924</v>
      </c>
      <c r="O48" t="n">
        <v>45.18064608260146</v>
      </c>
      <c r="P48" t="n">
        <v>0.1244891839419349</v>
      </c>
      <c r="Q48" t="n">
        <v>19.0247672165578</v>
      </c>
      <c r="R48" t="inlineStr">
        <is>
          <t>Insecurity</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row>
    <row r="49">
      <c r="A49" t="inlineStr">
        <is>
          <t>Ahala-IHS</t>
        </is>
      </c>
      <c r="B49" t="inlineStr">
        <is>
          <t>CTR_164</t>
        </is>
      </c>
      <c r="C49" t="inlineStr">
        <is>
          <t>Yaounde</t>
        </is>
      </c>
      <c r="D49" t="inlineStr">
        <is>
          <t>IHS</t>
        </is>
      </c>
      <c r="E49" t="inlineStr">
        <is>
          <t>Grid-Gen</t>
        </is>
      </c>
      <c r="F49" t="inlineStr">
        <is>
          <t>CENTRE</t>
        </is>
      </c>
      <c r="G49" t="inlineStr">
        <is>
          <t>Yaounde</t>
        </is>
      </c>
      <c r="H49" t="inlineStr">
        <is>
          <t>ZTE</t>
        </is>
      </c>
      <c r="I49" t="n">
        <v>6.243472361335835</v>
      </c>
      <c r="J49" t="n">
        <v>0.9669822762125724</v>
      </c>
      <c r="K49" t="n">
        <v>10.50350566299407</v>
      </c>
      <c r="L49" t="n">
        <v>2.028954179543591</v>
      </c>
      <c r="M49" t="n">
        <v>9.857055414301733</v>
      </c>
      <c r="N49" t="n">
        <v>8.675622179857639</v>
      </c>
      <c r="O49" t="n">
        <v>9.240611962830359</v>
      </c>
      <c r="P49" t="n">
        <v>27.63454681559404</v>
      </c>
      <c r="Q49" t="n">
        <v>18.75215804447641</v>
      </c>
      <c r="R49" t="inlineStr">
        <is>
          <t>Operationnel</t>
        </is>
      </c>
      <c r="S49" t="inlineStr"/>
      <c r="T49" t="inlineStr"/>
      <c r="U49" t="inlineStr"/>
      <c r="V49" t="inlineStr"/>
      <c r="W49" t="inlineStr"/>
      <c r="X49" t="inlineStr">
        <is>
          <t>{05-25-2026 top offenders}: 25/05/2026 : Power issue || Mail sent to IHS      ;    {None hourly IHS}: 25/05/2026 11:14..1:46:00..25..site went down due to insufisency of rectifiers     ;    {05/25/2026 cell zte}: 25/05/2026 : Power issue || Mail sent to IHS      ;    {05/25/2026 cell zte}: 25/05/2026 : Power issue || Mail sent to IHS      ;    {05/25/2026 cell zte}: 25/05/2026 : Power issue || Mail sent to IHS      ;    {05-25-2026 ticket}: INC-20260525-00013946..Grid Outage</t>
        </is>
      </c>
      <c r="Y49" t="inlineStr">
        <is>
          <t>25/05/2026 Power issue || Mail sent to IHS 25/05/2026 11 14.1 46 00.25.site went down due to insufisency of rectifiers 25/05/2026 Power issue || Mail sent to IHS 25/05/2026 Power issue || Mail sent to IHS 25/05/2026 Power issue || Mail sent to IHS .Grid Outage</t>
        </is>
      </c>
      <c r="Z49" t="inlineStr"/>
      <c r="AA49" t="inlineStr"/>
      <c r="AB49" t="inlineStr">
        <is>
          <t xml:space="preserve">{05-25-2026 top offenders}: 25/05/2026 : Power issue || Mail sent to IHS </t>
        </is>
      </c>
      <c r="AC49" t="inlineStr"/>
      <c r="AD49" t="inlineStr"/>
      <c r="AE49" t="inlineStr">
        <is>
          <t>{None hourly IHS}: 25/05/2026 11:14..1:46:00..25..site went down due to insufisency of rectifiers</t>
        </is>
      </c>
      <c r="AF49" t="inlineStr"/>
      <c r="AG49" t="inlineStr"/>
      <c r="AH49" t="inlineStr"/>
      <c r="AI49" t="inlineStr">
        <is>
          <t xml:space="preserve">{05/25/2026 cell zte}: 25/05/2026 : Power issue || Mail sent to IHS </t>
        </is>
      </c>
      <c r="AJ49" t="inlineStr">
        <is>
          <t xml:space="preserve">{05/25/2026 cell zte}: 25/05/2026 : Power issue || Mail sent to IHS </t>
        </is>
      </c>
      <c r="AK49" t="inlineStr">
        <is>
          <t xml:space="preserve">{05/25/2026 cell zte}: 25/05/2026 : Power issue || Mail sent to IHS </t>
        </is>
      </c>
      <c r="AL49" t="inlineStr"/>
      <c r="AM49" t="inlineStr"/>
      <c r="AN49" t="inlineStr"/>
      <c r="AO49" t="inlineStr"/>
      <c r="AP49" t="inlineStr"/>
      <c r="AQ49" t="inlineStr">
        <is>
          <t>{05-25-2026 ticket}: INC-20260525-00013946..Grid Outage</t>
        </is>
      </c>
      <c r="AR49" t="inlineStr"/>
    </row>
    <row r="50">
      <c r="A50" t="inlineStr">
        <is>
          <t>Foumbot</t>
        </is>
      </c>
      <c r="B50" t="inlineStr">
        <is>
          <t>OST_005</t>
        </is>
      </c>
      <c r="C50" t="inlineStr">
        <is>
          <t>OUEST</t>
        </is>
      </c>
      <c r="D50" t="inlineStr">
        <is>
          <t>IHS</t>
        </is>
      </c>
      <c r="E50" t="inlineStr">
        <is>
          <t>Grid-Gen</t>
        </is>
      </c>
      <c r="F50" t="inlineStr">
        <is>
          <t>OUEST</t>
        </is>
      </c>
      <c r="G50" t="inlineStr">
        <is>
          <t>Foumbot</t>
        </is>
      </c>
      <c r="H50" t="inlineStr">
        <is>
          <t>Huawei</t>
        </is>
      </c>
      <c r="I50" t="n">
        <v>0</v>
      </c>
      <c r="J50" t="n">
        <v>0</v>
      </c>
      <c r="K50" t="n">
        <v>16.76711382775024</v>
      </c>
      <c r="L50" t="n">
        <v>18.49140919947608</v>
      </c>
      <c r="M50" t="n">
        <v>14.15748516834887</v>
      </c>
      <c r="N50" t="n">
        <v>32.37293622531563</v>
      </c>
      <c r="O50" t="n">
        <v>41.31093362709997</v>
      </c>
      <c r="P50" t="n">
        <v>0</v>
      </c>
      <c r="Q50" t="n">
        <v>18.49140919947608</v>
      </c>
      <c r="R50" t="inlineStr">
        <is>
          <t>Operationnel</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row>
    <row r="51">
      <c r="A51" t="inlineStr">
        <is>
          <t>Garoua-Nigeriare-II</t>
        </is>
      </c>
      <c r="B51" t="inlineStr">
        <is>
          <t>NRD_140</t>
        </is>
      </c>
      <c r="C51" t="inlineStr">
        <is>
          <t>Garoua</t>
        </is>
      </c>
      <c r="D51" t="inlineStr">
        <is>
          <t>CAMUSAT</t>
        </is>
      </c>
      <c r="E51" t="inlineStr">
        <is>
          <t>Medium Grid + GE</t>
        </is>
      </c>
      <c r="F51" t="inlineStr">
        <is>
          <t>NORD</t>
        </is>
      </c>
      <c r="G51" t="inlineStr">
        <is>
          <t>Garoua</t>
        </is>
      </c>
      <c r="H51" t="inlineStr">
        <is>
          <t>Huawei</t>
        </is>
      </c>
      <c r="I51" t="n">
        <v>0</v>
      </c>
      <c r="J51" t="n">
        <v>0</v>
      </c>
      <c r="K51" t="n">
        <v>0</v>
      </c>
      <c r="L51" t="n">
        <v>0</v>
      </c>
      <c r="M51" t="n">
        <v>13.67620557995394</v>
      </c>
      <c r="N51" t="n">
        <v>32.37293622531563</v>
      </c>
      <c r="O51" t="n">
        <v>41.31093362709997</v>
      </c>
      <c r="P51" t="n">
        <v>0</v>
      </c>
      <c r="Q51" t="n">
        <v>18.49140919947608</v>
      </c>
      <c r="R51" t="inlineStr">
        <is>
          <t>Operationnel</t>
        </is>
      </c>
      <c r="S51" t="inlineStr"/>
      <c r="T51" t="inlineStr"/>
      <c r="U51" t="inlineStr"/>
      <c r="V51" t="inlineStr"/>
      <c r="W51" t="inlineStr"/>
      <c r="X51" t="inlineStr">
        <is>
          <t>{05-25-2026 top offenders}: Impacted by NRD_065_H_Garoua-Roumde-Adja (TX issue)     ;    {05-25-2026 ocm ran 22H}: Impacted by NRD_065_H_Garoua-Roumde-Adja (TX issue)     ;    {05-25-2026 ocm ran 17H}: Impacted by NRD_065_H_Garoua-Roumde-Adja</t>
        </is>
      </c>
      <c r="Y51" t="inlineStr">
        <is>
          <t>Impacted by NRD_065_H_Garoua-Roumde-Adja (TX issue) Impacted by NRD_065_H_Garoua-Roumde-Adja (TX issue) Impacted by NRD_065_H_Garoua-Roumde-Adja</t>
        </is>
      </c>
      <c r="Z51" t="inlineStr"/>
      <c r="AA51" t="inlineStr"/>
      <c r="AB51" t="inlineStr">
        <is>
          <t>{05-25-2026 top offenders}: Impacted by NRD_065_H_Garoua-Roumde-Adja (TX issue)</t>
        </is>
      </c>
      <c r="AC51" t="inlineStr"/>
      <c r="AD51" t="inlineStr"/>
      <c r="AE51" t="inlineStr"/>
      <c r="AF51" t="inlineStr"/>
      <c r="AG51" t="inlineStr"/>
      <c r="AH51" t="inlineStr"/>
      <c r="AI51" t="inlineStr"/>
      <c r="AJ51" t="inlineStr"/>
      <c r="AK51" t="inlineStr"/>
      <c r="AL51" t="inlineStr"/>
      <c r="AM51" t="inlineStr"/>
      <c r="AN51" t="inlineStr"/>
      <c r="AO51" t="inlineStr">
        <is>
          <t>{05-25-2026 ocm ran 22H}: Impacted by NRD_065_H_Garoua-Roumde-Adja (TX issue)</t>
        </is>
      </c>
      <c r="AP51" t="inlineStr">
        <is>
          <t>{05-25-2026 ocm ran 17H}: Impacted by NRD_065_H_Garoua-Roumde-Adja</t>
        </is>
      </c>
      <c r="AQ51" t="inlineStr"/>
      <c r="AR51" t="inlineStr"/>
    </row>
    <row r="52">
      <c r="A52" t="inlineStr">
        <is>
          <t>Garoua-Foulbere-II</t>
        </is>
      </c>
      <c r="B52" t="inlineStr">
        <is>
          <t>NRD_139</t>
        </is>
      </c>
      <c r="C52" t="inlineStr">
        <is>
          <t>Garoua</t>
        </is>
      </c>
      <c r="D52" t="inlineStr">
        <is>
          <t>CAMUSAT</t>
        </is>
      </c>
      <c r="E52" t="inlineStr">
        <is>
          <t>Good Grid + GE</t>
        </is>
      </c>
      <c r="F52" t="inlineStr">
        <is>
          <t>NORD</t>
        </is>
      </c>
      <c r="G52" t="inlineStr">
        <is>
          <t>Garoua</t>
        </is>
      </c>
      <c r="H52" t="inlineStr">
        <is>
          <t>Huawei</t>
        </is>
      </c>
      <c r="I52" t="n">
        <v>1.479758612916021</v>
      </c>
      <c r="J52" t="n">
        <v>0</v>
      </c>
      <c r="K52" t="n">
        <v>0.1247563728301844</v>
      </c>
      <c r="L52" t="n">
        <v>5.539932026949517</v>
      </c>
      <c r="M52" t="n">
        <v>13.67593805377918</v>
      </c>
      <c r="N52" t="n">
        <v>32.37293622531563</v>
      </c>
      <c r="O52" t="n">
        <v>41.31093362709997</v>
      </c>
      <c r="P52" t="n">
        <v>0</v>
      </c>
      <c r="Q52" t="n">
        <v>18.49140919947608</v>
      </c>
      <c r="R52" t="inlineStr">
        <is>
          <t>Operationnel</t>
        </is>
      </c>
      <c r="S52" t="inlineStr"/>
      <c r="T52" t="inlineStr"/>
      <c r="U52" t="inlineStr"/>
      <c r="V52" t="inlineStr"/>
      <c r="W52" t="inlineStr"/>
      <c r="X52" t="inlineStr">
        <is>
          <t>{05-25-2026 top offenders}: 26/05/2026 Rempacement carte MPT ACC  sur NRD_082_H_Garoua-Yelwa-Orange-IHS ce jour, ETA 11H
25.05.26: Besoin d'un FME sur NRD_082_H_Garoua-Yelwa-Orange-IHS pour vérifier le statut de la carte MPT sur le slot 5 et la remplacer au besoin; CM-20260525-00005422; FME Armel activé pour investigations, update ASAP
Impacted by NRD_082_H_Garoua-Yelwa-Orange-IHS (Power issue)     ;    {05-25-2026 retour CAMUSAT}: Insuffisance de redresseurs     ;    {05-25-2026 ocm ran 22H}: 25.05.26: Besoin d'un FME sur NRD_082_H_Garoua-Yelwa-Orange-IHS pour vérifier le statut de la carte MPT sur le slot 5 et la remplacer au besoin; CM-20260525-00005422; FME Armel activé pour investigations, update ASAP
Impacted by NRD_082_H_Garoua-Yelwa-Orange-IHS (Power issue)     ;    {05-25-2026 ocm ran 17H}: 25.05.26: Besoin d'un FME sur NRD_082_H_Garoua-Yelwa-Orange-IHS pour vérifier le statut de la carte MPT sur le slot 5 et la remplacer au besoin; CM-20260525-00005422; FME Armel activé pour investigations, update ASAP
Impacted by NRD_082_H_Garoua-Yelwa-Orange-IHS (Power issue)</t>
        </is>
      </c>
      <c r="Y52" t="inlineStr">
        <is>
          <t>26/05/2026 Rempacement carte MPT ACC sur NRD_082_H_Garoua-Yelwa-Orange-IHS ce jour, ETA 11H
25.05.26 Besoin d'un FME sur NRD_082_H_Garoua-Yelwa-Orange-IHS pour vérifier le statut de la carte MPT sur le slot 5 et la remplacer au besoin; FME Armel activé pour investigations, update ASAP
Impacted by NRD_082_H_Garoua-Yelwa-Orange-IHS (Power issue) Insuffisance de redresseurs 25.05.26 Besoin d'un FME sur NRD_082_H_Garoua-Yelwa-Orange-IHS pour vérifier le statut de la carte MPT sur le slot 5 et la remplacer au besoin; FME Armel activé pour investigations, update ASAP
Impacted by NRD_082_H_Garoua-Yelwa-Orange-IHS (Power issue) 25.05.26 Besoin d'un FME sur NRD_082_H_Garoua-Yelwa-Orange-IHS pour vérifier le statut de la carte MPT sur le slot 5 et la remplacer au besoin; FME Armel activé pour investigations, update ASAP
Impacted by NRD_082_H_Garoua-Yelwa-Orange-IHS (Power issue)</t>
        </is>
      </c>
      <c r="Z52" t="inlineStr"/>
      <c r="AA52" t="inlineStr"/>
      <c r="AB52" t="inlineStr">
        <is>
          <t>{05-25-2026 top offenders}: 26/05/2026 Rempacement carte MPT ACC  sur NRD_082_H_Garoua-Yelwa-Orange-IHS ce jour, ETA 11H
25.05.26: Besoin d'un FME sur NRD_082_H_Garoua-Yelwa-Orange-IHS pour vérifier le statut de la carte MPT sur le slot 5 et la remplacer au besoin; CM-20260525-00005422; FME Armel activé pour investigations, update ASAP
Impacted by NRD_082_H_Garoua-Yelwa-Orange-IHS (Power issue)</t>
        </is>
      </c>
      <c r="AC52" t="inlineStr">
        <is>
          <t>{05-25-2026 retour CAMUSAT}: Insuffisance de redresseurs</t>
        </is>
      </c>
      <c r="AD52" t="inlineStr"/>
      <c r="AE52" t="inlineStr"/>
      <c r="AF52" t="inlineStr"/>
      <c r="AG52" t="inlineStr"/>
      <c r="AH52" t="inlineStr"/>
      <c r="AI52" t="inlineStr"/>
      <c r="AJ52" t="inlineStr"/>
      <c r="AK52" t="inlineStr"/>
      <c r="AL52" t="inlineStr"/>
      <c r="AM52" t="inlineStr"/>
      <c r="AN52" t="inlineStr"/>
      <c r="AO52" t="inlineStr">
        <is>
          <t>{05-25-2026 ocm ran 22H}: 25.05.26: Besoin d'un FME sur NRD_082_H_Garoua-Yelwa-Orange-IHS pour vérifier le statut de la carte MPT sur le slot 5 et la remplacer au besoin; CM-20260525-00005422; FME Armel activé pour investigations, update ASAP
Impacted by NRD_082_H_Garoua-Yelwa-Orange-IHS (Power issue)</t>
        </is>
      </c>
      <c r="AP52" t="inlineStr">
        <is>
          <t>{05-25-2026 ocm ran 17H}: 25.05.26: Besoin d'un FME sur NRD_082_H_Garoua-Yelwa-Orange-IHS pour vérifier le statut de la carte MPT sur le slot 5 et la remplacer au besoin; CM-20260525-00005422; FME Armel activé pour investigations, update ASAP
Impacted by NRD_082_H_Garoua-Yelwa-Orange-IHS (Power issue)</t>
        </is>
      </c>
      <c r="AQ52" t="inlineStr"/>
      <c r="AR52" t="inlineStr"/>
    </row>
    <row r="53">
      <c r="A53" t="inlineStr">
        <is>
          <t>Garoua-Lycee-Technique-MTN</t>
        </is>
      </c>
      <c r="B53" t="inlineStr">
        <is>
          <t>NRD_063</t>
        </is>
      </c>
      <c r="C53" t="inlineStr">
        <is>
          <t>Garoua</t>
        </is>
      </c>
      <c r="D53" t="inlineStr">
        <is>
          <t>IHS</t>
        </is>
      </c>
      <c r="E53" t="inlineStr">
        <is>
          <t>Grid-Gen</t>
        </is>
      </c>
      <c r="F53" t="inlineStr">
        <is>
          <t>NORD</t>
        </is>
      </c>
      <c r="G53" t="inlineStr">
        <is>
          <t>Garoua</t>
        </is>
      </c>
      <c r="H53" t="inlineStr">
        <is>
          <t>Huawei</t>
        </is>
      </c>
      <c r="I53" t="n">
        <v>0</v>
      </c>
      <c r="J53" t="n">
        <v>0</v>
      </c>
      <c r="K53" t="n">
        <v>0</v>
      </c>
      <c r="L53" t="n">
        <v>0</v>
      </c>
      <c r="M53" t="n">
        <v>13.67593805377918</v>
      </c>
      <c r="N53" t="n">
        <v>32.37293622531563</v>
      </c>
      <c r="O53" t="n">
        <v>41.31093362709997</v>
      </c>
      <c r="P53" t="n">
        <v>0</v>
      </c>
      <c r="Q53" t="n">
        <v>18.49140919947608</v>
      </c>
      <c r="R53" t="inlineStr">
        <is>
          <t>Operationnel</t>
        </is>
      </c>
      <c r="S53" t="inlineStr"/>
      <c r="T53" t="inlineStr"/>
      <c r="U53" t="inlineStr"/>
      <c r="V53" t="inlineStr"/>
      <c r="W53" t="inlineStr"/>
      <c r="X53" t="inlineStr">
        <is>
          <t>{05-25-2026 top offenders}: Impacted by NRD_065_H_Garoua-Roumde-Adja (TX issue)     ;    {05-25-2026 ocm ran 22H}: Impacted by NRD_065_H_Garoua-Roumde-Adja (TX issue)     ;    {05-25-2026 ocm ran 17H}: Impacted by NRD_065_H_Garoua-Roumde-Adja</t>
        </is>
      </c>
      <c r="Y53" t="inlineStr">
        <is>
          <t>Impacted by NRD_065_H_Garoua-Roumde-Adja (TX issue) Impacted by NRD_065_H_Garoua-Roumde-Adja (TX issue) Impacted by NRD_065_H_Garoua-Roumde-Adja</t>
        </is>
      </c>
      <c r="Z53" t="inlineStr"/>
      <c r="AA53" t="inlineStr"/>
      <c r="AB53" t="inlineStr">
        <is>
          <t>{05-25-2026 top offenders}: Impacted by NRD_065_H_Garoua-Roumde-Adja (TX issue)</t>
        </is>
      </c>
      <c r="AC53" t="inlineStr"/>
      <c r="AD53" t="inlineStr"/>
      <c r="AE53" t="inlineStr"/>
      <c r="AF53" t="inlineStr"/>
      <c r="AG53" t="inlineStr"/>
      <c r="AH53" t="inlineStr"/>
      <c r="AI53" t="inlineStr"/>
      <c r="AJ53" t="inlineStr"/>
      <c r="AK53" t="inlineStr"/>
      <c r="AL53" t="inlineStr"/>
      <c r="AM53" t="inlineStr"/>
      <c r="AN53" t="inlineStr"/>
      <c r="AO53" t="inlineStr">
        <is>
          <t>{05-25-2026 ocm ran 22H}: Impacted by NRD_065_H_Garoua-Roumde-Adja (TX issue)</t>
        </is>
      </c>
      <c r="AP53" t="inlineStr">
        <is>
          <t>{05-25-2026 ocm ran 17H}: Impacted by NRD_065_H_Garoua-Roumde-Adja</t>
        </is>
      </c>
      <c r="AQ53" t="inlineStr"/>
      <c r="AR53" t="inlineStr"/>
    </row>
    <row r="54">
      <c r="A54" t="inlineStr">
        <is>
          <t>Buea-Wokoko-IHS</t>
        </is>
      </c>
      <c r="B54" t="inlineStr">
        <is>
          <t>SUO_185</t>
        </is>
      </c>
      <c r="C54" t="inlineStr">
        <is>
          <t>SUD-OUEST</t>
        </is>
      </c>
      <c r="D54" t="inlineStr">
        <is>
          <t>IHS</t>
        </is>
      </c>
      <c r="E54" t="inlineStr">
        <is>
          <t>Grid-Gen</t>
        </is>
      </c>
      <c r="F54" t="inlineStr">
        <is>
          <t>SUD-OUEST</t>
        </is>
      </c>
      <c r="G54" t="inlineStr">
        <is>
          <t>Buea</t>
        </is>
      </c>
      <c r="H54" t="inlineStr">
        <is>
          <t>Huawei</t>
        </is>
      </c>
      <c r="I54" t="n">
        <v>0</v>
      </c>
      <c r="J54" t="n">
        <v>0</v>
      </c>
      <c r="K54" t="n">
        <v>0</v>
      </c>
      <c r="L54" t="n">
        <v>0.0002675261747609386</v>
      </c>
      <c r="M54" t="n">
        <v>5.758946788687139</v>
      </c>
      <c r="N54" t="n">
        <v>32.37293622531563</v>
      </c>
      <c r="O54" t="n">
        <v>41.31093362709997</v>
      </c>
      <c r="P54" t="n">
        <v>0</v>
      </c>
      <c r="Q54" t="n">
        <v>18.49140919947608</v>
      </c>
      <c r="R54" t="inlineStr">
        <is>
          <t>Operationnel</t>
        </is>
      </c>
      <c r="S54" t="inlineStr"/>
      <c r="T54" t="inlineStr"/>
      <c r="U54" t="inlineStr"/>
      <c r="V54" t="inlineStr"/>
      <c r="W54" t="inlineStr"/>
      <c r="X54" t="inlineStr">
        <is>
          <t>{05-25-2026 top offenders}: 26.05.26: IHS: 36v : Grid outag, low fuel.
25.05.26: IHS: 36v : Grid outag, low fuel.     ;    {05-25-2026 ocm ran 22H}: 25.05.26: IHS: 36v : Grid outag, low fuel.     ;    {05-25-2026 ocm ran 17H}: 25.05.26: IHS: 36v : Grid outag, low fuel.</t>
        </is>
      </c>
      <c r="Y54" t="inlineStr">
        <is>
          <t>26.05.26 IHS 36v Grid outag, low fuel.
25.05.26 IHS 36v Grid outag, low fuel. 25.05.26 IHS 36v Grid outag, low fuel. 25.05.26 IHS 36v Grid outag, low fuel.</t>
        </is>
      </c>
      <c r="Z54" t="inlineStr"/>
      <c r="AA54" t="inlineStr"/>
      <c r="AB54" t="inlineStr">
        <is>
          <t>{05-25-2026 top offenders}: 26.05.26: IHS: 36v : Grid outag, low fuel.
25.05.26: IHS: 36v : Grid outag, low fuel.</t>
        </is>
      </c>
      <c r="AC54" t="inlineStr"/>
      <c r="AD54" t="inlineStr"/>
      <c r="AE54" t="inlineStr"/>
      <c r="AF54" t="inlineStr"/>
      <c r="AG54" t="inlineStr"/>
      <c r="AH54" t="inlineStr"/>
      <c r="AI54" t="inlineStr"/>
      <c r="AJ54" t="inlineStr"/>
      <c r="AK54" t="inlineStr"/>
      <c r="AL54" t="inlineStr"/>
      <c r="AM54" t="inlineStr"/>
      <c r="AN54" t="inlineStr"/>
      <c r="AO54" t="inlineStr">
        <is>
          <t>{05-25-2026 ocm ran 22H}: 25.05.26: IHS: 36v : Grid outag, low fuel.</t>
        </is>
      </c>
      <c r="AP54" t="inlineStr">
        <is>
          <t>{05-25-2026 ocm ran 17H}: 25.05.26: IHS: 36v : Grid outag, low fuel.</t>
        </is>
      </c>
      <c r="AQ54" t="inlineStr"/>
      <c r="AR54" t="inlineStr"/>
    </row>
    <row r="55">
      <c r="A55" t="inlineStr">
        <is>
          <t>Maroua-Massalare</t>
        </is>
      </c>
      <c r="B55" t="inlineStr">
        <is>
          <t>EXN_087</t>
        </is>
      </c>
      <c r="C55" t="inlineStr">
        <is>
          <t>Maroua</t>
        </is>
      </c>
      <c r="D55" t="inlineStr">
        <is>
          <t>IHS</t>
        </is>
      </c>
      <c r="E55" t="inlineStr">
        <is>
          <t>Grid-Gen</t>
        </is>
      </c>
      <c r="F55" t="inlineStr">
        <is>
          <t>EXTREME-NORD</t>
        </is>
      </c>
      <c r="G55" t="inlineStr">
        <is>
          <t>Maroua</t>
        </is>
      </c>
      <c r="H55" t="inlineStr">
        <is>
          <t>Huawei</t>
        </is>
      </c>
      <c r="I55" t="n">
        <v>0</v>
      </c>
      <c r="J55" t="n">
        <v>0</v>
      </c>
      <c r="K55" t="n">
        <v>0</v>
      </c>
      <c r="L55" t="n">
        <v>0</v>
      </c>
      <c r="M55" t="n">
        <v>3.262927578167581</v>
      </c>
      <c r="N55" t="n">
        <v>32.37293622531563</v>
      </c>
      <c r="O55" t="n">
        <v>41.31093362709997</v>
      </c>
      <c r="P55" t="n">
        <v>0</v>
      </c>
      <c r="Q55" t="n">
        <v>18.49140919947608</v>
      </c>
      <c r="R55" t="inlineStr">
        <is>
          <t>Operationnel</t>
        </is>
      </c>
      <c r="S55" t="inlineStr"/>
      <c r="T55" t="inlineStr"/>
      <c r="U55" t="inlineStr"/>
      <c r="V55" t="inlineStr"/>
      <c r="W55" t="inlineStr"/>
      <c r="X55" t="inlineStr">
        <is>
          <t>{05-25-2026 top offenders}: 26/05/2026 FME activé, ETA 12H
25.05.26: Besoin d'un FME sur EXN_016_MAROUA-DOUGGOY pour vérifier la chaine antennaire de l'ODU 3.1 sur le 10G_MPR_MAROUA-DOUGGOY_1; CM-20260525-00005737; FME Sadjo activé pour investigations, update ASAP     ;    {05-25-2026 ocm ran 22H}: 25.05.26: Besoin d'un FME sur EXN_016_MAROUA-DOUGGOY pour vérifier la chaine antennaire de l'ODU 3.1 sur le 10G_MPR_MAROUA-DOUGGOY_1; CM-20260525-00005737; FME Sadjo activé pour investigations, update ASAP     ;    {05-25-2026 ocm ran 17H}: 25.05.26: Besoin d'un FME sur EXN_016_MAROUA-DOUGGOY pour vérifier la chaine antennaire de l'ODU 3.1 sur le 10G_MPR_MAROUA-DOUGGOY_1; CM-20260525-00005737; FME Sadjo activé pour investigations, update ASAP</t>
        </is>
      </c>
      <c r="Y55" t="inlineStr">
        <is>
          <t>26/05/2026 FME activé, ETA 12H
25.05.26 Besoin d'un FME sur EXN_016_MAROUA-DOUGGOY pour vérifier la chaine antennaire de l'ODU 3.1 sur le 10G_MPR_MAROUA-DOUGGOY_1; FME Sadjo activé pour investigations, update ASAP 25.05.26 Besoin d'un FME sur EXN_016_MAROUA-DOUGGOY pour vérifier la chaine antennaire de l'ODU 3.1 sur le 10G_MPR_MAROUA-DOUGGOY_1; FME Sadjo activé pour investigations, update ASAP 25.05.26 Besoin d'un FME sur EXN_016_MAROUA-DOUGGOY pour vérifier la chaine antennaire de l'ODU 3.1 sur le 10G_MPR_MAROUA-DOUGGOY_1; FME Sadjo activé pour investigations, update ASAP</t>
        </is>
      </c>
      <c r="Z55" t="inlineStr"/>
      <c r="AA55" t="inlineStr"/>
      <c r="AB55" t="inlineStr">
        <is>
          <t>{05-25-2026 top offenders}: 26/05/2026 FME activé, ETA 12H
25.05.26: Besoin d'un FME sur EXN_016_MAROUA-DOUGGOY pour vérifier la chaine antennaire de l'ODU 3.1 sur le 10G_MPR_MAROUA-DOUGGOY_1; CM-20260525-00005737; FME Sadjo activé pour investigations, update ASAP</t>
        </is>
      </c>
      <c r="AC55" t="inlineStr"/>
      <c r="AD55" t="inlineStr"/>
      <c r="AE55" t="inlineStr"/>
      <c r="AF55" t="inlineStr"/>
      <c r="AG55" t="inlineStr"/>
      <c r="AH55" t="inlineStr"/>
      <c r="AI55" t="inlineStr"/>
      <c r="AJ55" t="inlineStr"/>
      <c r="AK55" t="inlineStr"/>
      <c r="AL55" t="inlineStr"/>
      <c r="AM55" t="inlineStr"/>
      <c r="AN55" t="inlineStr"/>
      <c r="AO55" t="inlineStr">
        <is>
          <t>{05-25-2026 ocm ran 22H}: 25.05.26: Besoin d'un FME sur EXN_016_MAROUA-DOUGGOY pour vérifier la chaine antennaire de l'ODU 3.1 sur le 10G_MPR_MAROUA-DOUGGOY_1; CM-20260525-00005737; FME Sadjo activé pour investigations, update ASAP</t>
        </is>
      </c>
      <c r="AP55" t="inlineStr">
        <is>
          <t>{05-25-2026 ocm ran 17H}: 25.05.26: Besoin d'un FME sur EXN_016_MAROUA-DOUGGOY pour vérifier la chaine antennaire de l'ODU 3.1 sur le 10G_MPR_MAROUA-DOUGGOY_1; CM-20260525-00005737; FME Sadjo activé pour investigations, update ASAP</t>
        </is>
      </c>
      <c r="AQ55" t="inlineStr"/>
      <c r="AR55" t="inlineStr"/>
    </row>
    <row r="56">
      <c r="A56" t="inlineStr">
        <is>
          <t>Ngd-Sabonbari-America-IHS</t>
        </is>
      </c>
      <c r="B56" t="inlineStr">
        <is>
          <t>ADM_155</t>
        </is>
      </c>
      <c r="C56" t="inlineStr">
        <is>
          <t>Ngaoundere</t>
        </is>
      </c>
      <c r="D56" t="inlineStr">
        <is>
          <t>IHS</t>
        </is>
      </c>
      <c r="E56" t="inlineStr">
        <is>
          <t>Grid-Gen</t>
        </is>
      </c>
      <c r="F56" t="inlineStr">
        <is>
          <t>ADAMAOUA</t>
        </is>
      </c>
      <c r="G56" t="inlineStr">
        <is>
          <t>Ngaoundere</t>
        </is>
      </c>
      <c r="H56" t="inlineStr">
        <is>
          <t>Huawei</t>
        </is>
      </c>
      <c r="I56" t="n">
        <v>0</v>
      </c>
      <c r="J56" t="n">
        <v>0</v>
      </c>
      <c r="K56" t="n">
        <v>0</v>
      </c>
      <c r="L56" t="n">
        <v>2.714249228811214</v>
      </c>
      <c r="M56" t="n">
        <v>13.67593805377918</v>
      </c>
      <c r="N56" t="n">
        <v>32.3710627915063</v>
      </c>
      <c r="O56" t="n">
        <v>41.31093362709997</v>
      </c>
      <c r="P56" t="n">
        <v>0</v>
      </c>
      <c r="Q56" t="n">
        <v>18.49114167330132</v>
      </c>
      <c r="R56" t="inlineStr">
        <is>
          <t>Operationnel</t>
        </is>
      </c>
      <c r="S56" t="inlineStr"/>
      <c r="T56" t="inlineStr"/>
      <c r="U56" t="inlineStr"/>
      <c r="V56" t="inlineStr"/>
      <c r="W56" t="inlineStr"/>
      <c r="X56" t="inlineStr">
        <is>
          <t>{05-25-2026 top offenders}: 26/05/2026 Fme activé ETA=13H UTC 
25.05.26: Besoin d'un FME sur site pour vérifier le statut du MPR; CM-20260525-00005467; FME Ndewa activé pour investigations, update ASAP
24/05/2026 Low Grid Voltages. // Grid switched-off and Manual start of Gen. Escalade L2 IHS 
23/05/2026 Power issue and power alarm IHS awaiting     ;    {05-25-2026 ocm ran 22H}: 25.05.26: Besoin d'un FME sur site pour vérifier le statut du MPR; CM-20260525-00005467; FME Ndewa activé pour investigations, update ASAP
24/05/2026 Low Grid Voltages. // Grid switched-off and Manual start of Gen. Escalade L2 IHS 
23/05/2026 Power issue and power alarm IHS awaiting     ;    {05-25-2026 ocm ran 17H}: 25.05.26: Besoin d'un FME sur site pour vérifier le statut du MPR; CM-20260525-00005467; FME Herve activé pour investigations, update ASAP
24/05/2026 Low Grid Voltages. // Grid switched-off and Manual start of Gen. Escalade L2 IHS 
23/05/2026 Power issue and power alarm IHS awaiting</t>
        </is>
      </c>
      <c r="Y56" t="inlineStr">
        <is>
          <t>26/05/2026 Fme activé ETA=13H UTC
25.05.26 Besoin d'un FME sur site pour vérifier le statut du MPR; FME Ndewa activé pour investigations, update ASAP
24/05/2026 Low Grid Voltages. // Grid switched-off and Manual start of Gen. Escalade L2 IHS
23/05/2026 Power issue and power alarm IHS awaiting 25.05.26 Besoin d'un FME sur site pour vérifier le statut du MPR; FME Ndewa activé pour investigations, update ASAP
24/05/2026 Low Grid Voltages. // Grid switched-off and Manual start of Gen. Escalade L2 IHS
23/05/2026 Power issue and power alarm IHS awaiting 25.05.26 Besoin d'un FME sur site pour vérifier le statut du MPR; FME Herve activé pour investigations, update ASAP
24/05/2026 Low Grid Voltages. // Grid switched-off and Manual start of Gen. Escalade L2 IHS
23/05/2026 Power issue and power alarm IHS awaiting</t>
        </is>
      </c>
      <c r="Z56" t="inlineStr"/>
      <c r="AA56" t="inlineStr"/>
      <c r="AB56" t="inlineStr">
        <is>
          <t>{05-25-2026 top offenders}: 26/05/2026 Fme activé ETA=13H UTC 
25.05.26: Besoin d'un FME sur site pour vérifier le statut du MPR; CM-20260525-00005467; FME Ndewa activé pour investigations, update ASAP
24/05/2026 Low Grid Voltages. // Grid switched-off and Manual start of Gen. Escalade L2 IHS 
23/05/2026 Power issue and power alarm IHS awaiting</t>
        </is>
      </c>
      <c r="AC56" t="inlineStr"/>
      <c r="AD56" t="inlineStr"/>
      <c r="AE56" t="inlineStr"/>
      <c r="AF56" t="inlineStr"/>
      <c r="AG56" t="inlineStr"/>
      <c r="AH56" t="inlineStr"/>
      <c r="AI56" t="inlineStr"/>
      <c r="AJ56" t="inlineStr"/>
      <c r="AK56" t="inlineStr"/>
      <c r="AL56" t="inlineStr"/>
      <c r="AM56" t="inlineStr"/>
      <c r="AN56" t="inlineStr"/>
      <c r="AO56" t="inlineStr">
        <is>
          <t>{05-25-2026 ocm ran 22H}: 25.05.26: Besoin d'un FME sur site pour vérifier le statut du MPR; CM-20260525-00005467; FME Ndewa activé pour investigations, update ASAP
24/05/2026 Low Grid Voltages. // Grid switched-off and Manual start of Gen. Escalade L2 IHS 
23/05/2026 Power issue and power alarm IHS awaiting</t>
        </is>
      </c>
      <c r="AP56" t="inlineStr">
        <is>
          <t>{05-25-2026 ocm ran 17H}: 25.05.26: Besoin d'un FME sur site pour vérifier le statut du MPR; CM-20260525-00005467; FME Herve activé pour investigations, update ASAP
24/05/2026 Low Grid Voltages. // Grid switched-off and Manual start of Gen. Escalade L2 IHS 
23/05/2026 Power issue and power alarm IHS awaiting</t>
        </is>
      </c>
      <c r="AQ56" t="inlineStr"/>
      <c r="AR56" t="inlineStr"/>
    </row>
    <row r="57">
      <c r="A57" t="inlineStr">
        <is>
          <t>Garoua-Roumde-Adja</t>
        </is>
      </c>
      <c r="B57" t="inlineStr">
        <is>
          <t>NRD_065</t>
        </is>
      </c>
      <c r="C57" t="inlineStr">
        <is>
          <t>Garoua</t>
        </is>
      </c>
      <c r="D57" t="inlineStr">
        <is>
          <t>IHS</t>
        </is>
      </c>
      <c r="E57" t="inlineStr">
        <is>
          <t>Grid-Gen</t>
        </is>
      </c>
      <c r="F57" t="inlineStr">
        <is>
          <t>NORD</t>
        </is>
      </c>
      <c r="G57" t="inlineStr">
        <is>
          <t>Garoua</t>
        </is>
      </c>
      <c r="H57" t="inlineStr">
        <is>
          <t>Huawei</t>
        </is>
      </c>
      <c r="I57" t="n">
        <v>0</v>
      </c>
      <c r="J57" t="n">
        <v>0</v>
      </c>
      <c r="K57" t="n">
        <v>0.0002675261747609386</v>
      </c>
      <c r="L57" t="n">
        <v>0</v>
      </c>
      <c r="M57" t="n">
        <v>13.67593805377918</v>
      </c>
      <c r="N57" t="n">
        <v>32.3710627915063</v>
      </c>
      <c r="O57" t="n">
        <v>41.31093362709997</v>
      </c>
      <c r="P57" t="n">
        <v>0</v>
      </c>
      <c r="Q57" t="n">
        <v>18.49114167330132</v>
      </c>
      <c r="R57" t="inlineStr">
        <is>
          <t>Operationnel</t>
        </is>
      </c>
      <c r="S57" t="inlineStr"/>
      <c r="T57" t="inlineStr"/>
      <c r="U57" t="inlineStr"/>
      <c r="V57" t="inlineStr"/>
      <c r="W57" t="inlineStr"/>
      <c r="X57" t="inlineStr">
        <is>
          <t>{05-25-2026 top offenders}: 26/05/2026  FME activé, ETA 12H
25.05.26: Besoin d'un FME sur site pour vérifier le statut du MPR; CM-20260525-00005503; FME Armel activé pour investigations, update ASAP
24/05/2026 Low oil pressure // Added oil and started GEN manaully     ;    {05-25-2026 ocm ran 22H}: 25.05.26: Besoin d'un FME sur site pour vérifier le statut du MPR; CM-20260525-00005503; FME Armel activé pour investigations, update ASAP
24/05/2026 Low oil pressure // Added oil and started GEN manaully     ;    {05-25-2026 ocm ran 17H}: 25.05.26: Besoin d'un FME sur site pour vérifier le statut du MPR; CM-20260525-00005503; FME Armel activé pour investigations, update ASAP
24/05/2026 Low oil pressure // Added oil and started GEN manaully</t>
        </is>
      </c>
      <c r="Y57" t="inlineStr">
        <is>
          <t>26/05/2026 FME activé, ETA 12H
25.05.26 Besoin d'un FME sur site pour vérifier le statut du MPR; FME Armel activé pour investigations, update ASAP
24/05/2026 Low oil pressure // Added oil and started GEN manaully 25.05.26 Besoin d'un FME sur site pour vérifier le statut du MPR; FME Armel activé pour investigations, update ASAP
24/05/2026 Low oil pressure // Added oil and started GEN manaully 25.05.26 Besoin d'un FME sur site pour vérifier le statut du MPR; FME Armel activé pour investigations, update ASAP
24/05/2026 Low oil pressure // Added oil and started GEN manaully</t>
        </is>
      </c>
      <c r="Z57" t="inlineStr"/>
      <c r="AA57" t="inlineStr"/>
      <c r="AB57" t="inlineStr">
        <is>
          <t>{05-25-2026 top offenders}: 26/05/2026  FME activé, ETA 12H
25.05.26: Besoin d'un FME sur site pour vérifier le statut du MPR; CM-20260525-00005503; FME Armel activé pour investigations, update ASAP
24/05/2026 Low oil pressure // Added oil and started GEN manaully</t>
        </is>
      </c>
      <c r="AC57" t="inlineStr"/>
      <c r="AD57" t="inlineStr"/>
      <c r="AE57" t="inlineStr"/>
      <c r="AF57" t="inlineStr"/>
      <c r="AG57" t="inlineStr"/>
      <c r="AH57" t="inlineStr"/>
      <c r="AI57" t="inlineStr"/>
      <c r="AJ57" t="inlineStr"/>
      <c r="AK57" t="inlineStr"/>
      <c r="AL57" t="inlineStr"/>
      <c r="AM57" t="inlineStr"/>
      <c r="AN57" t="inlineStr"/>
      <c r="AO57" t="inlineStr">
        <is>
          <t>{05-25-2026 ocm ran 22H}: 25.05.26: Besoin d'un FME sur site pour vérifier le statut du MPR; CM-20260525-00005503; FME Armel activé pour investigations, update ASAP
24/05/2026 Low oil pressure // Added oil and started GEN manaully</t>
        </is>
      </c>
      <c r="AP57" t="inlineStr">
        <is>
          <t>{05-25-2026 ocm ran 17H}: 25.05.26: Besoin d'un FME sur site pour vérifier le statut du MPR; CM-20260525-00005503; FME Armel activé pour investigations, update ASAP
24/05/2026 Low oil pressure // Added oil and started GEN manaully</t>
        </is>
      </c>
      <c r="AQ57" t="inlineStr"/>
      <c r="AR57" t="inlineStr"/>
    </row>
    <row r="58">
      <c r="A58" t="inlineStr">
        <is>
          <t>Douggoy-Lopere-II</t>
        </is>
      </c>
      <c r="B58" t="inlineStr">
        <is>
          <t>EXN_217</t>
        </is>
      </c>
      <c r="C58" t="inlineStr">
        <is>
          <t>Maroua</t>
        </is>
      </c>
      <c r="D58" t="inlineStr">
        <is>
          <t>CAMUSAT</t>
        </is>
      </c>
      <c r="E58" t="inlineStr">
        <is>
          <t>Medium Grid + GE</t>
        </is>
      </c>
      <c r="F58" t="inlineStr">
        <is>
          <t>EXTREME-NORD</t>
        </is>
      </c>
      <c r="G58" t="inlineStr">
        <is>
          <t>Maroua</t>
        </is>
      </c>
      <c r="H58" t="inlineStr">
        <is>
          <t>Huawei</t>
        </is>
      </c>
      <c r="I58" t="n">
        <v>0</v>
      </c>
      <c r="J58" t="n">
        <v>0</v>
      </c>
      <c r="K58" t="n">
        <v>0</v>
      </c>
      <c r="L58" t="n">
        <v>0</v>
      </c>
      <c r="M58" t="n">
        <v>3.26355180590869</v>
      </c>
      <c r="N58" t="n">
        <v>32.3710627915063</v>
      </c>
      <c r="O58" t="n">
        <v>41.31093362709997</v>
      </c>
      <c r="P58" t="n">
        <v>0</v>
      </c>
      <c r="Q58" t="n">
        <v>18.49114167330132</v>
      </c>
      <c r="R58" t="inlineStr">
        <is>
          <t>Operationnel</t>
        </is>
      </c>
      <c r="S58" t="inlineStr"/>
      <c r="T58" t="inlineStr"/>
      <c r="U58" t="inlineStr"/>
      <c r="V58" t="inlineStr"/>
      <c r="W58" t="inlineStr"/>
      <c r="X58" t="inlineStr">
        <is>
          <t>{05-25-2026 top offenders}: Impacted by EXN_087_H_Maroua-Massalare (TX issue)     ;    {05-25-2026 ocm ran 22H}: Impacted by EXN_087_H_Maroua-Massalare (TX issue)     ;    {05-25-2026 ocm ran 17H}: Impacted by EXN_087_H_Maroua-Massalare (TX issue)</t>
        </is>
      </c>
      <c r="Y58" t="inlineStr">
        <is>
          <t>Impacted by EXN_087_H_Maroua-Massalare (TX issue) Impacted by EXN_087_H_Maroua-Massalare (TX issue) Impacted by EXN_087_H_Maroua-Massalare (TX issue)</t>
        </is>
      </c>
      <c r="Z58" t="inlineStr"/>
      <c r="AA58" t="inlineStr"/>
      <c r="AB58" t="inlineStr">
        <is>
          <t>{05-25-2026 top offenders}: Impacted by EXN_087_H_Maroua-Massalare (TX issue)</t>
        </is>
      </c>
      <c r="AC58" t="inlineStr"/>
      <c r="AD58" t="inlineStr"/>
      <c r="AE58" t="inlineStr"/>
      <c r="AF58" t="inlineStr"/>
      <c r="AG58" t="inlineStr"/>
      <c r="AH58" t="inlineStr"/>
      <c r="AI58" t="inlineStr"/>
      <c r="AJ58" t="inlineStr"/>
      <c r="AK58" t="inlineStr"/>
      <c r="AL58" t="inlineStr"/>
      <c r="AM58" t="inlineStr"/>
      <c r="AN58" t="inlineStr"/>
      <c r="AO58" t="inlineStr">
        <is>
          <t>{05-25-2026 ocm ran 22H}: Impacted by EXN_087_H_Maroua-Massalare (TX issue)</t>
        </is>
      </c>
      <c r="AP58" t="inlineStr">
        <is>
          <t>{05-25-2026 ocm ran 17H}: Impacted by EXN_087_H_Maroua-Massalare (TX issue)</t>
        </is>
      </c>
      <c r="AQ58" t="inlineStr"/>
      <c r="AR58" t="inlineStr"/>
    </row>
    <row r="59">
      <c r="A59" t="inlineStr">
        <is>
          <t>NRD_260_H_Garoua-Djagara</t>
        </is>
      </c>
      <c r="B59" t="inlineStr">
        <is>
          <t>NRD_260</t>
        </is>
      </c>
      <c r="C59" t="inlineStr">
        <is>
          <t>Garoua</t>
        </is>
      </c>
      <c r="D59" t="inlineStr">
        <is>
          <t>ESCO</t>
        </is>
      </c>
      <c r="E59" t="inlineStr">
        <is>
          <t>Hybrid Solar - S1</t>
        </is>
      </c>
      <c r="F59" t="inlineStr">
        <is>
          <t>NRD</t>
        </is>
      </c>
      <c r="G59" t="inlineStr">
        <is>
          <t>Garoua</t>
        </is>
      </c>
      <c r="H59" t="inlineStr">
        <is>
          <t>Huawei</t>
        </is>
      </c>
      <c r="I59" t="n">
        <v>0</v>
      </c>
      <c r="J59" t="n">
        <v>10.86825084966313</v>
      </c>
      <c r="K59" t="n">
        <v>18.43665550904167</v>
      </c>
      <c r="L59" t="n">
        <v>18.49140919947608</v>
      </c>
      <c r="M59" t="n">
        <v>13.67317361663999</v>
      </c>
      <c r="N59" t="n">
        <v>32.3710627915063</v>
      </c>
      <c r="O59" t="n">
        <v>41.30960547208367</v>
      </c>
      <c r="P59" t="n">
        <v>0</v>
      </c>
      <c r="Q59" t="n">
        <v>18.49069579634338</v>
      </c>
      <c r="R59" t="inlineStr">
        <is>
          <t>Operationnel</t>
        </is>
      </c>
      <c r="S59" t="inlineStr"/>
      <c r="T59" t="inlineStr"/>
      <c r="U59" t="inlineStr"/>
      <c r="V59" t="inlineStr"/>
      <c r="W59" t="inlineStr"/>
      <c r="X59" t="inlineStr">
        <is>
          <t>{05-25-2026 top offenders}: 24/05/2026 Retour FME : Site scellé par le bailleur pour loyer impayé point transmis a camusat 
24/05/2026 besoin d'un fme sur site pour verifier le status du MPR FME seydou  activé sur site Bibemiré NRD_039     ;    {05-25-2026 ocm ran 22H}: 24/05/2026 Retour FME : Site scellé par le bailleur pour loyer impayé point transmis a camusat 
24/05/2026 besoin d'un fme sur site pour verifier le status du MPR FME seydou  activé sur site Bibemiré NRD_039     ;    {05-25-2026 ocm ran 17H}: 24/05/2026 Retour FME : Site scellé par le bailleur pour loyer impayé point transmis a camusat 
24/05/2026 besoin d'un fme sur site pour verifier le status du MPR FME seydou  activé sur site Bibemiré NRD_039</t>
        </is>
      </c>
      <c r="Y59" t="inlineStr">
        <is>
          <t>24/05/2026 Retour FME Site scellé par le bailleur pour loyer impayé point transmis a camusat
24/05/2026 besoin d'un fme sur site pour verifier le status du MPR FME seydou activé sur site Bibemiré NRD_039 24/05/2026 Retour FME Site scellé par le bailleur pour loyer impayé point transmis a camusat
24/05/2026 besoin d'un fme sur site pour verifier le status du MPR FME seydou activé sur site Bibemiré NRD_039 24/05/2026 Retour FME Site scellé par le bailleur pour loyer impayé point transmis a camusat
24/05/2026 besoin d'un fme sur site pour verifier le status du MPR FME seydou activé sur site Bibemiré NRD_039</t>
        </is>
      </c>
      <c r="Z59" t="inlineStr"/>
      <c r="AA59" t="inlineStr"/>
      <c r="AB59" t="inlineStr">
        <is>
          <t>{05-25-2026 top offenders}: 24/05/2026 Retour FME : Site scellé par le bailleur pour loyer impayé point transmis a camusat 
24/05/2026 besoin d'un fme sur site pour verifier le status du MPR FME seydou  activé sur site Bibemiré NRD_039</t>
        </is>
      </c>
      <c r="AC59" t="inlineStr"/>
      <c r="AD59" t="inlineStr"/>
      <c r="AE59" t="inlineStr"/>
      <c r="AF59" t="inlineStr"/>
      <c r="AG59" t="inlineStr"/>
      <c r="AH59" t="inlineStr"/>
      <c r="AI59" t="inlineStr"/>
      <c r="AJ59" t="inlineStr"/>
      <c r="AK59" t="inlineStr"/>
      <c r="AL59" t="inlineStr"/>
      <c r="AM59" t="inlineStr"/>
      <c r="AN59" t="inlineStr"/>
      <c r="AO59" t="inlineStr">
        <is>
          <t>{05-25-2026 ocm ran 22H}: 24/05/2026 Retour FME : Site scellé par le bailleur pour loyer impayé point transmis a camusat 
24/05/2026 besoin d'un fme sur site pour verifier le status du MPR FME seydou  activé sur site Bibemiré NRD_039</t>
        </is>
      </c>
      <c r="AP59" t="inlineStr">
        <is>
          <t>{05-25-2026 ocm ran 17H}: 24/05/2026 Retour FME : Site scellé par le bailleur pour loyer impayé point transmis a camusat 
24/05/2026 besoin d'un fme sur site pour verifier le status du MPR FME seydou  activé sur site Bibemiré NRD_039</t>
        </is>
      </c>
      <c r="AQ59" t="inlineStr"/>
      <c r="AR59" t="inlineStr"/>
    </row>
    <row r="60">
      <c r="A60" t="inlineStr">
        <is>
          <t>Tchika</t>
        </is>
      </c>
      <c r="B60" t="inlineStr">
        <is>
          <t>EXN_225</t>
        </is>
      </c>
      <c r="C60" t="inlineStr">
        <is>
          <t>EXTREME-NORD</t>
        </is>
      </c>
      <c r="D60" t="inlineStr">
        <is>
          <t>IHS</t>
        </is>
      </c>
      <c r="E60" t="inlineStr">
        <is>
          <t>Hybrid-Gen</t>
        </is>
      </c>
      <c r="F60" t="inlineStr">
        <is>
          <t>EXTREME-NORD</t>
        </is>
      </c>
      <c r="G60" t="inlineStr">
        <is>
          <t>Tchika</t>
        </is>
      </c>
      <c r="H60" t="inlineStr">
        <is>
          <t>NOKIA</t>
        </is>
      </c>
      <c r="I60" t="n">
        <v>18.49055311571684</v>
      </c>
      <c r="J60" t="n">
        <v>18.49066012618675</v>
      </c>
      <c r="K60" t="n">
        <v>18.49098115759646</v>
      </c>
      <c r="L60" t="n">
        <v>18.49087414712655</v>
      </c>
      <c r="M60" t="n">
        <v>18.49066012618675</v>
      </c>
      <c r="N60" t="n">
        <v>32.3676906106495</v>
      </c>
      <c r="O60" t="n">
        <v>41.31093362709997</v>
      </c>
      <c r="P60" t="n">
        <v>0</v>
      </c>
      <c r="Q60" t="n">
        <v>18.49066012618675</v>
      </c>
      <c r="R60" t="inlineStr">
        <is>
          <t>EXCLU</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row>
    <row r="61">
      <c r="A61" t="inlineStr">
        <is>
          <t>Letta-MTN</t>
        </is>
      </c>
      <c r="B61" t="inlineStr">
        <is>
          <t>EST_063</t>
        </is>
      </c>
      <c r="C61" t="inlineStr">
        <is>
          <t>CENTRE</t>
        </is>
      </c>
      <c r="D61" t="inlineStr">
        <is>
          <t>IHS</t>
        </is>
      </c>
      <c r="E61" t="inlineStr">
        <is>
          <t>solar + Gen</t>
        </is>
      </c>
      <c r="F61" t="inlineStr">
        <is>
          <t>EST</t>
        </is>
      </c>
      <c r="G61" t="inlineStr">
        <is>
          <t>Letta</t>
        </is>
      </c>
      <c r="H61" t="inlineStr">
        <is>
          <t>NOKIA</t>
        </is>
      </c>
      <c r="I61" t="n">
        <v>0</v>
      </c>
      <c r="J61" t="n">
        <v>0.004815471145697134</v>
      </c>
      <c r="K61" t="n">
        <v>0</v>
      </c>
      <c r="L61" t="n">
        <v>0.6550774093485019</v>
      </c>
      <c r="M61" t="n">
        <v>4.64130803891186</v>
      </c>
      <c r="N61" t="n">
        <v>32.36169562245963</v>
      </c>
      <c r="O61" t="n">
        <v>13.77031120903332</v>
      </c>
      <c r="P61" t="n">
        <v>17.7294486141481</v>
      </c>
      <c r="Q61" t="n">
        <v>18.48980404242752</v>
      </c>
      <c r="R61" t="inlineStr">
        <is>
          <t>Operationnel</t>
        </is>
      </c>
      <c r="S61" t="inlineStr"/>
      <c r="T61" t="inlineStr"/>
      <c r="U61" t="inlineStr"/>
      <c r="V61" t="inlineStr"/>
      <c r="W61" t="inlineStr"/>
      <c r="X61" t="inlineStr">
        <is>
          <t>{05-25-2026 top offenders}: Impacted by EST_056_N_Brigaya (TX issue)     ;    {05-25-2026 ocm ran 22H}: Impacted by EST_056_N_Brigaya (TX issue)     ;    {05-25-2026 ocm ran 17H}: Impacted by EST_056_N_Brigaya</t>
        </is>
      </c>
      <c r="Y61" t="inlineStr">
        <is>
          <t>Impacted by EST_056_N_Brigaya (TX issue) Impacted by EST_056_N_Brigaya (TX issue) Impacted by EST_056_N_Brigaya</t>
        </is>
      </c>
      <c r="Z61" t="inlineStr"/>
      <c r="AA61" t="inlineStr"/>
      <c r="AB61" t="inlineStr">
        <is>
          <t>{05-25-2026 top offenders}: Impacted by EST_056_N_Brigaya (TX issue)</t>
        </is>
      </c>
      <c r="AC61" t="inlineStr"/>
      <c r="AD61" t="inlineStr"/>
      <c r="AE61" t="inlineStr"/>
      <c r="AF61" t="inlineStr"/>
      <c r="AG61" t="inlineStr"/>
      <c r="AH61" t="inlineStr"/>
      <c r="AI61" t="inlineStr"/>
      <c r="AJ61" t="inlineStr"/>
      <c r="AK61" t="inlineStr"/>
      <c r="AL61" t="inlineStr"/>
      <c r="AM61" t="inlineStr"/>
      <c r="AN61" t="inlineStr"/>
      <c r="AO61" t="inlineStr">
        <is>
          <t>{05-25-2026 ocm ran 22H}: Impacted by EST_056_N_Brigaya (TX issue)</t>
        </is>
      </c>
      <c r="AP61" t="inlineStr">
        <is>
          <t>{05-25-2026 ocm ran 17H}: Impacted by EST_056_N_Brigaya</t>
        </is>
      </c>
      <c r="AQ61" t="inlineStr"/>
      <c r="AR61" t="inlineStr"/>
    </row>
    <row r="62">
      <c r="A62" t="inlineStr">
        <is>
          <t>Roua</t>
        </is>
      </c>
      <c r="B62" t="inlineStr">
        <is>
          <t>EXN_108</t>
        </is>
      </c>
      <c r="C62" t="inlineStr">
        <is>
          <t>EXTREME-NORD</t>
        </is>
      </c>
      <c r="D62" t="inlineStr">
        <is>
          <t>IHS</t>
        </is>
      </c>
      <c r="E62" t="inlineStr">
        <is>
          <t>Grid-Gen</t>
        </is>
      </c>
      <c r="F62" t="inlineStr">
        <is>
          <t>EXTREME-NORD</t>
        </is>
      </c>
      <c r="G62" t="inlineStr">
        <is>
          <t>Roua</t>
        </is>
      </c>
      <c r="H62" t="inlineStr">
        <is>
          <t>NOKIA</t>
        </is>
      </c>
      <c r="I62" t="n">
        <v>0.5943183147705836</v>
      </c>
      <c r="J62" t="n">
        <v>0.8121024561043053</v>
      </c>
      <c r="K62" t="n">
        <v>18.48830589584885</v>
      </c>
      <c r="L62" t="n">
        <v>18.48894795866828</v>
      </c>
      <c r="M62" t="n">
        <v>18.48937600054789</v>
      </c>
      <c r="N62" t="n">
        <v>64.72339124491926</v>
      </c>
      <c r="O62" t="n">
        <v>27.54062241806665</v>
      </c>
      <c r="P62" t="n">
        <v>0</v>
      </c>
      <c r="Q62" t="n">
        <v>18.48819888537895</v>
      </c>
      <c r="R62" t="inlineStr">
        <is>
          <t>Insecurity</t>
        </is>
      </c>
      <c r="S62" t="inlineStr"/>
      <c r="T62" t="inlineStr"/>
      <c r="U62" t="inlineStr"/>
      <c r="V62" t="inlineStr"/>
      <c r="W62" t="inlineStr"/>
      <c r="X62" t="inlineStr">
        <is>
          <t>{05-25-2026 ocm ran 22H}: 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     ;    {05-25-2026 ocm ran 17H}: 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t>
        </is>
      </c>
      <c r="Y62" t="inlineStr">
        <is>
          <t>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 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{05-25-2026 ocm ran 22H}: 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t>
        </is>
      </c>
      <c r="AP62" t="inlineStr">
        <is>
          <t>{05-25-2026 ocm ran 17H}: 24/05/2026 Intervention en cours, ETR 15H
24/05/2026 FME joint travaux en cours avec le BO TX 
23/05/2026 retour RM: intervention ce jour ETA 15h
22.05.26: FME activé, actuellement en route pour le site de ZIDIM, intervention ce 23/05/2026
21.05.26: Travaux en cours avec le niveau 0 - Escalade faite au PM et M. Théo
20.05.26: Travaux en cours avec le niveau 0 - Escalade faite au PM et M. Théo
20.05.26: Activer le FME pour verifier le statut du modem en local et faire le reset des equipements, partager le statut pour assistance apres le reset si pas toujours OK; FME Alioum activé pour investigations, update ASAP</t>
        </is>
      </c>
      <c r="AQ62" t="inlineStr"/>
      <c r="AR62" t="inlineStr"/>
    </row>
    <row r="63">
      <c r="A63" t="inlineStr">
        <is>
          <t>BOVA-II-IHS</t>
        </is>
      </c>
      <c r="B63" t="inlineStr">
        <is>
          <t>SUO_221</t>
        </is>
      </c>
      <c r="C63" t="inlineStr">
        <is>
          <t>SUD-OUEST</t>
        </is>
      </c>
      <c r="D63" t="inlineStr">
        <is>
          <t>IHS</t>
        </is>
      </c>
      <c r="E63" t="inlineStr">
        <is>
          <t>Grid-Gen</t>
        </is>
      </c>
      <c r="F63" t="inlineStr">
        <is>
          <t>SUD-OUEST</t>
        </is>
      </c>
      <c r="G63" t="inlineStr">
        <is>
          <t>Buea</t>
        </is>
      </c>
      <c r="H63" t="inlineStr">
        <is>
          <t>Huawei</t>
        </is>
      </c>
      <c r="I63" t="n">
        <v>1.10725516717889</v>
      </c>
      <c r="J63" t="n">
        <v>0</v>
      </c>
      <c r="K63" t="n">
        <v>0.5437380326624491</v>
      </c>
      <c r="L63" t="n">
        <v>1.100691858358089</v>
      </c>
      <c r="M63" t="n">
        <v>0</v>
      </c>
      <c r="N63" t="n">
        <v>25.7846939958195</v>
      </c>
      <c r="O63" t="n">
        <v>43.88202923386067</v>
      </c>
      <c r="P63" t="n">
        <v>0</v>
      </c>
      <c r="Q63" t="n">
        <v>18.41375526848213</v>
      </c>
      <c r="R63" t="inlineStr">
        <is>
          <t>Operationnel</t>
        </is>
      </c>
      <c r="S63" t="inlineStr"/>
      <c r="T63" t="inlineStr"/>
      <c r="U63" t="inlineStr"/>
      <c r="V63" t="inlineStr"/>
      <c r="W63" t="inlineStr"/>
      <c r="X63" t="inlineStr">
        <is>
          <t>{05-25-2026 top offenders}: 25.05.26: IHS: 30 v : Calvin is informed and managing with L0.     ;    {05-25-2026 retour IHS}: IHS     ;    {None hourly IHS}: 25/05/2026 04:57..18:02:30..Calvin is informed and managing with L0.     ;    {05-25-2026 ocm ran 22H}: 25.05.26: IHS: 30 v : Calvin is informed and managing with L0.     ;    {05-25-2026 ocm ran 17H}: 25.05.26: IHS: 30 v : Calvin is informed and managing with L0.</t>
        </is>
      </c>
      <c r="Y63" t="inlineStr">
        <is>
          <t>25.05.26 IHS 30 v Calvin is informed and managing with L0. IHS 25/05/2026 04 57.18 02 30.Calvin is informed and managing with L0. 25.05.26 IHS 30 v Calvin is informed and managing with L0. 25.05.26 IHS 30 v Calvin is informed and managing with L0.</t>
        </is>
      </c>
      <c r="Z63" t="inlineStr"/>
      <c r="AA63" t="inlineStr"/>
      <c r="AB63" t="inlineStr">
        <is>
          <t>{05-25-2026 top offenders}: 25.05.26: IHS: 30 v : Calvin is informed and managing with L0.</t>
        </is>
      </c>
      <c r="AC63" t="inlineStr"/>
      <c r="AD63" t="inlineStr">
        <is>
          <t>{05-25-2026 retour IHS}: IHS</t>
        </is>
      </c>
      <c r="AE63" t="inlineStr">
        <is>
          <t>{None hourly IHS}: 25/05/2026 04:57..18:02:30..Calvin is informed and managing with L0.</t>
        </is>
      </c>
      <c r="AF63" t="inlineStr"/>
      <c r="AG63" t="inlineStr"/>
      <c r="AH63" t="inlineStr"/>
      <c r="AI63" t="inlineStr"/>
      <c r="AJ63" t="inlineStr"/>
      <c r="AK63" t="inlineStr"/>
      <c r="AL63" t="inlineStr"/>
      <c r="AM63" t="inlineStr"/>
      <c r="AN63" t="inlineStr"/>
      <c r="AO63" t="inlineStr">
        <is>
          <t>{05-25-2026 ocm ran 22H}: 25.05.26: IHS: 30 v : Calvin is informed and managing with L0.</t>
        </is>
      </c>
      <c r="AP63" t="inlineStr">
        <is>
          <t>{05-25-2026 ocm ran 17H}: 25.05.26: IHS: 30 v : Calvin is informed and managing with L0.</t>
        </is>
      </c>
      <c r="AQ63" t="inlineStr"/>
      <c r="AR63" t="inlineStr"/>
    </row>
    <row r="64">
      <c r="A64" t="inlineStr">
        <is>
          <t>Ngd-Yarban</t>
        </is>
      </c>
      <c r="B64" t="inlineStr">
        <is>
          <t>ADM_073</t>
        </is>
      </c>
      <c r="C64" t="inlineStr">
        <is>
          <t>Ngaoundere</t>
        </is>
      </c>
      <c r="D64" t="inlineStr">
        <is>
          <t>IHS</t>
        </is>
      </c>
      <c r="E64" t="inlineStr">
        <is>
          <t>Grid-Gen</t>
        </is>
      </c>
      <c r="F64" t="inlineStr">
        <is>
          <t>ADAMAOUA</t>
        </is>
      </c>
      <c r="G64" t="inlineStr">
        <is>
          <t>Ngaoundere</t>
        </is>
      </c>
      <c r="H64" t="inlineStr">
        <is>
          <t>Huawei</t>
        </is>
      </c>
      <c r="I64" t="n">
        <v>27.61583526665583</v>
      </c>
      <c r="J64" t="n">
        <v>27.68601629983478</v>
      </c>
      <c r="K64" t="n">
        <v>27.59899895272419</v>
      </c>
      <c r="L64" t="n">
        <v>25.13007122616877</v>
      </c>
      <c r="M64" t="n">
        <v>4.168682030516533</v>
      </c>
      <c r="N64" t="n">
        <v>26.24181184529733</v>
      </c>
      <c r="O64" t="n">
        <v>18.57669170823261</v>
      </c>
      <c r="P64" t="n">
        <v>15.90109922581408</v>
      </c>
      <c r="Q64" t="n">
        <v>18.27597928848025</v>
      </c>
      <c r="R64" t="inlineStr">
        <is>
          <t>Operationnel</t>
        </is>
      </c>
      <c r="S64" t="inlineStr"/>
      <c r="T64" t="inlineStr"/>
      <c r="U64" t="inlineStr"/>
      <c r="V64" t="inlineStr"/>
      <c r="W64" t="inlineStr"/>
      <c r="X64" t="inlineStr">
        <is>
          <t>{05-25-2026 top offenders}: 25/05/2026 : Power issue || Mail sent to HIS || Up after power return     ;    {None hourly IHS}: 25/05/2026 13:19..4:00:45..FME is informed and managing     ;    {05/25/2026 cell huawei}: 25/05/2026 : Power issue || Mail sent to HIS || Up after power return     ;    {05-25-2026 ocm ran 22H}: 25.05.26: IHS: FME is managing with level 0     ;    {05-25-2026 ocm ran 17H}: 25.05.26: IHS: FME is managing with level 0</t>
        </is>
      </c>
      <c r="Y64" t="inlineStr">
        <is>
          <t>25/05/2026 Power issue || Mail sent to HIS || Up after power return 25/05/2026 13 19.4 00 45.FME is informed and managing 25/05/2026 Power issue || Mail sent to HIS || Up after power return 25.05.26 IHS FME is managing with level 0 25.05.26 IHS FME is managing with level 0</t>
        </is>
      </c>
      <c r="Z64" t="inlineStr"/>
      <c r="AA64" t="inlineStr"/>
      <c r="AB64" t="inlineStr">
        <is>
          <t>{05-25-2026 top offenders}: 25/05/2026 : Power issue || Mail sent to HIS || Up after power return</t>
        </is>
      </c>
      <c r="AC64" t="inlineStr"/>
      <c r="AD64" t="inlineStr"/>
      <c r="AE64" t="inlineStr">
        <is>
          <t>{None hourly IHS}: 25/05/2026 13:19..4:00:45..FME is informed and managing</t>
        </is>
      </c>
      <c r="AF64" t="inlineStr"/>
      <c r="AG64" t="inlineStr"/>
      <c r="AH64" t="inlineStr"/>
      <c r="AI64" t="inlineStr"/>
      <c r="AJ64" t="inlineStr"/>
      <c r="AK64" t="inlineStr"/>
      <c r="AL64" t="inlineStr">
        <is>
          <t>{05/25/2026 cell huawei}: 25/05/2026 : Power issue || Mail sent to HIS || Up after power return</t>
        </is>
      </c>
      <c r="AM64" t="inlineStr"/>
      <c r="AN64" t="inlineStr"/>
      <c r="AO64" t="inlineStr">
        <is>
          <t>{05-25-2026 ocm ran 22H}: 25.05.26: IHS: FME is managing with level 0</t>
        </is>
      </c>
      <c r="AP64" t="inlineStr">
        <is>
          <t>{05-25-2026 ocm ran 17H}: 25.05.26: IHS: FME is managing with level 0</t>
        </is>
      </c>
      <c r="AQ64" t="inlineStr"/>
      <c r="AR64" t="inlineStr"/>
    </row>
    <row r="65">
      <c r="A65" t="inlineStr">
        <is>
          <t>EST_211_Z_BATOURI-TRYPANO-MTN-IHS</t>
        </is>
      </c>
      <c r="B65" t="inlineStr">
        <is>
          <t>EST_211</t>
        </is>
      </c>
      <c r="C65" t="inlineStr">
        <is>
          <t>CENTRE</t>
        </is>
      </c>
      <c r="D65" t="inlineStr">
        <is>
          <t>IHS</t>
        </is>
      </c>
      <c r="E65" t="inlineStr"/>
      <c r="F65" t="inlineStr">
        <is>
          <t>EST</t>
        </is>
      </c>
      <c r="G65" t="inlineStr">
        <is>
          <t>Batouri</t>
        </is>
      </c>
      <c r="H65" t="inlineStr">
        <is>
          <t>ZTE</t>
        </is>
      </c>
      <c r="I65" t="n">
        <v>28.22386875665249</v>
      </c>
      <c r="J65" t="n">
        <v>46.14325348925471</v>
      </c>
      <c r="K65" t="n">
        <v>23.11426149934509</v>
      </c>
      <c r="L65" t="n">
        <v>23.11426149934509</v>
      </c>
      <c r="M65" t="n">
        <v>0</v>
      </c>
      <c r="N65" t="n">
        <v>10.69868090276529</v>
      </c>
      <c r="O65" t="n">
        <v>18.65159965115211</v>
      </c>
      <c r="P65" t="n">
        <v>19.29876473897217</v>
      </c>
      <c r="Q65" t="n">
        <v>17.85341277790619</v>
      </c>
      <c r="R65" t="inlineStr">
        <is>
          <t>Operationnel</t>
        </is>
      </c>
      <c r="S65" t="inlineStr"/>
      <c r="T65" t="inlineStr"/>
      <c r="U65" t="inlineStr"/>
      <c r="V65" t="inlineStr"/>
      <c r="W65" t="inlineStr"/>
      <c r="X65" t="inlineStr">
        <is>
          <t>{None hourly IHS}: 25/05/2026 04:30..1:53:25..44.1V..GEN Stopped due to low fuel.</t>
        </is>
      </c>
      <c r="Y65" t="inlineStr">
        <is>
          <t>25/05/2026 04 30.1 53 25.44.1V.GEN Stopped due to low fuel.</t>
        </is>
      </c>
      <c r="Z65" t="inlineStr"/>
      <c r="AA65" t="inlineStr"/>
      <c r="AB65" t="inlineStr"/>
      <c r="AC65" t="inlineStr"/>
      <c r="AD65" t="inlineStr"/>
      <c r="AE65" t="inlineStr">
        <is>
          <t>{None hourly IHS}: 25/05/2026 04:30..1:53:25..44.1V..GEN Stopped due to low fuel.</t>
        </is>
      </c>
      <c r="AF65" t="inlineStr"/>
      <c r="AG65" t="inlineStr"/>
      <c r="AH65" t="inlineStr"/>
      <c r="AI65" t="inlineStr"/>
      <c r="AJ65" t="inlineStr"/>
      <c r="AK65" t="inlineStr"/>
      <c r="AL65" t="inlineStr"/>
      <c r="AM65" t="inlineStr"/>
      <c r="AN65" t="inlineStr"/>
      <c r="AO65" t="inlineStr"/>
      <c r="AP65" t="inlineStr"/>
      <c r="AQ65" t="inlineStr"/>
      <c r="AR65" t="inlineStr"/>
    </row>
    <row r="66">
      <c r="A66" t="inlineStr">
        <is>
          <t>Chapelle-Manguier-IHS</t>
        </is>
      </c>
      <c r="B66" t="inlineStr">
        <is>
          <t>CTR_446</t>
        </is>
      </c>
      <c r="C66" t="inlineStr">
        <is>
          <t>Yaounde</t>
        </is>
      </c>
      <c r="D66" t="inlineStr">
        <is>
          <t>IHS</t>
        </is>
      </c>
      <c r="E66" t="inlineStr">
        <is>
          <t>Grid-Gen</t>
        </is>
      </c>
      <c r="F66" t="inlineStr">
        <is>
          <t>CENTRE</t>
        </is>
      </c>
      <c r="G66" t="inlineStr">
        <is>
          <t>Yaounde</t>
        </is>
      </c>
      <c r="H66" t="inlineStr">
        <is>
          <t>ZTE</t>
        </is>
      </c>
      <c r="I66" t="n">
        <v>0</v>
      </c>
      <c r="J66" t="n">
        <v>0</v>
      </c>
      <c r="K66" t="n">
        <v>0</v>
      </c>
      <c r="L66" t="n">
        <v>0</v>
      </c>
      <c r="M66" t="n">
        <v>0</v>
      </c>
      <c r="N66" t="n">
        <v>7.812468776103179</v>
      </c>
      <c r="O66" t="n">
        <v>7.821929900615753</v>
      </c>
      <c r="P66" t="n">
        <v>26.66753261890223</v>
      </c>
      <c r="Q66" t="n">
        <v>17.64834504741277</v>
      </c>
      <c r="R66" t="inlineStr">
        <is>
          <t>Operationnel</t>
        </is>
      </c>
      <c r="S66" t="inlineStr"/>
      <c r="T66" t="inlineStr"/>
      <c r="U66" t="inlineStr"/>
      <c r="V66" t="inlineStr"/>
      <c r="W66" t="inlineStr"/>
      <c r="X66" t="inlineStr">
        <is>
          <t>{None hourly IHS}: 25/05/2026 07:14..0:46:00..No com..Fme is on site     ;    {05-25-2026 ticket}: INC-20260525-00005324..Grid Outage</t>
        </is>
      </c>
      <c r="Y66" t="inlineStr">
        <is>
          <t>25/05/2026 07 14.0 46 00.No com.Fme is on site .Grid Outage</t>
        </is>
      </c>
      <c r="Z66" t="inlineStr"/>
      <c r="AA66" t="inlineStr"/>
      <c r="AB66" t="inlineStr"/>
      <c r="AC66" t="inlineStr"/>
      <c r="AD66" t="inlineStr"/>
      <c r="AE66" t="inlineStr">
        <is>
          <t>{None hourly IHS}: 25/05/2026 07:14..0:46:00..No com..Fme is on site</t>
        </is>
      </c>
      <c r="AF66" t="inlineStr"/>
      <c r="AG66" t="inlineStr"/>
      <c r="AH66" t="inlineStr"/>
      <c r="AI66" t="inlineStr"/>
      <c r="AJ66" t="inlineStr"/>
      <c r="AK66" t="inlineStr"/>
      <c r="AL66" t="inlineStr"/>
      <c r="AM66" t="inlineStr"/>
      <c r="AN66" t="inlineStr"/>
      <c r="AO66" t="inlineStr"/>
      <c r="AP66" t="inlineStr"/>
      <c r="AQ66" t="inlineStr">
        <is>
          <t>{05-25-2026 ticket}: INC-20260525-00005324..Grid Outage</t>
        </is>
      </c>
      <c r="AR66" t="inlineStr"/>
    </row>
    <row r="67">
      <c r="A67" t="inlineStr">
        <is>
          <t>Eloumdem</t>
        </is>
      </c>
      <c r="B67" t="inlineStr">
        <is>
          <t>CTR_630</t>
        </is>
      </c>
      <c r="C67" t="inlineStr">
        <is>
          <t>Yaounde</t>
        </is>
      </c>
      <c r="D67" t="inlineStr">
        <is>
          <t>CAMUSAT</t>
        </is>
      </c>
      <c r="E67" t="inlineStr">
        <is>
          <t>HGB</t>
        </is>
      </c>
      <c r="F67" t="inlineStr">
        <is>
          <t>CENTRE</t>
        </is>
      </c>
      <c r="G67" t="inlineStr">
        <is>
          <t>Yaounde</t>
        </is>
      </c>
      <c r="H67" t="inlineStr">
        <is>
          <t>ZTE</t>
        </is>
      </c>
      <c r="I67" t="n">
        <v>0.3701135452426</v>
      </c>
      <c r="J67" t="n">
        <v>0</v>
      </c>
      <c r="K67" t="n">
        <v>1.935837235648469</v>
      </c>
      <c r="L67" t="n">
        <v>1.274994078753998</v>
      </c>
      <c r="M67" t="n">
        <v>0.001480311500343636</v>
      </c>
      <c r="N67" t="n">
        <v>15.32219064861776</v>
      </c>
      <c r="O67" t="n">
        <v>13.02027550822649</v>
      </c>
      <c r="P67" t="n">
        <v>21.00036772189718</v>
      </c>
      <c r="Q67" t="n">
        <v>17.51051556217594</v>
      </c>
      <c r="R67" t="inlineStr">
        <is>
          <t>Operationnel</t>
        </is>
      </c>
      <c r="S67" t="inlineStr"/>
      <c r="T67" t="inlineStr"/>
      <c r="U67" t="inlineStr"/>
      <c r="V67" t="inlineStr"/>
      <c r="W67" t="inlineStr"/>
      <c r="X67" t="inlineStr">
        <is>
          <t>{05-25-2026 top offenders}: Power status check Ongoing     ;    {05-25-2026 ticket}: INC-20260525-00003689..power issues..Grid Outage</t>
        </is>
      </c>
      <c r="Y67" t="inlineStr">
        <is>
          <t>.power issues.Grid Outage</t>
        </is>
      </c>
      <c r="Z67" t="inlineStr"/>
      <c r="AA67" t="inlineStr"/>
      <c r="AB67" t="inlineStr">
        <is>
          <t>{05-25-2026 top offenders}: Power status check Ongoing</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{05-25-2026 ticket}: INC-20260525-00003689..power issues..Grid Outage</t>
        </is>
      </c>
      <c r="AR67" t="inlineStr"/>
    </row>
    <row r="68">
      <c r="A68" t="inlineStr">
        <is>
          <t>Hilton</t>
        </is>
      </c>
      <c r="B68" t="inlineStr">
        <is>
          <t>CTR_702</t>
        </is>
      </c>
      <c r="C68" t="inlineStr">
        <is>
          <t>Yaounde</t>
        </is>
      </c>
      <c r="D68" t="inlineStr">
        <is>
          <t>CAMUSAT</t>
        </is>
      </c>
      <c r="E68" t="inlineStr">
        <is>
          <t>Good Grid no GE - 8h</t>
        </is>
      </c>
      <c r="F68" t="inlineStr">
        <is>
          <t>CENTRE</t>
        </is>
      </c>
      <c r="G68" t="inlineStr">
        <is>
          <t>Yaounde</t>
        </is>
      </c>
      <c r="H68" t="inlineStr">
        <is>
          <t>ZTE</t>
        </is>
      </c>
      <c r="I68" t="n">
        <v>0</v>
      </c>
      <c r="J68" t="n">
        <v>0</v>
      </c>
      <c r="K68" t="n">
        <v>0.05644802287455831</v>
      </c>
      <c r="L68" t="n">
        <v>0</v>
      </c>
      <c r="M68" t="n">
        <v>0</v>
      </c>
      <c r="N68" t="n">
        <v>9.284363272304354</v>
      </c>
      <c r="O68" t="n">
        <v>7.90996001509634</v>
      </c>
      <c r="P68" t="n">
        <v>25.85544589563263</v>
      </c>
      <c r="Q68" t="n">
        <v>17.46459023550864</v>
      </c>
      <c r="R68" t="inlineStr">
        <is>
          <t>Operationnel</t>
        </is>
      </c>
      <c r="S68" t="inlineStr"/>
      <c r="T68" t="inlineStr"/>
      <c r="U68" t="inlineStr"/>
      <c r="V68" t="inlineStr"/>
      <c r="W68" t="inlineStr"/>
      <c r="X68" t="inlineStr">
        <is>
          <t>{05-25-2026 top offenders}: 25.05.26: grid only site probable grid outage / FME will check     ;    {05-25-2026 ocm ran 22H}: 25.05.26: Power alarms; Camusat feedack awaiting     ;    {05-25-2026 ocm ran 17H}: Power status check Ongoing     ;    {05-25-2026 ticket}: INC-20260525-00017315..grid only site probable grid outage / FME will check..user:OCM_NOC.CAMUSAT</t>
        </is>
      </c>
      <c r="Y68" t="inlineStr">
        <is>
          <t>25.05.26 grid only site probable grid outage / FME will check 25.05.26 Power alarms; Camusat feedack awaiting .grid only site probable grid outage / FME will check.user OCM_NOC.CAMUSAT</t>
        </is>
      </c>
      <c r="Z68" t="inlineStr"/>
      <c r="AA68" t="inlineStr"/>
      <c r="AB68" t="inlineStr">
        <is>
          <t>{05-25-2026 top offenders}: 25.05.26: grid only site probable grid outage / FME will check</t>
        </is>
      </c>
      <c r="AC68" t="inlineStr"/>
      <c r="AD68" t="inlineStr"/>
      <c r="AE68" t="inlineStr"/>
      <c r="AF68" t="inlineStr"/>
      <c r="AG68" t="inlineStr"/>
      <c r="AH68" t="inlineStr"/>
      <c r="AI68" t="inlineStr"/>
      <c r="AJ68" t="inlineStr"/>
      <c r="AK68" t="inlineStr"/>
      <c r="AL68" t="inlineStr"/>
      <c r="AM68" t="inlineStr"/>
      <c r="AN68" t="inlineStr"/>
      <c r="AO68" t="inlineStr">
        <is>
          <t>{05-25-2026 ocm ran 22H}: 25.05.26: Power alarms; Camusat feedack awaiting</t>
        </is>
      </c>
      <c r="AP68" t="inlineStr">
        <is>
          <t>{05-25-2026 ocm ran 17H}: Power status check Ongoing</t>
        </is>
      </c>
      <c r="AQ68" t="inlineStr">
        <is>
          <t>{05-25-2026 ticket}: INC-20260525-00017315..grid only site probable grid outage / FME will check..user:OCM_NOC.CAMUSAT</t>
        </is>
      </c>
      <c r="AR68" t="inlineStr"/>
    </row>
    <row r="69">
      <c r="A69" t="inlineStr">
        <is>
          <t>Marche-Central-Bonawon-New</t>
        </is>
      </c>
      <c r="B69" t="inlineStr">
        <is>
          <t>LIT_740</t>
        </is>
      </c>
      <c r="C69" t="inlineStr">
        <is>
          <t>Douala</t>
        </is>
      </c>
      <c r="D69" t="inlineStr">
        <is>
          <t>CAMUSAT</t>
        </is>
      </c>
      <c r="E69" t="inlineStr">
        <is>
          <t>Good Grid no GE - 8h</t>
        </is>
      </c>
      <c r="F69" t="inlineStr">
        <is>
          <t>LITTORAL</t>
        </is>
      </c>
      <c r="G69" t="inlineStr">
        <is>
          <t>Douala</t>
        </is>
      </c>
      <c r="H69" t="inlineStr">
        <is>
          <t>ZTE</t>
        </is>
      </c>
      <c r="I69" t="n">
        <v>0</v>
      </c>
      <c r="J69" t="n">
        <v>0</v>
      </c>
      <c r="K69" t="n">
        <v>0</v>
      </c>
      <c r="L69" t="n">
        <v>0</v>
      </c>
      <c r="M69" t="n">
        <v>0</v>
      </c>
      <c r="N69" t="n">
        <v>8.37150142480886</v>
      </c>
      <c r="O69" t="n">
        <v>8.422415346586833</v>
      </c>
      <c r="P69" t="n">
        <v>25.70961570872923</v>
      </c>
      <c r="Q69" t="n">
        <v>17.43022203959102</v>
      </c>
      <c r="R69" t="inlineStr">
        <is>
          <t>Operationnel</t>
        </is>
      </c>
      <c r="S69" t="inlineStr"/>
      <c r="T69" t="inlineStr"/>
      <c r="U69" t="inlineStr"/>
      <c r="V69" t="inlineStr"/>
      <c r="W69" t="inlineStr"/>
      <c r="X69" t="inlineStr">
        <is>
          <t>{05-25-2026 top offenders}: Power status check Ongoing     ;    {05-25-2026 retour CAMUSAT}: Site impacté par LIT_547_Z_Marche-Congo     ;    {05-25-2026 ocm ran 17H}: Power status check Ongoing     ;    {05-25-2026 ticket}: INC-20260525-00009196..grid only site grid outage / grid return awaited..Grid Outage..user:OCM_NOC.CAMUSAT</t>
        </is>
      </c>
      <c r="Y69" t="inlineStr">
        <is>
          <t>Site impacté par LIT_547_Z_Marche-Congo .grid only site grid outage / grid return awaited.Grid Outage.user OCM_NOC.CAMUSAT</t>
        </is>
      </c>
      <c r="Z69" t="inlineStr"/>
      <c r="AA69" t="inlineStr"/>
      <c r="AB69" t="inlineStr">
        <is>
          <t>{05-25-2026 top offenders}: Power status check Ongoing</t>
        </is>
      </c>
      <c r="AC69" t="inlineStr">
        <is>
          <t>{05-25-2026 retour CAMUSAT}: Site impacté par LIT_547_Z_Marche-Congo</t>
        </is>
      </c>
      <c r="AD69" t="inlineStr"/>
      <c r="AE69" t="inlineStr"/>
      <c r="AF69" t="inlineStr"/>
      <c r="AG69" t="inlineStr"/>
      <c r="AH69" t="inlineStr"/>
      <c r="AI69" t="inlineStr"/>
      <c r="AJ69" t="inlineStr"/>
      <c r="AK69" t="inlineStr"/>
      <c r="AL69" t="inlineStr"/>
      <c r="AM69" t="inlineStr"/>
      <c r="AN69" t="inlineStr"/>
      <c r="AO69" t="inlineStr"/>
      <c r="AP69" t="inlineStr">
        <is>
          <t>{05-25-2026 ocm ran 17H}: Power status check Ongoing</t>
        </is>
      </c>
      <c r="AQ69" t="inlineStr">
        <is>
          <t>{05-25-2026 ticket}: INC-20260525-00009196..grid only site grid outage / grid return awaited..Grid Outage..user:OCM_NOC.CAMUSAT</t>
        </is>
      </c>
      <c r="AR69" t="inlineStr"/>
    </row>
    <row r="70">
      <c r="A70" t="inlineStr">
        <is>
          <t>CTR_228_N_Evodoula</t>
        </is>
      </c>
      <c r="B70" t="inlineStr">
        <is>
          <t>CTR_228</t>
        </is>
      </c>
      <c r="C70" t="inlineStr">
        <is>
          <t>CENTRE</t>
        </is>
      </c>
      <c r="D70" t="inlineStr">
        <is>
          <t>IHS</t>
        </is>
      </c>
      <c r="E70" t="inlineStr">
        <is>
          <t>Grid-Gen</t>
        </is>
      </c>
      <c r="F70" t="inlineStr">
        <is>
          <t>CENTRE</t>
        </is>
      </c>
      <c r="G70" t="inlineStr">
        <is>
          <t>Evodoula</t>
        </is>
      </c>
      <c r="H70" t="inlineStr">
        <is>
          <t>NOKIA</t>
        </is>
      </c>
      <c r="I70" t="n">
        <v>0</v>
      </c>
      <c r="J70" t="n">
        <v>0.005261348103631703</v>
      </c>
      <c r="K70" t="n">
        <v>0.006866505152197415</v>
      </c>
      <c r="L70" t="n">
        <v>0.02108106257116218</v>
      </c>
      <c r="M70" t="n">
        <v>23.11329840511595</v>
      </c>
      <c r="N70" t="n">
        <v>23.46925470306823</v>
      </c>
      <c r="O70" t="n">
        <v>39.9578092964901</v>
      </c>
      <c r="P70" t="n">
        <v>0.6761062300406904</v>
      </c>
      <c r="Q70" t="n">
        <v>17.11828651981977</v>
      </c>
      <c r="R70" t="inlineStr">
        <is>
          <t>Operationnel</t>
        </is>
      </c>
      <c r="S70" t="inlineStr"/>
      <c r="T70" t="inlineStr"/>
      <c r="U70" t="inlineStr"/>
      <c r="V70" t="inlineStr"/>
      <c r="W70" t="inlineStr"/>
      <c r="X70" t="inlineStr">
        <is>
          <t>{05-25-2026 retour IHS}: IHS</t>
        </is>
      </c>
      <c r="Y70" t="inlineStr">
        <is>
          <t>IHS</t>
        </is>
      </c>
      <c r="Z70" t="inlineStr"/>
      <c r="AA70" t="inlineStr"/>
      <c r="AB70" t="inlineStr"/>
      <c r="AC70" t="inlineStr"/>
      <c r="AD70" t="inlineStr">
        <is>
          <t>{05-25-2026 retour IHS}: IHS</t>
        </is>
      </c>
      <c r="AE70" t="inlineStr"/>
      <c r="AF70" t="inlineStr"/>
      <c r="AG70" t="inlineStr"/>
      <c r="AH70" t="inlineStr"/>
      <c r="AI70" t="inlineStr"/>
      <c r="AJ70" t="inlineStr"/>
      <c r="AK70" t="inlineStr"/>
      <c r="AL70" t="inlineStr"/>
      <c r="AM70" t="inlineStr"/>
      <c r="AN70" t="inlineStr"/>
      <c r="AO70" t="inlineStr"/>
      <c r="AP70" t="inlineStr"/>
      <c r="AQ70" t="inlineStr"/>
      <c r="AR70" t="inlineStr"/>
    </row>
    <row r="71">
      <c r="A71" t="inlineStr">
        <is>
          <t>Garoua-Ngalbidje-II</t>
        </is>
      </c>
      <c r="B71" t="inlineStr">
        <is>
          <t>NRD_158</t>
        </is>
      </c>
      <c r="C71" t="inlineStr">
        <is>
          <t>Garoua</t>
        </is>
      </c>
      <c r="D71" t="inlineStr">
        <is>
          <t>CAMUSAT</t>
        </is>
      </c>
      <c r="E71" t="inlineStr">
        <is>
          <t>Good Grid + Solar + GE</t>
        </is>
      </c>
      <c r="F71" t="inlineStr">
        <is>
          <t>NORD</t>
        </is>
      </c>
      <c r="G71" t="inlineStr">
        <is>
          <t>Garoua</t>
        </is>
      </c>
      <c r="H71" t="inlineStr">
        <is>
          <t>Huawei</t>
        </is>
      </c>
      <c r="I71" t="n">
        <v>2.815320617635897</v>
      </c>
      <c r="J71" t="n">
        <v>2.181604614862184</v>
      </c>
      <c r="K71" t="n">
        <v>19.57151937745589</v>
      </c>
      <c r="L71" t="n">
        <v>0.07936609851241178</v>
      </c>
      <c r="M71" t="n">
        <v>10.20879882887742</v>
      </c>
      <c r="N71" t="n">
        <v>18.35403103005887</v>
      </c>
      <c r="O71" t="n">
        <v>15.5789395840346</v>
      </c>
      <c r="P71" t="n">
        <v>17.71457147266053</v>
      </c>
      <c r="Q71" t="n">
        <v>17.08892998090933</v>
      </c>
      <c r="R71" t="inlineStr">
        <is>
          <t>Operationnel</t>
        </is>
      </c>
      <c r="S71" t="inlineStr"/>
      <c r="T71" t="inlineStr"/>
      <c r="U71" t="inlineStr"/>
      <c r="V71" t="inlineStr"/>
      <c r="W71" t="inlineStr"/>
      <c r="X71" t="inlineStr">
        <is>
          <t>{05-25-2026 retour CAMUSAT}: ATS faulty</t>
        </is>
      </c>
      <c r="Y71" t="inlineStr">
        <is>
          <t>ATS faulty</t>
        </is>
      </c>
      <c r="Z71" t="inlineStr"/>
      <c r="AA71" t="inlineStr"/>
      <c r="AB71" t="inlineStr"/>
      <c r="AC71" t="inlineStr">
        <is>
          <t>{05-25-2026 retour CAMUSAT}: ATS faulty</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row>
    <row r="72">
      <c r="A72" t="inlineStr">
        <is>
          <t>Obobogo-Paloma</t>
        </is>
      </c>
      <c r="B72" t="inlineStr">
        <is>
          <t>CTR_598</t>
        </is>
      </c>
      <c r="C72" t="inlineStr">
        <is>
          <t>Yaounde</t>
        </is>
      </c>
      <c r="D72" t="inlineStr">
        <is>
          <t>CAMUSAT</t>
        </is>
      </c>
      <c r="E72" t="inlineStr">
        <is>
          <t>Good Grid no GE - 8h</t>
        </is>
      </c>
      <c r="F72" t="inlineStr">
        <is>
          <t>CENTRE</t>
        </is>
      </c>
      <c r="G72" t="inlineStr">
        <is>
          <t>Yaounde</t>
        </is>
      </c>
      <c r="H72" t="inlineStr">
        <is>
          <t>ZTE</t>
        </is>
      </c>
      <c r="I72" t="n">
        <v>12.72730807315521</v>
      </c>
      <c r="J72" t="n">
        <v>18.63244899881004</v>
      </c>
      <c r="K72" t="n">
        <v>0</v>
      </c>
      <c r="L72" t="n">
        <v>0</v>
      </c>
      <c r="M72" t="n">
        <v>1.60599529724655</v>
      </c>
      <c r="N72" t="n">
        <v>7.36709111183051</v>
      </c>
      <c r="O72" t="n">
        <v>6.331261836517506</v>
      </c>
      <c r="P72" t="n">
        <v>26.59417292122216</v>
      </c>
      <c r="Q72" t="n">
        <v>17.04605445263432</v>
      </c>
      <c r="R72" t="inlineStr">
        <is>
          <t>Operationnel</t>
        </is>
      </c>
      <c r="S72" t="inlineStr"/>
      <c r="T72" t="inlineStr"/>
      <c r="U72" t="inlineStr"/>
      <c r="V72" t="inlineStr"/>
      <c r="W72" t="inlineStr"/>
      <c r="X72" t="inlineStr">
        <is>
          <t>{05-25-2026 top offenders}: Power status check Ongoing     ;    {05-25-2026 retour CAMUSAT}: Mauvaises phases ENEO     ;    {05-25-2026 ocm ran 22H}: Power status check Ongoing     ;    {05-25-2026 ticket}: INC-20260525-00019812..FME is managing..user:OCM_NOC.CAMUSAT</t>
        </is>
      </c>
      <c r="Y72" t="inlineStr">
        <is>
          <t>Mauvaises phases ENEO .FME is managing.user OCM_NOC.CAMUSAT</t>
        </is>
      </c>
      <c r="Z72" t="inlineStr"/>
      <c r="AA72" t="inlineStr"/>
      <c r="AB72" t="inlineStr">
        <is>
          <t>{05-25-2026 top offenders}: Power status check Ongoing</t>
        </is>
      </c>
      <c r="AC72" t="inlineStr">
        <is>
          <t>{05-25-2026 retour CAMUSAT}: Mauvaises phases ENEO</t>
        </is>
      </c>
      <c r="AD72" t="inlineStr"/>
      <c r="AE72" t="inlineStr"/>
      <c r="AF72" t="inlineStr"/>
      <c r="AG72" t="inlineStr"/>
      <c r="AH72" t="inlineStr"/>
      <c r="AI72" t="inlineStr"/>
      <c r="AJ72" t="inlineStr"/>
      <c r="AK72" t="inlineStr"/>
      <c r="AL72" t="inlineStr"/>
      <c r="AM72" t="inlineStr"/>
      <c r="AN72" t="inlineStr"/>
      <c r="AO72" t="inlineStr">
        <is>
          <t>{05-25-2026 ocm ran 22H}: Power status check Ongoing</t>
        </is>
      </c>
      <c r="AP72" t="inlineStr"/>
      <c r="AQ72" t="inlineStr">
        <is>
          <t>{05-25-2026 ticket}: INC-20260525-00019812..FME is managing..user:OCM_NOC.CAMUSAT</t>
        </is>
      </c>
      <c r="AR72" t="inlineStr"/>
    </row>
    <row r="73">
      <c r="A73" t="inlineStr">
        <is>
          <t>NR-Omnisport-Qtier-Yambassa</t>
        </is>
      </c>
      <c r="B73" t="inlineStr">
        <is>
          <t>CTR_566</t>
        </is>
      </c>
      <c r="C73" t="inlineStr">
        <is>
          <t>Yaounde</t>
        </is>
      </c>
      <c r="D73" t="inlineStr">
        <is>
          <t>CAMUSAT</t>
        </is>
      </c>
      <c r="E73" t="inlineStr">
        <is>
          <t>Good Grid no GE - 8h</t>
        </is>
      </c>
      <c r="F73" t="inlineStr">
        <is>
          <t>CENTRE</t>
        </is>
      </c>
      <c r="G73" t="inlineStr">
        <is>
          <t>Yaounde</t>
        </is>
      </c>
      <c r="H73" t="inlineStr">
        <is>
          <t>ZTE</t>
        </is>
      </c>
      <c r="I73" t="n">
        <v>13.77010726729503</v>
      </c>
      <c r="J73" t="n">
        <v>11.69032311454686</v>
      </c>
      <c r="K73" t="n">
        <v>15.24096617613067</v>
      </c>
      <c r="L73" t="n">
        <v>15.14952572959738</v>
      </c>
      <c r="M73" t="n">
        <v>11.8567600654048</v>
      </c>
      <c r="N73" t="n">
        <v>0.5922548749245631</v>
      </c>
      <c r="O73" t="n">
        <v>27.54062241806665</v>
      </c>
      <c r="P73" t="n">
        <v>14.77365130333335</v>
      </c>
      <c r="Q73" t="n">
        <v>17.03456866219791</v>
      </c>
      <c r="R73" t="inlineStr">
        <is>
          <t>Operationnel</t>
        </is>
      </c>
      <c r="S73" t="inlineStr"/>
      <c r="T73" t="inlineStr"/>
      <c r="U73" t="inlineStr"/>
      <c r="V73" t="inlineStr"/>
      <c r="W73" t="inlineStr"/>
      <c r="X73" t="inlineStr">
        <is>
          <t>{05-25-2026 top offenders}: Power status check Ongoing     ;    {05-25-2026 retour CAMUSAT}: Grid outage Grid only site</t>
        </is>
      </c>
      <c r="Y73" t="inlineStr">
        <is>
          <t>Grid outage Grid only site</t>
        </is>
      </c>
      <c r="Z73" t="inlineStr"/>
      <c r="AA73" t="inlineStr"/>
      <c r="AB73" t="inlineStr">
        <is>
          <t>{05-25-2026 top offenders}: Power status check Ongoing</t>
        </is>
      </c>
      <c r="AC73" t="inlineStr">
        <is>
          <t>{05-25-2026 retour CAMUSAT}: Grid outage Grid only site</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row>
    <row r="74">
      <c r="A74" t="inlineStr">
        <is>
          <t>Bertoua-Dabadi</t>
        </is>
      </c>
      <c r="B74" t="inlineStr">
        <is>
          <t>EST_087</t>
        </is>
      </c>
      <c r="C74" t="inlineStr">
        <is>
          <t>CENTRE</t>
        </is>
      </c>
      <c r="D74" t="inlineStr">
        <is>
          <t>IHS</t>
        </is>
      </c>
      <c r="E74" t="inlineStr">
        <is>
          <t>Grid-Gen</t>
        </is>
      </c>
      <c r="F74" t="inlineStr">
        <is>
          <t>EST</t>
        </is>
      </c>
      <c r="G74" t="inlineStr">
        <is>
          <t>Bertoua</t>
        </is>
      </c>
      <c r="H74" t="inlineStr">
        <is>
          <t>ZTE</t>
        </is>
      </c>
      <c r="I74" t="n">
        <v>0</v>
      </c>
      <c r="J74" t="n">
        <v>0.2734652558406309</v>
      </c>
      <c r="K74" t="n">
        <v>0</v>
      </c>
      <c r="L74" t="n">
        <v>26.4540047598257</v>
      </c>
      <c r="M74" t="n">
        <v>0</v>
      </c>
      <c r="N74" t="n">
        <v>10.35721636711709</v>
      </c>
      <c r="O74" t="n">
        <v>17.82585911441599</v>
      </c>
      <c r="P74" t="n">
        <v>18.28349388334023</v>
      </c>
      <c r="Q74" t="n">
        <v>16.99798891656893</v>
      </c>
      <c r="R74" t="inlineStr">
        <is>
          <t>Operationnel</t>
        </is>
      </c>
      <c r="S74" t="inlineStr"/>
      <c r="T74" t="inlineStr"/>
      <c r="U74" t="inlineStr"/>
      <c r="V74" t="inlineStr"/>
      <c r="W74" t="inlineStr"/>
      <c r="X74" t="inlineStr">
        <is>
          <t>{None hourly IHS}: 25/05/2026 10:23..6:56:45..FME is informed and managing     ;    {05-25-2026 ticket}: INC-20260525-00009355..Grid Outage</t>
        </is>
      </c>
      <c r="Y74" t="inlineStr">
        <is>
          <t>25/05/2026 10 23.6 56 45.FME is informed and managing .Grid Outage</t>
        </is>
      </c>
      <c r="Z74" t="inlineStr"/>
      <c r="AA74" t="inlineStr"/>
      <c r="AB74" t="inlineStr"/>
      <c r="AC74" t="inlineStr"/>
      <c r="AD74" t="inlineStr"/>
      <c r="AE74" t="inlineStr">
        <is>
          <t>{None hourly IHS}: 25/05/2026 10:23..6:56:45..FME is informed and managing</t>
        </is>
      </c>
      <c r="AF74" t="inlineStr"/>
      <c r="AG74" t="inlineStr"/>
      <c r="AH74" t="inlineStr"/>
      <c r="AI74" t="inlineStr"/>
      <c r="AJ74" t="inlineStr"/>
      <c r="AK74" t="inlineStr"/>
      <c r="AL74" t="inlineStr"/>
      <c r="AM74" t="inlineStr"/>
      <c r="AN74" t="inlineStr"/>
      <c r="AO74" t="inlineStr"/>
      <c r="AP74" t="inlineStr"/>
      <c r="AQ74" t="inlineStr">
        <is>
          <t>{05-25-2026 ticket}: INC-20260525-00009355..Grid Outage</t>
        </is>
      </c>
      <c r="AR74" t="inlineStr"/>
    </row>
    <row r="75">
      <c r="A75" t="inlineStr">
        <is>
          <t>Bertoua-Bindia-IHS</t>
        </is>
      </c>
      <c r="B75" t="inlineStr">
        <is>
          <t>EST_127</t>
        </is>
      </c>
      <c r="C75" t="inlineStr">
        <is>
          <t>CENTRE</t>
        </is>
      </c>
      <c r="D75" t="inlineStr">
        <is>
          <t>IHS</t>
        </is>
      </c>
      <c r="E75" t="inlineStr">
        <is>
          <t>Grid-Gen</t>
        </is>
      </c>
      <c r="F75" t="inlineStr">
        <is>
          <t>EST</t>
        </is>
      </c>
      <c r="G75" t="inlineStr">
        <is>
          <t>Bertoua</t>
        </is>
      </c>
      <c r="H75" t="inlineStr">
        <is>
          <t>ZTE</t>
        </is>
      </c>
      <c r="I75" t="n">
        <v>2.119199675829617</v>
      </c>
      <c r="J75" t="n">
        <v>1.752028918509387</v>
      </c>
      <c r="K75" t="n">
        <v>17.146002231525</v>
      </c>
      <c r="L75" t="n">
        <v>2.818530931733028</v>
      </c>
      <c r="M75" t="n">
        <v>8.643859881917514</v>
      </c>
      <c r="N75" t="n">
        <v>10.49322766167484</v>
      </c>
      <c r="O75" t="n">
        <v>17.93492720435482</v>
      </c>
      <c r="P75" t="n">
        <v>17.73786189416176</v>
      </c>
      <c r="Q75" t="n">
        <v>16.76948589316645</v>
      </c>
      <c r="R75" t="inlineStr">
        <is>
          <t>Operationnel</t>
        </is>
      </c>
      <c r="S75" t="inlineStr"/>
      <c r="T75" t="inlineStr"/>
      <c r="U75" t="inlineStr"/>
      <c r="V75" t="inlineStr"/>
      <c r="W75" t="inlineStr"/>
      <c r="X75" t="inlineStr">
        <is>
          <t>{05-25-2026 incident}:  {05-18-2026 groupe whatsapp incident}: impacted by    EST_060_Z_Bertoua-Mokolo(EST-060)  ,Adeterminer sans action     ;    {None hourly IHS}: 25/05/2026 02:30..3:53:14..2.2V..FME is informed and managing     ;    {05-25-2026 ticket}: INC-20260525-00001704..Grid Outage</t>
        </is>
      </c>
      <c r="Y75" t="inlineStr">
        <is>
          <t>{05-25-2026 incident} {05-18-2026 groupe whatsapp incident} impacted by EST_060_Z_Bertoua-Mokolo(EST-060) ,Adeterminer sans action 25/05/2026 02 30.3 53 14.2.2V.FME is informed and managing .Grid Outage</t>
        </is>
      </c>
      <c r="Z75" t="inlineStr"/>
      <c r="AA75" t="inlineStr">
        <is>
          <t>{05-25-2026 incident}:  {05-18-2026 groupe whatsapp incident}: impacted by    EST_060_Z_Bertoua-Mokolo(EST-060)  ,Adeterminer sans action</t>
        </is>
      </c>
      <c r="AB75" t="inlineStr"/>
      <c r="AC75" t="inlineStr"/>
      <c r="AD75" t="inlineStr"/>
      <c r="AE75" t="inlineStr">
        <is>
          <t>{None hourly IHS}: 25/05/2026 02:30..3:53:14..2.2V..FME is informed and managing</t>
        </is>
      </c>
      <c r="AF75" t="inlineStr"/>
      <c r="AG75" t="inlineStr"/>
      <c r="AH75" t="inlineStr"/>
      <c r="AI75" t="inlineStr"/>
      <c r="AJ75" t="inlineStr"/>
      <c r="AK75" t="inlineStr"/>
      <c r="AL75" t="inlineStr"/>
      <c r="AM75" t="inlineStr"/>
      <c r="AN75" t="inlineStr"/>
      <c r="AO75" t="inlineStr"/>
      <c r="AP75" t="inlineStr"/>
      <c r="AQ75" t="inlineStr">
        <is>
          <t>{05-25-2026 ticket}: INC-20260525-00001704..Grid Outage</t>
        </is>
      </c>
      <c r="AR75" t="inlineStr"/>
    </row>
    <row r="76">
      <c r="A76" t="inlineStr">
        <is>
          <t>Kumba-Preventive</t>
        </is>
      </c>
      <c r="B76" t="inlineStr">
        <is>
          <t>SUO_217</t>
        </is>
      </c>
      <c r="C76" t="inlineStr">
        <is>
          <t>SUD-OUEST</t>
        </is>
      </c>
      <c r="D76" t="inlineStr">
        <is>
          <t>IHS</t>
        </is>
      </c>
      <c r="E76" t="inlineStr">
        <is>
          <t>Grid-Gen</t>
        </is>
      </c>
      <c r="F76" t="inlineStr">
        <is>
          <t>SUD-OUEST</t>
        </is>
      </c>
      <c r="G76" t="inlineStr">
        <is>
          <t>Kumba</t>
        </is>
      </c>
      <c r="H76" t="inlineStr">
        <is>
          <t>Huawei</t>
        </is>
      </c>
      <c r="I76" t="n">
        <v>1.467470243955335</v>
      </c>
      <c r="J76" t="n">
        <v>0.005778565374836273</v>
      </c>
      <c r="K76" t="n">
        <v>0.6702422431677382</v>
      </c>
      <c r="L76" t="n">
        <v>0.424581874423927</v>
      </c>
      <c r="M76" t="n">
        <v>9.918764785279926</v>
      </c>
      <c r="N76" t="n">
        <v>22.33382891902369</v>
      </c>
      <c r="O76" t="n">
        <v>38.04069721975716</v>
      </c>
      <c r="P76" t="n">
        <v>0.8155067557954503</v>
      </c>
      <c r="Q76" t="n">
        <v>16.38524696589647</v>
      </c>
      <c r="R76" t="inlineStr">
        <is>
          <t>Operationnel</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row>
    <row r="77">
      <c r="A77" t="inlineStr">
        <is>
          <t>Kousseri-Ville</t>
        </is>
      </c>
      <c r="B77" t="inlineStr">
        <is>
          <t>EXN_064</t>
        </is>
      </c>
      <c r="C77" t="inlineStr">
        <is>
          <t>EXTREME-NORD</t>
        </is>
      </c>
      <c r="D77" t="inlineStr">
        <is>
          <t>IHS</t>
        </is>
      </c>
      <c r="E77" t="inlineStr">
        <is>
          <t>GenOnly</t>
        </is>
      </c>
      <c r="F77" t="inlineStr">
        <is>
          <t>EXTREME-NORD</t>
        </is>
      </c>
      <c r="G77" t="inlineStr">
        <is>
          <t>Kousseri</t>
        </is>
      </c>
      <c r="H77" t="inlineStr">
        <is>
          <t>Huawei</t>
        </is>
      </c>
      <c r="I77" t="n">
        <v>6.869626290902969</v>
      </c>
      <c r="J77" t="n">
        <v>5.828699779986473</v>
      </c>
      <c r="K77" t="n">
        <v>8.408329837657984</v>
      </c>
      <c r="L77" t="n">
        <v>9.393343378049442</v>
      </c>
      <c r="M77" t="n">
        <v>0.1436793909249414</v>
      </c>
      <c r="N77" t="n">
        <v>27.13231738266809</v>
      </c>
      <c r="O77" t="n">
        <v>35.3227076681933</v>
      </c>
      <c r="P77" t="n">
        <v>0.4870126316849324</v>
      </c>
      <c r="Q77" t="n">
        <v>15.98670430581595</v>
      </c>
      <c r="R77" t="inlineStr">
        <is>
          <t>Insecurity</t>
        </is>
      </c>
      <c r="S77" t="inlineStr"/>
      <c r="T77" t="inlineStr"/>
      <c r="U77" t="inlineStr"/>
      <c r="V77" t="inlineStr"/>
      <c r="W77" t="inlineStr"/>
      <c r="X7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{None hourly IHS}: 25/05/2026 00:20..6:03:08..47.6V..Gen only, fuel shortage.     ;    {05-25-2026 ocm ran 17H}: 25.05.26: IHS: 46 V : Gen only, fuel shortage.</t>
        </is>
      </c>
      <c r="Y77"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25/05/2026 00 20.6 03 08.47.6V.Gen only, fuel shortage. 25.05.26 IHS 46 V Gen only, fuel shortage.</t>
        </is>
      </c>
      <c r="Z77" t="inlineStr"/>
      <c r="AA7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77" t="inlineStr"/>
      <c r="AC77" t="inlineStr"/>
      <c r="AD77" t="inlineStr"/>
      <c r="AE77" t="inlineStr">
        <is>
          <t>{None hourly IHS}: 25/05/2026 00:20..6:03:08..47.6V..Gen only, fuel shortage.</t>
        </is>
      </c>
      <c r="AF77" t="inlineStr"/>
      <c r="AG77" t="inlineStr"/>
      <c r="AH77" t="inlineStr"/>
      <c r="AI77" t="inlineStr"/>
      <c r="AJ77" t="inlineStr"/>
      <c r="AK77" t="inlineStr"/>
      <c r="AL77" t="inlineStr"/>
      <c r="AM77" t="inlineStr"/>
      <c r="AN77" t="inlineStr"/>
      <c r="AO77" t="inlineStr"/>
      <c r="AP77" t="inlineStr">
        <is>
          <t>{05-25-2026 ocm ran 17H}: 25.05.26: IHS: 46 V : Gen only, fuel shortage.</t>
        </is>
      </c>
      <c r="AQ77" t="inlineStr"/>
      <c r="AR77" t="inlineStr"/>
    </row>
    <row r="78">
      <c r="A78" t="inlineStr">
        <is>
          <t>New-Deido</t>
        </is>
      </c>
      <c r="B78" t="inlineStr">
        <is>
          <t>LIT_287</t>
        </is>
      </c>
      <c r="C78" t="inlineStr">
        <is>
          <t>Douala</t>
        </is>
      </c>
      <c r="D78" t="inlineStr">
        <is>
          <t>IHS</t>
        </is>
      </c>
      <c r="E78" t="inlineStr">
        <is>
          <t>GridOnly</t>
        </is>
      </c>
      <c r="F78" t="inlineStr">
        <is>
          <t>LITTORAL</t>
        </is>
      </c>
      <c r="G78" t="inlineStr">
        <is>
          <t>Douala</t>
        </is>
      </c>
      <c r="H78" t="inlineStr">
        <is>
          <t>ZTE</t>
        </is>
      </c>
      <c r="I78" t="n">
        <v>18.49140919947608</v>
      </c>
      <c r="J78" t="n">
        <v>18.97242126169624</v>
      </c>
      <c r="K78" t="n">
        <v>11.09300850661895</v>
      </c>
      <c r="L78" t="n">
        <v>10.69995905066018</v>
      </c>
      <c r="M78" t="n">
        <v>12.93298219631142</v>
      </c>
      <c r="N78" t="n">
        <v>4.009148351977747</v>
      </c>
      <c r="O78" t="n">
        <v>25.28403391916657</v>
      </c>
      <c r="P78" t="n">
        <v>13.19684530727761</v>
      </c>
      <c r="Q78" t="n">
        <v>15.94265166237198</v>
      </c>
      <c r="R78" t="inlineStr">
        <is>
          <t>Operationnel</t>
        </is>
      </c>
      <c r="S78" t="inlineStr"/>
      <c r="T78" t="inlineStr"/>
      <c r="U78" t="inlineStr"/>
      <c r="V78" t="inlineStr"/>
      <c r="W78" t="inlineStr"/>
      <c r="X78" t="inlineStr">
        <is>
          <t xml:space="preserve">{05-25-2026 top offenders}: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    {05-25-2026 retour CAMUSAT}: Grid outage Grid only site     ;    {05/25/2026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    {05/25/2026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    {05/25/2026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t>
        </is>
      </c>
      <c r="Y78" t="inlineStr">
        <is>
          <t>25/05/2026 Le FME ira ce jour recuperer recuperer la nouvelle Board || Intervention prevue pour ce jour apres recuperation || ETA 16H
24/05/2026 Board faulty || Cde d'une board effectuer
23/05/2026 FME au Ware house pour la recuperation du materiel || FME sur site || Intervention en cours || Feedback fme Le board qu'on m'a remis se comporte de la même façon que le précédent donc est également Faulty
22/05/2026 ZTE a valider le remplacement de la carte || Le fme se rendra demain sur au ware house pour la recuperation du materiel
21/05/2026 RI recu et transferer a ZTE pour validation du remplacement de la Board
20/05/2026 FME presentement sur le site de Sis cacao || Intervention apres Sis cacao || ETA 13H || Feedback FME apres intervention Le Board du slot 8 est faulty il demande à être remplacer
19/05/2026 Site renvoyer au BO RAN pour nouvelle analyse || Power issue || Nouvelle investiguation ce jour du FME avec le BO RAN || ETA 16H
Grid outage Grid only site 25/05/2026 Le FME ira ce jour recuperer recuperer la nouvelle Board || Intervention prevue pour ce jour apres recuperation || ETA 16H
24/05/2026 Board faulty || Cde d'une board effectuer
23/05/2026 FME au Ware house pour la recuperation du materiel || FME sur site || Intervention en cours || Feedback fme Le board qu'on m'a remis se comporte de la même façon que le précédent donc est également Faulty
22/05/2026 ZTE a valider le remplacement de la carte || Le fme se rendra demain sur au ware house pour la recuperation du materiel
21/05/2026 RI recu et transferer a ZTE pour validation du remplacement de la Board
20/05/2026 FME presentement sur le site de Sis cacao || Intervention apres Sis cacao || ETA 13H || Feedback FME apres intervention Le Board du slot 8 est faulty il demande à être remplacer
19/05/2026 Site renvoyer au BO RAN pour nouvelle analyse || Power issue || Nouvelle investiguation ce jour du FME avec le BO RAN || ETA 16H
25/05/2026 Le FME ira ce jour recuperer recuperer la nouvelle Board || Intervention prevue pour ce jour apres recuperation || ETA 16H
24/05/2026 Board faulty || Cde d'une board effectuer
23/05/2026 FME au Ware house pour la recuperation du materiel || FME sur site || Intervention en cours || Feedback fme Le board qu'on m'a remis se comporte de la même façon que le précédent donc est également Faulty
22/05/2026 ZTE a valider le remplacement de la carte || Le fme se rendra demain sur au ware house pour la recuperation du materiel
21/05/2026 RI recu et transferer a ZTE pour validation du remplacement de la Board
20/05/2026 FME presentement sur le site de Sis cacao || Intervention apres Sis cacao || ETA 13H || Feedback FME apres intervention Le Board du slot 8 est faulty il demande à être remplacer
19/05/2026 Site renvoyer au BO RAN pour nouvelle analyse || Power issue || Nouvelle investiguation ce jour du FME avec le BO RAN || ETA 16H
25/05/2026 Le FME ira ce jour recuperer recuperer la nouvelle Board || Intervention prevue pour ce jour apres recuperation || ETA 16H
24/05/2026 Board faulty || Cde d'une board effectuer
23/05/2026 FME au Ware house pour la recuperation du materiel || FME sur site || Intervention en cours || Feedback fme Le board qu'on m'a remis se comporte de la même façon que le précédent donc est également Faulty
22/05/2026 ZTE a valider le remplacement de la carte || Le fme se rendra demain sur au ware house pour la recuperation du materiel
21/05/2026 RI recu et transferer a ZTE pour validation du remplacement de la Board
20/05/2026 FME presentement sur le site de Sis cacao || Intervention apres Sis cacao || ETA 13H || Feedback FME apres intervention Le Board du slot 8 est faulty il demande à être remplacer
19/05/2026 Site renvoyer au BO RAN pour nouvelle analyse || Power issue || Nouvelle investiguation ce jour du FME avec le BO RAN || ETA 16H</t>
        </is>
      </c>
      <c r="Z78" t="inlineStr"/>
      <c r="AA78" t="inlineStr"/>
      <c r="AB78" t="inlineStr">
        <is>
          <t xml:space="preserve">{05-25-2026 top offenders}: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t>
        </is>
      </c>
      <c r="AC78" t="inlineStr">
        <is>
          <t>{05-25-2026 retour CAMUSAT}: Grid outage Grid only site</t>
        </is>
      </c>
      <c r="AD78" t="inlineStr"/>
      <c r="AE78" t="inlineStr"/>
      <c r="AF78" t="inlineStr"/>
      <c r="AG78" t="inlineStr"/>
      <c r="AH78" t="inlineStr"/>
      <c r="AI78" t="inlineStr">
        <is>
          <t xml:space="preserve">{05/25/2026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t>
        </is>
      </c>
      <c r="AJ78" t="inlineStr">
        <is>
          <t xml:space="preserve">{05/25/2026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t>
        </is>
      </c>
      <c r="AK78" t="inlineStr">
        <is>
          <t xml:space="preserve">{05/25/2026 cell zte}: 25/05/2026 : Le FME ira ce jour recuperer  recuperer la nouvelle Board  ||  Intervention prevue pour ce jour apres recuperation || ETA : 16H 
24/05/2026 : Board faulty || Cde d'une board effectuer 
23/05/2026 : FME au Ware house pour la recuperation du materiel || FME sur site || Intervention en cours || Feedback fme : Le board qu'on m'a remis se comporte de la même façon que le précédent donc est également Faulty 
22/05/2026 : ZTE a valider le remplacement de la carte || Le fme se rendra demain sur au ware house pour la recuperation du materiel  
21/05/2026 : RI recu et transferer a ZTE pour validation du remplacement de la Board
20/05/2026 : FME presentement sur le site de Sis cacao || Intervention apres Sis cacao || ETA : 13H || Feedback FME apres intervention : Le Board du slot 8 est faulty il demande à être remplacer
19/05/2026 :Site renvoyer au BO RAN pour nouvelle analyse || Power issue || Nouvelle investiguation ce jour du FME avec le BO RAN  || ETA : 16H
</t>
        </is>
      </c>
      <c r="AL78" t="inlineStr"/>
      <c r="AM78" t="inlineStr"/>
      <c r="AN78" t="inlineStr"/>
      <c r="AO78" t="inlineStr"/>
      <c r="AP78" t="inlineStr"/>
      <c r="AQ78" t="inlineStr"/>
      <c r="AR78" t="inlineStr"/>
    </row>
    <row r="79">
      <c r="A79" t="inlineStr">
        <is>
          <t>Briqueterie</t>
        </is>
      </c>
      <c r="B79" t="inlineStr">
        <is>
          <t>CTR_321</t>
        </is>
      </c>
      <c r="C79" t="inlineStr">
        <is>
          <t>Yaounde</t>
        </is>
      </c>
      <c r="D79" t="inlineStr">
        <is>
          <t>IHS</t>
        </is>
      </c>
      <c r="E79" t="inlineStr">
        <is>
          <t>Grid-Lithium</t>
        </is>
      </c>
      <c r="F79" t="inlineStr">
        <is>
          <t>CENTRE</t>
        </is>
      </c>
      <c r="G79" t="inlineStr">
        <is>
          <t>Yaounde</t>
        </is>
      </c>
      <c r="H79" t="inlineStr">
        <is>
          <t>ZTE</t>
        </is>
      </c>
      <c r="I79" t="n">
        <v>0</v>
      </c>
      <c r="J79" t="n">
        <v>2.213868271538355</v>
      </c>
      <c r="K79" t="n">
        <v>0.271039685189466</v>
      </c>
      <c r="L79" t="n">
        <v>0</v>
      </c>
      <c r="M79" t="n">
        <v>0</v>
      </c>
      <c r="N79" t="n">
        <v>7.070963674368228</v>
      </c>
      <c r="O79" t="n">
        <v>6.025467425563817</v>
      </c>
      <c r="P79" t="n">
        <v>24.38171967990684</v>
      </c>
      <c r="Q79" t="n">
        <v>15.74733971971818</v>
      </c>
      <c r="R79" t="inlineStr">
        <is>
          <t>Operationnel</t>
        </is>
      </c>
      <c r="S79" t="inlineStr"/>
      <c r="T79" t="inlineStr"/>
      <c r="U79" t="inlineStr"/>
      <c r="V79" t="inlineStr"/>
      <c r="W79" t="inlineStr"/>
      <c r="X79" t="inlineStr">
        <is>
          <t>{05-25-2026 top offenders}: IHS feedback : Grid outage, no space to deploy MDG, awaiting grid return     ;    {05-25-2026 retour IHS}: IHS     ;    {None hourly IHS}: 25/05/2026 19:56..3:03:27..Grid outage, no space to deploy MDG, awaiting grid return     ;    {05-25-2026 ocm ran 22H}: Power status check Ongoing     ;    {05-25-2026 ticket}: INC-20260525-00019945..power issue (grid outage) grid only site...user:OCM_NOC.IHS</t>
        </is>
      </c>
      <c r="Y79" t="inlineStr">
        <is>
          <t>IHS feedback Grid outage, no space to deploy MDG, awaiting grid return IHS 25/05/2026 19 56.3 03 27.Grid outage, no space to deploy MDG, awaiting grid return .power issue (grid outage) grid only site.user OCM_NOC.IHS</t>
        </is>
      </c>
      <c r="Z79" t="inlineStr"/>
      <c r="AA79" t="inlineStr"/>
      <c r="AB79" t="inlineStr">
        <is>
          <t>{05-25-2026 top offenders}: IHS feedback : Grid outage, no space to deploy MDG, awaiting grid return</t>
        </is>
      </c>
      <c r="AC79" t="inlineStr"/>
      <c r="AD79" t="inlineStr">
        <is>
          <t>{05-25-2026 retour IHS}: IHS</t>
        </is>
      </c>
      <c r="AE79" t="inlineStr">
        <is>
          <t>{None hourly IHS}: 25/05/2026 19:56..3:03:27..Grid outage, no space to deploy MDG, awaiting grid return</t>
        </is>
      </c>
      <c r="AF79" t="inlineStr"/>
      <c r="AG79" t="inlineStr"/>
      <c r="AH79" t="inlineStr"/>
      <c r="AI79" t="inlineStr"/>
      <c r="AJ79" t="inlineStr"/>
      <c r="AK79" t="inlineStr"/>
      <c r="AL79" t="inlineStr"/>
      <c r="AM79" t="inlineStr"/>
      <c r="AN79" t="inlineStr"/>
      <c r="AO79" t="inlineStr">
        <is>
          <t>{05-25-2026 ocm ran 22H}: Power status check Ongoing</t>
        </is>
      </c>
      <c r="AP79" t="inlineStr"/>
      <c r="AQ79" t="inlineStr">
        <is>
          <t>{05-25-2026 ticket}: INC-20260525-00019945..power issue (grid outage) grid only site...user:OCM_NOC.IHS</t>
        </is>
      </c>
      <c r="AR79" t="inlineStr"/>
    </row>
    <row r="80">
      <c r="A80" t="inlineStr">
        <is>
          <t>Bardake-IHS</t>
        </is>
      </c>
      <c r="B80" t="inlineStr">
        <is>
          <t>NRD_110</t>
        </is>
      </c>
      <c r="C80" t="inlineStr">
        <is>
          <t>NORD</t>
        </is>
      </c>
      <c r="D80" t="inlineStr">
        <is>
          <t>IHS</t>
        </is>
      </c>
      <c r="E80" t="inlineStr">
        <is>
          <t>Gen Only</t>
        </is>
      </c>
      <c r="F80" t="inlineStr">
        <is>
          <t>NORD</t>
        </is>
      </c>
      <c r="G80" t="inlineStr">
        <is>
          <t>Bardake</t>
        </is>
      </c>
      <c r="H80" t="inlineStr">
        <is>
          <t>NOKIA</t>
        </is>
      </c>
      <c r="I80" t="n">
        <v>9.369943755297019</v>
      </c>
      <c r="J80" t="n">
        <v>12.92945394788926</v>
      </c>
      <c r="K80" t="n">
        <v>15.68836910014563</v>
      </c>
      <c r="L80" t="n">
        <v>12.82357632580849</v>
      </c>
      <c r="M80" t="n">
        <v>14.20225643011426</v>
      </c>
      <c r="N80" t="n">
        <v>14.30741400189442</v>
      </c>
      <c r="O80" t="n">
        <v>40.68901946766125</v>
      </c>
      <c r="P80" t="n">
        <v>0</v>
      </c>
      <c r="Q80" t="n">
        <v>15.7028705397646</v>
      </c>
      <c r="R80" t="inlineStr">
        <is>
          <t>EXCLU</t>
        </is>
      </c>
      <c r="S80" t="inlineStr"/>
      <c r="T80" t="inlineStr"/>
      <c r="U80" t="inlineStr"/>
      <c r="V80" t="inlineStr"/>
      <c r="W80" t="inlineStr"/>
      <c r="X80" t="inlineStr">
        <is>
          <t>{None hourly IHS}: 25/05/2026 05:18..1:05:14..45.6V..Merlin is on the way ETA : 08H45 AM     ;    {05-25-2026 ocm ran 22H}: 25.05.26: IHS: FME Merlin is managing with level 0     ;    {05-25-2026 ocm ran 17H}: Power status check Ongoing     ;    {05-25-2026 ticket}: INC-20260525-00011218..Auto TT closure RCA..Others</t>
        </is>
      </c>
      <c r="Y80" t="inlineStr">
        <is>
          <t>25/05/2026 05 18.1 05 14.45.6V.Merlin is on the way ETA 08H45 AM 25.05.26 IHS FME Merlin is managing with level 0 .Auto TT closure RCA.</t>
        </is>
      </c>
      <c r="Z80" t="inlineStr"/>
      <c r="AA80" t="inlineStr"/>
      <c r="AB80" t="inlineStr"/>
      <c r="AC80" t="inlineStr"/>
      <c r="AD80" t="inlineStr"/>
      <c r="AE80" t="inlineStr">
        <is>
          <t>{None hourly IHS}: 25/05/2026 05:18..1:05:14..45.6V..Merlin is on the way ETA : 08H45 AM</t>
        </is>
      </c>
      <c r="AF80" t="inlineStr"/>
      <c r="AG80" t="inlineStr"/>
      <c r="AH80" t="inlineStr"/>
      <c r="AI80" t="inlineStr"/>
      <c r="AJ80" t="inlineStr"/>
      <c r="AK80" t="inlineStr"/>
      <c r="AL80" t="inlineStr"/>
      <c r="AM80" t="inlineStr"/>
      <c r="AN80" t="inlineStr"/>
      <c r="AO80" t="inlineStr">
        <is>
          <t>{05-25-2026 ocm ran 22H}: 25.05.26: IHS: FME Merlin is managing with level 0</t>
        </is>
      </c>
      <c r="AP80" t="inlineStr">
        <is>
          <t>{05-25-2026 ocm ran 17H}: Power status check Ongoing</t>
        </is>
      </c>
      <c r="AQ80" t="inlineStr">
        <is>
          <t>{05-25-2026 ticket}: INC-20260525-00011218..Auto TT closure RCA..Others</t>
        </is>
      </c>
      <c r="AR80" t="inlineStr"/>
    </row>
    <row r="81">
      <c r="A81" t="inlineStr">
        <is>
          <t>Fundong-FM</t>
        </is>
      </c>
      <c r="B81" t="inlineStr">
        <is>
          <t>NRO_092</t>
        </is>
      </c>
      <c r="C81" t="inlineStr">
        <is>
          <t>NORD-OUEST</t>
        </is>
      </c>
      <c r="D81" t="inlineStr">
        <is>
          <t>IHS</t>
        </is>
      </c>
      <c r="E81" t="inlineStr">
        <is>
          <t>Hybrid-Gen</t>
        </is>
      </c>
      <c r="F81" t="inlineStr">
        <is>
          <t>NORD-OUEST</t>
        </is>
      </c>
      <c r="G81" t="inlineStr">
        <is>
          <t>Fundong</t>
        </is>
      </c>
      <c r="H81" t="inlineStr">
        <is>
          <t>NOKIA</t>
        </is>
      </c>
      <c r="I81" t="n">
        <v>4.621871370561562</v>
      </c>
      <c r="J81" t="n">
        <v>9.244652330117313</v>
      </c>
      <c r="K81" t="n">
        <v>9.711195662449533</v>
      </c>
      <c r="L81" t="n">
        <v>9.502030345315653</v>
      </c>
      <c r="M81" t="n">
        <v>6.746401408493518</v>
      </c>
      <c r="N81" t="n">
        <v>27.42994356717784</v>
      </c>
      <c r="O81" t="n">
        <v>11.68404530942399</v>
      </c>
      <c r="P81" t="n">
        <v>15.02797078839918</v>
      </c>
      <c r="Q81" t="n">
        <v>15.67637700237542</v>
      </c>
      <c r="R81" t="inlineStr">
        <is>
          <t>Insecurity</t>
        </is>
      </c>
      <c r="S81" t="inlineStr"/>
      <c r="T81" t="inlineStr"/>
      <c r="U81" t="inlineStr"/>
      <c r="V81" t="inlineStr"/>
      <c r="W81" t="inlineStr"/>
      <c r="X81" t="inlineStr">
        <is>
          <t>{05-25-2026 ocm ran 17H}: P2 Incident at Fundong_L18L8_NRO_015; Power issue; IHS</t>
        </is>
      </c>
      <c r="Y81" t="inlineStr">
        <is>
          <t>P2 Incident at Fundong_L18L8_NRO_015; Power issue; IHS</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{05-25-2026 ocm ran 17H}: P2 Incident at Fundong_L18L8_NRO_015; Power issue; IHS</t>
        </is>
      </c>
      <c r="AQ81" t="inlineStr"/>
      <c r="AR81" t="inlineStr"/>
    </row>
    <row r="82">
      <c r="A82" t="inlineStr">
        <is>
          <t>KOUSSERI-Douane-MTN</t>
        </is>
      </c>
      <c r="B82" t="inlineStr">
        <is>
          <t>EXN_246</t>
        </is>
      </c>
      <c r="C82" t="inlineStr">
        <is>
          <t>EXTREME-NORD</t>
        </is>
      </c>
      <c r="D82" t="inlineStr">
        <is>
          <t>MTN sharing</t>
        </is>
      </c>
      <c r="E82" t="inlineStr"/>
      <c r="F82" t="inlineStr">
        <is>
          <t>EXTREME-NORD</t>
        </is>
      </c>
      <c r="G82" t="inlineStr">
        <is>
          <t>Kousseri</t>
        </is>
      </c>
      <c r="H82" t="inlineStr">
        <is>
          <t>Huawei</t>
        </is>
      </c>
      <c r="I82" t="n">
        <v>12.10721807021599</v>
      </c>
      <c r="J82" t="n">
        <v>11.55420579682849</v>
      </c>
      <c r="K82" t="n">
        <v>13.77640304994108</v>
      </c>
      <c r="L82" t="n">
        <v>9.472013908507474</v>
      </c>
      <c r="M82" t="n">
        <v>13.16574780343175</v>
      </c>
      <c r="N82" t="n">
        <v>24.35089265374147</v>
      </c>
      <c r="O82" t="n">
        <v>34.49909217948326</v>
      </c>
      <c r="P82" t="n">
        <v>0.4245970380876711</v>
      </c>
      <c r="Q82" t="n">
        <v>15.2804708746037</v>
      </c>
      <c r="R82" t="inlineStr">
        <is>
          <t>Insecurity</t>
        </is>
      </c>
      <c r="S82" t="inlineStr"/>
      <c r="T82" t="inlineStr"/>
      <c r="U82" t="inlineStr"/>
      <c r="V82" t="inlineStr"/>
      <c r="W82" t="inlineStr"/>
      <c r="X8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ocm ran 17H}: 25.05.26: Power alarms; MTN activated to check</t>
        </is>
      </c>
      <c r="Y82"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25.05.26 Power alarms; MTN activated to check</t>
        </is>
      </c>
      <c r="Z82" t="inlineStr"/>
      <c r="AA8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{05-25-2026 ocm ran 17H}: 25.05.26: Power alarms; MTN activated to check</t>
        </is>
      </c>
      <c r="AQ82" t="inlineStr"/>
      <c r="AR82" t="inlineStr"/>
    </row>
    <row r="83">
      <c r="A83" t="inlineStr">
        <is>
          <t>Kumba-Lutherian-Church-MTN</t>
        </is>
      </c>
      <c r="B83" t="inlineStr">
        <is>
          <t>SUO_054</t>
        </is>
      </c>
      <c r="C83" t="inlineStr">
        <is>
          <t>SUD-OUEST</t>
        </is>
      </c>
      <c r="D83" t="inlineStr">
        <is>
          <t>IHS</t>
        </is>
      </c>
      <c r="E83" t="inlineStr">
        <is>
          <t>Grid-Gen</t>
        </is>
      </c>
      <c r="F83" t="inlineStr">
        <is>
          <t>SUD-OUEST</t>
        </is>
      </c>
      <c r="G83" t="inlineStr">
        <is>
          <t>Kumba</t>
        </is>
      </c>
      <c r="H83" t="inlineStr">
        <is>
          <t>Huawei</t>
        </is>
      </c>
      <c r="I83" t="n">
        <v>15.15303924002591</v>
      </c>
      <c r="J83" t="n">
        <v>15.2329938961228</v>
      </c>
      <c r="K83" t="n">
        <v>15.38985340992429</v>
      </c>
      <c r="L83" t="n">
        <v>14.88829533748249</v>
      </c>
      <c r="M83" t="n">
        <v>15.12291579274783</v>
      </c>
      <c r="N83" t="n">
        <v>8.728328117693607</v>
      </c>
      <c r="O83" t="n">
        <v>14.92463729680291</v>
      </c>
      <c r="P83" t="n">
        <v>16.64153626766652</v>
      </c>
      <c r="Q83" t="n">
        <v>14.93514808822228</v>
      </c>
      <c r="R83" t="inlineStr">
        <is>
          <t>operationnel</t>
        </is>
      </c>
      <c r="S83" t="inlineStr"/>
      <c r="T83" t="inlineStr"/>
      <c r="U83" t="inlineStr"/>
      <c r="V83" t="inlineStr"/>
      <c r="W83" t="inlineStr"/>
      <c r="X83" t="inlineStr">
        <is>
          <t>{05-25-2026 top offenders}: instabilite power</t>
        </is>
      </c>
      <c r="Y83" t="inlineStr">
        <is>
          <t>instabilite power</t>
        </is>
      </c>
      <c r="Z83" t="inlineStr"/>
      <c r="AA83" t="inlineStr"/>
      <c r="AB83" t="inlineStr">
        <is>
          <t>{05-25-2026 top offenders}: instabilite power</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row>
    <row r="84">
      <c r="A84" t="inlineStr">
        <is>
          <t>Meme-II-IHS</t>
        </is>
      </c>
      <c r="B84" t="inlineStr">
        <is>
          <t>EXN_169</t>
        </is>
      </c>
      <c r="C84" t="inlineStr">
        <is>
          <t>EXTREME-NORD</t>
        </is>
      </c>
      <c r="D84" t="inlineStr">
        <is>
          <t>IHS</t>
        </is>
      </c>
      <c r="E84" t="inlineStr">
        <is>
          <t>Grid-Gen</t>
        </is>
      </c>
      <c r="F84" t="inlineStr">
        <is>
          <t>EXTREME-NORD</t>
        </is>
      </c>
      <c r="G84" t="inlineStr">
        <is>
          <t>Meme-II</t>
        </is>
      </c>
      <c r="H84" t="inlineStr">
        <is>
          <t>NOKIA</t>
        </is>
      </c>
      <c r="I84" t="n">
        <v>0.3146464516754984</v>
      </c>
      <c r="J84" t="n">
        <v>0.3444310324655497</v>
      </c>
      <c r="K84" t="n">
        <v>10.42919059343982</v>
      </c>
      <c r="L84" t="n">
        <v>0.01569668566533452</v>
      </c>
      <c r="M84" t="n">
        <v>4.732869448336353</v>
      </c>
      <c r="N84" t="n">
        <v>32.97231014871567</v>
      </c>
      <c r="O84" t="n">
        <v>28.61914670590497</v>
      </c>
      <c r="P84" t="n">
        <v>1.17688921128581</v>
      </c>
      <c r="Q84" t="n">
        <v>14.92995474183416</v>
      </c>
      <c r="R84" t="inlineStr">
        <is>
          <t>Insecurity</t>
        </is>
      </c>
      <c r="S84" t="inlineStr"/>
      <c r="T84" t="inlineStr"/>
      <c r="U84" t="inlineStr"/>
      <c r="V84" t="inlineStr"/>
      <c r="W84" t="inlineStr"/>
      <c r="X84" t="inlineStr">
        <is>
          <t>{05-25-2026 ticket}: INC-20260525-00013377..Hello FO,
There is possible power issue at Meme-II-IHS, as both channels went down simultaneously.
Please involve power team to check. Otherwise, mobilize FME locally for tshoot..Auto TT closure RCA..Others Transmission equipement fault..user:ABANDA	Jean Roland</t>
        </is>
      </c>
      <c r="Y84" t="inlineStr">
        <is>
          <t>.Hello FO,
There is possible power issue at Meme-II-IHS, as both channels went down simultaneously.
Please involve power team to check. Otherwise, mobilize FME locally for tshoot.Auto TT closure RCA.user ABANDA Jean Roland</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{05-25-2026 ticket}: INC-20260525-00013377..Hello FO,
There is possible power issue at Meme-II-IHS, as both channels went down simultaneously.
Please involve power team to check. Otherwise, mobilize FME locally for tshoot..Auto TT closure RCA..Others Transmission equipement fault..user:ABANDA	Jean Roland</t>
        </is>
      </c>
      <c r="AR84" t="inlineStr"/>
    </row>
    <row r="85">
      <c r="A85" t="inlineStr">
        <is>
          <t>Limbe-Batoke-Camtel</t>
        </is>
      </c>
      <c r="B85" t="inlineStr">
        <is>
          <t>SUO_227</t>
        </is>
      </c>
      <c r="C85" t="inlineStr">
        <is>
          <t>SUD-OUEST</t>
        </is>
      </c>
      <c r="D85" t="inlineStr">
        <is>
          <t>CAMUSAT</t>
        </is>
      </c>
      <c r="E85" t="inlineStr">
        <is>
          <t>Good Grid no GE - 8h</t>
        </is>
      </c>
      <c r="F85" t="inlineStr">
        <is>
          <t>SUD-OUEST</t>
        </is>
      </c>
      <c r="G85" t="inlineStr">
        <is>
          <t>Limbe</t>
        </is>
      </c>
      <c r="H85" t="inlineStr">
        <is>
          <t>Huawei</t>
        </is>
      </c>
      <c r="I85" t="n">
        <v>0</v>
      </c>
      <c r="J85" t="n">
        <v>0</v>
      </c>
      <c r="K85" t="n">
        <v>0</v>
      </c>
      <c r="L85" t="n">
        <v>0</v>
      </c>
      <c r="M85" t="n">
        <v>0</v>
      </c>
      <c r="N85" t="n">
        <v>14.28243488443661</v>
      </c>
      <c r="O85" t="n">
        <v>12.15368092318886</v>
      </c>
      <c r="P85" t="n">
        <v>16.29799400044215</v>
      </c>
      <c r="Q85" t="n">
        <v>14.6188786444199</v>
      </c>
      <c r="R85" t="inlineStr">
        <is>
          <t>Operationnel</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row>
    <row r="86">
      <c r="A86" t="inlineStr">
        <is>
          <t>Maroua-CRTV</t>
        </is>
      </c>
      <c r="B86" t="inlineStr">
        <is>
          <t>EXN_045</t>
        </is>
      </c>
      <c r="C86" t="inlineStr">
        <is>
          <t>Maroua</t>
        </is>
      </c>
      <c r="D86" t="inlineStr">
        <is>
          <t>CAMUSAT</t>
        </is>
      </c>
      <c r="E86" t="inlineStr">
        <is>
          <t>Good Grid + Solar + GE</t>
        </is>
      </c>
      <c r="F86" t="inlineStr">
        <is>
          <t>EXTREME-NORD</t>
        </is>
      </c>
      <c r="G86" t="inlineStr">
        <is>
          <t>Maroua</t>
        </is>
      </c>
      <c r="H86" t="inlineStr">
        <is>
          <t>Huawei</t>
        </is>
      </c>
      <c r="I86" t="n">
        <v>0.296775703201468</v>
      </c>
      <c r="J86" t="n">
        <v>1.336863965437045</v>
      </c>
      <c r="K86" t="n">
        <v>7.324509963388151</v>
      </c>
      <c r="L86" t="n">
        <v>0.7521052526445854</v>
      </c>
      <c r="M86" t="n">
        <v>2.594647193614756</v>
      </c>
      <c r="N86" t="n">
        <v>10.77224440367852</v>
      </c>
      <c r="O86" t="n">
        <v>13.79581178534635</v>
      </c>
      <c r="P86" t="n">
        <v>15.9004152193089</v>
      </c>
      <c r="Q86" t="n">
        <v>14.46157325366047</v>
      </c>
      <c r="R86" t="inlineStr">
        <is>
          <t>Operationnel</t>
        </is>
      </c>
      <c r="S86" t="inlineStr"/>
      <c r="T86" t="inlineStr"/>
      <c r="U86" t="inlineStr"/>
      <c r="V86" t="inlineStr"/>
      <c r="W86" t="inlineStr"/>
      <c r="X86" t="inlineStr">
        <is>
          <t xml:space="preserve">{05-25-2026 retour CAMUSAT}: No power issue </t>
        </is>
      </c>
      <c r="Y86" t="inlineStr">
        <is>
          <t>No power issue</t>
        </is>
      </c>
      <c r="Z86" t="inlineStr"/>
      <c r="AA86" t="inlineStr"/>
      <c r="AB86" t="inlineStr"/>
      <c r="AC86" t="inlineStr">
        <is>
          <t xml:space="preserve">{05-25-2026 retour CAMUSAT}: No power issue </t>
        </is>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row>
    <row r="87">
      <c r="A87" t="inlineStr">
        <is>
          <t>PK5-Auberge</t>
        </is>
      </c>
      <c r="B87" t="inlineStr">
        <is>
          <t>LIT_647</t>
        </is>
      </c>
      <c r="C87" t="inlineStr">
        <is>
          <t>Douala</t>
        </is>
      </c>
      <c r="D87" t="inlineStr">
        <is>
          <t>CAMUSAT</t>
        </is>
      </c>
      <c r="E87" t="inlineStr">
        <is>
          <t>Good Grid no GE - 12h</t>
        </is>
      </c>
      <c r="F87" t="inlineStr">
        <is>
          <t>LITTORAL</t>
        </is>
      </c>
      <c r="G87" t="inlineStr">
        <is>
          <t>Douala</t>
        </is>
      </c>
      <c r="H87" t="inlineStr">
        <is>
          <t>ZTE</t>
        </is>
      </c>
      <c r="I87" t="n">
        <v>1.840936783921604</v>
      </c>
      <c r="J87" t="n">
        <v>2.485924556191911</v>
      </c>
      <c r="K87" t="n">
        <v>1.660855998150859</v>
      </c>
      <c r="L87" t="n">
        <v>28.64600722534695</v>
      </c>
      <c r="M87" t="n">
        <v>12.9308063167567</v>
      </c>
      <c r="N87" t="n">
        <v>5.854230862998533</v>
      </c>
      <c r="O87" t="n">
        <v>5.521352907575711</v>
      </c>
      <c r="P87" t="n">
        <v>22.1684798311106</v>
      </c>
      <c r="Q87" t="n">
        <v>14.25017407036438</v>
      </c>
      <c r="R87" t="inlineStr">
        <is>
          <t>Operationnel</t>
        </is>
      </c>
      <c r="S87" t="inlineStr"/>
      <c r="T87" t="inlineStr"/>
      <c r="U87" t="inlineStr"/>
      <c r="V87" t="inlineStr"/>
      <c r="W87" t="inlineStr"/>
      <c r="X87" t="inlineStr">
        <is>
          <t>{05-25-2026 top offenders}: Power status check Ongoing     ;    {05-25-2026 retour CAMUSAT}: Grid outage Grid only site     ;    {05-25-2026 ocm ran 22H}: Power status check Ongoing     ;    {05-25-2026 ticket}: INC-20260525-00022428..Grid Outage</t>
        </is>
      </c>
      <c r="Y87" t="inlineStr">
        <is>
          <t>Grid outage Grid only site .Grid Outage</t>
        </is>
      </c>
      <c r="Z87" t="inlineStr"/>
      <c r="AA87" t="inlineStr"/>
      <c r="AB87" t="inlineStr">
        <is>
          <t>{05-25-2026 top offenders}: Power status check Ongoing</t>
        </is>
      </c>
      <c r="AC87" t="inlineStr">
        <is>
          <t>{05-25-2026 retour CAMUSAT}: Grid outage Grid only site</t>
        </is>
      </c>
      <c r="AD87" t="inlineStr"/>
      <c r="AE87" t="inlineStr"/>
      <c r="AF87" t="inlineStr"/>
      <c r="AG87" t="inlineStr"/>
      <c r="AH87" t="inlineStr"/>
      <c r="AI87" t="inlineStr"/>
      <c r="AJ87" t="inlineStr"/>
      <c r="AK87" t="inlineStr"/>
      <c r="AL87" t="inlineStr"/>
      <c r="AM87" t="inlineStr"/>
      <c r="AN87" t="inlineStr"/>
      <c r="AO87" t="inlineStr">
        <is>
          <t>{05-25-2026 ocm ran 22H}: Power status check Ongoing</t>
        </is>
      </c>
      <c r="AP87" t="inlineStr"/>
      <c r="AQ87" t="inlineStr">
        <is>
          <t>{05-25-2026 ticket}: INC-20260525-00022428..Grid Outage</t>
        </is>
      </c>
      <c r="AR87" t="inlineStr"/>
    </row>
    <row r="88">
      <c r="A88" t="inlineStr">
        <is>
          <t>Makepe-Bloc-E</t>
        </is>
      </c>
      <c r="B88" t="inlineStr">
        <is>
          <t>LIT_613</t>
        </is>
      </c>
      <c r="C88" t="inlineStr">
        <is>
          <t>Douala</t>
        </is>
      </c>
      <c r="D88" t="inlineStr">
        <is>
          <t>CAMUSAT</t>
        </is>
      </c>
      <c r="E88" t="inlineStr">
        <is>
          <t>Good Grid no GE - 8h</t>
        </is>
      </c>
      <c r="F88" t="inlineStr">
        <is>
          <t>LITTORAL</t>
        </is>
      </c>
      <c r="G88" t="inlineStr">
        <is>
          <t>Douala</t>
        </is>
      </c>
      <c r="H88" t="inlineStr">
        <is>
          <t>ZTE</t>
        </is>
      </c>
      <c r="I88" t="n">
        <v>29.16575707767248</v>
      </c>
      <c r="J88" t="n">
        <v>27.72281006640356</v>
      </c>
      <c r="K88" t="n">
        <v>29.2657405267198</v>
      </c>
      <c r="L88" t="n">
        <v>19.83767225118639</v>
      </c>
      <c r="M88" t="n">
        <v>22.1625282150939</v>
      </c>
      <c r="N88" t="n">
        <v>5.278836892357988</v>
      </c>
      <c r="O88" t="n">
        <v>7.920266498022856</v>
      </c>
      <c r="P88" t="n">
        <v>20.77043893518245</v>
      </c>
      <c r="Q88" t="n">
        <v>14.24428849451964</v>
      </c>
      <c r="R88" t="inlineStr">
        <is>
          <t>Operationnel</t>
        </is>
      </c>
      <c r="S88" t="inlineStr"/>
      <c r="T88" t="inlineStr"/>
      <c r="U88" t="inlineStr"/>
      <c r="V88" t="inlineStr"/>
      <c r="W88" t="inlineStr"/>
      <c r="X88" t="inlineStr">
        <is>
          <t>{05-25-2026 top offenders}: 25/05/2026 : Need BO RAN analysis : Cell was down due to power      ;    {05-25-2026 retour CAMUSAT}: Grid outage Grid only site     ;    {05/25/2026 cell zte}: 25/05/2026 : Need BO RAN analysis : Cell was down due to power      ;    {05-25-2026 ticket}: INC-20260525-00020981..Grid Outage</t>
        </is>
      </c>
      <c r="Y88" t="inlineStr">
        <is>
          <t>25/05/2026 Need BO RAN analysis Cell was down due to power Grid outage Grid only site 25/05/2026 Need BO RAN analysis Cell was down due to power .Grid Outage</t>
        </is>
      </c>
      <c r="Z88" t="inlineStr"/>
      <c r="AA88" t="inlineStr"/>
      <c r="AB88" t="inlineStr">
        <is>
          <t xml:space="preserve">{05-25-2026 top offenders}: 25/05/2026 : Need BO RAN analysis : Cell was down due to power </t>
        </is>
      </c>
      <c r="AC88" t="inlineStr">
        <is>
          <t>{05-25-2026 retour CAMUSAT}: Grid outage Grid only site</t>
        </is>
      </c>
      <c r="AD88" t="inlineStr"/>
      <c r="AE88" t="inlineStr"/>
      <c r="AF88" t="inlineStr"/>
      <c r="AG88" t="inlineStr"/>
      <c r="AH88" t="inlineStr"/>
      <c r="AI88" t="inlineStr"/>
      <c r="AJ88" t="inlineStr">
        <is>
          <t xml:space="preserve">{05/25/2026 cell zte}: 25/05/2026 : Need BO RAN analysis : Cell was down due to power </t>
        </is>
      </c>
      <c r="AK88" t="inlineStr"/>
      <c r="AL88" t="inlineStr"/>
      <c r="AM88" t="inlineStr"/>
      <c r="AN88" t="inlineStr"/>
      <c r="AO88" t="inlineStr"/>
      <c r="AP88" t="inlineStr"/>
      <c r="AQ88" t="inlineStr">
        <is>
          <t>{05-25-2026 ticket}: INC-20260525-00020981..Grid Outage</t>
        </is>
      </c>
      <c r="AR88" t="inlineStr"/>
    </row>
    <row r="89">
      <c r="A89" t="inlineStr">
        <is>
          <t>Bertoua-Force-Tyre</t>
        </is>
      </c>
      <c r="B89" t="inlineStr">
        <is>
          <t>EST_120</t>
        </is>
      </c>
      <c r="C89" t="inlineStr">
        <is>
          <t>CENTRE</t>
        </is>
      </c>
      <c r="D89" t="inlineStr">
        <is>
          <t>CAMUSAT</t>
        </is>
      </c>
      <c r="E89" t="inlineStr">
        <is>
          <t>Medium Grid + GE</t>
        </is>
      </c>
      <c r="F89" t="inlineStr">
        <is>
          <t>EST</t>
        </is>
      </c>
      <c r="G89" t="inlineStr">
        <is>
          <t>Bertoua</t>
        </is>
      </c>
      <c r="H89" t="inlineStr">
        <is>
          <t>ZTE</t>
        </is>
      </c>
      <c r="I89" t="n">
        <v>27.73711379921412</v>
      </c>
      <c r="J89" t="n">
        <v>20.92637893691518</v>
      </c>
      <c r="K89" t="n">
        <v>0</v>
      </c>
      <c r="L89" t="n">
        <v>7.550426900434605</v>
      </c>
      <c r="M89" t="n">
        <v>24.21019139179244</v>
      </c>
      <c r="N89" t="n">
        <v>11.06899631907725</v>
      </c>
      <c r="O89" t="n">
        <v>5.154782123075982</v>
      </c>
      <c r="P89" t="n">
        <v>20.361334644437</v>
      </c>
      <c r="Q89" t="n">
        <v>13.92937451666937</v>
      </c>
      <c r="R89" t="inlineStr">
        <is>
          <t>Operationnel</t>
        </is>
      </c>
      <c r="S89" t="inlineStr"/>
      <c r="T89" t="inlineStr"/>
      <c r="U89" t="inlineStr"/>
      <c r="V89" t="inlineStr"/>
      <c r="W89" t="inlineStr"/>
      <c r="X89" t="inlineStr">
        <is>
          <t>{05-25-2026 top offenders}: 25/05/2026 : Need BO RAN analysis : Cell was down due to power      ;    {05-25-2026 retour CAMUSAT}: Batterie GE déchargée     ;    {05/25/2026 cell zte}: 25/05/2026 : Need BO RAN analysis : Cell was down due to power      ;    {05-25-2026 ticket}: INC-20260525-00002736..Grid Outage</t>
        </is>
      </c>
      <c r="Y89" t="inlineStr">
        <is>
          <t>25/05/2026 Need BO RAN analysis Cell was down due to power Batterie GE déchargée 25/05/2026 Need BO RAN analysis Cell was down due to power .Grid Outage</t>
        </is>
      </c>
      <c r="Z89" t="inlineStr"/>
      <c r="AA89" t="inlineStr"/>
      <c r="AB89" t="inlineStr">
        <is>
          <t xml:space="preserve">{05-25-2026 top offenders}: 25/05/2026 : Need BO RAN analysis : Cell was down due to power </t>
        </is>
      </c>
      <c r="AC89" t="inlineStr">
        <is>
          <t>{05-25-2026 retour CAMUSAT}: Batterie GE déchargée</t>
        </is>
      </c>
      <c r="AD89" t="inlineStr"/>
      <c r="AE89" t="inlineStr"/>
      <c r="AF89" t="inlineStr"/>
      <c r="AG89" t="inlineStr"/>
      <c r="AH89" t="inlineStr"/>
      <c r="AI89" t="inlineStr"/>
      <c r="AJ89" t="inlineStr">
        <is>
          <t xml:space="preserve">{05/25/2026 cell zte}: 25/05/2026 : Need BO RAN analysis : Cell was down due to power </t>
        </is>
      </c>
      <c r="AK89" t="inlineStr"/>
      <c r="AL89" t="inlineStr"/>
      <c r="AM89" t="inlineStr"/>
      <c r="AN89" t="inlineStr"/>
      <c r="AO89" t="inlineStr"/>
      <c r="AP89" t="inlineStr"/>
      <c r="AQ89" t="inlineStr">
        <is>
          <t>{05-25-2026 ticket}: INC-20260525-00002736..Grid Outage</t>
        </is>
      </c>
      <c r="AR89" t="inlineStr"/>
    </row>
    <row r="90">
      <c r="A90" t="inlineStr">
        <is>
          <t>PK5</t>
        </is>
      </c>
      <c r="B90" t="inlineStr">
        <is>
          <t>LIT_073</t>
        </is>
      </c>
      <c r="C90" t="inlineStr">
        <is>
          <t>Douala</t>
        </is>
      </c>
      <c r="D90" t="inlineStr">
        <is>
          <t>IHS</t>
        </is>
      </c>
      <c r="E90" t="inlineStr">
        <is>
          <t>Grid-Gen</t>
        </is>
      </c>
      <c r="F90" t="inlineStr">
        <is>
          <t>LITTORAL</t>
        </is>
      </c>
      <c r="G90" t="inlineStr">
        <is>
          <t>Douala</t>
        </is>
      </c>
      <c r="H90" t="inlineStr">
        <is>
          <t>ZTE</t>
        </is>
      </c>
      <c r="I90" t="n">
        <v>0</v>
      </c>
      <c r="J90" t="n">
        <v>46.88931265034971</v>
      </c>
      <c r="K90" t="n">
        <v>13.86855689960706</v>
      </c>
      <c r="L90" t="n">
        <v>35.69143388322447</v>
      </c>
      <c r="M90" t="n">
        <v>33.37786752389187</v>
      </c>
      <c r="N90" t="n">
        <v>32.37293622531563</v>
      </c>
      <c r="O90" t="n">
        <v>27.54062241806665</v>
      </c>
      <c r="P90" t="n">
        <v>0</v>
      </c>
      <c r="Q90" t="n">
        <v>13.86855689960706</v>
      </c>
      <c r="R90" t="inlineStr">
        <is>
          <t>Operationnel</t>
        </is>
      </c>
      <c r="S90" t="inlineStr"/>
      <c r="T90" t="inlineStr"/>
      <c r="U90" t="inlineStr"/>
      <c r="V90" t="inlineStr"/>
      <c r="W90" t="inlineStr"/>
      <c r="X90" t="inlineStr">
        <is>
          <t xml:space="preserve">{05-25-2026 top offenders}: 26/05/2026 Apres verification  de cds probleme sur le port FME en route ETA=
24/05/2026 Nous constatons l'indisponibilité de PK5 dû à la coupure de l'AOF CITE-DE-LA-PAIX----PK5.
Merci d'impacter CDS pour prise en charge et correction. CDS activé      ;    {05-25-2026 ocm ran 22H}: 24/05/2026 Nous constatons l'indisponibilité de PK5 dû à la coupure de l'AOF CITE-DE-LA-PAIX----PK5.
Merci d'impacter CDS pour prise en charge et correction. CDS activé      ;    {05-25-2026 ocm ran 17H}: 24/05/2026 Nous constatons l'indisponibilité de PK5 dû à la coupure de l'AOF CITE-DE-LA-PAIX----PK5.
Merci d'impacter CDS pour prise en charge et correction. CDS activé </t>
        </is>
      </c>
      <c r="Y90" t="inlineStr">
        <is>
          <t>26/05/2026 Apres verification de cds probleme sur le port FME en route ETA=
24/05/2026 Nous constatons l'indisponibilité de PK5 dû à la coupure de l'AOF CITE-DE-LA-PAIX----PK5.
Merci d'impacter CDS pour prise en charge et correction. CDS activé 24/05/2026 Nous constatons l'indisponibilité de PK5 dû à la coupure de l'AOF CITE-DE-LA-PAIX----PK5.
Merci d'impacter CDS pour prise en charge et correction. CDS activé 24/05/2026 Nous constatons l'indisponibilité de PK5 dû à la coupure de l'AOF CITE-DE-LA-PAIX----PK5.
Merci d'impacter CDS pour prise en charge et correction. CDS activé</t>
        </is>
      </c>
      <c r="Z90" t="inlineStr"/>
      <c r="AA90" t="inlineStr"/>
      <c r="AB90" t="inlineStr">
        <is>
          <t xml:space="preserve">{05-25-2026 top offenders}: 26/05/2026 Apres verification  de cds probleme sur le port FME en route ETA=
24/05/2026 Nous constatons l'indisponibilité de PK5 dû à la coupure de l'AOF CITE-DE-LA-PAIX----PK5.
Merci d'impacter CDS pour prise en charge et correction. CDS activé </t>
        </is>
      </c>
      <c r="AC90" t="inlineStr"/>
      <c r="AD90" t="inlineStr"/>
      <c r="AE90" t="inlineStr"/>
      <c r="AF90" t="inlineStr"/>
      <c r="AG90" t="inlineStr"/>
      <c r="AH90" t="inlineStr"/>
      <c r="AI90" t="inlineStr"/>
      <c r="AJ90" t="inlineStr"/>
      <c r="AK90" t="inlineStr"/>
      <c r="AL90" t="inlineStr"/>
      <c r="AM90" t="inlineStr"/>
      <c r="AN90" t="inlineStr"/>
      <c r="AO90" t="inlineStr">
        <is>
          <t xml:space="preserve">{05-25-2026 ocm ran 22H}: 24/05/2026 Nous constatons l'indisponibilité de PK5 dû à la coupure de l'AOF CITE-DE-LA-PAIX----PK5.
Merci d'impacter CDS pour prise en charge et correction. CDS activé </t>
        </is>
      </c>
      <c r="AP90" t="inlineStr">
        <is>
          <t xml:space="preserve">{05-25-2026 ocm ran 17H}: 24/05/2026 Nous constatons l'indisponibilité de PK5 dû à la coupure de l'AOF CITE-DE-LA-PAIX----PK5.
Merci d'impacter CDS pour prise en charge et correction. CDS activé </t>
        </is>
      </c>
      <c r="AQ90" t="inlineStr"/>
      <c r="AR90" t="inlineStr"/>
    </row>
    <row r="91">
      <c r="A91" t="inlineStr">
        <is>
          <t>Ancien-Troisieme</t>
        </is>
      </c>
      <c r="B91" t="inlineStr">
        <is>
          <t>LIT_653</t>
        </is>
      </c>
      <c r="C91" t="inlineStr">
        <is>
          <t>Douala</t>
        </is>
      </c>
      <c r="D91" t="inlineStr">
        <is>
          <t>CAMUSAT</t>
        </is>
      </c>
      <c r="E91" t="inlineStr">
        <is>
          <t>Good Grid no GE - 8h</t>
        </is>
      </c>
      <c r="F91" t="inlineStr">
        <is>
          <t>LITTORAL</t>
        </is>
      </c>
      <c r="G91" t="inlineStr">
        <is>
          <t>Douala</t>
        </is>
      </c>
      <c r="H91" t="inlineStr">
        <is>
          <t>ZTE</t>
        </is>
      </c>
      <c r="I91" t="n">
        <v>10.48322717894719</v>
      </c>
      <c r="J91" t="n">
        <v>57.37814004388859</v>
      </c>
      <c r="K91" t="n">
        <v>29.28885478821915</v>
      </c>
      <c r="L91" t="n">
        <v>42.39497992483584</v>
      </c>
      <c r="M91" t="n">
        <v>13.86855689960706</v>
      </c>
      <c r="N91" t="n">
        <v>32.37293622531563</v>
      </c>
      <c r="O91" t="n">
        <v>27.54062241806665</v>
      </c>
      <c r="P91" t="n">
        <v>0</v>
      </c>
      <c r="Q91" t="n">
        <v>13.86855689960706</v>
      </c>
      <c r="R91" t="inlineStr">
        <is>
          <t>Operationnel</t>
        </is>
      </c>
      <c r="S91" t="inlineStr"/>
      <c r="T91" t="inlineStr"/>
      <c r="U91" t="inlineStr"/>
      <c r="V91" t="inlineStr"/>
      <c r="W91" t="inlineStr"/>
      <c r="X91" t="inlineStr">
        <is>
          <t>{05-25-2026 top offenders}: 26/05/2026 Camusat: Bad Grid phases / Eneo restoration awaited - Escalated to L4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     ;    {05-25-2026 ocm ran 22H}: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     ;    {05-25-2026 ocm ran 17H}: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t>
        </is>
      </c>
      <c r="Y91" t="inlineStr">
        <is>
          <t>26/05/2026 Camusat Bad Grid phases / Eneo restoration awaited - Escalated to L4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t>
        </is>
      </c>
      <c r="Z91" t="inlineStr"/>
      <c r="AA91" t="inlineStr"/>
      <c r="AB91" t="inlineStr">
        <is>
          <t>{05-25-2026 top offenders}: 26/05/2026 Camusat: Bad Grid phases / Eneo restoration awaited - Escalated to L4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t>
        </is>
      </c>
      <c r="AC91" t="inlineStr"/>
      <c r="AD91" t="inlineStr"/>
      <c r="AE91" t="inlineStr"/>
      <c r="AF91" t="inlineStr"/>
      <c r="AG91" t="inlineStr"/>
      <c r="AH91" t="inlineStr"/>
      <c r="AI91" t="inlineStr"/>
      <c r="AJ91" t="inlineStr"/>
      <c r="AK91" t="inlineStr"/>
      <c r="AL91" t="inlineStr"/>
      <c r="AM91" t="inlineStr"/>
      <c r="AN91" t="inlineStr"/>
      <c r="AO91" t="inlineStr">
        <is>
          <t>{05-25-2026 ocm ran 22H}: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t>
        </is>
      </c>
      <c r="AP91" t="inlineStr">
        <is>
          <t>{05-25-2026 ocm ran 17H}: 23/05/2026 Camusat: Bad Grid phases / Eneo restoration awaited - Escalated to L4
22.05.26: Camusat: Bad Grid phases / Eneo restoration awaited - Escalated to L4
22.05.26: Camusat: Bad Grid phases / Eneo restoration awaited - Escalated to L3
21.05.26: Camusat: Bad Grid phases / Eneo restoration awaited</t>
        </is>
      </c>
      <c r="AQ91" t="inlineStr"/>
      <c r="AR91" t="inlineStr"/>
    </row>
    <row r="92">
      <c r="A92" t="inlineStr">
        <is>
          <t>Nkolmintag</t>
        </is>
      </c>
      <c r="B92" t="inlineStr">
        <is>
          <t>LIT_539</t>
        </is>
      </c>
      <c r="C92" t="inlineStr">
        <is>
          <t>Douala</t>
        </is>
      </c>
      <c r="D92" t="inlineStr">
        <is>
          <t>CAMUSAT</t>
        </is>
      </c>
      <c r="E92" t="inlineStr">
        <is>
          <t>Good Grid no GE - 12h</t>
        </is>
      </c>
      <c r="F92" t="inlineStr">
        <is>
          <t>LITTORAL</t>
        </is>
      </c>
      <c r="G92" t="inlineStr">
        <is>
          <t>Douala</t>
        </is>
      </c>
      <c r="H92" t="inlineStr">
        <is>
          <t>ZTE</t>
        </is>
      </c>
      <c r="I92" t="n">
        <v>31.11227752523308</v>
      </c>
      <c r="J92" t="n">
        <v>35.73471961830079</v>
      </c>
      <c r="K92" t="n">
        <v>36.22354344482398</v>
      </c>
      <c r="L92" t="n">
        <v>40.5891604101212</v>
      </c>
      <c r="M92" t="n">
        <v>13.86855689960706</v>
      </c>
      <c r="N92" t="n">
        <v>32.37293622531563</v>
      </c>
      <c r="O92" t="n">
        <v>27.54062241806665</v>
      </c>
      <c r="P92" t="n">
        <v>0</v>
      </c>
      <c r="Q92" t="n">
        <v>13.86855689960706</v>
      </c>
      <c r="R92" t="inlineStr">
        <is>
          <t>Operationnel</t>
        </is>
      </c>
      <c r="S92" t="inlineStr"/>
      <c r="T92" t="inlineStr"/>
      <c r="U92" t="inlineStr"/>
      <c r="V92" t="inlineStr"/>
      <c r="W92" t="inlineStr"/>
      <c r="X92" t="inlineStr">
        <is>
          <t>{05-25-2026 top offenders}: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    {05/25/2026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    {05/25/2026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    {05/25/2026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    {05-25-2026 ocm ran 22H}: 23.05.26: Grid outage, Grid only site / Grid return awaited - Escalated to L2
22.05.26: Grid outage, Grid only site / Grid return awaited - Escalated to L2
21/05/2026 Grid outage, Grid only site / Grid return awaited     ;    {05-25-2026 ocm ran 17H}: 23.05.26: Grid outage, Grid only site / Grid return awaited - Escalated to L2
22.05.26: Grid outage, Grid only site / Grid return awaited - Escalated to L2
21/05/2026 Grid outage, Grid only site / Grid return awaited</t>
        </is>
      </c>
      <c r="Y92" t="inlineStr">
        <is>
          <t>22/05/2026 En attente du Feedback de Camusat || Point suivi avec la Team Socadel.
21/05/2026 Escalade faite du cote de Camusat || En attente de leur feedback
12/05/2026 Power issue || Mail sent to camusat || Feedback Camusat Mauvaises phases AC et Grid only site. Point suivi et escaladé à la Team SOCADEL. 22/05/2026 En attente du Feedback de Camusat || Point suivi avec la Team Socadel.
21/05/2026 Escalade faite du cote de Camusat || En attente de leur feedback
12/05/2026 Power issue || Mail sent to camusat || Feedback Camusat Mauvaises phases AC et Grid only site. Point suivi et escaladé à la Team SOCADEL. 22/05/2026 En attente du Feedback de Camusat || Point suivi avec la Team Socadel.
21/05/2026 Escalade faite du cote de Camusat || En attente de leur feedback
12/05/2026 Power issue || Mail sent to camusat || Feedback Camusat Mauvaises phases AC et Grid only site. Point suivi et escaladé à la Team SOCADEL. 22/05/2026 En attente du Feedback de Camusat || Point suivi avec la Team Socadel.
21/05/2026 Escalade faite du cote de Camusat || En attente de leur feedback
12/05/2026 Power issue || Mail sent to camusat || Feedback Camusat Mauvaises phases AC et Grid only site. Point suivi et escaladé à la Team SOCADEL. 23.05.26 Grid outage, Grid only site / Grid return awaited - Escalated to L2
22.05.26 Grid outage, Grid only site / Grid return awaited - Escalated to L2
21/05/2026 Grid outage, Grid only site / Grid return awaited 23.05.26 Grid outage, Grid only site / Grid return awaited - Escalated to L2
22.05.26 Grid outage, Grid only site / Grid return awaited - Escalated to L2
21/05/2026 Grid outage, Grid only site / Grid return awaited</t>
        </is>
      </c>
      <c r="Z92" t="inlineStr"/>
      <c r="AA92" t="inlineStr"/>
      <c r="AB92" t="inlineStr">
        <is>
          <t xml:space="preserve">{05-25-2026 top offenders}: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t>
        </is>
      </c>
      <c r="AC92" t="inlineStr"/>
      <c r="AD92" t="inlineStr"/>
      <c r="AE92" t="inlineStr"/>
      <c r="AF92" t="inlineStr"/>
      <c r="AG92" t="inlineStr"/>
      <c r="AH92" t="inlineStr"/>
      <c r="AI92" t="inlineStr">
        <is>
          <t xml:space="preserve">{05/25/2026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t>
        </is>
      </c>
      <c r="AJ92" t="inlineStr">
        <is>
          <t xml:space="preserve">{05/25/2026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t>
        </is>
      </c>
      <c r="AK92" t="inlineStr">
        <is>
          <t xml:space="preserve">{05/25/2026 cell zte}: 22/05/2026 : En attente du Feedback de Camusat ||Point suivi avec la Team Socadel.
21/05/2026 : Escalade faite du cote de Camusat || En attente de leur feedback 
12/05/2026 : Power issue || Mail sent to camusat || Feedback Camusat : Mauvaises phases AC et Grid only site. Point suivi et escaladé à la Team SOCADEL. </t>
        </is>
      </c>
      <c r="AL92" t="inlineStr"/>
      <c r="AM92" t="inlineStr"/>
      <c r="AN92" t="inlineStr"/>
      <c r="AO92" t="inlineStr">
        <is>
          <t>{05-25-2026 ocm ran 22H}: 23.05.26: Grid outage, Grid only site / Grid return awaited - Escalated to L2
22.05.26: Grid outage, Grid only site / Grid return awaited - Escalated to L2
21/05/2026 Grid outage, Grid only site / Grid return awaited</t>
        </is>
      </c>
      <c r="AP92" t="inlineStr">
        <is>
          <t>{05-25-2026 ocm ran 17H}: 23.05.26: Grid outage, Grid only site / Grid return awaited - Escalated to L2
22.05.26: Grid outage, Grid only site / Grid return awaited - Escalated to L2
21/05/2026 Grid outage, Grid only site / Grid return awaited</t>
        </is>
      </c>
      <c r="AQ92" t="inlineStr"/>
      <c r="AR92" t="inlineStr"/>
    </row>
    <row r="93">
      <c r="A93" t="inlineStr">
        <is>
          <t>Moulanga</t>
        </is>
      </c>
      <c r="B93" t="inlineStr">
        <is>
          <t>LIT_670</t>
        </is>
      </c>
      <c r="C93" t="inlineStr">
        <is>
          <t>LITTORAL</t>
        </is>
      </c>
      <c r="D93" t="inlineStr">
        <is>
          <t>CAMUSAT</t>
        </is>
      </c>
      <c r="E93" t="inlineStr">
        <is>
          <t>Good Grid + GE</t>
        </is>
      </c>
      <c r="F93" t="inlineStr">
        <is>
          <t>LITTORAL</t>
        </is>
      </c>
      <c r="G93" t="inlineStr">
        <is>
          <t>Moulanga</t>
        </is>
      </c>
      <c r="H93" t="inlineStr">
        <is>
          <t>ZTE</t>
        </is>
      </c>
      <c r="I93" t="n">
        <v>13.86855689960706</v>
      </c>
      <c r="J93" t="n">
        <v>13.86855689960706</v>
      </c>
      <c r="K93" t="n">
        <v>13.86855689960706</v>
      </c>
      <c r="L93" t="n">
        <v>13.86855689960706</v>
      </c>
      <c r="M93" t="n">
        <v>13.86855689960706</v>
      </c>
      <c r="N93" t="n">
        <v>32.37293622531563</v>
      </c>
      <c r="O93" t="n">
        <v>27.54062241806665</v>
      </c>
      <c r="P93" t="n">
        <v>0</v>
      </c>
      <c r="Q93" t="n">
        <v>13.86855689960706</v>
      </c>
      <c r="R93" t="inlineStr">
        <is>
          <t>Operationnel</t>
        </is>
      </c>
      <c r="S93" t="inlineStr"/>
      <c r="T93" t="inlineStr"/>
      <c r="U93" t="inlineStr"/>
      <c r="V93" t="inlineStr"/>
      <c r="W93" t="inlineStr"/>
      <c r="X93" t="inlineStr">
        <is>
          <t>{05-25-2026 top offenders}: Impacted by SUO_061_Z_Bekoko-MTN (TX issue)     ;    {05-25-2026 retour CAMUSAT}: No power issue      ;    {05-25-2026 ocm ran 22H}: Impacted by SUO_061_Z_Bekoko-MTN (TX issue)     ;    {05-25-2026 ocm ran 17H}: Impacted by SUO_061_Z_Bekoko-MTN (TX issue)</t>
        </is>
      </c>
      <c r="Y93" t="inlineStr">
        <is>
          <t>Impacted by SUO_061_Z_Bekoko-MTN (TX issue) No power issue Impacted by SUO_061_Z_Bekoko-MTN (TX issue) Impacted by SUO_061_Z_Bekoko-MTN (TX issue)</t>
        </is>
      </c>
      <c r="Z93" t="inlineStr"/>
      <c r="AA93" t="inlineStr"/>
      <c r="AB93" t="inlineStr">
        <is>
          <t>{05-25-2026 top offenders}: Impacted by SUO_061_Z_Bekoko-MTN (TX issue)</t>
        </is>
      </c>
      <c r="AC93" t="inlineStr">
        <is>
          <t xml:space="preserve">{05-25-2026 retour CAMUSAT}: No power issue </t>
        </is>
      </c>
      <c r="AD93" t="inlineStr"/>
      <c r="AE93" t="inlineStr"/>
      <c r="AF93" t="inlineStr"/>
      <c r="AG93" t="inlineStr"/>
      <c r="AH93" t="inlineStr"/>
      <c r="AI93" t="inlineStr"/>
      <c r="AJ93" t="inlineStr"/>
      <c r="AK93" t="inlineStr"/>
      <c r="AL93" t="inlineStr"/>
      <c r="AM93" t="inlineStr"/>
      <c r="AN93" t="inlineStr"/>
      <c r="AO93" t="inlineStr">
        <is>
          <t>{05-25-2026 ocm ran 22H}: Impacted by SUO_061_Z_Bekoko-MTN (TX issue)</t>
        </is>
      </c>
      <c r="AP93" t="inlineStr">
        <is>
          <t>{05-25-2026 ocm ran 17H}: Impacted by SUO_061_Z_Bekoko-MTN (TX issue)</t>
        </is>
      </c>
      <c r="AQ93" t="inlineStr"/>
      <c r="AR93" t="inlineStr"/>
    </row>
    <row r="94">
      <c r="A94" t="inlineStr">
        <is>
          <t>Bekoko-MTN</t>
        </is>
      </c>
      <c r="B94" t="inlineStr">
        <is>
          <t>SUO_061</t>
        </is>
      </c>
      <c r="C94" t="inlineStr">
        <is>
          <t>LITTORAL</t>
        </is>
      </c>
      <c r="D94" t="inlineStr">
        <is>
          <t>IHS</t>
        </is>
      </c>
      <c r="E94" t="inlineStr">
        <is>
          <t>Grid-Gen</t>
        </is>
      </c>
      <c r="F94" t="inlineStr">
        <is>
          <t>SUD-OUEST</t>
        </is>
      </c>
      <c r="G94" t="inlineStr">
        <is>
          <t>Bekoko</t>
        </is>
      </c>
      <c r="H94" t="inlineStr">
        <is>
          <t>ZTE</t>
        </is>
      </c>
      <c r="I94" t="n">
        <v>13.86855689960706</v>
      </c>
      <c r="J94" t="n">
        <v>13.86855689960706</v>
      </c>
      <c r="K94" t="n">
        <v>13.86855689960706</v>
      </c>
      <c r="L94" t="n">
        <v>13.86855689960706</v>
      </c>
      <c r="M94" t="n">
        <v>13.86855689960706</v>
      </c>
      <c r="N94" t="n">
        <v>32.37293622531563</v>
      </c>
      <c r="O94" t="n">
        <v>27.54062241806665</v>
      </c>
      <c r="P94" t="n">
        <v>0</v>
      </c>
      <c r="Q94" t="n">
        <v>13.86855689960706</v>
      </c>
      <c r="R94" t="inlineStr">
        <is>
          <t>Operationnel</t>
        </is>
      </c>
      <c r="S94" t="inlineStr"/>
      <c r="T94" t="inlineStr"/>
      <c r="U94" t="inlineStr"/>
      <c r="V94" t="inlineStr"/>
      <c r="W94" t="inlineStr"/>
      <c r="X94" t="inlineStr">
        <is>
          <t>{05-25-2026 top offenders}: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     ;    {05-25-2026 retour IHS}: IHS     ;    {05-25-2026 ocm ran 22H}: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     ;    {05-25-2026 ocm ran 17H}: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t>
        </is>
      </c>
      <c r="Y94" t="inlineStr">
        <is>
          <t>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 IHS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t>
        </is>
      </c>
      <c r="Z94" t="inlineStr"/>
      <c r="AA94" t="inlineStr"/>
      <c r="AB94" t="inlineStr">
        <is>
          <t>{05-25-2026 top offenders}: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t>
        </is>
      </c>
      <c r="AC94" t="inlineStr"/>
      <c r="AD94" t="inlineStr">
        <is>
          <t>{05-25-2026 retour IHS}: IHS</t>
        </is>
      </c>
      <c r="AE94" t="inlineStr"/>
      <c r="AF94" t="inlineStr"/>
      <c r="AG94" t="inlineStr"/>
      <c r="AH94" t="inlineStr"/>
      <c r="AI94" t="inlineStr"/>
      <c r="AJ94" t="inlineStr"/>
      <c r="AK94" t="inlineStr"/>
      <c r="AL94" t="inlineStr"/>
      <c r="AM94" t="inlineStr"/>
      <c r="AN94" t="inlineStr"/>
      <c r="AO94" t="inlineStr">
        <is>
          <t>{05-25-2026 ocm ran 22H}: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t>
        </is>
      </c>
      <c r="AP94" t="inlineStr">
        <is>
          <t>{05-25-2026 ocm ran 17H}: 23/05/2026 ODU( 3DB20859AC) Pas disponible chez Huawei. Commande passee a OCM
22/052/2026 ODU( 3DB20859AC) Pas disponible chez Huawei. Commande passee a OCM
21/052/2026 ODU( 3DB20859AC) Pas disponible chez Huawei. Commande passee a OCM
18.05.2026: ODU( 3DB20859AC) Pas disponible chez Huawei. Commande passee a OCM
16.05.26: Commande ODU passée et vérifications du SPM en cours
15/05/2026 ODU 3DB20858AC en defaut commande en cours 
15/05/2026 FME pascala sur site ODU faulty commande en cours 
14/05/2026 FME pascala activé 
 Besoin d'un FME sur site pour tshoot avec le BO TX</t>
        </is>
      </c>
      <c r="AQ94" t="inlineStr"/>
      <c r="AR94" t="inlineStr"/>
    </row>
    <row r="95">
      <c r="A95" t="inlineStr">
        <is>
          <t>Kondengui</t>
        </is>
      </c>
      <c r="B95" t="inlineStr">
        <is>
          <t>CTR_040</t>
        </is>
      </c>
      <c r="C95" t="inlineStr">
        <is>
          <t>Yaounde</t>
        </is>
      </c>
      <c r="D95" t="inlineStr">
        <is>
          <t>IHS</t>
        </is>
      </c>
      <c r="E95" t="inlineStr">
        <is>
          <t>Grid-Gen</t>
        </is>
      </c>
      <c r="F95" t="inlineStr">
        <is>
          <t>CENTRE</t>
        </is>
      </c>
      <c r="G95" t="inlineStr">
        <is>
          <t>Yaounde</t>
        </is>
      </c>
      <c r="H95" t="inlineStr">
        <is>
          <t>ZTE</t>
        </is>
      </c>
      <c r="I95" t="n">
        <v>13.86855689960706</v>
      </c>
      <c r="J95" t="n">
        <v>13.86855689960706</v>
      </c>
      <c r="K95" t="n">
        <v>13.86855689960706</v>
      </c>
      <c r="L95" t="n">
        <v>13.86855689960706</v>
      </c>
      <c r="M95" t="n">
        <v>13.86855689960706</v>
      </c>
      <c r="N95" t="n">
        <v>32.37293622531563</v>
      </c>
      <c r="O95" t="n">
        <v>27.54062241806665</v>
      </c>
      <c r="P95" t="n">
        <v>0</v>
      </c>
      <c r="Q95" t="n">
        <v>13.86855689960706</v>
      </c>
      <c r="R95" t="inlineStr">
        <is>
          <t>Operationnel</t>
        </is>
      </c>
      <c r="S95" t="inlineStr"/>
      <c r="T95" t="inlineStr"/>
      <c r="U95" t="inlineStr"/>
      <c r="V95" t="inlineStr"/>
      <c r="W95" t="inlineStr"/>
      <c r="X95" t="inlineStr">
        <is>
          <t>{05-25-2026 top offenders}: 26/05/2026 ODU 3DB29215AC faulty Disponible a bafoussam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     ;    {05-25-2026 ocm ran 22H}: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     ;    {05-25-2026 ocm ran 17H}: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t>
        </is>
      </c>
      <c r="Y95" t="inlineStr">
        <is>
          <t>26/05/2026 ODU 3DB29215AC faulty Disponible a bafoussam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t>
        </is>
      </c>
      <c r="Z95" t="inlineStr"/>
      <c r="AA95" t="inlineStr"/>
      <c r="AB95" t="inlineStr">
        <is>
          <t>{05-25-2026 top offenders}: 26/05/2026 ODU 3DB29215AC faulty Disponible a bafoussam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t>
        </is>
      </c>
      <c r="AC95" t="inlineStr"/>
      <c r="AD95" t="inlineStr"/>
      <c r="AE95" t="inlineStr"/>
      <c r="AF95" t="inlineStr"/>
      <c r="AG95" t="inlineStr"/>
      <c r="AH95" t="inlineStr"/>
      <c r="AI95" t="inlineStr"/>
      <c r="AJ95" t="inlineStr"/>
      <c r="AK95" t="inlineStr"/>
      <c r="AL95" t="inlineStr"/>
      <c r="AM95" t="inlineStr"/>
      <c r="AN95" t="inlineStr"/>
      <c r="AO95" t="inlineStr">
        <is>
          <t>{05-25-2026 ocm ran 22H}: 25.05.26: ODU 3DB29215AC faulty, commande en cours, update ASAP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t>
        </is>
      </c>
      <c r="AP95" t="inlineStr">
        <is>
          <t>{05-25-2026 ocm ran 17H}: 22.05.26: Sera expédié vers Yaoundé ce jour, ETD 23-May
21/05/2026  ODU faulty mais en cours de test. Finalisation des tests ce 21.05.26
20.05.26: ODU faulty mais en cours de test. Finalisation des tests ce 21.05.26
19.05.26: ODU disponible mais en cours de test
18.05.2026: Spare pas disponible dans le WH AFRO. Commande passee par mail au SPM
17.05.2026: ODU Faulty Commande en Cours. Update ASAP
17.05.2026: FME Henry en route pour le site ETA=1H
16.05.26: Était impacté par Emombo-Tchad. Check des connectiques de l'ODU en hauteur ce 17.05.26 (Henri Kenfack)
Impacted by CTR_417_Z_Emombo-Tchad (Power issue)</t>
        </is>
      </c>
      <c r="AQ95" t="inlineStr"/>
      <c r="AR95" t="inlineStr"/>
    </row>
    <row r="96">
      <c r="A96" t="inlineStr">
        <is>
          <t>Mimboman-Ecole</t>
        </is>
      </c>
      <c r="B96" t="inlineStr">
        <is>
          <t>CTR_422</t>
        </is>
      </c>
      <c r="C96" t="inlineStr">
        <is>
          <t>Yaounde</t>
        </is>
      </c>
      <c r="D96" t="inlineStr">
        <is>
          <t>IHS</t>
        </is>
      </c>
      <c r="E96" t="inlineStr">
        <is>
          <t>Grid-Gen</t>
        </is>
      </c>
      <c r="F96" t="inlineStr">
        <is>
          <t>CENTRE</t>
        </is>
      </c>
      <c r="G96" t="inlineStr">
        <is>
          <t>Yaounde</t>
        </is>
      </c>
      <c r="H96" t="inlineStr">
        <is>
          <t>ZTE</t>
        </is>
      </c>
      <c r="I96" t="n">
        <v>13.86855689960706</v>
      </c>
      <c r="J96" t="n">
        <v>13.86855689960706</v>
      </c>
      <c r="K96" t="n">
        <v>13.86855689960706</v>
      </c>
      <c r="L96" t="n">
        <v>13.86855689960706</v>
      </c>
      <c r="M96" t="n">
        <v>13.86855689960706</v>
      </c>
      <c r="N96" t="n">
        <v>32.37293622531563</v>
      </c>
      <c r="O96" t="n">
        <v>27.54062241806665</v>
      </c>
      <c r="P96" t="n">
        <v>0</v>
      </c>
      <c r="Q96" t="n">
        <v>13.86855689960706</v>
      </c>
      <c r="R96" t="inlineStr">
        <is>
          <t>Operationnel</t>
        </is>
      </c>
      <c r="S96" t="inlineStr"/>
      <c r="T96" t="inlineStr"/>
      <c r="U96" t="inlineStr"/>
      <c r="V96" t="inlineStr"/>
      <c r="W96" t="inlineStr"/>
      <c r="X96" t="inlineStr">
        <is>
          <t>{05-25-2026 top offenders}: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     ;    {05-25-2026 ocm ran 22H}: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     ;    {05-25-2026 ocm ran 17H}: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t>
        </is>
      </c>
      <c r="Y96" t="inlineStr">
        <is>
          <t>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FME Eloundou activé pour investigations, update ASAP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FME Eloundou activé pour investigations, update ASAP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FME Eloundou activé pour investigations, update ASAP</t>
        </is>
      </c>
      <c r="Z96" t="inlineStr"/>
      <c r="AA96" t="inlineStr"/>
      <c r="AB96" t="inlineStr">
        <is>
          <t>{05-25-2026 top offenders}: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t>
        </is>
      </c>
      <c r="AC96" t="inlineStr"/>
      <c r="AD96" t="inlineStr"/>
      <c r="AE96" t="inlineStr"/>
      <c r="AF96" t="inlineStr"/>
      <c r="AG96" t="inlineStr"/>
      <c r="AH96" t="inlineStr"/>
      <c r="AI96" t="inlineStr"/>
      <c r="AJ96" t="inlineStr"/>
      <c r="AK96" t="inlineStr"/>
      <c r="AL96" t="inlineStr"/>
      <c r="AM96" t="inlineStr"/>
      <c r="AN96" t="inlineStr"/>
      <c r="AO96" t="inlineStr">
        <is>
          <t>{05-25-2026 ocm ran 22H}: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t>
        </is>
      </c>
      <c r="AP96" t="inlineStr">
        <is>
          <t>{05-25-2026 ocm ran 17H}: 23.05.26: Chassis MSS8 reçu faulty, commande passée à OCM
22.05.26: Chassis MSS8 reçu faulty, commande passée à OCM
21.05.26: Chassis MSS8 reçu faulty, commande passée à OCM
20.05.26: Chassis MSS8 reçu faulty, commande passée à OCM
19.05.26: Chassis MSS8 reçu faulty, nouvelle commande en cours et update ASAP
19/05/2026 Suite des travaux ce jour, test du chassis en cours sur un autre site, update ASAP
18.05.26: Chassis reçu ce jour et remplacement ce 18.05.26, ETA=16H UTC
15/05/2026 chassis MSS8(3DB18485EAAA01) pas disponible point transmis OCM 
14/05/2026 chassis MSS8(3DB18485EAAA01) pas disponible point transmis OCM 
13/05/2026 chassis MSS8(3DB18485EAAA01) pas disponible point transmis OCM 
12.05.2026: Apres test des cartes ailleur, il en ressort que le chassis MSS8(3DB18485EAAA01) est faulty Commande en cours
12.05.2026: FME Sur site nous remonte un probable dfaut de carte core Evo 1G. Pour confirmer il faut effectuer les test sur le site de Emombo. Le FME EST EN ROUTE ETA=1H
12/05/2026 FME sur site intervention en cours 
12.05.2026: FME Bertrand en route ETA=20 Minutes
11.05.26: Power issue solved but site remains down. Need FME on site to check MPR status; CM-20260511-00006359; FME Eloundou activé pour investigations, update ASAP</t>
        </is>
      </c>
      <c r="AQ96" t="inlineStr"/>
      <c r="AR96" t="inlineStr"/>
    </row>
    <row r="97">
      <c r="A97" t="inlineStr">
        <is>
          <t>CTR_942_Z_Mbankolo-II</t>
        </is>
      </c>
      <c r="B97" t="inlineStr">
        <is>
          <t>CTR_942</t>
        </is>
      </c>
      <c r="C97" t="inlineStr">
        <is>
          <t>Yaounde</t>
        </is>
      </c>
      <c r="D97" t="inlineStr">
        <is>
          <t>ESCO</t>
        </is>
      </c>
      <c r="E97" t="inlineStr">
        <is>
          <t>Medium Grid + GE</t>
        </is>
      </c>
      <c r="F97" t="inlineStr">
        <is>
          <t>CTR</t>
        </is>
      </c>
      <c r="G97" t="inlineStr">
        <is>
          <t>Yaoundé</t>
        </is>
      </c>
      <c r="H97" t="inlineStr">
        <is>
          <t>ZTE</t>
        </is>
      </c>
      <c r="I97" t="n">
        <v>13.86855689960706</v>
      </c>
      <c r="J97" t="n">
        <v>13.86855689960706</v>
      </c>
      <c r="K97" t="n">
        <v>13.86855689960706</v>
      </c>
      <c r="L97" t="n">
        <v>13.86855689960706</v>
      </c>
      <c r="M97" t="n">
        <v>13.86855689960706</v>
      </c>
      <c r="N97" t="n">
        <v>32.37293622531563</v>
      </c>
      <c r="O97" t="n">
        <v>27.54062241806665</v>
      </c>
      <c r="P97" t="n">
        <v>0</v>
      </c>
      <c r="Q97" t="n">
        <v>13.86855689960706</v>
      </c>
      <c r="R97" t="inlineStr">
        <is>
          <t>Operationnel</t>
        </is>
      </c>
      <c r="S97" t="inlineStr"/>
      <c r="T97" t="inlineStr"/>
      <c r="U97" t="inlineStr"/>
      <c r="V97" t="inlineStr"/>
      <c r="W97" t="inlineStr"/>
      <c r="X97" t="inlineStr">
        <is>
          <t>{05-25-2026 top offenders}: 26/05/2026  Problème d'accès pour loyer impayé. Descente déjà effectuée par Camusat et l'huissier  Escalated to L4 Site a relocalisé.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     ;    {05-25-2026 ocm ran 22H}: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     ;    {05-25-2026 ocm ran 17H}: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t>
        </is>
      </c>
      <c r="Y97" t="inlineStr">
        <is>
          <t>26/05/2026 Problème d'accès pour loyer impayé. Descente déjà effectuée par Camusat et l'huissier Escalated to L4 Site a relocalisé.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t>
        </is>
      </c>
      <c r="Z97" t="inlineStr"/>
      <c r="AA97" t="inlineStr"/>
      <c r="AB97" t="inlineStr">
        <is>
          <t>{05-25-2026 top offenders}: 26/05/2026  Problème d'accès pour loyer impayé. Descente déjà effectuée par Camusat et l'huissier  Escalated to L4 Site a relocalisé.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t>
        </is>
      </c>
      <c r="AC97" t="inlineStr"/>
      <c r="AD97" t="inlineStr"/>
      <c r="AE97" t="inlineStr"/>
      <c r="AF97" t="inlineStr"/>
      <c r="AG97" t="inlineStr"/>
      <c r="AH97" t="inlineStr"/>
      <c r="AI97" t="inlineStr"/>
      <c r="AJ97" t="inlineStr"/>
      <c r="AK97" t="inlineStr"/>
      <c r="AL97" t="inlineStr"/>
      <c r="AM97" t="inlineStr"/>
      <c r="AN97" t="inlineStr"/>
      <c r="AO97" t="inlineStr">
        <is>
          <t>{05-25-2026 ocm ran 22H}: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t>
        </is>
      </c>
      <c r="AP97" t="inlineStr">
        <is>
          <t>{05-25-2026 ocm ran 17H}: 23/05/2026  Problème d'accès pour loyer impayé. Descente déjà effectuée par Camusat et l'huissier  Escalated to L4 Site a relocalisé.
22/05/2026  Problème d'accès pour loyer impayé. Descente déjà effectuée par Camusat et l'huissier  Escalated to L4 Site a relocalisé.
21/05/2026  Problème d'accès pour loyer impayé. Descente déjà effectuée par Camusat et l'huissier  Escalated to L3
19/05/2026 Problème d'accès pour loyer impayé. Descente déjà effectuée par Camusat et l'huissier  Escalated to L3
18.05.26: Problème d'accès pour loyer impayé. Descente déjà effectuée par Camusat et l'huissier
16.05.26: Probleme d'accès sur site pour paiement du loyer sur 7 ans, constat en cours sur site - Escalated to L3
15/05/2026 probleme d'accès sur site pour paiement du loyer sur 7 ans, constat en cours sur site 
15/05/2026 Grid outage and  gen cannot be started due to noise pollution / Grid return awaited</t>
        </is>
      </c>
      <c r="AQ97" t="inlineStr"/>
      <c r="AR97" t="inlineStr"/>
    </row>
    <row r="98">
      <c r="A98" t="inlineStr">
        <is>
          <t>Biyem-assi-Stade</t>
        </is>
      </c>
      <c r="B98" t="inlineStr">
        <is>
          <t>CTR_489</t>
        </is>
      </c>
      <c r="C98" t="inlineStr">
        <is>
          <t>Yaounde</t>
        </is>
      </c>
      <c r="D98" t="inlineStr">
        <is>
          <t>IHS</t>
        </is>
      </c>
      <c r="E98" t="inlineStr">
        <is>
          <t>Grid-Lithium</t>
        </is>
      </c>
      <c r="F98" t="inlineStr">
        <is>
          <t>CENTRE</t>
        </is>
      </c>
      <c r="G98" t="inlineStr">
        <is>
          <t>Yaounde</t>
        </is>
      </c>
      <c r="H98" t="inlineStr">
        <is>
          <t>ZTE</t>
        </is>
      </c>
      <c r="I98" t="n">
        <v>2.360294264524174</v>
      </c>
      <c r="J98" t="n">
        <v>0</v>
      </c>
      <c r="K98" t="n">
        <v>17.27336252578952</v>
      </c>
      <c r="L98" t="n">
        <v>7.358253931564663</v>
      </c>
      <c r="M98" t="n">
        <v>13.86855689960706</v>
      </c>
      <c r="N98" t="n">
        <v>32.37293622531563</v>
      </c>
      <c r="O98" t="n">
        <v>27.54062241806665</v>
      </c>
      <c r="P98" t="n">
        <v>0</v>
      </c>
      <c r="Q98" t="n">
        <v>13.86855689960706</v>
      </c>
      <c r="R98" t="inlineStr">
        <is>
          <t>Operationnel</t>
        </is>
      </c>
      <c r="S98" t="inlineStr"/>
      <c r="T98" t="inlineStr"/>
      <c r="U98" t="inlineStr"/>
      <c r="V98" t="inlineStr"/>
      <c r="W98" t="inlineStr"/>
      <c r="X98" t="inlineStr">
        <is>
          <t>{05-25-2026 top offenders}: 26/05/2026 AOF CTR_489_Z_Biyem-assi-Stade&lt;&gt;Niki-Accacia down, CDS activé ETR=12H UTC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     ;    {05-25-2026 ocm ran 22H}: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     ;    {05-25-2026 ocm ran 17H}: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t>
        </is>
      </c>
      <c r="Y98" t="inlineStr">
        <is>
          <t>26/05/2026 AOF CTR_489_Z_Biyem-assi-Stade&lt;&gt;Niki-Accacia down, CDS activé ETR=12H UTC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t>
        </is>
      </c>
      <c r="Z98" t="inlineStr"/>
      <c r="AA98" t="inlineStr"/>
      <c r="AB98" t="inlineStr">
        <is>
          <t>{05-25-2026 top offenders}: 26/05/2026 AOF CTR_489_Z_Biyem-assi-Stade&lt;&gt;Niki-Accacia down, CDS activé ETR=12H UTC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t>
        </is>
      </c>
      <c r="AC98" t="inlineStr"/>
      <c r="AD98" t="inlineStr"/>
      <c r="AE98" t="inlineStr"/>
      <c r="AF98" t="inlineStr"/>
      <c r="AG98" t="inlineStr"/>
      <c r="AH98" t="inlineStr"/>
      <c r="AI98" t="inlineStr"/>
      <c r="AJ98" t="inlineStr"/>
      <c r="AK98" t="inlineStr"/>
      <c r="AL98" t="inlineStr"/>
      <c r="AM98" t="inlineStr"/>
      <c r="AN98" t="inlineStr"/>
      <c r="AO98" t="inlineStr">
        <is>
          <t>{05-25-2026 ocm ran 22H}: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t>
        </is>
      </c>
      <c r="AP98" t="inlineStr">
        <is>
          <t>{05-25-2026 ocm ran 17H}: 25.05.26: AOF CTR_489_Z_Biyem-assi-Stade&lt;&gt;Niki-Accacia down, CDS activé pour investigations
23.05.26:  Grid outage, no space to deploy MDG, awaiting grid return - Escalated to L3
22.05.26: Grid outage, no space to deploy MDG, awaiting grid return - Escalated to L3
21/05/2026 Grid outage, no space to deploy MDG, awaiting grid return</t>
        </is>
      </c>
      <c r="AQ98" t="inlineStr"/>
      <c r="AR98" t="inlineStr"/>
    </row>
    <row r="99">
      <c r="A99" t="inlineStr">
        <is>
          <t>Kousseri-II</t>
        </is>
      </c>
      <c r="B99" t="inlineStr">
        <is>
          <t>EXN_194</t>
        </is>
      </c>
      <c r="C99" t="inlineStr">
        <is>
          <t>EXTREME-NORD</t>
        </is>
      </c>
      <c r="D99" t="inlineStr">
        <is>
          <t>CAMUSAT</t>
        </is>
      </c>
      <c r="E99" t="inlineStr">
        <is>
          <t>Bad Grid + GE</t>
        </is>
      </c>
      <c r="F99" t="inlineStr">
        <is>
          <t>EXTREME-NORD</t>
        </is>
      </c>
      <c r="G99" t="inlineStr">
        <is>
          <t>Kousseri</t>
        </is>
      </c>
      <c r="H99" t="inlineStr">
        <is>
          <t>Huawei</t>
        </is>
      </c>
      <c r="I99" t="n">
        <v>5.964424725981857</v>
      </c>
      <c r="J99" t="n">
        <v>7.024399100541329</v>
      </c>
      <c r="K99" t="n">
        <v>25.76696187288297</v>
      </c>
      <c r="L99" t="n">
        <v>13.86855689960706</v>
      </c>
      <c r="M99" t="n">
        <v>10.26942026007825</v>
      </c>
      <c r="N99" t="n">
        <v>32.37293622531563</v>
      </c>
      <c r="O99" t="n">
        <v>27.54062241806665</v>
      </c>
      <c r="P99" t="n">
        <v>0</v>
      </c>
      <c r="Q99" t="n">
        <v>13.86855689960706</v>
      </c>
      <c r="R99" t="inlineStr">
        <is>
          <t>Insecurity</t>
        </is>
      </c>
      <c r="S99" t="inlineStr"/>
      <c r="T99" t="inlineStr"/>
      <c r="U99" t="inlineStr"/>
      <c r="V99" t="inlineStr"/>
      <c r="W99" t="inlineStr"/>
      <c r="X9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ocm ran 22H}: 25.05.26: Camusat: Access issue due to landlord     ;    {05-25-2026 ocm ran 17H}: 25.05.26: Camusat: Access issue due to landlord</t>
        </is>
      </c>
      <c r="Y99"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25.05.26 Camusat Access issue due to landlord 25.05.26 Camusat Access issue due to landlord</t>
        </is>
      </c>
      <c r="Z99" t="inlineStr"/>
      <c r="AA9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99" t="inlineStr"/>
      <c r="AC99" t="inlineStr"/>
      <c r="AD99" t="inlineStr"/>
      <c r="AE99" t="inlineStr"/>
      <c r="AF99" t="inlineStr"/>
      <c r="AG99" t="inlineStr"/>
      <c r="AH99" t="inlineStr"/>
      <c r="AI99" t="inlineStr"/>
      <c r="AJ99" t="inlineStr"/>
      <c r="AK99" t="inlineStr"/>
      <c r="AL99" t="inlineStr"/>
      <c r="AM99" t="inlineStr"/>
      <c r="AN99" t="inlineStr"/>
      <c r="AO99" t="inlineStr">
        <is>
          <t>{05-25-2026 ocm ran 22H}: 25.05.26: Camusat: Access issue due to landlord</t>
        </is>
      </c>
      <c r="AP99" t="inlineStr">
        <is>
          <t>{05-25-2026 ocm ran 17H}: 25.05.26: Camusat: Access issue due to landlord</t>
        </is>
      </c>
      <c r="AQ99" t="inlineStr"/>
      <c r="AR99" t="inlineStr"/>
    </row>
    <row r="100">
      <c r="A100" t="inlineStr">
        <is>
          <t>Foumbot-MTN</t>
        </is>
      </c>
      <c r="B100" t="inlineStr">
        <is>
          <t>OST_043</t>
        </is>
      </c>
      <c r="C100" t="inlineStr">
        <is>
          <t>OUEST</t>
        </is>
      </c>
      <c r="D100" t="inlineStr">
        <is>
          <t>IHS</t>
        </is>
      </c>
      <c r="E100" t="inlineStr">
        <is>
          <t>Grid-Gen</t>
        </is>
      </c>
      <c r="F100" t="inlineStr">
        <is>
          <t>OUEST</t>
        </is>
      </c>
      <c r="G100" t="inlineStr">
        <is>
          <t>Foumbot</t>
        </is>
      </c>
      <c r="H100" t="inlineStr">
        <is>
          <t>Huawei</t>
        </is>
      </c>
      <c r="I100" t="n">
        <v>0</v>
      </c>
      <c r="J100" t="n">
        <v>0</v>
      </c>
      <c r="K100" t="n">
        <v>0</v>
      </c>
      <c r="L100" t="n">
        <v>5.124018000587844</v>
      </c>
      <c r="M100" t="n">
        <v>10.07564213415974</v>
      </c>
      <c r="N100" t="n">
        <v>32.37293622531563</v>
      </c>
      <c r="O100" t="n">
        <v>27.54062241806665</v>
      </c>
      <c r="P100" t="n">
        <v>0</v>
      </c>
      <c r="Q100" t="n">
        <v>13.86855689960706</v>
      </c>
      <c r="R100" t="inlineStr">
        <is>
          <t>Operationnel</t>
        </is>
      </c>
      <c r="S100" t="inlineStr"/>
      <c r="T100" t="inlineStr"/>
      <c r="U100" t="inlineStr"/>
      <c r="V100" t="inlineStr"/>
      <c r="W100" t="inlineStr"/>
      <c r="X100" t="inlineStr">
        <is>
          <t>{05-25-2026 top offenders}: 25.05.26: Besoin d'un FME sur site pour verifier l'interco entre le MPR et la BBU S1P5; FME Wylli activé pour investigations, update ASAP     ;    {05-25-2026 ocm ran 22H}: 25.05.26: Besoin d'un FME sur site pour verifier l'interco entre le MPR et la BBU S1P5; FME Wylli activé pour investigations, update ASAP     ;    {05-25-2026 ocm ran 17H}: 25.05.26: Besoin d'un fme sur site pour verifier l'interco entre le MPR et la BBU S1P5 FME wylli activé ETA=2H</t>
        </is>
      </c>
      <c r="Y100" t="inlineStr">
        <is>
          <t>25.05.26 Besoin d'un FME sur site pour verifier l'interco entre le MPR et la BBU S1P5; FME Wylli activé pour investigations, update ASAP 25.05.26 Besoin d'un FME sur site pour verifier l'interco entre le MPR et la BBU S1P5; FME Wylli activé pour investigations, update ASAP 25.05.26 Besoin d'un fme sur site pour verifier l'interco entre le MPR et la BBU S1P5 FME wylli activé ETA=2H</t>
        </is>
      </c>
      <c r="Z100" t="inlineStr"/>
      <c r="AA100" t="inlineStr"/>
      <c r="AB100" t="inlineStr">
        <is>
          <t>{05-25-2026 top offenders}: 25.05.26: Besoin d'un FME sur site pour verifier l'interco entre le MPR et la BBU S1P5; FME Wylli activé pour investigations, update ASAP</t>
        </is>
      </c>
      <c r="AC100" t="inlineStr"/>
      <c r="AD100" t="inlineStr"/>
      <c r="AE100" t="inlineStr"/>
      <c r="AF100" t="inlineStr"/>
      <c r="AG100" t="inlineStr"/>
      <c r="AH100" t="inlineStr"/>
      <c r="AI100" t="inlineStr"/>
      <c r="AJ100" t="inlineStr"/>
      <c r="AK100" t="inlineStr"/>
      <c r="AL100" t="inlineStr"/>
      <c r="AM100" t="inlineStr"/>
      <c r="AN100" t="inlineStr"/>
      <c r="AO100" t="inlineStr">
        <is>
          <t>{05-25-2026 ocm ran 22H}: 25.05.26: Besoin d'un FME sur site pour verifier l'interco entre le MPR et la BBU S1P5; FME Wylli activé pour investigations, update ASAP</t>
        </is>
      </c>
      <c r="AP100" t="inlineStr">
        <is>
          <t>{05-25-2026 ocm ran 17H}: 25.05.26: Besoin d'un fme sur site pour verifier l'interco entre le MPR et la BBU S1P5 FME wylli activé ETA=2H</t>
        </is>
      </c>
      <c r="AQ100" t="inlineStr"/>
      <c r="AR100" t="inlineStr"/>
    </row>
    <row r="101">
      <c r="A101" t="inlineStr">
        <is>
          <t>Ekoumdoum-Chatel</t>
        </is>
      </c>
      <c r="B101" t="inlineStr">
        <is>
          <t>CTR_762</t>
        </is>
      </c>
      <c r="C101" t="inlineStr">
        <is>
          <t>Yaounde</t>
        </is>
      </c>
      <c r="D101" t="inlineStr">
        <is>
          <t>CAMUSAT</t>
        </is>
      </c>
      <c r="E101" t="inlineStr">
        <is>
          <t>Good Grid + GE</t>
        </is>
      </c>
      <c r="F101" t="inlineStr">
        <is>
          <t>CENTRE</t>
        </is>
      </c>
      <c r="G101" t="inlineStr">
        <is>
          <t>Yaounde</t>
        </is>
      </c>
      <c r="H101" t="inlineStr">
        <is>
          <t>ZTE</t>
        </is>
      </c>
      <c r="I101" t="n">
        <v>0.5635528046730764</v>
      </c>
      <c r="J101" t="n">
        <v>1.295450913584052</v>
      </c>
      <c r="K101" t="n">
        <v>0</v>
      </c>
      <c r="L101" t="n">
        <v>0</v>
      </c>
      <c r="M101" t="n">
        <v>4.942849275039737</v>
      </c>
      <c r="N101" t="n">
        <v>32.37293622531563</v>
      </c>
      <c r="O101" t="n">
        <v>27.54062241806665</v>
      </c>
      <c r="P101" t="n">
        <v>0</v>
      </c>
      <c r="Q101" t="n">
        <v>13.86855689960706</v>
      </c>
      <c r="R101" t="inlineStr">
        <is>
          <t>exclu</t>
        </is>
      </c>
      <c r="S101" t="inlineStr">
        <is>
          <t>site vandalise</t>
        </is>
      </c>
      <c r="T101" t="inlineStr"/>
      <c r="U101" t="inlineStr"/>
      <c r="V101" t="inlineStr"/>
      <c r="W101" t="inlineStr"/>
      <c r="X101" t="inlineStr">
        <is>
          <t>{05-25-2026 top offenders}: Impacted by CTR_465_Z_Ekoumdoum-MTN-IHS (TX issue)     ;    {05-25-2026 retour CAMUSAT}: Site Vandalisé     ;    {05-25-2026 ocm ran 22H}: Impacted by CTR_465_Z_Ekoumdoum-MTN-IHS (TX issue)     ;    {05-25-2026 ocm ran 17H}: Impacted by CTR_465_Z_Ekoumdoum-MTN-IHS (TX issue)</t>
        </is>
      </c>
      <c r="Y101" t="inlineStr">
        <is>
          <t>Impacted by CTR_465_Z_Ekoumdoum-MTN-IHS (TX issue) Site Vandalisé Impacted by CTR_465_Z_Ekoumdoum-MTN-IHS (TX issue) Impacted by CTR_465_Z_Ekoumdoum-MTN-IHS (TX issue)</t>
        </is>
      </c>
      <c r="Z101" t="inlineStr"/>
      <c r="AA101" t="inlineStr"/>
      <c r="AB101" t="inlineStr">
        <is>
          <t>{05-25-2026 top offenders}: Impacted by CTR_465_Z_Ekoumdoum-MTN-IHS (TX issue)</t>
        </is>
      </c>
      <c r="AC101" t="inlineStr">
        <is>
          <t>{05-25-2026 retour CAMUSAT}: Site Vandalisé</t>
        </is>
      </c>
      <c r="AD101" t="inlineStr"/>
      <c r="AE101" t="inlineStr"/>
      <c r="AF101" t="inlineStr"/>
      <c r="AG101" t="inlineStr"/>
      <c r="AH101" t="inlineStr"/>
      <c r="AI101" t="inlineStr"/>
      <c r="AJ101" t="inlineStr"/>
      <c r="AK101" t="inlineStr"/>
      <c r="AL101" t="inlineStr"/>
      <c r="AM101" t="inlineStr"/>
      <c r="AN101" t="inlineStr"/>
      <c r="AO101" t="inlineStr">
        <is>
          <t>{05-25-2026 ocm ran 22H}: Impacted by CTR_465_Z_Ekoumdoum-MTN-IHS (TX issue)</t>
        </is>
      </c>
      <c r="AP101" t="inlineStr">
        <is>
          <t>{05-25-2026 ocm ran 17H}: Impacted by CTR_465_Z_Ekoumdoum-MTN-IHS (TX issue)</t>
        </is>
      </c>
      <c r="AQ101" t="inlineStr"/>
      <c r="AR101" t="inlineStr"/>
    </row>
    <row r="102">
      <c r="A102" t="inlineStr">
        <is>
          <t>Nkoulou-carriere</t>
        </is>
      </c>
      <c r="B102" t="inlineStr">
        <is>
          <t>CTR_897</t>
        </is>
      </c>
      <c r="C102" t="inlineStr">
        <is>
          <t>Yaounde</t>
        </is>
      </c>
      <c r="D102" t="inlineStr">
        <is>
          <t>MTN</t>
        </is>
      </c>
      <c r="E102" t="inlineStr"/>
      <c r="F102" t="inlineStr">
        <is>
          <t>CENTRE</t>
        </is>
      </c>
      <c r="G102" t="inlineStr">
        <is>
          <t>Yaounde</t>
        </is>
      </c>
      <c r="H102" t="inlineStr">
        <is>
          <t>ZTE</t>
        </is>
      </c>
      <c r="I102" t="n">
        <v>0</v>
      </c>
      <c r="J102" t="n">
        <v>0</v>
      </c>
      <c r="K102" t="n">
        <v>0</v>
      </c>
      <c r="L102" t="n">
        <v>0</v>
      </c>
      <c r="M102" t="n">
        <v>3.847775466351627</v>
      </c>
      <c r="N102" t="n">
        <v>32.37293622531563</v>
      </c>
      <c r="O102" t="n">
        <v>27.54062241806665</v>
      </c>
      <c r="P102" t="n">
        <v>0</v>
      </c>
      <c r="Q102" t="n">
        <v>13.86855689960706</v>
      </c>
      <c r="R102" t="inlineStr">
        <is>
          <t>Operationnel</t>
        </is>
      </c>
      <c r="S102" t="inlineStr"/>
      <c r="T102" t="inlineStr"/>
      <c r="U102" t="inlineStr"/>
      <c r="V102" t="inlineStr"/>
      <c r="W102" t="inlineStr"/>
      <c r="X102" t="inlineStr">
        <is>
          <t>{05-25-2026 top offenders}: Impacted by CTR_465_Z_Ekoumdoum-MTN-IHS (TX issue)     ;    {05-25-2026 ocm ran 22H}: Impacted by CTR_465_Z_Ekoumdoum-MTN-IHS (TX issue)     ;    {05-25-2026 ocm ran 17H}: Impacted by CTR_465_Z_Ekoumdoum-MTN-IHS (TX issue)</t>
        </is>
      </c>
      <c r="Y102" t="inlineStr">
        <is>
          <t>Impacted by CTR_465_Z_Ekoumdoum-MTN-IHS (TX issue) Impacted by CTR_465_Z_Ekoumdoum-MTN-IHS (TX issue) Impacted by CTR_465_Z_Ekoumdoum-MTN-IHS (TX issue)</t>
        </is>
      </c>
      <c r="Z102" t="inlineStr"/>
      <c r="AA102" t="inlineStr"/>
      <c r="AB102" t="inlineStr">
        <is>
          <t>{05-25-2026 top offenders}: Impacted by CTR_465_Z_Ekoumdoum-MTN-IHS (TX issue)</t>
        </is>
      </c>
      <c r="AC102" t="inlineStr"/>
      <c r="AD102" t="inlineStr"/>
      <c r="AE102" t="inlineStr"/>
      <c r="AF102" t="inlineStr"/>
      <c r="AG102" t="inlineStr"/>
      <c r="AH102" t="inlineStr"/>
      <c r="AI102" t="inlineStr"/>
      <c r="AJ102" t="inlineStr"/>
      <c r="AK102" t="inlineStr"/>
      <c r="AL102" t="inlineStr"/>
      <c r="AM102" t="inlineStr"/>
      <c r="AN102" t="inlineStr"/>
      <c r="AO102" t="inlineStr">
        <is>
          <t>{05-25-2026 ocm ran 22H}: Impacted by CTR_465_Z_Ekoumdoum-MTN-IHS (TX issue)</t>
        </is>
      </c>
      <c r="AP102" t="inlineStr">
        <is>
          <t>{05-25-2026 ocm ran 17H}: Impacted by CTR_465_Z_Ekoumdoum-MTN-IHS (TX issue)</t>
        </is>
      </c>
      <c r="AQ102" t="inlineStr"/>
      <c r="AR102" t="inlineStr"/>
    </row>
    <row r="103">
      <c r="A103" t="inlineStr">
        <is>
          <t>Ekoumdoum-MTN-IHS</t>
        </is>
      </c>
      <c r="B103" t="inlineStr">
        <is>
          <t>CTR_465</t>
        </is>
      </c>
      <c r="C103" t="inlineStr">
        <is>
          <t>Yaounde</t>
        </is>
      </c>
      <c r="D103" t="inlineStr">
        <is>
          <t>CAMUSAT</t>
        </is>
      </c>
      <c r="E103" t="inlineStr">
        <is>
          <t>Grid-Gen</t>
        </is>
      </c>
      <c r="F103" t="inlineStr">
        <is>
          <t>CENTRE</t>
        </is>
      </c>
      <c r="G103" t="inlineStr">
        <is>
          <t>Yaounde</t>
        </is>
      </c>
      <c r="H103" t="inlineStr">
        <is>
          <t>ZTE</t>
        </is>
      </c>
      <c r="I103" t="n">
        <v>0</v>
      </c>
      <c r="J103" t="n">
        <v>0</v>
      </c>
      <c r="K103" t="n">
        <v>0</v>
      </c>
      <c r="L103" t="n">
        <v>0</v>
      </c>
      <c r="M103" t="n">
        <v>3.725444664172609</v>
      </c>
      <c r="N103" t="n">
        <v>32.37293622531563</v>
      </c>
      <c r="O103" t="n">
        <v>27.54062241806665</v>
      </c>
      <c r="P103" t="n">
        <v>0</v>
      </c>
      <c r="Q103" t="n">
        <v>13.86855689960706</v>
      </c>
      <c r="R103" t="inlineStr">
        <is>
          <t>Operationnel</t>
        </is>
      </c>
      <c r="S103" t="inlineStr"/>
      <c r="T103" t="inlineStr"/>
      <c r="U103" t="inlineStr"/>
      <c r="V103" t="inlineStr"/>
      <c r="W103" t="inlineStr"/>
      <c r="X103" t="inlineStr">
        <is>
          <t>{05-25-2026 top offenders}: 25.05.26: Besoin d'un FME sur site pour vérifier la chaine antennaire de l'ODU 3.1; PLM-20260525-00000642; FME Crislain activé pour investigations, ETA=21H     ;    {05-25-2026 ocm ran 22H}: 25.05.26: Besoin d'un FME sur site pour vérifier la chaine antennaire de l'ODU 3.1; PLM-20260525-00000642; FME Crislain activé pour investigations, ETA=21H     ;    {05-25-2026 ocm ran 17H}: 25.05.26: Besoin d'un FME sur site pour vérifier la chaine antennaire de l'ODU 3.1; PLM-20260525-00000642; FME Crislain activé pour investigations, update aSAP</t>
        </is>
      </c>
      <c r="Y103" t="inlineStr">
        <is>
          <t>25.05.26 Besoin d'un FME sur site pour vérifier la chaine antennaire de l'ODU 3.1; FME Crislain activé pour investigations, ETA=21H 25.05.26 Besoin d'un FME sur site pour vérifier la chaine antennaire de l'ODU 3.1; FME Crislain activé pour investigations, ETA=21H 25.05.26 Besoin d'un FME sur site pour vérifier la chaine antennaire de l'ODU 3.1; FME Crislain activé pour investigations, update aSAP</t>
        </is>
      </c>
      <c r="Z103" t="inlineStr"/>
      <c r="AA103" t="inlineStr"/>
      <c r="AB103" t="inlineStr">
        <is>
          <t>{05-25-2026 top offenders}: 25.05.26: Besoin d'un FME sur site pour vérifier la chaine antennaire de l'ODU 3.1; PLM-20260525-00000642; FME Crislain activé pour investigations, ETA=21H</t>
        </is>
      </c>
      <c r="AC103" t="inlineStr"/>
      <c r="AD103" t="inlineStr"/>
      <c r="AE103" t="inlineStr"/>
      <c r="AF103" t="inlineStr"/>
      <c r="AG103" t="inlineStr"/>
      <c r="AH103" t="inlineStr"/>
      <c r="AI103" t="inlineStr"/>
      <c r="AJ103" t="inlineStr"/>
      <c r="AK103" t="inlineStr"/>
      <c r="AL103" t="inlineStr"/>
      <c r="AM103" t="inlineStr"/>
      <c r="AN103" t="inlineStr"/>
      <c r="AO103" t="inlineStr">
        <is>
          <t>{05-25-2026 ocm ran 22H}: 25.05.26: Besoin d'un FME sur site pour vérifier la chaine antennaire de l'ODU 3.1; PLM-20260525-00000642; FME Crislain activé pour investigations, ETA=21H</t>
        </is>
      </c>
      <c r="AP103" t="inlineStr">
        <is>
          <t>{05-25-2026 ocm ran 17H}: 25.05.26: Besoin d'un FME sur site pour vérifier la chaine antennaire de l'ODU 3.1; PLM-20260525-00000642; FME Crislain activé pour investigations, update aSAP</t>
        </is>
      </c>
      <c r="AQ103" t="inlineStr"/>
      <c r="AR103" t="inlineStr"/>
    </row>
    <row r="104">
      <c r="A104" t="inlineStr">
        <is>
          <t>Foumban-Nkoungougnet</t>
        </is>
      </c>
      <c r="B104" t="inlineStr">
        <is>
          <t>OST_082</t>
        </is>
      </c>
      <c r="C104" t="inlineStr">
        <is>
          <t>OUEST</t>
        </is>
      </c>
      <c r="D104" t="inlineStr">
        <is>
          <t>IHS</t>
        </is>
      </c>
      <c r="E104" t="inlineStr">
        <is>
          <t>Grid-Gen</t>
        </is>
      </c>
      <c r="F104" t="inlineStr">
        <is>
          <t>OUEST</t>
        </is>
      </c>
      <c r="G104" t="inlineStr">
        <is>
          <t>Foumban</t>
        </is>
      </c>
      <c r="H104" t="inlineStr">
        <is>
          <t>Huawei</t>
        </is>
      </c>
      <c r="I104" t="n">
        <v>0.5712575585061909</v>
      </c>
      <c r="J104" t="n">
        <v>0</v>
      </c>
      <c r="K104" t="n">
        <v>0.379530466594185</v>
      </c>
      <c r="L104" t="n">
        <v>0</v>
      </c>
      <c r="M104" t="n">
        <v>1.54585541316029</v>
      </c>
      <c r="N104" t="n">
        <v>32.37293622531563</v>
      </c>
      <c r="O104" t="n">
        <v>27.54062241806665</v>
      </c>
      <c r="P104" t="n">
        <v>0</v>
      </c>
      <c r="Q104" t="n">
        <v>13.86855689960706</v>
      </c>
      <c r="R104" t="inlineStr">
        <is>
          <t>Operationnel</t>
        </is>
      </c>
      <c r="S104" t="inlineStr"/>
      <c r="T104" t="inlineStr"/>
      <c r="U104" t="inlineStr"/>
      <c r="V104" t="inlineStr"/>
      <c r="W104" t="inlineStr"/>
      <c r="X104" t="inlineStr">
        <is>
          <t>{05-25-2026 top offenders}: 25.05.26: Besoin d'un FME sur site pour vérifier le statut de la BBU Huawei et son interco avec le MPR S1P1; CM-20260525-00005835; FME Yaya activé pour investigations, update ASAP     ;    {05-25-2026 ocm ran 22H}: 25.05.26: Besoin d'un FME sur site pour vérifier le statut de la BBU Huawei et son interco avec le MPR S1P1; CM-20260525-00005835; FME Yaya activé pour investigations, update ASAP     ;    {05-25-2026 ocm ran 17H}: 25.05.26: Besoin d'un FME sur site pour vérifier le statut de la BBU Huawei et son interco avec le MPR S1P1; CM-20260525-00005835; FME Yaya activé pour investigations, update ASAP</t>
        </is>
      </c>
      <c r="Y104" t="inlineStr">
        <is>
          <t>25.05.26 Besoin d'un FME sur site pour vérifier le statut de la BBU Huawei et son interco avec le MPR S1P1; FME Yaya activé pour investigations, update ASAP 25.05.26 Besoin d'un FME sur site pour vérifier le statut de la BBU Huawei et son interco avec le MPR S1P1; FME Yaya activé pour investigations, update ASAP 25.05.26 Besoin d'un FME sur site pour vérifier le statut de la BBU Huawei et son interco avec le MPR S1P1; FME Yaya activé pour investigations, update ASAP</t>
        </is>
      </c>
      <c r="Z104" t="inlineStr"/>
      <c r="AA104" t="inlineStr"/>
      <c r="AB104" t="inlineStr">
        <is>
          <t>{05-25-2026 top offenders}: 25.05.26: Besoin d'un FME sur site pour vérifier le statut de la BBU Huawei et son interco avec le MPR S1P1; CM-20260525-00005835; FME Yaya activé pour investigations, update ASAP</t>
        </is>
      </c>
      <c r="AC104" t="inlineStr"/>
      <c r="AD104" t="inlineStr"/>
      <c r="AE104" t="inlineStr"/>
      <c r="AF104" t="inlineStr"/>
      <c r="AG104" t="inlineStr"/>
      <c r="AH104" t="inlineStr"/>
      <c r="AI104" t="inlineStr"/>
      <c r="AJ104" t="inlineStr"/>
      <c r="AK104" t="inlineStr"/>
      <c r="AL104" t="inlineStr"/>
      <c r="AM104" t="inlineStr"/>
      <c r="AN104" t="inlineStr"/>
      <c r="AO104" t="inlineStr">
        <is>
          <t>{05-25-2026 ocm ran 22H}: 25.05.26: Besoin d'un FME sur site pour vérifier le statut de la BBU Huawei et son interco avec le MPR S1P1; CM-20260525-00005835; FME Yaya activé pour investigations, update ASAP</t>
        </is>
      </c>
      <c r="AP104" t="inlineStr">
        <is>
          <t>{05-25-2026 ocm ran 17H}: 25.05.26: Besoin d'un FME sur site pour vérifier le statut de la BBU Huawei et son interco avec le MPR S1P1; CM-20260525-00005835; FME Yaya activé pour investigations, update ASAP</t>
        </is>
      </c>
      <c r="AQ104" t="inlineStr"/>
      <c r="AR104" t="inlineStr"/>
    </row>
    <row r="105">
      <c r="A105" t="inlineStr">
        <is>
          <t>Pain-Magique</t>
        </is>
      </c>
      <c r="B105" t="inlineStr">
        <is>
          <t>LIT_381</t>
        </is>
      </c>
      <c r="C105" t="inlineStr">
        <is>
          <t>Douala</t>
        </is>
      </c>
      <c r="D105" t="inlineStr">
        <is>
          <t>IHS</t>
        </is>
      </c>
      <c r="E105" t="inlineStr">
        <is>
          <t>GridOnly</t>
        </is>
      </c>
      <c r="F105" t="inlineStr">
        <is>
          <t>LITTORAL</t>
        </is>
      </c>
      <c r="G105" t="inlineStr">
        <is>
          <t>Douala</t>
        </is>
      </c>
      <c r="H105" t="inlineStr">
        <is>
          <t>ZTE</t>
        </is>
      </c>
      <c r="I105" t="n">
        <v>0</v>
      </c>
      <c r="J105" t="n">
        <v>0</v>
      </c>
      <c r="K105" t="n">
        <v>0</v>
      </c>
      <c r="L105" t="n">
        <v>0</v>
      </c>
      <c r="M105" t="n">
        <v>0.4494439735983749</v>
      </c>
      <c r="N105" t="n">
        <v>32.36694123712576</v>
      </c>
      <c r="O105" t="n">
        <v>27.54062241806665</v>
      </c>
      <c r="P105" t="n">
        <v>0</v>
      </c>
      <c r="Q105" t="n">
        <v>13.86770081584782</v>
      </c>
      <c r="R105" t="inlineStr">
        <is>
          <t>Operationnel</t>
        </is>
      </c>
      <c r="S105" t="inlineStr"/>
      <c r="T105" t="inlineStr"/>
      <c r="U105" t="inlineStr"/>
      <c r="V105" t="inlineStr"/>
      <c r="W105" t="inlineStr"/>
      <c r="X105" t="inlineStr">
        <is>
          <t>{05-25-2026 top offenders}: 25.05.26: IHS: 12 : Grid only no space // awaiting grid return     ;    {None hourly IHS}: 25-05-2026 00:03:11..22:56:49..Grid only no space // awaiting grid return     ;    {05-25-2026 ocm ran 22H}: 25.05.26: IHS: 12 : Grid only no space // awaiting grid return     ;    {05-25-2026 ocm ran 17H}: 25.05.26: IHS: 12 : Grid only no space // awaiting grid return</t>
        </is>
      </c>
      <c r="Y105" t="inlineStr">
        <is>
          <t>25.05.26 IHS 12 Grid only no space // awaiting grid return 25-05-2026 00 03 11.22 56 49.Grid only no space // awaiting grid return 25.05.26 IHS 12 Grid only no space // awaiting grid return 25.05.26 IHS 12 Grid only no space // awaiting grid return</t>
        </is>
      </c>
      <c r="Z105" t="inlineStr"/>
      <c r="AA105" t="inlineStr"/>
      <c r="AB105" t="inlineStr">
        <is>
          <t>{05-25-2026 top offenders}: 25.05.26: IHS: 12 : Grid only no space // awaiting grid return</t>
        </is>
      </c>
      <c r="AC105" t="inlineStr"/>
      <c r="AD105" t="inlineStr"/>
      <c r="AE105" t="inlineStr">
        <is>
          <t>{None hourly IHS}: 25-05-2026 00:03:11..22:56:49..Grid only no space // awaiting grid return</t>
        </is>
      </c>
      <c r="AF105" t="inlineStr"/>
      <c r="AG105" t="inlineStr"/>
      <c r="AH105" t="inlineStr"/>
      <c r="AI105" t="inlineStr"/>
      <c r="AJ105" t="inlineStr"/>
      <c r="AK105" t="inlineStr"/>
      <c r="AL105" t="inlineStr"/>
      <c r="AM105" t="inlineStr"/>
      <c r="AN105" t="inlineStr"/>
      <c r="AO105" t="inlineStr">
        <is>
          <t>{05-25-2026 ocm ran 22H}: 25.05.26: IHS: 12 : Grid only no space // awaiting grid return</t>
        </is>
      </c>
      <c r="AP105" t="inlineStr">
        <is>
          <t>{05-25-2026 ocm ran 17H}: 25.05.26: IHS: 12 : Grid only no space // awaiting grid return</t>
        </is>
      </c>
      <c r="AQ105" t="inlineStr"/>
      <c r="AR105" t="inlineStr"/>
    </row>
    <row r="106">
      <c r="A106" t="inlineStr">
        <is>
          <t>Dumbu</t>
        </is>
      </c>
      <c r="B106" t="inlineStr">
        <is>
          <t>NRO_046</t>
        </is>
      </c>
      <c r="C106" t="inlineStr">
        <is>
          <t>NORD-OUEST</t>
        </is>
      </c>
      <c r="D106" t="inlineStr">
        <is>
          <t>IHS</t>
        </is>
      </c>
      <c r="E106" t="inlineStr">
        <is>
          <t>Hybrid-Gen</t>
        </is>
      </c>
      <c r="F106" t="inlineStr">
        <is>
          <t>NORD-OUEST</t>
        </is>
      </c>
      <c r="G106" t="inlineStr">
        <is>
          <t>Dumbu</t>
        </is>
      </c>
      <c r="H106" t="inlineStr">
        <is>
          <t>NOKIA</t>
        </is>
      </c>
      <c r="I106" t="n">
        <v>13.86630967973906</v>
      </c>
      <c r="J106" t="n">
        <v>13.86609565879926</v>
      </c>
      <c r="K106" t="n">
        <v>13.86620266926916</v>
      </c>
      <c r="L106" t="n">
        <v>13.86598864832935</v>
      </c>
      <c r="M106" t="n">
        <v>13.86620266926916</v>
      </c>
      <c r="N106" t="n">
        <v>64.72713811253792</v>
      </c>
      <c r="O106" t="n">
        <v>13.77031120903332</v>
      </c>
      <c r="P106" t="n">
        <v>0</v>
      </c>
      <c r="Q106" t="n">
        <v>13.86588163785945</v>
      </c>
      <c r="R106" t="inlineStr">
        <is>
          <t>Insecurity</t>
        </is>
      </c>
      <c r="S106" t="inlineStr"/>
      <c r="T106" t="inlineStr"/>
      <c r="U106" t="inlineStr"/>
      <c r="V106" t="inlineStr"/>
      <c r="W106" t="inlineStr"/>
      <c r="X106" t="inlineStr">
        <is>
          <t>{05-25-2026 ocm ran 22H}: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ETA=01:00 PM // Access not granted for now we keep trying
11.05.26: Besoin d'un FME sur Zhoa pour vérifier la chaine antennaire de l'ODU 4.2; CM-20260511-00003771; FME Donald activé pour investigations, update aSAP     ;    {05-25-2026 ocm ran 17H}: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ETA=01:00 PM // Access not granted for now we keep trying
11.05.26: Besoin d'un FME sur Zhoa pour vérifier la chaine antennaire de l'ODU 4.2; CM-20260511-00003771; FME Donald activé pour investigations, update aSAP</t>
        </is>
      </c>
      <c r="Y106" t="inlineStr">
        <is>
          <t>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 00 PM // Access not granted for now we keep trying
11.05.26 Besoin d'un FME sur Zhoa pour vérifier la chaine antennaire de l'ODU 4.2; FME Donald activé pour investigations, update aSAP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 00 PM // Access not granted for now we keep trying
11.05.26 Besoin d'un FME sur Zhoa pour vérifier la chaine antennaire de l'ODU 4.2; FME Donald activé pour investigations, update aSAP</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{05-25-2026 ocm ran 22H}: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ETA=01:00 PM // Access not granted for now we keep trying
11.05.26: Besoin d'un FME sur Zhoa pour vérifier la chaine antennaire de l'ODU 4.2; CM-20260511-00003771; FME Donald activé pour investigations, update aSAP</t>
        </is>
      </c>
      <c r="AP106" t="inlineStr">
        <is>
          <t>{05-25-2026 ocm ran 17H}: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ETA=01:00 PM // Access not granted for now we keep trying
11.05.26: Besoin d'un FME sur Zhoa pour vérifier la chaine antennaire de l'ODU 4.2; CM-20260511-00003771; FME Donald activé pour investigations, update aSAP</t>
        </is>
      </c>
      <c r="AQ106" t="inlineStr"/>
      <c r="AR106" t="inlineStr"/>
    </row>
    <row r="107">
      <c r="A107" t="inlineStr">
        <is>
          <t>Essu</t>
        </is>
      </c>
      <c r="B107" t="inlineStr">
        <is>
          <t>NRO_234</t>
        </is>
      </c>
      <c r="C107" t="inlineStr">
        <is>
          <t>NORD-OUEST</t>
        </is>
      </c>
      <c r="D107" t="inlineStr">
        <is>
          <t>IHS</t>
        </is>
      </c>
      <c r="E107" t="inlineStr">
        <is>
          <t>Gen Only</t>
        </is>
      </c>
      <c r="F107" t="inlineStr">
        <is>
          <t>NORD-OUEST</t>
        </is>
      </c>
      <c r="G107" t="inlineStr">
        <is>
          <t>ESSU</t>
        </is>
      </c>
      <c r="H107" t="inlineStr">
        <is>
          <t>NOKIA</t>
        </is>
      </c>
      <c r="I107" t="n">
        <v>9.243457379870046</v>
      </c>
      <c r="J107" t="n">
        <v>13.86609565879926</v>
      </c>
      <c r="K107" t="n">
        <v>13.86620266926916</v>
      </c>
      <c r="L107" t="n">
        <v>13.86598864832935</v>
      </c>
      <c r="M107" t="n">
        <v>13.86620266926916</v>
      </c>
      <c r="N107" t="n">
        <v>64.72713811253792</v>
      </c>
      <c r="O107" t="n">
        <v>13.77031120903332</v>
      </c>
      <c r="P107" t="n">
        <v>0</v>
      </c>
      <c r="Q107" t="n">
        <v>13.86588163785945</v>
      </c>
      <c r="R107" t="inlineStr">
        <is>
          <t>EXCLU</t>
        </is>
      </c>
      <c r="S107" t="inlineStr">
        <is>
          <t>site en projet</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row>
    <row r="108">
      <c r="A108" t="inlineStr">
        <is>
          <t>Mbiame</t>
        </is>
      </c>
      <c r="B108" t="inlineStr">
        <is>
          <t>NRO_236</t>
        </is>
      </c>
      <c r="C108" t="inlineStr">
        <is>
          <t>NORD-OUEST</t>
        </is>
      </c>
      <c r="D108" t="inlineStr">
        <is>
          <t>IHS</t>
        </is>
      </c>
      <c r="E108" t="inlineStr">
        <is>
          <t>Grid-Gen</t>
        </is>
      </c>
      <c r="F108" t="inlineStr">
        <is>
          <t>NORD-OUEST</t>
        </is>
      </c>
      <c r="G108" t="inlineStr">
        <is>
          <t>Mbiame</t>
        </is>
      </c>
      <c r="H108" t="inlineStr">
        <is>
          <t>NOKIA</t>
        </is>
      </c>
      <c r="I108" t="n">
        <v>0.1523829091438307</v>
      </c>
      <c r="J108" t="n">
        <v>0.0008025785242829413</v>
      </c>
      <c r="K108" t="n">
        <v>0.8622725314111399</v>
      </c>
      <c r="L108" t="n">
        <v>3.679233976252236</v>
      </c>
      <c r="M108" t="n">
        <v>1.711008238379377</v>
      </c>
      <c r="N108" t="n">
        <v>64.72713811253792</v>
      </c>
      <c r="O108" t="n">
        <v>13.77031120903332</v>
      </c>
      <c r="P108" t="n">
        <v>0</v>
      </c>
      <c r="Q108" t="n">
        <v>13.86588163785945</v>
      </c>
      <c r="R108" t="inlineStr">
        <is>
          <t>Insecurity</t>
        </is>
      </c>
      <c r="S108" t="inlineStr"/>
      <c r="T108" t="inlineStr"/>
      <c r="U108" t="inlineStr"/>
      <c r="V108" t="inlineStr"/>
      <c r="W108" t="inlineStr"/>
      <c r="X108" t="inlineStr">
        <is>
          <t>{05-25-2026 ocm ran 22H}: 25.05.26: IHS: 36v : FME Kelvin is managing with level 0.     ;    {05-25-2026 ocm ran 17H}: 25.05.26: IHS: 36v : FME Kelvin is managing with level 0.</t>
        </is>
      </c>
      <c r="Y108" t="inlineStr">
        <is>
          <t>25.05.26 IHS 36v FME Kelvin is managing with level 0. 25.05.26 IHS 36v FME Kelvin is managing with level 0.</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{05-25-2026 ocm ran 22H}: 25.05.26: IHS: 36v : FME Kelvin is managing with level 0.</t>
        </is>
      </c>
      <c r="AP108" t="inlineStr">
        <is>
          <t>{05-25-2026 ocm ran 17H}: 25.05.26: IHS: 36v : FME Kelvin is managing with level 0.</t>
        </is>
      </c>
      <c r="AQ108" t="inlineStr"/>
      <c r="AR108" t="inlineStr"/>
    </row>
    <row r="109">
      <c r="A109" t="inlineStr">
        <is>
          <t>Buea-Boduma-IHS</t>
        </is>
      </c>
      <c r="B109" t="inlineStr">
        <is>
          <t>SUO_186</t>
        </is>
      </c>
      <c r="C109" t="inlineStr">
        <is>
          <t>SUD-OUEST</t>
        </is>
      </c>
      <c r="D109" t="inlineStr">
        <is>
          <t>IHS</t>
        </is>
      </c>
      <c r="E109" t="inlineStr">
        <is>
          <t>Grid-Gen</t>
        </is>
      </c>
      <c r="F109" t="inlineStr">
        <is>
          <t>SUD-OUEST</t>
        </is>
      </c>
      <c r="G109" t="inlineStr">
        <is>
          <t>Buea</t>
        </is>
      </c>
      <c r="H109" t="inlineStr">
        <is>
          <t>Huawei</t>
        </is>
      </c>
      <c r="I109" t="n">
        <v>15.5248827878653</v>
      </c>
      <c r="J109" t="n">
        <v>16.09872643272751</v>
      </c>
      <c r="K109" t="n">
        <v>15.37556751219206</v>
      </c>
      <c r="L109" t="n">
        <v>12.57290980016151</v>
      </c>
      <c r="M109" t="n">
        <v>15.39800404071534</v>
      </c>
      <c r="N109" t="n">
        <v>11.67399054390529</v>
      </c>
      <c r="O109" t="n">
        <v>14.89632103185532</v>
      </c>
      <c r="P109" t="n">
        <v>13.71689545316252</v>
      </c>
      <c r="Q109" t="n">
        <v>13.82111559128279</v>
      </c>
      <c r="R109" t="inlineStr">
        <is>
          <t>Operationnel</t>
        </is>
      </c>
      <c r="S109" t="inlineStr"/>
      <c r="T109" t="inlineStr"/>
      <c r="U109" t="inlineStr"/>
      <c r="V109" t="inlineStr"/>
      <c r="W109" t="inlineStr"/>
      <c r="X109" t="inlineStr">
        <is>
          <t>{05-25-2026 retour IHS}: IHS</t>
        </is>
      </c>
      <c r="Y109" t="inlineStr">
        <is>
          <t>IHS</t>
        </is>
      </c>
      <c r="Z109" t="inlineStr"/>
      <c r="AA109" t="inlineStr"/>
      <c r="AB109" t="inlineStr"/>
      <c r="AC109" t="inlineStr"/>
      <c r="AD109" t="inlineStr">
        <is>
          <t>{05-25-2026 retour IHS}: IHS</t>
        </is>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row>
    <row r="110">
      <c r="A110" t="inlineStr">
        <is>
          <t>Garoua-Boulai-Sabal-IHS</t>
        </is>
      </c>
      <c r="B110" t="inlineStr">
        <is>
          <t>EST_156</t>
        </is>
      </c>
      <c r="C110" t="inlineStr">
        <is>
          <t>CENTRE</t>
        </is>
      </c>
      <c r="D110" t="inlineStr">
        <is>
          <t>IHS</t>
        </is>
      </c>
      <c r="E110" t="inlineStr">
        <is>
          <t>Grid-Gen</t>
        </is>
      </c>
      <c r="F110" t="inlineStr">
        <is>
          <t>EST</t>
        </is>
      </c>
      <c r="G110" t="inlineStr">
        <is>
          <t>Garoua</t>
        </is>
      </c>
      <c r="H110" t="inlineStr">
        <is>
          <t>ZTE</t>
        </is>
      </c>
      <c r="I110" t="n">
        <v>0.5078716901661661</v>
      </c>
      <c r="J110" t="n">
        <v>0</v>
      </c>
      <c r="K110" t="n">
        <v>0</v>
      </c>
      <c r="L110" t="n">
        <v>15.18940496471508</v>
      </c>
      <c r="M110" t="n">
        <v>0.7273858340966751</v>
      </c>
      <c r="N110" t="n">
        <v>8.556596685171197</v>
      </c>
      <c r="O110" t="n">
        <v>14.57761695414317</v>
      </c>
      <c r="P110" t="n">
        <v>14.61667181039559</v>
      </c>
      <c r="Q110" t="n">
        <v>13.73818247710689</v>
      </c>
      <c r="R110" t="inlineStr">
        <is>
          <t>Operationnel</t>
        </is>
      </c>
      <c r="S110" t="inlineStr"/>
      <c r="T110" t="inlineStr"/>
      <c r="U110" t="inlineStr"/>
      <c r="V110" t="inlineStr"/>
      <c r="W110" t="inlineStr"/>
      <c r="X110" t="inlineStr">
        <is>
          <t>{05-25-2026 ticket}: INC-20260525-00002685..Grid Outage</t>
        </is>
      </c>
      <c r="Y110" t="inlineStr">
        <is>
          <t>.Grid Outage</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{05-25-2026 ticket}: INC-20260525-00002685..Grid Outage</t>
        </is>
      </c>
      <c r="AR110" t="inlineStr"/>
    </row>
    <row r="111">
      <c r="A111" t="inlineStr">
        <is>
          <t>Limbe-Mile_1</t>
        </is>
      </c>
      <c r="B111" t="inlineStr">
        <is>
          <t>SUO_234</t>
        </is>
      </c>
      <c r="C111" t="inlineStr">
        <is>
          <t>SUD-OUEST</t>
        </is>
      </c>
      <c r="D111" t="inlineStr">
        <is>
          <t>ESCO</t>
        </is>
      </c>
      <c r="E111" t="inlineStr">
        <is>
          <t>medium Grid + GE</t>
        </is>
      </c>
      <c r="F111" t="inlineStr">
        <is>
          <t>SUD-OUEST</t>
        </is>
      </c>
      <c r="G111" t="inlineStr">
        <is>
          <t>Limbe</t>
        </is>
      </c>
      <c r="H111" t="inlineStr">
        <is>
          <t>Huawei</t>
        </is>
      </c>
      <c r="I111" t="n">
        <v>0.4173408326270642</v>
      </c>
      <c r="J111" t="n">
        <v>0</v>
      </c>
      <c r="K111" t="n">
        <v>0</v>
      </c>
      <c r="L111" t="n">
        <v>0</v>
      </c>
      <c r="M111" t="n">
        <v>6.504809763920634</v>
      </c>
      <c r="N111" t="n">
        <v>11.00704810778189</v>
      </c>
      <c r="O111" t="n">
        <v>9.376774415101782</v>
      </c>
      <c r="P111" t="n">
        <v>17.07878742609994</v>
      </c>
      <c r="Q111" t="n">
        <v>13.62608900988206</v>
      </c>
      <c r="R111" t="inlineStr">
        <is>
          <t>Operationnel</t>
        </is>
      </c>
      <c r="S111" t="inlineStr"/>
      <c r="T111" t="inlineStr"/>
      <c r="U111" t="inlineStr"/>
      <c r="V111" t="inlineStr"/>
      <c r="W111" t="inlineStr"/>
      <c r="X111" t="inlineStr">
        <is>
          <t>{05-25-2026 retour CAMUSAT}: Automatisme</t>
        </is>
      </c>
      <c r="Y111" t="inlineStr">
        <is>
          <t>Automatisme</t>
        </is>
      </c>
      <c r="Z111" t="inlineStr"/>
      <c r="AA111" t="inlineStr"/>
      <c r="AB111" t="inlineStr"/>
      <c r="AC111" t="inlineStr">
        <is>
          <t>{05-25-2026 retour CAMUSAT}: Automatisme</t>
        </is>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row>
    <row r="112">
      <c r="A112" t="inlineStr">
        <is>
          <t>Dagobert</t>
        </is>
      </c>
      <c r="B112" t="inlineStr">
        <is>
          <t>CTR_255</t>
        </is>
      </c>
      <c r="C112" t="inlineStr">
        <is>
          <t>Yaounde</t>
        </is>
      </c>
      <c r="D112" t="inlineStr">
        <is>
          <t>IHS</t>
        </is>
      </c>
      <c r="E112" t="inlineStr">
        <is>
          <t>Grid-Gen</t>
        </is>
      </c>
      <c r="F112" t="inlineStr">
        <is>
          <t>CENTRE</t>
        </is>
      </c>
      <c r="G112" t="inlineStr">
        <is>
          <t>Yaounde</t>
        </is>
      </c>
      <c r="H112" t="inlineStr">
        <is>
          <t>ZTE</t>
        </is>
      </c>
      <c r="I112" t="n">
        <v>0</v>
      </c>
      <c r="J112" t="n">
        <v>2.093713348914058</v>
      </c>
      <c r="K112" t="n">
        <v>0.2688816407130604</v>
      </c>
      <c r="L112" t="n">
        <v>0</v>
      </c>
      <c r="M112" t="n">
        <v>0</v>
      </c>
      <c r="N112" t="n">
        <v>5.801524925162564</v>
      </c>
      <c r="O112" t="n">
        <v>5.052036051014752</v>
      </c>
      <c r="P112" t="n">
        <v>21.05372022930085</v>
      </c>
      <c r="Q112" t="n">
        <v>13.50375820770303</v>
      </c>
      <c r="R112" t="inlineStr">
        <is>
          <t>Operationnel</t>
        </is>
      </c>
      <c r="S112" t="inlineStr"/>
      <c r="T112" t="inlineStr"/>
      <c r="U112" t="inlineStr"/>
      <c r="V112" t="inlineStr"/>
      <c r="W112" t="inlineStr"/>
      <c r="X112" t="inlineStr">
        <is>
          <t>{05-25-2026 top offenders}: Power status check Ongoing     ;    {None hourly IHS}: 25/05/2026 21:05..1:54:06..FME isinformed and managing ETA ASAP     ;    {05-25-2026 ocm ran 22H}: Power status check Ongoing     ;    {05-25-2026 ticket}: INC-20260525-00020656..Grid Outage</t>
        </is>
      </c>
      <c r="Y112" t="inlineStr">
        <is>
          <t>25/05/2026 21 05.1 54 06.FME isinformed and managing ETA ASAP .Grid Outage</t>
        </is>
      </c>
      <c r="Z112" t="inlineStr"/>
      <c r="AA112" t="inlineStr"/>
      <c r="AB112" t="inlineStr">
        <is>
          <t>{05-25-2026 top offenders}: Power status check Ongoing</t>
        </is>
      </c>
      <c r="AC112" t="inlineStr"/>
      <c r="AD112" t="inlineStr"/>
      <c r="AE112" t="inlineStr">
        <is>
          <t>{None hourly IHS}: 25/05/2026 21:05..1:54:06..FME isinformed and managing ETA ASAP</t>
        </is>
      </c>
      <c r="AF112" t="inlineStr"/>
      <c r="AG112" t="inlineStr"/>
      <c r="AH112" t="inlineStr"/>
      <c r="AI112" t="inlineStr"/>
      <c r="AJ112" t="inlineStr"/>
      <c r="AK112" t="inlineStr"/>
      <c r="AL112" t="inlineStr"/>
      <c r="AM112" t="inlineStr"/>
      <c r="AN112" t="inlineStr"/>
      <c r="AO112" t="inlineStr">
        <is>
          <t>{05-25-2026 ocm ran 22H}: Power status check Ongoing</t>
        </is>
      </c>
      <c r="AP112" t="inlineStr"/>
      <c r="AQ112" t="inlineStr">
        <is>
          <t>{05-25-2026 ticket}: INC-20260525-00020656..Grid Outage</t>
        </is>
      </c>
      <c r="AR112" t="inlineStr"/>
    </row>
    <row r="113">
      <c r="A113" t="inlineStr">
        <is>
          <t>Sanguere-Paul-MTN</t>
        </is>
      </c>
      <c r="B113" t="inlineStr">
        <is>
          <t>NRD_166</t>
        </is>
      </c>
      <c r="C113" t="inlineStr">
        <is>
          <t>NORD</t>
        </is>
      </c>
      <c r="D113" t="inlineStr">
        <is>
          <t>IHS</t>
        </is>
      </c>
      <c r="E113" t="inlineStr">
        <is>
          <t>Grid-Gen</t>
        </is>
      </c>
      <c r="F113" t="inlineStr">
        <is>
          <t>NORD</t>
        </is>
      </c>
      <c r="G113" t="inlineStr">
        <is>
          <t>Garoua</t>
        </is>
      </c>
      <c r="H113" t="inlineStr">
        <is>
          <t>Huawei</t>
        </is>
      </c>
      <c r="I113" t="n">
        <v>0.7706537340946771</v>
      </c>
      <c r="J113" t="n">
        <v>4.326968350583421</v>
      </c>
      <c r="K113" t="n">
        <v>0.1532033227464308</v>
      </c>
      <c r="L113" t="n">
        <v>3.200825835466409</v>
      </c>
      <c r="M113" t="n">
        <v>0.9684447526345977</v>
      </c>
      <c r="N113" t="n">
        <v>13.50933119911754</v>
      </c>
      <c r="O113" t="n">
        <v>22.96358772708264</v>
      </c>
      <c r="P113" t="n">
        <v>7.21507161821712</v>
      </c>
      <c r="Q113" t="n">
        <v>13.40084980581167</v>
      </c>
      <c r="R113" t="inlineStr">
        <is>
          <t>Operationnel</t>
        </is>
      </c>
      <c r="S113" t="inlineStr"/>
      <c r="T113" t="inlineStr"/>
      <c r="U113" t="inlineStr"/>
      <c r="V113" t="inlineStr"/>
      <c r="W113" t="inlineStr"/>
      <c r="X113" t="inlineStr">
        <is>
          <t>{05-25-2026 top offenders}: Power status check Ongoing     ;    {None hourly IHS}: 25/05/2026 19:49..3:10:11..FME Gael is managing with level 0</t>
        </is>
      </c>
      <c r="Y113" t="inlineStr">
        <is>
          <t>25/05/2026 19 49.3 10 11.FME Gael is managing with level 0</t>
        </is>
      </c>
      <c r="Z113" t="inlineStr"/>
      <c r="AA113" t="inlineStr"/>
      <c r="AB113" t="inlineStr">
        <is>
          <t>{05-25-2026 top offenders}: Power status check Ongoing</t>
        </is>
      </c>
      <c r="AC113" t="inlineStr"/>
      <c r="AD113" t="inlineStr"/>
      <c r="AE113" t="inlineStr">
        <is>
          <t>{None hourly IHS}: 25/05/2026 19:49..3:10:11..FME Gael is managing with level 0</t>
        </is>
      </c>
      <c r="AF113" t="inlineStr"/>
      <c r="AG113" t="inlineStr"/>
      <c r="AH113" t="inlineStr"/>
      <c r="AI113" t="inlineStr"/>
      <c r="AJ113" t="inlineStr"/>
      <c r="AK113" t="inlineStr"/>
      <c r="AL113" t="inlineStr"/>
      <c r="AM113" t="inlineStr"/>
      <c r="AN113" t="inlineStr"/>
      <c r="AO113" t="inlineStr"/>
      <c r="AP113" t="inlineStr"/>
      <c r="AQ113" t="inlineStr"/>
      <c r="AR113" t="inlineStr"/>
    </row>
    <row r="114">
      <c r="A114" t="inlineStr">
        <is>
          <t>CTR_935_Z_BATA-Mokolo-II-HIS</t>
        </is>
      </c>
      <c r="B114" t="inlineStr">
        <is>
          <t>CTR_935</t>
        </is>
      </c>
      <c r="C114" t="inlineStr">
        <is>
          <t>Yaounde</t>
        </is>
      </c>
      <c r="D114" t="inlineStr">
        <is>
          <t>I_HS</t>
        </is>
      </c>
      <c r="E114" t="inlineStr">
        <is>
          <t>Grid Only</t>
        </is>
      </c>
      <c r="F114" t="inlineStr">
        <is>
          <t>CENTRE</t>
        </is>
      </c>
      <c r="G114" t="inlineStr">
        <is>
          <t>Yaoundé</t>
        </is>
      </c>
      <c r="H114" t="inlineStr">
        <is>
          <t>ZTE</t>
        </is>
      </c>
      <c r="I114" t="n">
        <v>1.421277391113281</v>
      </c>
      <c r="J114" t="n">
        <v>1.068499541995189</v>
      </c>
      <c r="K114" t="n">
        <v>0.2579665727828144</v>
      </c>
      <c r="L114" t="n">
        <v>0</v>
      </c>
      <c r="M114" t="n">
        <v>0</v>
      </c>
      <c r="N114" t="n">
        <v>6.073672409865353</v>
      </c>
      <c r="O114" t="n">
        <v>5.17789202035966</v>
      </c>
      <c r="P114" t="n">
        <v>20.47388791486363</v>
      </c>
      <c r="Q114" t="n">
        <v>13.28249622609743</v>
      </c>
      <c r="R114" t="inlineStr">
        <is>
          <t>Operationnel</t>
        </is>
      </c>
      <c r="S114" t="inlineStr"/>
      <c r="T114" t="inlineStr"/>
      <c r="U114" t="inlineStr"/>
      <c r="V114" t="inlineStr"/>
      <c r="W114" t="inlineStr"/>
      <c r="X114" t="inlineStr">
        <is>
          <t>{05-25-2026 top offenders}: Power status check Ongoing     ;    {05-25-2026 retour IHS}: IHS     ;    {None hourly IHS}: 25-05-2026 19:32:21..3:27:39..Grid outage, no space to deploy MDG, awaiting grid return     ;    {05-25-2026 ocm ran 22H}: Power status check Ongoing     ;    {05-25-2026 ticket}: INC-20260525-00021124..user:OCM_NOC.IHS</t>
        </is>
      </c>
      <c r="Y114" t="inlineStr">
        <is>
          <t>IHS 25-05-2026 19 32 21.3 27 39.Grid outage, no space to deploy MDG, awaiting grid return .user OCM_NOC.IHS</t>
        </is>
      </c>
      <c r="Z114" t="inlineStr"/>
      <c r="AA114" t="inlineStr"/>
      <c r="AB114" t="inlineStr">
        <is>
          <t>{05-25-2026 top offenders}: Power status check Ongoing</t>
        </is>
      </c>
      <c r="AC114" t="inlineStr"/>
      <c r="AD114" t="inlineStr">
        <is>
          <t>{05-25-2026 retour IHS}: IHS</t>
        </is>
      </c>
      <c r="AE114" t="inlineStr">
        <is>
          <t>{None hourly IHS}: 25-05-2026 19:32:21..3:27:39..Grid outage, no space to deploy MDG, awaiting grid return</t>
        </is>
      </c>
      <c r="AF114" t="inlineStr"/>
      <c r="AG114" t="inlineStr"/>
      <c r="AH114" t="inlineStr"/>
      <c r="AI114" t="inlineStr"/>
      <c r="AJ114" t="inlineStr"/>
      <c r="AK114" t="inlineStr"/>
      <c r="AL114" t="inlineStr"/>
      <c r="AM114" t="inlineStr"/>
      <c r="AN114" t="inlineStr"/>
      <c r="AO114" t="inlineStr">
        <is>
          <t>{05-25-2026 ocm ran 22H}: Power status check Ongoing</t>
        </is>
      </c>
      <c r="AP114" t="inlineStr"/>
      <c r="AQ114" t="inlineStr">
        <is>
          <t>{05-25-2026 ticket}: INC-20260525-00021124..user:OCM_NOC.IHS</t>
        </is>
      </c>
      <c r="AR114" t="inlineStr"/>
    </row>
    <row r="115">
      <c r="A115" t="inlineStr">
        <is>
          <t>Domayo</t>
        </is>
      </c>
      <c r="B115" t="inlineStr">
        <is>
          <t>EXN_054</t>
        </is>
      </c>
      <c r="C115" t="inlineStr">
        <is>
          <t>Maroua</t>
        </is>
      </c>
      <c r="D115" t="inlineStr">
        <is>
          <t>IHS</t>
        </is>
      </c>
      <c r="E115" t="inlineStr">
        <is>
          <t>Grid-Gen</t>
        </is>
      </c>
      <c r="F115" t="inlineStr">
        <is>
          <t>EXTREME-NORD</t>
        </is>
      </c>
      <c r="G115" t="inlineStr">
        <is>
          <t>Maroua</t>
        </is>
      </c>
      <c r="H115" t="inlineStr">
        <is>
          <t>Huawei</t>
        </is>
      </c>
      <c r="I115" t="n">
        <v>1.648086082075604</v>
      </c>
      <c r="J115" t="n">
        <v>12.31936632680141</v>
      </c>
      <c r="K115" t="n">
        <v>6.851434511019225</v>
      </c>
      <c r="L115" t="n">
        <v>5.706119286711012</v>
      </c>
      <c r="M115" t="n">
        <v>2.215205902412158</v>
      </c>
      <c r="N115" t="n">
        <v>9.440232965241059</v>
      </c>
      <c r="O115" t="n">
        <v>12.04673788127612</v>
      </c>
      <c r="P115" t="n">
        <v>15.05036613500209</v>
      </c>
      <c r="Q115" t="n">
        <v>13.24088698838294</v>
      </c>
      <c r="R115" t="inlineStr">
        <is>
          <t>Operationnel</t>
        </is>
      </c>
      <c r="S115" t="inlineStr"/>
      <c r="T115" t="inlineStr"/>
      <c r="U115" t="inlineStr"/>
      <c r="V115" t="inlineStr"/>
      <c r="W115" t="inlineStr"/>
      <c r="X115" t="inlineStr">
        <is>
          <t>{05-25-2026 top offenders}: UP sans action</t>
        </is>
      </c>
      <c r="Y115" t="inlineStr">
        <is>
          <t>UP sans action</t>
        </is>
      </c>
      <c r="Z115" t="inlineStr"/>
      <c r="AA115" t="inlineStr"/>
      <c r="AB115" t="inlineStr">
        <is>
          <t>{05-25-2026 top offenders}: UP sans action</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row>
    <row r="116">
      <c r="A116" t="inlineStr">
        <is>
          <t>Mefou-Assi-IHS</t>
        </is>
      </c>
      <c r="B116" t="inlineStr">
        <is>
          <t>CTR_642</t>
        </is>
      </c>
      <c r="C116" t="inlineStr">
        <is>
          <t>Yaounde</t>
        </is>
      </c>
      <c r="D116" t="inlineStr">
        <is>
          <t>HIS</t>
        </is>
      </c>
      <c r="E116" t="inlineStr">
        <is>
          <t>Grid-Gen</t>
        </is>
      </c>
      <c r="F116" t="inlineStr">
        <is>
          <t>CENTRE</t>
        </is>
      </c>
      <c r="G116" t="inlineStr">
        <is>
          <t>Yaounde</t>
        </is>
      </c>
      <c r="H116" t="inlineStr">
        <is>
          <t>ZTE</t>
        </is>
      </c>
      <c r="I116" t="n">
        <v>2.509252838631065</v>
      </c>
      <c r="J116" t="n">
        <v>0</v>
      </c>
      <c r="K116" t="n">
        <v>0</v>
      </c>
      <c r="L116" t="n">
        <v>0</v>
      </c>
      <c r="M116" t="n">
        <v>0.001730002596787445</v>
      </c>
      <c r="N116" t="n">
        <v>15.34891830429761</v>
      </c>
      <c r="O116" t="n">
        <v>13.05820761549211</v>
      </c>
      <c r="P116" t="n">
        <v>12.64365504621695</v>
      </c>
      <c r="Q116" t="n">
        <v>13.16913646831206</v>
      </c>
      <c r="R116" t="inlineStr">
        <is>
          <t>Operationnel</t>
        </is>
      </c>
      <c r="S116" t="inlineStr"/>
      <c r="T116" t="inlineStr"/>
      <c r="U116" t="inlineStr"/>
      <c r="V116" t="inlineStr"/>
      <c r="W116" t="inlineStr"/>
      <c r="X116" t="inlineStr">
        <is>
          <t>{05-25-2026 top offenders}: Power status check Ongoing     ;    {05-25-2026 ticket}: INC-20260525-00003663..Pas de problème TX
Merci d'activer un FME pour invisgation en local..power issues..Grid Outage..user:OCM_NOC.IHS</t>
        </is>
      </c>
      <c r="Y116" t="inlineStr">
        <is>
          <t>.Pas de problème TX
Merci d'activer un FME pour invisgation en local.power issues.Grid Outage.user OCM_NOC.IHS</t>
        </is>
      </c>
      <c r="Z116" t="inlineStr"/>
      <c r="AA116" t="inlineStr"/>
      <c r="AB116" t="inlineStr">
        <is>
          <t>{05-25-2026 top offenders}: Power status check Ongoing</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{05-25-2026 ticket}: INC-20260525-00003663..Pas de problème TX
Merci d'activer un FME pour invisgation en local..power issues..Grid Outage..user:OCM_NOC.IHS</t>
        </is>
      </c>
      <c r="AR116" t="inlineStr"/>
    </row>
    <row r="117">
      <c r="A117" t="inlineStr">
        <is>
          <t>Foumban-Lycee-MTN</t>
        </is>
      </c>
      <c r="B117" t="inlineStr">
        <is>
          <t>OST_128</t>
        </is>
      </c>
      <c r="C117" t="inlineStr">
        <is>
          <t>OUEST</t>
        </is>
      </c>
      <c r="D117" t="inlineStr">
        <is>
          <t>IHS</t>
        </is>
      </c>
      <c r="E117" t="inlineStr">
        <is>
          <t>Grid-Gen</t>
        </is>
      </c>
      <c r="F117" t="inlineStr">
        <is>
          <t>OUEST</t>
        </is>
      </c>
      <c r="G117" t="inlineStr">
        <is>
          <t>Foumban</t>
        </is>
      </c>
      <c r="H117" t="inlineStr">
        <is>
          <t>Huawei</t>
        </is>
      </c>
      <c r="I117" t="n">
        <v>0</v>
      </c>
      <c r="J117" t="n">
        <v>0</v>
      </c>
      <c r="K117" t="n">
        <v>0.04030727699731475</v>
      </c>
      <c r="L117" t="n">
        <v>0</v>
      </c>
      <c r="M117" t="n">
        <v>0</v>
      </c>
      <c r="N117" t="n">
        <v>7.799729426199697</v>
      </c>
      <c r="O117" t="n">
        <v>6.639446926500538</v>
      </c>
      <c r="P117" t="n">
        <v>18.6243001245439</v>
      </c>
      <c r="Q117" t="n">
        <v>13.05509897755063</v>
      </c>
      <c r="R117" t="inlineStr">
        <is>
          <t>Operationnel</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row>
    <row r="118">
      <c r="A118" t="inlineStr">
        <is>
          <t>Maroua-Tchadeo-III</t>
        </is>
      </c>
      <c r="B118" t="inlineStr">
        <is>
          <t>EXN_249</t>
        </is>
      </c>
      <c r="C118" t="inlineStr">
        <is>
          <t>Maroua</t>
        </is>
      </c>
      <c r="D118" t="inlineStr">
        <is>
          <t>CAMUSAT</t>
        </is>
      </c>
      <c r="E118" t="inlineStr">
        <is>
          <t>Medium Grid + GE</t>
        </is>
      </c>
      <c r="F118" t="inlineStr">
        <is>
          <t>EXTREME-NORD</t>
        </is>
      </c>
      <c r="G118" t="inlineStr">
        <is>
          <t>Maroua</t>
        </is>
      </c>
      <c r="H118" t="inlineStr">
        <is>
          <t>Huawei</t>
        </is>
      </c>
      <c r="I118" t="n">
        <v>4.857508425290997</v>
      </c>
      <c r="J118" t="n">
        <v>0.4456629369950889</v>
      </c>
      <c r="K118" t="n">
        <v>9.645299529439294</v>
      </c>
      <c r="L118" t="n">
        <v>0</v>
      </c>
      <c r="M118" t="n">
        <v>2.201205365933003</v>
      </c>
      <c r="N118" t="n">
        <v>9.460840737143748</v>
      </c>
      <c r="O118" t="n">
        <v>12.07324785540153</v>
      </c>
      <c r="P118" t="n">
        <v>14.6485123132115</v>
      </c>
      <c r="Q118" t="n">
        <v>13.04316731015629</v>
      </c>
      <c r="R118" t="inlineStr">
        <is>
          <t>Operationnel</t>
        </is>
      </c>
      <c r="S118" t="inlineStr"/>
      <c r="T118" t="inlineStr"/>
      <c r="U118" t="inlineStr"/>
      <c r="V118" t="inlineStr"/>
      <c r="W118" t="inlineStr"/>
      <c r="X118" t="inlineStr">
        <is>
          <t xml:space="preserve">{05-25-2026 retour CAMUSAT}: Défaut radiateur </t>
        </is>
      </c>
      <c r="Y118" t="inlineStr">
        <is>
          <t>Défaut radiateur</t>
        </is>
      </c>
      <c r="Z118" t="inlineStr"/>
      <c r="AA118" t="inlineStr"/>
      <c r="AB118" t="inlineStr"/>
      <c r="AC118" t="inlineStr">
        <is>
          <t xml:space="preserve">{05-25-2026 retour CAMUSAT}: Défaut radiateur </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row>
    <row r="119">
      <c r="A119" t="inlineStr">
        <is>
          <t>Hila</t>
        </is>
      </c>
      <c r="B119" t="inlineStr">
        <is>
          <t>LIT_008</t>
        </is>
      </c>
      <c r="C119" t="inlineStr">
        <is>
          <t>Douala</t>
        </is>
      </c>
      <c r="D119" t="inlineStr">
        <is>
          <t>IHS</t>
        </is>
      </c>
      <c r="E119" t="inlineStr">
        <is>
          <t>GridOnly</t>
        </is>
      </c>
      <c r="F119" t="inlineStr">
        <is>
          <t>LITTORAL</t>
        </is>
      </c>
      <c r="G119" t="inlineStr">
        <is>
          <t>Douala</t>
        </is>
      </c>
      <c r="H119" t="inlineStr">
        <is>
          <t>ZTE</t>
        </is>
      </c>
      <c r="I119" t="n">
        <v>0</v>
      </c>
      <c r="J119" t="n">
        <v>0</v>
      </c>
      <c r="K119" t="n">
        <v>0</v>
      </c>
      <c r="L119" t="n">
        <v>0</v>
      </c>
      <c r="M119" t="n">
        <v>0</v>
      </c>
      <c r="N119" t="n">
        <v>5.833123508746688</v>
      </c>
      <c r="O119" t="n">
        <v>4.96559972255373</v>
      </c>
      <c r="P119" t="n">
        <v>19.94562969091661</v>
      </c>
      <c r="Q119" t="n">
        <v>12.90139627261131</v>
      </c>
      <c r="R119" t="inlineStr">
        <is>
          <t>Operationnel</t>
        </is>
      </c>
      <c r="S119" t="inlineStr"/>
      <c r="T119" t="inlineStr"/>
      <c r="U119" t="inlineStr"/>
      <c r="V119" t="inlineStr"/>
      <c r="W119" t="inlineStr"/>
      <c r="X119" t="inlineStr">
        <is>
          <t>{05-25-2026 top offenders}: IHS feedback : Grid only, No space // Awaiting grid return     ;    {05-25-2026 ocm ran 22H}: Power status check Ongoing     ;    {05-25-2026 ticket}: INC-20260525-00021448..problème d énergie..user:OCM_NOC.IHS</t>
        </is>
      </c>
      <c r="Y119" t="inlineStr">
        <is>
          <t>IHS feedback Grid only, No space // Awaiting grid return .problème d énergie.user OCM_NOC.IHS</t>
        </is>
      </c>
      <c r="Z119" t="inlineStr"/>
      <c r="AA119" t="inlineStr"/>
      <c r="AB119" t="inlineStr">
        <is>
          <t>{05-25-2026 top offenders}: IHS feedback : Grid only, No space // Awaiting grid return</t>
        </is>
      </c>
      <c r="AC119" t="inlineStr"/>
      <c r="AD119" t="inlineStr"/>
      <c r="AE119" t="inlineStr"/>
      <c r="AF119" t="inlineStr"/>
      <c r="AG119" t="inlineStr"/>
      <c r="AH119" t="inlineStr"/>
      <c r="AI119" t="inlineStr"/>
      <c r="AJ119" t="inlineStr"/>
      <c r="AK119" t="inlineStr"/>
      <c r="AL119" t="inlineStr"/>
      <c r="AM119" t="inlineStr"/>
      <c r="AN119" t="inlineStr"/>
      <c r="AO119" t="inlineStr">
        <is>
          <t>{05-25-2026 ocm ran 22H}: Power status check Ongoing</t>
        </is>
      </c>
      <c r="AP119" t="inlineStr"/>
      <c r="AQ119" t="inlineStr">
        <is>
          <t>{05-25-2026 ticket}: INC-20260525-00021448..problème d énergie..user:OCM_NOC.IHS</t>
        </is>
      </c>
      <c r="AR119" t="inlineStr"/>
    </row>
    <row r="120">
      <c r="A120" t="inlineStr">
        <is>
          <t>Yagoua-MTN-IHS</t>
        </is>
      </c>
      <c r="B120" t="inlineStr">
        <is>
          <t>EXN_144</t>
        </is>
      </c>
      <c r="C120" t="inlineStr">
        <is>
          <t>EXTREME-NORD</t>
        </is>
      </c>
      <c r="D120" t="inlineStr">
        <is>
          <t>IHS</t>
        </is>
      </c>
      <c r="E120" t="inlineStr">
        <is>
          <t>Grid-Gen</t>
        </is>
      </c>
      <c r="F120" t="inlineStr">
        <is>
          <t>EXTREME-NORD</t>
        </is>
      </c>
      <c r="G120" t="inlineStr">
        <is>
          <t>Yagoua</t>
        </is>
      </c>
      <c r="H120" t="inlineStr">
        <is>
          <t>Huawei</t>
        </is>
      </c>
      <c r="I120" t="n">
        <v>0.8787164736197788</v>
      </c>
      <c r="J120" t="n">
        <v>0.06108514323708099</v>
      </c>
      <c r="K120" t="n">
        <v>0.3451979408331978</v>
      </c>
      <c r="L120" t="n">
        <v>0.1844860501151432</v>
      </c>
      <c r="M120" t="n">
        <v>4.654545234039031</v>
      </c>
      <c r="N120" t="n">
        <v>9.507676582377133</v>
      </c>
      <c r="O120" t="n">
        <v>16.05335655585816</v>
      </c>
      <c r="P120" t="n">
        <v>11.78594508905217</v>
      </c>
      <c r="Q120" t="n">
        <v>12.89322780674194</v>
      </c>
      <c r="R120" t="inlineStr">
        <is>
          <t>Insecurity</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row>
    <row r="121">
      <c r="A121" t="inlineStr">
        <is>
          <t>Mvam-Yetom</t>
        </is>
      </c>
      <c r="B121" t="inlineStr">
        <is>
          <t>CTR_860</t>
        </is>
      </c>
      <c r="C121" t="inlineStr">
        <is>
          <t>CENTRE</t>
        </is>
      </c>
      <c r="D121" t="inlineStr">
        <is>
          <t>ESCO</t>
        </is>
      </c>
      <c r="E121" t="inlineStr">
        <is>
          <t>Hybrid Solar - S2</t>
        </is>
      </c>
      <c r="F121" t="inlineStr">
        <is>
          <t>CTR</t>
        </is>
      </c>
      <c r="G121" t="inlineStr">
        <is>
          <t>Mvam-Yetom</t>
        </is>
      </c>
      <c r="H121" t="inlineStr">
        <is>
          <t>NOKIA</t>
        </is>
      </c>
      <c r="I121" t="n">
        <v>5.976124537358069</v>
      </c>
      <c r="J121" t="n">
        <v>3.695463897521067</v>
      </c>
      <c r="K121" t="n">
        <v>9.741728926752065</v>
      </c>
      <c r="L121" t="n">
        <v>5.730696024632383</v>
      </c>
      <c r="M121" t="n">
        <v>3.134800375535409</v>
      </c>
      <c r="N121" t="n">
        <v>29.49584147652563</v>
      </c>
      <c r="O121" t="n">
        <v>0</v>
      </c>
      <c r="P121" t="n">
        <v>16.20524271834035</v>
      </c>
      <c r="Q121" t="n">
        <v>12.66285210011614</v>
      </c>
      <c r="R121" t="inlineStr">
        <is>
          <t>Operationnel</t>
        </is>
      </c>
      <c r="S121" t="inlineStr"/>
      <c r="T121" t="inlineStr"/>
      <c r="U121" t="inlineStr"/>
      <c r="V121" t="inlineStr"/>
      <c r="W121" t="inlineStr"/>
      <c r="X121" t="inlineStr">
        <is>
          <t xml:space="preserve">{05-25-2026 top offenders}: 2405/2026 ODU MPT 7/8GHz en attente de retour OCM      ;    {05-25-2026 retour CAMUSAT}: No power issue      ;    {05-25-2026 ocm ran 17H}: 2405/2026 ODU MPT 7/8GHz en attente de retour OCM </t>
        </is>
      </c>
      <c r="Y121" t="inlineStr">
        <is>
          <t>2405/2026 ODU MPT 7/8GHz en attente de retour OCM No power issue 2405/2026 ODU MPT 7/8GHz en attente de retour OCM</t>
        </is>
      </c>
      <c r="Z121" t="inlineStr"/>
      <c r="AA121" t="inlineStr"/>
      <c r="AB121" t="inlineStr">
        <is>
          <t xml:space="preserve">{05-25-2026 top offenders}: 2405/2026 ODU MPT 7/8GHz en attente de retour OCM </t>
        </is>
      </c>
      <c r="AC121" t="inlineStr">
        <is>
          <t xml:space="preserve">{05-25-2026 retour CAMUSAT}: No power issue </t>
        </is>
      </c>
      <c r="AD121" t="inlineStr"/>
      <c r="AE121" t="inlineStr"/>
      <c r="AF121" t="inlineStr"/>
      <c r="AG121" t="inlineStr"/>
      <c r="AH121" t="inlineStr"/>
      <c r="AI121" t="inlineStr"/>
      <c r="AJ121" t="inlineStr"/>
      <c r="AK121" t="inlineStr"/>
      <c r="AL121" t="inlineStr"/>
      <c r="AM121" t="inlineStr"/>
      <c r="AN121" t="inlineStr"/>
      <c r="AO121" t="inlineStr"/>
      <c r="AP121" t="inlineStr">
        <is>
          <t xml:space="preserve">{05-25-2026 ocm ran 17H}: 2405/2026 ODU MPT 7/8GHz en attente de retour OCM </t>
        </is>
      </c>
      <c r="AQ121" t="inlineStr"/>
      <c r="AR121" t="inlineStr"/>
    </row>
    <row r="122">
      <c r="A122" t="inlineStr">
        <is>
          <t>Bertoua-Birpondo-IHS</t>
        </is>
      </c>
      <c r="B122" t="inlineStr">
        <is>
          <t>EST_128</t>
        </is>
      </c>
      <c r="C122" t="inlineStr">
        <is>
          <t>CENTRE</t>
        </is>
      </c>
      <c r="D122" t="inlineStr">
        <is>
          <t>IHS</t>
        </is>
      </c>
      <c r="E122" t="inlineStr">
        <is>
          <t>Grid-Gen</t>
        </is>
      </c>
      <c r="F122" t="inlineStr">
        <is>
          <t>EST</t>
        </is>
      </c>
      <c r="G122" t="inlineStr">
        <is>
          <t>Bertoua</t>
        </is>
      </c>
      <c r="H122" t="inlineStr">
        <is>
          <t>ZTE</t>
        </is>
      </c>
      <c r="I122" t="n">
        <v>0</v>
      </c>
      <c r="J122" t="n">
        <v>4.892090642148427</v>
      </c>
      <c r="K122" t="n">
        <v>0</v>
      </c>
      <c r="L122" t="n">
        <v>0</v>
      </c>
      <c r="M122" t="n">
        <v>5.709525786669635</v>
      </c>
      <c r="N122" t="n">
        <v>7.817464599594738</v>
      </c>
      <c r="O122" t="n">
        <v>13.51913053235003</v>
      </c>
      <c r="P122" t="n">
        <v>13.42790270472588</v>
      </c>
      <c r="Q122" t="n">
        <v>12.65735889599438</v>
      </c>
      <c r="R122" t="inlineStr">
        <is>
          <t>Operationnel</t>
        </is>
      </c>
      <c r="S122" t="inlineStr"/>
      <c r="T122" t="inlineStr"/>
      <c r="U122" t="inlineStr"/>
      <c r="V122" t="inlineStr"/>
      <c r="W122" t="inlineStr"/>
      <c r="X122" t="inlineStr">
        <is>
          <t>{None hourly IHS}: 25/05/2026 04:35..1:48:26..0V..FME is informed and managing     ;    {05-25-2026 ticket}: INC-20260525-00003173..Grid Outage</t>
        </is>
      </c>
      <c r="Y122" t="inlineStr">
        <is>
          <t>25/05/2026 04 35.1 48 26.0V.FME is informed and managing .Grid Outage</t>
        </is>
      </c>
      <c r="Z122" t="inlineStr"/>
      <c r="AA122" t="inlineStr"/>
      <c r="AB122" t="inlineStr"/>
      <c r="AC122" t="inlineStr"/>
      <c r="AD122" t="inlineStr"/>
      <c r="AE122" t="inlineStr">
        <is>
          <t>{None hourly IHS}: 25/05/2026 04:35..1:48:26..0V..FME is informed and managing</t>
        </is>
      </c>
      <c r="AF122" t="inlineStr"/>
      <c r="AG122" t="inlineStr"/>
      <c r="AH122" t="inlineStr"/>
      <c r="AI122" t="inlineStr"/>
      <c r="AJ122" t="inlineStr"/>
      <c r="AK122" t="inlineStr"/>
      <c r="AL122" t="inlineStr"/>
      <c r="AM122" t="inlineStr"/>
      <c r="AN122" t="inlineStr"/>
      <c r="AO122" t="inlineStr"/>
      <c r="AP122" t="inlineStr"/>
      <c r="AQ122" t="inlineStr">
        <is>
          <t>{05-25-2026 ticket}: INC-20260525-00003173..Grid Outage</t>
        </is>
      </c>
      <c r="AR122" t="inlineStr"/>
    </row>
    <row r="123">
      <c r="A123" t="inlineStr">
        <is>
          <t>Bertoua-Ngaikada</t>
        </is>
      </c>
      <c r="B123" t="inlineStr">
        <is>
          <t>EST_051</t>
        </is>
      </c>
      <c r="C123" t="inlineStr">
        <is>
          <t>CENTRE</t>
        </is>
      </c>
      <c r="D123" t="inlineStr">
        <is>
          <t>IHS</t>
        </is>
      </c>
      <c r="E123" t="inlineStr">
        <is>
          <t>Grid-Gen</t>
        </is>
      </c>
      <c r="F123" t="inlineStr">
        <is>
          <t>EST</t>
        </is>
      </c>
      <c r="G123" t="inlineStr">
        <is>
          <t>Bertoua</t>
        </is>
      </c>
      <c r="H123" t="inlineStr">
        <is>
          <t>ZTE</t>
        </is>
      </c>
      <c r="I123" t="n">
        <v>0</v>
      </c>
      <c r="J123" t="n">
        <v>0.3249016217080016</v>
      </c>
      <c r="K123" t="n">
        <v>0</v>
      </c>
      <c r="L123" t="n">
        <v>0</v>
      </c>
      <c r="M123" t="n">
        <v>1.254162707279279</v>
      </c>
      <c r="N123" t="n">
        <v>12.30533773765132</v>
      </c>
      <c r="O123" t="n">
        <v>5.258856350153514</v>
      </c>
      <c r="P123" t="n">
        <v>17.08306246675729</v>
      </c>
      <c r="Q123" t="n">
        <v>12.43128144324307</v>
      </c>
      <c r="R123" t="inlineStr">
        <is>
          <t>Operationnel</t>
        </is>
      </c>
      <c r="S123" t="inlineStr"/>
      <c r="T123" t="inlineStr"/>
      <c r="U123" t="inlineStr"/>
      <c r="V123" t="inlineStr"/>
      <c r="W123" t="inlineStr"/>
      <c r="X123" t="inlineStr">
        <is>
          <t>{05-25-2026 ticket}: INC-20260525-00000785..En Attente RCA IHS..Grid Outage..Souci Energie</t>
        </is>
      </c>
      <c r="Y123" t="inlineStr">
        <is>
          <t>.En Attente RCA IHS.Grid Outage.Souci Energie</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{05-25-2026 ticket}: INC-20260525-00000785..En Attente RCA IHS..Grid Outage..Souci Energie</t>
        </is>
      </c>
      <c r="AR123" t="inlineStr"/>
    </row>
    <row r="124">
      <c r="A124" t="inlineStr">
        <is>
          <t>Bfsam-Ndiandam-II</t>
        </is>
      </c>
      <c r="B124" t="inlineStr">
        <is>
          <t>OST_240</t>
        </is>
      </c>
      <c r="C124" t="inlineStr">
        <is>
          <t>Bafoussam</t>
        </is>
      </c>
      <c r="D124" t="inlineStr">
        <is>
          <t>CAMUSAT</t>
        </is>
      </c>
      <c r="E124" t="inlineStr">
        <is>
          <t>Good Grid + GE</t>
        </is>
      </c>
      <c r="F124" t="inlineStr">
        <is>
          <t>OUEST</t>
        </is>
      </c>
      <c r="G124" t="inlineStr">
        <is>
          <t>Bafoussam</t>
        </is>
      </c>
      <c r="H124" t="inlineStr">
        <is>
          <t>Huawei</t>
        </is>
      </c>
      <c r="I124" t="n">
        <v>12.3312444889608</v>
      </c>
      <c r="J124" t="n">
        <v>12.40224593574235</v>
      </c>
      <c r="K124" t="n">
        <v>12.32689272985136</v>
      </c>
      <c r="L124" t="n">
        <v>12.32653602828501</v>
      </c>
      <c r="M124" t="n">
        <v>11.56328385169205</v>
      </c>
      <c r="N124" t="n">
        <v>21.58195748354376</v>
      </c>
      <c r="O124" t="n">
        <v>0</v>
      </c>
      <c r="P124" t="n">
        <v>17.7294486141481</v>
      </c>
      <c r="Q124" t="n">
        <v>12.32760613298405</v>
      </c>
      <c r="R124" t="inlineStr">
        <is>
          <t>Operationnel</t>
        </is>
      </c>
      <c r="S124" t="inlineStr">
        <is>
          <t xml:space="preserve"> Site was vandalise</t>
        </is>
      </c>
      <c r="T124" t="inlineStr"/>
      <c r="U124" t="inlineStr"/>
      <c r="V124" t="inlineStr"/>
      <c r="W124" t="inlineStr"/>
      <c r="X124" t="inlineStr">
        <is>
          <t>{05-25-2026 top offenders}: 25/05/2026 : Relance faite a camusat ce jour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     ;    {05-25-2026 retour CAMUSAT}: No power issue      ;    {05/25/2026 cell huawei}: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     ;    {05/25/2026 cell huawei}: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     ;    {05/25/2026 cell huawei}: 25/05/2026 : Relance faite a camusat ce jour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t>
        </is>
      </c>
      <c r="Y124" t="inlineStr">
        <is>
          <t>25/05/2026 Relance faite a camusat ce jour
22/05/2026 Escalade faite a camusat || Feedback de mise a disposition du materiel attendu de camusat
18/05/2026 Reste de cable attendu de camusat
17/05/2026 Probable disjonction des breakers || Fme active || Feedback RM Site was vandalise installation done but not yet finish 3 radios are of || The cable provided by camusat was not the nomber of meters requested No power issue 22/05/2026 Escalade faite a camusat || Feedback de mise a disposition du materiel attendu de camusat
18/05/2026 Reste de cable attendu de camusat
17/05/2026 Probable disjonction des breakers || Fme active || Feedback RM Site was vandalise installation done but not yet finish 3 radios are of || The cable provided by camusat was not the nomber of meters requested 22/05/2026 Escalade faite a camusat || Feedback de mise a disposition du materiel attendu de camusat
18/05/2026 Reste de cable attendu de camusat
17/05/2026 Probable disjonction des breakers || Fme active || Feedback RM Site was vandalise installation done but not yet finish 3 radios are of || The cable provided by camusat was not the nomber of meters requested 25/05/2026 Relance faite a camusat ce jour
22/05/2026 Escalade faite a camusat || Feedback de mise a disposition du materiel attendu de camusat
18/05/2026 Reste de cable attendu de camusat
17/05/2026 Probable disjonction des breakers || Fme active || Feedback RM Site was vandalise installation done but not yet finish 3 radios are of || The cable provided by camusat was not the nomber of meters requested</t>
        </is>
      </c>
      <c r="Z124" t="inlineStr"/>
      <c r="AA124" t="inlineStr"/>
      <c r="AB124" t="inlineStr">
        <is>
          <t>{05-25-2026 top offenders}: 25/05/2026 : Relance faite a camusat ce jour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t>
        </is>
      </c>
      <c r="AC124" t="inlineStr">
        <is>
          <t xml:space="preserve">{05-25-2026 retour CAMUSAT}: No power issue </t>
        </is>
      </c>
      <c r="AD124" t="inlineStr"/>
      <c r="AE124" t="inlineStr"/>
      <c r="AF124" t="inlineStr"/>
      <c r="AG124" t="inlineStr"/>
      <c r="AH124" t="inlineStr"/>
      <c r="AI124" t="inlineStr"/>
      <c r="AJ124" t="inlineStr"/>
      <c r="AK124" t="inlineStr"/>
      <c r="AL124" t="inlineStr">
        <is>
          <t>{05/25/2026 cell huawei}: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t>
        </is>
      </c>
      <c r="AM124" t="inlineStr">
        <is>
          <t>{05/25/2026 cell huawei}: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t>
        </is>
      </c>
      <c r="AN124" t="inlineStr">
        <is>
          <t>{05/25/2026 cell huawei}: 25/05/2026 : Relance faite a camusat ce jour
22/05/2026 : Escalade faite a camusat || Feedback de mise a disposition du materiel attendu de camusat
18/05/2026 : Reste de cable attendu de camusat
17/05/2026 : Probable disjonction des breakers || Fme active || Feedback RM : Site was vandalise installation done but not yet finish 3 radios are of || The cable provided by camusat was not the nomber of meters requested</t>
        </is>
      </c>
      <c r="AO124" t="inlineStr"/>
      <c r="AP124" t="inlineStr"/>
      <c r="AQ124" t="inlineStr"/>
      <c r="AR124" t="inlineStr"/>
    </row>
    <row r="125">
      <c r="A125" t="inlineStr">
        <is>
          <t>Balissa-MTN-IHS</t>
        </is>
      </c>
      <c r="B125" t="inlineStr">
        <is>
          <t>CTR_170</t>
        </is>
      </c>
      <c r="C125" t="inlineStr">
        <is>
          <t>CENTRE</t>
        </is>
      </c>
      <c r="D125" t="inlineStr">
        <is>
          <t>IHS</t>
        </is>
      </c>
      <c r="E125" t="inlineStr">
        <is>
          <t>Solar-Gen</t>
        </is>
      </c>
      <c r="F125" t="inlineStr">
        <is>
          <t>CENTRE</t>
        </is>
      </c>
      <c r="G125" t="inlineStr">
        <is>
          <t>Balissa</t>
        </is>
      </c>
      <c r="H125" t="inlineStr">
        <is>
          <t>NOKIA</t>
        </is>
      </c>
      <c r="I125" t="n">
        <v>3.080938439016873</v>
      </c>
      <c r="J125" t="n">
        <v>12.32678571938145</v>
      </c>
      <c r="K125" t="n">
        <v>12.32664303875491</v>
      </c>
      <c r="L125" t="n">
        <v>12.32667870891155</v>
      </c>
      <c r="M125" t="n">
        <v>12.32664303875491</v>
      </c>
      <c r="N125" t="n">
        <v>21.57571270417931</v>
      </c>
      <c r="O125" t="n">
        <v>27.54062241806665</v>
      </c>
      <c r="P125" t="n">
        <v>0</v>
      </c>
      <c r="Q125" t="n">
        <v>12.32671437906818</v>
      </c>
      <c r="R125" t="inlineStr">
        <is>
          <t>Operationnel</t>
        </is>
      </c>
      <c r="S125" t="inlineStr"/>
      <c r="T125" t="inlineStr"/>
      <c r="U125" t="inlineStr"/>
      <c r="V125" t="inlineStr"/>
      <c r="W125" t="inlineStr"/>
      <c r="X125" t="inlineStr">
        <is>
          <t xml:space="preserve">{05-25-2026 top offenders}: 26/05/2026 : ODU3DB20859AC (MPT-7-8Ghz) faulty et pas disponible en stock. Retour OCM: Début des démentellement des ODUs ce jour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    {05-25-2026 retour IHS}: IHS     ;    {05-25-2026 ocm ran 22H}: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    {05-25-2026 ocm ran 17H}: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t>
        </is>
      </c>
      <c r="Y125" t="inlineStr">
        <is>
          <t>26/05/2026 ODU3DB20859AC (MPT-7-8Ghz) faulty et pas disponible en stock. Retour OCM Début des démentellement des ODUs ce jour
23/05/2026 ODU3DB20859AC (MPT-7-8Ghz) faulty et pas disponible en stock. Retour OCM Début des démentellement des ODUs ce jour
22/05/2026 ODU3DB20859AC (MPT-7-8Ghz) faulty et pas disponible en stock. Retour OCM Début des démentellement des ODUs ce jour
21/05/2026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IHS 23/05/2026 ODU3DB20859AC (MPT-7-8Ghz) faulty et pas disponible en stock. Retour OCM Début des démentellement des ODUs ce jour
22/05/2026 ODU3DB20859AC (MPT-7-8Ghz) faulty et pas disponible en stock. Retour OCM Début des démentellement des ODUs ce jour
21/05/2026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23/05/2026 ODU3DB20859AC (MPT-7-8Ghz) faulty et pas disponible en stock. Retour OCM Début des démentellement des ODUs ce jour
22/05/2026 ODU3DB20859AC (MPT-7-8Ghz) faulty et pas disponible en stock. Retour OCM Début des démentellement des ODUs ce jour
21/05/2026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t>
        </is>
      </c>
      <c r="Z125" t="inlineStr"/>
      <c r="AA125" t="inlineStr"/>
      <c r="AB125" t="inlineStr">
        <is>
          <t xml:space="preserve">{05-25-2026 top offenders}: 26/05/2026 : ODU3DB20859AC (MPT-7-8Ghz) faulty et pas disponible en stock. Retour OCM: Début des démentellement des ODUs ce jour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t>
        </is>
      </c>
      <c r="AC125" t="inlineStr"/>
      <c r="AD125" t="inlineStr">
        <is>
          <t>{05-25-2026 retour IHS}: IHS</t>
        </is>
      </c>
      <c r="AE125" t="inlineStr"/>
      <c r="AF125" t="inlineStr"/>
      <c r="AG125" t="inlineStr"/>
      <c r="AH125" t="inlineStr"/>
      <c r="AI125" t="inlineStr"/>
      <c r="AJ125" t="inlineStr"/>
      <c r="AK125" t="inlineStr"/>
      <c r="AL125" t="inlineStr"/>
      <c r="AM125" t="inlineStr"/>
      <c r="AN125" t="inlineStr"/>
      <c r="AO125" t="inlineStr">
        <is>
          <t xml:space="preserve">{05-25-2026 ocm ran 22H}: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t>
        </is>
      </c>
      <c r="AP125" t="inlineStr">
        <is>
          <t xml:space="preserve">{05-25-2026 ocm ran 17H}: 23/05/2026 : ODU3DB20859AC (MPT-7-8Ghz) faulty et pas disponible en stock. Retour OCM: Début des démentellement des ODUs ce jour
22/05/2026 : ODU3DB20859AC (MPT-7-8Ghz) faulty et pas disponible en stock. Retour OCM: Début des démentellement des ODUs ce jour
21/05/2026 : ODU3DB20859AC (MPT-7-8Ghz) faulty et pas disponible en stock. Retour OCM: Début des démentellement des ODUs ce jour
18.05.26: ODU3DB20859AC (MPT-7-8Ghz) faulty et pas disponible en stock. Retour OCM: Début des démentellement des ODUs ce jour
15/05/2026  ODU3DB20859AC (MPT-7-8Ghz) en attente de mise a disposition du matériel
14/05/2026 FME en route pour le site ETA=12H37 UTC // Apres travaux ODU rcu faulty nouvelle commande en cours 
13/05/2026 Spare recu a Ngaoundere et expediee a Ngaoundal ETD=13.05.2026
12.05.2026: Spare recu a Ngaoundere et expediee a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t>
        </is>
      </c>
      <c r="AQ125" t="inlineStr"/>
      <c r="AR125" t="inlineStr"/>
    </row>
    <row r="126">
      <c r="A126" t="inlineStr">
        <is>
          <t>H-Progres</t>
        </is>
      </c>
      <c r="B126" t="inlineStr">
        <is>
          <t>CTR_017</t>
        </is>
      </c>
      <c r="C126" t="inlineStr">
        <is>
          <t>Yaounde</t>
        </is>
      </c>
      <c r="D126" t="inlineStr">
        <is>
          <t>IHS</t>
        </is>
      </c>
      <c r="E126" t="inlineStr">
        <is>
          <t>GridOnly</t>
        </is>
      </c>
      <c r="F126" t="inlineStr">
        <is>
          <t>CENTRE</t>
        </is>
      </c>
      <c r="G126" t="inlineStr">
        <is>
          <t>Yaounde</t>
        </is>
      </c>
      <c r="H126" t="inlineStr">
        <is>
          <t>ZTE</t>
        </is>
      </c>
      <c r="I126" t="n">
        <v>37.84089968695871</v>
      </c>
      <c r="J126" t="n">
        <v>0</v>
      </c>
      <c r="K126" t="n">
        <v>0</v>
      </c>
      <c r="L126" t="n">
        <v>0</v>
      </c>
      <c r="M126" t="n">
        <v>0</v>
      </c>
      <c r="N126" t="n">
        <v>0</v>
      </c>
      <c r="O126" t="n">
        <v>2.879652580148312</v>
      </c>
      <c r="P126" t="n">
        <v>21.69145369440121</v>
      </c>
      <c r="Q126" t="n">
        <v>12.27857750268953</v>
      </c>
      <c r="R126" t="inlineStr">
        <is>
          <t>Operationnel</t>
        </is>
      </c>
      <c r="S126" t="inlineStr"/>
      <c r="T126" t="inlineStr"/>
      <c r="U126" t="inlineStr"/>
      <c r="V126" t="inlineStr"/>
      <c r="W126" t="inlineStr"/>
      <c r="X126" t="inlineStr">
        <is>
          <t>{05-25-2026 top offenders}: Power status check Ongoing     ;    {None hourly IHS}: 25/05/2026 19:39..3:20:33..FME isinformed and managing ETA ASAP     ;    {05-25-2026 ocm ran 22H}: Power status check Ongoing     ;    {05-25-2026 ticket}: INC-20260525-00021333..user:OCM_NOC.IHS</t>
        </is>
      </c>
      <c r="Y126" t="inlineStr">
        <is>
          <t>25/05/2026 19 39.3 20 33.FME isinformed and managing ETA ASAP .user OCM_NOC.IHS</t>
        </is>
      </c>
      <c r="Z126" t="inlineStr"/>
      <c r="AA126" t="inlineStr"/>
      <c r="AB126" t="inlineStr">
        <is>
          <t>{05-25-2026 top offenders}: Power status check Ongoing</t>
        </is>
      </c>
      <c r="AC126" t="inlineStr"/>
      <c r="AD126" t="inlineStr"/>
      <c r="AE126" t="inlineStr">
        <is>
          <t>{None hourly IHS}: 25/05/2026 19:39..3:20:33..FME isinformed and managing ETA ASAP</t>
        </is>
      </c>
      <c r="AF126" t="inlineStr"/>
      <c r="AG126" t="inlineStr"/>
      <c r="AH126" t="inlineStr"/>
      <c r="AI126" t="inlineStr"/>
      <c r="AJ126" t="inlineStr"/>
      <c r="AK126" t="inlineStr"/>
      <c r="AL126" t="inlineStr"/>
      <c r="AM126" t="inlineStr"/>
      <c r="AN126" t="inlineStr"/>
      <c r="AO126" t="inlineStr">
        <is>
          <t>{05-25-2026 ocm ran 22H}: Power status check Ongoing</t>
        </is>
      </c>
      <c r="AP126" t="inlineStr"/>
      <c r="AQ126" t="inlineStr">
        <is>
          <t>{05-25-2026 ticket}: INC-20260525-00021333..user:OCM_NOC.IHS</t>
        </is>
      </c>
      <c r="AR126" t="inlineStr"/>
    </row>
    <row r="127">
      <c r="A127" t="inlineStr">
        <is>
          <t>Bertoua-ENIA-MTN</t>
        </is>
      </c>
      <c r="B127" t="inlineStr">
        <is>
          <t>EST_069</t>
        </is>
      </c>
      <c r="C127" t="inlineStr">
        <is>
          <t>CENTRE</t>
        </is>
      </c>
      <c r="D127" t="inlineStr">
        <is>
          <t>IHS</t>
        </is>
      </c>
      <c r="E127" t="inlineStr">
        <is>
          <t>Grid-Gen</t>
        </is>
      </c>
      <c r="F127" t="inlineStr">
        <is>
          <t>EST</t>
        </is>
      </c>
      <c r="G127" t="inlineStr">
        <is>
          <t>Bertoua</t>
        </is>
      </c>
      <c r="H127" t="inlineStr">
        <is>
          <t>ZTE</t>
        </is>
      </c>
      <c r="I127" t="n">
        <v>0</v>
      </c>
      <c r="J127" t="n">
        <v>0.3240990431837188</v>
      </c>
      <c r="K127" t="n">
        <v>2.577739539369865</v>
      </c>
      <c r="L127" t="n">
        <v>1.248223626199586</v>
      </c>
      <c r="M127" t="n">
        <v>1.254483738688992</v>
      </c>
      <c r="N127" t="n">
        <v>12.21641207950154</v>
      </c>
      <c r="O127" t="n">
        <v>5.189207901098564</v>
      </c>
      <c r="P127" t="n">
        <v>16.76352882786457</v>
      </c>
      <c r="Q127" t="n">
        <v>12.22856794308755</v>
      </c>
      <c r="R127" t="inlineStr">
        <is>
          <t>Operationnel</t>
        </is>
      </c>
      <c r="S127" t="inlineStr"/>
      <c r="T127" t="inlineStr"/>
      <c r="U127" t="inlineStr"/>
      <c r="V127" t="inlineStr"/>
      <c r="W127" t="inlineStr"/>
      <c r="X127" t="inlineStr">
        <is>
          <t>{05-25-2026 ticket}: INC-20260525-00000902..Grid Outage</t>
        </is>
      </c>
      <c r="Y127" t="inlineStr">
        <is>
          <t>.Grid Outage</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is>
          <t>{05-25-2026 ticket}: INC-20260525-00000902..Grid Outage</t>
        </is>
      </c>
      <c r="AR127" t="inlineStr"/>
    </row>
    <row r="128">
      <c r="A128" t="inlineStr">
        <is>
          <t>Bodjongo-II</t>
        </is>
      </c>
      <c r="B128" t="inlineStr">
        <is>
          <t>LIT_773</t>
        </is>
      </c>
      <c r="C128" t="inlineStr">
        <is>
          <t>douala</t>
        </is>
      </c>
      <c r="D128" t="inlineStr">
        <is>
          <t>CAMUSAT</t>
        </is>
      </c>
      <c r="E128" t="inlineStr">
        <is>
          <t>Bad Grid + GE</t>
        </is>
      </c>
      <c r="F128" t="inlineStr">
        <is>
          <t>LITTORAL</t>
        </is>
      </c>
      <c r="G128" t="inlineStr">
        <is>
          <t>Bodjongo</t>
        </is>
      </c>
      <c r="H128" t="inlineStr">
        <is>
          <t>ZTE</t>
        </is>
      </c>
      <c r="I128" t="n">
        <v>0</v>
      </c>
      <c r="J128" t="n">
        <v>0.01532033227464338</v>
      </c>
      <c r="K128" t="n">
        <v>0</v>
      </c>
      <c r="L128" t="n">
        <v>0</v>
      </c>
      <c r="M128" t="n">
        <v>0.3445202078571374</v>
      </c>
      <c r="N128" t="n">
        <v>10.38681662130459</v>
      </c>
      <c r="O128" t="n">
        <v>8.913407693013861</v>
      </c>
      <c r="P128" t="n">
        <v>14.77454051179008</v>
      </c>
      <c r="Q128" t="n">
        <v>12.180324056239</v>
      </c>
      <c r="R128" t="inlineStr">
        <is>
          <t>Operationnel</t>
        </is>
      </c>
      <c r="S128" t="inlineStr"/>
      <c r="T128" t="inlineStr"/>
      <c r="U128" t="inlineStr"/>
      <c r="V128" t="inlineStr"/>
      <c r="W128" t="inlineStr"/>
      <c r="X128" t="inlineStr">
        <is>
          <t>{05-25-2026 ticket}: INC-20260525-00004105..FME is managing ETA will be shared asap..Grid Outage..user:OCM_NOC.CAMUSAT</t>
        </is>
      </c>
      <c r="Y128" t="inlineStr">
        <is>
          <t>.FME is managing ETA will be shared asap.Grid Outage.user OCM_NOC.CAMUSAT</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is>
          <t>{05-25-2026 ticket}: INC-20260525-00004105..FME is managing ETA will be shared asap..Grid Outage..user:OCM_NOC.CAMUSAT</t>
        </is>
      </c>
      <c r="AR128" t="inlineStr"/>
    </row>
    <row r="129">
      <c r="A129" t="inlineStr">
        <is>
          <t>Ndjore-Luxe-MTN</t>
        </is>
      </c>
      <c r="B129" t="inlineStr">
        <is>
          <t>CTR_363</t>
        </is>
      </c>
      <c r="C129" t="inlineStr">
        <is>
          <t>CENTRE</t>
        </is>
      </c>
      <c r="D129" t="inlineStr">
        <is>
          <t>IHS</t>
        </is>
      </c>
      <c r="E129" t="inlineStr"/>
      <c r="F129" t="inlineStr">
        <is>
          <t>CENTRE</t>
        </is>
      </c>
      <c r="G129" t="inlineStr">
        <is>
          <t>Ndjore-Luxe</t>
        </is>
      </c>
      <c r="H129" t="inlineStr">
        <is>
          <t>NOKIA</t>
        </is>
      </c>
      <c r="I129" t="n">
        <v>6.735273583068926</v>
      </c>
      <c r="J129" t="n">
        <v>1.378133096449233</v>
      </c>
      <c r="K129" t="n">
        <v>1.396326116547243</v>
      </c>
      <c r="L129" t="n">
        <v>0</v>
      </c>
      <c r="M129" t="n">
        <v>5.530092975678774</v>
      </c>
      <c r="N129" t="n">
        <v>27.46803672130099</v>
      </c>
      <c r="O129" t="n">
        <v>20.6621075886315</v>
      </c>
      <c r="P129" t="n">
        <v>2.245575996365298</v>
      </c>
      <c r="Q129" t="n">
        <v>12.02998312799471</v>
      </c>
      <c r="R129" t="inlineStr">
        <is>
          <t>Operationnel</t>
        </is>
      </c>
      <c r="S129" t="inlineStr"/>
      <c r="T129" t="inlineStr"/>
      <c r="U129" t="inlineStr"/>
      <c r="V129" t="inlineStr"/>
      <c r="W129" t="inlineStr"/>
      <c r="X129" t="inlineStr">
        <is>
          <t>{05-25-2026 top offenders}: 25/05/2026 : Need BO RAN analysis||Not supervision     ;    {05/25/2026 cell nokia}: 25/05/2026 : Need BO RAN analysis      ;    {05/25/2026 cell nokia}: 25/05/2026 : Need BO RAN analysis||Not supervision     ;    {05-25-2026 ticket}: INC-20260525-00012478..Others</t>
        </is>
      </c>
      <c r="Y129" t="inlineStr">
        <is>
          <t>25/05/2026 Need BO RAN analysis || Not supervision 25/05/2026 Need BO RAN analysis 25/05/2026 Need BO RAN analysis || Not supervision .</t>
        </is>
      </c>
      <c r="Z129" t="inlineStr"/>
      <c r="AA129" t="inlineStr"/>
      <c r="AB129" t="inlineStr">
        <is>
          <t>{05-25-2026 top offenders}: 25/05/2026 : Need BO RAN analysis||Not supervision</t>
        </is>
      </c>
      <c r="AC129" t="inlineStr"/>
      <c r="AD129" t="inlineStr"/>
      <c r="AE129" t="inlineStr"/>
      <c r="AF129" t="inlineStr">
        <is>
          <t xml:space="preserve">{05/25/2026 cell nokia}: 25/05/2026 : Need BO RAN analysis </t>
        </is>
      </c>
      <c r="AG129" t="inlineStr"/>
      <c r="AH129" t="inlineStr">
        <is>
          <t>{05/25/2026 cell nokia}: 25/05/2026 : Need BO RAN analysis||Not supervision</t>
        </is>
      </c>
      <c r="AI129" t="inlineStr"/>
      <c r="AJ129" t="inlineStr"/>
      <c r="AK129" t="inlineStr"/>
      <c r="AL129" t="inlineStr"/>
      <c r="AM129" t="inlineStr"/>
      <c r="AN129" t="inlineStr"/>
      <c r="AO129" t="inlineStr"/>
      <c r="AP129" t="inlineStr"/>
      <c r="AQ129" t="inlineStr">
        <is>
          <t>{05-25-2026 ticket}: INC-20260525-00012478..Others</t>
        </is>
      </c>
      <c r="AR129" t="inlineStr"/>
    </row>
    <row r="130">
      <c r="A130" t="inlineStr">
        <is>
          <t>Akak-Nkozoa-MTN-IHS</t>
        </is>
      </c>
      <c r="B130" t="inlineStr">
        <is>
          <t>CTR_529</t>
        </is>
      </c>
      <c r="C130" t="inlineStr">
        <is>
          <t>Yaounde</t>
        </is>
      </c>
      <c r="D130" t="inlineStr">
        <is>
          <t>IHS</t>
        </is>
      </c>
      <c r="E130" t="inlineStr">
        <is>
          <t>Grid-Gen</t>
        </is>
      </c>
      <c r="F130" t="inlineStr">
        <is>
          <t>CENTRE</t>
        </is>
      </c>
      <c r="G130" t="inlineStr">
        <is>
          <t>Yaounde</t>
        </is>
      </c>
      <c r="H130" t="inlineStr">
        <is>
          <t>ZTE</t>
        </is>
      </c>
      <c r="I130" t="n">
        <v>0</v>
      </c>
      <c r="J130" t="n">
        <v>17.24154474607129</v>
      </c>
      <c r="K130" t="n">
        <v>4.374338318594423</v>
      </c>
      <c r="L130" t="n">
        <v>0.2954024021710281</v>
      </c>
      <c r="M130" t="n">
        <v>0</v>
      </c>
      <c r="N130" t="n">
        <v>6.130250110907282</v>
      </c>
      <c r="O130" t="n">
        <v>5.337908136723891</v>
      </c>
      <c r="P130" t="n">
        <v>17.81737765038841</v>
      </c>
      <c r="Q130" t="n">
        <v>11.95895506416348</v>
      </c>
      <c r="R130" t="inlineStr">
        <is>
          <t>Operationnel</t>
        </is>
      </c>
      <c r="S130" t="inlineStr"/>
      <c r="T130" t="inlineStr"/>
      <c r="U130" t="inlineStr"/>
      <c r="V130" t="inlineStr"/>
      <c r="W130" t="inlineStr"/>
      <c r="X130" t="inlineStr">
        <is>
          <t>{05-25-2026 incident}:  {05-18-2026 groupe whatsapp incident}: impacted by    CTR_750_Z_Nkometou-II(CTR-750) ,Power issue || Action retour CAMUSAT attendu      ;    {05-25-2026 top offenders}: Power status check Ongoing     ;    {None hourly IHS}: 25/05/2026 11:43..2:17:00..39..FME is informed and managing     ;    {05-25-2026 ticket}: INC-20260525-00009443..Grid Outage</t>
        </is>
      </c>
      <c r="Y130" t="inlineStr">
        <is>
          <t>{05-25-2026 incident} {05-18-2026 groupe whatsapp incident} impacted by CTR_750_Z_Nkometou-II(CTR-750) ,Power issue || Action retour CAMUSAT attendu 25/05/2026 11 43.2 17 00.39.FME is informed and managing .Grid Outage</t>
        </is>
      </c>
      <c r="Z130" t="inlineStr"/>
      <c r="AA130" t="inlineStr">
        <is>
          <t xml:space="preserve">{05-25-2026 incident}:  {05-18-2026 groupe whatsapp incident}: impacted by    CTR_750_Z_Nkometou-II(CTR-750) ,Power issue || Action retour CAMUSAT attendu </t>
        </is>
      </c>
      <c r="AB130" t="inlineStr">
        <is>
          <t>{05-25-2026 top offenders}: Power status check Ongoing</t>
        </is>
      </c>
      <c r="AC130" t="inlineStr"/>
      <c r="AD130" t="inlineStr"/>
      <c r="AE130" t="inlineStr">
        <is>
          <t>{None hourly IHS}: 25/05/2026 11:43..2:17:00..39..FME is informed and managing</t>
        </is>
      </c>
      <c r="AF130" t="inlineStr"/>
      <c r="AG130" t="inlineStr"/>
      <c r="AH130" t="inlineStr"/>
      <c r="AI130" t="inlineStr"/>
      <c r="AJ130" t="inlineStr"/>
      <c r="AK130" t="inlineStr"/>
      <c r="AL130" t="inlineStr"/>
      <c r="AM130" t="inlineStr"/>
      <c r="AN130" t="inlineStr"/>
      <c r="AO130" t="inlineStr"/>
      <c r="AP130" t="inlineStr"/>
      <c r="AQ130" t="inlineStr">
        <is>
          <t>{05-25-2026 ticket}: INC-20260525-00009443..Grid Outage</t>
        </is>
      </c>
      <c r="AR130" t="inlineStr"/>
    </row>
    <row r="131">
      <c r="A131" t="inlineStr">
        <is>
          <t>EST_194_Z_Bertoua-Birpondo-II</t>
        </is>
      </c>
      <c r="B131" t="inlineStr">
        <is>
          <t>EST_194</t>
        </is>
      </c>
      <c r="C131" t="inlineStr">
        <is>
          <t>CENTRE</t>
        </is>
      </c>
      <c r="D131" t="inlineStr">
        <is>
          <t>ESCO</t>
        </is>
      </c>
      <c r="E131" t="inlineStr">
        <is>
          <t>Bad Grid + Solar + GE</t>
        </is>
      </c>
      <c r="F131" t="inlineStr">
        <is>
          <t>EST</t>
        </is>
      </c>
      <c r="G131" t="inlineStr">
        <is>
          <t>Bertoua</t>
        </is>
      </c>
      <c r="H131" t="inlineStr">
        <is>
          <t>ZTE</t>
        </is>
      </c>
      <c r="I131" t="n">
        <v>0</v>
      </c>
      <c r="J131" t="n">
        <v>3.995414244663031</v>
      </c>
      <c r="K131" t="n">
        <v>0</v>
      </c>
      <c r="L131" t="n">
        <v>0</v>
      </c>
      <c r="M131" t="n">
        <v>4.50237634583501</v>
      </c>
      <c r="N131" t="n">
        <v>7.557806673620854</v>
      </c>
      <c r="O131" t="n">
        <v>12.86355321630268</v>
      </c>
      <c r="P131" t="n">
        <v>12.45035480785436</v>
      </c>
      <c r="Q131" t="n">
        <v>11.89041485818972</v>
      </c>
      <c r="R131" t="inlineStr">
        <is>
          <t>Operationnel</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row>
    <row r="132">
      <c r="A132" t="inlineStr">
        <is>
          <t>ARMP</t>
        </is>
      </c>
      <c r="B132" t="inlineStr">
        <is>
          <t>CTR_124</t>
        </is>
      </c>
      <c r="C132" t="inlineStr">
        <is>
          <t>Yaounde</t>
        </is>
      </c>
      <c r="D132" t="inlineStr">
        <is>
          <t>IHS</t>
        </is>
      </c>
      <c r="E132" t="inlineStr">
        <is>
          <t>GridOnly</t>
        </is>
      </c>
      <c r="F132" t="inlineStr">
        <is>
          <t>CENTRE</t>
        </is>
      </c>
      <c r="G132" t="inlineStr">
        <is>
          <t>Yaounde</t>
        </is>
      </c>
      <c r="H132" t="inlineStr">
        <is>
          <t>ZTE</t>
        </is>
      </c>
      <c r="I132" t="n">
        <v>0</v>
      </c>
      <c r="J132" t="n">
        <v>0</v>
      </c>
      <c r="K132" t="n">
        <v>0</v>
      </c>
      <c r="L132" t="n">
        <v>2.710396851894656</v>
      </c>
      <c r="M132" t="n">
        <v>5.274011009237144</v>
      </c>
      <c r="N132" t="n">
        <v>5.559976859345587</v>
      </c>
      <c r="O132" t="n">
        <v>17.95495578200067</v>
      </c>
      <c r="P132" t="n">
        <v>9.152246441524559</v>
      </c>
      <c r="Q132" t="n">
        <v>11.59444173351254</v>
      </c>
      <c r="R132" t="inlineStr">
        <is>
          <t>Operationnel</t>
        </is>
      </c>
      <c r="S132" t="inlineStr"/>
      <c r="T132" t="inlineStr"/>
      <c r="U132" t="inlineStr"/>
      <c r="V132" t="inlineStr"/>
      <c r="W132" t="inlineStr"/>
      <c r="X132" t="inlineStr">
        <is>
          <t>{05-25-2026 top offenders}: Power status check Ongoing     ;    {05-25-2026 retour IHS}: IHS     ;    {05-25-2026 ocm ran 17H}: Power status check Ongoing     ;    {05-25-2026 ticket}: INC-20260525-00016660..Grid Outage</t>
        </is>
      </c>
      <c r="Y132" t="inlineStr">
        <is>
          <t>IHS .Grid Outage</t>
        </is>
      </c>
      <c r="Z132" t="inlineStr"/>
      <c r="AA132" t="inlineStr"/>
      <c r="AB132" t="inlineStr">
        <is>
          <t>{05-25-2026 top offenders}: Power status check Ongoing</t>
        </is>
      </c>
      <c r="AC132" t="inlineStr"/>
      <c r="AD132" t="inlineStr">
        <is>
          <t>{05-25-2026 retour IHS}: IHS</t>
        </is>
      </c>
      <c r="AE132" t="inlineStr"/>
      <c r="AF132" t="inlineStr"/>
      <c r="AG132" t="inlineStr"/>
      <c r="AH132" t="inlineStr"/>
      <c r="AI132" t="inlineStr"/>
      <c r="AJ132" t="inlineStr"/>
      <c r="AK132" t="inlineStr"/>
      <c r="AL132" t="inlineStr"/>
      <c r="AM132" t="inlineStr"/>
      <c r="AN132" t="inlineStr"/>
      <c r="AO132" t="inlineStr"/>
      <c r="AP132" t="inlineStr">
        <is>
          <t>{05-25-2026 ocm ran 17H}: Power status check Ongoing</t>
        </is>
      </c>
      <c r="AQ132" t="inlineStr">
        <is>
          <t>{05-25-2026 ticket}: INC-20260525-00016660..Grid Outage</t>
        </is>
      </c>
      <c r="AR132" t="inlineStr"/>
    </row>
    <row r="133">
      <c r="A133" t="inlineStr">
        <is>
          <t>Garoua-Stade</t>
        </is>
      </c>
      <c r="B133" t="inlineStr">
        <is>
          <t>NRD_143</t>
        </is>
      </c>
      <c r="C133" t="inlineStr">
        <is>
          <t>Garoua</t>
        </is>
      </c>
      <c r="D133" t="inlineStr">
        <is>
          <t>CAMUSAT</t>
        </is>
      </c>
      <c r="E133" t="inlineStr">
        <is>
          <t>Good Grid + GE</t>
        </is>
      </c>
      <c r="F133" t="inlineStr">
        <is>
          <t>NORD</t>
        </is>
      </c>
      <c r="G133" t="inlineStr">
        <is>
          <t>Garoua</t>
        </is>
      </c>
      <c r="H133" t="inlineStr">
        <is>
          <t>Huawei</t>
        </is>
      </c>
      <c r="I133" t="n">
        <v>3.226347832538602</v>
      </c>
      <c r="J133" t="n">
        <v>0.0005350523495218772</v>
      </c>
      <c r="K133" t="n">
        <v>22.03315255697951</v>
      </c>
      <c r="L133" t="n">
        <v>0.1146973886591731</v>
      </c>
      <c r="M133" t="n">
        <v>0</v>
      </c>
      <c r="N133" t="n">
        <v>9.140483555747394</v>
      </c>
      <c r="O133" t="n">
        <v>11.63325666160055</v>
      </c>
      <c r="P133" t="n">
        <v>12.0891309724712</v>
      </c>
      <c r="Q133" t="n">
        <v>11.51502212976518</v>
      </c>
      <c r="R133" t="inlineStr">
        <is>
          <t>Operationnel</t>
        </is>
      </c>
      <c r="S133" t="inlineStr"/>
      <c r="T133" t="inlineStr"/>
      <c r="U133" t="inlineStr"/>
      <c r="V133" t="inlineStr"/>
      <c r="W133" t="inlineStr"/>
      <c r="X133" t="inlineStr">
        <is>
          <t>{05-25-2026 top offenders}: UP sans action</t>
        </is>
      </c>
      <c r="Y133" t="inlineStr">
        <is>
          <t>UP sans action</t>
        </is>
      </c>
      <c r="Z133" t="inlineStr"/>
      <c r="AA133" t="inlineStr"/>
      <c r="AB133" t="inlineStr">
        <is>
          <t>{05-25-2026 top offenders}: UP sans action</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row>
    <row r="134">
      <c r="A134" t="inlineStr">
        <is>
          <t>Newb-Ancien-Etage-New</t>
        </is>
      </c>
      <c r="B134" t="inlineStr">
        <is>
          <t>LIT_528</t>
        </is>
      </c>
      <c r="C134" t="inlineStr">
        <is>
          <t>Douala</t>
        </is>
      </c>
      <c r="D134" t="inlineStr">
        <is>
          <t>IHS</t>
        </is>
      </c>
      <c r="E134" t="inlineStr">
        <is>
          <t>GridOnly</t>
        </is>
      </c>
      <c r="F134" t="inlineStr">
        <is>
          <t>LITTORAL</t>
        </is>
      </c>
      <c r="G134" t="inlineStr">
        <is>
          <t>Douala</t>
        </is>
      </c>
      <c r="H134" t="inlineStr">
        <is>
          <t>ZTE</t>
        </is>
      </c>
      <c r="I134" t="n">
        <v>0</v>
      </c>
      <c r="J134" t="n">
        <v>0</v>
      </c>
      <c r="K134" t="n">
        <v>30.42840928223083</v>
      </c>
      <c r="L134" t="n">
        <v>1.177240014496352</v>
      </c>
      <c r="M134" t="n">
        <v>4.280365290940065</v>
      </c>
      <c r="N134" t="n">
        <v>8.598186915738443</v>
      </c>
      <c r="O134" t="n">
        <v>7.356331878100446</v>
      </c>
      <c r="P134" t="n">
        <v>14.95922226818745</v>
      </c>
      <c r="Q134" t="n">
        <v>11.49848901216495</v>
      </c>
      <c r="R134" t="inlineStr">
        <is>
          <t>Operationnel</t>
        </is>
      </c>
      <c r="S134" t="inlineStr"/>
      <c r="T134" t="inlineStr"/>
      <c r="U134" t="inlineStr"/>
      <c r="V134" t="inlineStr"/>
      <c r="W134" t="inlineStr"/>
      <c r="X134" t="inlineStr">
        <is>
          <t>{05-25-2026 top offenders}: 25.05.26: IHS: Grid outage, no space to deploy MDG, awaiting grid return     ;    {None hourly IHS}: 25-05-2026 18:04:59..4:55:01..FME isinformed and managing ETA ASAP     ;    {05-25-2026 ocm ran 22H}: 25.05.26: IHS: Grid outage, no space to deploy MDG, awaiting grid return     ;    {05-25-2026 ticket}: INC-20260525-00018610..Grid Outage..user:OCM_NOC.IHS</t>
        </is>
      </c>
      <c r="Y134" t="inlineStr">
        <is>
          <t>25.05.26 IHS Grid outage, no space to deploy MDG, awaiting grid return 25-05-2026 18 04 59.4 55 01.FME isinformed and managing ETA ASAP 25.05.26 IHS Grid outage, no space to deploy MDG, awaiting grid return .Grid Outage.user OCM_NOC.IHS</t>
        </is>
      </c>
      <c r="Z134" t="inlineStr"/>
      <c r="AA134" t="inlineStr"/>
      <c r="AB134" t="inlineStr">
        <is>
          <t>{05-25-2026 top offenders}: 25.05.26: IHS: Grid outage, no space to deploy MDG, awaiting grid return</t>
        </is>
      </c>
      <c r="AC134" t="inlineStr"/>
      <c r="AD134" t="inlineStr"/>
      <c r="AE134" t="inlineStr">
        <is>
          <t>{None hourly IHS}: 25-05-2026 18:04:59..4:55:01..FME isinformed and managing ETA ASAP</t>
        </is>
      </c>
      <c r="AF134" t="inlineStr"/>
      <c r="AG134" t="inlineStr"/>
      <c r="AH134" t="inlineStr"/>
      <c r="AI134" t="inlineStr"/>
      <c r="AJ134" t="inlineStr"/>
      <c r="AK134" t="inlineStr"/>
      <c r="AL134" t="inlineStr"/>
      <c r="AM134" t="inlineStr"/>
      <c r="AN134" t="inlineStr"/>
      <c r="AO134" t="inlineStr">
        <is>
          <t>{05-25-2026 ocm ran 22H}: 25.05.26: IHS: Grid outage, no space to deploy MDG, awaiting grid return</t>
        </is>
      </c>
      <c r="AP134" t="inlineStr"/>
      <c r="AQ134" t="inlineStr">
        <is>
          <t>{05-25-2026 ticket}: INC-20260525-00018610..Grid Outage..user:OCM_NOC.IHS</t>
        </is>
      </c>
      <c r="AR134" t="inlineStr"/>
    </row>
    <row r="135">
      <c r="A135" t="inlineStr">
        <is>
          <t>Masque</t>
        </is>
      </c>
      <c r="B135" t="inlineStr">
        <is>
          <t>CTR_020</t>
        </is>
      </c>
      <c r="C135" t="inlineStr">
        <is>
          <t>Yaounde</t>
        </is>
      </c>
      <c r="D135" t="inlineStr">
        <is>
          <t>IHS</t>
        </is>
      </c>
      <c r="E135" t="inlineStr">
        <is>
          <t>Grid-Gen</t>
        </is>
      </c>
      <c r="F135" t="inlineStr">
        <is>
          <t>CENTRE</t>
        </is>
      </c>
      <c r="G135" t="inlineStr">
        <is>
          <t>Yaounde</t>
        </is>
      </c>
      <c r="H135" t="inlineStr">
        <is>
          <t>ZTE</t>
        </is>
      </c>
      <c r="I135" t="n">
        <v>9.245704599738039</v>
      </c>
      <c r="J135" t="n">
        <v>9.245704599738039</v>
      </c>
      <c r="K135" t="n">
        <v>8.375709479415468</v>
      </c>
      <c r="L135" t="n">
        <v>6.835828817491501</v>
      </c>
      <c r="M135" t="n">
        <v>9.245704599738039</v>
      </c>
      <c r="N135" t="n">
        <v>1.036758270086208</v>
      </c>
      <c r="O135" t="n">
        <v>0.9859160317023157</v>
      </c>
      <c r="P135" t="n">
        <v>21.05943168361909</v>
      </c>
      <c r="Q135" t="n">
        <v>11.46128503879486</v>
      </c>
      <c r="R135" t="inlineStr">
        <is>
          <t>Operationnel</t>
        </is>
      </c>
      <c r="S135" t="inlineStr"/>
      <c r="T135" t="inlineStr"/>
      <c r="U135" t="inlineStr"/>
      <c r="V135" t="inlineStr"/>
      <c r="W135" t="inlineStr"/>
      <c r="X135" t="inlineStr">
        <is>
          <t>{None hourly IHS}: 25/05/2026 06:44..0:16:00..42..Fme Ahanda is informed and managed ETA 07:45 AM     ;    {05-25-2026 ticket}: INC-20260525-00004977..Grid Outage</t>
        </is>
      </c>
      <c r="Y135" t="inlineStr">
        <is>
          <t>25/05/2026 06 44.0 16 00.42.Fme Ahanda is informed and managed ETA 07 45 AM .Grid Outage</t>
        </is>
      </c>
      <c r="Z135" t="inlineStr">
        <is>
          <t>CTR_020</t>
        </is>
      </c>
      <c r="AA135" t="inlineStr"/>
      <c r="AB135" t="inlineStr"/>
      <c r="AC135" t="inlineStr"/>
      <c r="AD135" t="inlineStr"/>
      <c r="AE135" t="inlineStr">
        <is>
          <t>{None hourly IHS}: 25/05/2026 06:44..0:16:00..42..Fme Ahanda is informed and managed ETA 07:45 AM</t>
        </is>
      </c>
      <c r="AF135" t="inlineStr"/>
      <c r="AG135" t="inlineStr"/>
      <c r="AH135" t="inlineStr"/>
      <c r="AI135" t="inlineStr"/>
      <c r="AJ135" t="inlineStr"/>
      <c r="AK135" t="inlineStr"/>
      <c r="AL135" t="inlineStr"/>
      <c r="AM135" t="inlineStr"/>
      <c r="AN135" t="inlineStr"/>
      <c r="AO135" t="inlineStr"/>
      <c r="AP135" t="inlineStr"/>
      <c r="AQ135" t="inlineStr">
        <is>
          <t>{05-25-2026 ticket}: INC-20260525-00004977..Grid Outage</t>
        </is>
      </c>
      <c r="AR135" t="inlineStr"/>
    </row>
    <row r="136">
      <c r="A136" t="inlineStr">
        <is>
          <t>Foumban-Njintout</t>
        </is>
      </c>
      <c r="B136" t="inlineStr">
        <is>
          <t>OST_176</t>
        </is>
      </c>
      <c r="C136" t="inlineStr">
        <is>
          <t>OUEST</t>
        </is>
      </c>
      <c r="D136" t="inlineStr">
        <is>
          <t>IHS</t>
        </is>
      </c>
      <c r="E136" t="inlineStr">
        <is>
          <t>Grid-Gen</t>
        </is>
      </c>
      <c r="F136" t="inlineStr">
        <is>
          <t>OUEST</t>
        </is>
      </c>
      <c r="G136" t="inlineStr">
        <is>
          <t>Foumban</t>
        </is>
      </c>
      <c r="H136" t="inlineStr">
        <is>
          <t>Huawei</t>
        </is>
      </c>
      <c r="I136" t="n">
        <v>0</v>
      </c>
      <c r="J136" t="n">
        <v>0.5041084886411954</v>
      </c>
      <c r="K136" t="n">
        <v>0.04833306224014292</v>
      </c>
      <c r="L136" t="n">
        <v>1.300979787862445</v>
      </c>
      <c r="M136" t="n">
        <v>0</v>
      </c>
      <c r="N136" t="n">
        <v>7.905890675395369</v>
      </c>
      <c r="O136" t="n">
        <v>10.0940843763069</v>
      </c>
      <c r="P136" t="n">
        <v>12.78493658986095</v>
      </c>
      <c r="Q136" t="n">
        <v>11.18485915995354</v>
      </c>
      <c r="R136" t="inlineStr">
        <is>
          <t>Operationnel</t>
        </is>
      </c>
      <c r="S136" t="inlineStr"/>
      <c r="T136" t="inlineStr"/>
      <c r="U136" t="inlineStr"/>
      <c r="V136" t="inlineStr"/>
      <c r="W136" t="inlineStr"/>
      <c r="X136" t="inlineStr">
        <is>
          <t>{05-25-2026 top offenders}: Power status check Ongoing     ;    {05-25-2026 ocm ran 17H}: Power status check Ongoing</t>
        </is>
      </c>
      <c r="Y136" t="inlineStr"/>
      <c r="Z136" t="inlineStr"/>
      <c r="AA136" t="inlineStr"/>
      <c r="AB136" t="inlineStr">
        <is>
          <t>{05-25-2026 top offenders}: Power status check Ongoing</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{05-25-2026 ocm ran 17H}: Power status check Ongoing</t>
        </is>
      </c>
      <c r="AQ136" t="inlineStr"/>
      <c r="AR136" t="inlineStr"/>
    </row>
    <row r="137">
      <c r="A137" t="inlineStr">
        <is>
          <t>laboratorie-T.Bella</t>
        </is>
      </c>
      <c r="B137" t="inlineStr">
        <is>
          <t>CTR_937</t>
        </is>
      </c>
      <c r="C137" t="inlineStr">
        <is>
          <t>Yaounde</t>
        </is>
      </c>
      <c r="D137" t="inlineStr">
        <is>
          <t>IHS</t>
        </is>
      </c>
      <c r="E137" t="inlineStr">
        <is>
          <t>Grid Gen</t>
        </is>
      </c>
      <c r="F137" t="inlineStr">
        <is>
          <t>CENTRE</t>
        </is>
      </c>
      <c r="G137" t="inlineStr">
        <is>
          <t>Yaounde</t>
        </is>
      </c>
      <c r="H137" t="inlineStr">
        <is>
          <t>ZTE</t>
        </is>
      </c>
      <c r="I137" t="n">
        <v>0</v>
      </c>
      <c r="J137" t="n">
        <v>0</v>
      </c>
      <c r="K137" t="n">
        <v>0.04676357534821254</v>
      </c>
      <c r="L137" t="n">
        <v>0</v>
      </c>
      <c r="M137" t="n">
        <v>0</v>
      </c>
      <c r="N137" t="n">
        <v>9.486694123712576</v>
      </c>
      <c r="O137" t="n">
        <v>8.081451390801432</v>
      </c>
      <c r="P137" t="n">
        <v>13.38942733880977</v>
      </c>
      <c r="Q137" t="n">
        <v>11.05016864850057</v>
      </c>
      <c r="R137" t="inlineStr">
        <is>
          <t>Operationnel</t>
        </is>
      </c>
      <c r="S137" t="inlineStr"/>
      <c r="T137" t="inlineStr"/>
      <c r="U137" t="inlineStr"/>
      <c r="V137" t="inlineStr"/>
      <c r="W137" t="inlineStr"/>
      <c r="X137" t="inlineStr">
        <is>
          <t>{05-25-2026 top offenders}: 25.05.26: IHS: Access issue due to ladder stolen     ;    {05-25-2026 retour IHS}: IHS     ;    {None hourly IHS}: 25-05-2026 17:00:39..5:59:21..Access issue due to ladder stolen     ;    {05-25-2026 ocm ran 22H}: 25.05.26: IHS: Access issue due to ladder stolen     ;    {05-25-2026 ocm ran 17H}: Power status check Ongoing</t>
        </is>
      </c>
      <c r="Y137" t="inlineStr">
        <is>
          <t>25.05.26 IHS Access issue due to ladder stolen IHS 25-05-2026 17 00 39.5 59 21.Access issue due to ladder stolen 25.05.26 IHS Access issue due to ladder stolen</t>
        </is>
      </c>
      <c r="Z137" t="inlineStr">
        <is>
          <t>CTR_937</t>
        </is>
      </c>
      <c r="AA137" t="inlineStr"/>
      <c r="AB137" t="inlineStr">
        <is>
          <t>{05-25-2026 top offenders}: 25.05.26: IHS: Access issue due to ladder stolen</t>
        </is>
      </c>
      <c r="AC137" t="inlineStr"/>
      <c r="AD137" t="inlineStr">
        <is>
          <t>{05-25-2026 retour IHS}: IHS</t>
        </is>
      </c>
      <c r="AE137" t="inlineStr">
        <is>
          <t>{None hourly IHS}: 25-05-2026 17:00:39..5:59:21..Access issue due to ladder stolen</t>
        </is>
      </c>
      <c r="AF137" t="inlineStr"/>
      <c r="AG137" t="inlineStr"/>
      <c r="AH137" t="inlineStr"/>
      <c r="AI137" t="inlineStr"/>
      <c r="AJ137" t="inlineStr"/>
      <c r="AK137" t="inlineStr"/>
      <c r="AL137" t="inlineStr"/>
      <c r="AM137" t="inlineStr"/>
      <c r="AN137" t="inlineStr"/>
      <c r="AO137" t="inlineStr">
        <is>
          <t>{05-25-2026 ocm ran 22H}: 25.05.26: IHS: Access issue due to ladder stolen</t>
        </is>
      </c>
      <c r="AP137" t="inlineStr">
        <is>
          <t>{05-25-2026 ocm ran 17H}: Power status check Ongoing</t>
        </is>
      </c>
      <c r="AQ137" t="inlineStr"/>
      <c r="AR137" t="inlineStr"/>
    </row>
    <row r="138">
      <c r="A138" t="inlineStr">
        <is>
          <t>LIT_871_Z_Bonamatoumbe-III-IHS</t>
        </is>
      </c>
      <c r="B138" t="inlineStr">
        <is>
          <t>LIT_871</t>
        </is>
      </c>
      <c r="C138" t="inlineStr">
        <is>
          <t>Douala</t>
        </is>
      </c>
      <c r="D138" t="inlineStr">
        <is>
          <t>I_HS</t>
        </is>
      </c>
      <c r="E138" t="inlineStr">
        <is>
          <t>Grid-Gen</t>
        </is>
      </c>
      <c r="F138" t="inlineStr">
        <is>
          <t>LITTORAL</t>
        </is>
      </c>
      <c r="G138" t="inlineStr">
        <is>
          <t>Douala</t>
        </is>
      </c>
      <c r="H138" t="inlineStr">
        <is>
          <t>ZTE</t>
        </is>
      </c>
      <c r="I138" t="n">
        <v>0.8709047093167593</v>
      </c>
      <c r="J138" t="n">
        <v>0</v>
      </c>
      <c r="K138" t="n">
        <v>0</v>
      </c>
      <c r="L138" t="n">
        <v>2.035927695165696</v>
      </c>
      <c r="M138" t="n">
        <v>3.507607017603935</v>
      </c>
      <c r="N138" t="n">
        <v>7.300022181456303</v>
      </c>
      <c r="O138" t="n">
        <v>6.663300590593349</v>
      </c>
      <c r="P138" t="n">
        <v>14.67994241212432</v>
      </c>
      <c r="Q138" t="n">
        <v>10.93481136194365</v>
      </c>
      <c r="R138" t="inlineStr">
        <is>
          <t>Operationnel</t>
        </is>
      </c>
      <c r="S138" t="inlineStr"/>
      <c r="T138" t="inlineStr"/>
      <c r="U138" t="inlineStr"/>
      <c r="V138" t="inlineStr"/>
      <c r="W138" t="inlineStr"/>
      <c r="X138" t="inlineStr">
        <is>
          <t>{None hourly IHS}: 25/05/2026 12:31..1:29:00..1.7 V..FME is informed and managing     ;    {05-25-2026 ticket}: INC-20260525-00004548..Grid Outage</t>
        </is>
      </c>
      <c r="Y138" t="inlineStr">
        <is>
          <t>25/05/2026 12 31.1 29 00.1.7 V.FME is informed and managing .Grid Outage</t>
        </is>
      </c>
      <c r="Z138" t="inlineStr"/>
      <c r="AA138" t="inlineStr"/>
      <c r="AB138" t="inlineStr"/>
      <c r="AC138" t="inlineStr"/>
      <c r="AD138" t="inlineStr"/>
      <c r="AE138" t="inlineStr">
        <is>
          <t>{None hourly IHS}: 25/05/2026 12:31..1:29:00..1.7 V..FME is informed and managing</t>
        </is>
      </c>
      <c r="AF138" t="inlineStr"/>
      <c r="AG138" t="inlineStr"/>
      <c r="AH138" t="inlineStr"/>
      <c r="AI138" t="inlineStr"/>
      <c r="AJ138" t="inlineStr"/>
      <c r="AK138" t="inlineStr"/>
      <c r="AL138" t="inlineStr"/>
      <c r="AM138" t="inlineStr"/>
      <c r="AN138" t="inlineStr"/>
      <c r="AO138" t="inlineStr"/>
      <c r="AP138" t="inlineStr"/>
      <c r="AQ138" t="inlineStr">
        <is>
          <t>{05-25-2026 ticket}: INC-20260525-00004548..Grid Outage</t>
        </is>
      </c>
      <c r="AR138" t="inlineStr"/>
    </row>
    <row r="139">
      <c r="A139" t="inlineStr">
        <is>
          <t>Makombe</t>
        </is>
      </c>
      <c r="B139" t="inlineStr">
        <is>
          <t>LIT_419</t>
        </is>
      </c>
      <c r="C139" t="inlineStr">
        <is>
          <t>Douala</t>
        </is>
      </c>
      <c r="D139" t="inlineStr">
        <is>
          <t>IHS</t>
        </is>
      </c>
      <c r="E139" t="inlineStr">
        <is>
          <t>Grid-Gen</t>
        </is>
      </c>
      <c r="F139" t="inlineStr">
        <is>
          <t>LITTORAL</t>
        </is>
      </c>
      <c r="G139" t="inlineStr">
        <is>
          <t>Douala</t>
        </is>
      </c>
      <c r="H139" t="inlineStr">
        <is>
          <t>ZTE</t>
        </is>
      </c>
      <c r="I139" t="n">
        <v>1.346049030770504</v>
      </c>
      <c r="J139" t="n">
        <v>2.852792117180744</v>
      </c>
      <c r="K139" t="n">
        <v>0.2420576829236978</v>
      </c>
      <c r="L139" t="n">
        <v>0</v>
      </c>
      <c r="M139" t="n">
        <v>10.57925124060805</v>
      </c>
      <c r="N139" t="n">
        <v>4.894408274682365</v>
      </c>
      <c r="O139" t="n">
        <v>4.955877627834389</v>
      </c>
      <c r="P139" t="n">
        <v>16.41348849884102</v>
      </c>
      <c r="Q139" t="n">
        <v>10.92211278618167</v>
      </c>
      <c r="R139" t="inlineStr">
        <is>
          <t>Operationnel</t>
        </is>
      </c>
      <c r="S139" t="inlineStr"/>
      <c r="T139" t="inlineStr"/>
      <c r="U139" t="inlineStr"/>
      <c r="V139" t="inlineStr"/>
      <c r="W139" t="inlineStr"/>
      <c r="X139" t="inlineStr">
        <is>
          <t>{05-25-2026 top offenders}: 25/05/2026 : Power issue || Mail sent to IHS      ;    {None hourly IHS}: 25/05/2026 06:04..0:19:31..46.9V..Instable, Nicolas report rectifiers insufficient     ;    {05/25/2026 cell zte}: 25/05/2026 : Power issue || Mail sent to IHS      ;    {05-25-2026 ticket}: INC-20260525-00022362..Grid Outage</t>
        </is>
      </c>
      <c r="Y139" t="inlineStr">
        <is>
          <t>25/05/2026 Power issue || Mail sent to IHS 25/05/2026 06 04.0 19 31.46.9V.Instable, Nicolas report rectifiers insufficient 25/05/2026 Power issue || Mail sent to IHS .Grid Outage</t>
        </is>
      </c>
      <c r="Z139" t="inlineStr"/>
      <c r="AA139" t="inlineStr"/>
      <c r="AB139" t="inlineStr">
        <is>
          <t xml:space="preserve">{05-25-2026 top offenders}: 25/05/2026 : Power issue || Mail sent to IHS </t>
        </is>
      </c>
      <c r="AC139" t="inlineStr"/>
      <c r="AD139" t="inlineStr"/>
      <c r="AE139" t="inlineStr">
        <is>
          <t>{None hourly IHS}: 25/05/2026 06:04..0:19:31..46.9V..Instable, Nicolas report rectifiers insufficient</t>
        </is>
      </c>
      <c r="AF139" t="inlineStr"/>
      <c r="AG139" t="inlineStr"/>
      <c r="AH139" t="inlineStr"/>
      <c r="AI139" t="inlineStr">
        <is>
          <t xml:space="preserve">{05/25/2026 cell zte}: 25/05/2026 : Power issue || Mail sent to IHS </t>
        </is>
      </c>
      <c r="AJ139" t="inlineStr"/>
      <c r="AK139" t="inlineStr"/>
      <c r="AL139" t="inlineStr"/>
      <c r="AM139" t="inlineStr"/>
      <c r="AN139" t="inlineStr"/>
      <c r="AO139" t="inlineStr"/>
      <c r="AP139" t="inlineStr"/>
      <c r="AQ139" t="inlineStr">
        <is>
          <t>{05-25-2026 ticket}: INC-20260525-00022362..Grid Outage</t>
        </is>
      </c>
      <c r="AR139" t="inlineStr"/>
    </row>
    <row r="140">
      <c r="A140" t="inlineStr">
        <is>
          <t>Bonamoutongo</t>
        </is>
      </c>
      <c r="B140" t="inlineStr">
        <is>
          <t>LIT_020</t>
        </is>
      </c>
      <c r="C140" t="inlineStr">
        <is>
          <t>Douala</t>
        </is>
      </c>
      <c r="D140" t="inlineStr">
        <is>
          <t>IHS</t>
        </is>
      </c>
      <c r="E140" t="inlineStr">
        <is>
          <t>Grid-Gen</t>
        </is>
      </c>
      <c r="F140" t="inlineStr">
        <is>
          <t>LITTORAL</t>
        </is>
      </c>
      <c r="G140" t="inlineStr">
        <is>
          <t>Douala</t>
        </is>
      </c>
      <c r="H140" t="inlineStr">
        <is>
          <t>ZTE</t>
        </is>
      </c>
      <c r="I140" t="n">
        <v>0</v>
      </c>
      <c r="J140" t="n">
        <v>0</v>
      </c>
      <c r="K140" t="n">
        <v>0</v>
      </c>
      <c r="L140" t="n">
        <v>0</v>
      </c>
      <c r="M140" t="n">
        <v>0</v>
      </c>
      <c r="N140" t="n">
        <v>5.863473136457921</v>
      </c>
      <c r="O140" t="n">
        <v>4.981856339953284</v>
      </c>
      <c r="P140" t="n">
        <v>16.05937833111168</v>
      </c>
      <c r="Q140" t="n">
        <v>10.88455211124523</v>
      </c>
      <c r="R140" t="inlineStr">
        <is>
          <t>Operationnel</t>
        </is>
      </c>
      <c r="S140" t="inlineStr"/>
      <c r="T140" t="inlineStr"/>
      <c r="U140" t="inlineStr"/>
      <c r="V140" t="inlineStr"/>
      <c r="W140" t="inlineStr"/>
      <c r="X140" t="inlineStr">
        <is>
          <t>{05-25-2026 top offenders}: Power status check Ongoing     ;    {05-25-2026 ocm ran 17H}: Power status check Ongoing     ;    {05-25-2026 ticket}: INC-20260525-00015998..Grid Outage</t>
        </is>
      </c>
      <c r="Y140" t="inlineStr">
        <is>
          <t>.Grid Outage</t>
        </is>
      </c>
      <c r="Z140" t="inlineStr"/>
      <c r="AA140" t="inlineStr"/>
      <c r="AB140" t="inlineStr">
        <is>
          <t>{05-25-2026 top offenders}: Power status check Ongoing</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{05-25-2026 ocm ran 17H}: Power status check Ongoing</t>
        </is>
      </c>
      <c r="AQ140" t="inlineStr">
        <is>
          <t>{05-25-2026 ticket}: INC-20260525-00015998..Grid Outage</t>
        </is>
      </c>
      <c r="AR140" t="inlineStr"/>
    </row>
    <row r="141">
      <c r="A141" t="inlineStr">
        <is>
          <t>Bastos-Bir-IHS</t>
        </is>
      </c>
      <c r="B141" t="inlineStr">
        <is>
          <t>CTR_640</t>
        </is>
      </c>
      <c r="C141" t="inlineStr">
        <is>
          <t>Yaounde</t>
        </is>
      </c>
      <c r="D141" t="inlineStr">
        <is>
          <t>IHS</t>
        </is>
      </c>
      <c r="E141" t="inlineStr">
        <is>
          <t>Grid-Gen</t>
        </is>
      </c>
      <c r="F141" t="inlineStr">
        <is>
          <t>CENTRE</t>
        </is>
      </c>
      <c r="G141" t="inlineStr">
        <is>
          <t>Yaounde</t>
        </is>
      </c>
      <c r="H141" t="inlineStr">
        <is>
          <t>ZTE</t>
        </is>
      </c>
      <c r="I141" t="n">
        <v>0</v>
      </c>
      <c r="J141" t="n">
        <v>0</v>
      </c>
      <c r="K141" t="n">
        <v>0</v>
      </c>
      <c r="L141" t="n">
        <v>2.747244123698397</v>
      </c>
      <c r="M141" t="n">
        <v>4.926993890415572</v>
      </c>
      <c r="N141" t="n">
        <v>5.560351546107454</v>
      </c>
      <c r="O141" t="n">
        <v>17.95399951038893</v>
      </c>
      <c r="P141" t="n">
        <v>7.627903744415772</v>
      </c>
      <c r="Q141" t="n">
        <v>10.79924693165312</v>
      </c>
      <c r="R141" t="inlineStr">
        <is>
          <t>Operationnel</t>
        </is>
      </c>
      <c r="S141" t="inlineStr"/>
      <c r="T141" t="inlineStr"/>
      <c r="U141" t="inlineStr"/>
      <c r="V141" t="inlineStr"/>
      <c r="W141" t="inlineStr"/>
      <c r="X141" t="inlineStr">
        <is>
          <t>{05-25-2026 top offenders}: Power status check Ongoing     ;    {05-25-2026 ocm ran 17H}: Power status check Ongoing     ;    {05-25-2026 ticket}: INC-20260525-00016874..Grid Outage</t>
        </is>
      </c>
      <c r="Y141" t="inlineStr">
        <is>
          <t>.Grid Outage</t>
        </is>
      </c>
      <c r="Z141" t="inlineStr">
        <is>
          <t>CTR_640</t>
        </is>
      </c>
      <c r="AA141" t="inlineStr"/>
      <c r="AB141" t="inlineStr">
        <is>
          <t>{05-25-2026 top offenders}: Power status check Ongoing</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{05-25-2026 ocm ran 17H}: Power status check Ongoing</t>
        </is>
      </c>
      <c r="AQ141" t="inlineStr">
        <is>
          <t>{05-25-2026 ticket}: INC-20260525-00016874..Grid Outage</t>
        </is>
      </c>
      <c r="AR141" t="inlineStr"/>
    </row>
    <row r="142">
      <c r="A142" t="inlineStr">
        <is>
          <t>Dragage</t>
        </is>
      </c>
      <c r="B142" t="inlineStr">
        <is>
          <t>CTR_344</t>
        </is>
      </c>
      <c r="C142" t="inlineStr">
        <is>
          <t>Yaounde</t>
        </is>
      </c>
      <c r="D142" t="inlineStr">
        <is>
          <t>IHS</t>
        </is>
      </c>
      <c r="E142" t="inlineStr">
        <is>
          <t>Grid-Gen</t>
        </is>
      </c>
      <c r="F142" t="inlineStr">
        <is>
          <t>CENTRE</t>
        </is>
      </c>
      <c r="G142" t="inlineStr">
        <is>
          <t>Yaounde</t>
        </is>
      </c>
      <c r="H142" t="inlineStr">
        <is>
          <t>ZTE</t>
        </is>
      </c>
      <c r="I142" t="n">
        <v>0</v>
      </c>
      <c r="J142" t="n">
        <v>0</v>
      </c>
      <c r="K142" t="n">
        <v>0</v>
      </c>
      <c r="L142" t="n">
        <v>2.689672490889842</v>
      </c>
      <c r="M142" t="n">
        <v>4.940958756738092</v>
      </c>
      <c r="N142" t="n">
        <v>5.560351546107454</v>
      </c>
      <c r="O142" t="n">
        <v>17.9530432387772</v>
      </c>
      <c r="P142" t="n">
        <v>7.626125327502314</v>
      </c>
      <c r="Q142" t="n">
        <v>10.79799847617091</v>
      </c>
      <c r="R142" t="inlineStr">
        <is>
          <t>Operationnel</t>
        </is>
      </c>
      <c r="S142" t="inlineStr"/>
      <c r="T142" t="inlineStr"/>
      <c r="U142" t="inlineStr"/>
      <c r="V142" t="inlineStr"/>
      <c r="W142" t="inlineStr"/>
      <c r="X142" t="inlineStr">
        <is>
          <t>{05-25-2026 top offenders}: Power status check Ongoing     ;    {05-25-2026 ocm ran 17H}: Power status check Ongoing     ;    {05-25-2026 ticket}: INC-20260525-00016833..Grid Outage</t>
        </is>
      </c>
      <c r="Y142" t="inlineStr">
        <is>
          <t>.Grid Outage</t>
        </is>
      </c>
      <c r="Z142" t="inlineStr"/>
      <c r="AA142" t="inlineStr"/>
      <c r="AB142" t="inlineStr">
        <is>
          <t>{05-25-2026 top offenders}: Power status check Ongoing</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{05-25-2026 ocm ran 17H}: Power status check Ongoing</t>
        </is>
      </c>
      <c r="AQ142" t="inlineStr">
        <is>
          <t>{05-25-2026 ticket}: INC-20260525-00016833..Grid Outage</t>
        </is>
      </c>
      <c r="AR142" t="inlineStr"/>
    </row>
    <row r="143">
      <c r="A143" t="inlineStr">
        <is>
          <t>Qtier-Tergal</t>
        </is>
      </c>
      <c r="B143" t="inlineStr">
        <is>
          <t>LIT_420</t>
        </is>
      </c>
      <c r="C143" t="inlineStr">
        <is>
          <t>Douala</t>
        </is>
      </c>
      <c r="D143" t="inlineStr">
        <is>
          <t>IHS</t>
        </is>
      </c>
      <c r="E143" t="inlineStr">
        <is>
          <t>Grid-Gen</t>
        </is>
      </c>
      <c r="F143" t="inlineStr">
        <is>
          <t>LITTORAL</t>
        </is>
      </c>
      <c r="G143" t="inlineStr">
        <is>
          <t>Douala</t>
        </is>
      </c>
      <c r="H143" t="inlineStr">
        <is>
          <t>ZTE</t>
        </is>
      </c>
      <c r="I143" t="n">
        <v>0</v>
      </c>
      <c r="J143" t="n">
        <v>0</v>
      </c>
      <c r="K143" t="n">
        <v>0</v>
      </c>
      <c r="L143" t="n">
        <v>0</v>
      </c>
      <c r="M143" t="n">
        <v>11.16816552664846</v>
      </c>
      <c r="N143" t="n">
        <v>4.232336766463237</v>
      </c>
      <c r="O143" t="n">
        <v>10.7336175797573</v>
      </c>
      <c r="P143" t="n">
        <v>12.50134749281519</v>
      </c>
      <c r="Q143" t="n">
        <v>10.72708620478094</v>
      </c>
      <c r="R143" t="inlineStr">
        <is>
          <t>Operationnel</t>
        </is>
      </c>
      <c r="S143" t="inlineStr"/>
      <c r="T143" t="inlineStr"/>
      <c r="U143" t="inlineStr"/>
      <c r="V143" t="inlineStr"/>
      <c r="W143" t="inlineStr"/>
      <c r="X143" t="inlineStr">
        <is>
          <t>{05-25-2026 top offenders}: 25/05/2026 : Need BO RAN analysis     ;    {05/25/2026 cell zte}: 25/05/2026 : Need BO RAN analysis     ;    {05-25-2026 ticket}: INC-20260525-00012903..investigations ongoing / FME is trying to get level0..Grid Outage..user:OCM_NOC.CAMUSAT</t>
        </is>
      </c>
      <c r="Y143" t="inlineStr">
        <is>
          <t>25/05/2026 Need BO RAN analysis 25/05/2026 Need BO RAN analysis .investigations ongoing / FME is trying to get level0.Grid Outage.user OCM_NOC.CAMUSAT</t>
        </is>
      </c>
      <c r="Z143" t="inlineStr"/>
      <c r="AA143" t="inlineStr"/>
      <c r="AB143" t="inlineStr">
        <is>
          <t>{05-25-2026 top offenders}: 25/05/2026 : Need BO RAN analysis</t>
        </is>
      </c>
      <c r="AC143" t="inlineStr"/>
      <c r="AD143" t="inlineStr"/>
      <c r="AE143" t="inlineStr"/>
      <c r="AF143" t="inlineStr"/>
      <c r="AG143" t="inlineStr"/>
      <c r="AH143" t="inlineStr"/>
      <c r="AI143" t="inlineStr"/>
      <c r="AJ143" t="inlineStr">
        <is>
          <t>{05/25/2026 cell zte}: 25/05/2026 : Need BO RAN analysis</t>
        </is>
      </c>
      <c r="AK143" t="inlineStr"/>
      <c r="AL143" t="inlineStr"/>
      <c r="AM143" t="inlineStr"/>
      <c r="AN143" t="inlineStr"/>
      <c r="AO143" t="inlineStr"/>
      <c r="AP143" t="inlineStr"/>
      <c r="AQ143" t="inlineStr">
        <is>
          <t>{05-25-2026 ticket}: INC-20260525-00012903..investigations ongoing / FME is trying to get level0..Grid Outage..user:OCM_NOC.CAMUSAT</t>
        </is>
      </c>
      <c r="AR143" t="inlineStr"/>
    </row>
    <row r="144">
      <c r="A144" t="inlineStr">
        <is>
          <t>Mvan-MRS-IHS</t>
        </is>
      </c>
      <c r="B144" t="inlineStr">
        <is>
          <t>CTR_487</t>
        </is>
      </c>
      <c r="C144" t="inlineStr">
        <is>
          <t>Yaounde</t>
        </is>
      </c>
      <c r="D144" t="inlineStr">
        <is>
          <t>IHS</t>
        </is>
      </c>
      <c r="E144" t="inlineStr">
        <is>
          <t>Grid-Gen</t>
        </is>
      </c>
      <c r="F144" t="inlineStr">
        <is>
          <t>CENTRE</t>
        </is>
      </c>
      <c r="G144" t="inlineStr">
        <is>
          <t>Yaounde</t>
        </is>
      </c>
      <c r="H144" t="inlineStr">
        <is>
          <t>ZTE</t>
        </is>
      </c>
      <c r="I144" t="n">
        <v>0</v>
      </c>
      <c r="J144" t="n">
        <v>5.208021219462783</v>
      </c>
      <c r="K144" t="n">
        <v>1.263757979414041</v>
      </c>
      <c r="L144" t="n">
        <v>5.186547785168638</v>
      </c>
      <c r="M144" t="n">
        <v>0</v>
      </c>
      <c r="N144" t="n">
        <v>3.452738510605134</v>
      </c>
      <c r="O144" t="n">
        <v>2.656097527804128</v>
      </c>
      <c r="P144" t="n">
        <v>17.82021627738488</v>
      </c>
      <c r="Q144" t="n">
        <v>10.67777221323334</v>
      </c>
      <c r="R144" t="inlineStr">
        <is>
          <t>Operationnel</t>
        </is>
      </c>
      <c r="S144" t="inlineStr"/>
      <c r="T144" t="inlineStr"/>
      <c r="U144" t="inlineStr"/>
      <c r="V144" t="inlineStr"/>
      <c r="W144" t="inlineStr"/>
      <c r="X144" t="inlineStr">
        <is>
          <t>{05-25-2026 top offenders}: UP sans action</t>
        </is>
      </c>
      <c r="Y144" t="inlineStr">
        <is>
          <t>UP sans action</t>
        </is>
      </c>
      <c r="Z144" t="inlineStr"/>
      <c r="AA144" t="inlineStr"/>
      <c r="AB144" t="inlineStr">
        <is>
          <t>{05-25-2026 top offenders}: UP sans action</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row>
    <row r="145">
      <c r="A145" t="inlineStr">
        <is>
          <t>Kapanyaye-IHS</t>
        </is>
      </c>
      <c r="B145" t="inlineStr">
        <is>
          <t>NRD_109</t>
        </is>
      </c>
      <c r="C145" t="inlineStr">
        <is>
          <t>NORD</t>
        </is>
      </c>
      <c r="D145" t="inlineStr">
        <is>
          <t>IHS</t>
        </is>
      </c>
      <c r="E145" t="inlineStr">
        <is>
          <t>Solar-Gen</t>
        </is>
      </c>
      <c r="F145" t="inlineStr">
        <is>
          <t>NORD</t>
        </is>
      </c>
      <c r="G145" t="inlineStr">
        <is>
          <t>Kapanyaye</t>
        </is>
      </c>
      <c r="H145" t="inlineStr">
        <is>
          <t>NOKIA</t>
        </is>
      </c>
      <c r="I145" t="n">
        <v>3.949595928465641</v>
      </c>
      <c r="J145" t="n">
        <v>4.968817149069864</v>
      </c>
      <c r="K145" t="n">
        <v>4.27294362652674</v>
      </c>
      <c r="L145" t="n">
        <v>8.157560159743596</v>
      </c>
      <c r="M145" t="n">
        <v>9.542261466869173</v>
      </c>
      <c r="N145" t="n">
        <v>0</v>
      </c>
      <c r="O145" t="n">
        <v>31.78516503127841</v>
      </c>
      <c r="P145" t="n">
        <v>0</v>
      </c>
      <c r="Q145" t="n">
        <v>10.67064651161771</v>
      </c>
      <c r="R145" t="inlineStr">
        <is>
          <t>Operationnel</t>
        </is>
      </c>
      <c r="S145" t="inlineStr"/>
      <c r="T145" t="inlineStr"/>
      <c r="U145" t="inlineStr"/>
      <c r="V145" t="inlineStr"/>
      <c r="W145" t="inlineStr"/>
      <c r="X145" t="inlineStr">
        <is>
          <t>{05-25-2026 top offenders}: 25.05.26: Besoin d'un FME sur site pour vérifier le statut de la BBU Huawei et son interco avec le MPR S1P1; FME      ;    {05-25-2026 ocm ran 22H}: 25.05.26: Besoin d'un FME sur site pour vérifier le statut de la BBU Huawei et son interco avec le MPR S1P1; FME      ;    {05-25-2026 ocm ran 17H}: 25.05.26: Besoin d'un FME sur site pour vérifier le statut de la BBU Huawei et son interco avec le MPR S1P1; FME      ;    {05-25-2026 ticket}: INC-20260525-00005910..25.05.26: Besoin d'un FME sur site pour vérifier le statut de la BBU Huawei et son interco avec le MPR S1P1; CM-20260525-00002210; FME Seydou activé pour investigations, update ASAP..user:JACQUES FABRICE WANGA j84364567</t>
        </is>
      </c>
      <c r="Y145" t="inlineStr">
        <is>
          <t>25.05.26 Besoin d'un FME sur site pour vérifier le statut de la BBU Huawei et son interco avec le MPR S1P1; FME 25.05.26 Besoin d'un FME sur site pour vérifier le statut de la BBU Huawei et son interco avec le MPR S1P1; FME 25.05.26 Besoin d'un FME sur site pour vérifier le statut de la BBU Huawei et son interco avec le MPR S1P1; FME .25.05.26 Besoin d'un FME sur site pour vérifier le statut de la BBU Huawei et son interco avec le MPR S1P1; FME Seydou activé pour investigations, update ASAP.user JACQUES FABRICE WANGA j84364567</t>
        </is>
      </c>
      <c r="Z145" t="inlineStr"/>
      <c r="AA145" t="inlineStr"/>
      <c r="AB145" t="inlineStr">
        <is>
          <t xml:space="preserve">{05-25-2026 top offenders}: 25.05.26: Besoin d'un FME sur site pour vérifier le statut de la BBU Huawei et son interco avec le MPR S1P1; FME </t>
        </is>
      </c>
      <c r="AC145" t="inlineStr"/>
      <c r="AD145" t="inlineStr"/>
      <c r="AE145" t="inlineStr"/>
      <c r="AF145" t="inlineStr"/>
      <c r="AG145" t="inlineStr"/>
      <c r="AH145" t="inlineStr"/>
      <c r="AI145" t="inlineStr"/>
      <c r="AJ145" t="inlineStr"/>
      <c r="AK145" t="inlineStr"/>
      <c r="AL145" t="inlineStr"/>
      <c r="AM145" t="inlineStr"/>
      <c r="AN145" t="inlineStr"/>
      <c r="AO145" t="inlineStr">
        <is>
          <t xml:space="preserve">{05-25-2026 ocm ran 22H}: 25.05.26: Besoin d'un FME sur site pour vérifier le statut de la BBU Huawei et son interco avec le MPR S1P1; FME </t>
        </is>
      </c>
      <c r="AP145" t="inlineStr">
        <is>
          <t xml:space="preserve">{05-25-2026 ocm ran 17H}: 25.05.26: Besoin d'un FME sur site pour vérifier le statut de la BBU Huawei et son interco avec le MPR S1P1; FME </t>
        </is>
      </c>
      <c r="AQ145" t="inlineStr">
        <is>
          <t>{05-25-2026 ticket}: INC-20260525-00005910..25.05.26: Besoin d'un FME sur site pour vérifier le statut de la BBU Huawei et son interco avec le MPR S1P1; CM-20260525-00002210; FME Seydou activé pour investigations, update ASAP..user:JACQUES FABRICE WANGA j84364567</t>
        </is>
      </c>
      <c r="AR145" t="inlineStr"/>
    </row>
    <row r="146">
      <c r="A146" t="inlineStr">
        <is>
          <t>Touloum-IHS</t>
        </is>
      </c>
      <c r="B146" t="inlineStr">
        <is>
          <t>EXN_125</t>
        </is>
      </c>
      <c r="C146" t="inlineStr">
        <is>
          <t>EXTREME-NORD</t>
        </is>
      </c>
      <c r="D146" t="inlineStr">
        <is>
          <t>IHS</t>
        </is>
      </c>
      <c r="E146" t="inlineStr">
        <is>
          <t>Grid-Gen</t>
        </is>
      </c>
      <c r="F146" t="inlineStr">
        <is>
          <t>EXTREME-NORD</t>
        </is>
      </c>
      <c r="G146" t="inlineStr">
        <is>
          <t>Touloum</t>
        </is>
      </c>
      <c r="H146" t="inlineStr">
        <is>
          <t>NOKIA</t>
        </is>
      </c>
      <c r="I146" t="n">
        <v>0</v>
      </c>
      <c r="J146" t="n">
        <v>0</v>
      </c>
      <c r="K146" t="n">
        <v>0.3736112252420044</v>
      </c>
      <c r="L146" t="n">
        <v>0.5763070912348941</v>
      </c>
      <c r="M146" t="n">
        <v>3.792866815417616</v>
      </c>
      <c r="N146" t="n">
        <v>0</v>
      </c>
      <c r="O146" t="n">
        <v>22.129624143663</v>
      </c>
      <c r="P146" t="n">
        <v>6.213309891062389</v>
      </c>
      <c r="Q146" t="n">
        <v>10.66934008671201</v>
      </c>
      <c r="R146" t="inlineStr">
        <is>
          <t>Insecurity</t>
        </is>
      </c>
      <c r="S146" t="inlineStr"/>
      <c r="T146" t="inlineStr"/>
      <c r="U146" t="inlineStr"/>
      <c r="V146" t="inlineStr"/>
      <c r="W146" t="inlineStr"/>
      <c r="X146" t="inlineStr">
        <is>
          <t>{05-25-2026 ocm ran 17H}: P1 Incident at EXN_074_H_Dziguilao; Power issue; IHS     ;    {05-25-2026 ticket}: INC-20260525-00010050..Grid Outage</t>
        </is>
      </c>
      <c r="Y146" t="inlineStr">
        <is>
          <t>P1 Incident at EXN_074_H_Dziguilao; Power issue; IHS .Grid Outage</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{05-25-2026 ocm ran 17H}: P1 Incident at EXN_074_H_Dziguilao; Power issue; IHS</t>
        </is>
      </c>
      <c r="AQ146" t="inlineStr">
        <is>
          <t>{05-25-2026 ticket}: INC-20260525-00010050..Grid Outage</t>
        </is>
      </c>
      <c r="AR146" t="inlineStr"/>
    </row>
    <row r="147">
      <c r="A147" t="inlineStr">
        <is>
          <t>Limbe-Mile4-IHS</t>
        </is>
      </c>
      <c r="B147" t="inlineStr">
        <is>
          <t>SUO_212</t>
        </is>
      </c>
      <c r="C147" t="inlineStr">
        <is>
          <t>SUD-OUEST</t>
        </is>
      </c>
      <c r="D147" t="inlineStr">
        <is>
          <t>IHS</t>
        </is>
      </c>
      <c r="E147" t="inlineStr">
        <is>
          <t>Grid-Gen</t>
        </is>
      </c>
      <c r="F147" t="inlineStr">
        <is>
          <t>SUD-OUEST</t>
        </is>
      </c>
      <c r="G147" t="inlineStr">
        <is>
          <t>Limbe</t>
        </is>
      </c>
      <c r="H147" t="inlineStr">
        <is>
          <t>Huawei</t>
        </is>
      </c>
      <c r="I147" t="n">
        <v>10.72471413936473</v>
      </c>
      <c r="J147" t="n">
        <v>0</v>
      </c>
      <c r="K147" t="n">
        <v>0</v>
      </c>
      <c r="L147" t="n">
        <v>0</v>
      </c>
      <c r="M147" t="n">
        <v>9.388260380728983</v>
      </c>
      <c r="N147" t="n">
        <v>6.209184122073946</v>
      </c>
      <c r="O147" t="n">
        <v>5.286269469690015</v>
      </c>
      <c r="P147" t="n">
        <v>15.26326315973795</v>
      </c>
      <c r="Q147" t="n">
        <v>10.62094965371412</v>
      </c>
      <c r="R147" t="inlineStr">
        <is>
          <t>Operationnel</t>
        </is>
      </c>
      <c r="S147" t="inlineStr"/>
      <c r="T147" t="inlineStr"/>
      <c r="U147" t="inlineStr"/>
      <c r="V147" t="inlineStr"/>
      <c r="W147" t="inlineStr"/>
      <c r="X147" t="inlineStr">
        <is>
          <t>{05-25-2026 top offenders}: 25/05/2026 : Verifier l'etat de la RRU || Fme active || Ghost town     ;    {None hourly IHS}: 25/05/2026 03:10..2:10:47..44.2V..FME is informed and will manage in the morning, Insecurity area.     ;    {05/25/2026 cell huawei}: 25/05/2026 : Verifier l'etat de la RRU     ;    {05/25/2026 cell huawei}: 25/05/2026 : Verifier l'etat de la RRU || Fme active || Ghost town     ;    {05/25/2026 cell huawei}: 25/05/2026 : Verifier l'etat de la RRU || Fme active || Ghost town     ;    {05-25-2026 ocm ran 17H}: Power status check Ongoing</t>
        </is>
      </c>
      <c r="Y147" t="inlineStr">
        <is>
          <t>25/05/2026 Verifier l'etat de la RRU || Fme active || Ghost town 25/05/2026 03 10.2 10 47.44.2V.FME is informed and will manage in the morning, Insecurity area. 25/05/2026 Verifier l'etat de la RRU 25/05/2026 Verifier l'etat de la RRU || Fme active || Ghost town 25/05/2026 Verifier l'etat de la RRU || Fme active || Ghost town</t>
        </is>
      </c>
      <c r="Z147" t="inlineStr"/>
      <c r="AA147" t="inlineStr"/>
      <c r="AB147" t="inlineStr">
        <is>
          <t>{05-25-2026 top offenders}: 25/05/2026 : Verifier l'etat de la RRU || Fme active || Ghost town</t>
        </is>
      </c>
      <c r="AC147" t="inlineStr"/>
      <c r="AD147" t="inlineStr"/>
      <c r="AE147" t="inlineStr">
        <is>
          <t>{None hourly IHS}: 25/05/2026 03:10..2:10:47..44.2V..FME is informed and will manage in the morning, Insecurity area.</t>
        </is>
      </c>
      <c r="AF147" t="inlineStr"/>
      <c r="AG147" t="inlineStr"/>
      <c r="AH147" t="inlineStr"/>
      <c r="AI147" t="inlineStr"/>
      <c r="AJ147" t="inlineStr"/>
      <c r="AK147" t="inlineStr"/>
      <c r="AL147" t="inlineStr">
        <is>
          <t>{05/25/2026 cell huawei}: 25/05/2026 : Verifier l'etat de la RRU</t>
        </is>
      </c>
      <c r="AM147" t="inlineStr">
        <is>
          <t>{05/25/2026 cell huawei}: 25/05/2026 : Verifier l'etat de la RRU || Fme active || Ghost town</t>
        </is>
      </c>
      <c r="AN147" t="inlineStr">
        <is>
          <t>{05/25/2026 cell huawei}: 25/05/2026 : Verifier l'etat de la RRU || Fme active || Ghost town</t>
        </is>
      </c>
      <c r="AO147" t="inlineStr"/>
      <c r="AP147" t="inlineStr">
        <is>
          <t>{05-25-2026 ocm ran 17H}: Power status check Ongoing</t>
        </is>
      </c>
      <c r="AQ147" t="inlineStr"/>
      <c r="AR147" t="inlineStr"/>
    </row>
    <row r="148">
      <c r="A148" t="inlineStr">
        <is>
          <t>Institute-Samba-New</t>
        </is>
      </c>
      <c r="B148" t="inlineStr">
        <is>
          <t>CTR_868</t>
        </is>
      </c>
      <c r="C148" t="inlineStr">
        <is>
          <t>Yaounde</t>
        </is>
      </c>
      <c r="D148" t="inlineStr">
        <is>
          <t>CAMUSAT</t>
        </is>
      </c>
      <c r="E148" t="inlineStr">
        <is>
          <t>Good Grid no GE - 8h</t>
        </is>
      </c>
      <c r="F148" t="inlineStr">
        <is>
          <t>CENTRE</t>
        </is>
      </c>
      <c r="G148" t="inlineStr">
        <is>
          <t>Yaounde</t>
        </is>
      </c>
      <c r="H148" t="inlineStr">
        <is>
          <t>ZTE</t>
        </is>
      </c>
      <c r="I148" t="n">
        <v>0</v>
      </c>
      <c r="J148" t="n">
        <v>0</v>
      </c>
      <c r="K148" t="n">
        <v>0</v>
      </c>
      <c r="L148" t="n">
        <v>0</v>
      </c>
      <c r="M148" t="n">
        <v>7.23710755824111e-17</v>
      </c>
      <c r="N148" t="n">
        <v>4.600778748965865</v>
      </c>
      <c r="O148" t="n">
        <v>3.988768271162928</v>
      </c>
      <c r="P148" t="n">
        <v>16.28588708530053</v>
      </c>
      <c r="Q148" t="n">
        <v>10.48897007416539</v>
      </c>
      <c r="R148" t="inlineStr">
        <is>
          <t>Operationnel</t>
        </is>
      </c>
      <c r="S148" t="inlineStr"/>
      <c r="T148" t="inlineStr"/>
      <c r="U148" t="inlineStr"/>
      <c r="V148" t="inlineStr"/>
      <c r="W148" t="inlineStr"/>
      <c r="X148" t="inlineStr">
        <is>
          <t>{05-25-2026 retour CAMUSAT}: Grid outage Grid only site     ;    {05-25-2026 ticket}: INC-20260525-00012371..grid only site probable grid outage / FME will check..Grid Outage..user:OCM_NOC.CAMUSAT</t>
        </is>
      </c>
      <c r="Y148" t="inlineStr">
        <is>
          <t>Grid outage Grid only site .grid only site probable grid outage / FME will check.Grid Outage.user OCM_NOC.CAMUSAT</t>
        </is>
      </c>
      <c r="Z148" t="inlineStr"/>
      <c r="AA148" t="inlineStr"/>
      <c r="AB148" t="inlineStr"/>
      <c r="AC148" t="inlineStr">
        <is>
          <t>{05-25-2026 retour CAMUSAT}: Grid outage Grid only site</t>
        </is>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{05-25-2026 ticket}: INC-20260525-00012371..grid only site probable grid outage / FME will check..Grid Outage..user:OCM_NOC.CAMUSAT</t>
        </is>
      </c>
      <c r="AR148" t="inlineStr"/>
    </row>
    <row r="149">
      <c r="A149" t="inlineStr">
        <is>
          <t>Mutengene-Maternity-IHS</t>
        </is>
      </c>
      <c r="B149" t="inlineStr">
        <is>
          <t>SUO_210</t>
        </is>
      </c>
      <c r="C149" t="inlineStr">
        <is>
          <t>SUD-OUEST</t>
        </is>
      </c>
      <c r="D149" t="inlineStr">
        <is>
          <t>IHS</t>
        </is>
      </c>
      <c r="E149" t="inlineStr">
        <is>
          <t>Grid-Gen</t>
        </is>
      </c>
      <c r="F149" t="inlineStr">
        <is>
          <t>SUD-OUEST</t>
        </is>
      </c>
      <c r="G149" t="inlineStr">
        <is>
          <t>Mutengene</t>
        </is>
      </c>
      <c r="H149" t="inlineStr">
        <is>
          <t>Huawei</t>
        </is>
      </c>
      <c r="I149" t="n">
        <v>0.8014192441921851</v>
      </c>
      <c r="J149" t="n">
        <v>3.311795692757246</v>
      </c>
      <c r="K149" t="n">
        <v>15.02161254790502</v>
      </c>
      <c r="L149" t="n">
        <v>6.333057959724113</v>
      </c>
      <c r="M149" t="n">
        <v>15.27520952650007</v>
      </c>
      <c r="N149" t="n">
        <v>22.89773249563365</v>
      </c>
      <c r="O149" t="n">
        <v>19.50597521003975</v>
      </c>
      <c r="P149" t="n">
        <v>0.7450540857623769</v>
      </c>
      <c r="Q149" t="n">
        <v>10.20671212471428</v>
      </c>
      <c r="R149" t="inlineStr">
        <is>
          <t>Insecurity</t>
        </is>
      </c>
      <c r="S149" t="inlineStr"/>
      <c r="T149" t="inlineStr"/>
      <c r="U149" t="inlineStr"/>
      <c r="V149" t="inlineStr"/>
      <c r="W149" t="inlineStr"/>
      <c r="X149" t="inlineStr">
        <is>
          <t>{None hourly IHS}: 25/05/2026 03:16..3:07:06..No comm..FME is informed and will manage in the morning, Insecurity area.</t>
        </is>
      </c>
      <c r="Y149" t="inlineStr">
        <is>
          <t>25/05/2026 03 16.3 07 06.No comm.FME is informed and will manage in the morning, Insecurity area.</t>
        </is>
      </c>
      <c r="Z149" t="inlineStr"/>
      <c r="AA149" t="inlineStr"/>
      <c r="AB149" t="inlineStr"/>
      <c r="AC149" t="inlineStr"/>
      <c r="AD149" t="inlineStr"/>
      <c r="AE149" t="inlineStr">
        <is>
          <t>{None hourly IHS}: 25/05/2026 03:16..3:07:06..No comm..FME is informed and will manage in the morning, Insecurity area.</t>
        </is>
      </c>
      <c r="AF149" t="inlineStr"/>
      <c r="AG149" t="inlineStr"/>
      <c r="AH149" t="inlineStr"/>
      <c r="AI149" t="inlineStr"/>
      <c r="AJ149" t="inlineStr"/>
      <c r="AK149" t="inlineStr"/>
      <c r="AL149" t="inlineStr"/>
      <c r="AM149" t="inlineStr"/>
      <c r="AN149" t="inlineStr"/>
      <c r="AO149" t="inlineStr"/>
      <c r="AP149" t="inlineStr"/>
      <c r="AQ149" t="inlineStr"/>
      <c r="AR149" t="inlineStr"/>
    </row>
    <row r="150">
      <c r="A150" t="inlineStr">
        <is>
          <t>Kousseri-Lacka</t>
        </is>
      </c>
      <c r="B150" t="inlineStr">
        <is>
          <t>EXN_094</t>
        </is>
      </c>
      <c r="C150" t="inlineStr">
        <is>
          <t>EXTREME-NORD</t>
        </is>
      </c>
      <c r="D150" t="inlineStr">
        <is>
          <t>IHS</t>
        </is>
      </c>
      <c r="E150" t="inlineStr">
        <is>
          <t>Grid-Gen</t>
        </is>
      </c>
      <c r="F150" t="inlineStr">
        <is>
          <t>EXTREME-NORD</t>
        </is>
      </c>
      <c r="G150" t="inlineStr">
        <is>
          <t>Kousseri</t>
        </is>
      </c>
      <c r="H150" t="inlineStr">
        <is>
          <t>Huawei</t>
        </is>
      </c>
      <c r="I150" t="n">
        <v>2.178519146313275</v>
      </c>
      <c r="J150" t="n">
        <v>6.758567258220545</v>
      </c>
      <c r="K150" t="n">
        <v>13.29095005321987</v>
      </c>
      <c r="L150" t="n">
        <v>11.4773187742022</v>
      </c>
      <c r="M150" t="n">
        <v>1.277348309091895</v>
      </c>
      <c r="N150" t="n">
        <v>16.79908096831049</v>
      </c>
      <c r="O150" t="n">
        <v>21.44253147621136</v>
      </c>
      <c r="P150" t="n">
        <v>0.8132837346536299</v>
      </c>
      <c r="Q150" t="n">
        <v>10.02153050654476</v>
      </c>
      <c r="R150" t="inlineStr">
        <is>
          <t>Insecurity</t>
        </is>
      </c>
      <c r="S150" t="inlineStr"/>
      <c r="T150" t="inlineStr"/>
      <c r="U150" t="inlineStr"/>
      <c r="V150" t="inlineStr"/>
      <c r="W150" t="inlineStr"/>
      <c r="X15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{None hourly IHS}: 25-05-2026 12:12:28..10:47:32..Yannick is managing with level 0, ETA asap     ;    {05-25-2026 ocm ran 22H}: 25.05.26: IHS: FME is managing with level 0     ;    {05-25-2026 ocm ran 17H}: 25.05.26: IHS: FME is managing with level 0</t>
        </is>
      </c>
      <c r="Y150"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25-05-2026 12 12 28.10 47 32.Yannick is managing with level 0, ETA asap 25.05.26 IHS FME is managing with level 0 25.05.26 IHS FME is managing with level 0</t>
        </is>
      </c>
      <c r="Z150" t="inlineStr"/>
      <c r="AA15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150" t="inlineStr"/>
      <c r="AC150" t="inlineStr"/>
      <c r="AD150" t="inlineStr"/>
      <c r="AE150" t="inlineStr">
        <is>
          <t>{None hourly IHS}: 25-05-2026 12:12:28..10:47:32..Yannick is managing with level 0, ETA asap</t>
        </is>
      </c>
      <c r="AF150" t="inlineStr"/>
      <c r="AG150" t="inlineStr"/>
      <c r="AH150" t="inlineStr"/>
      <c r="AI150" t="inlineStr"/>
      <c r="AJ150" t="inlineStr"/>
      <c r="AK150" t="inlineStr"/>
      <c r="AL150" t="inlineStr"/>
      <c r="AM150" t="inlineStr"/>
      <c r="AN150" t="inlineStr"/>
      <c r="AO150" t="inlineStr">
        <is>
          <t>{05-25-2026 ocm ran 22H}: 25.05.26: IHS: FME is managing with level 0</t>
        </is>
      </c>
      <c r="AP150" t="inlineStr">
        <is>
          <t>{05-25-2026 ocm ran 17H}: 25.05.26: IHS: FME is managing with level 0</t>
        </is>
      </c>
      <c r="AQ150" t="inlineStr"/>
      <c r="AR150" t="inlineStr"/>
    </row>
    <row r="151">
      <c r="A151" t="inlineStr">
        <is>
          <t>Batoua-Godole-IHS</t>
        </is>
      </c>
      <c r="B151" t="inlineStr">
        <is>
          <t>ADM_141</t>
        </is>
      </c>
      <c r="C151" t="inlineStr">
        <is>
          <t>ADAMAOUA</t>
        </is>
      </c>
      <c r="D151" t="inlineStr">
        <is>
          <t>IHS</t>
        </is>
      </c>
      <c r="E151" t="inlineStr">
        <is>
          <t>Solar-Gen</t>
        </is>
      </c>
      <c r="F151" t="inlineStr">
        <is>
          <t>ADAMAOUA</t>
        </is>
      </c>
      <c r="G151" t="inlineStr">
        <is>
          <t>Batoua-Godole</t>
        </is>
      </c>
      <c r="H151" t="inlineStr">
        <is>
          <t>NOKIA</t>
        </is>
      </c>
      <c r="I151" t="n">
        <v>4.62140765852531</v>
      </c>
      <c r="J151" t="n">
        <v>9.24447397933414</v>
      </c>
      <c r="K151" t="n">
        <v>9.33603736991572</v>
      </c>
      <c r="L151" t="n">
        <v>9.244313463629283</v>
      </c>
      <c r="M151" t="n">
        <v>9.251751558370966</v>
      </c>
      <c r="N151" t="n">
        <v>32.36356905626896</v>
      </c>
      <c r="O151" t="n">
        <v>16.06071372746971</v>
      </c>
      <c r="P151" t="n">
        <v>0</v>
      </c>
      <c r="Q151" t="n">
        <v>10.01328151184374</v>
      </c>
      <c r="R151" t="inlineStr">
        <is>
          <t>Operationnel</t>
        </is>
      </c>
      <c r="S151" t="inlineStr"/>
      <c r="T151" t="inlineStr"/>
      <c r="U151" t="inlineStr"/>
      <c r="V151" t="inlineStr"/>
      <c r="W151" t="inlineStr"/>
      <c r="X151" t="inlineStr">
        <is>
          <t>{05-25-2026 top offenders}: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     ;    {05-25-2026 retour IHS}: IHS     ;    {05/25/2026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     ;    {05/25/2026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     ;    {05/25/2026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t>
        </is>
      </c>
      <c r="Y151" t="inlineStr">
        <is>
          <t>25/05/2026 Spare en cours de transfert ce jour
23/05/2026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 || Feedback FME FXDB cmde Faulty || Nouvel Cmd faite du cote de NDE.ETA 22052026
17/05/2025 Intervention prevue pour 19/05/2026
16/05/2025 Action du level0
15/05/2026 Intervention le 16052026
14/05/2025 Feedback RM Etat de la route mauvaise a cause de la pluie || Intervention le 15/05/2026 apres le site de Messodo
13/05/2026 Feedback RM || After onsite intervention, faulty FXDB reported by Tchoup IHS 25/05/2026 Spare en cours de transfert ce jour
23/05/2026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 || Feedback FME FXDB cmde Faulty || Nouvel Cmd faite du cote de NDE.ETA 22052026
17/05/2025 Intervention prevue pour 19/05/2026
16/05/2025 Action du level0
15/05/2026 Intervention le 16052026
14/05/2025 Feedback RM Etat de la route mauvaise a cause de la pluie || Intervention le 15/05/2026 apres le site de Messodo
13/05/2026 Feedback RM || After onsite intervention, faulty FXDB reported by Tchoup 25/05/2026 Spare en cours de transfert ce jour
23/05/2026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 || Feedback FME FXDB cmde Faulty || Nouvel Cmd faite du cote de NDE.ETA 22052026
17/05/2025 Intervention prevue pour 19/05/2026
16/05/2025 Action du level0
15/05/2026 Intervention le 16052026
14/05/2025 Feedback RM Etat de la route mauvaise a cause de la pluie || Intervention le 15/05/2026 apres le site de Messodo
13/05/2026 Feedback RM || After onsite intervention, faulty FXDB reported by Tchoup 25/05/2026 Spare en cours de transfert ce jour
23/05/2026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 || Feedback FME FXDB cmde Faulty || Nouvel Cmd faite du cote de NDE.ETA 22052026
17/05/2025 Intervention prevue pour 19/05/2026
16/05/2025 Action du level0
15/05/2026 Intervention le 16052026
14/05/2025 Feedback RM Etat de la route mauvaise a cause de la pluie || Intervention le 15/05/2026 apres le site de Messodo
13/05/2026 Feedback RM || After onsite intervention, faulty FXDB reported by Tchoup</t>
        </is>
      </c>
      <c r="Z151" t="inlineStr"/>
      <c r="AA151" t="inlineStr"/>
      <c r="AB151" t="inlineStr">
        <is>
          <t>{05-25-2026 top offenders}: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t>
        </is>
      </c>
      <c r="AC151" t="inlineStr"/>
      <c r="AD151" t="inlineStr">
        <is>
          <t>{05-25-2026 retour IHS}: IHS</t>
        </is>
      </c>
      <c r="AE151" t="inlineStr"/>
      <c r="AF151" t="inlineStr">
        <is>
          <t>{05/25/2026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t>
        </is>
      </c>
      <c r="AG151" t="inlineStr">
        <is>
          <t>{05/25/2026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t>
        </is>
      </c>
      <c r="AH151" t="inlineStr">
        <is>
          <t>{05/25/2026 cell nokia}: 
25/05/2026 : Spare en cours de transfert ce jour 
23/05/2026 : Les 3 sur 4 FXDB disponible au Ware house de Ngde sont faulty , la seule FXDB restente doit etre tester ce jour avant expedition 
20/05/2026: Le FME a procede hier au remplacement de la FXDB. Cette FXDB apres remplacement a ete constate faulty  || Nouvelle cde passeee et ETD 23052026  
19/05/2026: FME a pris la route pour le site||Feedback  FME: FXDB cmde Faulty||Nouvel Cmd faite du cote de NDE.ETA 22052026
17/05/2025 ; Intervention prevue pour 19/05/2026
16/05/2025 : Action du  level0
15/05/2026 : Intervention le 16052026
14/05/2025 ; Feedback RM : Etat de la route mauvaise a cause de la  pluie||Intervention le 15/05/2026 apres le site de Messodo
13/05/2026: Feedback RM||After onsite intervention,  faulty FXDB  reported by Tchoup</t>
        </is>
      </c>
      <c r="AI151" t="inlineStr"/>
      <c r="AJ151" t="inlineStr"/>
      <c r="AK151" t="inlineStr"/>
      <c r="AL151" t="inlineStr"/>
      <c r="AM151" t="inlineStr"/>
      <c r="AN151" t="inlineStr"/>
      <c r="AO151" t="inlineStr"/>
      <c r="AP151" t="inlineStr"/>
      <c r="AQ151" t="inlineStr"/>
      <c r="AR151" t="inlineStr"/>
    </row>
    <row r="152">
      <c r="A152" t="inlineStr">
        <is>
          <t>Notre-Dame-de-Yassa</t>
        </is>
      </c>
      <c r="B152" t="inlineStr">
        <is>
          <t>LIT_620</t>
        </is>
      </c>
      <c r="C152" t="inlineStr">
        <is>
          <t>Douala</t>
        </is>
      </c>
      <c r="D152" t="inlineStr">
        <is>
          <t>CAMUSAT</t>
        </is>
      </c>
      <c r="E152" t="inlineStr">
        <is>
          <t>Medium Grid + GE</t>
        </is>
      </c>
      <c r="F152" t="inlineStr">
        <is>
          <t>LITTORAL</t>
        </is>
      </c>
      <c r="G152" t="inlineStr">
        <is>
          <t>Douala</t>
        </is>
      </c>
      <c r="H152" t="inlineStr">
        <is>
          <t>ZTE</t>
        </is>
      </c>
      <c r="I152" t="n">
        <v>7.16110497584417</v>
      </c>
      <c r="J152" t="n">
        <v>20.42795983825724</v>
      </c>
      <c r="K152" t="n">
        <v>1.245316508433852</v>
      </c>
      <c r="L152" t="n">
        <v>2.6132491802998</v>
      </c>
      <c r="M152" t="n">
        <v>2.62332599954913</v>
      </c>
      <c r="N152" t="n">
        <v>2.740334080708528</v>
      </c>
      <c r="O152" t="n">
        <v>2.511647388230974</v>
      </c>
      <c r="P152" t="n">
        <v>16.52703357870015</v>
      </c>
      <c r="Q152" t="n">
        <v>9.853167367228545</v>
      </c>
      <c r="R152" t="inlineStr">
        <is>
          <t>Operationnel</t>
        </is>
      </c>
      <c r="S152" t="inlineStr"/>
      <c r="T152" t="inlineStr"/>
      <c r="U152" t="inlineStr"/>
      <c r="V152" t="inlineStr"/>
      <c r="W152" t="inlineStr"/>
      <c r="X152" t="inlineStr">
        <is>
          <t>{05-25-2026 retour CAMUSAT}: No power issue      ;    {05-25-2026 ticket}: INC-20260525-00013336..Grid Outage</t>
        </is>
      </c>
      <c r="Y152" t="inlineStr">
        <is>
          <t>No power issue .Grid Outage</t>
        </is>
      </c>
      <c r="Z152" t="inlineStr"/>
      <c r="AA152" t="inlineStr"/>
      <c r="AB152" t="inlineStr"/>
      <c r="AC152" t="inlineStr">
        <is>
          <t xml:space="preserve">{05-25-2026 retour CAMUSAT}: No power issue </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{05-25-2026 ticket}: INC-20260525-00013336..Grid Outage</t>
        </is>
      </c>
      <c r="AR152" t="inlineStr"/>
    </row>
    <row r="153">
      <c r="A153" t="inlineStr">
        <is>
          <t>Hamalade-IHS</t>
        </is>
      </c>
      <c r="B153" t="inlineStr">
        <is>
          <t>NRD_111</t>
        </is>
      </c>
      <c r="C153" t="inlineStr">
        <is>
          <t>NORD</t>
        </is>
      </c>
      <c r="D153" t="inlineStr">
        <is>
          <t>IHS</t>
        </is>
      </c>
      <c r="E153" t="inlineStr">
        <is>
          <t>Solar-Gen</t>
        </is>
      </c>
      <c r="F153" t="inlineStr">
        <is>
          <t>NORD</t>
        </is>
      </c>
      <c r="G153" t="inlineStr">
        <is>
          <t>Hamalade</t>
        </is>
      </c>
      <c r="H153" t="inlineStr">
        <is>
          <t>NOKIA</t>
        </is>
      </c>
      <c r="I153" t="n">
        <v>3.11404034437396</v>
      </c>
      <c r="J153" t="n">
        <v>4.979857062548334</v>
      </c>
      <c r="K153" t="n">
        <v>23.11222830041691</v>
      </c>
      <c r="L153" t="n">
        <v>23.1118002585373</v>
      </c>
      <c r="M153" t="n">
        <v>15.50965745765144</v>
      </c>
      <c r="N153" t="n">
        <v>0</v>
      </c>
      <c r="O153" t="n">
        <v>28.96236182410377</v>
      </c>
      <c r="P153" t="n">
        <v>0</v>
      </c>
      <c r="Q153" t="n">
        <v>9.722998916710454</v>
      </c>
      <c r="R153" t="inlineStr">
        <is>
          <t>Operationnel</t>
        </is>
      </c>
      <c r="S153" t="inlineStr"/>
      <c r="T153" t="inlineStr"/>
      <c r="U153" t="inlineStr"/>
      <c r="V153" t="inlineStr"/>
      <c r="W153" t="inlineStr"/>
      <c r="X153" t="inlineStr">
        <is>
          <t xml:space="preserve">{05-25-2026 incident}:  {05-18-2026 groupe whatsapp incident}: impacted by    Hamalade-IHS_NRD_111 , Undefined || Action retour de HIS attendu pour les RCA     ;    {05-25-2026 top offenders}: 
25/05/2026: Intervention prevu pour ce jour ||ETA : 16h|| Forte pluie dans la zone evidence envoyer dans le groupe.||Intervention reporte pour demain
23/05/2026 : Check breaker and  interconnection (sfp, optical fiber) between system and radio module, swap its if needed      ;    {None hourly IHS}: 25/05/2026 07:39..0:21:00..44..FME is informed and managing     ;    {05/25/2026 cell nokia}: 
25/05/2026: Intervention prevu pour ce jour ||ETA : 16h
23/05/2026 : Check breaker and  interconnection (sfp, optical fiber) between system and radio module, swap its if needed      ;    {05/25/2026 cell nokia}: 
25/05/2026: Intervention prevu pour ce jour ||ETA : 16h|| Forte pluie dans la zone evidence envoyer dans le groupe.||Intervention reporte pour demain
23/05/2026 : Check breaker and  interconnection (sfp, optical fiber) between system and radio module, swap its if needed      ;    {05/25/2026 cell nokia}: 
25/05/2026: Intervention prevu pour ce jour ||ETA : 16h|| Forte pluie dans la zone evidence envoyer dans le groupe.||Intervention reporte pour demain
23/05/2026 : Check breaker and  interconnection (sfp, optical fiber) between system and radio module, swap its if needed </t>
        </is>
      </c>
      <c r="Y153" t="inlineStr">
        <is>
          <t>{05-25-2026 incident} {05-18-2026 groupe whatsapp incident} impacted by Hamalade-IHS_NRD_111 , Undefined || Action retour de HIS attendu pour les RCA 25/05/2026 Intervention prevu pour ce jour || ETA 16h || Forte pluie dans la zone evidence envoyer dans le groupe. || Intervention reporte pour demain
23/05/2026 Check breaker and interconnection (sfp, optical fiber) between system and radio module, swap its if needed 25/05/2026 07 39.0 21 00.44.FME is informed and managing 25/05/2026 Intervention prevu pour ce jour || ETA 16h
23/05/2026 Check breaker and interconnection (sfp, optical fiber) between system and radio module, swap its if needed 25/05/2026 Intervention prevu pour ce jour || ETA 16h || Forte pluie dans la zone evidence envoyer dans le groupe. || Intervention reporte pour demain
23/05/2026 Check breaker and interconnection (sfp, optical fiber) between system and radio module, swap its if needed 25/05/2026 Intervention prevu pour ce jour || ETA 16h || Forte pluie dans la zone evidence envoyer dans le groupe. || Intervention reporte pour demain
23/05/2026 Check breaker and interconnection (sfp, optical fiber) between system and radio module, swap its if needed</t>
        </is>
      </c>
      <c r="Z153" t="inlineStr"/>
      <c r="AA153" t="inlineStr">
        <is>
          <t>{05-25-2026 incident}:  {05-18-2026 groupe whatsapp incident}: impacted by    Hamalade-IHS_NRD_111 , Undefined || Action retour de HIS attendu pour les RCA</t>
        </is>
      </c>
      <c r="AB153" t="inlineStr">
        <is>
          <t xml:space="preserve">{05-25-2026 top offenders}: 
25/05/2026: Intervention prevu pour ce jour ||ETA : 16h|| Forte pluie dans la zone evidence envoyer dans le groupe.||Intervention reporte pour demain
23/05/2026 : Check breaker and  interconnection (sfp, optical fiber) between system and radio module, swap its if needed </t>
        </is>
      </c>
      <c r="AC153" t="inlineStr"/>
      <c r="AD153" t="inlineStr"/>
      <c r="AE153" t="inlineStr">
        <is>
          <t>{None hourly IHS}: 25/05/2026 07:39..0:21:00..44..FME is informed and managing</t>
        </is>
      </c>
      <c r="AF153" t="inlineStr">
        <is>
          <t xml:space="preserve">{05/25/2026 cell nokia}: 
25/05/2026: Intervention prevu pour ce jour ||ETA : 16h
23/05/2026 : Check breaker and  interconnection (sfp, optical fiber) between system and radio module, swap its if needed </t>
        </is>
      </c>
      <c r="AG153" t="inlineStr">
        <is>
          <t xml:space="preserve">{05/25/2026 cell nokia}: 
25/05/2026: Intervention prevu pour ce jour ||ETA : 16h|| Forte pluie dans la zone evidence envoyer dans le groupe.||Intervention reporte pour demain
23/05/2026 : Check breaker and  interconnection (sfp, optical fiber) between system and radio module, swap its if needed </t>
        </is>
      </c>
      <c r="AH153" t="inlineStr">
        <is>
          <t xml:space="preserve">{05/25/2026 cell nokia}: 
25/05/2026: Intervention prevu pour ce jour ||ETA : 16h|| Forte pluie dans la zone evidence envoyer dans le groupe.||Intervention reporte pour demain
23/05/2026 : Check breaker and  interconnection (sfp, optical fiber) between system and radio module, swap its if needed </t>
        </is>
      </c>
      <c r="AI153" t="inlineStr"/>
      <c r="AJ153" t="inlineStr"/>
      <c r="AK153" t="inlineStr"/>
      <c r="AL153" t="inlineStr"/>
      <c r="AM153" t="inlineStr"/>
      <c r="AN153" t="inlineStr"/>
      <c r="AO153" t="inlineStr"/>
      <c r="AP153" t="inlineStr"/>
      <c r="AQ153" t="inlineStr"/>
      <c r="AR153" t="inlineStr"/>
    </row>
    <row r="154">
      <c r="A154" t="inlineStr">
        <is>
          <t>CTR_939_Z_Mehanda-IV</t>
        </is>
      </c>
      <c r="B154" t="inlineStr">
        <is>
          <t>CTR_939</t>
        </is>
      </c>
      <c r="C154" t="inlineStr">
        <is>
          <t>CENTRE</t>
        </is>
      </c>
      <c r="D154" t="inlineStr">
        <is>
          <t>ESCO</t>
        </is>
      </c>
      <c r="E154" t="inlineStr">
        <is>
          <t>Good Grid Solar + GE</t>
        </is>
      </c>
      <c r="F154" t="inlineStr">
        <is>
          <t>CENTRE</t>
        </is>
      </c>
      <c r="G154" t="inlineStr">
        <is>
          <t>Nkolafamba</t>
        </is>
      </c>
      <c r="H154" t="inlineStr">
        <is>
          <t>ZTE</t>
        </is>
      </c>
      <c r="I154" t="n">
        <v>0</v>
      </c>
      <c r="J154" t="n">
        <v>0</v>
      </c>
      <c r="K154" t="n">
        <v>0</v>
      </c>
      <c r="L154" t="n">
        <v>0</v>
      </c>
      <c r="M154" t="n">
        <v>0.07082309599837915</v>
      </c>
      <c r="N154" t="n">
        <v>7.175751072103722</v>
      </c>
      <c r="O154" t="n">
        <v>5.250887420055695</v>
      </c>
      <c r="P154" t="n">
        <v>13.29708646061108</v>
      </c>
      <c r="Q154" t="n">
        <v>9.721758510185975</v>
      </c>
      <c r="R154" t="inlineStr">
        <is>
          <t>Operationnel</t>
        </is>
      </c>
      <c r="S154" t="inlineStr"/>
      <c r="T154" t="inlineStr"/>
      <c r="U154" t="inlineStr"/>
      <c r="V154" t="inlineStr"/>
      <c r="W154" t="inlineStr"/>
      <c r="X154" t="inlineStr">
        <is>
          <t>{05-25-2026 retour CAMUSAT}: No power issue      ;    {05-25-2026 ocm ran 22H}: 25.05.26: BO TX analysis ongoing</t>
        </is>
      </c>
      <c r="Y154" t="inlineStr">
        <is>
          <t>No power issue 25.05.26 BO TX analysis ongoing</t>
        </is>
      </c>
      <c r="Z154" t="inlineStr"/>
      <c r="AA154" t="inlineStr"/>
      <c r="AB154" t="inlineStr"/>
      <c r="AC154" t="inlineStr">
        <is>
          <t xml:space="preserve">{05-25-2026 retour CAMUSAT}: No power issue </t>
        </is>
      </c>
      <c r="AD154" t="inlineStr"/>
      <c r="AE154" t="inlineStr"/>
      <c r="AF154" t="inlineStr"/>
      <c r="AG154" t="inlineStr"/>
      <c r="AH154" t="inlineStr"/>
      <c r="AI154" t="inlineStr"/>
      <c r="AJ154" t="inlineStr"/>
      <c r="AK154" t="inlineStr"/>
      <c r="AL154" t="inlineStr"/>
      <c r="AM154" t="inlineStr"/>
      <c r="AN154" t="inlineStr"/>
      <c r="AO154" t="inlineStr">
        <is>
          <t>{05-25-2026 ocm ran 22H}: 25.05.26: BO TX analysis ongoing</t>
        </is>
      </c>
      <c r="AP154" t="inlineStr"/>
      <c r="AQ154" t="inlineStr"/>
      <c r="AR154" t="inlineStr"/>
    </row>
    <row r="155">
      <c r="A155" t="inlineStr">
        <is>
          <t>Mora4-IHS</t>
        </is>
      </c>
      <c r="B155" t="inlineStr">
        <is>
          <t>EXN_258</t>
        </is>
      </c>
      <c r="C155" t="inlineStr">
        <is>
          <t>EXTREME-NORD</t>
        </is>
      </c>
      <c r="D155" t="inlineStr">
        <is>
          <t>IHS</t>
        </is>
      </c>
      <c r="E155" t="inlineStr">
        <is>
          <t>Grid-Gen</t>
        </is>
      </c>
      <c r="F155" t="inlineStr">
        <is>
          <t>EXTREME-NORD</t>
        </is>
      </c>
      <c r="G155" t="inlineStr">
        <is>
          <t>Mora</t>
        </is>
      </c>
      <c r="H155" t="inlineStr">
        <is>
          <t>Huawei</t>
        </is>
      </c>
      <c r="I155" t="n">
        <v>2.261024218609549</v>
      </c>
      <c r="J155" t="n">
        <v>6.250784743445966</v>
      </c>
      <c r="K155" t="n">
        <v>16.18037542126455</v>
      </c>
      <c r="L155" t="n">
        <v>0.1860198668504393</v>
      </c>
      <c r="M155" t="n">
        <v>0</v>
      </c>
      <c r="N155" t="n">
        <v>11.27994496600842</v>
      </c>
      <c r="O155" t="n">
        <v>19.00727956451816</v>
      </c>
      <c r="P155" t="n">
        <v>3.266473065465441</v>
      </c>
      <c r="Q155" t="n">
        <v>9.695166408414732</v>
      </c>
      <c r="R155" t="inlineStr">
        <is>
          <t>Insecurity</t>
        </is>
      </c>
      <c r="S155" t="inlineStr"/>
      <c r="T155" t="inlineStr"/>
      <c r="U155" t="inlineStr"/>
      <c r="V155" t="inlineStr"/>
      <c r="W155" t="inlineStr"/>
      <c r="X155" t="inlineStr">
        <is>
          <t>{None hourly IHS}: 25/05/2026 12:41..0:19:00..25..FME is informed and managing</t>
        </is>
      </c>
      <c r="Y155" t="inlineStr">
        <is>
          <t>25/05/2026 12 41.0 19 00.25.FME is informed and managing</t>
        </is>
      </c>
      <c r="Z155" t="inlineStr"/>
      <c r="AA155" t="inlineStr"/>
      <c r="AB155" t="inlineStr"/>
      <c r="AC155" t="inlineStr"/>
      <c r="AD155" t="inlineStr"/>
      <c r="AE155" t="inlineStr">
        <is>
          <t>{None hourly IHS}: 25/05/2026 12:41..0:19:00..25..FME is informed and managing</t>
        </is>
      </c>
      <c r="AF155" t="inlineStr"/>
      <c r="AG155" t="inlineStr"/>
      <c r="AH155" t="inlineStr"/>
      <c r="AI155" t="inlineStr"/>
      <c r="AJ155" t="inlineStr"/>
      <c r="AK155" t="inlineStr"/>
      <c r="AL155" t="inlineStr"/>
      <c r="AM155" t="inlineStr"/>
      <c r="AN155" t="inlineStr"/>
      <c r="AO155" t="inlineStr"/>
      <c r="AP155" t="inlineStr"/>
      <c r="AQ155" t="inlineStr"/>
      <c r="AR155" t="inlineStr"/>
    </row>
    <row r="156">
      <c r="A156" t="inlineStr">
        <is>
          <t>OST_342_H_Foumban-New</t>
        </is>
      </c>
      <c r="B156" t="inlineStr">
        <is>
          <t>OST_342</t>
        </is>
      </c>
      <c r="C156" t="inlineStr">
        <is>
          <t>OUEST</t>
        </is>
      </c>
      <c r="D156" t="inlineStr">
        <is>
          <t>ESCO</t>
        </is>
      </c>
      <c r="E156" t="inlineStr">
        <is>
          <t>Medium Grid + Solar + GE</t>
        </is>
      </c>
      <c r="F156" t="inlineStr">
        <is>
          <t>OST</t>
        </is>
      </c>
      <c r="G156" t="inlineStr">
        <is>
          <t>Foumban</t>
        </is>
      </c>
      <c r="H156" t="inlineStr">
        <is>
          <t>Huawei</t>
        </is>
      </c>
      <c r="I156" t="n">
        <v>10.78125133763087</v>
      </c>
      <c r="J156" t="n">
        <v>10.7465264401469</v>
      </c>
      <c r="K156" t="n">
        <v>10.86209774764363</v>
      </c>
      <c r="L156" t="n">
        <v>7.637872289424798</v>
      </c>
      <c r="M156" t="n">
        <v>8.218404088656033</v>
      </c>
      <c r="N156" t="n">
        <v>21.82238148907513</v>
      </c>
      <c r="O156" t="n">
        <v>12.41607122820976</v>
      </c>
      <c r="P156" t="n">
        <v>4.588999643222207</v>
      </c>
      <c r="Q156" t="n">
        <v>9.677563186115462</v>
      </c>
      <c r="R156" t="inlineStr">
        <is>
          <t>EXCLU</t>
        </is>
      </c>
      <c r="S156" t="inlineStr"/>
      <c r="T156" t="inlineStr"/>
      <c r="U156" t="inlineStr"/>
      <c r="V156" t="inlineStr"/>
      <c r="W156" t="inlineStr"/>
      <c r="X156" t="inlineStr">
        <is>
          <t>{05-25-2026 ocm ran 22H}: New site not yet transferred to MSP     ;    {05-25-2026 ocm ran 17H}: Power status check Ongoing     ;    {05-25-2026 ticket}: INC-20260525-00016440..travaux d'installation du site non achevés. Merci de contacter l'équipe projet</t>
        </is>
      </c>
      <c r="Y156" t="inlineStr">
        <is>
          <t>New site not yet transferred to MSP .travaux d'installation du site non achevés. Merci de contacter l'équipe projet</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{05-25-2026 ocm ran 22H}: New site not yet transferred to MSP</t>
        </is>
      </c>
      <c r="AP156" t="inlineStr">
        <is>
          <t>{05-25-2026 ocm ran 17H}: Power status check Ongoing</t>
        </is>
      </c>
      <c r="AQ156" t="inlineStr">
        <is>
          <t>{05-25-2026 ticket}: INC-20260525-00016440..travaux d'installation du site non achevés. Merci de contacter l'équipe projet</t>
        </is>
      </c>
      <c r="AR156" t="inlineStr"/>
    </row>
    <row r="157">
      <c r="A157" t="inlineStr">
        <is>
          <t>Mile16-Bolifamba-IHS</t>
        </is>
      </c>
      <c r="B157" t="inlineStr">
        <is>
          <t>SUO_220</t>
        </is>
      </c>
      <c r="C157" t="inlineStr">
        <is>
          <t>SUD-OUEST</t>
        </is>
      </c>
      <c r="D157" t="inlineStr">
        <is>
          <t>IHS</t>
        </is>
      </c>
      <c r="E157" t="inlineStr">
        <is>
          <t>Grid-Gen</t>
        </is>
      </c>
      <c r="F157" t="inlineStr">
        <is>
          <t>SUD-OUEST</t>
        </is>
      </c>
      <c r="G157" t="inlineStr">
        <is>
          <t>Buea</t>
        </is>
      </c>
      <c r="H157" t="inlineStr">
        <is>
          <t>Huawei</t>
        </is>
      </c>
      <c r="I157" t="n">
        <v>2.15376405760873</v>
      </c>
      <c r="J157" t="n">
        <v>18.49114167330132</v>
      </c>
      <c r="K157" t="n">
        <v>0</v>
      </c>
      <c r="L157" t="n">
        <v>1.649298867401187</v>
      </c>
      <c r="M157" t="n">
        <v>0</v>
      </c>
      <c r="N157" t="n">
        <v>12.519533669852</v>
      </c>
      <c r="O157" t="n">
        <v>16.00416169405429</v>
      </c>
      <c r="P157" t="n">
        <v>4.81694481107193</v>
      </c>
      <c r="Q157" t="n">
        <v>9.672551529108274</v>
      </c>
      <c r="R157" t="inlineStr">
        <is>
          <t>Operationnel</t>
        </is>
      </c>
      <c r="S157" t="inlineStr"/>
      <c r="T157" t="inlineStr"/>
      <c r="U157" t="inlineStr"/>
      <c r="V157" t="inlineStr"/>
      <c r="W157" t="inlineStr"/>
      <c r="X157" t="inlineStr">
        <is>
          <t>{05-25-2026 top offenders}: Impacted by SUO_169_H_Buea-Bomaka-III-MTN     ;    {05-25-2026 retour IHS}: IHS     ;    {05-25-2026 ocm ran 22H}: Impacted by SUO_169_H_Buea-Bomaka-III-MTN     ;    {05-25-2026 ocm ran 17H}: Power status check Ongoing</t>
        </is>
      </c>
      <c r="Y157" t="inlineStr">
        <is>
          <t>Impacted by SUO_169_H_Buea-Bomaka-III-MTN IHS Impacted by SUO_169_H_Buea-Bomaka-III-MTN</t>
        </is>
      </c>
      <c r="Z157" t="inlineStr"/>
      <c r="AA157" t="inlineStr"/>
      <c r="AB157" t="inlineStr">
        <is>
          <t>{05-25-2026 top offenders}: Impacted by SUO_169_H_Buea-Bomaka-III-MTN</t>
        </is>
      </c>
      <c r="AC157" t="inlineStr"/>
      <c r="AD157" t="inlineStr">
        <is>
          <t>{05-25-2026 retour IHS}: IHS</t>
        </is>
      </c>
      <c r="AE157" t="inlineStr"/>
      <c r="AF157" t="inlineStr"/>
      <c r="AG157" t="inlineStr"/>
      <c r="AH157" t="inlineStr"/>
      <c r="AI157" t="inlineStr"/>
      <c r="AJ157" t="inlineStr"/>
      <c r="AK157" t="inlineStr"/>
      <c r="AL157" t="inlineStr"/>
      <c r="AM157" t="inlineStr"/>
      <c r="AN157" t="inlineStr"/>
      <c r="AO157" t="inlineStr">
        <is>
          <t>{05-25-2026 ocm ran 22H}: Impacted by SUO_169_H_Buea-Bomaka-III-MTN</t>
        </is>
      </c>
      <c r="AP157" t="inlineStr">
        <is>
          <t>{05-25-2026 ocm ran 17H}: Power status check Ongoing</t>
        </is>
      </c>
      <c r="AQ157" t="inlineStr"/>
      <c r="AR157" t="inlineStr"/>
    </row>
    <row r="158">
      <c r="A158" t="inlineStr">
        <is>
          <t>Nsam-Sofavinc-IHS</t>
        </is>
      </c>
      <c r="B158" t="inlineStr">
        <is>
          <t>CTR_488</t>
        </is>
      </c>
      <c r="C158" t="inlineStr">
        <is>
          <t>Yaounde</t>
        </is>
      </c>
      <c r="D158" t="inlineStr">
        <is>
          <t>IHS</t>
        </is>
      </c>
      <c r="E158" t="inlineStr">
        <is>
          <t>Grid-Gen</t>
        </is>
      </c>
      <c r="F158" t="inlineStr">
        <is>
          <t>CENTRE</t>
        </is>
      </c>
      <c r="G158" t="inlineStr">
        <is>
          <t>Yaounde</t>
        </is>
      </c>
      <c r="H158" t="inlineStr">
        <is>
          <t>ZTE</t>
        </is>
      </c>
      <c r="I158" t="n">
        <v>0</v>
      </c>
      <c r="J158" t="n">
        <v>0</v>
      </c>
      <c r="K158" t="n">
        <v>0.6331452802675549</v>
      </c>
      <c r="L158" t="n">
        <v>0</v>
      </c>
      <c r="M158" t="n">
        <v>0</v>
      </c>
      <c r="N158" t="n">
        <v>2.79778605086148</v>
      </c>
      <c r="O158" t="n">
        <v>3.154580668523108</v>
      </c>
      <c r="P158" t="n">
        <v>15.71333944014341</v>
      </c>
      <c r="Q158" t="n">
        <v>9.652879437724188</v>
      </c>
      <c r="R158" t="inlineStr">
        <is>
          <t>Operationnel</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row>
    <row r="159">
      <c r="A159" t="inlineStr">
        <is>
          <t>Mile4-Q10-IHS</t>
        </is>
      </c>
      <c r="B159" t="inlineStr">
        <is>
          <t>SUO_214</t>
        </is>
      </c>
      <c r="C159" t="inlineStr">
        <is>
          <t>SUD-OUEST</t>
        </is>
      </c>
      <c r="D159" t="inlineStr">
        <is>
          <t>IHS</t>
        </is>
      </c>
      <c r="E159" t="inlineStr">
        <is>
          <t>Grid-Gen</t>
        </is>
      </c>
      <c r="F159" t="inlineStr">
        <is>
          <t>SUD-OUEST</t>
        </is>
      </c>
      <c r="G159" t="inlineStr">
        <is>
          <t>Limbe</t>
        </is>
      </c>
      <c r="H159" t="inlineStr">
        <is>
          <t>Huawei</t>
        </is>
      </c>
      <c r="I159" t="n">
        <v>10.79922909657481</v>
      </c>
      <c r="J159" t="n">
        <v>0</v>
      </c>
      <c r="K159" t="n">
        <v>0</v>
      </c>
      <c r="L159" t="n">
        <v>0</v>
      </c>
      <c r="M159" t="n">
        <v>9.300404784937488</v>
      </c>
      <c r="N159" t="n">
        <v>4.328256577501209</v>
      </c>
      <c r="O159" t="n">
        <v>3.689614635290757</v>
      </c>
      <c r="P159" t="n">
        <v>14.89783268434797</v>
      </c>
      <c r="Q159" t="n">
        <v>9.62577011868175</v>
      </c>
      <c r="R159" t="inlineStr">
        <is>
          <t>Insecurity</t>
        </is>
      </c>
      <c r="S159" t="inlineStr"/>
      <c r="T159" t="inlineStr"/>
      <c r="U159" t="inlineStr"/>
      <c r="V159" t="inlineStr"/>
      <c r="W159" t="inlineStr"/>
      <c r="X159" t="inlineStr">
        <is>
          <t>{05-25-2026 ocm ran 17H}: Power status check Ongoing</t>
        </is>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{05-25-2026 ocm ran 17H}: Power status check Ongoing</t>
        </is>
      </c>
      <c r="AQ159" t="inlineStr"/>
      <c r="AR159" t="inlineStr"/>
    </row>
    <row r="160">
      <c r="A160" t="inlineStr">
        <is>
          <t>Mvogmbi-New</t>
        </is>
      </c>
      <c r="B160" t="inlineStr">
        <is>
          <t>CTR_483</t>
        </is>
      </c>
      <c r="C160" t="inlineStr">
        <is>
          <t>Yaounde</t>
        </is>
      </c>
      <c r="D160" t="inlineStr">
        <is>
          <t>IHS</t>
        </is>
      </c>
      <c r="E160" t="inlineStr">
        <is>
          <t>Grid-Gen</t>
        </is>
      </c>
      <c r="F160" t="inlineStr">
        <is>
          <t>CENTRE</t>
        </is>
      </c>
      <c r="G160" t="inlineStr">
        <is>
          <t>Yaounde</t>
        </is>
      </c>
      <c r="H160" t="inlineStr">
        <is>
          <t>ZTE</t>
        </is>
      </c>
      <c r="I160" t="n">
        <v>0</v>
      </c>
      <c r="J160" t="n">
        <v>0</v>
      </c>
      <c r="K160" t="n">
        <v>0</v>
      </c>
      <c r="L160" t="n">
        <v>0</v>
      </c>
      <c r="M160" t="n">
        <v>0</v>
      </c>
      <c r="N160" t="n">
        <v>4.417556922412863</v>
      </c>
      <c r="O160" t="n">
        <v>3.968952198319681</v>
      </c>
      <c r="P160" t="n">
        <v>14.27548936561406</v>
      </c>
      <c r="Q160" t="n">
        <v>9.407754121329896</v>
      </c>
      <c r="R160" t="inlineStr">
        <is>
          <t>Operationnel</t>
        </is>
      </c>
      <c r="S160" t="inlineStr"/>
      <c r="T160" t="inlineStr"/>
      <c r="U160" t="inlineStr"/>
      <c r="V160" t="inlineStr"/>
      <c r="W160" t="inlineStr"/>
      <c r="X160" t="inlineStr">
        <is>
          <t>{05-25-2026 ticket}: INC-20260525-00009432..Grid Outage</t>
        </is>
      </c>
      <c r="Y160" t="inlineStr">
        <is>
          <t>.Grid Outage</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{05-25-2026 ticket}: INC-20260525-00009432..Grid Outage</t>
        </is>
      </c>
      <c r="AR160" t="inlineStr"/>
    </row>
    <row r="161">
      <c r="A161" t="inlineStr">
        <is>
          <t>Fraternite-Adama_Ekombitie-III</t>
        </is>
      </c>
      <c r="B161" t="inlineStr">
        <is>
          <t>CTR_849</t>
        </is>
      </c>
      <c r="C161" t="inlineStr">
        <is>
          <t>Yaounde</t>
        </is>
      </c>
      <c r="D161" t="inlineStr">
        <is>
          <t>CAMUSAT</t>
        </is>
      </c>
      <c r="E161" t="inlineStr">
        <is>
          <t>Good Grid no GE - 8h</t>
        </is>
      </c>
      <c r="F161" t="inlineStr">
        <is>
          <t>CENTRE</t>
        </is>
      </c>
      <c r="G161" t="inlineStr">
        <is>
          <t>Yaounde</t>
        </is>
      </c>
      <c r="H161" t="inlineStr">
        <is>
          <t>ZTE</t>
        </is>
      </c>
      <c r="I161" t="n">
        <v>13.77324624107889</v>
      </c>
      <c r="J161" t="n">
        <v>4.541203311331981</v>
      </c>
      <c r="K161" t="n">
        <v>12.05515747660751</v>
      </c>
      <c r="L161" t="n">
        <v>3.476734497036523</v>
      </c>
      <c r="M161" t="n">
        <v>0</v>
      </c>
      <c r="N161" t="n">
        <v>4.535208565639126</v>
      </c>
      <c r="O161" t="n">
        <v>3.986271339732279</v>
      </c>
      <c r="P161" t="n">
        <v>13.96635262560002</v>
      </c>
      <c r="Q161" t="n">
        <v>9.269157727725418</v>
      </c>
      <c r="R161" t="inlineStr">
        <is>
          <t>Operationnel</t>
        </is>
      </c>
      <c r="S161" t="inlineStr"/>
      <c r="T161" t="inlineStr"/>
      <c r="U161" t="inlineStr"/>
      <c r="V161" t="inlineStr"/>
      <c r="W161" t="inlineStr"/>
      <c r="X161" t="inlineStr">
        <is>
          <t>{05-25-2026 top offenders}: 26.05.2026 CAMUSAT: Grid outage / Grid return awaited     ;    {05-25-2026 ocm ran 22H}: Power status check Ongoing     ;    {05-25-2026 ticket}: INC-20260525-00016847..Grid Outage</t>
        </is>
      </c>
      <c r="Y161" t="inlineStr">
        <is>
          <t>26.05.2026 CAMUSAT Grid outage / Grid return awaited .Grid Outage</t>
        </is>
      </c>
      <c r="Z161" t="inlineStr"/>
      <c r="AA161" t="inlineStr"/>
      <c r="AB161" t="inlineStr">
        <is>
          <t>{05-25-2026 top offenders}: 26.05.2026 CAMUSAT: Grid outage / Grid return awaited</t>
        </is>
      </c>
      <c r="AC161" t="inlineStr"/>
      <c r="AD161" t="inlineStr"/>
      <c r="AE161" t="inlineStr"/>
      <c r="AF161" t="inlineStr"/>
      <c r="AG161" t="inlineStr"/>
      <c r="AH161" t="inlineStr"/>
      <c r="AI161" t="inlineStr"/>
      <c r="AJ161" t="inlineStr"/>
      <c r="AK161" t="inlineStr"/>
      <c r="AL161" t="inlineStr"/>
      <c r="AM161" t="inlineStr"/>
      <c r="AN161" t="inlineStr"/>
      <c r="AO161" t="inlineStr">
        <is>
          <t>{05-25-2026 ocm ran 22H}: Power status check Ongoing</t>
        </is>
      </c>
      <c r="AP161" t="inlineStr"/>
      <c r="AQ161" t="inlineStr">
        <is>
          <t>{05-25-2026 ticket}: INC-20260525-00016847..Grid Outage</t>
        </is>
      </c>
      <c r="AR161" t="inlineStr"/>
    </row>
    <row r="162">
      <c r="A162" t="inlineStr">
        <is>
          <t>Ngousso-Maetur</t>
        </is>
      </c>
      <c r="B162" t="inlineStr">
        <is>
          <t>CTR_567</t>
        </is>
      </c>
      <c r="C162" t="inlineStr">
        <is>
          <t>Yaounde</t>
        </is>
      </c>
      <c r="D162" t="inlineStr">
        <is>
          <t>CAMUSAT</t>
        </is>
      </c>
      <c r="E162" t="inlineStr">
        <is>
          <t>Good Grid no GE - 8h</t>
        </is>
      </c>
      <c r="F162" t="inlineStr">
        <is>
          <t>CENTRE</t>
        </is>
      </c>
      <c r="G162" t="inlineStr">
        <is>
          <t>Yaounde</t>
        </is>
      </c>
      <c r="H162" t="inlineStr">
        <is>
          <t>ZTE</t>
        </is>
      </c>
      <c r="I162" t="n">
        <v>0</v>
      </c>
      <c r="J162" t="n">
        <v>0</v>
      </c>
      <c r="K162" t="n">
        <v>0</v>
      </c>
      <c r="L162" t="n">
        <v>1.065431908524596</v>
      </c>
      <c r="M162" t="n">
        <v>15.10003338726661</v>
      </c>
      <c r="N162" t="n">
        <v>0</v>
      </c>
      <c r="O162" t="n">
        <v>27.54062241806665</v>
      </c>
      <c r="P162" t="n">
        <v>0</v>
      </c>
      <c r="Q162" t="n">
        <v>9.245704599738039</v>
      </c>
      <c r="R162" t="inlineStr">
        <is>
          <t>Operationnel</t>
        </is>
      </c>
      <c r="S162" t="inlineStr"/>
      <c r="T162" t="inlineStr"/>
      <c r="U162" t="inlineStr"/>
      <c r="V162" t="inlineStr"/>
      <c r="W162" t="inlineStr"/>
      <c r="X162" t="inlineStr">
        <is>
          <t xml:space="preserve">{05-25-2026 top offenders}: 22/05/2026 : En attente feedback IHS || 
We are facing PWC issue on this site ETR to replace 30/05/2026
21/05/2026 : Need BO RAN analysis || Power issue || Mail sent to IHS      ;    {05/25/2026 cell zte}: 22/05/2026 : En attente feedback IHS || 
We are facing PWC issue on this site ETR to replace 30/05/2026
21/05/2026 : Need BO RAN analysis || Power issue || Mail sent to IHS      ;    {05/25/2026 cell zte}: 22/05/2026 : En attente feedback IHS || 
We are facing PWC issue on this site ETR to replace 30/05/2026
21/05/2026 : Need BO RAN analysis || Power issue || Mail sent to IHS      ;    {05/25/2026 cell zte}: 22/05/2026 : En attente feedback IHS || 
We are facing PWC issue on this site ETR to replace 30/05/2026
21/05/2026 : Need BO RAN analysis || Power issue || Mail sent to IHS </t>
        </is>
      </c>
      <c r="Y162" t="inlineStr">
        <is>
          <t>22/05/2026 En attente feedback IHS ||
We are facing PWC issue on this site ETR to replace 30/05/2026
21/05/2026 Need BO RAN analysis || Power issue || Mail sent to IHS 22/05/2026 En attente feedback IHS ||
We are facing PWC issue on this site ETR to replace 30/05/2026
21/05/2026 Need BO RAN analysis || Power issue || Mail sent to IHS 22/05/2026 En attente feedback IHS ||
We are facing PWC issue on this site ETR to replace 30/05/2026
21/05/2026 Need BO RAN analysis || Power issue || Mail sent to IHS 22/05/2026 En attente feedback IHS ||
We are facing PWC issue on this site ETR to replace 30/05/2026
21/05/2026 Need BO RAN analysis || Power issue || Mail sent to IHS</t>
        </is>
      </c>
      <c r="Z162" t="inlineStr"/>
      <c r="AA162" t="inlineStr"/>
      <c r="AB162" t="inlineStr">
        <is>
          <t xml:space="preserve">{05-25-2026 top offenders}: 22/05/2026 : En attente feedback IHS || 
We are facing PWC issue on this site ETR to replace 30/05/2026
21/05/2026 : Need BO RAN analysis || Power issue || Mail sent to IHS </t>
        </is>
      </c>
      <c r="AC162" t="inlineStr"/>
      <c r="AD162" t="inlineStr"/>
      <c r="AE162" t="inlineStr"/>
      <c r="AF162" t="inlineStr"/>
      <c r="AG162" t="inlineStr"/>
      <c r="AH162" t="inlineStr"/>
      <c r="AI162" t="inlineStr">
        <is>
          <t xml:space="preserve">{05/25/2026 cell zte}: 22/05/2026 : En attente feedback IHS || 
We are facing PWC issue on this site ETR to replace 30/05/2026
21/05/2026 : Need BO RAN analysis || Power issue || Mail sent to IHS </t>
        </is>
      </c>
      <c r="AJ162" t="inlineStr">
        <is>
          <t xml:space="preserve">{05/25/2026 cell zte}: 22/05/2026 : En attente feedback IHS || 
We are facing PWC issue on this site ETR to replace 30/05/2026
21/05/2026 : Need BO RAN analysis || Power issue || Mail sent to IHS </t>
        </is>
      </c>
      <c r="AK162" t="inlineStr">
        <is>
          <t xml:space="preserve">{05/25/2026 cell zte}: 22/05/2026 : En attente feedback IHS || 
We are facing PWC issue on this site ETR to replace 30/05/2026
21/05/2026 : Need BO RAN analysis || Power issue || Mail sent to IHS </t>
        </is>
      </c>
      <c r="AL162" t="inlineStr"/>
      <c r="AM162" t="inlineStr"/>
      <c r="AN162" t="inlineStr"/>
      <c r="AO162" t="inlineStr"/>
      <c r="AP162" t="inlineStr"/>
      <c r="AQ162" t="inlineStr"/>
      <c r="AR162" t="inlineStr"/>
    </row>
    <row r="163">
      <c r="A163" t="inlineStr">
        <is>
          <t>Emia</t>
        </is>
      </c>
      <c r="B163" t="inlineStr">
        <is>
          <t>CTR_323</t>
        </is>
      </c>
      <c r="C163" t="inlineStr">
        <is>
          <t>Yaounde</t>
        </is>
      </c>
      <c r="D163" t="inlineStr">
        <is>
          <t>IHS</t>
        </is>
      </c>
      <c r="E163" t="inlineStr">
        <is>
          <t>Grid-Lithium</t>
        </is>
      </c>
      <c r="F163" t="inlineStr">
        <is>
          <t>CENTRE</t>
        </is>
      </c>
      <c r="G163" t="inlineStr">
        <is>
          <t>Yaounde</t>
        </is>
      </c>
      <c r="H163" t="inlineStr">
        <is>
          <t>ZTE</t>
        </is>
      </c>
      <c r="I163" t="n">
        <v>9.245704599738039</v>
      </c>
      <c r="J163" t="n">
        <v>5.319757985121265</v>
      </c>
      <c r="K163" t="n">
        <v>7.407978129913563</v>
      </c>
      <c r="L163" t="n">
        <v>9.245704599738039</v>
      </c>
      <c r="M163" t="n">
        <v>9.245704599738039</v>
      </c>
      <c r="N163" t="n">
        <v>0</v>
      </c>
      <c r="O163" t="n">
        <v>0</v>
      </c>
      <c r="P163" t="n">
        <v>17.7294486141481</v>
      </c>
      <c r="Q163" t="n">
        <v>9.245704599738039</v>
      </c>
      <c r="R163" t="inlineStr">
        <is>
          <t>Operationnel</t>
        </is>
      </c>
      <c r="S163" t="inlineStr"/>
      <c r="T163" t="inlineStr"/>
      <c r="U163" t="inlineStr"/>
      <c r="V163" t="inlineStr"/>
      <c r="W163" t="inlineStr"/>
      <c r="X163" t="inlineStr">
        <is>
          <t>{05-25-2026 retour IHS}: IHS</t>
        </is>
      </c>
      <c r="Y163" t="inlineStr">
        <is>
          <t>IHS</t>
        </is>
      </c>
      <c r="Z163" t="inlineStr">
        <is>
          <t>CTR_323</t>
        </is>
      </c>
      <c r="AA163" t="inlineStr"/>
      <c r="AB163" t="inlineStr"/>
      <c r="AC163" t="inlineStr"/>
      <c r="AD163" t="inlineStr">
        <is>
          <t>{05-25-2026 retour IHS}: IHS</t>
        </is>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row>
    <row r="164">
      <c r="A164" t="inlineStr">
        <is>
          <t>Darrack-MTN-IHS</t>
        </is>
      </c>
      <c r="B164" t="inlineStr">
        <is>
          <t>EXN_133</t>
        </is>
      </c>
      <c r="C164" t="inlineStr">
        <is>
          <t>EXTREME-NORD</t>
        </is>
      </c>
      <c r="D164" t="inlineStr">
        <is>
          <t>IHS</t>
        </is>
      </c>
      <c r="E164" t="inlineStr">
        <is>
          <t>Solar-Gen</t>
        </is>
      </c>
      <c r="F164" t="inlineStr">
        <is>
          <t>EXTREME-NORD</t>
        </is>
      </c>
      <c r="G164" t="inlineStr">
        <is>
          <t>Darrack</t>
        </is>
      </c>
      <c r="H164" t="inlineStr">
        <is>
          <t>NOKIA</t>
        </is>
      </c>
      <c r="I164" t="n">
        <v>9.244848515978804</v>
      </c>
      <c r="J164" t="n">
        <v>9.244955526448708</v>
      </c>
      <c r="K164" t="n">
        <v>9.245276557858421</v>
      </c>
      <c r="L164" t="n">
        <v>9.245169547388516</v>
      </c>
      <c r="M164" t="n">
        <v>9.244955526448708</v>
      </c>
      <c r="N164" t="n">
        <v>32.3676906106495</v>
      </c>
      <c r="O164" t="n">
        <v>13.77031120903332</v>
      </c>
      <c r="P164" t="n">
        <v>0</v>
      </c>
      <c r="Q164" t="n">
        <v>9.244955526448708</v>
      </c>
      <c r="R164" t="inlineStr">
        <is>
          <t>Insecurity</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row>
    <row r="165">
      <c r="A165" t="inlineStr">
        <is>
          <t>Nkan</t>
        </is>
      </c>
      <c r="B165" t="inlineStr">
        <is>
          <t>LIT_514</t>
        </is>
      </c>
      <c r="C165" t="inlineStr">
        <is>
          <t>LITTORAL</t>
        </is>
      </c>
      <c r="D165" t="inlineStr">
        <is>
          <t>IHS</t>
        </is>
      </c>
      <c r="E165" t="inlineStr">
        <is>
          <t>Hybrid-Gen</t>
        </is>
      </c>
      <c r="F165" t="inlineStr">
        <is>
          <t>LITTORAL</t>
        </is>
      </c>
      <c r="G165" t="inlineStr">
        <is>
          <t>Nkan</t>
        </is>
      </c>
      <c r="H165" t="inlineStr">
        <is>
          <t>NOKIA</t>
        </is>
      </c>
      <c r="I165" t="n">
        <v>9.245169547388516</v>
      </c>
      <c r="J165" t="n">
        <v>9.244955526448708</v>
      </c>
      <c r="K165" t="n">
        <v>9.245116042153564</v>
      </c>
      <c r="L165" t="n">
        <v>9.245223052623469</v>
      </c>
      <c r="M165" t="n">
        <v>9.245276557858421</v>
      </c>
      <c r="N165" t="n">
        <v>32.36731592388763</v>
      </c>
      <c r="O165" t="n">
        <v>13.77031120903332</v>
      </c>
      <c r="P165" t="n">
        <v>0</v>
      </c>
      <c r="Q165" t="n">
        <v>9.244902021213758</v>
      </c>
      <c r="R165" t="inlineStr">
        <is>
          <t>Operationnel</t>
        </is>
      </c>
      <c r="S165" t="inlineStr"/>
      <c r="T165" t="inlineStr"/>
      <c r="U165" t="inlineStr"/>
      <c r="V165" t="inlineStr"/>
      <c r="W165" t="inlineStr"/>
      <c r="X165" t="inlineStr">
        <is>
          <t>{05-25-2026 top offenders}: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     ;    {05-25-2026 ocm ran 22H}: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     ;    {05-25-2026 ocm ran 17H}: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t>
        </is>
      </c>
      <c r="Y165" t="inlineStr">
        <is>
          <t>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nous sommes à 7km de Nkan calée dans une flaque d’eau
15/05/2026 FME en route ETA=12H UTC
14/05/2026 FME activé manage avec le level 0
Besoin d'un fme sur site pour verifier le status du MPR et la chaine antennaire de l Odu 3/1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nous sommes à 7km de Nkan calée dans une flaque d’eau
15/05/2026 FME en route ETA=12H UTC
14/05/2026 FME activé manage avec le level 0
Besoin d'un fme sur site pour verifier le status du MPR et la chaine antennaire de l Odu 3/1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nous sommes à 7km de Nkan calée dans une flaque d’eau
15/05/2026 FME en route ETA=12H UTC
14/05/2026 FME activé manage avec le level 0
Besoin d'un fme sur site pour verifier le status du MPR et la chaine antennaire de l Odu 3/1</t>
        </is>
      </c>
      <c r="Z165" t="inlineStr"/>
      <c r="AA165" t="inlineStr"/>
      <c r="AB165" t="inlineStr">
        <is>
          <t>{05-25-2026 top offenders}: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t>
        </is>
      </c>
      <c r="AC165" t="inlineStr"/>
      <c r="AD165" t="inlineStr"/>
      <c r="AE165" t="inlineStr"/>
      <c r="AF165" t="inlineStr"/>
      <c r="AG165" t="inlineStr"/>
      <c r="AH165" t="inlineStr"/>
      <c r="AI165" t="inlineStr"/>
      <c r="AJ165" t="inlineStr"/>
      <c r="AK165" t="inlineStr"/>
      <c r="AL165" t="inlineStr"/>
      <c r="AM165" t="inlineStr"/>
      <c r="AN165" t="inlineStr"/>
      <c r="AO165" t="inlineStr">
        <is>
          <t>{05-25-2026 ocm ran 22H}: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t>
        </is>
      </c>
      <c r="AP165" t="inlineStr">
        <is>
          <t>{05-25-2026 ocm ran 17H}: 23/05/2026 ODU MPT 7/8 GHz  3DB20859ACAA07 pas disponible au WH point tranmis a OCM 
22/05/2026 ODU MPT 7/8 GHz  3DB20859ACAA07 pas disponible au WH point tranmis a OCM 
21/05/2026 ODU MPT 7/8 GHz  3DB20859ACAA07 pas disponible au WH point tranmis a OCM 
15/05/2026 ODU MPT 7/8 GHz  3DB20859ACAA07 pas disponible au WH point tranmis a OCM 
15/05/2026 Retour FME : nous sommes à 7km de Nkan calée dans une flaque d’eau
15/05/2026 FME en route ETA=12H UTC  
14/05/2026 FME activé manage avec le level 0 
Besoin d'un fme sur site pour verifier le status du MPR et la chaine antennaire de l Odu 3/1</t>
        </is>
      </c>
      <c r="AQ165" t="inlineStr"/>
      <c r="AR165" t="inlineStr"/>
    </row>
    <row r="166">
      <c r="A166" t="inlineStr">
        <is>
          <t>Mantoum-Ville</t>
        </is>
      </c>
      <c r="B166" t="inlineStr">
        <is>
          <t>OST_201</t>
        </is>
      </c>
      <c r="C166" t="inlineStr">
        <is>
          <t>OUEST</t>
        </is>
      </c>
      <c r="D166" t="inlineStr">
        <is>
          <t>IHS</t>
        </is>
      </c>
      <c r="E166" t="inlineStr">
        <is>
          <t>Hybrid-Gen</t>
        </is>
      </c>
      <c r="F166" t="inlineStr">
        <is>
          <t>OUEST</t>
        </is>
      </c>
      <c r="G166" t="inlineStr">
        <is>
          <t>Mantoum</t>
        </is>
      </c>
      <c r="H166" t="inlineStr">
        <is>
          <t>NOKIA</t>
        </is>
      </c>
      <c r="I166" t="n">
        <v>3.796767142363876</v>
      </c>
      <c r="J166" t="n">
        <v>7.063475757134744</v>
      </c>
      <c r="K166" t="n">
        <v>9.244152947924425</v>
      </c>
      <c r="L166" t="n">
        <v>7.333195646528723</v>
      </c>
      <c r="M166" t="n">
        <v>9.245169547388516</v>
      </c>
      <c r="N166" t="n">
        <v>32.3643184297927</v>
      </c>
      <c r="O166" t="n">
        <v>13.77031120903332</v>
      </c>
      <c r="P166" t="n">
        <v>0</v>
      </c>
      <c r="Q166" t="n">
        <v>9.24447397933414</v>
      </c>
      <c r="R166" t="inlineStr">
        <is>
          <t>Operationnel</t>
        </is>
      </c>
      <c r="S166" t="inlineStr"/>
      <c r="T166" t="inlineStr"/>
      <c r="U166" t="inlineStr"/>
      <c r="V166" t="inlineStr"/>
      <c r="W166" t="inlineStr"/>
      <c r="X166" t="inlineStr">
        <is>
          <t xml:space="preserve">{05-25-2026 top offenders}: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    {05/25/2026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    {05/25/2026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    {05/25/2026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t>
        </is>
      </c>
      <c r="Y166" t="inlineStr">
        <is>
          <t>25/05/2026 Expedition spare ce jour de bafoussam pour foumban
23/05/2025 Spare attendu de OCM SPMS
21/05/2026 Relance faite SPMS
20/05/2026 Commande de la FRMF passer au SPMS HW || En attente du feedback du SPMS
19/05/2026 closed after reset but check SFP of FRMF || FRMF faulty. Cde en cour
17/05/2026 Need BO RAN analysis 25/05/2026 Expedition spare ce jour de bafoussam pour foumban
23/05/2025 Spare attendu de OCM SPMS
21/05/2026 Relance faite SPMS
20/05/2026 Commande de la FRMF passer au SPMS HW || En attente du feedback du SPMS
19/05/2026 closed after reset but check SFP of FRMF || FRMF faulty. Cde en cour
17/05/2026 Need BO RAN analysis 25/05/2026 Expedition spare ce jour de bafoussam pour foumban
23/05/2025 Spare attendu de OCM SPMS
21/05/2026 Relance faite SPMS
20/05/2026 Commande de la FRMF passer au SPMS HW || En attente du feedback du SPMS
19/05/2026 closed after reset but check SFP of FRMF || FRMF faulty. Cde en cour
17/05/2026 Need BO RAN analysis 25/05/2026 Expedition spare ce jour de bafoussam pour foumban
23/05/2025 Spare attendu de OCM SPMS
21/05/2026 Relance faite SPMS
20/05/2026 Commande de la FRMF passer au SPMS HW || En attente du feedback du SPMS
19/05/2026 closed after reset but check SFP of FRMF || FRMF faulty. Cde en cour
17/05/2026 Need BO RAN analysis</t>
        </is>
      </c>
      <c r="Z166" t="inlineStr"/>
      <c r="AA166" t="inlineStr"/>
      <c r="AB166" t="inlineStr">
        <is>
          <t xml:space="preserve">{05-25-2026 top offenders}: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t>
        </is>
      </c>
      <c r="AC166" t="inlineStr"/>
      <c r="AD166" t="inlineStr"/>
      <c r="AE166" t="inlineStr"/>
      <c r="AF166" t="inlineStr">
        <is>
          <t xml:space="preserve">{05/25/2026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t>
        </is>
      </c>
      <c r="AG166" t="inlineStr">
        <is>
          <t xml:space="preserve">{05/25/2026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t>
        </is>
      </c>
      <c r="AH166" t="inlineStr">
        <is>
          <t xml:space="preserve">{05/25/2026 cell nokia}: 25/05/2026 : Expedition spare ce jour  de  bafoussam pour foumban 
23/05/2025 : Spare attendu de OCM SPMS
21/05/2026 : Relance faite SPMS
20/05/2026 : Commande de la FRMF passer au  SPMS HW || En attente du feedback du SPMS 
19/05/2026: closed after reset but check SFP of FRMF||FRMF faulty. Cde en cour
17/05/2026 : Need BO RAN analysis </t>
        </is>
      </c>
      <c r="AI166" t="inlineStr"/>
      <c r="AJ166" t="inlineStr"/>
      <c r="AK166" t="inlineStr"/>
      <c r="AL166" t="inlineStr"/>
      <c r="AM166" t="inlineStr"/>
      <c r="AN166" t="inlineStr"/>
      <c r="AO166" t="inlineStr"/>
      <c r="AP166" t="inlineStr"/>
      <c r="AQ166" t="inlineStr"/>
      <c r="AR166" t="inlineStr"/>
    </row>
    <row r="167">
      <c r="A167" t="inlineStr">
        <is>
          <t>Tatum</t>
        </is>
      </c>
      <c r="B167" t="inlineStr">
        <is>
          <t>NRO_073</t>
        </is>
      </c>
      <c r="C167" t="inlineStr">
        <is>
          <t>NORD-OUEST</t>
        </is>
      </c>
      <c r="D167" t="inlineStr">
        <is>
          <t>IHS</t>
        </is>
      </c>
      <c r="E167" t="inlineStr">
        <is>
          <t>Hybrid-Gen</t>
        </is>
      </c>
      <c r="F167" t="inlineStr">
        <is>
          <t>NORD-OUEST</t>
        </is>
      </c>
      <c r="G167" t="inlineStr">
        <is>
          <t>Tatum</t>
        </is>
      </c>
      <c r="H167" t="inlineStr">
        <is>
          <t>NOKIA</t>
        </is>
      </c>
      <c r="I167" t="n">
        <v>9.244580989804041</v>
      </c>
      <c r="J167" t="n">
        <v>9.24447397933414</v>
      </c>
      <c r="K167" t="n">
        <v>9.24452748456909</v>
      </c>
      <c r="L167" t="n">
        <v>9.244420474099186</v>
      </c>
      <c r="M167" t="n">
        <v>9.24452748456909</v>
      </c>
      <c r="N167" t="n">
        <v>32.36356905626896</v>
      </c>
      <c r="O167" t="n">
        <v>13.77031120903332</v>
      </c>
      <c r="P167" t="n">
        <v>0</v>
      </c>
      <c r="Q167" t="n">
        <v>9.244366968864234</v>
      </c>
      <c r="R167" t="inlineStr">
        <is>
          <t>Insecurity</t>
        </is>
      </c>
      <c r="S167" t="inlineStr"/>
      <c r="T167" t="inlineStr"/>
      <c r="U167" t="inlineStr"/>
      <c r="V167" t="inlineStr"/>
      <c r="W167" t="inlineStr"/>
      <c r="X167" t="inlineStr">
        <is>
          <t>{05-25-2026 ocm ran 22H}: 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{05-25-2026 ocm ran 17H}: 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Y167" t="inlineStr">
        <is>
          <t>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{05-25-2026 ocm ran 22H}: 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AP167" t="inlineStr">
        <is>
          <t>{05-25-2026 ocm ran 17H}: 24/05/2026 FME Donald est sur place et travaille avec BO Dubois | après l'intervention chez Tatum, BO a demandé à FME de vérifier le directeur MAH de Tatum, mais il faut également remplacer à nouveau la radio là-bas 
23/05/2026 Donald fme sur site travaux en cours 
22.05.26: ODU to be replaced. Access issue due to insecurity PLAN FOR 23/05/2026
21.05.26: ODU to be replaced. Access issue due to insecurity
18.05.2026: spare already in BDA waiting for access for gosh town to end
16.05.26: ODU to be replaced. Access issue due to insecurity
15/05/2026 Access not granted for now we keep trying
14/05/2026 ODU  3DB20858AC/AB et 3DB20859AC/AB MPT 8Ghz recu red negociation d'accès en cours plan for 15/05/2026
13/05/2026 ODU 3DB20858AC/AB et 3DB20859AC/AB MPT 8Ghz ETD 13 MAY en attente des ODU ce jour a bamenda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is>
      </c>
      <c r="AQ167" t="inlineStr"/>
      <c r="AR167" t="inlineStr"/>
    </row>
    <row r="168">
      <c r="A168" t="inlineStr">
        <is>
          <t>Baba-Babungo-IHS</t>
        </is>
      </c>
      <c r="B168" t="inlineStr">
        <is>
          <t>NRO_085</t>
        </is>
      </c>
      <c r="C168" t="inlineStr">
        <is>
          <t>NORD-OUEST</t>
        </is>
      </c>
      <c r="D168" t="inlineStr">
        <is>
          <t>IHS</t>
        </is>
      </c>
      <c r="E168" t="inlineStr">
        <is>
          <t>Grid-Hybrid-Gen</t>
        </is>
      </c>
      <c r="F168" t="inlineStr">
        <is>
          <t>NORD-OUEST</t>
        </is>
      </c>
      <c r="G168" t="inlineStr">
        <is>
          <t>Baba-Babungo</t>
        </is>
      </c>
      <c r="H168" t="inlineStr">
        <is>
          <t>NOKIA</t>
        </is>
      </c>
      <c r="I168" t="n">
        <v>9.244580989804041</v>
      </c>
      <c r="J168" t="n">
        <v>9.24447397933414</v>
      </c>
      <c r="K168" t="n">
        <v>9.24452748456909</v>
      </c>
      <c r="L168" t="n">
        <v>9.244420474099186</v>
      </c>
      <c r="M168" t="n">
        <v>9.24452748456909</v>
      </c>
      <c r="N168" t="n">
        <v>32.36356905626896</v>
      </c>
      <c r="O168" t="n">
        <v>13.77031120903332</v>
      </c>
      <c r="P168" t="n">
        <v>0</v>
      </c>
      <c r="Q168" t="n">
        <v>9.244366968864234</v>
      </c>
      <c r="R168" t="inlineStr">
        <is>
          <t>Insecurity</t>
        </is>
      </c>
      <c r="S168" t="inlineStr"/>
      <c r="T168" t="inlineStr"/>
      <c r="U168" t="inlineStr"/>
      <c r="V168" t="inlineStr"/>
      <c r="W168" t="inlineStr"/>
      <c r="X168" t="inlineStr">
        <is>
          <t xml:space="preserve">{05-25-2026 ocm ran 22H}: 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    {05-25-2026 ocm ran 17H}: 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t>
        </is>
      </c>
      <c r="Y168" t="inlineStr">
        <is>
          <t>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t>
        </is>
      </c>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 xml:space="preserve">{05-25-2026 ocm ran 22H}: 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t>
        </is>
      </c>
      <c r="AP168" t="inlineStr">
        <is>
          <t xml:space="preserve">{05-25-2026 ocm ran 17H}: 24/05/2026  MPR down. Access issue due to insecurity |No access for this site for now 
23.05.26: MPR down. Access issue due to insecurity
22.05.26: MPR down. Access issue due to insecurity
21.05.26: MPR down. Access issue due to insecurity
18.05.26: MPR down. Access issue due to insecurity
16.05.26: MPR down. Access issue due to insecurity
15/05/2026 Access not granted for now we keep trying
14/05/2026 Access not granted for now we keep trying
13/05/2026 Access not granted for now we keep trying
12.05.2026: Access not granted for now we keep trying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t>
        </is>
      </c>
      <c r="AQ168" t="inlineStr"/>
      <c r="AR168" t="inlineStr"/>
    </row>
    <row r="169">
      <c r="A169" t="inlineStr">
        <is>
          <t>Alou-IHS</t>
        </is>
      </c>
      <c r="B169" t="inlineStr">
        <is>
          <t>SUO_133</t>
        </is>
      </c>
      <c r="C169" t="inlineStr">
        <is>
          <t>SUD-OUEST</t>
        </is>
      </c>
      <c r="D169" t="inlineStr">
        <is>
          <t>IHS</t>
        </is>
      </c>
      <c r="E169" t="inlineStr">
        <is>
          <t>Grid-Gen</t>
        </is>
      </c>
      <c r="F169" t="inlineStr">
        <is>
          <t>SUD-OUEST</t>
        </is>
      </c>
      <c r="G169" t="inlineStr">
        <is>
          <t>Alou</t>
        </is>
      </c>
      <c r="H169" t="inlineStr">
        <is>
          <t>NOKIA</t>
        </is>
      </c>
      <c r="I169" t="n">
        <v>4.621728689935023</v>
      </c>
      <c r="J169" t="n">
        <v>9.24447397933414</v>
      </c>
      <c r="K169" t="n">
        <v>9.24452748456909</v>
      </c>
      <c r="L169" t="n">
        <v>9.244420474099186</v>
      </c>
      <c r="M169" t="n">
        <v>9.24452748456909</v>
      </c>
      <c r="N169" t="n">
        <v>32.36356905626896</v>
      </c>
      <c r="O169" t="n">
        <v>13.77031120903332</v>
      </c>
      <c r="P169" t="n">
        <v>0</v>
      </c>
      <c r="Q169" t="n">
        <v>9.244366968864234</v>
      </c>
      <c r="R169" t="inlineStr">
        <is>
          <t>Insecurity</t>
        </is>
      </c>
      <c r="S169" t="inlineStr"/>
      <c r="T169" t="inlineStr"/>
      <c r="U169" t="inlineStr"/>
      <c r="V169" t="inlineStr"/>
      <c r="W169" t="inlineStr"/>
      <c r="X169" t="inlineStr">
        <is>
          <t>{05-25-2026 incident}: Upadate 6: d'apres le retour du PM , le vevel 0 ne peut pas se rendre sur site aujourdhui car il ya un lockdown declarer dans la zonne jusqu'au 21.05.2026. point EZCALADE a THEO pour Support     ;    {05-25-2026 ocm ran 22H}: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     ;    {05-25-2026 ocm ran 17H}: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Y169" t="inlineStr">
        <is>
          <t>{05-25-2026 incident} Upadate 6 d'apres le retour du PM , le vevel 0 ne peut pas se rendre sur site aujourdhui car il ya un lockdown declarer dans la zonne jusqu'au 21.05.2026. point EZCALADE a THEO pour Support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Z169" t="inlineStr"/>
      <c r="AA169" t="inlineStr">
        <is>
          <t>{05-25-2026 incident}: Upadate 6: d'apres le retour du PM , le vevel 0 ne peut pas se rendre sur site aujourdhui car il ya un lockdown declarer dans la zonne jusqu'au 21.05.2026. point EZCALADE a THEO pour Support</t>
        </is>
      </c>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{05-25-2026 ocm ran 22H}: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AP169" t="inlineStr">
        <is>
          <t>{05-25-2026 ocm ran 17H}: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is>
      </c>
      <c r="AQ169" t="inlineStr"/>
      <c r="AR169" t="inlineStr"/>
    </row>
    <row r="170">
      <c r="A170" t="inlineStr">
        <is>
          <t>Eyumojock</t>
        </is>
      </c>
      <c r="B170" t="inlineStr">
        <is>
          <t>SUO_016</t>
        </is>
      </c>
      <c r="C170" t="inlineStr">
        <is>
          <t>SUD-OUEST</t>
        </is>
      </c>
      <c r="D170" t="inlineStr">
        <is>
          <t>IHS</t>
        </is>
      </c>
      <c r="E170" t="inlineStr">
        <is>
          <t>Solar-Gen</t>
        </is>
      </c>
      <c r="F170" t="inlineStr">
        <is>
          <t>SUD-OUEST</t>
        </is>
      </c>
      <c r="G170" t="inlineStr">
        <is>
          <t>Eyumojock</t>
        </is>
      </c>
      <c r="H170" t="inlineStr">
        <is>
          <t>NOKIA</t>
        </is>
      </c>
      <c r="I170" t="n">
        <v>4.621728689935023</v>
      </c>
      <c r="J170" t="n">
        <v>9.24447397933414</v>
      </c>
      <c r="K170" t="n">
        <v>9.24452748456909</v>
      </c>
      <c r="L170" t="n">
        <v>9.244420474099186</v>
      </c>
      <c r="M170" t="n">
        <v>9.24452748456909</v>
      </c>
      <c r="N170" t="n">
        <v>32.36356905626896</v>
      </c>
      <c r="O170" t="n">
        <v>13.77031120903332</v>
      </c>
      <c r="P170" t="n">
        <v>0</v>
      </c>
      <c r="Q170" t="n">
        <v>9.244366968864234</v>
      </c>
      <c r="R170" t="inlineStr">
        <is>
          <t>EXCLU</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row>
    <row r="171">
      <c r="A171" t="inlineStr">
        <is>
          <t>Misaje</t>
        </is>
      </c>
      <c r="B171" t="inlineStr">
        <is>
          <t>NRO_237</t>
        </is>
      </c>
      <c r="C171" t="inlineStr">
        <is>
          <t>NORD-OUEST</t>
        </is>
      </c>
      <c r="D171" t="inlineStr">
        <is>
          <t>IHS</t>
        </is>
      </c>
      <c r="E171" t="inlineStr">
        <is>
          <t>Solar-Gen</t>
        </is>
      </c>
      <c r="F171" t="inlineStr">
        <is>
          <t>NORD-OUEST</t>
        </is>
      </c>
      <c r="G171" t="inlineStr">
        <is>
          <t>Misaje</t>
        </is>
      </c>
      <c r="H171" t="inlineStr">
        <is>
          <t>NOKIA</t>
        </is>
      </c>
      <c r="I171" t="n">
        <v>0.1137699645866685</v>
      </c>
      <c r="J171" t="n">
        <v>0.395475026609937</v>
      </c>
      <c r="K171" t="n">
        <v>0.3488362968099464</v>
      </c>
      <c r="L171" t="n">
        <v>1.380613412549617</v>
      </c>
      <c r="M171" t="n">
        <v>8.985811838496947</v>
      </c>
      <c r="N171" t="n">
        <v>32.36356905626896</v>
      </c>
      <c r="O171" t="n">
        <v>13.77031120903332</v>
      </c>
      <c r="P171" t="n">
        <v>0</v>
      </c>
      <c r="Q171" t="n">
        <v>9.244366968864234</v>
      </c>
      <c r="R171" t="inlineStr">
        <is>
          <t>Insecurity</t>
        </is>
      </c>
      <c r="S171" t="inlineStr"/>
      <c r="T171" t="inlineStr"/>
      <c r="U171" t="inlineStr"/>
      <c r="V171" t="inlineStr"/>
      <c r="W171" t="inlineStr"/>
      <c r="X171" t="inlineStr">
        <is>
          <t>{05-25-2026 ocm ran 22H}: 25.05.26: IHS: 36v : FME Roland is managing with level 0.
24/05/2026 IHS: Coord Jackson is managing with level 0 escalade L2 IHS 
23/05/2026 IHS: Coord Jackson is managing with level 0     ;    {05-25-2026 ocm ran 17H}: 25.05.26: IHS: 36v : FME Roland is managing with level 0.
24/05/2026 IHS: Coord Jackson is managing with level 0 escalade L2 IHS 
23/05/2026 IHS: Coord Jackson is managing with level 0</t>
        </is>
      </c>
      <c r="Y171" t="inlineStr">
        <is>
          <t>25.05.26 IHS 36v FME Roland is managing with level 0.
24/05/2026 IHS Coord Jackson is managing with level 0 escalade L2 IHS
23/05/2026 IHS Coord Jackson is managing with level 0 25.05.26 IHS 36v FME Roland is managing with level 0.
24/05/2026 IHS Coord Jackson is managing with level 0 escalade L2 IHS
23/05/2026 IHS Coord Jackson is managing with level 0</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{05-25-2026 ocm ran 22H}: 25.05.26: IHS: 36v : FME Roland is managing with level 0.
24/05/2026 IHS: Coord Jackson is managing with level 0 escalade L2 IHS 
23/05/2026 IHS: Coord Jackson is managing with level 0</t>
        </is>
      </c>
      <c r="AP171" t="inlineStr">
        <is>
          <t>{05-25-2026 ocm ran 17H}: 25.05.26: IHS: 36v : FME Roland is managing with level 0.
24/05/2026 IHS: Coord Jackson is managing with level 0 escalade L2 IHS 
23/05/2026 IHS: Coord Jackson is managing with level 0</t>
        </is>
      </c>
      <c r="AQ171" t="inlineStr"/>
      <c r="AR171" t="inlineStr"/>
    </row>
    <row r="172">
      <c r="A172" t="inlineStr">
        <is>
          <t>Bafanji</t>
        </is>
      </c>
      <c r="B172" t="inlineStr">
        <is>
          <t>NRO_051</t>
        </is>
      </c>
      <c r="C172" t="inlineStr">
        <is>
          <t>NORD-OUEST</t>
        </is>
      </c>
      <c r="D172" t="inlineStr">
        <is>
          <t>IHS</t>
        </is>
      </c>
      <c r="E172" t="inlineStr">
        <is>
          <t>Gen Only</t>
        </is>
      </c>
      <c r="F172" t="inlineStr">
        <is>
          <t>NORD-OUEST</t>
        </is>
      </c>
      <c r="G172" t="inlineStr">
        <is>
          <t>Bafanji</t>
        </is>
      </c>
      <c r="H172" t="inlineStr">
        <is>
          <t>NOKIA</t>
        </is>
      </c>
      <c r="I172" t="n">
        <v>0.3187485196884997</v>
      </c>
      <c r="J172" t="n">
        <v>0.2264341543176585</v>
      </c>
      <c r="K172" t="n">
        <v>0</v>
      </c>
      <c r="L172" t="n">
        <v>2.123747620800553</v>
      </c>
      <c r="M172" t="n">
        <v>8.078933776213999</v>
      </c>
      <c r="N172" t="n">
        <v>32.36356905626896</v>
      </c>
      <c r="O172" t="n">
        <v>13.77031120903332</v>
      </c>
      <c r="P172" t="n">
        <v>0</v>
      </c>
      <c r="Q172" t="n">
        <v>9.244366968864234</v>
      </c>
      <c r="R172" t="inlineStr">
        <is>
          <t>Insecurity</t>
        </is>
      </c>
      <c r="S172" t="inlineStr"/>
      <c r="T172" t="inlineStr"/>
      <c r="U172" t="inlineStr"/>
      <c r="V172" t="inlineStr"/>
      <c r="W172" t="inlineStr"/>
      <c r="X172" t="inlineStr">
        <is>
          <t>{05-25-2026 ocm ran 22H}: 25.05.26: Besoin d'un FME sur site pour vérifier le statut du MPR; CM-20260524-00008007; FME Uche activé pour investigations, update ASAP     ;    {05-25-2026 ocm ran 17H}: 25.05.26: Besoin d'un FME sur site pour vérifier le statut du MPR; CM-20260524-00008007; FME Uche activé pour investigations, update ASAP</t>
        </is>
      </c>
      <c r="Y172" t="inlineStr">
        <is>
          <t>25.05.26 Besoin d'un FME sur site pour vérifier le statut du MPR; FME Uche activé pour investigations, update ASAP 25.05.26 Besoin d'un FME sur site pour vérifier le statut du MPR; FME Uche activé pour investigations, update ASAP</t>
        </is>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{05-25-2026 ocm ran 22H}: 25.05.26: Besoin d'un FME sur site pour vérifier le statut du MPR; CM-20260524-00008007; FME Uche activé pour investigations, update ASAP</t>
        </is>
      </c>
      <c r="AP172" t="inlineStr">
        <is>
          <t>{05-25-2026 ocm ran 17H}: 25.05.26: Besoin d'un FME sur site pour vérifier le statut du MPR; CM-20260524-00008007; FME Uche activé pour investigations, update ASAP</t>
        </is>
      </c>
      <c r="AQ172" t="inlineStr"/>
      <c r="AR172" t="inlineStr"/>
    </row>
    <row r="173">
      <c r="A173" t="inlineStr">
        <is>
          <t>Bangolan</t>
        </is>
      </c>
      <c r="B173" t="inlineStr">
        <is>
          <t>NRO_050</t>
        </is>
      </c>
      <c r="C173" t="inlineStr">
        <is>
          <t>NORD-OUEST</t>
        </is>
      </c>
      <c r="D173" t="inlineStr">
        <is>
          <t>IHS</t>
        </is>
      </c>
      <c r="E173" t="inlineStr">
        <is>
          <t>Hybrid-Gen</t>
        </is>
      </c>
      <c r="F173" t="inlineStr">
        <is>
          <t>NORD-OUEST</t>
        </is>
      </c>
      <c r="G173" t="inlineStr">
        <is>
          <t>Bangolan</t>
        </is>
      </c>
      <c r="H173" t="inlineStr">
        <is>
          <t>NOKIA</t>
        </is>
      </c>
      <c r="I173" t="n">
        <v>5.998953437604336</v>
      </c>
      <c r="J173" t="n">
        <v>1.59777332614223</v>
      </c>
      <c r="K173" t="n">
        <v>9.24452748456909</v>
      </c>
      <c r="L173" t="n">
        <v>9.244420474099186</v>
      </c>
      <c r="M173" t="n">
        <v>7.803988208873023</v>
      </c>
      <c r="N173" t="n">
        <v>32.36356905626896</v>
      </c>
      <c r="O173" t="n">
        <v>13.77031120903332</v>
      </c>
      <c r="P173" t="n">
        <v>0</v>
      </c>
      <c r="Q173" t="n">
        <v>9.244366968864234</v>
      </c>
      <c r="R173" t="inlineStr">
        <is>
          <t>Insecurity</t>
        </is>
      </c>
      <c r="S173" t="inlineStr"/>
      <c r="T173" t="inlineStr"/>
      <c r="U173" t="inlineStr"/>
      <c r="V173" t="inlineStr"/>
      <c r="W173" t="inlineStr"/>
      <c r="X173" t="inlineStr">
        <is>
          <t>{05-25-2026 ocm ran 22H}: 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     ;    {05-25-2026 ocm ran 17H}: 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t>
        </is>
      </c>
      <c r="Y173" t="inlineStr">
        <is>
          <t>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 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t>
        </is>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{05-25-2026 ocm ran 22H}: 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t>
        </is>
      </c>
      <c r="AP173" t="inlineStr">
        <is>
          <t>{05-25-2026 ocm ran 17H}: 22/05/2026 Intevenion planned 24.05.2025 while waiting acces to be granted by local resident
22.05.26: MRBTS_2 Down. Problème d'accès du à l'insécurité
21.05.26: MRBTS_2 Down. Problème d'accès du à l'insécurité
18.05.2026: SM faulty alrady at BDA WH just watingr for access to be granted for intervention to be done 
16.05.26: MRBTS_2 Down. Problème d'accès du à l'insécurité
15/05/2026 Access not granted for now we keep trying
14/05/2026 Access not granted for now we keep trying
13/05/2026 Access not granted for now we keep trying
12.05.2026: RM Activated to send FME on the site. No ETA Site under NOSO AREA
12.05.2026: MRBTS_2 Down. Need FME on the site to check his status</t>
        </is>
      </c>
      <c r="AQ173" t="inlineStr"/>
      <c r="AR173" t="inlineStr"/>
    </row>
    <row r="174">
      <c r="A174" t="inlineStr">
        <is>
          <t>Mbonso</t>
        </is>
      </c>
      <c r="B174" t="inlineStr">
        <is>
          <t>NRO_057</t>
        </is>
      </c>
      <c r="C174" t="inlineStr">
        <is>
          <t>NORD-OUEST</t>
        </is>
      </c>
      <c r="D174" t="inlineStr">
        <is>
          <t>IHS</t>
        </is>
      </c>
      <c r="E174" t="inlineStr">
        <is>
          <t>Gen Only</t>
        </is>
      </c>
      <c r="F174" t="inlineStr">
        <is>
          <t>NORD-OUEST</t>
        </is>
      </c>
      <c r="G174" t="inlineStr">
        <is>
          <t>Mbonso</t>
        </is>
      </c>
      <c r="H174" t="inlineStr">
        <is>
          <t>NOKIA</t>
        </is>
      </c>
      <c r="I174" t="n">
        <v>0</v>
      </c>
      <c r="J174" t="n">
        <v>0.001426806265391782</v>
      </c>
      <c r="K174" t="n">
        <v>0.6463075680657927</v>
      </c>
      <c r="L174" t="n">
        <v>4.776929541453002</v>
      </c>
      <c r="M174" t="n">
        <v>3.40874717849061</v>
      </c>
      <c r="N174" t="n">
        <v>32.36356905626896</v>
      </c>
      <c r="O174" t="n">
        <v>13.77031120903332</v>
      </c>
      <c r="P174" t="n">
        <v>0</v>
      </c>
      <c r="Q174" t="n">
        <v>9.244366968864234</v>
      </c>
      <c r="R174" t="inlineStr">
        <is>
          <t>Insecurity</t>
        </is>
      </c>
      <c r="S174" t="inlineStr"/>
      <c r="T174" t="inlineStr"/>
      <c r="U174" t="inlineStr"/>
      <c r="V174" t="inlineStr"/>
      <c r="W174" t="inlineStr"/>
      <c r="X174" t="inlineStr">
        <is>
          <t>{05-25-2026 ocm ran 22H}: Impacted by Ntem_G9U9U21_NRO_056     ;    {05-25-2026 ocm ran 17H}: Impacted by Ntem_G9U9U21_NRO_056</t>
        </is>
      </c>
      <c r="Y174" t="inlineStr">
        <is>
          <t>Impacted by Ntem_G9U9U21_NRO_056 Impacted by Ntem_G9U9U21_NRO_056</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{05-25-2026 ocm ran 22H}: Impacted by Ntem_G9U9U21_NRO_056</t>
        </is>
      </c>
      <c r="AP174" t="inlineStr">
        <is>
          <t>{05-25-2026 ocm ran 17H}: Impacted by Ntem_G9U9U21_NRO_056</t>
        </is>
      </c>
      <c r="AQ174" t="inlineStr"/>
      <c r="AR174" t="inlineStr"/>
    </row>
    <row r="175">
      <c r="A175" t="inlineStr">
        <is>
          <t>Mbang</t>
        </is>
      </c>
      <c r="B175" t="inlineStr">
        <is>
          <t>EST_011</t>
        </is>
      </c>
      <c r="C175" t="inlineStr">
        <is>
          <t>CENTRE</t>
        </is>
      </c>
      <c r="D175" t="inlineStr">
        <is>
          <t>IHS</t>
        </is>
      </c>
      <c r="E175" t="inlineStr">
        <is>
          <t>Solar-Gen</t>
        </is>
      </c>
      <c r="F175" t="inlineStr">
        <is>
          <t>EST</t>
        </is>
      </c>
      <c r="G175" t="inlineStr">
        <is>
          <t>Mbang</t>
        </is>
      </c>
      <c r="H175" t="inlineStr">
        <is>
          <t>NOKIA</t>
        </is>
      </c>
      <c r="I175" t="n">
        <v>9.244152947924425</v>
      </c>
      <c r="J175" t="n">
        <v>9.244206453159377</v>
      </c>
      <c r="K175" t="n">
        <v>9.244152947924425</v>
      </c>
      <c r="L175" t="n">
        <v>9.24447397933414</v>
      </c>
      <c r="M175" t="n">
        <v>9.244688000273946</v>
      </c>
      <c r="N175" t="n">
        <v>32.36169562245963</v>
      </c>
      <c r="O175" t="n">
        <v>13.77031120903332</v>
      </c>
      <c r="P175" t="n">
        <v>0</v>
      </c>
      <c r="Q175" t="n">
        <v>9.244099442689473</v>
      </c>
      <c r="R175" t="inlineStr">
        <is>
          <t>Operationnel</t>
        </is>
      </c>
      <c r="S175" t="inlineStr"/>
      <c r="T175" t="inlineStr"/>
      <c r="U175" t="inlineStr"/>
      <c r="V175" t="inlineStr"/>
      <c r="W175" t="inlineStr"/>
      <c r="X175" t="inlineStr">
        <is>
          <t>{05-25-2026 top offenders}: Impacted by Fio-MTN_EST_084 (TX issue, ODU fault)     ;    {05-25-2026 ocm ran 22H}: Impacted by Fio-MTN_EST_084 (TX issue, ODU fault)     ;    {05-25-2026 ocm ran 17H}: Impacted by Fio-MTN_EST_084 (TX issue, ODU fault)</t>
        </is>
      </c>
      <c r="Y175" t="inlineStr">
        <is>
          <t>Impacted by Fio-MTN_EST_084 (TX issue, ODU fault) Impacted by Fio-MTN_EST_084 (TX issue, ODU fault) Impacted by Fio-MTN_EST_084 (TX issue, ODU fault)</t>
        </is>
      </c>
      <c r="Z175" t="inlineStr"/>
      <c r="AA175" t="inlineStr"/>
      <c r="AB175" t="inlineStr">
        <is>
          <t>{05-25-2026 top offenders}: Impacted by Fio-MTN_EST_084 (TX issue, ODU fault)</t>
        </is>
      </c>
      <c r="AC175" t="inlineStr"/>
      <c r="AD175" t="inlineStr"/>
      <c r="AE175" t="inlineStr"/>
      <c r="AF175" t="inlineStr"/>
      <c r="AG175" t="inlineStr"/>
      <c r="AH175" t="inlineStr"/>
      <c r="AI175" t="inlineStr"/>
      <c r="AJ175" t="inlineStr"/>
      <c r="AK175" t="inlineStr"/>
      <c r="AL175" t="inlineStr"/>
      <c r="AM175" t="inlineStr"/>
      <c r="AN175" t="inlineStr"/>
      <c r="AO175" t="inlineStr">
        <is>
          <t>{05-25-2026 ocm ran 22H}: Impacted by Fio-MTN_EST_084 (TX issue, ODU fault)</t>
        </is>
      </c>
      <c r="AP175" t="inlineStr">
        <is>
          <t>{05-25-2026 ocm ran 17H}: Impacted by Fio-MTN_EST_084 (TX issue, ODU fault)</t>
        </is>
      </c>
      <c r="AQ175" t="inlineStr"/>
      <c r="AR175" t="inlineStr"/>
    </row>
    <row r="176">
      <c r="A176" t="inlineStr">
        <is>
          <t>Ngoura-IHS</t>
        </is>
      </c>
      <c r="B176" t="inlineStr">
        <is>
          <t>EST_021</t>
        </is>
      </c>
      <c r="C176" t="inlineStr">
        <is>
          <t>CENTRE</t>
        </is>
      </c>
      <c r="D176" t="inlineStr">
        <is>
          <t>IHS</t>
        </is>
      </c>
      <c r="E176" t="inlineStr">
        <is>
          <t>Gen Only</t>
        </is>
      </c>
      <c r="F176" t="inlineStr">
        <is>
          <t>EST</t>
        </is>
      </c>
      <c r="G176" t="inlineStr">
        <is>
          <t>Ngoura</t>
        </is>
      </c>
      <c r="H176" t="inlineStr">
        <is>
          <t>NOKIA</t>
        </is>
      </c>
      <c r="I176" t="n">
        <v>0.006367122959310295</v>
      </c>
      <c r="J176" t="n">
        <v>0.002675261747609462</v>
      </c>
      <c r="K176" t="n">
        <v>0</v>
      </c>
      <c r="L176" t="n">
        <v>0</v>
      </c>
      <c r="M176" t="n">
        <v>8.454665371126577</v>
      </c>
      <c r="N176" t="n">
        <v>32.36169562245963</v>
      </c>
      <c r="O176" t="n">
        <v>13.77031120903332</v>
      </c>
      <c r="P176" t="n">
        <v>0</v>
      </c>
      <c r="Q176" t="n">
        <v>9.244099442689473</v>
      </c>
      <c r="R176" t="inlineStr">
        <is>
          <t>Operationnel</t>
        </is>
      </c>
      <c r="S176" t="inlineStr"/>
      <c r="T176" t="inlineStr"/>
      <c r="U176" t="inlineStr"/>
      <c r="V176" t="inlineStr"/>
      <c r="W176" t="inlineStr"/>
      <c r="X176" t="inlineStr">
        <is>
          <t>{05-25-2026 top offenders}: 26/05/2026 FME activé sur site de brigaya
25.05.26: Impacted by EST_056_N_Brigaya
24/05/2026 IHS: FME is managing with level 0     ;    {05-25-2026 ocm ran 22H}: 25.05.26: Impacted by EST_056_N_Brigaya
24/05/2026 IHS: FME is managing with level 0     ;    {05-25-2026 ocm ran 17H}: 25.05.26: Impacted by EST_056_N_Brigaya
24/05/2026 IHS: FME is managing with level 0</t>
        </is>
      </c>
      <c r="Y176" t="inlineStr">
        <is>
          <t>26/05/2026 FME activé sur site de brigaya
25.05.26 Impacted by EST_056_N_Brigaya
24/05/2026 IHS FME is managing with level 0 25.05.26 Impacted by EST_056_N_Brigaya
24/05/2026 IHS FME is managing with level 0 25.05.26 Impacted by EST_056_N_Brigaya
24/05/2026 IHS FME is managing with level 0</t>
        </is>
      </c>
      <c r="Z176" t="inlineStr"/>
      <c r="AA176" t="inlineStr"/>
      <c r="AB176" t="inlineStr">
        <is>
          <t>{05-25-2026 top offenders}: 26/05/2026 FME activé sur site de brigaya
25.05.26: Impacted by EST_056_N_Brigaya
24/05/2026 IHS: FME is managing with level 0</t>
        </is>
      </c>
      <c r="AC176" t="inlineStr"/>
      <c r="AD176" t="inlineStr"/>
      <c r="AE176" t="inlineStr"/>
      <c r="AF176" t="inlineStr"/>
      <c r="AG176" t="inlineStr"/>
      <c r="AH176" t="inlineStr"/>
      <c r="AI176" t="inlineStr"/>
      <c r="AJ176" t="inlineStr"/>
      <c r="AK176" t="inlineStr"/>
      <c r="AL176" t="inlineStr"/>
      <c r="AM176" t="inlineStr"/>
      <c r="AN176" t="inlineStr"/>
      <c r="AO176" t="inlineStr">
        <is>
          <t>{05-25-2026 ocm ran 22H}: 25.05.26: Impacted by EST_056_N_Brigaya
24/05/2026 IHS: FME is managing with level 0</t>
        </is>
      </c>
      <c r="AP176" t="inlineStr">
        <is>
          <t>{05-25-2026 ocm ran 17H}: 25.05.26: Impacted by EST_056_N_Brigaya
24/05/2026 IHS: FME is managing with level 0</t>
        </is>
      </c>
      <c r="AQ176" t="inlineStr"/>
      <c r="AR176" t="inlineStr"/>
    </row>
    <row r="177">
      <c r="A177" t="inlineStr">
        <is>
          <t>Kaladi-MTN-IHS</t>
        </is>
      </c>
      <c r="B177" t="inlineStr">
        <is>
          <t>ADM_100</t>
        </is>
      </c>
      <c r="C177" t="inlineStr">
        <is>
          <t>ADAMAOUA</t>
        </is>
      </c>
      <c r="D177" t="inlineStr">
        <is>
          <t>IHS</t>
        </is>
      </c>
      <c r="E177" t="inlineStr">
        <is>
          <t>Solar-Gen</t>
        </is>
      </c>
      <c r="F177" t="inlineStr">
        <is>
          <t>ADAMAOUA</t>
        </is>
      </c>
      <c r="G177" t="inlineStr">
        <is>
          <t>Kaladi</t>
        </is>
      </c>
      <c r="H177" t="inlineStr">
        <is>
          <t>NOKIA</t>
        </is>
      </c>
      <c r="I177" t="n">
        <v>3.080938439016873</v>
      </c>
      <c r="J177" t="n">
        <v>9.244063772532838</v>
      </c>
      <c r="K177" t="n">
        <v>6.162839972262886</v>
      </c>
      <c r="L177" t="n">
        <v>9.24384975159303</v>
      </c>
      <c r="M177" t="n">
        <v>9.243778411279759</v>
      </c>
      <c r="N177" t="n">
        <v>43.15142540835861</v>
      </c>
      <c r="O177" t="n">
        <v>9.180207472688883</v>
      </c>
      <c r="P177" t="n">
        <v>0</v>
      </c>
      <c r="Q177" t="n">
        <v>9.2439210919063</v>
      </c>
      <c r="R177" t="inlineStr">
        <is>
          <t>Operationnel</t>
        </is>
      </c>
      <c r="S177" t="inlineStr"/>
      <c r="T177" t="inlineStr"/>
      <c r="U177" t="inlineStr"/>
      <c r="V177" t="inlineStr"/>
      <c r="W177" t="inlineStr"/>
      <c r="X177" t="inlineStr">
        <is>
          <t>{05-25-2026 top offenders}: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{05-25-2026 retour IHS}: IHS     ;    {05-25-2026 ocm ran 22H}: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{05-25-2026 ocm ran 17H}: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c r="Y177" t="inlineStr">
        <is>
          <t>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 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IHS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 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 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c r="Z177" t="inlineStr"/>
      <c r="AA177" t="inlineStr"/>
      <c r="AB177" t="inlineStr">
        <is>
          <t>{05-25-2026 top offenders}: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c r="AC177" t="inlineStr"/>
      <c r="AD177" t="inlineStr">
        <is>
          <t>{05-25-2026 retour IHS}: IHS</t>
        </is>
      </c>
      <c r="AE177" t="inlineStr"/>
      <c r="AF177" t="inlineStr"/>
      <c r="AG177" t="inlineStr"/>
      <c r="AH177" t="inlineStr"/>
      <c r="AI177" t="inlineStr"/>
      <c r="AJ177" t="inlineStr"/>
      <c r="AK177" t="inlineStr"/>
      <c r="AL177" t="inlineStr"/>
      <c r="AM177" t="inlineStr"/>
      <c r="AN177" t="inlineStr"/>
      <c r="AO177" t="inlineStr">
        <is>
          <t>{05-25-2026 ocm ran 22H}: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c r="AP177" t="inlineStr">
        <is>
          <t>{05-25-2026 ocm ran 17H}: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is>
      </c>
      <c r="AQ177" t="inlineStr"/>
      <c r="AR177" t="inlineStr"/>
    </row>
    <row r="178">
      <c r="A178" t="inlineStr">
        <is>
          <t>Mandjou-MTN-IHS</t>
        </is>
      </c>
      <c r="B178" t="inlineStr">
        <is>
          <t>EST_112</t>
        </is>
      </c>
      <c r="C178" t="inlineStr">
        <is>
          <t>CENTRE</t>
        </is>
      </c>
      <c r="D178" t="inlineStr">
        <is>
          <t>IHS</t>
        </is>
      </c>
      <c r="E178" t="inlineStr">
        <is>
          <t>Grid-Gen</t>
        </is>
      </c>
      <c r="F178" t="inlineStr">
        <is>
          <t>EST</t>
        </is>
      </c>
      <c r="G178" t="inlineStr">
        <is>
          <t>Bertoua</t>
        </is>
      </c>
      <c r="H178" t="inlineStr">
        <is>
          <t>ZTE</t>
        </is>
      </c>
      <c r="I178" t="n">
        <v>0</v>
      </c>
      <c r="J178" t="n">
        <v>1.585217431006783</v>
      </c>
      <c r="K178" t="n">
        <v>13.41729374802031</v>
      </c>
      <c r="L178" t="n">
        <v>0</v>
      </c>
      <c r="M178" t="n">
        <v>3.515151255732195</v>
      </c>
      <c r="N178" t="n">
        <v>5.09011965996427</v>
      </c>
      <c r="O178" t="n">
        <v>9.836741060347961</v>
      </c>
      <c r="P178" t="n">
        <v>9.697468026799923</v>
      </c>
      <c r="Q178" t="n">
        <v>9.086294669737153</v>
      </c>
      <c r="R178" t="inlineStr">
        <is>
          <t>Operationnel</t>
        </is>
      </c>
      <c r="S178" t="inlineStr"/>
      <c r="T178" t="inlineStr"/>
      <c r="U178" t="inlineStr"/>
      <c r="V178" t="inlineStr"/>
      <c r="W178" t="inlineStr"/>
      <c r="X178" t="inlineStr">
        <is>
          <t>{05-25-2026 ticket}: INC-20260525-00019546..Grid Outage</t>
        </is>
      </c>
      <c r="Y178" t="inlineStr">
        <is>
          <t>.Grid Outage</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{05-25-2026 ticket}: INC-20260525-00019546..Grid Outage</t>
        </is>
      </c>
      <c r="AR178" t="inlineStr"/>
    </row>
    <row r="179">
      <c r="A179" t="inlineStr">
        <is>
          <t>Ntem</t>
        </is>
      </c>
      <c r="B179" t="inlineStr">
        <is>
          <t>NRO_056</t>
        </is>
      </c>
      <c r="C179" t="inlineStr">
        <is>
          <t>NORD-OUEST</t>
        </is>
      </c>
      <c r="D179" t="inlineStr">
        <is>
          <t>IHS</t>
        </is>
      </c>
      <c r="E179" t="inlineStr">
        <is>
          <t>Hybrid-Gen</t>
        </is>
      </c>
      <c r="F179" t="inlineStr">
        <is>
          <t>NORD-OUEST</t>
        </is>
      </c>
      <c r="G179" t="inlineStr">
        <is>
          <t>Ntem</t>
        </is>
      </c>
      <c r="H179" t="inlineStr">
        <is>
          <t>NOKIA</t>
        </is>
      </c>
      <c r="I179" t="n">
        <v>0</v>
      </c>
      <c r="J179" t="n">
        <v>0.003121138705544201</v>
      </c>
      <c r="K179" t="n">
        <v>0</v>
      </c>
      <c r="L179" t="n">
        <v>0.922733446907112</v>
      </c>
      <c r="M179" t="n">
        <v>3.410280995225906</v>
      </c>
      <c r="N179" t="n">
        <v>31.794045178231</v>
      </c>
      <c r="O179" t="n">
        <v>13.53469650914111</v>
      </c>
      <c r="P179" t="n">
        <v>0</v>
      </c>
      <c r="Q179" t="n">
        <v>9.083940439399258</v>
      </c>
      <c r="R179" t="inlineStr">
        <is>
          <t>Insecurity</t>
        </is>
      </c>
      <c r="S179" t="inlineStr"/>
      <c r="T179" t="inlineStr"/>
      <c r="U179" t="inlineStr"/>
      <c r="V179" t="inlineStr"/>
      <c r="W179" t="inlineStr"/>
      <c r="X179" t="inlineStr">
        <is>
          <t>{None hourly IHS}: 25/05/2026 19:01..3:58:56..FME is managing with level 0     ;    {05-25-2026 ocm ran 22H}: 25.05.26: Need FME on site to check MPR status; Red zone today     ;    {05-25-2026 ocm ran 17H}: 25.05.26: Need FME on site to check MPR status; Red zone today     ;    {05-25-2026 ticket}: INC-20260525-00020562</t>
        </is>
      </c>
      <c r="Y179" t="inlineStr">
        <is>
          <t>25/05/2026 19 01.3 58 56.FME is managing with level 0 25.05.26 Need FME on site to check MPR status; Red zone today 25.05.26 Need FME on site to check MPR status; Red zone today</t>
        </is>
      </c>
      <c r="Z179" t="inlineStr"/>
      <c r="AA179" t="inlineStr"/>
      <c r="AB179" t="inlineStr"/>
      <c r="AC179" t="inlineStr"/>
      <c r="AD179" t="inlineStr"/>
      <c r="AE179" t="inlineStr">
        <is>
          <t>{None hourly IHS}: 25/05/2026 19:01..3:58:56..FME is managing with level 0</t>
        </is>
      </c>
      <c r="AF179" t="inlineStr"/>
      <c r="AG179" t="inlineStr"/>
      <c r="AH179" t="inlineStr"/>
      <c r="AI179" t="inlineStr"/>
      <c r="AJ179" t="inlineStr"/>
      <c r="AK179" t="inlineStr"/>
      <c r="AL179" t="inlineStr"/>
      <c r="AM179" t="inlineStr"/>
      <c r="AN179" t="inlineStr"/>
      <c r="AO179" t="inlineStr">
        <is>
          <t>{05-25-2026 ocm ran 22H}: 25.05.26: Need FME on site to check MPR status; Red zone today</t>
        </is>
      </c>
      <c r="AP179" t="inlineStr">
        <is>
          <t>{05-25-2026 ocm ran 17H}: 25.05.26: Need FME on site to check MPR status; Red zone today</t>
        </is>
      </c>
      <c r="AQ179" t="inlineStr">
        <is>
          <t>{05-25-2026 ticket}: INC-20260525-00020562</t>
        </is>
      </c>
      <c r="AR179" t="inlineStr"/>
    </row>
    <row r="180">
      <c r="A180" t="inlineStr">
        <is>
          <t>Bafmeng</t>
        </is>
      </c>
      <c r="B180" t="inlineStr">
        <is>
          <t>NRO_047</t>
        </is>
      </c>
      <c r="C180" t="inlineStr">
        <is>
          <t>NORD-OUEST</t>
        </is>
      </c>
      <c r="D180" t="inlineStr">
        <is>
          <t>IHS</t>
        </is>
      </c>
      <c r="E180" t="inlineStr">
        <is>
          <t>Hybrid-Gen</t>
        </is>
      </c>
      <c r="F180" t="inlineStr">
        <is>
          <t>NORD-OUEST</t>
        </is>
      </c>
      <c r="G180" t="inlineStr">
        <is>
          <t>Bafmeng</t>
        </is>
      </c>
      <c r="H180" t="inlineStr">
        <is>
          <t>NOKIA</t>
        </is>
      </c>
      <c r="I180" t="n">
        <v>0</v>
      </c>
      <c r="J180" t="n">
        <v>0.03333376137521289</v>
      </c>
      <c r="K180" t="n">
        <v>1.060348911204139</v>
      </c>
      <c r="L180" t="n">
        <v>0.1940456520932676</v>
      </c>
      <c r="M180" t="n">
        <v>3.711033920892154</v>
      </c>
      <c r="N180" t="n">
        <v>31.34729366249815</v>
      </c>
      <c r="O180" t="n">
        <v>13.70071588617903</v>
      </c>
      <c r="P180" t="n">
        <v>0</v>
      </c>
      <c r="Q180" t="n">
        <v>9.075878983999795</v>
      </c>
      <c r="R180" t="inlineStr">
        <is>
          <t>Insecurity</t>
        </is>
      </c>
      <c r="S180" t="inlineStr"/>
      <c r="T180" t="inlineStr"/>
      <c r="U180" t="inlineStr"/>
      <c r="V180" t="inlineStr"/>
      <c r="W180" t="inlineStr"/>
      <c r="X180" t="inlineStr">
        <is>
          <t>{05-25-2026 ocm ran 17H}: P2 Incident at Fundong_L18L8_NRO_015; Power issue; IHS     ;    {05-25-2026 ticket}: INC-20260525-00023447..Defaut Module</t>
        </is>
      </c>
      <c r="Y180" t="inlineStr">
        <is>
          <t>P2 Incident at Fundong_L18L8_NRO_015; Power issue; IHS .Defaut Module</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{05-25-2026 ocm ran 17H}: P2 Incident at Fundong_L18L8_NRO_015; Power issue; IHS</t>
        </is>
      </c>
      <c r="AQ180" t="inlineStr">
        <is>
          <t>{05-25-2026 ticket}: INC-20260525-00023447..Defaut Module</t>
        </is>
      </c>
      <c r="AR180" t="inlineStr"/>
    </row>
    <row r="181">
      <c r="A181" t="inlineStr">
        <is>
          <t>Brigaya</t>
        </is>
      </c>
      <c r="B181" t="inlineStr">
        <is>
          <t>EST_056</t>
        </is>
      </c>
      <c r="C181" t="inlineStr">
        <is>
          <t>CENTRE</t>
        </is>
      </c>
      <c r="D181" t="inlineStr">
        <is>
          <t>IHS</t>
        </is>
      </c>
      <c r="E181" t="inlineStr">
        <is>
          <t>Solar-Gen</t>
        </is>
      </c>
      <c r="F181" t="inlineStr">
        <is>
          <t>EST</t>
        </is>
      </c>
      <c r="G181" t="inlineStr">
        <is>
          <t>Brigaya</t>
        </is>
      </c>
      <c r="H181" t="inlineStr">
        <is>
          <t>NOKIA</t>
        </is>
      </c>
      <c r="I181" t="n">
        <v>0</v>
      </c>
      <c r="J181" t="n">
        <v>0</v>
      </c>
      <c r="K181" t="n">
        <v>0.02113443280604201</v>
      </c>
      <c r="L181" t="n">
        <v>0</v>
      </c>
      <c r="M181" t="n">
        <v>3.568471005869882</v>
      </c>
      <c r="N181" t="n">
        <v>30.55882781994253</v>
      </c>
      <c r="O181" t="n">
        <v>13.77031120903332</v>
      </c>
      <c r="P181" t="n">
        <v>0</v>
      </c>
      <c r="Q181" t="n">
        <v>8.986650087177862</v>
      </c>
      <c r="R181" t="inlineStr">
        <is>
          <t>Operationnel</t>
        </is>
      </c>
      <c r="S181" t="inlineStr"/>
      <c r="T181" t="inlineStr"/>
      <c r="U181" t="inlineStr"/>
      <c r="V181" t="inlineStr"/>
      <c r="W181" t="inlineStr"/>
      <c r="X181" t="inlineStr">
        <is>
          <t>{05-25-2026 top offenders}: 25.05.26: Fiber between IDU to MPR down; Need FME at Brigaya to check interco IDU -- MPR; CM-20260524-00005101; FME Frank activé pour investigatons, ETA=21H     ;    {05-25-2026 ocm ran 22H}: 25.05.26: Fiber between IDU to MPR down; Need FME at Brigaya to check interco IDU -- MPR; CM-20260524-00005101; FME Frank activé pour investigatons, ETA=21H     ;    {05-25-2026 ocm ran 17H}: 25.05.26: Fiber between IDU to MPR down; Need FME at Brigaya to check interco IDU -- MPR; CM-20260524-00005101; FME Frank activé pour investigatons, update ASAP</t>
        </is>
      </c>
      <c r="Y181" t="inlineStr">
        <is>
          <t>25.05.26 Fiber between IDU to MPR down; Need FME at Brigaya to check interco IDU -- MPR; FME Frank activé pour investigatons, ETA=21H 25.05.26 Fiber between IDU to MPR down; Need FME at Brigaya to check interco IDU -- MPR; FME Frank activé pour investigatons, ETA=21H 25.05.26 Fiber between IDU to MPR down; Need FME at Brigaya to check interco IDU -- MPR; FME Frank activé pour investigatons, update ASAP</t>
        </is>
      </c>
      <c r="Z181" t="inlineStr"/>
      <c r="AA181" t="inlineStr"/>
      <c r="AB181" t="inlineStr">
        <is>
          <t>{05-25-2026 top offenders}: 25.05.26: Fiber between IDU to MPR down; Need FME at Brigaya to check interco IDU -- MPR; CM-20260524-00005101; FME Frank activé pour investigatons, ETA=21H</t>
        </is>
      </c>
      <c r="AC181" t="inlineStr"/>
      <c r="AD181" t="inlineStr"/>
      <c r="AE181" t="inlineStr"/>
      <c r="AF181" t="inlineStr"/>
      <c r="AG181" t="inlineStr"/>
      <c r="AH181" t="inlineStr"/>
      <c r="AI181" t="inlineStr"/>
      <c r="AJ181" t="inlineStr"/>
      <c r="AK181" t="inlineStr"/>
      <c r="AL181" t="inlineStr"/>
      <c r="AM181" t="inlineStr"/>
      <c r="AN181" t="inlineStr"/>
      <c r="AO181" t="inlineStr">
        <is>
          <t>{05-25-2026 ocm ran 22H}: 25.05.26: Fiber between IDU to MPR down; Need FME at Brigaya to check interco IDU -- MPR; CM-20260524-00005101; FME Frank activé pour investigatons, ETA=21H</t>
        </is>
      </c>
      <c r="AP181" t="inlineStr">
        <is>
          <t>{05-25-2026 ocm ran 17H}: 25.05.26: Fiber between IDU to MPR down; Need FME at Brigaya to check interco IDU -- MPR; CM-20260524-00005101; FME Frank activé pour investigatons, update ASAP</t>
        </is>
      </c>
      <c r="AQ181" t="inlineStr"/>
      <c r="AR181" t="inlineStr"/>
    </row>
    <row r="182">
      <c r="A182" t="inlineStr">
        <is>
          <t>Maroua-Domayo-IHS</t>
        </is>
      </c>
      <c r="B182" t="inlineStr">
        <is>
          <t>EXN_241</t>
        </is>
      </c>
      <c r="C182" t="inlineStr">
        <is>
          <t>Maroua</t>
        </is>
      </c>
      <c r="D182" t="inlineStr">
        <is>
          <t>IHS</t>
        </is>
      </c>
      <c r="E182" t="inlineStr">
        <is>
          <t>Grid-Gen</t>
        </is>
      </c>
      <c r="F182" t="inlineStr">
        <is>
          <t>EXTREME-NORD</t>
        </is>
      </c>
      <c r="G182" t="inlineStr">
        <is>
          <t>Maroua</t>
        </is>
      </c>
      <c r="H182" t="inlineStr">
        <is>
          <t>Huawei</t>
        </is>
      </c>
      <c r="I182" t="n">
        <v>0</v>
      </c>
      <c r="J182" t="n">
        <v>16.00420051764531</v>
      </c>
      <c r="K182" t="n">
        <v>15.09052729052344</v>
      </c>
      <c r="L182" t="n">
        <v>5.808795832584261</v>
      </c>
      <c r="M182" t="n">
        <v>0.2697555595506131</v>
      </c>
      <c r="N182" t="n">
        <v>6.823670411535955</v>
      </c>
      <c r="O182" t="n">
        <v>5.793305928713989</v>
      </c>
      <c r="P182" t="n">
        <v>11.60793239608026</v>
      </c>
      <c r="Q182" t="n">
        <v>8.972703055933659</v>
      </c>
      <c r="R182" t="inlineStr">
        <is>
          <t>Operationnel</t>
        </is>
      </c>
      <c r="S182" t="inlineStr"/>
      <c r="T182" t="inlineStr"/>
      <c r="U182" t="inlineStr"/>
      <c r="V182" t="inlineStr"/>
      <c r="W182" t="inlineStr"/>
      <c r="X182" t="inlineStr">
        <is>
          <t>{None hourly IHS}: 25/05/2026 11:21..0:39:00..25..FME is informed and managing</t>
        </is>
      </c>
      <c r="Y182" t="inlineStr">
        <is>
          <t>25/05/2026 11 21.0 39 00.25.FME is informed and managing</t>
        </is>
      </c>
      <c r="Z182" t="inlineStr"/>
      <c r="AA182" t="inlineStr"/>
      <c r="AB182" t="inlineStr"/>
      <c r="AC182" t="inlineStr"/>
      <c r="AD182" t="inlineStr"/>
      <c r="AE182" t="inlineStr">
        <is>
          <t>{None hourly IHS}: 25/05/2026 11:21..0:39:00..25..FME is informed and managing</t>
        </is>
      </c>
      <c r="AF182" t="inlineStr"/>
      <c r="AG182" t="inlineStr"/>
      <c r="AH182" t="inlineStr"/>
      <c r="AI182" t="inlineStr"/>
      <c r="AJ182" t="inlineStr"/>
      <c r="AK182" t="inlineStr"/>
      <c r="AL182" t="inlineStr"/>
      <c r="AM182" t="inlineStr"/>
      <c r="AN182" t="inlineStr"/>
      <c r="AO182" t="inlineStr"/>
      <c r="AP182" t="inlineStr"/>
      <c r="AQ182" t="inlineStr"/>
      <c r="AR182" t="inlineStr"/>
    </row>
    <row r="183">
      <c r="A183" t="inlineStr">
        <is>
          <t>Diang-MTN</t>
        </is>
      </c>
      <c r="B183" t="inlineStr">
        <is>
          <t>EST_076</t>
        </is>
      </c>
      <c r="C183" t="inlineStr">
        <is>
          <t>CENTRE</t>
        </is>
      </c>
      <c r="D183" t="inlineStr">
        <is>
          <t>IHS</t>
        </is>
      </c>
      <c r="E183" t="inlineStr">
        <is>
          <t>Grid-Gen</t>
        </is>
      </c>
      <c r="F183" t="inlineStr">
        <is>
          <t>EST</t>
        </is>
      </c>
      <c r="G183" t="inlineStr">
        <is>
          <t>Diang</t>
        </is>
      </c>
      <c r="H183" t="inlineStr">
        <is>
          <t>NOKIA</t>
        </is>
      </c>
      <c r="I183" t="n">
        <v>1.602481786818022</v>
      </c>
      <c r="J183" t="n">
        <v>2.9511704091795</v>
      </c>
      <c r="K183" t="n">
        <v>2.503733025023068</v>
      </c>
      <c r="L183" t="n">
        <v>8.413537680526662</v>
      </c>
      <c r="M183" t="n">
        <v>4.354059834547545</v>
      </c>
      <c r="N183" t="n">
        <v>19.50369491105436</v>
      </c>
      <c r="O183" t="n">
        <v>8.371626698763391</v>
      </c>
      <c r="P183" t="n">
        <v>6.295849329727177</v>
      </c>
      <c r="Q183" t="n">
        <v>8.878790862418169</v>
      </c>
      <c r="R183" t="inlineStr">
        <is>
          <t>Operationnel</t>
        </is>
      </c>
      <c r="S183" t="inlineStr"/>
      <c r="T183" t="inlineStr"/>
      <c r="U183" t="inlineStr"/>
      <c r="V183" t="inlineStr"/>
      <c r="W183" t="inlineStr"/>
      <c r="X183" t="inlineStr">
        <is>
          <t>{05-25-2026 incident}: {05-18-2026 groupe whatsapp incident}: impacted by  EST_076_N_Diang-MTN     ;    {None hourly IHS}: 25/05/2026 06:37..10:42:45..FME is informed and managing     ;    {05-25-2026 ticket}: INC-20260525-00004865..Power issue, no fuel..Others Transmission equipement fault</t>
        </is>
      </c>
      <c r="Y183" t="inlineStr">
        <is>
          <t>{05-25-2026 incident} {05-18-2026 groupe whatsapp incident} impacted by EST_076_N_Diang-MTN 25/05/2026 06 37.10 42 45.FME is informed and managing .Power issue, no fuel.</t>
        </is>
      </c>
      <c r="Z183" t="inlineStr"/>
      <c r="AA183" t="inlineStr">
        <is>
          <t>{05-25-2026 incident}: {05-18-2026 groupe whatsapp incident}: impacted by  EST_076_N_Diang-MTN</t>
        </is>
      </c>
      <c r="AB183" t="inlineStr"/>
      <c r="AC183" t="inlineStr"/>
      <c r="AD183" t="inlineStr"/>
      <c r="AE183" t="inlineStr">
        <is>
          <t>{None hourly IHS}: 25/05/2026 06:37..10:42:45..FME is informed and managing</t>
        </is>
      </c>
      <c r="AF183" t="inlineStr"/>
      <c r="AG183" t="inlineStr"/>
      <c r="AH183" t="inlineStr"/>
      <c r="AI183" t="inlineStr"/>
      <c r="AJ183" t="inlineStr"/>
      <c r="AK183" t="inlineStr"/>
      <c r="AL183" t="inlineStr"/>
      <c r="AM183" t="inlineStr"/>
      <c r="AN183" t="inlineStr"/>
      <c r="AO183" t="inlineStr"/>
      <c r="AP183" t="inlineStr"/>
      <c r="AQ183" t="inlineStr">
        <is>
          <t>{05-25-2026 ticket}: INC-20260525-00004865..Power issue, no fuel..Others Transmission equipement fault</t>
        </is>
      </c>
      <c r="AR183" t="inlineStr"/>
    </row>
    <row r="184">
      <c r="A184" t="inlineStr">
        <is>
          <t>Garoua-Ngalbidje-IHS</t>
        </is>
      </c>
      <c r="B184" t="inlineStr">
        <is>
          <t>NRD_085</t>
        </is>
      </c>
      <c r="C184" t="inlineStr">
        <is>
          <t>Garoua</t>
        </is>
      </c>
      <c r="D184" t="inlineStr">
        <is>
          <t>IHS</t>
        </is>
      </c>
      <c r="E184" t="inlineStr">
        <is>
          <t>Grid-Gen</t>
        </is>
      </c>
      <c r="F184" t="inlineStr">
        <is>
          <t>NORD</t>
        </is>
      </c>
      <c r="G184" t="inlineStr">
        <is>
          <t>Garoua</t>
        </is>
      </c>
      <c r="H184" t="inlineStr">
        <is>
          <t>Huawei</t>
        </is>
      </c>
      <c r="I184" t="n">
        <v>15.34981365910174</v>
      </c>
      <c r="J184" t="n">
        <v>13.70673923403333</v>
      </c>
      <c r="K184" t="n">
        <v>0</v>
      </c>
      <c r="L184" t="n">
        <v>8.76408614485508</v>
      </c>
      <c r="M184" t="n">
        <v>4.660056273239107</v>
      </c>
      <c r="N184" t="n">
        <v>15.4183602508303</v>
      </c>
      <c r="O184" t="n">
        <v>19.66025369673354</v>
      </c>
      <c r="P184" t="n">
        <v>0.133381268509216</v>
      </c>
      <c r="Q184" t="n">
        <v>8.871471151404119</v>
      </c>
      <c r="R184" t="inlineStr">
        <is>
          <t>Operationnel</t>
        </is>
      </c>
      <c r="S184" t="inlineStr"/>
      <c r="T184" t="inlineStr"/>
      <c r="U184" t="inlineStr"/>
      <c r="V184" t="inlineStr"/>
      <c r="W184" t="inlineStr"/>
      <c r="X184" t="inlineStr">
        <is>
          <t>{05-25-2026 top offenders}: UP sans action     ;    {05-25-2026 retour IHS}: IHS     ;    {None hourly IHS}: 25/05/2026 01:35..4:48:04..31.9V..Merlin is going to site ETA ASAP.</t>
        </is>
      </c>
      <c r="Y184" t="inlineStr">
        <is>
          <t>UP sans action IHS 25/05/2026 01 35.4 48 04.31.9V.Merlin is going to site ETA ASAP.</t>
        </is>
      </c>
      <c r="Z184" t="inlineStr"/>
      <c r="AA184" t="inlineStr"/>
      <c r="AB184" t="inlineStr">
        <is>
          <t>{05-25-2026 top offenders}: UP sans action</t>
        </is>
      </c>
      <c r="AC184" t="inlineStr"/>
      <c r="AD184" t="inlineStr">
        <is>
          <t>{05-25-2026 retour IHS}: IHS</t>
        </is>
      </c>
      <c r="AE184" t="inlineStr">
        <is>
          <t>{None hourly IHS}: 25/05/2026 01:35..4:48:04..31.9V..Merlin is going to site ETA ASAP.</t>
        </is>
      </c>
      <c r="AF184" t="inlineStr"/>
      <c r="AG184" t="inlineStr"/>
      <c r="AH184" t="inlineStr"/>
      <c r="AI184" t="inlineStr"/>
      <c r="AJ184" t="inlineStr"/>
      <c r="AK184" t="inlineStr"/>
      <c r="AL184" t="inlineStr"/>
      <c r="AM184" t="inlineStr"/>
      <c r="AN184" t="inlineStr"/>
      <c r="AO184" t="inlineStr"/>
      <c r="AP184" t="inlineStr"/>
      <c r="AQ184" t="inlineStr"/>
      <c r="AR184" t="inlineStr"/>
    </row>
    <row r="185">
      <c r="A185" t="inlineStr">
        <is>
          <t>Garoua-Boulai-Frontiere</t>
        </is>
      </c>
      <c r="B185" t="inlineStr">
        <is>
          <t>EST_080</t>
        </is>
      </c>
      <c r="C185" t="inlineStr">
        <is>
          <t>CENTRE</t>
        </is>
      </c>
      <c r="D185" t="inlineStr">
        <is>
          <t>IHS</t>
        </is>
      </c>
      <c r="E185" t="inlineStr">
        <is>
          <t>Grid-Gen</t>
        </is>
      </c>
      <c r="F185" t="inlineStr">
        <is>
          <t>EST</t>
        </is>
      </c>
      <c r="G185" t="inlineStr">
        <is>
          <t>Garoua-Boulai</t>
        </is>
      </c>
      <c r="H185" t="inlineStr">
        <is>
          <t>ZTE</t>
        </is>
      </c>
      <c r="I185" t="n">
        <v>0.6684587353359985</v>
      </c>
      <c r="J185" t="n">
        <v>0</v>
      </c>
      <c r="K185" t="n">
        <v>0</v>
      </c>
      <c r="L185" t="n">
        <v>7.04810191962515</v>
      </c>
      <c r="M185" t="n">
        <v>0.6665147117994027</v>
      </c>
      <c r="N185" t="n">
        <v>8.542233692632959</v>
      </c>
      <c r="O185" t="n">
        <v>3.667461009618817</v>
      </c>
      <c r="P185" t="n">
        <v>12.132189181972</v>
      </c>
      <c r="Q185" t="n">
        <v>8.777836990237789</v>
      </c>
      <c r="R185" t="inlineStr">
        <is>
          <t>Operationnel</t>
        </is>
      </c>
      <c r="S185" t="inlineStr"/>
      <c r="T185" t="inlineStr"/>
      <c r="U185" t="inlineStr"/>
      <c r="V185" t="inlineStr"/>
      <c r="W185" t="inlineStr"/>
      <c r="X185" t="inlineStr">
        <is>
          <t>{None hourly IHS}: 25/05/2026 03:44..2:39:39..48.3V..FME is informed and managing</t>
        </is>
      </c>
      <c r="Y185" t="inlineStr">
        <is>
          <t>25/05/2026 03 44.2 39 39.48.3V.FME is informed and managing</t>
        </is>
      </c>
      <c r="Z185" t="inlineStr"/>
      <c r="AA185" t="inlineStr"/>
      <c r="AB185" t="inlineStr"/>
      <c r="AC185" t="inlineStr"/>
      <c r="AD185" t="inlineStr"/>
      <c r="AE185" t="inlineStr">
        <is>
          <t>{None hourly IHS}: 25/05/2026 03:44..2:39:39..48.3V..FME is informed and managing</t>
        </is>
      </c>
      <c r="AF185" t="inlineStr"/>
      <c r="AG185" t="inlineStr"/>
      <c r="AH185" t="inlineStr"/>
      <c r="AI185" t="inlineStr"/>
      <c r="AJ185" t="inlineStr"/>
      <c r="AK185" t="inlineStr"/>
      <c r="AL185" t="inlineStr"/>
      <c r="AM185" t="inlineStr"/>
      <c r="AN185" t="inlineStr"/>
      <c r="AO185" t="inlineStr"/>
      <c r="AP185" t="inlineStr"/>
      <c r="AQ185" t="inlineStr"/>
      <c r="AR185" t="inlineStr"/>
    </row>
    <row r="186">
      <c r="A186" t="inlineStr">
        <is>
          <t>Yao+C649unde</t>
        </is>
      </c>
      <c r="B186" t="inlineStr">
        <is>
          <t>CTR_375</t>
        </is>
      </c>
      <c r="C186" t="inlineStr">
        <is>
          <t>Yaounde</t>
        </is>
      </c>
      <c r="D186" t="inlineStr">
        <is>
          <t>IHS</t>
        </is>
      </c>
      <c r="E186" t="inlineStr">
        <is>
          <t>grid only</t>
        </is>
      </c>
      <c r="F186" t="inlineStr">
        <is>
          <t>CENTRE</t>
        </is>
      </c>
      <c r="G186" t="inlineStr">
        <is>
          <t>Yaounde</t>
        </is>
      </c>
      <c r="H186" t="inlineStr">
        <is>
          <t>ZTE</t>
        </is>
      </c>
      <c r="I186" t="n">
        <v>0</v>
      </c>
      <c r="J186" t="n">
        <v>11.87281163589045</v>
      </c>
      <c r="K186" t="n">
        <v>0</v>
      </c>
      <c r="L186" t="n">
        <v>0.5892353174501243</v>
      </c>
      <c r="M186" t="n">
        <v>0</v>
      </c>
      <c r="N186" t="n">
        <v>4.448406132473252</v>
      </c>
      <c r="O186" t="n">
        <v>3.79544202698981</v>
      </c>
      <c r="P186" t="n">
        <v>13.0930815204425</v>
      </c>
      <c r="Q186" t="n">
        <v>8.737297857222353</v>
      </c>
      <c r="R186" t="inlineStr">
        <is>
          <t>Operationnel</t>
        </is>
      </c>
      <c r="S186" t="inlineStr"/>
      <c r="T186" t="inlineStr"/>
      <c r="U186" t="inlineStr"/>
      <c r="V186" t="inlineStr"/>
      <c r="W186" t="inlineStr"/>
      <c r="X186" t="inlineStr">
        <is>
          <t>{05-25-2026 top offenders}: 26.05.2026 IHS FEEDBACK : Grid outage, no space to deploy MDG, awaiting grid return     ;    {None hourly IHS}: 25/05/2026 20:45..2:14:52..FME isinformed and managing ETA ASAP     ;    {05-25-2026 ocm ran 22H}: Power status check Ongoing     ;    {05-25-2026 ticket}: INC-20260525-00023394..user:OCM_NOC.IHS</t>
        </is>
      </c>
      <c r="Y186" t="inlineStr">
        <is>
          <t>26.05.2026 IHS FEEDBACK Grid outage, no space to deploy MDG, awaiting grid return 25/05/2026 20 45.2 14 52.FME isinformed and managing ETA ASAP .user OCM_NOC.IHS</t>
        </is>
      </c>
      <c r="Z186" t="inlineStr"/>
      <c r="AA186" t="inlineStr"/>
      <c r="AB186" t="inlineStr">
        <is>
          <t>{05-25-2026 top offenders}: 26.05.2026 IHS FEEDBACK : Grid outage, no space to deploy MDG, awaiting grid return</t>
        </is>
      </c>
      <c r="AC186" t="inlineStr"/>
      <c r="AD186" t="inlineStr"/>
      <c r="AE186" t="inlineStr">
        <is>
          <t>{None hourly IHS}: 25/05/2026 20:45..2:14:52..FME isinformed and managing ETA ASAP</t>
        </is>
      </c>
      <c r="AF186" t="inlineStr"/>
      <c r="AG186" t="inlineStr"/>
      <c r="AH186" t="inlineStr"/>
      <c r="AI186" t="inlineStr"/>
      <c r="AJ186" t="inlineStr"/>
      <c r="AK186" t="inlineStr"/>
      <c r="AL186" t="inlineStr"/>
      <c r="AM186" t="inlineStr"/>
      <c r="AN186" t="inlineStr"/>
      <c r="AO186" t="inlineStr">
        <is>
          <t>{05-25-2026 ocm ran 22H}: Power status check Ongoing</t>
        </is>
      </c>
      <c r="AP186" t="inlineStr"/>
      <c r="AQ186" t="inlineStr">
        <is>
          <t>{05-25-2026 ticket}: INC-20260525-00023394..user:OCM_NOC.IHS</t>
        </is>
      </c>
      <c r="AR186" t="inlineStr"/>
    </row>
    <row r="187">
      <c r="A187" t="inlineStr">
        <is>
          <t>Kumba-Mbongue-Road</t>
        </is>
      </c>
      <c r="B187" t="inlineStr">
        <is>
          <t>SUO_237</t>
        </is>
      </c>
      <c r="C187" t="inlineStr">
        <is>
          <t>SUD-OUEST</t>
        </is>
      </c>
      <c r="D187" t="inlineStr">
        <is>
          <t>IHS</t>
        </is>
      </c>
      <c r="E187" t="inlineStr">
        <is>
          <t>Grid-Gen</t>
        </is>
      </c>
      <c r="F187" t="inlineStr">
        <is>
          <t>SUD-OUEST</t>
        </is>
      </c>
      <c r="G187" t="inlineStr">
        <is>
          <t>Kumba</t>
        </is>
      </c>
      <c r="H187" t="inlineStr">
        <is>
          <t>Huawei</t>
        </is>
      </c>
      <c r="I187" t="n">
        <v>0.003210314097131264</v>
      </c>
      <c r="J187" t="n">
        <v>0.00836465173085868</v>
      </c>
      <c r="K187" t="n">
        <v>0.006242277411088567</v>
      </c>
      <c r="L187" t="n">
        <v>0.01467826945521683</v>
      </c>
      <c r="M187" t="n">
        <v>6.98427017432719</v>
      </c>
      <c r="N187" t="n">
        <v>12.11112509941689</v>
      </c>
      <c r="O187" t="n">
        <v>20.61721594908045</v>
      </c>
      <c r="P187" t="n">
        <v>0</v>
      </c>
      <c r="Q187" t="n">
        <v>8.650904737852883</v>
      </c>
      <c r="R187" t="inlineStr">
        <is>
          <t>Operationnel</t>
        </is>
      </c>
      <c r="S187" t="inlineStr"/>
      <c r="T187" t="inlineStr"/>
      <c r="U187" t="inlineStr"/>
      <c r="V187" t="inlineStr"/>
      <c r="W187" t="inlineStr"/>
      <c r="X187" t="inlineStr">
        <is>
          <t>{05-25-2026 top offenders}: 25.05.26: IHS: Fme is informed and managing     ;    {None hourly IHS}: 25/05/2026 15:15..7:44:37..FME is managing with level 0     ;    {05-25-2026 ocm ran 22H}: 25.05.26: IHS: Fme is informed and managing     ;    {05-25-2026 ocm ran 17H}: Power status check Ongoing</t>
        </is>
      </c>
      <c r="Y187" t="inlineStr">
        <is>
          <t>25.05.26 IHS Fme is informed and managing 25/05/2026 15 15.7 44 37.FME is managing with level 0 25.05.26 IHS Fme is informed and managing</t>
        </is>
      </c>
      <c r="Z187" t="inlineStr"/>
      <c r="AA187" t="inlineStr"/>
      <c r="AB187" t="inlineStr">
        <is>
          <t>{05-25-2026 top offenders}: 25.05.26: IHS: Fme is informed and managing</t>
        </is>
      </c>
      <c r="AC187" t="inlineStr"/>
      <c r="AD187" t="inlineStr"/>
      <c r="AE187" t="inlineStr">
        <is>
          <t>{None hourly IHS}: 25/05/2026 15:15..7:44:37..FME is managing with level 0</t>
        </is>
      </c>
      <c r="AF187" t="inlineStr"/>
      <c r="AG187" t="inlineStr"/>
      <c r="AH187" t="inlineStr"/>
      <c r="AI187" t="inlineStr"/>
      <c r="AJ187" t="inlineStr"/>
      <c r="AK187" t="inlineStr"/>
      <c r="AL187" t="inlineStr"/>
      <c r="AM187" t="inlineStr"/>
      <c r="AN187" t="inlineStr"/>
      <c r="AO187" t="inlineStr">
        <is>
          <t>{05-25-2026 ocm ran 22H}: 25.05.26: IHS: Fme is informed and managing</t>
        </is>
      </c>
      <c r="AP187" t="inlineStr">
        <is>
          <t>{05-25-2026 ocm ran 17H}: Power status check Ongoing</t>
        </is>
      </c>
      <c r="AQ187" t="inlineStr"/>
      <c r="AR187" t="inlineStr"/>
    </row>
    <row r="188">
      <c r="A188" t="inlineStr">
        <is>
          <t>Logbong</t>
        </is>
      </c>
      <c r="B188" t="inlineStr">
        <is>
          <t>LIT_508</t>
        </is>
      </c>
      <c r="C188" t="inlineStr">
        <is>
          <t>LITTORAL</t>
        </is>
      </c>
      <c r="D188" t="inlineStr">
        <is>
          <t>IHS</t>
        </is>
      </c>
      <c r="E188" t="inlineStr">
        <is>
          <t>Grid-Gen</t>
        </is>
      </c>
      <c r="F188" t="inlineStr">
        <is>
          <t>LITTORAL</t>
        </is>
      </c>
      <c r="G188" t="inlineStr">
        <is>
          <t>Logbong</t>
        </is>
      </c>
      <c r="H188" t="inlineStr">
        <is>
          <t>NOKIA</t>
        </is>
      </c>
      <c r="I188" t="n">
        <v>0</v>
      </c>
      <c r="J188" t="n">
        <v>0</v>
      </c>
      <c r="K188" t="n">
        <v>1.98315369842452</v>
      </c>
      <c r="L188" t="n">
        <v>0</v>
      </c>
      <c r="M188" t="n">
        <v>3.085789580319205</v>
      </c>
      <c r="N188" t="n">
        <v>30.24209261057756</v>
      </c>
      <c r="O188" t="n">
        <v>12.8795989092496</v>
      </c>
      <c r="P188" t="n">
        <v>0</v>
      </c>
      <c r="Q188" t="n">
        <v>8.642397936037201</v>
      </c>
      <c r="R188" t="inlineStr">
        <is>
          <t>Operationnel</t>
        </is>
      </c>
      <c r="S188" t="inlineStr"/>
      <c r="T188" t="inlineStr"/>
      <c r="U188" t="inlineStr"/>
      <c r="V188" t="inlineStr"/>
      <c r="W188" t="inlineStr"/>
      <c r="X188" t="inlineStr">
        <is>
          <t xml:space="preserve">{05-25-2026 top offenders}: 25/05/2026: Closed after reset||Check sfp and optical fiber of FXDB||Escalade faite au RM || En attente du feedback du RM 
24/05/2026 : Need BO RAN analysis      ;    {05/25/2026 cell nokia}: 25/05/2026: Closed after reset
24/05/2026 : Need BO RAN analysis      ;    {05/25/2026 cell nokia}: 25/05/2026: Closed after reset||Check sfp and optical fiber of FXDB
24/05/2026 : Need BO RAN analysis      ;    {05/25/2026 cell nokia}: 25/05/2026: Closed after reset||Check sfp and optical fiber of FXDB||Escalade faite au RM || En attente du feedback du RM 
24/05/2026 : Need BO RAN analysis </t>
        </is>
      </c>
      <c r="Y188" t="inlineStr">
        <is>
          <t>25/05/2026 Closed after reset || Check sfp and optical fiber of FXDB || Escalade faite au RM || En attente du feedback du RM
24/05/2026 Need BO RAN analysis 25/05/2026 Closed after reset
24/05/2026 Need BO RAN analysis 25/05/2026 Closed after reset || Check sfp and optical fiber of FXDB
24/05/2026 Need BO RAN analysis 25/05/2026 Closed after reset || Check sfp and optical fiber of FXDB || Escalade faite au RM || En attente du feedback du RM
24/05/2026 Need BO RAN analysis</t>
        </is>
      </c>
      <c r="Z188" t="inlineStr"/>
      <c r="AA188" t="inlineStr"/>
      <c r="AB188" t="inlineStr">
        <is>
          <t xml:space="preserve">{05-25-2026 top offenders}: 25/05/2026: Closed after reset||Check sfp and optical fiber of FXDB||Escalade faite au RM || En attente du feedback du RM 
24/05/2026 : Need BO RAN analysis </t>
        </is>
      </c>
      <c r="AC188" t="inlineStr"/>
      <c r="AD188" t="inlineStr"/>
      <c r="AE188" t="inlineStr"/>
      <c r="AF188" t="inlineStr">
        <is>
          <t xml:space="preserve">{05/25/2026 cell nokia}: 25/05/2026: Closed after reset
24/05/2026 : Need BO RAN analysis </t>
        </is>
      </c>
      <c r="AG188" t="inlineStr">
        <is>
          <t xml:space="preserve">{05/25/2026 cell nokia}: 25/05/2026: Closed after reset||Check sfp and optical fiber of FXDB
24/05/2026 : Need BO RAN analysis </t>
        </is>
      </c>
      <c r="AH188" t="inlineStr">
        <is>
          <t xml:space="preserve">{05/25/2026 cell nokia}: 25/05/2026: Closed after reset||Check sfp and optical fiber of FXDB||Escalade faite au RM || En attente du feedback du RM 
24/05/2026 : Need BO RAN analysis </t>
        </is>
      </c>
      <c r="AI188" t="inlineStr"/>
      <c r="AJ188" t="inlineStr"/>
      <c r="AK188" t="inlineStr"/>
      <c r="AL188" t="inlineStr"/>
      <c r="AM188" t="inlineStr"/>
      <c r="AN188" t="inlineStr"/>
      <c r="AO188" t="inlineStr"/>
      <c r="AP188" t="inlineStr"/>
      <c r="AQ188" t="inlineStr"/>
      <c r="AR188" t="inlineStr"/>
    </row>
    <row r="189">
      <c r="A189" t="inlineStr">
        <is>
          <t>Nkololoun</t>
        </is>
      </c>
      <c r="B189" t="inlineStr">
        <is>
          <t>LIT_183</t>
        </is>
      </c>
      <c r="C189" t="inlineStr">
        <is>
          <t>Douala</t>
        </is>
      </c>
      <c r="D189" t="inlineStr">
        <is>
          <t>IHS</t>
        </is>
      </c>
      <c r="E189" t="inlineStr">
        <is>
          <t>GridOnly</t>
        </is>
      </c>
      <c r="F189" t="inlineStr">
        <is>
          <t>LITTORAL</t>
        </is>
      </c>
      <c r="G189" t="inlineStr">
        <is>
          <t>Douala</t>
        </is>
      </c>
      <c r="H189" t="inlineStr">
        <is>
          <t>ZTE</t>
        </is>
      </c>
      <c r="I189" t="n">
        <v>0</v>
      </c>
      <c r="J189" t="n">
        <v>0</v>
      </c>
      <c r="K189" t="n">
        <v>25.9252838631065</v>
      </c>
      <c r="L189" t="n">
        <v>0</v>
      </c>
      <c r="M189" t="n">
        <v>0</v>
      </c>
      <c r="N189" t="n">
        <v>3.852903972279175</v>
      </c>
      <c r="O189" t="n">
        <v>3.280649142670625</v>
      </c>
      <c r="P189" t="n">
        <v>13.29708646061108</v>
      </c>
      <c r="Q189" t="n">
        <v>8.585824537072712</v>
      </c>
      <c r="R189" t="inlineStr">
        <is>
          <t>Operationnel</t>
        </is>
      </c>
      <c r="S189" t="inlineStr"/>
      <c r="T189" t="inlineStr"/>
      <c r="U189" t="inlineStr"/>
      <c r="V189" t="inlineStr"/>
      <c r="W189" t="inlineStr"/>
      <c r="X189" t="inlineStr">
        <is>
          <t>{05-25-2026 top offenders}: Power status check Ongoing     ;    {None hourly IHS}: 25/05/2026 21:11..1:48:50..Grid outage, no space to deploy MDG, awaiting grid return     ;    {05-25-2026 ocm ran 22H}: Power status check Ongoing     ;    {05-25-2026 ticket}: INC-20260525-00024011..Grid outage, no space to deploy MDG, //  grid return..Grid outage, no space to deploy MDG, //  grid return..Grid Outage..Grid outage, no space to deploy MDG, //  grid return</t>
        </is>
      </c>
      <c r="Y189" t="inlineStr">
        <is>
          <t>25/05/2026 21 11.1 48 50.Grid outage, no space to deploy MDG, awaiting grid return .Grid outage, no space to deploy MDG, // grid return.Grid outage, no space to deploy MDG, // grid return.Grid Outage.Grid outage, no space to deploy MDG, // grid return</t>
        </is>
      </c>
      <c r="Z189" t="inlineStr"/>
      <c r="AA189" t="inlineStr"/>
      <c r="AB189" t="inlineStr">
        <is>
          <t>{05-25-2026 top offenders}: Power status check Ongoing</t>
        </is>
      </c>
      <c r="AC189" t="inlineStr"/>
      <c r="AD189" t="inlineStr"/>
      <c r="AE189" t="inlineStr">
        <is>
          <t>{None hourly IHS}: 25/05/2026 21:11..1:48:50..Grid outage, no space to deploy MDG, awaiting grid return</t>
        </is>
      </c>
      <c r="AF189" t="inlineStr"/>
      <c r="AG189" t="inlineStr"/>
      <c r="AH189" t="inlineStr"/>
      <c r="AI189" t="inlineStr"/>
      <c r="AJ189" t="inlineStr"/>
      <c r="AK189" t="inlineStr"/>
      <c r="AL189" t="inlineStr"/>
      <c r="AM189" t="inlineStr"/>
      <c r="AN189" t="inlineStr"/>
      <c r="AO189" t="inlineStr">
        <is>
          <t>{05-25-2026 ocm ran 22H}: Power status check Ongoing</t>
        </is>
      </c>
      <c r="AP189" t="inlineStr"/>
      <c r="AQ189" t="inlineStr">
        <is>
          <t>{05-25-2026 ticket}: INC-20260525-00024011..Grid outage, no space to deploy MDG, //  grid return..Grid outage, no space to deploy MDG, //  grid return..Grid Outage..Grid outage, no space to deploy MDG, //  grid return</t>
        </is>
      </c>
      <c r="AR189" t="inlineStr"/>
    </row>
    <row r="190">
      <c r="A190" t="inlineStr">
        <is>
          <t>Buea-Bomaka-III-MTN</t>
        </is>
      </c>
      <c r="B190" t="inlineStr">
        <is>
          <t>SUO_169</t>
        </is>
      </c>
      <c r="C190" t="inlineStr">
        <is>
          <t>SUD-OUEST</t>
        </is>
      </c>
      <c r="D190" t="inlineStr">
        <is>
          <t>MTN sharing</t>
        </is>
      </c>
      <c r="E190" t="inlineStr"/>
      <c r="F190" t="inlineStr">
        <is>
          <t>SUD-OUEST</t>
        </is>
      </c>
      <c r="G190" t="inlineStr">
        <is>
          <t>Buea</t>
        </is>
      </c>
      <c r="H190" t="inlineStr">
        <is>
          <t>Huawei</t>
        </is>
      </c>
      <c r="I190" t="n">
        <v>2.153942408391905</v>
      </c>
      <c r="J190" t="n">
        <v>18.49140919947607</v>
      </c>
      <c r="K190" t="n">
        <v>0</v>
      </c>
      <c r="L190" t="n">
        <v>0.6887015492262428</v>
      </c>
      <c r="M190" t="n">
        <v>0</v>
      </c>
      <c r="N190" t="n">
        <v>0</v>
      </c>
      <c r="O190" t="n">
        <v>21.33224148365753</v>
      </c>
      <c r="P190" t="n">
        <v>2.693275614128401</v>
      </c>
      <c r="Q190" t="n">
        <v>8.565991929983763</v>
      </c>
      <c r="R190" t="inlineStr">
        <is>
          <t>Operationnel</t>
        </is>
      </c>
      <c r="S190" t="inlineStr"/>
      <c r="T190" t="inlineStr"/>
      <c r="U190" t="inlineStr"/>
      <c r="V190" t="inlineStr"/>
      <c r="W190" t="inlineStr"/>
      <c r="X190" t="inlineStr">
        <is>
          <t>{05-25-2026 top offenders}: 25.05.26: Power alarms; MTN activated to check     ;    {05-25-2026 ocm ran 22H}: 25.05.26: Power alarms; MTN activated to check     ;    {05-25-2026 ocm ran 17H}: Power status check Ongoing</t>
        </is>
      </c>
      <c r="Y190" t="inlineStr">
        <is>
          <t>25.05.26 Power alarms; MTN activated to check 25.05.26 Power alarms; MTN activated to check</t>
        </is>
      </c>
      <c r="Z190" t="inlineStr"/>
      <c r="AA190" t="inlineStr"/>
      <c r="AB190" t="inlineStr">
        <is>
          <t>{05-25-2026 top offenders}: 25.05.26: Power alarms; MTN activated to check</t>
        </is>
      </c>
      <c r="AC190" t="inlineStr"/>
      <c r="AD190" t="inlineStr"/>
      <c r="AE190" t="inlineStr"/>
      <c r="AF190" t="inlineStr"/>
      <c r="AG190" t="inlineStr"/>
      <c r="AH190" t="inlineStr"/>
      <c r="AI190" t="inlineStr"/>
      <c r="AJ190" t="inlineStr"/>
      <c r="AK190" t="inlineStr"/>
      <c r="AL190" t="inlineStr"/>
      <c r="AM190" t="inlineStr"/>
      <c r="AN190" t="inlineStr"/>
      <c r="AO190" t="inlineStr">
        <is>
          <t>{05-25-2026 ocm ran 22H}: 25.05.26: Power alarms; MTN activated to check</t>
        </is>
      </c>
      <c r="AP190" t="inlineStr">
        <is>
          <t>{05-25-2026 ocm ran 17H}: Power status check Ongoing</t>
        </is>
      </c>
      <c r="AQ190" t="inlineStr"/>
      <c r="AR190" t="inlineStr"/>
    </row>
    <row r="191">
      <c r="A191" t="inlineStr">
        <is>
          <t>Ndokoti-New</t>
        </is>
      </c>
      <c r="B191" t="inlineStr">
        <is>
          <t>LIT_217</t>
        </is>
      </c>
      <c r="C191" t="inlineStr">
        <is>
          <t>Douala</t>
        </is>
      </c>
      <c r="D191" t="inlineStr">
        <is>
          <t>IHS</t>
        </is>
      </c>
      <c r="E191" t="inlineStr">
        <is>
          <t>Grid-Gen</t>
        </is>
      </c>
      <c r="F191" t="inlineStr">
        <is>
          <t>LITTORAL</t>
        </is>
      </c>
      <c r="G191" t="inlineStr">
        <is>
          <t>Douala</t>
        </is>
      </c>
      <c r="H191" t="inlineStr">
        <is>
          <t>ZTE</t>
        </is>
      </c>
      <c r="I191" t="n">
        <v>0</v>
      </c>
      <c r="J191" t="n">
        <v>0.07529970065604555</v>
      </c>
      <c r="K191" t="n">
        <v>0.6363555943646856</v>
      </c>
      <c r="L191" t="n">
        <v>0</v>
      </c>
      <c r="M191" t="n">
        <v>1.926027942573901</v>
      </c>
      <c r="N191" t="n">
        <v>5.199653090016747</v>
      </c>
      <c r="O191" t="n">
        <v>4.534161847057743</v>
      </c>
      <c r="P191" t="n">
        <v>11.99781610403027</v>
      </c>
      <c r="Q191" t="n">
        <v>8.521404234190271</v>
      </c>
      <c r="R191" t="inlineStr">
        <is>
          <t>Operationnel</t>
        </is>
      </c>
      <c r="S191" t="inlineStr"/>
      <c r="T191" t="inlineStr"/>
      <c r="U191" t="inlineStr"/>
      <c r="V191" t="inlineStr"/>
      <c r="W191" t="inlineStr"/>
      <c r="X191" t="inlineStr">
        <is>
          <t>{05-25-2026 retour IHS}: IHS     ;    {05-25-2026 ticket}: INC-20260525-00009316..power fluctuations on site défaut démarrage GE les équipes power IHS suivent le point..Others</t>
        </is>
      </c>
      <c r="Y191" t="inlineStr">
        <is>
          <t>IHS .power fluctuations on site défaut démarrage GE les équipes power IHS suivent le point.</t>
        </is>
      </c>
      <c r="Z191" t="inlineStr"/>
      <c r="AA191" t="inlineStr"/>
      <c r="AB191" t="inlineStr"/>
      <c r="AC191" t="inlineStr"/>
      <c r="AD191" t="inlineStr">
        <is>
          <t>{05-25-2026 retour IHS}: IHS</t>
        </is>
      </c>
      <c r="AE191" t="inlineStr"/>
      <c r="AF191" t="inlineStr"/>
      <c r="AG191" t="inlineStr"/>
      <c r="AH191" t="inlineStr"/>
      <c r="AI191" t="inlineStr"/>
      <c r="AJ191" t="inlineStr"/>
      <c r="AK191" t="inlineStr"/>
      <c r="AL191" t="inlineStr"/>
      <c r="AM191" t="inlineStr"/>
      <c r="AN191" t="inlineStr"/>
      <c r="AO191" t="inlineStr"/>
      <c r="AP191" t="inlineStr"/>
      <c r="AQ191" t="inlineStr">
        <is>
          <t>{05-25-2026 ticket}: INC-20260525-00009316..power fluctuations on site défaut démarrage GE les équipes power IHS suivent le point..Others</t>
        </is>
      </c>
      <c r="AR191" t="inlineStr"/>
    </row>
    <row r="192">
      <c r="A192" t="inlineStr">
        <is>
          <t>Ayene-II</t>
        </is>
      </c>
      <c r="B192" t="inlineStr">
        <is>
          <t>CTR_791</t>
        </is>
      </c>
      <c r="C192" t="inlineStr">
        <is>
          <t>Yaounde</t>
        </is>
      </c>
      <c r="D192" t="inlineStr">
        <is>
          <t>CAMUSAT</t>
        </is>
      </c>
      <c r="E192" t="inlineStr">
        <is>
          <t>Good Grid + GE</t>
        </is>
      </c>
      <c r="F192" t="inlineStr">
        <is>
          <t>CENTRE</t>
        </is>
      </c>
      <c r="G192" t="inlineStr">
        <is>
          <t>Yaounde</t>
        </is>
      </c>
      <c r="H192" t="inlineStr">
        <is>
          <t>ZTE</t>
        </is>
      </c>
      <c r="I192" t="n">
        <v>0</v>
      </c>
      <c r="J192" t="n">
        <v>22.63271438477541</v>
      </c>
      <c r="K192" t="n">
        <v>0</v>
      </c>
      <c r="L192" t="n">
        <v>0</v>
      </c>
      <c r="M192" t="n">
        <v>0.06358205420151587</v>
      </c>
      <c r="N192" t="n">
        <v>6.005604314792833</v>
      </c>
      <c r="O192" t="n">
        <v>5.310176259983477</v>
      </c>
      <c r="P192" t="n">
        <v>11.10508501380051</v>
      </c>
      <c r="Q192" t="n">
        <v>8.431461934235646</v>
      </c>
      <c r="R192" t="inlineStr">
        <is>
          <t>Operationnel</t>
        </is>
      </c>
      <c r="S192" t="inlineStr"/>
      <c r="T192" t="inlineStr"/>
      <c r="U192" t="inlineStr"/>
      <c r="V192" t="inlineStr"/>
      <c r="W192" t="inlineStr"/>
      <c r="X192" t="inlineStr">
        <is>
          <t>{05-25-2026 top offenders}: 25.05.26: BO TX analysis ongoing     ;    {05-25-2026 retour CAMUSAT}: No power issue      ;    {05-25-2026 ocm ran 22H}: 25.05.26: BO TX analysis ongoing     ;    {05-25-2026 ticket}: INC-20260525-00016907..Grid Outage</t>
        </is>
      </c>
      <c r="Y192" t="inlineStr">
        <is>
          <t>25.05.26 BO TX analysis ongoing No power issue 25.05.26 BO TX analysis ongoing .Grid Outage</t>
        </is>
      </c>
      <c r="Z192" t="inlineStr"/>
      <c r="AA192" t="inlineStr"/>
      <c r="AB192" t="inlineStr">
        <is>
          <t>{05-25-2026 top offenders}: 25.05.26: BO TX analysis ongoing</t>
        </is>
      </c>
      <c r="AC192" t="inlineStr">
        <is>
          <t xml:space="preserve">{05-25-2026 retour CAMUSAT}: No power issue </t>
        </is>
      </c>
      <c r="AD192" t="inlineStr"/>
      <c r="AE192" t="inlineStr"/>
      <c r="AF192" t="inlineStr"/>
      <c r="AG192" t="inlineStr"/>
      <c r="AH192" t="inlineStr"/>
      <c r="AI192" t="inlineStr"/>
      <c r="AJ192" t="inlineStr"/>
      <c r="AK192" t="inlineStr"/>
      <c r="AL192" t="inlineStr"/>
      <c r="AM192" t="inlineStr"/>
      <c r="AN192" t="inlineStr"/>
      <c r="AO192" t="inlineStr">
        <is>
          <t>{05-25-2026 ocm ran 22H}: 25.05.26: BO TX analysis ongoing</t>
        </is>
      </c>
      <c r="AP192" t="inlineStr"/>
      <c r="AQ192" t="inlineStr">
        <is>
          <t>{05-25-2026 ticket}: INC-20260525-00016907..Grid Outage</t>
        </is>
      </c>
      <c r="AR192" t="inlineStr"/>
    </row>
    <row r="193">
      <c r="A193" t="inlineStr">
        <is>
          <t>Bastos-ART</t>
        </is>
      </c>
      <c r="B193" t="inlineStr">
        <is>
          <t>CTR_722</t>
        </is>
      </c>
      <c r="C193" t="inlineStr">
        <is>
          <t>Yaounde</t>
        </is>
      </c>
      <c r="D193" t="inlineStr">
        <is>
          <t>CAMUSAT</t>
        </is>
      </c>
      <c r="E193" t="inlineStr">
        <is>
          <t>Good Grid + GE</t>
        </is>
      </c>
      <c r="F193" t="inlineStr">
        <is>
          <t>CENTRE</t>
        </is>
      </c>
      <c r="G193" t="inlineStr">
        <is>
          <t>Yaounde</t>
        </is>
      </c>
      <c r="H193" t="inlineStr">
        <is>
          <t>NOKIA</t>
        </is>
      </c>
      <c r="I193" t="n">
        <v>3.0819907086376</v>
      </c>
      <c r="J193" t="n">
        <v>5.699276158427758</v>
      </c>
      <c r="K193" t="n">
        <v>3.0819907086376</v>
      </c>
      <c r="L193" t="n">
        <v>3.081964549064035</v>
      </c>
      <c r="M193" t="n">
        <v>3.0819907086376</v>
      </c>
      <c r="N193" t="n">
        <v>0</v>
      </c>
      <c r="O193" t="n">
        <v>15.33285902261391</v>
      </c>
      <c r="P193" t="n">
        <v>6.277555202060994</v>
      </c>
      <c r="Q193" t="n">
        <v>8.421090836194081</v>
      </c>
      <c r="R193" t="inlineStr">
        <is>
          <t>EXCLU</t>
        </is>
      </c>
      <c r="S193" t="inlineStr"/>
      <c r="T193" t="inlineStr"/>
      <c r="U193" t="inlineStr"/>
      <c r="V193" t="inlineStr"/>
      <c r="W193" t="inlineStr"/>
      <c r="X193" t="inlineStr">
        <is>
          <t>{05-25-2026 ocm ran 22H}: Impacted by CTR_344_Z_Dragage     ;    {05-25-2026 ocm ran 17H}: Power status check Ongoing     ;    {05-25-2026 ticket}: INC-20260525-00016739..Transmission issue impacted by CTR_344_Z_Dragage(CTR-344)/Main site up awaited..Auto TT closure RCA..Others Transmission equipement fault..user:OCM_NOC.CAMUSAT</t>
        </is>
      </c>
      <c r="Y193" t="inlineStr">
        <is>
          <t>Impacted by CTR_344_Z_Dragage .Transmission issue impacted by CTR_344_Z_Dragage(CTR-344)/Main site up awaited.Auto TT closure RCA.user OCM_NOC.CAMUSAT</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{05-25-2026 ocm ran 22H}: Impacted by CTR_344_Z_Dragage</t>
        </is>
      </c>
      <c r="AP193" t="inlineStr">
        <is>
          <t>{05-25-2026 ocm ran 17H}: Power status check Ongoing</t>
        </is>
      </c>
      <c r="AQ193" t="inlineStr">
        <is>
          <t>{05-25-2026 ticket}: INC-20260525-00016739..Transmission issue impacted by CTR_344_Z_Dragage(CTR-344)/Main site up awaited..Auto TT closure RCA..Others Transmission equipement fault..user:OCM_NOC.CAMUSAT</t>
        </is>
      </c>
      <c r="AR193" t="inlineStr"/>
    </row>
    <row r="194">
      <c r="A194" t="inlineStr">
        <is>
          <t>Buea-Low-Boduma-MTN</t>
        </is>
      </c>
      <c r="B194" t="inlineStr">
        <is>
          <t>SUO_170</t>
        </is>
      </c>
      <c r="C194" t="inlineStr">
        <is>
          <t>SUD-OUEST</t>
        </is>
      </c>
      <c r="D194" t="inlineStr">
        <is>
          <t>MTN sharing</t>
        </is>
      </c>
      <c r="E194" t="inlineStr"/>
      <c r="F194" t="inlineStr">
        <is>
          <t>SUD-OUEST</t>
        </is>
      </c>
      <c r="G194" t="inlineStr">
        <is>
          <t>Buea</t>
        </is>
      </c>
      <c r="H194" t="inlineStr">
        <is>
          <t>Huawei</t>
        </is>
      </c>
      <c r="I194" t="n">
        <v>10.18240291296767</v>
      </c>
      <c r="J194" t="n">
        <v>10.85032659595415</v>
      </c>
      <c r="K194" t="n">
        <v>9.920994170069601</v>
      </c>
      <c r="L194" t="n">
        <v>7.274393393316267</v>
      </c>
      <c r="M194" t="n">
        <v>9.975658685112418</v>
      </c>
      <c r="N194" t="n">
        <v>11.66837024247729</v>
      </c>
      <c r="O194" t="n">
        <v>19.8556518627321</v>
      </c>
      <c r="P194" t="n">
        <v>0.06754564238607735</v>
      </c>
      <c r="Q194" t="n">
        <v>8.367237817214704</v>
      </c>
      <c r="R194" t="inlineStr">
        <is>
          <t>Operationnel</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row>
    <row r="195">
      <c r="A195" t="inlineStr">
        <is>
          <t>Bois-Des-Singes-II-MTN</t>
        </is>
      </c>
      <c r="B195" t="inlineStr">
        <is>
          <t>LIT_753</t>
        </is>
      </c>
      <c r="C195" t="inlineStr">
        <is>
          <t>Douala</t>
        </is>
      </c>
      <c r="D195" t="inlineStr">
        <is>
          <t>MTN</t>
        </is>
      </c>
      <c r="E195" t="inlineStr"/>
      <c r="F195" t="inlineStr">
        <is>
          <t>LITTORAL</t>
        </is>
      </c>
      <c r="G195" t="inlineStr">
        <is>
          <t>Douala</t>
        </is>
      </c>
      <c r="H195" t="inlineStr">
        <is>
          <t>ZTE</t>
        </is>
      </c>
      <c r="I195" t="n">
        <v>0</v>
      </c>
      <c r="J195" t="n">
        <v>0.683154839869533</v>
      </c>
      <c r="K195" t="n">
        <v>0</v>
      </c>
      <c r="L195" t="n">
        <v>0.9399799676400341</v>
      </c>
      <c r="M195" t="n">
        <v>8.028710195672213</v>
      </c>
      <c r="N195" t="n">
        <v>6.003730880983497</v>
      </c>
      <c r="O195" t="n">
        <v>6.463864833345234</v>
      </c>
      <c r="P195" t="n">
        <v>9.843640216955919</v>
      </c>
      <c r="Q195" t="n">
        <v>8.160671940142622</v>
      </c>
      <c r="R195" t="inlineStr">
        <is>
          <t>Operationnel</t>
        </is>
      </c>
      <c r="S195" t="inlineStr"/>
      <c r="T195" t="inlineStr"/>
      <c r="U195" t="inlineStr"/>
      <c r="V195" t="inlineStr"/>
      <c r="W195" t="inlineStr"/>
      <c r="X195" t="inlineStr">
        <is>
          <t>{05-25-2026 top offenders}: 25/05/2026 : Power issue || Mail sent to MTN     ;    {05/25/2026 cell zte}: 25/05/2026 : Power issue || Mail sent to MTN</t>
        </is>
      </c>
      <c r="Y195" t="inlineStr">
        <is>
          <t>25/05/2026 Power issue || Mail sent to MTN 25/05/2026 Power issue || Mail sent to MTN</t>
        </is>
      </c>
      <c r="Z195" t="inlineStr"/>
      <c r="AA195" t="inlineStr"/>
      <c r="AB195" t="inlineStr">
        <is>
          <t>{05-25-2026 top offenders}: 25/05/2026 : Power issue || Mail sent to MTN</t>
        </is>
      </c>
      <c r="AC195" t="inlineStr"/>
      <c r="AD195" t="inlineStr"/>
      <c r="AE195" t="inlineStr"/>
      <c r="AF195" t="inlineStr"/>
      <c r="AG195" t="inlineStr"/>
      <c r="AH195" t="inlineStr"/>
      <c r="AI195" t="inlineStr"/>
      <c r="AJ195" t="inlineStr"/>
      <c r="AK195" t="inlineStr">
        <is>
          <t>{05/25/2026 cell zte}: 25/05/2026 : Power issue || Mail sent to MTN</t>
        </is>
      </c>
      <c r="AL195" t="inlineStr"/>
      <c r="AM195" t="inlineStr"/>
      <c r="AN195" t="inlineStr"/>
      <c r="AO195" t="inlineStr"/>
      <c r="AP195" t="inlineStr"/>
      <c r="AQ195" t="inlineStr"/>
      <c r="AR195" t="inlineStr"/>
    </row>
    <row r="196">
      <c r="A196" t="inlineStr">
        <is>
          <t>Bertoua-Camp-SIC-IHS</t>
        </is>
      </c>
      <c r="B196" t="inlineStr">
        <is>
          <t>EST_025</t>
        </is>
      </c>
      <c r="C196" t="inlineStr">
        <is>
          <t>CENTRE</t>
        </is>
      </c>
      <c r="D196" t="inlineStr">
        <is>
          <t>IHS</t>
        </is>
      </c>
      <c r="E196" t="inlineStr">
        <is>
          <t>Grid-Gen</t>
        </is>
      </c>
      <c r="F196" t="inlineStr">
        <is>
          <t>EST</t>
        </is>
      </c>
      <c r="G196" t="inlineStr">
        <is>
          <t>Bertoua</t>
        </is>
      </c>
      <c r="H196" t="inlineStr">
        <is>
          <t>ZTE</t>
        </is>
      </c>
      <c r="I196" t="n">
        <v>41.60567069882117</v>
      </c>
      <c r="J196" t="n">
        <v>31.34634509307057</v>
      </c>
      <c r="K196" t="n">
        <v>0</v>
      </c>
      <c r="L196" t="n">
        <v>0</v>
      </c>
      <c r="M196" t="n">
        <v>32.6056799730619</v>
      </c>
      <c r="N196" t="n">
        <v>5.600942611976388</v>
      </c>
      <c r="O196" t="n">
        <v>9.637411555501155</v>
      </c>
      <c r="P196" t="n">
        <v>7.871444260583494</v>
      </c>
      <c r="Q196" t="n">
        <v>8.14007242468603</v>
      </c>
      <c r="R196" t="inlineStr">
        <is>
          <t>Operationnel</t>
        </is>
      </c>
      <c r="S196" t="inlineStr"/>
      <c r="T196" t="inlineStr"/>
      <c r="U196" t="inlineStr"/>
      <c r="V196" t="inlineStr"/>
      <c r="W196" t="inlineStr"/>
      <c r="X196" t="inlineStr">
        <is>
          <t>{05-25-2026 top offenders}: Power status check Ongoing     ;    {None hourly IHS}: 25/05/2026 10:39..3:21:00..44..FME is informed and managing     ;    {05-25-2026 ticket}: INC-20260525-00009589..Grid Outage</t>
        </is>
      </c>
      <c r="Y196" t="inlineStr">
        <is>
          <t>25/05/2026 10 39.3 21 00.44.FME is informed and managing .Grid Outage</t>
        </is>
      </c>
      <c r="Z196" t="inlineStr"/>
      <c r="AA196" t="inlineStr"/>
      <c r="AB196" t="inlineStr">
        <is>
          <t>{05-25-2026 top offenders}: Power status check Ongoing</t>
        </is>
      </c>
      <c r="AC196" t="inlineStr"/>
      <c r="AD196" t="inlineStr"/>
      <c r="AE196" t="inlineStr">
        <is>
          <t>{None hourly IHS}: 25/05/2026 10:39..3:21:00..44..FME is informed and managing</t>
        </is>
      </c>
      <c r="AF196" t="inlineStr"/>
      <c r="AG196" t="inlineStr"/>
      <c r="AH196" t="inlineStr"/>
      <c r="AI196" t="inlineStr"/>
      <c r="AJ196" t="inlineStr"/>
      <c r="AK196" t="inlineStr"/>
      <c r="AL196" t="inlineStr"/>
      <c r="AM196" t="inlineStr"/>
      <c r="AN196" t="inlineStr"/>
      <c r="AO196" t="inlineStr"/>
      <c r="AP196" t="inlineStr"/>
      <c r="AQ196" t="inlineStr">
        <is>
          <t>{05-25-2026 ticket}: INC-20260525-00009589..Grid Outage</t>
        </is>
      </c>
      <c r="AR196" t="inlineStr"/>
    </row>
    <row r="197">
      <c r="A197" t="inlineStr">
        <is>
          <t>Abuh</t>
        </is>
      </c>
      <c r="B197" t="inlineStr">
        <is>
          <t>NRO_079</t>
        </is>
      </c>
      <c r="C197" t="inlineStr">
        <is>
          <t>NORD-OUEST</t>
        </is>
      </c>
      <c r="D197" t="inlineStr">
        <is>
          <t>IHS</t>
        </is>
      </c>
      <c r="E197" t="inlineStr">
        <is>
          <t>Hybrid-Gen</t>
        </is>
      </c>
      <c r="F197" t="inlineStr">
        <is>
          <t>NORD-OUEST</t>
        </is>
      </c>
      <c r="G197" t="inlineStr">
        <is>
          <t>Abuh</t>
        </is>
      </c>
      <c r="H197" t="inlineStr">
        <is>
          <t>NOKIA</t>
        </is>
      </c>
      <c r="I197" t="n">
        <v>0.001337630873804731</v>
      </c>
      <c r="J197" t="n">
        <v>0.4706498817177607</v>
      </c>
      <c r="K197" t="n">
        <v>0.3587347652761013</v>
      </c>
      <c r="L197" t="n">
        <v>0.646450248692332</v>
      </c>
      <c r="M197" t="n">
        <v>3.468940567811822</v>
      </c>
      <c r="N197" t="n">
        <v>28.24251425808025</v>
      </c>
      <c r="O197" t="n">
        <v>12.1534152921856</v>
      </c>
      <c r="P197" t="n">
        <v>0</v>
      </c>
      <c r="Q197" t="n">
        <v>8.113070116113494</v>
      </c>
      <c r="R197" t="inlineStr">
        <is>
          <t>Insecurity</t>
        </is>
      </c>
      <c r="S197" t="inlineStr"/>
      <c r="T197" t="inlineStr"/>
      <c r="U197" t="inlineStr"/>
      <c r="V197" t="inlineStr"/>
      <c r="W197" t="inlineStr"/>
      <c r="X197" t="inlineStr">
        <is>
          <t>{05-25-2026 ocm ran 17H}: P2 Incident at Fundong_L18L8_NRO_015; Power issue; IHS     ;    {05-25-2026 ticket}: INC-20260525-00023895..Grid Outage</t>
        </is>
      </c>
      <c r="Y197" t="inlineStr">
        <is>
          <t>P2 Incident at Fundong_L18L8_NRO_015; Power issue; IHS .Grid Outage</t>
        </is>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{05-25-2026 ocm ran 17H}: P2 Incident at Fundong_L18L8_NRO_015; Power issue; IHS</t>
        </is>
      </c>
      <c r="AQ197" t="inlineStr">
        <is>
          <t>{05-25-2026 ticket}: INC-20260525-00023895..Grid Outage</t>
        </is>
      </c>
      <c r="AR197" t="inlineStr"/>
    </row>
    <row r="198">
      <c r="A198" t="inlineStr">
        <is>
          <t>Fundong</t>
        </is>
      </c>
      <c r="B198" t="inlineStr">
        <is>
          <t>NRO_015</t>
        </is>
      </c>
      <c r="C198" t="inlineStr">
        <is>
          <t>NORD-OUEST</t>
        </is>
      </c>
      <c r="D198" t="inlineStr">
        <is>
          <t>IHS</t>
        </is>
      </c>
      <c r="E198" t="inlineStr">
        <is>
          <t>Grid-Gen</t>
        </is>
      </c>
      <c r="F198" t="inlineStr">
        <is>
          <t>NORD-OUEST</t>
        </is>
      </c>
      <c r="G198" t="inlineStr">
        <is>
          <t>Fundong</t>
        </is>
      </c>
      <c r="H198" t="inlineStr">
        <is>
          <t>NOKIA</t>
        </is>
      </c>
      <c r="I198" t="n">
        <v>0.0002675261747609478</v>
      </c>
      <c r="J198" t="n">
        <v>0.0001961858614915315</v>
      </c>
      <c r="K198" t="n">
        <v>0.8122725614325556</v>
      </c>
      <c r="L198" t="n">
        <v>0.00157399442760959</v>
      </c>
      <c r="M198" t="n">
        <v>8.779717276650487</v>
      </c>
      <c r="N198" t="n">
        <v>27.42856971571766</v>
      </c>
      <c r="O198" t="n">
        <v>11.67501385531313</v>
      </c>
      <c r="P198" t="n">
        <v>0.498242148554072</v>
      </c>
      <c r="Q198" t="n">
        <v>8.096061610274663</v>
      </c>
      <c r="R198" t="inlineStr">
        <is>
          <t>Insecurity</t>
        </is>
      </c>
      <c r="S198" t="inlineStr"/>
      <c r="T198" t="inlineStr"/>
      <c r="U198" t="inlineStr"/>
      <c r="V198" t="inlineStr"/>
      <c r="W198" t="inlineStr"/>
      <c r="X198" t="inlineStr">
        <is>
          <t>{05-25-2026 ocm ran 17H}: P2 Incident at Fundong_L18L8_NRO_015; Power issue; IHS</t>
        </is>
      </c>
      <c r="Y198" t="inlineStr">
        <is>
          <t>P2 Incident at Fundong_L18L8_NRO_015; Power issue; IHS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{05-25-2026 ocm ran 17H}: P2 Incident at Fundong_L18L8_NRO_015; Power issue; IHS</t>
        </is>
      </c>
      <c r="AQ198" t="inlineStr"/>
      <c r="AR198" t="inlineStr"/>
    </row>
    <row r="199">
      <c r="A199" t="inlineStr">
        <is>
          <t>Tchatibali</t>
        </is>
      </c>
      <c r="B199" t="inlineStr">
        <is>
          <t>EXN_017</t>
        </is>
      </c>
      <c r="C199" t="inlineStr">
        <is>
          <t>EXTREME-NORD</t>
        </is>
      </c>
      <c r="D199" t="inlineStr">
        <is>
          <t>IHS</t>
        </is>
      </c>
      <c r="E199" t="inlineStr">
        <is>
          <t>Grid-Gen</t>
        </is>
      </c>
      <c r="F199" t="inlineStr">
        <is>
          <t>EXTREME-NORD</t>
        </is>
      </c>
      <c r="G199" t="inlineStr">
        <is>
          <t>Tchatibali</t>
        </is>
      </c>
      <c r="H199" t="inlineStr">
        <is>
          <t>NOKIA</t>
        </is>
      </c>
      <c r="I199" t="n">
        <v>0</v>
      </c>
      <c r="J199" t="n">
        <v>0</v>
      </c>
      <c r="K199" t="n">
        <v>0.5394857487336244</v>
      </c>
      <c r="L199" t="n">
        <v>0.1771057911852661</v>
      </c>
      <c r="M199" t="n">
        <v>3.245653316502611</v>
      </c>
      <c r="N199" t="n">
        <v>0</v>
      </c>
      <c r="O199" t="n">
        <v>13.83004192588137</v>
      </c>
      <c r="P199" t="n">
        <v>6.313551044395853</v>
      </c>
      <c r="Q199" t="n">
        <v>7.935349223232854</v>
      </c>
      <c r="R199" t="inlineStr">
        <is>
          <t>Insecurity</t>
        </is>
      </c>
      <c r="S199" t="inlineStr"/>
      <c r="T199" t="inlineStr"/>
      <c r="U199" t="inlineStr"/>
      <c r="V199" t="inlineStr"/>
      <c r="W199" t="inlineStr"/>
      <c r="X199" t="inlineStr">
        <is>
          <t>{05-25-2026 ocm ran 17H}: P1 Incident at EXN_074_H_Dziguilao; Power issue; IHS     ;    {05-25-2026 ticket}: INC-20260525-00010059..Auto TT closure RCA..Others</t>
        </is>
      </c>
      <c r="Y199" t="inlineStr">
        <is>
          <t>P1 Incident at EXN_074_H_Dziguilao; Power issue; IHS .Auto TT closure RCA.</t>
        </is>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{05-25-2026 ocm ran 17H}: P1 Incident at EXN_074_H_Dziguilao; Power issue; IHS</t>
        </is>
      </c>
      <c r="AQ199" t="inlineStr">
        <is>
          <t>{05-25-2026 ticket}: INC-20260525-00010059..Auto TT closure RCA..Others</t>
        </is>
      </c>
      <c r="AR199" t="inlineStr"/>
    </row>
    <row r="200">
      <c r="A200" t="inlineStr">
        <is>
          <t>Yagoua-Ville</t>
        </is>
      </c>
      <c r="B200" t="inlineStr">
        <is>
          <t>EXN_096</t>
        </is>
      </c>
      <c r="C200" t="inlineStr">
        <is>
          <t>EXTREME-NORD</t>
        </is>
      </c>
      <c r="D200" t="inlineStr">
        <is>
          <t>IHS</t>
        </is>
      </c>
      <c r="E200" t="inlineStr">
        <is>
          <t>Grid-Gen</t>
        </is>
      </c>
      <c r="F200" t="inlineStr">
        <is>
          <t>EXTREME-NORD</t>
        </is>
      </c>
      <c r="G200" t="inlineStr">
        <is>
          <t>Yagoua</t>
        </is>
      </c>
      <c r="H200" t="inlineStr">
        <is>
          <t>Huawei</t>
        </is>
      </c>
      <c r="I200" t="n">
        <v>0.9217168474430203</v>
      </c>
      <c r="J200" t="n">
        <v>0.06063926627914609</v>
      </c>
      <c r="K200" t="n">
        <v>0.4346408585949383</v>
      </c>
      <c r="L200" t="n">
        <v>0.1789393407584332</v>
      </c>
      <c r="M200" t="n">
        <v>5.333330479720802</v>
      </c>
      <c r="N200" t="n">
        <v>9.623205000619482</v>
      </c>
      <c r="O200" t="n">
        <v>16.00995244992537</v>
      </c>
      <c r="P200" t="n">
        <v>2.156501509191953</v>
      </c>
      <c r="Q200" t="n">
        <v>7.873509344154232</v>
      </c>
      <c r="R200" t="inlineStr">
        <is>
          <t>Insecurity</t>
        </is>
      </c>
      <c r="S200" t="inlineStr"/>
      <c r="T200" t="inlineStr"/>
      <c r="U200" t="inlineStr"/>
      <c r="V200" t="inlineStr"/>
      <c r="W200" t="inlineStr"/>
      <c r="X200" t="inlineStr">
        <is>
          <t>{None hourly IHS}: 25/05/2026 01:47..0:27:53..43.3V..Mamoudou is going to site ETA 02:30.</t>
        </is>
      </c>
      <c r="Y200" t="inlineStr">
        <is>
          <t>25/05/2026 01 47.0 27 53.43.3V.Mamoudou is going to site ETA 02 30.</t>
        </is>
      </c>
      <c r="Z200" t="inlineStr"/>
      <c r="AA200" t="inlineStr"/>
      <c r="AB200" t="inlineStr"/>
      <c r="AC200" t="inlineStr"/>
      <c r="AD200" t="inlineStr"/>
      <c r="AE200" t="inlineStr">
        <is>
          <t>{None hourly IHS}: 25/05/2026 01:47..0:27:53..43.3V..Mamoudou is going to site ETA 02:30.</t>
        </is>
      </c>
      <c r="AF200" t="inlineStr"/>
      <c r="AG200" t="inlineStr"/>
      <c r="AH200" t="inlineStr"/>
      <c r="AI200" t="inlineStr"/>
      <c r="AJ200" t="inlineStr"/>
      <c r="AK200" t="inlineStr"/>
      <c r="AL200" t="inlineStr"/>
      <c r="AM200" t="inlineStr"/>
      <c r="AN200" t="inlineStr"/>
      <c r="AO200" t="inlineStr"/>
      <c r="AP200" t="inlineStr"/>
      <c r="AQ200" t="inlineStr"/>
      <c r="AR200" t="inlineStr"/>
    </row>
    <row r="201">
      <c r="A201" t="inlineStr">
        <is>
          <t>Njinikom</t>
        </is>
      </c>
      <c r="B201" t="inlineStr">
        <is>
          <t>NRO_081</t>
        </is>
      </c>
      <c r="C201" t="inlineStr">
        <is>
          <t>NORD-OUEST</t>
        </is>
      </c>
      <c r="D201" t="inlineStr">
        <is>
          <t>IHS</t>
        </is>
      </c>
      <c r="E201" t="inlineStr">
        <is>
          <t>Grid-Gen</t>
        </is>
      </c>
      <c r="F201" t="inlineStr">
        <is>
          <t>NORD-OUEST</t>
        </is>
      </c>
      <c r="G201" t="inlineStr">
        <is>
          <t>Njinikom</t>
        </is>
      </c>
      <c r="H201" t="inlineStr">
        <is>
          <t>NOKIA</t>
        </is>
      </c>
      <c r="I201" t="n">
        <v>0</v>
      </c>
      <c r="J201" t="n">
        <v>0</v>
      </c>
      <c r="K201" t="n">
        <v>0.1754258303299059</v>
      </c>
      <c r="L201" t="n">
        <v>0.2181051727434347</v>
      </c>
      <c r="M201" t="n">
        <v>3.332805415015139</v>
      </c>
      <c r="N201" t="n">
        <v>27.43044314952699</v>
      </c>
      <c r="O201" t="n">
        <v>11.68324841641421</v>
      </c>
      <c r="P201" t="n">
        <v>0</v>
      </c>
      <c r="Q201" t="n">
        <v>7.839265993784832</v>
      </c>
      <c r="R201" t="inlineStr">
        <is>
          <t>Insecurity</t>
        </is>
      </c>
      <c r="S201" t="inlineStr"/>
      <c r="T201" t="inlineStr"/>
      <c r="U201" t="inlineStr"/>
      <c r="V201" t="inlineStr"/>
      <c r="W201" t="inlineStr"/>
      <c r="X201" t="inlineStr">
        <is>
          <t>{05-25-2026 ocm ran 17H}: P2 Incident at Fundong_L18L8_NRO_015; Power issue; IHS</t>
        </is>
      </c>
      <c r="Y201" t="inlineStr">
        <is>
          <t>P2 Incident at Fundong_L18L8_NRO_015; Power issue; IHS</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{05-25-2026 ocm ran 17H}: P2 Incident at Fundong_L18L8_NRO_015; Power issue; IHS</t>
        </is>
      </c>
      <c r="AQ201" t="inlineStr"/>
      <c r="AR201" t="inlineStr"/>
    </row>
    <row r="202">
      <c r="A202" t="inlineStr">
        <is>
          <t>Muchemni-Fundong-IHS</t>
        </is>
      </c>
      <c r="B202" t="inlineStr">
        <is>
          <t>NRO_041</t>
        </is>
      </c>
      <c r="C202" t="inlineStr">
        <is>
          <t>NORD-OUEST</t>
        </is>
      </c>
      <c r="D202" t="inlineStr">
        <is>
          <t>IHS</t>
        </is>
      </c>
      <c r="E202" t="inlineStr">
        <is>
          <t>Grid-Gen</t>
        </is>
      </c>
      <c r="F202" t="inlineStr">
        <is>
          <t>NORD-OUEST</t>
        </is>
      </c>
      <c r="G202" t="inlineStr">
        <is>
          <t>Fundong</t>
        </is>
      </c>
      <c r="H202" t="inlineStr">
        <is>
          <t>NOKIA</t>
        </is>
      </c>
      <c r="I202" t="n">
        <v>0</v>
      </c>
      <c r="J202" t="n">
        <v>0</v>
      </c>
      <c r="K202" t="n">
        <v>0.1728397439738837</v>
      </c>
      <c r="L202" t="n">
        <v>0.001694332440152762</v>
      </c>
      <c r="M202" t="n">
        <v>3.349623893868443</v>
      </c>
      <c r="N202" t="n">
        <v>27.41995192019472</v>
      </c>
      <c r="O202" t="n">
        <v>11.68138899939139</v>
      </c>
      <c r="P202" t="n">
        <v>0</v>
      </c>
      <c r="Q202" t="n">
        <v>7.837143619465063</v>
      </c>
      <c r="R202" t="inlineStr">
        <is>
          <t>Insecurity</t>
        </is>
      </c>
      <c r="S202" t="inlineStr"/>
      <c r="T202" t="inlineStr"/>
      <c r="U202" t="inlineStr"/>
      <c r="V202" t="inlineStr"/>
      <c r="W202" t="inlineStr"/>
      <c r="X202" t="inlineStr">
        <is>
          <t>{05-25-2026 ocm ran 17H}: P2 Incident at Fundong_L18L8_NRO_015; Power issue; IHS</t>
        </is>
      </c>
      <c r="Y202" t="inlineStr">
        <is>
          <t>P2 Incident at Fundong_L18L8_NRO_015; Power issue; IHS</t>
        </is>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{05-25-2026 ocm ran 17H}: P2 Incident at Fundong_L18L8_NRO_015; Power issue; IHS</t>
        </is>
      </c>
      <c r="AQ202" t="inlineStr"/>
      <c r="AR202" t="inlineStr"/>
    </row>
    <row r="203">
      <c r="A203" t="inlineStr">
        <is>
          <t>Ekang-I</t>
        </is>
      </c>
      <c r="B203" t="inlineStr">
        <is>
          <t>CTR_717</t>
        </is>
      </c>
      <c r="C203" t="inlineStr">
        <is>
          <t>CENTRE</t>
        </is>
      </c>
      <c r="D203" t="inlineStr">
        <is>
          <t>CAMUSAT</t>
        </is>
      </c>
      <c r="E203" t="inlineStr">
        <is>
          <t>Good Grid + GE</t>
        </is>
      </c>
      <c r="F203" t="inlineStr">
        <is>
          <t>CENTRE</t>
        </is>
      </c>
      <c r="G203" t="inlineStr">
        <is>
          <t>Ekang</t>
        </is>
      </c>
      <c r="H203" t="inlineStr">
        <is>
          <t>ZTE</t>
        </is>
      </c>
      <c r="I203" t="n">
        <v>0.8132082309599837</v>
      </c>
      <c r="J203" t="n">
        <v>1.989431645992244</v>
      </c>
      <c r="K203" t="n">
        <v>1.260315809298782</v>
      </c>
      <c r="L203" t="n">
        <v>0.7922520139370438</v>
      </c>
      <c r="M203" t="n">
        <v>0.7897551029726081</v>
      </c>
      <c r="N203" t="n">
        <v>6.099775587608759</v>
      </c>
      <c r="O203" t="n">
        <v>5.566403925728721</v>
      </c>
      <c r="P203" t="n">
        <v>9.462580192922667</v>
      </c>
      <c r="Q203" t="n">
        <v>7.674380694740506</v>
      </c>
      <c r="R203" t="inlineStr">
        <is>
          <t>Operationnel</t>
        </is>
      </c>
      <c r="S203" t="inlineStr"/>
      <c r="T203" t="inlineStr"/>
      <c r="U203" t="inlineStr"/>
      <c r="V203" t="inlineStr"/>
      <c r="W203" t="inlineStr"/>
      <c r="X203" t="inlineStr">
        <is>
          <t>{05-25-2026 retour CAMUSAT}: No power issue      ;    {05-25-2026 ticket}: INC-20260525-00019504..Others</t>
        </is>
      </c>
      <c r="Y203" t="inlineStr">
        <is>
          <t>No power issue .</t>
        </is>
      </c>
      <c r="Z203" t="inlineStr"/>
      <c r="AA203" t="inlineStr"/>
      <c r="AB203" t="inlineStr"/>
      <c r="AC203" t="inlineStr">
        <is>
          <t xml:space="preserve">{05-25-2026 retour CAMUSAT}: No power issue </t>
        </is>
      </c>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is>
          <t>{05-25-2026 ticket}: INC-20260525-00019504..Others</t>
        </is>
      </c>
      <c r="AR203" t="inlineStr"/>
    </row>
    <row r="204">
      <c r="A204" t="inlineStr">
        <is>
          <t>Limbe-GRA-IHS</t>
        </is>
      </c>
      <c r="B204" t="inlineStr">
        <is>
          <t>SUO_192</t>
        </is>
      </c>
      <c r="C204" t="inlineStr">
        <is>
          <t>SUD-OUEST</t>
        </is>
      </c>
      <c r="D204" t="inlineStr">
        <is>
          <t>IHS</t>
        </is>
      </c>
      <c r="E204" t="inlineStr"/>
      <c r="F204" t="inlineStr">
        <is>
          <t>SUD-OUEST</t>
        </is>
      </c>
      <c r="G204" t="inlineStr">
        <is>
          <t>Limbe</t>
        </is>
      </c>
      <c r="H204" t="inlineStr">
        <is>
          <t>Huawei</t>
        </is>
      </c>
      <c r="I204" t="n">
        <v>0</v>
      </c>
      <c r="J204" t="n">
        <v>0</v>
      </c>
      <c r="K204" t="n">
        <v>0</v>
      </c>
      <c r="L204" t="n">
        <v>0</v>
      </c>
      <c r="M204" t="n">
        <v>8.088118841547457</v>
      </c>
      <c r="N204" t="n">
        <v>5.32742127581342</v>
      </c>
      <c r="O204" t="n">
        <v>4.527946081581444</v>
      </c>
      <c r="P204" t="n">
        <v>10.19682697590327</v>
      </c>
      <c r="Q204" t="n">
        <v>7.598367590951764</v>
      </c>
      <c r="R204" t="inlineStr">
        <is>
          <t>Operationnel</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row>
    <row r="205">
      <c r="A205" t="inlineStr">
        <is>
          <t>Nkoulou-II</t>
        </is>
      </c>
      <c r="B205" t="inlineStr">
        <is>
          <t>CTR_777</t>
        </is>
      </c>
      <c r="C205" t="inlineStr">
        <is>
          <t>Yaounde</t>
        </is>
      </c>
      <c r="D205" t="inlineStr">
        <is>
          <t>CAMUSAT</t>
        </is>
      </c>
      <c r="E205" t="inlineStr">
        <is>
          <t>Good Grid + GE</t>
        </is>
      </c>
      <c r="F205" t="inlineStr">
        <is>
          <t>CENTRE</t>
        </is>
      </c>
      <c r="G205" t="inlineStr">
        <is>
          <t>Yaounde</t>
        </is>
      </c>
      <c r="H205" t="inlineStr">
        <is>
          <t>ZTE</t>
        </is>
      </c>
      <c r="I205" t="n">
        <v>0</v>
      </c>
      <c r="J205" t="n">
        <v>0</v>
      </c>
      <c r="K205" t="n">
        <v>0</v>
      </c>
      <c r="L205" t="n">
        <v>0</v>
      </c>
      <c r="M205" t="n">
        <v>0.0545931747295484</v>
      </c>
      <c r="N205" t="n">
        <v>7.115301607855832</v>
      </c>
      <c r="O205" t="n">
        <v>5.266984658853289</v>
      </c>
      <c r="P205" t="n">
        <v>8.864724307074052</v>
      </c>
      <c r="Q205" t="n">
        <v>7.407104211076012</v>
      </c>
      <c r="R205" t="inlineStr">
        <is>
          <t>Operationnel</t>
        </is>
      </c>
      <c r="S205" t="inlineStr"/>
      <c r="T205" t="inlineStr"/>
      <c r="U205" t="inlineStr"/>
      <c r="V205" t="inlineStr"/>
      <c r="W205" t="inlineStr"/>
      <c r="X205" t="inlineStr">
        <is>
          <t>{05-25-2026 top offenders}: site down apres la remonteé de mimboman nodal analys ebo tx en cours      ;    {05-25-2026 retour CAMUSAT}: No power issue      ;    {05-25-2026 ocm ran 22H}: 25.05.26: BO TX analysis ongoing     ;    {05-25-2026 ticket}: INC-20260525-00019071</t>
        </is>
      </c>
      <c r="Y205" t="inlineStr">
        <is>
          <t>site down apres la remonteé de mimboman nodal analys ebo tx en cours No power issue 25.05.26 BO TX analysis ongoing</t>
        </is>
      </c>
      <c r="Z205" t="inlineStr"/>
      <c r="AA205" t="inlineStr"/>
      <c r="AB205" t="inlineStr">
        <is>
          <t xml:space="preserve">{05-25-2026 top offenders}: site down apres la remonteé de mimboman nodal analys ebo tx en cours </t>
        </is>
      </c>
      <c r="AC205" t="inlineStr">
        <is>
          <t xml:space="preserve">{05-25-2026 retour CAMUSAT}: No power issue </t>
        </is>
      </c>
      <c r="AD205" t="inlineStr"/>
      <c r="AE205" t="inlineStr"/>
      <c r="AF205" t="inlineStr"/>
      <c r="AG205" t="inlineStr"/>
      <c r="AH205" t="inlineStr"/>
      <c r="AI205" t="inlineStr"/>
      <c r="AJ205" t="inlineStr"/>
      <c r="AK205" t="inlineStr"/>
      <c r="AL205" t="inlineStr"/>
      <c r="AM205" t="inlineStr"/>
      <c r="AN205" t="inlineStr"/>
      <c r="AO205" t="inlineStr">
        <is>
          <t>{05-25-2026 ocm ran 22H}: 25.05.26: BO TX analysis ongoing</t>
        </is>
      </c>
      <c r="AP205" t="inlineStr"/>
      <c r="AQ205" t="inlineStr">
        <is>
          <t>{05-25-2026 ticket}: INC-20260525-00019071</t>
        </is>
      </c>
      <c r="AR205" t="inlineStr"/>
    </row>
    <row r="206">
      <c r="A206" t="inlineStr">
        <is>
          <t>Etoa-Meki-II</t>
        </is>
      </c>
      <c r="B206" t="inlineStr">
        <is>
          <t>CTR_682</t>
        </is>
      </c>
      <c r="C206" t="inlineStr">
        <is>
          <t>Yaounde</t>
        </is>
      </c>
      <c r="D206" t="inlineStr">
        <is>
          <t>CAMUSAT</t>
        </is>
      </c>
      <c r="E206" t="inlineStr">
        <is>
          <t>Good Grid no GE - 8h</t>
        </is>
      </c>
      <c r="F206" t="inlineStr">
        <is>
          <t>CENTRE</t>
        </is>
      </c>
      <c r="G206" t="inlineStr">
        <is>
          <t>Yaounde</t>
        </is>
      </c>
      <c r="H206" t="inlineStr">
        <is>
          <t>ZTE</t>
        </is>
      </c>
      <c r="I206" t="n">
        <v>0</v>
      </c>
      <c r="J206" t="n">
        <v>0</v>
      </c>
      <c r="K206" t="n">
        <v>0</v>
      </c>
      <c r="L206" t="n">
        <v>0</v>
      </c>
      <c r="M206" t="n">
        <v>7.194153375966305</v>
      </c>
      <c r="N206" t="n">
        <v>5.893448077407287</v>
      </c>
      <c r="O206" t="n">
        <v>5.104684115861018</v>
      </c>
      <c r="P206" t="n">
        <v>9.236858046214762</v>
      </c>
      <c r="Q206" t="n">
        <v>7.372200962808867</v>
      </c>
      <c r="R206" t="inlineStr">
        <is>
          <t>Operationnel</t>
        </is>
      </c>
      <c r="S206" t="inlineStr"/>
      <c r="T206" t="inlineStr"/>
      <c r="U206" t="inlineStr"/>
      <c r="V206" t="inlineStr"/>
      <c r="W206" t="inlineStr"/>
      <c r="X206" t="inlineStr">
        <is>
          <t>{05-25-2026 top offenders}: Power status check Ongoing     ;    {05-25-2026 retour CAMUSAT}: Grid outage Grid only site     ;    {05-25-2026 ticket}: INC-20260525-00006896..grid only site grid outage / grid return awaited..Grid Outage..user:OCM_NOC.CAMUSAT</t>
        </is>
      </c>
      <c r="Y206" t="inlineStr">
        <is>
          <t>Grid outage Grid only site .grid only site grid outage / grid return awaited.Grid Outage.user OCM_NOC.CAMUSAT</t>
        </is>
      </c>
      <c r="Z206" t="inlineStr"/>
      <c r="AA206" t="inlineStr"/>
      <c r="AB206" t="inlineStr">
        <is>
          <t>{05-25-2026 top offenders}: Power status check Ongoing</t>
        </is>
      </c>
      <c r="AC206" t="inlineStr">
        <is>
          <t>{05-25-2026 retour CAMUSAT}: Grid outage Grid only site</t>
        </is>
      </c>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{05-25-2026 ticket}: INC-20260525-00006896..grid only site grid outage / grid return awaited..Grid Outage..user:OCM_NOC.CAMUSAT</t>
        </is>
      </c>
      <c r="AR206" t="inlineStr"/>
    </row>
    <row r="207">
      <c r="A207" t="inlineStr">
        <is>
          <t>Telo-MTN-IHS</t>
        </is>
      </c>
      <c r="B207" t="inlineStr">
        <is>
          <t>ADM_108</t>
        </is>
      </c>
      <c r="C207" t="inlineStr">
        <is>
          <t>ADAMAOUA</t>
        </is>
      </c>
      <c r="D207" t="inlineStr">
        <is>
          <t>IHS</t>
        </is>
      </c>
      <c r="E207" t="inlineStr">
        <is>
          <t>Grid-Hybrid-Gen</t>
        </is>
      </c>
      <c r="F207" t="inlineStr">
        <is>
          <t>ADAMAOUA</t>
        </is>
      </c>
      <c r="G207" t="inlineStr">
        <is>
          <t>Telo</t>
        </is>
      </c>
      <c r="H207" t="inlineStr">
        <is>
          <t>NOKIA</t>
        </is>
      </c>
      <c r="I207" t="n">
        <v>0</v>
      </c>
      <c r="J207" t="n">
        <v>0</v>
      </c>
      <c r="K207" t="n">
        <v>0</v>
      </c>
      <c r="L207" t="n">
        <v>3.807123680304606</v>
      </c>
      <c r="M207" t="n">
        <v>2.872824958584541</v>
      </c>
      <c r="N207" t="n">
        <v>18.88833435248133</v>
      </c>
      <c r="O207" t="n">
        <v>13.75358951828668</v>
      </c>
      <c r="P207" t="n">
        <v>0</v>
      </c>
      <c r="Q207" t="n">
        <v>7.31449103459185</v>
      </c>
      <c r="R207" t="inlineStr">
        <is>
          <t>Operationnel</t>
        </is>
      </c>
      <c r="S207" t="inlineStr"/>
      <c r="T207" t="inlineStr"/>
      <c r="U207" t="inlineStr"/>
      <c r="V207" t="inlineStr"/>
      <c r="W207" t="inlineStr"/>
      <c r="X207" t="inlineStr">
        <is>
          <t>{05-25-2026 ticket}: INC-20260525-00002570..Grid Outage</t>
        </is>
      </c>
      <c r="Y207" t="inlineStr">
        <is>
          <t>.Grid Outage</t>
        </is>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{05-25-2026 ticket}: INC-20260525-00002570..Grid Outage</t>
        </is>
      </c>
      <c r="AR207" t="inlineStr"/>
    </row>
    <row r="208">
      <c r="A208" t="inlineStr">
        <is>
          <t>EST_197_Z_Bertoua-Mokolo-IV-MTN-IHS</t>
        </is>
      </c>
      <c r="B208" t="inlineStr">
        <is>
          <t>EST_197</t>
        </is>
      </c>
      <c r="C208" t="inlineStr">
        <is>
          <t>CENTRE</t>
        </is>
      </c>
      <c r="D208" t="inlineStr">
        <is>
          <t>IHS</t>
        </is>
      </c>
      <c r="E208" t="inlineStr"/>
      <c r="F208" t="inlineStr">
        <is>
          <t>EST</t>
        </is>
      </c>
      <c r="G208" t="inlineStr">
        <is>
          <t>Bertoua</t>
        </is>
      </c>
      <c r="H208" t="inlineStr">
        <is>
          <t>ZTE</t>
        </is>
      </c>
      <c r="I208" t="n">
        <v>0</v>
      </c>
      <c r="J208" t="n">
        <v>1.772253897321314</v>
      </c>
      <c r="K208" t="n">
        <v>12.21367565269253</v>
      </c>
      <c r="L208" t="n">
        <v>0</v>
      </c>
      <c r="M208" t="n">
        <v>0</v>
      </c>
      <c r="N208" t="n">
        <v>4.424051492951892</v>
      </c>
      <c r="O208" t="n">
        <v>7.537970358130096</v>
      </c>
      <c r="P208" t="n">
        <v>7.756633768689793</v>
      </c>
      <c r="Q208" t="n">
        <v>7.207333498842861</v>
      </c>
      <c r="R208" t="inlineStr">
        <is>
          <t>Operationnel</t>
        </is>
      </c>
      <c r="S208" t="inlineStr"/>
      <c r="T208" t="inlineStr"/>
      <c r="U208" t="inlineStr"/>
      <c r="V208" t="inlineStr"/>
      <c r="W208" t="inlineStr"/>
      <c r="X208" t="inlineStr">
        <is>
          <t>{05-25-2026 incident}:  {05-18-2026 groupe whatsapp incident}: impacted by    EST_060_Z_Bertoua-Mokolo(EST-060)  ,Adeterminer sans action     ;    {05-25-2026 top offenders}: Power status check Ongoing     ;    {None hourly IHS}: 25/05/2026 21:02..1:57:54..FME Magloire is managing with level 0     ;    {05-25-2026 ocm ran 22H}: Power status check Ongoing</t>
        </is>
      </c>
      <c r="Y208" t="inlineStr">
        <is>
          <t>{05-25-2026 incident} {05-18-2026 groupe whatsapp incident} impacted by EST_060_Z_Bertoua-Mokolo(EST-060) ,Adeterminer sans action 25/05/2026 21 02.1 57 54.FME Magloire is managing with level 0</t>
        </is>
      </c>
      <c r="Z208" t="inlineStr"/>
      <c r="AA208" t="inlineStr">
        <is>
          <t>{05-25-2026 incident}:  {05-18-2026 groupe whatsapp incident}: impacted by    EST_060_Z_Bertoua-Mokolo(EST-060)  ,Adeterminer sans action</t>
        </is>
      </c>
      <c r="AB208" t="inlineStr">
        <is>
          <t>{05-25-2026 top offenders}: Power status check Ongoing</t>
        </is>
      </c>
      <c r="AC208" t="inlineStr"/>
      <c r="AD208" t="inlineStr"/>
      <c r="AE208" t="inlineStr">
        <is>
          <t>{None hourly IHS}: 25/05/2026 21:02..1:57:54..FME Magloire is managing with level 0</t>
        </is>
      </c>
      <c r="AF208" t="inlineStr"/>
      <c r="AG208" t="inlineStr"/>
      <c r="AH208" t="inlineStr"/>
      <c r="AI208" t="inlineStr"/>
      <c r="AJ208" t="inlineStr"/>
      <c r="AK208" t="inlineStr"/>
      <c r="AL208" t="inlineStr"/>
      <c r="AM208" t="inlineStr"/>
      <c r="AN208" t="inlineStr"/>
      <c r="AO208" t="inlineStr">
        <is>
          <t>{05-25-2026 ocm ran 22H}: Power status check Ongoing</t>
        </is>
      </c>
      <c r="AP208" t="inlineStr"/>
      <c r="AQ208" t="inlineStr"/>
      <c r="AR208" t="inlineStr"/>
    </row>
    <row r="209">
      <c r="A209" t="inlineStr">
        <is>
          <t>Bastos-BAT</t>
        </is>
      </c>
      <c r="B209" t="inlineStr">
        <is>
          <t>CTR_200</t>
        </is>
      </c>
      <c r="C209" t="inlineStr">
        <is>
          <t>Yaounde</t>
        </is>
      </c>
      <c r="D209" t="inlineStr">
        <is>
          <t>IHS</t>
        </is>
      </c>
      <c r="E209" t="inlineStr">
        <is>
          <t>Grid-Gen</t>
        </is>
      </c>
      <c r="F209" t="inlineStr">
        <is>
          <t>CENTRE</t>
        </is>
      </c>
      <c r="G209" t="inlineStr">
        <is>
          <t>Yaounde</t>
        </is>
      </c>
      <c r="H209" t="inlineStr">
        <is>
          <t>ZTE</t>
        </is>
      </c>
      <c r="I209" t="n">
        <v>0</v>
      </c>
      <c r="J209" t="n">
        <v>0</v>
      </c>
      <c r="K209" t="n">
        <v>0</v>
      </c>
      <c r="L209" t="n">
        <v>0</v>
      </c>
      <c r="M209" t="n">
        <v>0</v>
      </c>
      <c r="N209" t="n">
        <v>5.041909963270706</v>
      </c>
      <c r="O209" t="n">
        <v>4.445387965768027</v>
      </c>
      <c r="P209" t="n">
        <v>9.577424885141628</v>
      </c>
      <c r="Q209" t="n">
        <v>7.206869786806609</v>
      </c>
      <c r="R209" t="inlineStr">
        <is>
          <t>Operationnel</t>
        </is>
      </c>
      <c r="S209" t="inlineStr"/>
      <c r="T209" t="inlineStr"/>
      <c r="U209" t="inlineStr"/>
      <c r="V209" t="inlineStr"/>
      <c r="W209" t="inlineStr"/>
      <c r="X209" t="inlineStr">
        <is>
          <t>{05-25-2026 top offenders}: Power status check Ongoing     ;    {05-25-2026 retour IHS}: IHS     ;    {None hourly IHS}: 25/05/2026 20:33..2:26:45..Access issue during the Nigth     ;    {05-25-2026 ocm ran 22H}: Power status check Ongoing     ;    {05-25-2026 ticket}: INC-20260525-00021021..Grid Outage</t>
        </is>
      </c>
      <c r="Y209" t="inlineStr">
        <is>
          <t>IHS 25/05/2026 20 33.2 26 45.Access issue during the Nigth .Grid Outage</t>
        </is>
      </c>
      <c r="Z209" t="inlineStr">
        <is>
          <t>CTR_200</t>
        </is>
      </c>
      <c r="AA209" t="inlineStr"/>
      <c r="AB209" t="inlineStr">
        <is>
          <t>{05-25-2026 top offenders}: Power status check Ongoing</t>
        </is>
      </c>
      <c r="AC209" t="inlineStr"/>
      <c r="AD209" t="inlineStr">
        <is>
          <t>{05-25-2026 retour IHS}: IHS</t>
        </is>
      </c>
      <c r="AE209" t="inlineStr">
        <is>
          <t>{None hourly IHS}: 25/05/2026 20:33..2:26:45..Access issue during the Nigth</t>
        </is>
      </c>
      <c r="AF209" t="inlineStr"/>
      <c r="AG209" t="inlineStr"/>
      <c r="AH209" t="inlineStr"/>
      <c r="AI209" t="inlineStr"/>
      <c r="AJ209" t="inlineStr"/>
      <c r="AK209" t="inlineStr"/>
      <c r="AL209" t="inlineStr"/>
      <c r="AM209" t="inlineStr"/>
      <c r="AN209" t="inlineStr"/>
      <c r="AO209" t="inlineStr">
        <is>
          <t>{05-25-2026 ocm ran 22H}: Power status check Ongoing</t>
        </is>
      </c>
      <c r="AP209" t="inlineStr"/>
      <c r="AQ209" t="inlineStr">
        <is>
          <t>{05-25-2026 ticket}: INC-20260525-00021021..Grid Outage</t>
        </is>
      </c>
      <c r="AR209" t="inlineStr"/>
    </row>
    <row r="210">
      <c r="A210" t="inlineStr">
        <is>
          <t>Moloundou</t>
        </is>
      </c>
      <c r="B210" t="inlineStr">
        <is>
          <t>EST_015</t>
        </is>
      </c>
      <c r="C210" t="inlineStr">
        <is>
          <t>CENTRE</t>
        </is>
      </c>
      <c r="D210" t="inlineStr">
        <is>
          <t>IHS</t>
        </is>
      </c>
      <c r="E210" t="inlineStr">
        <is>
          <t>Solar-Gen</t>
        </is>
      </c>
      <c r="F210" t="inlineStr">
        <is>
          <t>EST</t>
        </is>
      </c>
      <c r="G210" t="inlineStr">
        <is>
          <t>Moloundou</t>
        </is>
      </c>
      <c r="H210" t="inlineStr">
        <is>
          <t>NOKIA</t>
        </is>
      </c>
      <c r="I210" t="n">
        <v>2.115293793678107</v>
      </c>
      <c r="J210" t="n">
        <v>1.715342162410504</v>
      </c>
      <c r="K210" t="n">
        <v>3.1659582573559</v>
      </c>
      <c r="L210" t="n">
        <v>6.001539523960359</v>
      </c>
      <c r="M210" t="n">
        <v>6.192695893366207</v>
      </c>
      <c r="N210" t="n">
        <v>34.83700126694084</v>
      </c>
      <c r="O210" t="n">
        <v>6.616602660220122</v>
      </c>
      <c r="P210" t="n">
        <v>0</v>
      </c>
      <c r="Q210" t="n">
        <v>7.195990389032996</v>
      </c>
      <c r="R210" t="inlineStr">
        <is>
          <t>Operationnel</t>
        </is>
      </c>
      <c r="S210" t="inlineStr"/>
      <c r="T210" t="inlineStr"/>
      <c r="U210" t="inlineStr"/>
      <c r="V210" t="inlineStr"/>
      <c r="W210" t="inlineStr"/>
      <c r="X210" t="inlineStr">
        <is>
          <t>{05-25-2026 top offenders}: 25/05/2026 : FME est  patir ce jour de Yokadouma pour mouloundou. Il arrive ce soir  sur mouloundou 
23/05/2026 : En attente du feedback du PM 
21/05/2026 : Check breaker and  interconnection (sfp, optical fiber) between system and radio module, swap its if needed || Action avec le level0 en cour     ;    {05/25/2026 cell nokia}: 25/05/2026 : FME est  patir ce jour de Yokadouma pour mouloundou. Il arrive ce soir  sur mouloundou 
23/05/2026 : En attente du feedback du PM 
21/05/2026 : Check breaker and  interconnection (sfp, optical fiber) between system and radio module, swap its if needed || Action avec le level0 en cour     ;    {05/25/2026 cell nokia}: 25/05/2026 : FME est  patir ce jour de Yokadouma pour mouloundou. Il arrive ce soir  sur mouloundou 
23/05/2026 : En attente du feedback du PM 
21/05/2026 : Check breaker and  interconnection (sfp, optical fiber) between system and radio module, swap its if needed || Action avec le level0 en cour     ;    {05-25-2026 ticket}: INC-20260525-00003699..Others</t>
        </is>
      </c>
      <c r="Y210" t="inlineStr">
        <is>
          <t>25/05/2026 FME est patir ce jour de Yokadouma pour mouloundou. Il arrive ce soir sur mouloundou
23/05/2026 En attente du feedback du PM
21/05/2026 Check breaker and interconnection (sfp, optical fiber) between system and radio module, swap its if needed || Action avec le level0 en cour 25/05/2026 FME est patir ce jour de Yokadouma pour mouloundou. Il arrive ce soir sur mouloundou
23/05/2026 En attente du feedback du PM
21/05/2026 Check breaker and interconnection (sfp, optical fiber) between system and radio module, swap its if needed || Action avec le level0 en cour 25/05/2026 FME est patir ce jour de Yokadouma pour mouloundou. Il arrive ce soir sur mouloundou
23/05/2026 En attente du feedback du PM
21/05/2026 Check breaker and interconnection (sfp, optical fiber) between system and radio module, swap its if needed || Action avec le level0 en cour .</t>
        </is>
      </c>
      <c r="Z210" t="inlineStr"/>
      <c r="AA210" t="inlineStr"/>
      <c r="AB210" t="inlineStr">
        <is>
          <t>{05-25-2026 top offenders}: 25/05/2026 : FME est  patir ce jour de Yokadouma pour mouloundou. Il arrive ce soir  sur mouloundou 
23/05/2026 : En attente du feedback du PM 
21/05/2026 : Check breaker and  interconnection (sfp, optical fiber) between system and radio module, swap its if needed || Action avec le level0 en cour</t>
        </is>
      </c>
      <c r="AC210" t="inlineStr"/>
      <c r="AD210" t="inlineStr"/>
      <c r="AE210" t="inlineStr"/>
      <c r="AF210" t="inlineStr">
        <is>
          <t>{05/25/2026 cell nokia}: 25/05/2026 : FME est  patir ce jour de Yokadouma pour mouloundou. Il arrive ce soir  sur mouloundou 
23/05/2026 : En attente du feedback du PM 
21/05/2026 : Check breaker and  interconnection (sfp, optical fiber) between system and radio module, swap its if needed || Action avec le level0 en cour</t>
        </is>
      </c>
      <c r="AG210" t="inlineStr">
        <is>
          <t>{05/25/2026 cell nokia}: 25/05/2026 : FME est  patir ce jour de Yokadouma pour mouloundou. Il arrive ce soir  sur mouloundou 
23/05/2026 : En attente du feedback du PM 
21/05/2026 : Check breaker and  interconnection (sfp, optical fiber) between system and radio module, swap its if needed || Action avec le level0 en cour</t>
        </is>
      </c>
      <c r="AH210" t="inlineStr"/>
      <c r="AI210" t="inlineStr"/>
      <c r="AJ210" t="inlineStr"/>
      <c r="AK210" t="inlineStr"/>
      <c r="AL210" t="inlineStr"/>
      <c r="AM210" t="inlineStr"/>
      <c r="AN210" t="inlineStr"/>
      <c r="AO210" t="inlineStr"/>
      <c r="AP210" t="inlineStr"/>
      <c r="AQ210" t="inlineStr">
        <is>
          <t>{05-25-2026 ticket}: INC-20260525-00003699..Others</t>
        </is>
      </c>
      <c r="AR210" t="inlineStr"/>
    </row>
    <row r="211">
      <c r="A211" t="inlineStr">
        <is>
          <t>Satcom</t>
        </is>
      </c>
      <c r="B211" t="inlineStr">
        <is>
          <t>CTR_199</t>
        </is>
      </c>
      <c r="C211" t="inlineStr">
        <is>
          <t>Yaounde</t>
        </is>
      </c>
      <c r="D211" t="inlineStr">
        <is>
          <t>IHS</t>
        </is>
      </c>
      <c r="E211" t="inlineStr">
        <is>
          <t>Grid-Gen</t>
        </is>
      </c>
      <c r="F211" t="inlineStr">
        <is>
          <t>CENTRE</t>
        </is>
      </c>
      <c r="G211" t="inlineStr">
        <is>
          <t>Yaounde</t>
        </is>
      </c>
      <c r="H211" t="inlineStr">
        <is>
          <t>ZTE</t>
        </is>
      </c>
      <c r="I211" t="n">
        <v>0</v>
      </c>
      <c r="J211" t="n">
        <v>0</v>
      </c>
      <c r="K211" t="n">
        <v>0</v>
      </c>
      <c r="L211" t="n">
        <v>0</v>
      </c>
      <c r="M211" t="n">
        <v>6.592397833537367</v>
      </c>
      <c r="N211" t="n">
        <v>5.968385429780703</v>
      </c>
      <c r="O211" t="n">
        <v>5.127528382141437</v>
      </c>
      <c r="P211" t="n">
        <v>8.434142212066092</v>
      </c>
      <c r="Q211" t="n">
        <v>6.971963970288185</v>
      </c>
      <c r="R211" t="inlineStr">
        <is>
          <t>Operationnel</t>
        </is>
      </c>
      <c r="S211" t="inlineStr"/>
      <c r="T211" t="inlineStr"/>
      <c r="U211" t="inlineStr"/>
      <c r="V211" t="inlineStr"/>
      <c r="W211" t="inlineStr"/>
      <c r="X211" t="inlineStr">
        <is>
          <t>{05-25-2026 top offenders}: Power status check Ongoing     ;    {05-25-2026 ticket}: INC-20260525-00006892..instabilité power issues at Etoameki 2 responsabilité camusat..Grid Outage</t>
        </is>
      </c>
      <c r="Y211" t="inlineStr">
        <is>
          <t>.instabilité power issues at Etoameki 2 responsabilité camusat.Grid Outage</t>
        </is>
      </c>
      <c r="Z211" t="inlineStr"/>
      <c r="AA211" t="inlineStr"/>
      <c r="AB211" t="inlineStr">
        <is>
          <t>{05-25-2026 top offenders}: Power status check Ongoing</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{05-25-2026 ticket}: INC-20260525-00006892..instabilité power issues at Etoameki 2 responsabilité camusat..Grid Outage</t>
        </is>
      </c>
      <c r="AR211" t="inlineStr"/>
    </row>
    <row r="212">
      <c r="A212" t="inlineStr">
        <is>
          <t>Garoua-Bockle-IHS</t>
        </is>
      </c>
      <c r="B212" t="inlineStr">
        <is>
          <t>NRD_094</t>
        </is>
      </c>
      <c r="C212" t="inlineStr">
        <is>
          <t>Garoua</t>
        </is>
      </c>
      <c r="D212" t="inlineStr">
        <is>
          <t>IHS</t>
        </is>
      </c>
      <c r="E212" t="inlineStr">
        <is>
          <t>Grid-Gen</t>
        </is>
      </c>
      <c r="F212" t="inlineStr">
        <is>
          <t>NORD</t>
        </is>
      </c>
      <c r="G212" t="inlineStr">
        <is>
          <t>Garoua</t>
        </is>
      </c>
      <c r="H212" t="inlineStr">
        <is>
          <t>Huawei</t>
        </is>
      </c>
      <c r="I212" t="n">
        <v>0</v>
      </c>
      <c r="J212" t="n">
        <v>0</v>
      </c>
      <c r="K212" t="n">
        <v>0</v>
      </c>
      <c r="L212" t="n">
        <v>1.450348568770635</v>
      </c>
      <c r="M212" t="n">
        <v>0</v>
      </c>
      <c r="N212" t="n">
        <v>8.881949690059111</v>
      </c>
      <c r="O212" t="n">
        <v>15.08173147213127</v>
      </c>
      <c r="P212" t="n">
        <v>1.213598541807573</v>
      </c>
      <c r="Q212" t="n">
        <v>6.964330556768341</v>
      </c>
      <c r="R212" t="inlineStr">
        <is>
          <t>Operationnel</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row>
    <row r="213">
      <c r="A213" t="inlineStr">
        <is>
          <t>Mvog-Mangaa-II</t>
        </is>
      </c>
      <c r="B213" t="inlineStr">
        <is>
          <t>CTR_669</t>
        </is>
      </c>
      <c r="C213" t="inlineStr">
        <is>
          <t>Yaounde</t>
        </is>
      </c>
      <c r="D213" t="inlineStr">
        <is>
          <t>CAMUSAT</t>
        </is>
      </c>
      <c r="E213" t="inlineStr">
        <is>
          <t>Good Grid no GE - 12h</t>
        </is>
      </c>
      <c r="F213" t="inlineStr">
        <is>
          <t>CENTRE</t>
        </is>
      </c>
      <c r="G213" t="inlineStr">
        <is>
          <t>Yaounde</t>
        </is>
      </c>
      <c r="H213" t="inlineStr">
        <is>
          <t>ZTE</t>
        </is>
      </c>
      <c r="I213" t="n">
        <v>4.524474007870264</v>
      </c>
      <c r="J213" t="n">
        <v>0.8509650917579105</v>
      </c>
      <c r="K213" t="n">
        <v>8.619657680640808</v>
      </c>
      <c r="L213" t="n">
        <v>4.496722626008396</v>
      </c>
      <c r="M213" t="n">
        <v>4.272161154914063</v>
      </c>
      <c r="N213" t="n">
        <v>6.013847423553909</v>
      </c>
      <c r="O213" t="n">
        <v>4.858922311644244</v>
      </c>
      <c r="P213" t="n">
        <v>8.548952703959795</v>
      </c>
      <c r="Q213" t="n">
        <v>6.948154140734464</v>
      </c>
      <c r="R213" t="inlineStr">
        <is>
          <t>Operationnel</t>
        </is>
      </c>
      <c r="S213" t="inlineStr"/>
      <c r="T213" t="inlineStr"/>
      <c r="U213" t="inlineStr"/>
      <c r="V213" t="inlineStr"/>
      <c r="W213" t="inlineStr"/>
      <c r="X213" t="inlineStr">
        <is>
          <t>{05-25-2026 ticket}: INC-20260525-00017120..Grid Outage</t>
        </is>
      </c>
      <c r="Y213" t="inlineStr">
        <is>
          <t>.Grid Outage</t>
        </is>
      </c>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{05-25-2026 ticket}: INC-20260525-00017120..Grid Outage</t>
        </is>
      </c>
      <c r="AR213" t="inlineStr"/>
    </row>
    <row r="214">
      <c r="A214" t="inlineStr">
        <is>
          <t>Maroua-Diguirwo-II</t>
        </is>
      </c>
      <c r="B214" t="inlineStr">
        <is>
          <t>EXN_196</t>
        </is>
      </c>
      <c r="C214" t="inlineStr">
        <is>
          <t>Maroua</t>
        </is>
      </c>
      <c r="D214" t="inlineStr">
        <is>
          <t>CAMUSAT</t>
        </is>
      </c>
      <c r="E214" t="inlineStr">
        <is>
          <t>Good Grid + GE</t>
        </is>
      </c>
      <c r="F214" t="inlineStr">
        <is>
          <t>EXTREME-NORD</t>
        </is>
      </c>
      <c r="G214" t="inlineStr">
        <is>
          <t>Maroua</t>
        </is>
      </c>
      <c r="H214" t="inlineStr">
        <is>
          <t>Huawei</t>
        </is>
      </c>
      <c r="I214" t="n">
        <v>0</v>
      </c>
      <c r="J214" t="n">
        <v>12.95417026935249</v>
      </c>
      <c r="K214" t="n">
        <v>12.85070898003327</v>
      </c>
      <c r="L214" t="n">
        <v>4.94406206036532</v>
      </c>
      <c r="M214" t="n">
        <v>0.2117915550190763</v>
      </c>
      <c r="N214" t="n">
        <v>5.25560631312223</v>
      </c>
      <c r="O214" t="n">
        <v>6.725936381162215</v>
      </c>
      <c r="P214" t="n">
        <v>7.463194977969518</v>
      </c>
      <c r="Q214" t="n">
        <v>6.900445306235429</v>
      </c>
      <c r="R214" t="inlineStr">
        <is>
          <t>Operationnel</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row>
    <row r="215">
      <c r="A215" t="inlineStr">
        <is>
          <t>KUMBA-BONAKAMA</t>
        </is>
      </c>
      <c r="B215" t="inlineStr">
        <is>
          <t>SUO_218</t>
        </is>
      </c>
      <c r="C215" t="inlineStr">
        <is>
          <t>SUD-OUEST</t>
        </is>
      </c>
      <c r="D215" t="inlineStr">
        <is>
          <t>IHS</t>
        </is>
      </c>
      <c r="E215" t="inlineStr">
        <is>
          <t>Grid-Gen</t>
        </is>
      </c>
      <c r="F215" t="inlineStr">
        <is>
          <t>SUD-OUEST</t>
        </is>
      </c>
      <c r="G215" t="inlineStr">
        <is>
          <t>Kumba</t>
        </is>
      </c>
      <c r="H215" t="inlineStr">
        <is>
          <t>Huawei</t>
        </is>
      </c>
      <c r="I215" t="n">
        <v>0</v>
      </c>
      <c r="J215" t="n">
        <v>0</v>
      </c>
      <c r="K215" t="n">
        <v>0</v>
      </c>
      <c r="L215" t="n">
        <v>0.9176682846649715</v>
      </c>
      <c r="M215" t="n">
        <v>0</v>
      </c>
      <c r="N215" t="n">
        <v>9.507052104440687</v>
      </c>
      <c r="O215" t="n">
        <v>16.19977236485544</v>
      </c>
      <c r="P215" t="n">
        <v>0.1261992002048736</v>
      </c>
      <c r="Q215" t="n">
        <v>6.861868031834901</v>
      </c>
      <c r="R215" t="inlineStr">
        <is>
          <t>Operationnel</t>
        </is>
      </c>
      <c r="S215" t="inlineStr"/>
      <c r="T215" t="inlineStr"/>
      <c r="U215" t="inlineStr"/>
      <c r="V215" t="inlineStr"/>
      <c r="W215" t="inlineStr"/>
      <c r="X215" t="inlineStr">
        <is>
          <t>{05-25-2026 top offenders}: 25.05.26: IHS: FME is managing with level 0 - Escalated to L2     ;    {05-25-2026 retour IHS}: IHS     ;    {None hourly IHS}: 25/05/2026 15:40..7:19:36..FME is managing with level 0     ;    {05-25-2026 ocm ran 22H}: 25.05.26: IHS: FME is managing with level 0 - Escalated to L2</t>
        </is>
      </c>
      <c r="Y215" t="inlineStr">
        <is>
          <t>25.05.26 IHS FME is managing with level 0 - Escalated to L2 IHS 25/05/2026 15 40.7 19 36.FME is managing with level 0 25.05.26 IHS FME is managing with level 0 - Escalated to L2</t>
        </is>
      </c>
      <c r="Z215" t="inlineStr"/>
      <c r="AA215" t="inlineStr"/>
      <c r="AB215" t="inlineStr">
        <is>
          <t>{05-25-2026 top offenders}: 25.05.26: IHS: FME is managing with level 0 - Escalated to L2</t>
        </is>
      </c>
      <c r="AC215" t="inlineStr"/>
      <c r="AD215" t="inlineStr">
        <is>
          <t>{05-25-2026 retour IHS}: IHS</t>
        </is>
      </c>
      <c r="AE215" t="inlineStr">
        <is>
          <t>{None hourly IHS}: 25/05/2026 15:40..7:19:36..FME is managing with level 0</t>
        </is>
      </c>
      <c r="AF215" t="inlineStr"/>
      <c r="AG215" t="inlineStr"/>
      <c r="AH215" t="inlineStr"/>
      <c r="AI215" t="inlineStr"/>
      <c r="AJ215" t="inlineStr"/>
      <c r="AK215" t="inlineStr"/>
      <c r="AL215" t="inlineStr"/>
      <c r="AM215" t="inlineStr"/>
      <c r="AN215" t="inlineStr"/>
      <c r="AO215" t="inlineStr">
        <is>
          <t>{05-25-2026 ocm ran 22H}: 25.05.26: IHS: FME is managing with level 0 - Escalated to L2</t>
        </is>
      </c>
      <c r="AP215" t="inlineStr"/>
      <c r="AQ215" t="inlineStr"/>
      <c r="AR215" t="inlineStr"/>
    </row>
    <row r="216">
      <c r="A216" t="inlineStr">
        <is>
          <t>Limbe-Sonara-MTN</t>
        </is>
      </c>
      <c r="B216" t="inlineStr">
        <is>
          <t>SUO_080</t>
        </is>
      </c>
      <c r="C216" t="inlineStr">
        <is>
          <t>SUD-OUEST</t>
        </is>
      </c>
      <c r="D216" t="inlineStr">
        <is>
          <t>IHS</t>
        </is>
      </c>
      <c r="E216" t="inlineStr">
        <is>
          <t>Grid-Gen</t>
        </is>
      </c>
      <c r="F216" t="inlineStr">
        <is>
          <t>SUD-OUEST</t>
        </is>
      </c>
      <c r="G216" t="inlineStr">
        <is>
          <t>Limbe</t>
        </is>
      </c>
      <c r="H216" t="inlineStr">
        <is>
          <t>Huawei</t>
        </is>
      </c>
      <c r="I216" t="n">
        <v>0</v>
      </c>
      <c r="J216" t="n">
        <v>0</v>
      </c>
      <c r="K216" t="n">
        <v>0</v>
      </c>
      <c r="L216" t="n">
        <v>0</v>
      </c>
      <c r="M216" t="n">
        <v>0</v>
      </c>
      <c r="N216" t="n">
        <v>15.65129052112434</v>
      </c>
      <c r="O216" t="n">
        <v>13.31767597947713</v>
      </c>
      <c r="P216" t="n">
        <v>0.1764736783352704</v>
      </c>
      <c r="Q216" t="n">
        <v>6.797929276067037</v>
      </c>
      <c r="R216" t="inlineStr">
        <is>
          <t>Operationnel</t>
        </is>
      </c>
      <c r="S216" t="inlineStr"/>
      <c r="T216" t="inlineStr"/>
      <c r="U216" t="inlineStr"/>
      <c r="V216" t="inlineStr"/>
      <c r="W216" t="inlineStr"/>
      <c r="X216" t="inlineStr">
        <is>
          <t>{05-25-2026 top offenders}: 25.05.26: Camusat: investigations ongoing / FME is trying to get level0     ;    {None hourly IHS}: 25/05/2026 08:06..14:19:45..FME Roland is managing with level 0.     ;    {05-25-2026 ocm ran 17H}: 25.05.26: Camusat: investigations ongoing / FME is trying to get level0</t>
        </is>
      </c>
      <c r="Y216" t="inlineStr">
        <is>
          <t>25.05.26 Camusat investigations ongoing / FME is trying to get level0 25/05/2026 08 06.14 19 45.FME Roland is managing with level 0. 25.05.26 Camusat investigations ongoing / FME is trying to get level0</t>
        </is>
      </c>
      <c r="Z216" t="inlineStr"/>
      <c r="AA216" t="inlineStr"/>
      <c r="AB216" t="inlineStr">
        <is>
          <t>{05-25-2026 top offenders}: 25.05.26: Camusat: investigations ongoing / FME is trying to get level0</t>
        </is>
      </c>
      <c r="AC216" t="inlineStr"/>
      <c r="AD216" t="inlineStr"/>
      <c r="AE216" t="inlineStr">
        <is>
          <t>{None hourly IHS}: 25/05/2026 08:06..14:19:45..FME Roland is managing with level 0.</t>
        </is>
      </c>
      <c r="AF216" t="inlineStr"/>
      <c r="AG216" t="inlineStr"/>
      <c r="AH216" t="inlineStr"/>
      <c r="AI216" t="inlineStr"/>
      <c r="AJ216" t="inlineStr"/>
      <c r="AK216" t="inlineStr"/>
      <c r="AL216" t="inlineStr"/>
      <c r="AM216" t="inlineStr"/>
      <c r="AN216" t="inlineStr"/>
      <c r="AO216" t="inlineStr"/>
      <c r="AP216" t="inlineStr">
        <is>
          <t>{05-25-2026 ocm ran 17H}: 25.05.26: Camusat: investigations ongoing / FME is trying to get level0</t>
        </is>
      </c>
      <c r="AQ216" t="inlineStr"/>
      <c r="AR216" t="inlineStr"/>
    </row>
    <row r="217">
      <c r="A217" t="inlineStr">
        <is>
          <t>Mazera-IHS</t>
        </is>
      </c>
      <c r="B217" t="inlineStr">
        <is>
          <t>EXN_226</t>
        </is>
      </c>
      <c r="C217" t="inlineStr">
        <is>
          <t>EXTREME-NORD</t>
        </is>
      </c>
      <c r="D217" t="inlineStr">
        <is>
          <t>IHS</t>
        </is>
      </c>
      <c r="E217" t="inlineStr">
        <is>
          <t>Hybrid-Gen</t>
        </is>
      </c>
      <c r="F217" t="inlineStr">
        <is>
          <t>EXTREME-NORD</t>
        </is>
      </c>
      <c r="G217" t="inlineStr">
        <is>
          <t>Mazera</t>
        </is>
      </c>
      <c r="H217" t="inlineStr">
        <is>
          <t>NOKIA</t>
        </is>
      </c>
      <c r="I217" t="n">
        <v>0.1318904041571427</v>
      </c>
      <c r="J217" t="n">
        <v>0.7708677550344857</v>
      </c>
      <c r="K217" t="n">
        <v>3.202503455842609</v>
      </c>
      <c r="L217" t="n">
        <v>0.1031999875640761</v>
      </c>
      <c r="M217" t="n">
        <v>1.210176505411289</v>
      </c>
      <c r="N217" t="n">
        <v>11.81749557370039</v>
      </c>
      <c r="O217" t="n">
        <v>15.11341928768125</v>
      </c>
      <c r="P217" t="n">
        <v>0</v>
      </c>
      <c r="Q217" t="n">
        <v>6.761286448615534</v>
      </c>
      <c r="R217" t="inlineStr">
        <is>
          <t>Insecurity</t>
        </is>
      </c>
      <c r="S217" t="inlineStr"/>
      <c r="T217" t="inlineStr"/>
      <c r="U217" t="inlineStr"/>
      <c r="V217" t="inlineStr"/>
      <c r="W217" t="inlineStr"/>
      <c r="X217" t="inlineStr">
        <is>
          <t>{None hourly IHS}: 25/05/2026 00:00..6:23:21..50V..FME is informed and managing     ;    {05/25/2026 cell nokia}: 28/04/2026 : Need BO RAN analysis || Cell lock with suffix Plan     ;    {05-25-2026 ticket}: INC-20260525-00012253..Others</t>
        </is>
      </c>
      <c r="Y217" t="inlineStr">
        <is>
          <t>25/05/2026 00 00.6 23 21.50V.FME is informed and managing 28/04/2026 Need BO RAN analysis || Cell lock with suffix Plan .</t>
        </is>
      </c>
      <c r="Z217" t="inlineStr"/>
      <c r="AA217" t="inlineStr"/>
      <c r="AB217" t="inlineStr"/>
      <c r="AC217" t="inlineStr"/>
      <c r="AD217" t="inlineStr"/>
      <c r="AE217" t="inlineStr">
        <is>
          <t>{None hourly IHS}: 25/05/2026 00:00..6:23:21..50V..FME is informed and managing</t>
        </is>
      </c>
      <c r="AF217" t="inlineStr"/>
      <c r="AG217" t="inlineStr"/>
      <c r="AH217" t="inlineStr">
        <is>
          <t>{05/25/2026 cell nokia}: 28/04/2026 : Need BO RAN analysis || Cell lock with suffix Plan</t>
        </is>
      </c>
      <c r="AI217" t="inlineStr"/>
      <c r="AJ217" t="inlineStr"/>
      <c r="AK217" t="inlineStr"/>
      <c r="AL217" t="inlineStr"/>
      <c r="AM217" t="inlineStr"/>
      <c r="AN217" t="inlineStr"/>
      <c r="AO217" t="inlineStr"/>
      <c r="AP217" t="inlineStr"/>
      <c r="AQ217" t="inlineStr">
        <is>
          <t>{05-25-2026 ticket}: INC-20260525-00012253..Others</t>
        </is>
      </c>
      <c r="AR217" t="inlineStr"/>
    </row>
    <row r="218">
      <c r="A218" t="inlineStr">
        <is>
          <t>Maroua-Zikirou-IHS</t>
        </is>
      </c>
      <c r="B218" t="inlineStr">
        <is>
          <t>EXN_147</t>
        </is>
      </c>
      <c r="C218" t="inlineStr">
        <is>
          <t>Maroua</t>
        </is>
      </c>
      <c r="D218" t="inlineStr">
        <is>
          <t>IHS</t>
        </is>
      </c>
      <c r="E218" t="inlineStr">
        <is>
          <t>Grid-Gen</t>
        </is>
      </c>
      <c r="F218" t="inlineStr">
        <is>
          <t>EXTREME-NORD</t>
        </is>
      </c>
      <c r="G218" t="inlineStr">
        <is>
          <t>Maroua</t>
        </is>
      </c>
      <c r="H218" t="inlineStr">
        <is>
          <t>Huawei</t>
        </is>
      </c>
      <c r="I218" t="n">
        <v>0</v>
      </c>
      <c r="J218" t="n">
        <v>0</v>
      </c>
      <c r="K218" t="n">
        <v>0.4470362380255283</v>
      </c>
      <c r="L218" t="n">
        <v>3.047123130527091</v>
      </c>
      <c r="M218" t="n">
        <v>5.034824773922548</v>
      </c>
      <c r="N218" t="n">
        <v>11.60030214740477</v>
      </c>
      <c r="O218" t="n">
        <v>14.79070614495888</v>
      </c>
      <c r="P218" t="n">
        <v>0.2647105175029056</v>
      </c>
      <c r="Q218" t="n">
        <v>6.759976229407618</v>
      </c>
      <c r="R218" t="inlineStr">
        <is>
          <t>Operationnel</t>
        </is>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row>
    <row r="219">
      <c r="A219" t="inlineStr">
        <is>
          <t>Barriere</t>
        </is>
      </c>
      <c r="B219" t="inlineStr">
        <is>
          <t>CTR_237</t>
        </is>
      </c>
      <c r="C219" t="inlineStr">
        <is>
          <t>Yaounde</t>
        </is>
      </c>
      <c r="D219" t="inlineStr">
        <is>
          <t>IHS</t>
        </is>
      </c>
      <c r="E219" t="inlineStr">
        <is>
          <t>Grid-Gen</t>
        </is>
      </c>
      <c r="F219" t="inlineStr">
        <is>
          <t>CENTRE</t>
        </is>
      </c>
      <c r="G219" t="inlineStr">
        <is>
          <t>Yaounde</t>
        </is>
      </c>
      <c r="H219" t="inlineStr">
        <is>
          <t>ZTE</t>
        </is>
      </c>
      <c r="I219" t="n">
        <v>0</v>
      </c>
      <c r="J219" t="n">
        <v>0</v>
      </c>
      <c r="K219" t="n">
        <v>0</v>
      </c>
      <c r="L219" t="n">
        <v>0</v>
      </c>
      <c r="M219" t="n">
        <v>0.002247219867991722</v>
      </c>
      <c r="N219" t="n">
        <v>2.175181548225683</v>
      </c>
      <c r="O219" t="n">
        <v>0.1759539765598702</v>
      </c>
      <c r="P219" t="n">
        <v>12.21943421170713</v>
      </c>
      <c r="Q219" t="n">
        <v>6.741980635385367</v>
      </c>
      <c r="R219" t="inlineStr">
        <is>
          <t>Operationnel</t>
        </is>
      </c>
      <c r="S219" t="inlineStr"/>
      <c r="T219" t="inlineStr"/>
      <c r="U219" t="inlineStr"/>
      <c r="V219" t="inlineStr"/>
      <c r="W219" t="inlineStr"/>
      <c r="X219" t="inlineStr">
        <is>
          <t>{05-25-2026 ticket}: INC-20260525-00021993..Auto TT closure RCA..Others</t>
        </is>
      </c>
      <c r="Y219" t="inlineStr">
        <is>
          <t>.Auto TT closure RCA.</t>
        </is>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is>
          <t>{05-25-2026 ticket}: INC-20260525-00021993..Auto TT closure RCA..Others</t>
        </is>
      </c>
      <c r="AR219" t="inlineStr"/>
    </row>
    <row r="220">
      <c r="A220" t="inlineStr">
        <is>
          <t>Mballa-II</t>
        </is>
      </c>
      <c r="B220" t="inlineStr">
        <is>
          <t>CTR_824</t>
        </is>
      </c>
      <c r="C220" t="inlineStr">
        <is>
          <t>Yaounde</t>
        </is>
      </c>
      <c r="D220" t="inlineStr">
        <is>
          <t>CAMUSAT</t>
        </is>
      </c>
      <c r="E220" t="inlineStr">
        <is>
          <t>Good Grid no GE - 8h</t>
        </is>
      </c>
      <c r="F220" t="inlineStr">
        <is>
          <t>CENTRE</t>
        </is>
      </c>
      <c r="G220" t="inlineStr">
        <is>
          <t>Yaounde</t>
        </is>
      </c>
      <c r="H220" t="inlineStr">
        <is>
          <t>ZTE</t>
        </is>
      </c>
      <c r="I220" t="n">
        <v>0</v>
      </c>
      <c r="J220" t="n">
        <v>0</v>
      </c>
      <c r="K220" t="n">
        <v>0</v>
      </c>
      <c r="L220" t="n">
        <v>7.775309402938649</v>
      </c>
      <c r="M220" t="n">
        <v>2.76461548997954</v>
      </c>
      <c r="N220" t="n">
        <v>5.672382887905711</v>
      </c>
      <c r="O220" t="n">
        <v>4.829490396482959</v>
      </c>
      <c r="P220" t="n">
        <v>8.170081500743104</v>
      </c>
      <c r="Q220" t="n">
        <v>6.691935405626753</v>
      </c>
      <c r="R220" t="inlineStr">
        <is>
          <t>Operationnel</t>
        </is>
      </c>
      <c r="S220" t="inlineStr"/>
      <c r="T220" t="inlineStr"/>
      <c r="U220" t="inlineStr"/>
      <c r="V220" t="inlineStr"/>
      <c r="W220" t="inlineStr"/>
      <c r="X220" t="inlineStr">
        <is>
          <t>{05-25-2026 top offenders}: Power status check Ongoing     ;    {05-25-2026 retour CAMUSAT}: No power issue      ;    {05-25-2026 ocm ran 17H}: Power status check Ongoing     ;    {05-25-2026 ticket}: INC-20260525-00016892..Transmission issue impacted by CTR_344_Z_Dragage(CTR-344)/Main site up awaited..Grid Outage..user:OCM_NOC.CAMUSAT</t>
        </is>
      </c>
      <c r="Y220" t="inlineStr">
        <is>
          <t>No power issue .Transmission issue impacted by CTR_344_Z_Dragage(CTR-344)/Main site up awaited.Grid Outage.user OCM_NOC.CAMUSAT</t>
        </is>
      </c>
      <c r="Z220" t="inlineStr">
        <is>
          <t>CTR_824</t>
        </is>
      </c>
      <c r="AA220" t="inlineStr"/>
      <c r="AB220" t="inlineStr">
        <is>
          <t>{05-25-2026 top offenders}: Power status check Ongoing</t>
        </is>
      </c>
      <c r="AC220" t="inlineStr">
        <is>
          <t xml:space="preserve">{05-25-2026 retour CAMUSAT}: No power issue </t>
        </is>
      </c>
      <c r="AD220" t="inlineStr"/>
      <c r="AE220" t="inlineStr"/>
      <c r="AF220" t="inlineStr"/>
      <c r="AG220" t="inlineStr"/>
      <c r="AH220" t="inlineStr"/>
      <c r="AI220" t="inlineStr"/>
      <c r="AJ220" t="inlineStr"/>
      <c r="AK220" t="inlineStr"/>
      <c r="AL220" t="inlineStr"/>
      <c r="AM220" t="inlineStr"/>
      <c r="AN220" t="inlineStr"/>
      <c r="AO220" t="inlineStr"/>
      <c r="AP220" t="inlineStr">
        <is>
          <t>{05-25-2026 ocm ran 17H}: Power status check Ongoing</t>
        </is>
      </c>
      <c r="AQ220" t="inlineStr">
        <is>
          <t>{05-25-2026 ticket}: INC-20260525-00016892..Transmission issue impacted by CTR_344_Z_Dragage(CTR-344)/Main site up awaited..Grid Outage..user:OCM_NOC.CAMUSAT</t>
        </is>
      </c>
      <c r="AR220" t="inlineStr"/>
    </row>
    <row r="221">
      <c r="A221" t="inlineStr">
        <is>
          <t>Monkey-Hill</t>
        </is>
      </c>
      <c r="B221" t="inlineStr">
        <is>
          <t>SUO_011</t>
        </is>
      </c>
      <c r="C221" t="inlineStr">
        <is>
          <t>SUD-OUEST</t>
        </is>
      </c>
      <c r="D221" t="inlineStr">
        <is>
          <t>IHS</t>
        </is>
      </c>
      <c r="E221" t="inlineStr">
        <is>
          <t>Grid-Gen</t>
        </is>
      </c>
      <c r="F221" t="inlineStr">
        <is>
          <t>SUD-OUEST</t>
        </is>
      </c>
      <c r="G221" t="inlineStr">
        <is>
          <t>Limbe</t>
        </is>
      </c>
      <c r="H221" t="inlineStr">
        <is>
          <t>Huawei</t>
        </is>
      </c>
      <c r="I221" t="n">
        <v>0</v>
      </c>
      <c r="J221" t="n">
        <v>0</v>
      </c>
      <c r="K221" t="n">
        <v>0</v>
      </c>
      <c r="L221" t="n">
        <v>0</v>
      </c>
      <c r="M221" t="n">
        <v>0</v>
      </c>
      <c r="N221" t="n">
        <v>15.32531303829998</v>
      </c>
      <c r="O221" t="n">
        <v>13.03716964003386</v>
      </c>
      <c r="P221" t="n">
        <v>0.0976419286137979</v>
      </c>
      <c r="Q221" t="n">
        <v>6.616100652621186</v>
      </c>
      <c r="R221" t="inlineStr">
        <is>
          <t>Operationnel</t>
        </is>
      </c>
      <c r="S221" t="inlineStr"/>
      <c r="T221" t="inlineStr"/>
      <c r="U221" t="inlineStr"/>
      <c r="V221" t="inlineStr"/>
      <c r="W221" t="inlineStr"/>
      <c r="X221" t="inlineStr">
        <is>
          <t>{None hourly IHS}: 25/05/2026 00:08..6:14:50..No comm..FME is informed and will manage in the morning, Insecurity area.</t>
        </is>
      </c>
      <c r="Y221" t="inlineStr">
        <is>
          <t>25/05/2026 00 08.6 14 50.No comm.FME is informed and will manage in the morning, Insecurity area.</t>
        </is>
      </c>
      <c r="Z221" t="inlineStr"/>
      <c r="AA221" t="inlineStr"/>
      <c r="AB221" t="inlineStr"/>
      <c r="AC221" t="inlineStr"/>
      <c r="AD221" t="inlineStr"/>
      <c r="AE221" t="inlineStr">
        <is>
          <t>{None hourly IHS}: 25/05/2026 00:08..6:14:50..No comm..FME is informed and will manage in the morning, Insecurity area.</t>
        </is>
      </c>
      <c r="AF221" t="inlineStr"/>
      <c r="AG221" t="inlineStr"/>
      <c r="AH221" t="inlineStr"/>
      <c r="AI221" t="inlineStr"/>
      <c r="AJ221" t="inlineStr"/>
      <c r="AK221" t="inlineStr"/>
      <c r="AL221" t="inlineStr"/>
      <c r="AM221" t="inlineStr"/>
      <c r="AN221" t="inlineStr"/>
      <c r="AO221" t="inlineStr"/>
      <c r="AP221" t="inlineStr"/>
      <c r="AQ221" t="inlineStr"/>
      <c r="AR221" t="inlineStr"/>
    </row>
    <row r="222">
      <c r="A222" t="inlineStr">
        <is>
          <t>Marouare-New</t>
        </is>
      </c>
      <c r="B222" t="inlineStr">
        <is>
          <t>NRD_130</t>
        </is>
      </c>
      <c r="C222" t="inlineStr">
        <is>
          <t>Garoua</t>
        </is>
      </c>
      <c r="D222" t="inlineStr">
        <is>
          <t>IHS</t>
        </is>
      </c>
      <c r="E222" t="inlineStr">
        <is>
          <t>Grid-Gen</t>
        </is>
      </c>
      <c r="F222" t="inlineStr">
        <is>
          <t>NORD</t>
        </is>
      </c>
      <c r="G222" t="inlineStr">
        <is>
          <t>Garoua</t>
        </is>
      </c>
      <c r="H222" t="inlineStr">
        <is>
          <t>Huawei</t>
        </is>
      </c>
      <c r="I222" t="n">
        <v>1.570004109202044</v>
      </c>
      <c r="J222" t="n">
        <v>0</v>
      </c>
      <c r="K222" t="n">
        <v>9.341853506947121</v>
      </c>
      <c r="L222" t="n">
        <v>0.0902811664426581</v>
      </c>
      <c r="M222" t="n">
        <v>0</v>
      </c>
      <c r="N222" t="n">
        <v>9.0436894755984</v>
      </c>
      <c r="O222" t="n">
        <v>11.40614215381268</v>
      </c>
      <c r="P222" t="n">
        <v>2.816738788312572</v>
      </c>
      <c r="Q222" t="n">
        <v>6.589508550849948</v>
      </c>
      <c r="R222" t="inlineStr">
        <is>
          <t>Operationnel</t>
        </is>
      </c>
      <c r="S222" t="inlineStr"/>
      <c r="T222" t="inlineStr"/>
      <c r="U222" t="inlineStr"/>
      <c r="V222" t="inlineStr"/>
      <c r="W222" t="inlineStr"/>
      <c r="X222" t="inlineStr">
        <is>
          <t xml:space="preserve">{05-25-2026 top offenders}: grid outage </t>
        </is>
      </c>
      <c r="Y222" t="inlineStr">
        <is>
          <t>grid outage</t>
        </is>
      </c>
      <c r="Z222" t="inlineStr"/>
      <c r="AA222" t="inlineStr"/>
      <c r="AB222" t="inlineStr">
        <is>
          <t xml:space="preserve">{05-25-2026 top offenders}: grid outage </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row>
    <row r="223">
      <c r="A223" t="inlineStr">
        <is>
          <t>Akongo-IHS</t>
        </is>
      </c>
      <c r="B223" t="inlineStr">
        <is>
          <t>CTR_436</t>
        </is>
      </c>
      <c r="C223" t="inlineStr">
        <is>
          <t>CENTRE</t>
        </is>
      </c>
      <c r="D223" t="inlineStr">
        <is>
          <t>IHS</t>
        </is>
      </c>
      <c r="E223" t="inlineStr">
        <is>
          <t>Gen Only</t>
        </is>
      </c>
      <c r="F223" t="inlineStr">
        <is>
          <t>CENTRE</t>
        </is>
      </c>
      <c r="G223" t="inlineStr">
        <is>
          <t>Akongo</t>
        </is>
      </c>
      <c r="H223" t="inlineStr">
        <is>
          <t>NOKIA</t>
        </is>
      </c>
      <c r="I223" t="n">
        <v>4.375426258371785</v>
      </c>
      <c r="J223" t="n">
        <v>8.980068943278743</v>
      </c>
      <c r="K223" t="n">
        <v>6.296175017763739</v>
      </c>
      <c r="L223" t="n">
        <v>5.89879163777384</v>
      </c>
      <c r="M223" t="n">
        <v>7.581941483821444</v>
      </c>
      <c r="N223" t="n">
        <v>22.29348764432934</v>
      </c>
      <c r="O223" t="n">
        <v>9.759017428793891</v>
      </c>
      <c r="P223" t="n">
        <v>0</v>
      </c>
      <c r="Q223" t="n">
        <v>6.459722685934259</v>
      </c>
      <c r="R223" t="inlineStr">
        <is>
          <t>EXCLU</t>
        </is>
      </c>
      <c r="S223" t="inlineStr"/>
      <c r="T223" t="inlineStr"/>
      <c r="U223" t="inlineStr"/>
      <c r="V223" t="inlineStr"/>
      <c r="W223" t="inlineStr"/>
      <c r="X223" t="inlineStr">
        <is>
          <t>{05-25-2026 ocm ran 22H}: Power status check Ongoing     ;    {05-25-2026 ticket}: INC-20260525-00017856..Others</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{05-25-2026 ocm ran 22H}: Power status check Ongoing</t>
        </is>
      </c>
      <c r="AP223" t="inlineStr"/>
      <c r="AQ223" t="inlineStr">
        <is>
          <t>{05-25-2026 ticket}: INC-20260525-00017856..Others</t>
        </is>
      </c>
      <c r="AR223" t="inlineStr"/>
    </row>
    <row r="224">
      <c r="A224" t="inlineStr">
        <is>
          <t>Bonamoutongo-III</t>
        </is>
      </c>
      <c r="B224" t="inlineStr">
        <is>
          <t>LIT_718</t>
        </is>
      </c>
      <c r="C224" t="inlineStr">
        <is>
          <t>Douala</t>
        </is>
      </c>
      <c r="D224" t="inlineStr">
        <is>
          <t>CAMUSAT</t>
        </is>
      </c>
      <c r="E224" t="inlineStr">
        <is>
          <t>Good Grid no GE - 8h</t>
        </is>
      </c>
      <c r="F224" t="inlineStr">
        <is>
          <t>LITTORAL</t>
        </is>
      </c>
      <c r="G224" t="inlineStr">
        <is>
          <t>Douala</t>
        </is>
      </c>
      <c r="H224" t="inlineStr">
        <is>
          <t>ZTE</t>
        </is>
      </c>
      <c r="I224" t="n">
        <v>10.74520664435142</v>
      </c>
      <c r="J224" t="n">
        <v>7.987172298270995</v>
      </c>
      <c r="K224" t="n">
        <v>3.964274197920857</v>
      </c>
      <c r="L224" t="n">
        <v>0.3856300633787344</v>
      </c>
      <c r="M224" t="n">
        <v>10.8750816846587</v>
      </c>
      <c r="N224" t="n">
        <v>1.761027780775272</v>
      </c>
      <c r="O224" t="n">
        <v>1.969494510575939</v>
      </c>
      <c r="P224" t="n">
        <v>10.56037643340403</v>
      </c>
      <c r="Q224" t="n">
        <v>6.419772110503293</v>
      </c>
      <c r="R224" t="inlineStr">
        <is>
          <t>Operationnel</t>
        </is>
      </c>
      <c r="S224" t="inlineStr"/>
      <c r="T224" t="inlineStr"/>
      <c r="U224" t="inlineStr"/>
      <c r="V224" t="inlineStr"/>
      <c r="W224" t="inlineStr"/>
      <c r="X224" t="inlineStr">
        <is>
          <t>{05-25-2026 top offenders}: grid outage      ;    {05-25-2026 retour CAMUSAT}: Pas d'ATS</t>
        </is>
      </c>
      <c r="Y224" t="inlineStr">
        <is>
          <t>grid outage Pas d'ATS</t>
        </is>
      </c>
      <c r="Z224" t="inlineStr"/>
      <c r="AA224" t="inlineStr"/>
      <c r="AB224" t="inlineStr">
        <is>
          <t xml:space="preserve">{05-25-2026 top offenders}: grid outage </t>
        </is>
      </c>
      <c r="AC224" t="inlineStr">
        <is>
          <t>{05-25-2026 retour CAMUSAT}: Pas d'ATS</t>
        </is>
      </c>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row>
    <row r="225">
      <c r="A225" t="inlineStr">
        <is>
          <t>CRTV_Yaounde_Mballa_II</t>
        </is>
      </c>
      <c r="B225" t="inlineStr">
        <is>
          <t>CTR_842</t>
        </is>
      </c>
      <c r="C225" t="inlineStr">
        <is>
          <t>Yaounde</t>
        </is>
      </c>
      <c r="D225" t="inlineStr">
        <is>
          <t>CAMUSAT</t>
        </is>
      </c>
      <c r="E225" t="inlineStr">
        <is>
          <t>Good Grid no GE - 8h</t>
        </is>
      </c>
      <c r="F225" t="inlineStr">
        <is>
          <t>CENTRE</t>
        </is>
      </c>
      <c r="G225" t="inlineStr">
        <is>
          <t>Yaounde</t>
        </is>
      </c>
      <c r="H225" t="inlineStr">
        <is>
          <t>ZTE</t>
        </is>
      </c>
      <c r="I225" t="n">
        <v>0</v>
      </c>
      <c r="J225" t="n">
        <v>0.6451304528968443</v>
      </c>
      <c r="K225" t="n">
        <v>0.3373683414518614</v>
      </c>
      <c r="L225" t="n">
        <v>3.53093530004309</v>
      </c>
      <c r="M225" t="n">
        <v>0</v>
      </c>
      <c r="N225" t="n">
        <v>0</v>
      </c>
      <c r="O225" t="n">
        <v>12.31364391335244</v>
      </c>
      <c r="P225" t="n">
        <v>4.223808570109025</v>
      </c>
      <c r="Q225" t="n">
        <v>6.33650012983937</v>
      </c>
      <c r="R225" t="inlineStr">
        <is>
          <t>Operationnel</t>
        </is>
      </c>
      <c r="S225" t="inlineStr"/>
      <c r="T225" t="inlineStr"/>
      <c r="U225" t="inlineStr"/>
      <c r="V225" t="inlineStr"/>
      <c r="W225" t="inlineStr"/>
      <c r="X225" t="inlineStr">
        <is>
          <t>{05-25-2026 top offenders}: Power status check Ongoing     ;    {05-25-2026 ocm ran 17H}: Power status check Ongoing     ;    {05-25-2026 ticket}: INC-20260525-00018206..Others</t>
        </is>
      </c>
      <c r="Y225" t="inlineStr"/>
      <c r="Z225" t="inlineStr"/>
      <c r="AA225" t="inlineStr"/>
      <c r="AB225" t="inlineStr">
        <is>
          <t>{05-25-2026 top offenders}: Power status check Ongoing</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{05-25-2026 ocm ran 17H}: Power status check Ongoing</t>
        </is>
      </c>
      <c r="AQ225" t="inlineStr">
        <is>
          <t>{05-25-2026 ticket}: INC-20260525-00018206..Others</t>
        </is>
      </c>
      <c r="AR225" t="inlineStr"/>
    </row>
    <row r="226">
      <c r="A226" t="inlineStr">
        <is>
          <t>Maroua-Diguirwo-IHS</t>
        </is>
      </c>
      <c r="B226" t="inlineStr">
        <is>
          <t>EXN_114</t>
        </is>
      </c>
      <c r="C226" t="inlineStr">
        <is>
          <t>Maroua</t>
        </is>
      </c>
      <c r="D226" t="inlineStr">
        <is>
          <t>IHS</t>
        </is>
      </c>
      <c r="E226" t="inlineStr">
        <is>
          <t>Grid-Gen</t>
        </is>
      </c>
      <c r="F226" t="inlineStr">
        <is>
          <t>EXTREME-NORD</t>
        </is>
      </c>
      <c r="G226" t="inlineStr">
        <is>
          <t>Maroua</t>
        </is>
      </c>
      <c r="H226" t="inlineStr">
        <is>
          <t>Huawei</t>
        </is>
      </c>
      <c r="I226" t="n">
        <v>0</v>
      </c>
      <c r="J226" t="n">
        <v>13.09487120219843</v>
      </c>
      <c r="K226" t="n">
        <v>8.572162867081582</v>
      </c>
      <c r="L226" t="n">
        <v>3.058537580650224</v>
      </c>
      <c r="M226" t="n">
        <v>0.1530428070415743</v>
      </c>
      <c r="N226" t="n">
        <v>4.622385685566866</v>
      </c>
      <c r="O226" t="n">
        <v>5.914433666200857</v>
      </c>
      <c r="P226" t="n">
        <v>6.790645581755741</v>
      </c>
      <c r="Q226" t="n">
        <v>6.186863822756418</v>
      </c>
      <c r="R226" t="inlineStr">
        <is>
          <t>Operationnel</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row>
    <row r="227">
      <c r="A227" t="inlineStr">
        <is>
          <t>Maroua-Loperey</t>
        </is>
      </c>
      <c r="B227" t="inlineStr">
        <is>
          <t>EXN_082</t>
        </is>
      </c>
      <c r="C227" t="inlineStr">
        <is>
          <t>Maroua</t>
        </is>
      </c>
      <c r="D227" t="inlineStr">
        <is>
          <t>IHS</t>
        </is>
      </c>
      <c r="E227" t="inlineStr">
        <is>
          <t>Grid-Lithium</t>
        </is>
      </c>
      <c r="F227" t="inlineStr">
        <is>
          <t>EXTREME-NORD</t>
        </is>
      </c>
      <c r="G227" t="inlineStr">
        <is>
          <t>Maroua</t>
        </is>
      </c>
      <c r="H227" t="inlineStr">
        <is>
          <t>Huawei</t>
        </is>
      </c>
      <c r="I227" t="n">
        <v>0</v>
      </c>
      <c r="J227" t="n">
        <v>3.226098141442158</v>
      </c>
      <c r="K227" t="n">
        <v>0</v>
      </c>
      <c r="L227" t="n">
        <v>0.8024001734996418</v>
      </c>
      <c r="M227" t="n">
        <v>0</v>
      </c>
      <c r="N227" t="n">
        <v>13.83655763781479</v>
      </c>
      <c r="O227" t="n">
        <v>11.77170354050002</v>
      </c>
      <c r="P227" t="n">
        <v>0.4704254739344275</v>
      </c>
      <c r="Q227" t="n">
        <v>6.173077307217072</v>
      </c>
      <c r="R227" t="inlineStr">
        <is>
          <t>Operationnel</t>
        </is>
      </c>
      <c r="S227" t="inlineStr"/>
      <c r="T227" t="inlineStr"/>
      <c r="U227" t="inlineStr"/>
      <c r="V227" t="inlineStr"/>
      <c r="W227" t="inlineStr"/>
      <c r="X227" t="inlineStr">
        <is>
          <t>{05-25-2026 retour IHS}: IHS     ;    {None hourly IHS}: 25/05/2026 00:27..5:55:53..46.3V..Grid only no space // awaiting grid return</t>
        </is>
      </c>
      <c r="Y227" t="inlineStr">
        <is>
          <t>IHS 25/05/2026 00 27.5 55 53.46.3V.Grid only no space // awaiting grid return</t>
        </is>
      </c>
      <c r="Z227" t="inlineStr"/>
      <c r="AA227" t="inlineStr"/>
      <c r="AB227" t="inlineStr"/>
      <c r="AC227" t="inlineStr"/>
      <c r="AD227" t="inlineStr">
        <is>
          <t>{05-25-2026 retour IHS}: IHS</t>
        </is>
      </c>
      <c r="AE227" t="inlineStr">
        <is>
          <t>{None hourly IHS}: 25/05/2026 00:27..5:55:53..46.3V..Grid only no space // awaiting grid return</t>
        </is>
      </c>
      <c r="AF227" t="inlineStr"/>
      <c r="AG227" t="inlineStr"/>
      <c r="AH227" t="inlineStr"/>
      <c r="AI227" t="inlineStr"/>
      <c r="AJ227" t="inlineStr"/>
      <c r="AK227" t="inlineStr"/>
      <c r="AL227" t="inlineStr"/>
      <c r="AM227" t="inlineStr"/>
      <c r="AN227" t="inlineStr"/>
      <c r="AO227" t="inlineStr"/>
      <c r="AP227" t="inlineStr"/>
      <c r="AQ227" t="inlineStr"/>
      <c r="AR227" t="inlineStr"/>
    </row>
    <row r="228">
      <c r="A228" t="inlineStr">
        <is>
          <t>Nkol-Mbanda</t>
        </is>
      </c>
      <c r="B228" t="inlineStr">
        <is>
          <t>CTR_262</t>
        </is>
      </c>
      <c r="C228" t="inlineStr">
        <is>
          <t>Yaounde</t>
        </is>
      </c>
      <c r="D228" t="inlineStr">
        <is>
          <t>IHS</t>
        </is>
      </c>
      <c r="E228" t="inlineStr">
        <is>
          <t>Grid-Gen</t>
        </is>
      </c>
      <c r="F228" t="inlineStr">
        <is>
          <t>CENTRE</t>
        </is>
      </c>
      <c r="G228" t="inlineStr">
        <is>
          <t>Yaounde</t>
        </is>
      </c>
      <c r="H228" t="inlineStr">
        <is>
          <t>ZTE</t>
        </is>
      </c>
      <c r="I228" t="n">
        <v>0</v>
      </c>
      <c r="J228" t="n">
        <v>0</v>
      </c>
      <c r="K228" t="n">
        <v>0</v>
      </c>
      <c r="L228" t="n">
        <v>1.947661892572903</v>
      </c>
      <c r="M228" t="n">
        <v>6.163803066492026</v>
      </c>
      <c r="N228" t="n">
        <v>0</v>
      </c>
      <c r="O228" t="n">
        <v>0</v>
      </c>
      <c r="P228" t="n">
        <v>11.81963240943207</v>
      </c>
      <c r="Q228" t="n">
        <v>6.163803066492026</v>
      </c>
      <c r="R228" t="inlineStr">
        <is>
          <t>Operationnel</t>
        </is>
      </c>
      <c r="S228" t="inlineStr"/>
      <c r="T228" t="inlineStr"/>
      <c r="U228" t="inlineStr"/>
      <c r="V228" t="inlineStr"/>
      <c r="W228" t="inlineStr"/>
      <c r="X228" t="inlineStr">
        <is>
          <t>{05-25-2026 retour IHS}: IHS</t>
        </is>
      </c>
      <c r="Y228" t="inlineStr">
        <is>
          <t>IHS</t>
        </is>
      </c>
      <c r="Z228" t="inlineStr"/>
      <c r="AA228" t="inlineStr"/>
      <c r="AB228" t="inlineStr"/>
      <c r="AC228" t="inlineStr"/>
      <c r="AD228" t="inlineStr">
        <is>
          <t>{05-25-2026 retour IHS}: IHS</t>
        </is>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row>
    <row r="229">
      <c r="A229" t="inlineStr">
        <is>
          <t>Tagawa-IHS</t>
        </is>
      </c>
      <c r="B229" t="inlineStr">
        <is>
          <t>EXN_274</t>
        </is>
      </c>
      <c r="C229" t="inlineStr">
        <is>
          <t>EXTREME-NORD</t>
        </is>
      </c>
      <c r="D229" t="inlineStr">
        <is>
          <t>IHS</t>
        </is>
      </c>
      <c r="E229" t="inlineStr">
        <is>
          <t>Gen Only</t>
        </is>
      </c>
      <c r="F229" t="inlineStr">
        <is>
          <t>EXTREME-NORD</t>
        </is>
      </c>
      <c r="G229" t="inlineStr">
        <is>
          <t>Tagawa</t>
        </is>
      </c>
      <c r="H229" t="inlineStr">
        <is>
          <t>NOKIA</t>
        </is>
      </c>
      <c r="I229" t="n">
        <v>7.321231875993415</v>
      </c>
      <c r="J229" t="n">
        <v>4.940176916676969</v>
      </c>
      <c r="K229" t="n">
        <v>9.022238596093437</v>
      </c>
      <c r="L229" t="n">
        <v>6.163446364925678</v>
      </c>
      <c r="M229" t="n">
        <v>6.163303684299138</v>
      </c>
      <c r="N229" t="n">
        <v>21.57846040709967</v>
      </c>
      <c r="O229" t="n">
        <v>9.180207472688883</v>
      </c>
      <c r="P229" t="n">
        <v>0</v>
      </c>
      <c r="Q229" t="n">
        <v>6.163303684299138</v>
      </c>
      <c r="R229" t="inlineStr">
        <is>
          <t>Insecurity</t>
        </is>
      </c>
      <c r="S229" t="inlineStr"/>
      <c r="T229" t="inlineStr"/>
      <c r="U229" t="inlineStr"/>
      <c r="V229" t="inlineStr"/>
      <c r="W229" t="inlineStr"/>
      <c r="X22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ocm ran 22H}: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     ;    {05-25-2026 ocm ran 17H}: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t>
        </is>
      </c>
      <c r="Y229"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t>
        </is>
      </c>
      <c r="Z229" t="inlineStr"/>
      <c r="AA22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{05-25-2026 ocm ran 22H}: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t>
        </is>
      </c>
      <c r="AP229" t="inlineStr">
        <is>
          <t>{05-25-2026 ocm ran 17H}: 23/05/2026   defaut Carte EAC. Commande passee au SPM Car spare pas disponible chez Huawei. Commande passée à OCM
21/05/2026   defaut Carte EAC. Commande passee au SPM Car spare pas disponible chez Huawei. Commande passée à OCM
18/05/2026  defaut Carte EAC. Commande passee au SPM Car spare pas disponible chez Huawei. Commande passée à OCM</t>
        </is>
      </c>
      <c r="AQ229" t="inlineStr"/>
      <c r="AR229" t="inlineStr"/>
    </row>
    <row r="230">
      <c r="A230" t="inlineStr">
        <is>
          <t>Fio-MTN</t>
        </is>
      </c>
      <c r="B230" t="inlineStr">
        <is>
          <t>EST_084</t>
        </is>
      </c>
      <c r="C230" t="inlineStr">
        <is>
          <t>CENTRE</t>
        </is>
      </c>
      <c r="D230" t="inlineStr">
        <is>
          <t>IHS</t>
        </is>
      </c>
      <c r="E230" t="inlineStr">
        <is>
          <t>Grid-Gen</t>
        </is>
      </c>
      <c r="F230" t="inlineStr">
        <is>
          <t>EST</t>
        </is>
      </c>
      <c r="G230" t="inlineStr">
        <is>
          <t>Fio</t>
        </is>
      </c>
      <c r="H230" t="inlineStr">
        <is>
          <t>NOKIA</t>
        </is>
      </c>
      <c r="I230" t="n">
        <v>6.162768631949616</v>
      </c>
      <c r="J230" t="n">
        <v>6.162804302106252</v>
      </c>
      <c r="K230" t="n">
        <v>6.162768631949616</v>
      </c>
      <c r="L230" t="n">
        <v>6.162982652889426</v>
      </c>
      <c r="M230" t="n">
        <v>6.163125333515965</v>
      </c>
      <c r="N230" t="n">
        <v>21.57446374830642</v>
      </c>
      <c r="O230" t="n">
        <v>9.180207472688883</v>
      </c>
      <c r="P230" t="n">
        <v>0</v>
      </c>
      <c r="Q230" t="n">
        <v>6.162732961792982</v>
      </c>
      <c r="R230" t="inlineStr">
        <is>
          <t>Operationnel</t>
        </is>
      </c>
      <c r="S230" t="inlineStr"/>
      <c r="T230" t="inlineStr"/>
      <c r="U230" t="inlineStr"/>
      <c r="V230" t="inlineStr"/>
      <c r="W230" t="inlineStr"/>
      <c r="X230" t="inlineStr">
        <is>
          <t>{05-25-2026 top offenders}: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     ;    {05-25-2026 ocm ran 22H}: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     ;    {05-25-2026 ocm ran 17H}: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t>
        </is>
      </c>
      <c r="Y230" t="inlineStr">
        <is>
          <t>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t>
        </is>
      </c>
      <c r="Z230" t="inlineStr"/>
      <c r="AA230" t="inlineStr"/>
      <c r="AB230" t="inlineStr">
        <is>
          <t>{05-25-2026 top offenders}: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t>
        </is>
      </c>
      <c r="AC230" t="inlineStr"/>
      <c r="AD230" t="inlineStr"/>
      <c r="AE230" t="inlineStr"/>
      <c r="AF230" t="inlineStr"/>
      <c r="AG230" t="inlineStr"/>
      <c r="AH230" t="inlineStr"/>
      <c r="AI230" t="inlineStr"/>
      <c r="AJ230" t="inlineStr"/>
      <c r="AK230" t="inlineStr"/>
      <c r="AL230" t="inlineStr"/>
      <c r="AM230" t="inlineStr"/>
      <c r="AN230" t="inlineStr"/>
      <c r="AO230" t="inlineStr">
        <is>
          <t>{05-25-2026 ocm ran 22H}: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t>
        </is>
      </c>
      <c r="AP230" t="inlineStr">
        <is>
          <t>{05-25-2026 ocm ran 17H}: 23/05/2026  ODU MPT-MC 7/8GHz(3DB20858AC)Faulty. Pas disponible au WH point transmis a OCM 
22/05/2026  ODU MPT-MC 7/8GHz(3DB20858AC)Faulty. Pas disponible au WH point transmis a OCM 
21/05/2026  ODU MPT-MC 7/8GHz(3DB20858AC)Faulty. Pas disponible au WH point transmis a OCM 
15/05/2026 ODU MPT-MC 7/8GHz(3DB20858AC)Faulty. Pas disponible au WH point transmis a OCM 
14/05/2026 ODU MPT-MC 7/8GHz(3DB20858AC)Faulty. Pas disponible au WH point transmis a OCM 
13/05/2026 ODU MPT-MC 7/8GHz(3DB20858AC)Faulty. Pas disponible au WH point transmis a OCM 
12.05.2026: ODU MPT-MC 7/8GHz(3DB20858AC)Faulty. Commande en Cours Update ASAP
12.05.2026 FME :Présent sur fio. Et après troobleshoting avec le BO duboa, L'odu 5.2 en direction de ndemba est faulty.</t>
        </is>
      </c>
      <c r="AQ230" t="inlineStr"/>
      <c r="AR230" t="inlineStr"/>
    </row>
    <row r="231">
      <c r="A231" t="inlineStr">
        <is>
          <t>Ndoghem-PK12-IHS</t>
        </is>
      </c>
      <c r="B231" t="inlineStr">
        <is>
          <t>LIT_159</t>
        </is>
      </c>
      <c r="C231" t="inlineStr">
        <is>
          <t>Douala</t>
        </is>
      </c>
      <c r="D231" t="inlineStr">
        <is>
          <t>IHS</t>
        </is>
      </c>
      <c r="E231" t="inlineStr">
        <is>
          <t>Grid-Gen</t>
        </is>
      </c>
      <c r="F231" t="inlineStr">
        <is>
          <t>LITTORAL</t>
        </is>
      </c>
      <c r="G231" t="inlineStr">
        <is>
          <t>Douala</t>
        </is>
      </c>
      <c r="H231" t="inlineStr">
        <is>
          <t>ZTE</t>
        </is>
      </c>
      <c r="I231" t="n">
        <v>0</v>
      </c>
      <c r="J231" t="n">
        <v>0</v>
      </c>
      <c r="K231" t="n">
        <v>0</v>
      </c>
      <c r="L231" t="n">
        <v>0</v>
      </c>
      <c r="M231" t="n">
        <v>0</v>
      </c>
      <c r="N231" t="n">
        <v>5.864222509981656</v>
      </c>
      <c r="O231" t="n">
        <v>4.981856339953284</v>
      </c>
      <c r="P231" t="n">
        <v>6.956722361212345</v>
      </c>
      <c r="Q231" t="n">
        <v>6.137728181991994</v>
      </c>
      <c r="R231" t="inlineStr">
        <is>
          <t>Operationnel</t>
        </is>
      </c>
      <c r="S231" t="inlineStr"/>
      <c r="T231" t="inlineStr"/>
      <c r="U231" t="inlineStr"/>
      <c r="V231" t="inlineStr"/>
      <c r="W231" t="inlineStr"/>
      <c r="X231" t="inlineStr">
        <is>
          <t>{05-25-2026 top offenders}: Power status check Ongoing     ;    {05-25-2026 ocm ran 17H}: Power status check Ongoing     ;    {05-25-2026 ticket}: INC-20260525-00016180..Grid Outage</t>
        </is>
      </c>
      <c r="Y231" t="inlineStr">
        <is>
          <t>.Grid Outage</t>
        </is>
      </c>
      <c r="Z231" t="inlineStr"/>
      <c r="AA231" t="inlineStr"/>
      <c r="AB231" t="inlineStr">
        <is>
          <t>{05-25-2026 top offenders}: Power status check Ongoing</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{05-25-2026 ocm ran 17H}: Power status check Ongoing</t>
        </is>
      </c>
      <c r="AQ231" t="inlineStr">
        <is>
          <t>{05-25-2026 ticket}: INC-20260525-00016180..Grid Outage</t>
        </is>
      </c>
      <c r="AR231" t="inlineStr"/>
    </row>
    <row r="232">
      <c r="A232" t="inlineStr">
        <is>
          <t>Manguier</t>
        </is>
      </c>
      <c r="B232" t="inlineStr">
        <is>
          <t>CTR_049</t>
        </is>
      </c>
      <c r="C232" t="inlineStr">
        <is>
          <t>Yaounde</t>
        </is>
      </c>
      <c r="D232" t="inlineStr">
        <is>
          <t>IHS</t>
        </is>
      </c>
      <c r="E232" t="inlineStr">
        <is>
          <t>Grid-Gen</t>
        </is>
      </c>
      <c r="F232" t="inlineStr">
        <is>
          <t>CENTRE</t>
        </is>
      </c>
      <c r="G232" t="inlineStr">
        <is>
          <t>Yaounde</t>
        </is>
      </c>
      <c r="H232" t="inlineStr">
        <is>
          <t>ZTE</t>
        </is>
      </c>
      <c r="I232" t="n">
        <v>0</v>
      </c>
      <c r="J232" t="n">
        <v>0</v>
      </c>
      <c r="K232" t="n">
        <v>0</v>
      </c>
      <c r="L232" t="n">
        <v>0.001391136108756881</v>
      </c>
      <c r="M232" t="n">
        <v>0</v>
      </c>
      <c r="N232" t="n">
        <v>4.318764512867243</v>
      </c>
      <c r="O232" t="n">
        <v>4.784492504530602</v>
      </c>
      <c r="P232" t="n">
        <v>7.483886174751076</v>
      </c>
      <c r="Q232" t="n">
        <v>6.12568950412775</v>
      </c>
      <c r="R232" t="inlineStr">
        <is>
          <t>Operationnel</t>
        </is>
      </c>
      <c r="S232" t="inlineStr"/>
      <c r="T232" t="inlineStr"/>
      <c r="U232" t="inlineStr"/>
      <c r="V232" t="inlineStr"/>
      <c r="W232" t="inlineStr"/>
      <c r="X232" t="inlineStr">
        <is>
          <t>{05-25-2026 retour IHS}: IHS     ;    {None hourly IHS}: 25/05/2026 08:10..3:50:00..44..FME is informed and managing with L0.     ;    {05-25-2026 ticket}: INC-20260525-00009708..Grid Outage</t>
        </is>
      </c>
      <c r="Y232" t="inlineStr">
        <is>
          <t>IHS 25/05/2026 08 10.3 50 00.44.FME is informed and managing with L0. .Grid Outage</t>
        </is>
      </c>
      <c r="Z232" t="inlineStr">
        <is>
          <t>CTR_049</t>
        </is>
      </c>
      <c r="AA232" t="inlineStr"/>
      <c r="AB232" t="inlineStr"/>
      <c r="AC232" t="inlineStr"/>
      <c r="AD232" t="inlineStr">
        <is>
          <t>{05-25-2026 retour IHS}: IHS</t>
        </is>
      </c>
      <c r="AE232" t="inlineStr">
        <is>
          <t>{None hourly IHS}: 25/05/2026 08:10..3:50:00..44..FME is informed and managing with L0.</t>
        </is>
      </c>
      <c r="AF232" t="inlineStr"/>
      <c r="AG232" t="inlineStr"/>
      <c r="AH232" t="inlineStr"/>
      <c r="AI232" t="inlineStr"/>
      <c r="AJ232" t="inlineStr"/>
      <c r="AK232" t="inlineStr"/>
      <c r="AL232" t="inlineStr"/>
      <c r="AM232" t="inlineStr"/>
      <c r="AN232" t="inlineStr"/>
      <c r="AO232" t="inlineStr"/>
      <c r="AP232" t="inlineStr"/>
      <c r="AQ232" t="inlineStr">
        <is>
          <t>{05-25-2026 ticket}: INC-20260525-00009708..Grid Outage</t>
        </is>
      </c>
      <c r="AR232" t="inlineStr"/>
    </row>
    <row r="233">
      <c r="A233" t="inlineStr">
        <is>
          <t>Bambili-Campus-II-IHS</t>
        </is>
      </c>
      <c r="B233" t="inlineStr">
        <is>
          <t>NRO_129</t>
        </is>
      </c>
      <c r="C233" t="inlineStr">
        <is>
          <t>NORD-OUEST</t>
        </is>
      </c>
      <c r="D233" t="inlineStr">
        <is>
          <t>IHS</t>
        </is>
      </c>
      <c r="E233" t="inlineStr">
        <is>
          <t>GenOnly</t>
        </is>
      </c>
      <c r="F233" t="inlineStr">
        <is>
          <t>NORD-OUEST</t>
        </is>
      </c>
      <c r="G233" t="inlineStr">
        <is>
          <t>Bamenda</t>
        </is>
      </c>
      <c r="H233" t="inlineStr">
        <is>
          <t>Huawei</t>
        </is>
      </c>
      <c r="I233" t="n">
        <v>0</v>
      </c>
      <c r="J233" t="n">
        <v>0</v>
      </c>
      <c r="K233" t="n">
        <v>0</v>
      </c>
      <c r="L233" t="n">
        <v>0</v>
      </c>
      <c r="M233" t="n">
        <v>0</v>
      </c>
      <c r="N233" t="n">
        <v>3.448991642986464</v>
      </c>
      <c r="O233" t="n">
        <v>4.406287082088055</v>
      </c>
      <c r="P233" t="n">
        <v>7.76843288090407</v>
      </c>
      <c r="Q233" t="n">
        <v>6.022905947784598</v>
      </c>
      <c r="R233" t="inlineStr">
        <is>
          <t>Insecurity</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row>
    <row r="234">
      <c r="A234" t="inlineStr">
        <is>
          <t>Maroua-Djarengol-II</t>
        </is>
      </c>
      <c r="B234" t="inlineStr">
        <is>
          <t>EXN_143</t>
        </is>
      </c>
      <c r="C234" t="inlineStr">
        <is>
          <t>Maroua</t>
        </is>
      </c>
      <c r="D234" t="inlineStr">
        <is>
          <t>IHS</t>
        </is>
      </c>
      <c r="E234" t="inlineStr">
        <is>
          <t>Solar-Grid-Gen</t>
        </is>
      </c>
      <c r="F234" t="inlineStr">
        <is>
          <t>EXTREME-NORD</t>
        </is>
      </c>
      <c r="G234" t="inlineStr">
        <is>
          <t>Maroua</t>
        </is>
      </c>
      <c r="H234" t="inlineStr">
        <is>
          <t>Huawei</t>
        </is>
      </c>
      <c r="I234" t="n">
        <v>0.2079570131808363</v>
      </c>
      <c r="J234" t="n">
        <v>3.333197786738121</v>
      </c>
      <c r="K234" t="n">
        <v>13.09929430162114</v>
      </c>
      <c r="L234" t="n">
        <v>0.9257297400644345</v>
      </c>
      <c r="M234" t="n">
        <v>14.17952932514918</v>
      </c>
      <c r="N234" t="n">
        <v>6.522672046169403</v>
      </c>
      <c r="O234" t="n">
        <v>8.279612119233894</v>
      </c>
      <c r="P234" t="n">
        <v>4.15397150593061</v>
      </c>
      <c r="Q234" t="n">
        <v>5.877246863166425</v>
      </c>
      <c r="R234" t="inlineStr">
        <is>
          <t>Operationnel</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row>
    <row r="235">
      <c r="A235" t="inlineStr">
        <is>
          <t>Nsimalen-highway-I</t>
        </is>
      </c>
      <c r="B235" t="inlineStr">
        <is>
          <t>CTR_724</t>
        </is>
      </c>
      <c r="C235" t="inlineStr">
        <is>
          <t>Yaounde</t>
        </is>
      </c>
      <c r="D235" t="inlineStr"/>
      <c r="E235" t="inlineStr"/>
      <c r="F235" t="inlineStr">
        <is>
          <t>CENTRE</t>
        </is>
      </c>
      <c r="G235" t="inlineStr">
        <is>
          <t>Yaounde</t>
        </is>
      </c>
      <c r="H235" t="inlineStr">
        <is>
          <t>ZTE</t>
        </is>
      </c>
      <c r="I235" t="n">
        <v>0</v>
      </c>
      <c r="J235" t="n">
        <v>2.964707233622405</v>
      </c>
      <c r="K235" t="n">
        <v>0</v>
      </c>
      <c r="L235" t="n">
        <v>0</v>
      </c>
      <c r="M235" t="n">
        <v>0</v>
      </c>
      <c r="N235" t="n">
        <v>4.608772066552362</v>
      </c>
      <c r="O235" t="n">
        <v>4.206798198639291</v>
      </c>
      <c r="P235" t="n">
        <v>7.193935817207196</v>
      </c>
      <c r="Q235" t="n">
        <v>5.821958120382499</v>
      </c>
      <c r="R235" t="inlineStr">
        <is>
          <t>Operationnel</t>
        </is>
      </c>
      <c r="S235" t="inlineStr"/>
      <c r="T235" t="inlineStr"/>
      <c r="U235" t="inlineStr"/>
      <c r="V235" t="inlineStr"/>
      <c r="W235" t="inlineStr"/>
      <c r="X235" t="inlineStr">
        <is>
          <t>{05-25-2026 ticket}: INC-20260525-00019024..Grid Outage</t>
        </is>
      </c>
      <c r="Y235" t="inlineStr">
        <is>
          <t>.Grid Outage</t>
        </is>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{05-25-2026 ticket}: INC-20260525-00019024..Grid Outage</t>
        </is>
      </c>
      <c r="AR235" t="inlineStr"/>
    </row>
    <row r="236">
      <c r="A236" t="inlineStr">
        <is>
          <t>LIMBE-ALPHA-CLUB-TOWE-IHS</t>
        </is>
      </c>
      <c r="B236" t="inlineStr">
        <is>
          <t>SUO_208</t>
        </is>
      </c>
      <c r="C236" t="inlineStr">
        <is>
          <t>SUD-OUEST</t>
        </is>
      </c>
      <c r="D236" t="inlineStr">
        <is>
          <t>IHS</t>
        </is>
      </c>
      <c r="E236" t="inlineStr">
        <is>
          <t>Grid-Gen</t>
        </is>
      </c>
      <c r="F236" t="inlineStr">
        <is>
          <t>SUD-OUEST</t>
        </is>
      </c>
      <c r="G236" t="inlineStr">
        <is>
          <t>Limbe</t>
        </is>
      </c>
      <c r="H236" t="inlineStr">
        <is>
          <t>Huawei</t>
        </is>
      </c>
      <c r="I236" t="n">
        <v>0</v>
      </c>
      <c r="J236" t="n">
        <v>0</v>
      </c>
      <c r="K236" t="n">
        <v>0</v>
      </c>
      <c r="L236" t="n">
        <v>0</v>
      </c>
      <c r="M236" t="n">
        <v>2.150785599529724</v>
      </c>
      <c r="N236" t="n">
        <v>12.52390501540712</v>
      </c>
      <c r="O236" t="n">
        <v>10.67039740098126</v>
      </c>
      <c r="P236" t="n">
        <v>0.6785344531340632</v>
      </c>
      <c r="Q236" t="n">
        <v>5.724435912142978</v>
      </c>
      <c r="R236" t="inlineStr">
        <is>
          <t>Operationnel</t>
        </is>
      </c>
      <c r="S236" t="inlineStr"/>
      <c r="T236" t="inlineStr"/>
      <c r="U236" t="inlineStr"/>
      <c r="V236" t="inlineStr"/>
      <c r="W236" t="inlineStr"/>
      <c r="X236" t="inlineStr">
        <is>
          <t>{None hourly IHS}: 25/05/2026 06:40..16:19:32..Our FME GUY is ma,naging with level zero</t>
        </is>
      </c>
      <c r="Y236" t="inlineStr">
        <is>
          <t>25/05/2026 06 40.16 19 32.Our FME GUY is ma,naging with level zero</t>
        </is>
      </c>
      <c r="Z236" t="inlineStr"/>
      <c r="AA236" t="inlineStr"/>
      <c r="AB236" t="inlineStr"/>
      <c r="AC236" t="inlineStr"/>
      <c r="AD236" t="inlineStr"/>
      <c r="AE236" t="inlineStr">
        <is>
          <t>{None hourly IHS}: 25/05/2026 06:40..16:19:32..Our FME GUY is ma,naging with level zero</t>
        </is>
      </c>
      <c r="AF236" t="inlineStr"/>
      <c r="AG236" t="inlineStr"/>
      <c r="AH236" t="inlineStr"/>
      <c r="AI236" t="inlineStr"/>
      <c r="AJ236" t="inlineStr"/>
      <c r="AK236" t="inlineStr"/>
      <c r="AL236" t="inlineStr"/>
      <c r="AM236" t="inlineStr"/>
      <c r="AN236" t="inlineStr"/>
      <c r="AO236" t="inlineStr"/>
      <c r="AP236" t="inlineStr"/>
      <c r="AQ236" t="inlineStr"/>
      <c r="AR236" t="inlineStr"/>
    </row>
    <row r="237">
      <c r="A237" t="inlineStr">
        <is>
          <t>IHS-KUMBA ALASKA STREET</t>
        </is>
      </c>
      <c r="B237" t="inlineStr">
        <is>
          <t>SUO_230</t>
        </is>
      </c>
      <c r="C237" t="inlineStr">
        <is>
          <t>SUD-OUEST</t>
        </is>
      </c>
      <c r="D237" t="inlineStr">
        <is>
          <t>IHS</t>
        </is>
      </c>
      <c r="E237" t="inlineStr">
        <is>
          <t>Grid-Gen</t>
        </is>
      </c>
      <c r="F237" t="inlineStr">
        <is>
          <t>SUD-OUEST</t>
        </is>
      </c>
      <c r="G237" t="inlineStr">
        <is>
          <t>Kumba</t>
        </is>
      </c>
      <c r="H237" t="inlineStr">
        <is>
          <t>Huawei</t>
        </is>
      </c>
      <c r="I237" t="n">
        <v>0.009613107213076393</v>
      </c>
      <c r="J237" t="n">
        <v>0.005760730296518877</v>
      </c>
      <c r="K237" t="n">
        <v>0.00718753656191055</v>
      </c>
      <c r="L237" t="n">
        <v>0.01993961755884862</v>
      </c>
      <c r="M237" t="n">
        <v>0.002639591590974594</v>
      </c>
      <c r="N237" t="n">
        <v>7.800978382072588</v>
      </c>
      <c r="O237" t="n">
        <v>13.33324195626821</v>
      </c>
      <c r="P237" t="n">
        <v>0.1275672132152245</v>
      </c>
      <c r="Q237" t="n">
        <v>5.656626944380237</v>
      </c>
      <c r="R237" t="inlineStr">
        <is>
          <t>Operationnel</t>
        </is>
      </c>
      <c r="S237" t="inlineStr"/>
      <c r="T237" t="inlineStr"/>
      <c r="U237" t="inlineStr"/>
      <c r="V237" t="inlineStr"/>
      <c r="W237" t="inlineStr"/>
      <c r="X237" t="inlineStr">
        <is>
          <t>{05-25-2026 top offenders}: Power status check Ongoing     ;    {None hourly IHS}: 25/05/2026 19:26..3:33:44..FME Ndassie is managing with level 0     ;    {05-25-2026 ocm ran 22H}: Power status check Ongoing</t>
        </is>
      </c>
      <c r="Y237" t="inlineStr">
        <is>
          <t>25/05/2026 19 26.3 33 44.FME Ndassie is managing with level 0</t>
        </is>
      </c>
      <c r="Z237" t="inlineStr"/>
      <c r="AA237" t="inlineStr"/>
      <c r="AB237" t="inlineStr">
        <is>
          <t>{05-25-2026 top offenders}: Power status check Ongoing</t>
        </is>
      </c>
      <c r="AC237" t="inlineStr"/>
      <c r="AD237" t="inlineStr"/>
      <c r="AE237" t="inlineStr">
        <is>
          <t>{None hourly IHS}: 25/05/2026 19:26..3:33:44..FME Ndassie is managing with level 0</t>
        </is>
      </c>
      <c r="AF237" t="inlineStr"/>
      <c r="AG237" t="inlineStr"/>
      <c r="AH237" t="inlineStr"/>
      <c r="AI237" t="inlineStr"/>
      <c r="AJ237" t="inlineStr"/>
      <c r="AK237" t="inlineStr"/>
      <c r="AL237" t="inlineStr"/>
      <c r="AM237" t="inlineStr"/>
      <c r="AN237" t="inlineStr"/>
      <c r="AO237" t="inlineStr">
        <is>
          <t>{05-25-2026 ocm ran 22H}: Power status check Ongoing</t>
        </is>
      </c>
      <c r="AP237" t="inlineStr"/>
      <c r="AQ237" t="inlineStr"/>
      <c r="AR237" t="inlineStr"/>
    </row>
    <row r="238">
      <c r="A238" t="inlineStr">
        <is>
          <t>Kousseri-Market-MTN-IHS</t>
        </is>
      </c>
      <c r="B238" t="inlineStr">
        <is>
          <t>EXN_180</t>
        </is>
      </c>
      <c r="C238" t="inlineStr">
        <is>
          <t>EXTREME-NORD</t>
        </is>
      </c>
      <c r="D238" t="inlineStr">
        <is>
          <t>IHS</t>
        </is>
      </c>
      <c r="E238" t="inlineStr">
        <is>
          <t>Grid-Gen</t>
        </is>
      </c>
      <c r="F238" t="inlineStr">
        <is>
          <t>EXTREME-NORD</t>
        </is>
      </c>
      <c r="G238" t="inlineStr">
        <is>
          <t>Kousseri</t>
        </is>
      </c>
      <c r="H238" t="inlineStr">
        <is>
          <t>Huawei</t>
        </is>
      </c>
      <c r="I238" t="n">
        <v>1.320384353071771</v>
      </c>
      <c r="J238" t="n">
        <v>6.650397508225538</v>
      </c>
      <c r="K238" t="n">
        <v>15.69165860521127</v>
      </c>
      <c r="L238" t="n">
        <v>9.068120724931726</v>
      </c>
      <c r="M238" t="n">
        <v>0</v>
      </c>
      <c r="N238" t="n">
        <v>4.403193929874625</v>
      </c>
      <c r="O238" t="n">
        <v>7.260067202518777</v>
      </c>
      <c r="P238" t="n">
        <v>4.949129068197088</v>
      </c>
      <c r="Q238" t="n">
        <v>5.646978167010526</v>
      </c>
      <c r="R238" t="inlineStr">
        <is>
          <t>Insecurity</t>
        </is>
      </c>
      <c r="S238" t="inlineStr"/>
      <c r="T238" t="inlineStr"/>
      <c r="U238" t="inlineStr"/>
      <c r="V238" t="inlineStr"/>
      <c r="W238" t="inlineStr"/>
      <c r="X23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cell huawei}: 25/05/2026 : Power issue || Mail sent to HIS || Feedback HIS : Nous vérifions l'état de l'énergie dans le site et un retour vous sera fait dès que possible</t>
        </is>
      </c>
      <c r="Y238"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25/05/2026 Power issue || Mail sent to HIS || Feedback HIS Nous vérifions l'état de l'énergie dans le site et un retour vous sera fait dès que possible</t>
        </is>
      </c>
      <c r="Z238" t="inlineStr"/>
      <c r="AA23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8" t="inlineStr"/>
      <c r="AC238" t="inlineStr"/>
      <c r="AD238" t="inlineStr"/>
      <c r="AE238" t="inlineStr"/>
      <c r="AF238" t="inlineStr"/>
      <c r="AG238" t="inlineStr"/>
      <c r="AH238" t="inlineStr"/>
      <c r="AI238" t="inlineStr"/>
      <c r="AJ238" t="inlineStr"/>
      <c r="AK238" t="inlineStr"/>
      <c r="AL238" t="inlineStr"/>
      <c r="AM238" t="inlineStr"/>
      <c r="AN238" t="inlineStr">
        <is>
          <t>{05/25/2026 cell huawei}: 25/05/2026 : Power issue || Mail sent to HIS || Feedback HIS : Nous vérifions l'état de l'énergie dans le site et un retour vous sera fait dès que possible</t>
        </is>
      </c>
      <c r="AO238" t="inlineStr"/>
      <c r="AP238" t="inlineStr"/>
      <c r="AQ238" t="inlineStr"/>
      <c r="AR238" t="inlineStr"/>
    </row>
    <row r="239">
      <c r="A239" t="inlineStr">
        <is>
          <t>Montesquieux</t>
        </is>
      </c>
      <c r="B239" t="inlineStr">
        <is>
          <t>CTR_270</t>
        </is>
      </c>
      <c r="C239" t="inlineStr">
        <is>
          <t>Yaounde</t>
        </is>
      </c>
      <c r="D239" t="inlineStr">
        <is>
          <t>IHS</t>
        </is>
      </c>
      <c r="E239" t="inlineStr">
        <is>
          <t>Grid-Gen</t>
        </is>
      </c>
      <c r="F239" t="inlineStr">
        <is>
          <t>CENTRE</t>
        </is>
      </c>
      <c r="G239" t="inlineStr">
        <is>
          <t>Yaounde</t>
        </is>
      </c>
      <c r="H239" t="inlineStr">
        <is>
          <t>ZTE</t>
        </is>
      </c>
      <c r="I239" t="n">
        <v>0</v>
      </c>
      <c r="J239" t="n">
        <v>0</v>
      </c>
      <c r="K239" t="n">
        <v>2.185599672405282</v>
      </c>
      <c r="L239" t="n">
        <v>0</v>
      </c>
      <c r="M239" t="n">
        <v>0.3993809087614457</v>
      </c>
      <c r="N239" t="n">
        <v>4.459896526503843</v>
      </c>
      <c r="O239" t="n">
        <v>4.067235669526131</v>
      </c>
      <c r="P239" t="n">
        <v>6.925565864901603</v>
      </c>
      <c r="Q239" t="n">
        <v>5.613894096731758</v>
      </c>
      <c r="R239" t="inlineStr">
        <is>
          <t>Operationnel</t>
        </is>
      </c>
      <c r="S239" t="inlineStr"/>
      <c r="T239" t="inlineStr"/>
      <c r="U239" t="inlineStr"/>
      <c r="V239" t="inlineStr"/>
      <c r="W239" t="inlineStr"/>
      <c r="X239" t="inlineStr">
        <is>
          <t>{05-25-2026 top offenders}: Power status check Ongoing     ;    {05-25-2026 ocm ran 17H}: Power status check Ongoing     ;    {05-25-2026 ticket}: INC-20260525-00016354..Grid Outage</t>
        </is>
      </c>
      <c r="Y239" t="inlineStr">
        <is>
          <t>.Grid Outage</t>
        </is>
      </c>
      <c r="Z239" t="inlineStr"/>
      <c r="AA239" t="inlineStr"/>
      <c r="AB239" t="inlineStr">
        <is>
          <t>{05-25-2026 top offenders}: Power status check Ongoing</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{05-25-2026 ocm ran 17H}: Power status check Ongoing</t>
        </is>
      </c>
      <c r="AQ239" t="inlineStr">
        <is>
          <t>{05-25-2026 ticket}: INC-20260525-00016354..Grid Outage</t>
        </is>
      </c>
      <c r="AR239" t="inlineStr"/>
    </row>
    <row r="240">
      <c r="A240" t="inlineStr">
        <is>
          <t>Omnisport-Rail-IHS</t>
        </is>
      </c>
      <c r="B240" t="inlineStr">
        <is>
          <t>CTR_161</t>
        </is>
      </c>
      <c r="C240" t="inlineStr">
        <is>
          <t>Yaounde</t>
        </is>
      </c>
      <c r="D240" t="inlineStr">
        <is>
          <t>IHS</t>
        </is>
      </c>
      <c r="E240" t="inlineStr">
        <is>
          <t>Grid-Gen</t>
        </is>
      </c>
      <c r="F240" t="inlineStr">
        <is>
          <t>CENTRE</t>
        </is>
      </c>
      <c r="G240" t="inlineStr">
        <is>
          <t>Yaounde</t>
        </is>
      </c>
      <c r="H240" t="inlineStr">
        <is>
          <t>ZTE</t>
        </is>
      </c>
      <c r="I240" t="n">
        <v>0</v>
      </c>
      <c r="J240" t="n">
        <v>0</v>
      </c>
      <c r="K240" t="n">
        <v>0</v>
      </c>
      <c r="L240" t="n">
        <v>0.004654955440840332</v>
      </c>
      <c r="M240" t="n">
        <v>0</v>
      </c>
      <c r="N240" t="n">
        <v>2.87472173263152</v>
      </c>
      <c r="O240" t="n">
        <v>2.480356056046868</v>
      </c>
      <c r="P240" t="n">
        <v>8.34505036476699</v>
      </c>
      <c r="Q240" t="n">
        <v>5.595042418950271</v>
      </c>
      <c r="R240" t="inlineStr">
        <is>
          <t>Operationnel</t>
        </is>
      </c>
      <c r="S240" t="inlineStr"/>
      <c r="T240" t="inlineStr"/>
      <c r="U240" t="inlineStr"/>
      <c r="V240" t="inlineStr"/>
      <c r="W240" t="inlineStr"/>
      <c r="X240" t="inlineStr">
        <is>
          <t>{None hourly IHS}: 25/05/2026 06:05..0:18:44..0.1V..FME is informed and managing     ;    {05-25-2026 ticket}: INC-20260525-00004441..Grid Outage</t>
        </is>
      </c>
      <c r="Y240" t="inlineStr">
        <is>
          <t>25/05/2026 06 05.0 18 44.0.1V.FME is informed and managing .Grid Outage</t>
        </is>
      </c>
      <c r="Z240" t="inlineStr"/>
      <c r="AA240" t="inlineStr"/>
      <c r="AB240" t="inlineStr"/>
      <c r="AC240" t="inlineStr"/>
      <c r="AD240" t="inlineStr"/>
      <c r="AE240" t="inlineStr">
        <is>
          <t>{None hourly IHS}: 25/05/2026 06:05..0:18:44..0.1V..FME is informed and managing</t>
        </is>
      </c>
      <c r="AF240" t="inlineStr"/>
      <c r="AG240" t="inlineStr"/>
      <c r="AH240" t="inlineStr"/>
      <c r="AI240" t="inlineStr"/>
      <c r="AJ240" t="inlineStr"/>
      <c r="AK240" t="inlineStr"/>
      <c r="AL240" t="inlineStr"/>
      <c r="AM240" t="inlineStr"/>
      <c r="AN240" t="inlineStr"/>
      <c r="AO240" t="inlineStr"/>
      <c r="AP240" t="inlineStr"/>
      <c r="AQ240" t="inlineStr">
        <is>
          <t>{05-25-2026 ticket}: INC-20260525-00004441..Grid Outage</t>
        </is>
      </c>
      <c r="AR240" t="inlineStr"/>
    </row>
    <row r="241">
      <c r="A241" t="inlineStr">
        <is>
          <t>Ossing-IHS</t>
        </is>
      </c>
      <c r="B241" t="inlineStr">
        <is>
          <t>SUO_100</t>
        </is>
      </c>
      <c r="C241" t="inlineStr">
        <is>
          <t>SUD-OUEST</t>
        </is>
      </c>
      <c r="D241" t="inlineStr">
        <is>
          <t>IHS</t>
        </is>
      </c>
      <c r="E241" t="inlineStr">
        <is>
          <t>Hybrid-Gen</t>
        </is>
      </c>
      <c r="F241" t="inlineStr">
        <is>
          <t>SUD-OUEST</t>
        </is>
      </c>
      <c r="G241" t="inlineStr">
        <is>
          <t>Ossing</t>
        </is>
      </c>
      <c r="H241" t="inlineStr">
        <is>
          <t>NOKIA</t>
        </is>
      </c>
      <c r="I241" t="n">
        <v>0.6659261542149283</v>
      </c>
      <c r="J241" t="n">
        <v>6.036193081131058</v>
      </c>
      <c r="K241" t="n">
        <v>1.844557304820037</v>
      </c>
      <c r="L241" t="n">
        <v>0.8590443822356912</v>
      </c>
      <c r="M241" t="n">
        <v>3.360770817816816</v>
      </c>
      <c r="N241" t="n">
        <v>18.32567973174426</v>
      </c>
      <c r="O241" t="n">
        <v>8.806730282104375</v>
      </c>
      <c r="P241" t="n">
        <v>0</v>
      </c>
      <c r="Q241" t="n">
        <v>5.573426304029586</v>
      </c>
      <c r="R241" t="inlineStr">
        <is>
          <t>Insecurity</t>
        </is>
      </c>
      <c r="S241" t="inlineStr"/>
      <c r="T241" t="inlineStr"/>
      <c r="U241" t="inlineStr"/>
      <c r="V241" t="inlineStr"/>
      <c r="W241" t="inlineStr"/>
      <c r="X241" t="inlineStr">
        <is>
          <t>{05-25-2026 incident}: Upadate 6: d'apres le retour du PM , le vevel 0 ne peut pas se rendre sur site aujourdhui car il ya un lockdown declarer dans la zonne jusqu'au 21.05.2026. point EZCALADE a THEO pour Support     ;    {05-25-2026 ticket}: INC-20260525-00001184..Grid Outage</t>
        </is>
      </c>
      <c r="Y241" t="inlineStr">
        <is>
          <t>{05-25-2026 incident} Upadate 6 d'apres le retour du PM , le vevel 0 ne peut pas se rendre sur site aujourdhui car il ya un lockdown declarer dans la zonne jusqu'au 21.05.2026. point EZCALADE a THEO pour Support .Grid Outage</t>
        </is>
      </c>
      <c r="Z241" t="inlineStr"/>
      <c r="AA241" t="inlineStr">
        <is>
          <t>{05-25-2026 incident}: Upadate 6: d'apres le retour du PM , le vevel 0 ne peut pas se rendre sur site aujourdhui car il ya un lockdown declarer dans la zonne jusqu'au 21.05.2026. point EZCALADE a THEO pour Support</t>
        </is>
      </c>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{05-25-2026 ticket}: INC-20260525-00001184..Grid Outage</t>
        </is>
      </c>
      <c r="AR241" t="inlineStr"/>
    </row>
    <row r="242">
      <c r="A242" t="inlineStr">
        <is>
          <t>Ndjokloumbe-IHS</t>
        </is>
      </c>
      <c r="B242" t="inlineStr">
        <is>
          <t>LIT_500</t>
        </is>
      </c>
      <c r="C242" t="inlineStr">
        <is>
          <t>LITTORAL</t>
        </is>
      </c>
      <c r="D242" t="inlineStr">
        <is>
          <t>IHS</t>
        </is>
      </c>
      <c r="E242" t="inlineStr">
        <is>
          <t>Hybrid-Gen</t>
        </is>
      </c>
      <c r="F242" t="inlineStr">
        <is>
          <t>LITTORAL</t>
        </is>
      </c>
      <c r="G242" t="inlineStr">
        <is>
          <t>Ndjokloumbe</t>
        </is>
      </c>
      <c r="H242" t="inlineStr">
        <is>
          <t>NOKIA</t>
        </is>
      </c>
      <c r="I242" t="n">
        <v>7.299695794631941</v>
      </c>
      <c r="J242" t="n">
        <v>4.787176429254565</v>
      </c>
      <c r="K242" t="n">
        <v>4.98288902586229</v>
      </c>
      <c r="L242" t="n">
        <v>5.264292369639246</v>
      </c>
      <c r="M242" t="n">
        <v>4.811921965111734</v>
      </c>
      <c r="N242" t="n">
        <v>32.36731592388763</v>
      </c>
      <c r="O242" t="n">
        <v>2.771754290469234</v>
      </c>
      <c r="P242" t="n">
        <v>0</v>
      </c>
      <c r="Q242" t="n">
        <v>5.552559606114946</v>
      </c>
      <c r="R242" t="inlineStr">
        <is>
          <t>Operationnel</t>
        </is>
      </c>
      <c r="S242" t="inlineStr"/>
      <c r="T242" t="inlineStr"/>
      <c r="U242" t="inlineStr"/>
      <c r="V242" t="inlineStr"/>
      <c r="W242" t="inlineStr"/>
      <c r="X242" t="inlineStr">
        <is>
          <t>{05-25-2026 top offenders}: grid outage      ;    {05-25-2026 retour IHS}: IHS     ;    {05-25-2026 ticket}: INC-20260525-00012439..Others</t>
        </is>
      </c>
      <c r="Y242" t="inlineStr">
        <is>
          <t>grid outage IHS .</t>
        </is>
      </c>
      <c r="Z242" t="inlineStr"/>
      <c r="AA242" t="inlineStr"/>
      <c r="AB242" t="inlineStr">
        <is>
          <t xml:space="preserve">{05-25-2026 top offenders}: grid outage </t>
        </is>
      </c>
      <c r="AC242" t="inlineStr"/>
      <c r="AD242" t="inlineStr">
        <is>
          <t>{05-25-2026 retour IHS}: IHS</t>
        </is>
      </c>
      <c r="AE242" t="inlineStr"/>
      <c r="AF242" t="inlineStr"/>
      <c r="AG242" t="inlineStr"/>
      <c r="AH242" t="inlineStr"/>
      <c r="AI242" t="inlineStr"/>
      <c r="AJ242" t="inlineStr"/>
      <c r="AK242" t="inlineStr"/>
      <c r="AL242" t="inlineStr"/>
      <c r="AM242" t="inlineStr"/>
      <c r="AN242" t="inlineStr"/>
      <c r="AO242" t="inlineStr"/>
      <c r="AP242" t="inlineStr"/>
      <c r="AQ242" t="inlineStr">
        <is>
          <t>{05-25-2026 ticket}: INC-20260525-00012439..Others</t>
        </is>
      </c>
      <c r="AR242" t="inlineStr"/>
    </row>
    <row r="243">
      <c r="A243" t="inlineStr">
        <is>
          <t>China-Embassy-IHS</t>
        </is>
      </c>
      <c r="B243" t="inlineStr">
        <is>
          <t>CTR_874</t>
        </is>
      </c>
      <c r="C243" t="inlineStr">
        <is>
          <t>Yaounde</t>
        </is>
      </c>
      <c r="D243" t="inlineStr">
        <is>
          <t>IHS</t>
        </is>
      </c>
      <c r="E243" t="inlineStr">
        <is>
          <t>GridOnly</t>
        </is>
      </c>
      <c r="F243" t="inlineStr">
        <is>
          <t>CENTRE</t>
        </is>
      </c>
      <c r="G243" t="inlineStr">
        <is>
          <t>Yaounde</t>
        </is>
      </c>
      <c r="H243" t="inlineStr">
        <is>
          <t>ZTE</t>
        </is>
      </c>
      <c r="I243" t="n">
        <v>0</v>
      </c>
      <c r="J243" t="n">
        <v>0</v>
      </c>
      <c r="K243" t="n">
        <v>0</v>
      </c>
      <c r="L243" t="n">
        <v>0</v>
      </c>
      <c r="M243" t="n">
        <v>0</v>
      </c>
      <c r="N243" t="n">
        <v>4.845574100052357</v>
      </c>
      <c r="O243" t="n">
        <v>4.129977712496302</v>
      </c>
      <c r="P243" t="n">
        <v>6.646833214042599</v>
      </c>
      <c r="Q243" t="n">
        <v>5.544676157781944</v>
      </c>
      <c r="R243" t="inlineStr">
        <is>
          <t>Operationnel</t>
        </is>
      </c>
      <c r="S243" t="inlineStr"/>
      <c r="T243" t="inlineStr"/>
      <c r="U243" t="inlineStr"/>
      <c r="V243" t="inlineStr"/>
      <c r="W243" t="inlineStr"/>
      <c r="X243" t="inlineStr">
        <is>
          <t>{05-25-2026 top offenders}: Power status check Ongoing     ;    {05-25-2026 ocm ran 22H}: Power status check Ongoing     ;    {05-25-2026 ticket}: INC-20260525-00021220..Others</t>
        </is>
      </c>
      <c r="Y243" t="inlineStr"/>
      <c r="Z243" t="inlineStr"/>
      <c r="AA243" t="inlineStr"/>
      <c r="AB243" t="inlineStr">
        <is>
          <t>{05-25-2026 top offenders}: Power status check Ongoing</t>
        </is>
      </c>
      <c r="AC243" t="inlineStr"/>
      <c r="AD243" t="inlineStr"/>
      <c r="AE243" t="inlineStr"/>
      <c r="AF243" t="inlineStr"/>
      <c r="AG243" t="inlineStr"/>
      <c r="AH243" t="inlineStr"/>
      <c r="AI243" t="inlineStr"/>
      <c r="AJ243" t="inlineStr"/>
      <c r="AK243" t="inlineStr"/>
      <c r="AL243" t="inlineStr"/>
      <c r="AM243" t="inlineStr"/>
      <c r="AN243" t="inlineStr"/>
      <c r="AO243" t="inlineStr">
        <is>
          <t>{05-25-2026 ocm ran 22H}: Power status check Ongoing</t>
        </is>
      </c>
      <c r="AP243" t="inlineStr"/>
      <c r="AQ243" t="inlineStr">
        <is>
          <t>{05-25-2026 ticket}: INC-20260525-00021220..Others</t>
        </is>
      </c>
      <c r="AR243" t="inlineStr"/>
    </row>
    <row r="244">
      <c r="A244" t="inlineStr">
        <is>
          <t>Odza-II-MTN-IHS</t>
        </is>
      </c>
      <c r="B244" t="inlineStr">
        <is>
          <t>CTR_467</t>
        </is>
      </c>
      <c r="C244" t="inlineStr">
        <is>
          <t>Yaounde</t>
        </is>
      </c>
      <c r="D244" t="inlineStr">
        <is>
          <t>IHS</t>
        </is>
      </c>
      <c r="E244" t="inlineStr">
        <is>
          <t>Grid-Gen</t>
        </is>
      </c>
      <c r="F244" t="inlineStr">
        <is>
          <t>CENTRE</t>
        </is>
      </c>
      <c r="G244" t="inlineStr">
        <is>
          <t>Yaounde</t>
        </is>
      </c>
      <c r="H244" t="inlineStr">
        <is>
          <t>ZTE</t>
        </is>
      </c>
      <c r="I244" t="n">
        <v>0</v>
      </c>
      <c r="J244" t="n">
        <v>0</v>
      </c>
      <c r="K244" t="n">
        <v>0</v>
      </c>
      <c r="L244" t="n">
        <v>0</v>
      </c>
      <c r="M244" t="n">
        <v>0</v>
      </c>
      <c r="N244" t="n">
        <v>4.70131969673353</v>
      </c>
      <c r="O244" t="n">
        <v>3.773022770314609</v>
      </c>
      <c r="P244" t="n">
        <v>6.91533996764923</v>
      </c>
      <c r="Q244" t="n">
        <v>5.544265950980644</v>
      </c>
      <c r="R244" t="inlineStr">
        <is>
          <t>Operationnel</t>
        </is>
      </c>
      <c r="S244" t="inlineStr"/>
      <c r="T244" t="inlineStr"/>
      <c r="U244" t="inlineStr"/>
      <c r="V244" t="inlineStr"/>
      <c r="W244" t="inlineStr"/>
      <c r="X244" t="inlineStr">
        <is>
          <t>{05-25-2026 ticket}: INC-20260525-00021135..Others</t>
        </is>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{05-25-2026 ticket}: INC-20260525-00021135..Others</t>
        </is>
      </c>
      <c r="AR244" t="inlineStr"/>
    </row>
    <row r="245">
      <c r="A245" t="inlineStr">
        <is>
          <t>Bamenda-Old-Town-IHS</t>
        </is>
      </c>
      <c r="B245" t="inlineStr">
        <is>
          <t>NRO_119</t>
        </is>
      </c>
      <c r="C245" t="inlineStr">
        <is>
          <t>NORD-OUEST</t>
        </is>
      </c>
      <c r="D245" t="inlineStr">
        <is>
          <t>IHS</t>
        </is>
      </c>
      <c r="E245" t="inlineStr">
        <is>
          <t>Grid-Gen</t>
        </is>
      </c>
      <c r="F245" t="inlineStr">
        <is>
          <t>NORD-OUEST</t>
        </is>
      </c>
      <c r="G245" t="inlineStr">
        <is>
          <t>Bamenda</t>
        </is>
      </c>
      <c r="H245" t="inlineStr">
        <is>
          <t>Huawei</t>
        </is>
      </c>
      <c r="I245" t="n">
        <v>0</v>
      </c>
      <c r="J245" t="n">
        <v>0</v>
      </c>
      <c r="K245" t="n">
        <v>0</v>
      </c>
      <c r="L245" t="n">
        <v>3.368796603059643</v>
      </c>
      <c r="M245" t="n">
        <v>0.0975578783961556</v>
      </c>
      <c r="N245" t="n">
        <v>6.945443609142757</v>
      </c>
      <c r="O245" t="n">
        <v>8.884028904053233</v>
      </c>
      <c r="P245" t="n">
        <v>3.001591546336242</v>
      </c>
      <c r="Q245" t="n">
        <v>5.539575325383169</v>
      </c>
      <c r="R245" t="inlineStr">
        <is>
          <t>Operationnel</t>
        </is>
      </c>
      <c r="S245" t="inlineStr"/>
      <c r="T245" t="inlineStr"/>
      <c r="U245" t="inlineStr"/>
      <c r="V245" t="inlineStr"/>
      <c r="W245" t="inlineStr"/>
      <c r="X245" t="inlineStr">
        <is>
          <t>{05-25-2026 top offenders}: Power status check Ongoing     ;    {None hourly IHS}: 25/05/2026 21:17..1:42:25..FME Peter is managing with level 0     ;    {05-25-2026 ocm ran 22H}: Power status check Ongoing</t>
        </is>
      </c>
      <c r="Y245" t="inlineStr">
        <is>
          <t>25/05/2026 21 17.1 42 25.FME Peter is managing with level 0</t>
        </is>
      </c>
      <c r="Z245" t="inlineStr"/>
      <c r="AA245" t="inlineStr"/>
      <c r="AB245" t="inlineStr">
        <is>
          <t>{05-25-2026 top offenders}: Power status check Ongoing</t>
        </is>
      </c>
      <c r="AC245" t="inlineStr"/>
      <c r="AD245" t="inlineStr"/>
      <c r="AE245" t="inlineStr">
        <is>
          <t>{None hourly IHS}: 25/05/2026 21:17..1:42:25..FME Peter is managing with level 0</t>
        </is>
      </c>
      <c r="AF245" t="inlineStr"/>
      <c r="AG245" t="inlineStr"/>
      <c r="AH245" t="inlineStr"/>
      <c r="AI245" t="inlineStr"/>
      <c r="AJ245" t="inlineStr"/>
      <c r="AK245" t="inlineStr"/>
      <c r="AL245" t="inlineStr"/>
      <c r="AM245" t="inlineStr"/>
      <c r="AN245" t="inlineStr"/>
      <c r="AO245" t="inlineStr">
        <is>
          <t>{05-25-2026 ocm ran 22H}: Power status check Ongoing</t>
        </is>
      </c>
      <c r="AP245" t="inlineStr"/>
      <c r="AQ245" t="inlineStr"/>
      <c r="AR245" t="inlineStr"/>
    </row>
    <row r="246">
      <c r="A246" t="inlineStr">
        <is>
          <t>Bamenyam</t>
        </is>
      </c>
      <c r="B246" t="inlineStr">
        <is>
          <t>OST_186</t>
        </is>
      </c>
      <c r="C246" t="inlineStr">
        <is>
          <t>NORD-OUEST</t>
        </is>
      </c>
      <c r="D246" t="inlineStr">
        <is>
          <t>IHS</t>
        </is>
      </c>
      <c r="E246" t="inlineStr">
        <is>
          <t>Grid-Gen</t>
        </is>
      </c>
      <c r="F246" t="inlineStr">
        <is>
          <t>OUEST</t>
        </is>
      </c>
      <c r="G246" t="inlineStr">
        <is>
          <t>Bamenyam</t>
        </is>
      </c>
      <c r="H246" t="inlineStr">
        <is>
          <t>NOKIA</t>
        </is>
      </c>
      <c r="I246" t="n">
        <v>0.009167230255141497</v>
      </c>
      <c r="J246" t="n">
        <v>0.01810260449215684</v>
      </c>
      <c r="K246" t="n">
        <v>1.967298313800355</v>
      </c>
      <c r="L246" t="n">
        <v>5.347848233471163</v>
      </c>
      <c r="M246" t="n">
        <v>1.540558394900024</v>
      </c>
      <c r="N246" t="n">
        <v>21.82338065377344</v>
      </c>
      <c r="O246" t="n">
        <v>7.192596927690566</v>
      </c>
      <c r="P246" t="n">
        <v>0</v>
      </c>
      <c r="Q246" t="n">
        <v>5.531014487790818</v>
      </c>
      <c r="R246" t="inlineStr">
        <is>
          <t>Operationnel</t>
        </is>
      </c>
      <c r="S246" t="inlineStr"/>
      <c r="T246" t="inlineStr"/>
      <c r="U246" t="inlineStr"/>
      <c r="V246" t="inlineStr"/>
      <c r="W246" t="inlineStr"/>
      <c r="X246" t="inlineStr">
        <is>
          <t>{05-25-2026 retour IHS}: IHS     ;    {05-25-2026 ticket}: INC-20260525-00004493..power fluctuations issue due to Grid outage and poor batteries backup 
power team alerted and managing 
follow up ongoing..Grid Outage</t>
        </is>
      </c>
      <c r="Y246" t="inlineStr">
        <is>
          <t>IHS .power fluctuations issue due to Grid outage and poor batteries backup
power team alerted and managing
follow up ongoing.Grid Outage</t>
        </is>
      </c>
      <c r="Z246" t="inlineStr"/>
      <c r="AA246" t="inlineStr"/>
      <c r="AB246" t="inlineStr"/>
      <c r="AC246" t="inlineStr"/>
      <c r="AD246" t="inlineStr">
        <is>
          <t>{05-25-2026 retour IHS}: IHS</t>
        </is>
      </c>
      <c r="AE246" t="inlineStr"/>
      <c r="AF246" t="inlineStr"/>
      <c r="AG246" t="inlineStr"/>
      <c r="AH246" t="inlineStr"/>
      <c r="AI246" t="inlineStr"/>
      <c r="AJ246" t="inlineStr"/>
      <c r="AK246" t="inlineStr"/>
      <c r="AL246" t="inlineStr"/>
      <c r="AM246" t="inlineStr"/>
      <c r="AN246" t="inlineStr"/>
      <c r="AO246" t="inlineStr"/>
      <c r="AP246" t="inlineStr"/>
      <c r="AQ246" t="inlineStr">
        <is>
          <t>{05-25-2026 ticket}: INC-20260525-00004493..power fluctuations issue due to Grid outage and poor batteries backup 
power team alerted and managing 
follow up ongoing..Grid Outage</t>
        </is>
      </c>
      <c r="AR246" t="inlineStr"/>
    </row>
    <row r="247">
      <c r="A247" t="inlineStr">
        <is>
          <t>Tsinga-Village2</t>
        </is>
      </c>
      <c r="B247" t="inlineStr">
        <is>
          <t>CTR_675</t>
        </is>
      </c>
      <c r="C247" t="inlineStr">
        <is>
          <t>Yaounde</t>
        </is>
      </c>
      <c r="D247" t="inlineStr">
        <is>
          <t>IHS</t>
        </is>
      </c>
      <c r="E247" t="inlineStr">
        <is>
          <t>Hybrid-Gen-Lithium</t>
        </is>
      </c>
      <c r="F247" t="inlineStr">
        <is>
          <t>CENTRE</t>
        </is>
      </c>
      <c r="G247" t="inlineStr">
        <is>
          <t>Yaounde</t>
        </is>
      </c>
      <c r="H247" t="inlineStr">
        <is>
          <t>ZTE</t>
        </is>
      </c>
      <c r="I247" t="n">
        <v>9.270869895243885</v>
      </c>
      <c r="J247" t="n">
        <v>16.04445428940768</v>
      </c>
      <c r="K247" t="n">
        <v>18.17233964837786</v>
      </c>
      <c r="L247" t="n">
        <v>6.173612359566593</v>
      </c>
      <c r="M247" t="n">
        <v>6.92475451798204</v>
      </c>
      <c r="N247" t="n">
        <v>2.502782673684799</v>
      </c>
      <c r="O247" t="n">
        <v>2.128235598124518</v>
      </c>
      <c r="P247" t="n">
        <v>8.452952390958419</v>
      </c>
      <c r="Q247" t="n">
        <v>5.479988328724749</v>
      </c>
      <c r="R247" t="inlineStr">
        <is>
          <t>Operationnel</t>
        </is>
      </c>
      <c r="S247" t="inlineStr"/>
      <c r="T247" t="inlineStr"/>
      <c r="U247" t="inlineStr"/>
      <c r="V247" t="inlineStr"/>
      <c r="W247" t="inlineStr"/>
      <c r="X247" t="inlineStr">
        <is>
          <t>{05-25-2026 retour IHS}: IHS</t>
        </is>
      </c>
      <c r="Y247" t="inlineStr">
        <is>
          <t>IHS</t>
        </is>
      </c>
      <c r="Z247" t="inlineStr">
        <is>
          <t>CTR_675</t>
        </is>
      </c>
      <c r="AA247" t="inlineStr"/>
      <c r="AB247" t="inlineStr"/>
      <c r="AC247" t="inlineStr"/>
      <c r="AD247" t="inlineStr">
        <is>
          <t>{05-25-2026 retour IHS}: IHS</t>
        </is>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row>
    <row r="248">
      <c r="A248" t="inlineStr">
        <is>
          <t>Charles-Atangana</t>
        </is>
      </c>
      <c r="B248" t="inlineStr">
        <is>
          <t>CTR_197</t>
        </is>
      </c>
      <c r="C248" t="inlineStr">
        <is>
          <t>Yaounde</t>
        </is>
      </c>
      <c r="D248" t="inlineStr">
        <is>
          <t>IHS</t>
        </is>
      </c>
      <c r="E248" t="inlineStr">
        <is>
          <t>GridOnly</t>
        </is>
      </c>
      <c r="F248" t="inlineStr">
        <is>
          <t>CENTRE</t>
        </is>
      </c>
      <c r="G248" t="inlineStr">
        <is>
          <t>Yaounde</t>
        </is>
      </c>
      <c r="H248" t="inlineStr">
        <is>
          <t>ZTE</t>
        </is>
      </c>
      <c r="I248" t="n">
        <v>0</v>
      </c>
      <c r="J248" t="n">
        <v>0</v>
      </c>
      <c r="K248" t="n">
        <v>0</v>
      </c>
      <c r="L248" t="n">
        <v>0</v>
      </c>
      <c r="M248" t="n">
        <v>0</v>
      </c>
      <c r="N248" t="n">
        <v>3.051074301883625</v>
      </c>
      <c r="O248" t="n">
        <v>2.648341102508918</v>
      </c>
      <c r="P248" t="n">
        <v>7.869426441393227</v>
      </c>
      <c r="Q248" t="n">
        <v>5.428587633014014</v>
      </c>
      <c r="R248" t="inlineStr">
        <is>
          <t>Operationnel</t>
        </is>
      </c>
      <c r="S248" t="inlineStr"/>
      <c r="T248" t="inlineStr"/>
      <c r="U248" t="inlineStr"/>
      <c r="V248" t="inlineStr"/>
      <c r="W248" t="inlineStr"/>
      <c r="X248" t="inlineStr">
        <is>
          <t>{05-25-2026 retour IHS}: IHS     ;    {None hourly IHS}: 25/05/2026 05:35..0:48:08..48.8V..Grid only no space // awaiting grid return     ;    {05-25-2026 ticket}: INC-20260525-00003999..Grid only no space // awaiting grid return..Grid Outage..user:OCM_NOC.IHS</t>
        </is>
      </c>
      <c r="Y248" t="inlineStr">
        <is>
          <t>IHS 25/05/2026 05 35.0 48 08.48.8V.Grid only no space // awaiting grid return .Grid only no space // awaiting grid return.Grid Outage.user OCM_NOC.IHS</t>
        </is>
      </c>
      <c r="Z248" t="inlineStr"/>
      <c r="AA248" t="inlineStr"/>
      <c r="AB248" t="inlineStr"/>
      <c r="AC248" t="inlineStr"/>
      <c r="AD248" t="inlineStr">
        <is>
          <t>{05-25-2026 retour IHS}: IHS</t>
        </is>
      </c>
      <c r="AE248" t="inlineStr">
        <is>
          <t>{None hourly IHS}: 25/05/2026 05:35..0:48:08..48.8V..Grid only no space // awaiting grid return</t>
        </is>
      </c>
      <c r="AF248" t="inlineStr"/>
      <c r="AG248" t="inlineStr"/>
      <c r="AH248" t="inlineStr"/>
      <c r="AI248" t="inlineStr"/>
      <c r="AJ248" t="inlineStr"/>
      <c r="AK248" t="inlineStr"/>
      <c r="AL248" t="inlineStr"/>
      <c r="AM248" t="inlineStr"/>
      <c r="AN248" t="inlineStr"/>
      <c r="AO248" t="inlineStr"/>
      <c r="AP248" t="inlineStr"/>
      <c r="AQ248" t="inlineStr">
        <is>
          <t>{05-25-2026 ticket}: INC-20260525-00003999..Grid only no space // awaiting grid return..Grid Outage..user:OCM_NOC.IHS</t>
        </is>
      </c>
      <c r="AR248" t="inlineStr"/>
    </row>
    <row r="249">
      <c r="A249" t="inlineStr">
        <is>
          <t>Mvog-Awae</t>
        </is>
      </c>
      <c r="B249" t="inlineStr">
        <is>
          <t>CTR_738</t>
        </is>
      </c>
      <c r="C249" t="inlineStr">
        <is>
          <t>Yaounde</t>
        </is>
      </c>
      <c r="D249" t="inlineStr">
        <is>
          <t>CAMUSAT</t>
        </is>
      </c>
      <c r="E249" t="inlineStr">
        <is>
          <t>Medium Grid + GE</t>
        </is>
      </c>
      <c r="F249" t="inlineStr">
        <is>
          <t>CENTRE</t>
        </is>
      </c>
      <c r="G249" t="inlineStr">
        <is>
          <t>Yaoundé</t>
        </is>
      </c>
      <c r="H249" t="inlineStr">
        <is>
          <t>ZTE</t>
        </is>
      </c>
      <c r="I249" t="n">
        <v>0</v>
      </c>
      <c r="J249" t="n">
        <v>0</v>
      </c>
      <c r="K249" t="n">
        <v>0</v>
      </c>
      <c r="L249" t="n">
        <v>0</v>
      </c>
      <c r="M249" t="n">
        <v>0</v>
      </c>
      <c r="N249" t="n">
        <v>4.666473827879893</v>
      </c>
      <c r="O249" t="n">
        <v>3.993177745817058</v>
      </c>
      <c r="P249" t="n">
        <v>6.554081931940805</v>
      </c>
      <c r="Q249" t="n">
        <v>5.424806596410726</v>
      </c>
      <c r="R249" t="inlineStr">
        <is>
          <t>Operationnel</t>
        </is>
      </c>
      <c r="S249" t="inlineStr"/>
      <c r="T249" t="inlineStr"/>
      <c r="U249" t="inlineStr"/>
      <c r="V249" t="inlineStr"/>
      <c r="W249" t="inlineStr"/>
      <c r="X249" t="inlineStr">
        <is>
          <t>{05-25-2026 retour CAMUSAT}: Echec démarrage GE     ;    {05-25-2026 ticket}: INC-20260525-00016885..No power issue U=53V Load=52A/No action done..délestage dans la zone le GE ne démarre pas automatiquement..Grid Outage..user:OCM_NOC.CAMUSAT</t>
        </is>
      </c>
      <c r="Y249" t="inlineStr">
        <is>
          <t>Echec démarrage GE .No power issue U=53V Load=52A/No action done.délestage dans la zone le GE ne démarre pas automatiquement.Grid Outage.user OCM_NOC.CAMUSAT</t>
        </is>
      </c>
      <c r="Z249" t="inlineStr"/>
      <c r="AA249" t="inlineStr"/>
      <c r="AB249" t="inlineStr"/>
      <c r="AC249" t="inlineStr">
        <is>
          <t>{05-25-2026 retour CAMUSAT}: Echec démarrage GE</t>
        </is>
      </c>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is>
          <t>{05-25-2026 ticket}: INC-20260525-00016885..No power issue U=53V Load=52A/No action done..délestage dans la zone le GE ne démarre pas automatiquement..Grid Outage..user:OCM_NOC.CAMUSAT</t>
        </is>
      </c>
      <c r="AR249" t="inlineStr"/>
    </row>
    <row r="250">
      <c r="A250" t="inlineStr">
        <is>
          <t>CTR_973_Z_Nkoabang-Ebolmedjock-IHS</t>
        </is>
      </c>
      <c r="B250" t="inlineStr">
        <is>
          <t>CTR_973</t>
        </is>
      </c>
      <c r="C250" t="inlineStr">
        <is>
          <t>Yaounde</t>
        </is>
      </c>
      <c r="D250" t="inlineStr">
        <is>
          <t>IHS</t>
        </is>
      </c>
      <c r="E250" t="inlineStr">
        <is>
          <t>Gen Only</t>
        </is>
      </c>
      <c r="F250" t="inlineStr">
        <is>
          <t>CENTRE</t>
        </is>
      </c>
      <c r="G250" t="inlineStr">
        <is>
          <t>Yaoundé</t>
        </is>
      </c>
      <c r="H250" t="inlineStr">
        <is>
          <t>ZTE</t>
        </is>
      </c>
      <c r="I250" t="n">
        <v>0.3396155613198529</v>
      </c>
      <c r="J250" t="n">
        <v>12.33841419044439</v>
      </c>
      <c r="K250" t="n">
        <v>0</v>
      </c>
      <c r="L250" t="n">
        <v>0.6255832070609791</v>
      </c>
      <c r="M250" t="n">
        <v>0.6499637591208588</v>
      </c>
      <c r="N250" t="n">
        <v>4.347865184705586</v>
      </c>
      <c r="O250" t="n">
        <v>4.067341921927435</v>
      </c>
      <c r="P250" t="n">
        <v>6.533630137436059</v>
      </c>
      <c r="Q250" t="n">
        <v>5.393541704120331</v>
      </c>
      <c r="R250" t="inlineStr">
        <is>
          <t>Operationnel</t>
        </is>
      </c>
      <c r="S250" t="inlineStr"/>
      <c r="T250" t="inlineStr"/>
      <c r="U250" t="inlineStr"/>
      <c r="V250" t="inlineStr"/>
      <c r="W250" t="inlineStr"/>
      <c r="X250" t="inlineStr">
        <is>
          <t>{05-25-2026 top offenders}: Power status check Ongoing     ;    {None hourly IHS}: 25/05/2026 15:51..1:28:05..Fme is informed and managing     ;    {05-25-2026 ocm ran 17H}: Power status check Ongoing</t>
        </is>
      </c>
      <c r="Y250" t="inlineStr">
        <is>
          <t>25/05/2026 15 51.1 28 05.Fme is informed and managing</t>
        </is>
      </c>
      <c r="Z250" t="inlineStr"/>
      <c r="AA250" t="inlineStr"/>
      <c r="AB250" t="inlineStr">
        <is>
          <t>{05-25-2026 top offenders}: Power status check Ongoing</t>
        </is>
      </c>
      <c r="AC250" t="inlineStr"/>
      <c r="AD250" t="inlineStr"/>
      <c r="AE250" t="inlineStr">
        <is>
          <t>{None hourly IHS}: 25/05/2026 15:51..1:28:05..Fme is informed and managing</t>
        </is>
      </c>
      <c r="AF250" t="inlineStr"/>
      <c r="AG250" t="inlineStr"/>
      <c r="AH250" t="inlineStr"/>
      <c r="AI250" t="inlineStr"/>
      <c r="AJ250" t="inlineStr"/>
      <c r="AK250" t="inlineStr"/>
      <c r="AL250" t="inlineStr"/>
      <c r="AM250" t="inlineStr"/>
      <c r="AN250" t="inlineStr"/>
      <c r="AO250" t="inlineStr"/>
      <c r="AP250" t="inlineStr">
        <is>
          <t>{05-25-2026 ocm ran 17H}: Power status check Ongoing</t>
        </is>
      </c>
      <c r="AQ250" t="inlineStr"/>
      <c r="AR250" t="inlineStr"/>
    </row>
    <row r="251">
      <c r="A251" t="inlineStr">
        <is>
          <t>Maroua-Doursogo</t>
        </is>
      </c>
      <c r="B251" t="inlineStr">
        <is>
          <t>EXN_067</t>
        </is>
      </c>
      <c r="C251" t="inlineStr">
        <is>
          <t>Maroua</t>
        </is>
      </c>
      <c r="D251" t="inlineStr">
        <is>
          <t>IHS</t>
        </is>
      </c>
      <c r="E251" t="inlineStr">
        <is>
          <t>Grid-Gen</t>
        </is>
      </c>
      <c r="F251" t="inlineStr">
        <is>
          <t>EXTREME-NORD</t>
        </is>
      </c>
      <c r="G251" t="inlineStr">
        <is>
          <t>Maroua</t>
        </is>
      </c>
      <c r="H251" t="inlineStr">
        <is>
          <t>Huawei</t>
        </is>
      </c>
      <c r="I251" t="n">
        <v>0</v>
      </c>
      <c r="J251" t="n">
        <v>0</v>
      </c>
      <c r="K251" t="n">
        <v>2.780756235856783</v>
      </c>
      <c r="L251" t="n">
        <v>0</v>
      </c>
      <c r="M251" t="n">
        <v>0.9013848581611893</v>
      </c>
      <c r="N251" t="n">
        <v>9.275370790019544</v>
      </c>
      <c r="O251" t="n">
        <v>11.83890818432496</v>
      </c>
      <c r="P251" t="n">
        <v>0.09866793837156107</v>
      </c>
      <c r="Q251" t="n">
        <v>5.350434319827185</v>
      </c>
      <c r="R251" t="inlineStr">
        <is>
          <t>Operationnel</t>
        </is>
      </c>
      <c r="S251" t="inlineStr"/>
      <c r="T251" t="inlineStr"/>
      <c r="U251" t="inlineStr"/>
      <c r="V251" t="inlineStr"/>
      <c r="W251" t="inlineStr"/>
      <c r="X251" t="inlineStr">
        <is>
          <t>{None hourly IHS}: 25/05/2026 03:23..3:00:00..43.8V..FME is informed and managing</t>
        </is>
      </c>
      <c r="Y251" t="inlineStr">
        <is>
          <t>25/05/2026 03 23.3 00 00.43.8V.FME is informed and managing</t>
        </is>
      </c>
      <c r="Z251" t="inlineStr"/>
      <c r="AA251" t="inlineStr"/>
      <c r="AB251" t="inlineStr"/>
      <c r="AC251" t="inlineStr"/>
      <c r="AD251" t="inlineStr"/>
      <c r="AE251" t="inlineStr">
        <is>
          <t>{None hourly IHS}: 25/05/2026 03:23..3:00:00..43.8V..FME is informed and managing</t>
        </is>
      </c>
      <c r="AF251" t="inlineStr"/>
      <c r="AG251" t="inlineStr"/>
      <c r="AH251" t="inlineStr"/>
      <c r="AI251" t="inlineStr"/>
      <c r="AJ251" t="inlineStr"/>
      <c r="AK251" t="inlineStr"/>
      <c r="AL251" t="inlineStr"/>
      <c r="AM251" t="inlineStr"/>
      <c r="AN251" t="inlineStr"/>
      <c r="AO251" t="inlineStr"/>
      <c r="AP251" t="inlineStr"/>
      <c r="AQ251" t="inlineStr"/>
      <c r="AR251" t="inlineStr"/>
    </row>
    <row r="252">
      <c r="A252" t="inlineStr">
        <is>
          <t>Bonamoutongo-II</t>
        </is>
      </c>
      <c r="B252" t="inlineStr">
        <is>
          <t>LIT_610</t>
        </is>
      </c>
      <c r="C252" t="inlineStr">
        <is>
          <t>Douala</t>
        </is>
      </c>
      <c r="D252" t="inlineStr">
        <is>
          <t>CAMUSAT</t>
        </is>
      </c>
      <c r="E252" t="inlineStr">
        <is>
          <t>Good Grid + GE</t>
        </is>
      </c>
      <c r="F252" t="inlineStr">
        <is>
          <t>LITTORAL</t>
        </is>
      </c>
      <c r="G252" t="inlineStr">
        <is>
          <t>Douala</t>
        </is>
      </c>
      <c r="H252" t="inlineStr">
        <is>
          <t>ZTE</t>
        </is>
      </c>
      <c r="I252" t="n">
        <v>0.001533816735296003</v>
      </c>
      <c r="J252" t="n">
        <v>0</v>
      </c>
      <c r="K252" t="n">
        <v>0.5273654307670791</v>
      </c>
      <c r="L252" t="n">
        <v>1.324736112181218</v>
      </c>
      <c r="M252" t="n">
        <v>17.19417477806029</v>
      </c>
      <c r="N252" t="n">
        <v>2.27572249599335</v>
      </c>
      <c r="O252" t="n">
        <v>2.098803682963234</v>
      </c>
      <c r="P252" t="n">
        <v>8.283523979626459</v>
      </c>
      <c r="Q252" t="n">
        <v>5.349328544971507</v>
      </c>
      <c r="R252" t="inlineStr">
        <is>
          <t>Operationnel</t>
        </is>
      </c>
      <c r="S252" t="inlineStr"/>
      <c r="T252" t="inlineStr"/>
      <c r="U252" t="inlineStr"/>
      <c r="V252" t="inlineStr"/>
      <c r="W252" t="inlineStr"/>
      <c r="X252" t="inlineStr">
        <is>
          <t>{05-25-2026 top offenders}: Power status check Ongoing     ;    {05-25-2026 retour CAMUSAT}: No power issue      ;    {05-25-2026 ticket}: INC-20260525-00020974..Grid Outage</t>
        </is>
      </c>
      <c r="Y252" t="inlineStr">
        <is>
          <t>No power issue .Grid Outage</t>
        </is>
      </c>
      <c r="Z252" t="inlineStr"/>
      <c r="AA252" t="inlineStr"/>
      <c r="AB252" t="inlineStr">
        <is>
          <t>{05-25-2026 top offenders}: Power status check Ongoing</t>
        </is>
      </c>
      <c r="AC252" t="inlineStr">
        <is>
          <t xml:space="preserve">{05-25-2026 retour CAMUSAT}: No power issue </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is>
          <t>{05-25-2026 ticket}: INC-20260525-00020974..Grid Outage</t>
        </is>
      </c>
      <c r="AR252" t="inlineStr"/>
    </row>
    <row r="253">
      <c r="A253" t="inlineStr">
        <is>
          <t>Kumba Gare Ntam</t>
        </is>
      </c>
      <c r="B253" t="inlineStr">
        <is>
          <t>SUO_238</t>
        </is>
      </c>
      <c r="C253" t="inlineStr">
        <is>
          <t>SUD-OUEST</t>
        </is>
      </c>
      <c r="D253" t="inlineStr">
        <is>
          <t>IHS</t>
        </is>
      </c>
      <c r="E253" t="inlineStr">
        <is>
          <t>Hybrid-Gen</t>
        </is>
      </c>
      <c r="F253" t="inlineStr">
        <is>
          <t>SUD-OUEST</t>
        </is>
      </c>
      <c r="G253" t="inlineStr">
        <is>
          <t>Kumba</t>
        </is>
      </c>
      <c r="H253" t="inlineStr">
        <is>
          <t>Huawei</t>
        </is>
      </c>
      <c r="I253" t="n">
        <v>0</v>
      </c>
      <c r="J253" t="n">
        <v>0</v>
      </c>
      <c r="K253" t="n">
        <v>0</v>
      </c>
      <c r="L253" t="n">
        <v>0.02147343429414467</v>
      </c>
      <c r="M253" t="n">
        <v>4.737442678058287</v>
      </c>
      <c r="N253" t="n">
        <v>6.865510433277779</v>
      </c>
      <c r="O253" t="n">
        <v>11.78030998500566</v>
      </c>
      <c r="P253" t="n">
        <v>0.7057237117147881</v>
      </c>
      <c r="Q253" t="n">
        <v>5.303207032442721</v>
      </c>
      <c r="R253" t="inlineStr">
        <is>
          <t>Operationnel</t>
        </is>
      </c>
      <c r="S253" t="inlineStr"/>
      <c r="T253" t="inlineStr"/>
      <c r="U253" t="inlineStr"/>
      <c r="V253" t="inlineStr"/>
      <c r="W253" t="inlineStr"/>
      <c r="X253" t="inlineStr">
        <is>
          <t>{05-25-2026 top offenders}: Power status check Ongoing     ;    {None hourly IHS}: 25/05/2026 21:16..1:09:29..FME Ndassie is managing with level 0     ;    {05-25-2026 ocm ran 22H}: Power status check Ongoing</t>
        </is>
      </c>
      <c r="Y253" t="inlineStr">
        <is>
          <t>25/05/2026 21 16.1 09 29.FME Ndassie is managing with level 0</t>
        </is>
      </c>
      <c r="Z253" t="inlineStr"/>
      <c r="AA253" t="inlineStr"/>
      <c r="AB253" t="inlineStr">
        <is>
          <t>{05-25-2026 top offenders}: Power status check Ongoing</t>
        </is>
      </c>
      <c r="AC253" t="inlineStr"/>
      <c r="AD253" t="inlineStr"/>
      <c r="AE253" t="inlineStr">
        <is>
          <t>{None hourly IHS}: 25/05/2026 21:16..1:09:29..FME Ndassie is managing with level 0</t>
        </is>
      </c>
      <c r="AF253" t="inlineStr"/>
      <c r="AG253" t="inlineStr"/>
      <c r="AH253" t="inlineStr"/>
      <c r="AI253" t="inlineStr"/>
      <c r="AJ253" t="inlineStr"/>
      <c r="AK253" t="inlineStr"/>
      <c r="AL253" t="inlineStr"/>
      <c r="AM253" t="inlineStr"/>
      <c r="AN253" t="inlineStr"/>
      <c r="AO253" t="inlineStr">
        <is>
          <t>{05-25-2026 ocm ran 22H}: Power status check Ongoing</t>
        </is>
      </c>
      <c r="AP253" t="inlineStr"/>
      <c r="AQ253" t="inlineStr"/>
      <c r="AR253" t="inlineStr"/>
    </row>
    <row r="254">
      <c r="A254" t="inlineStr">
        <is>
          <t>EST_205_Z_Mandjou-Sallekere</t>
        </is>
      </c>
      <c r="B254" t="inlineStr">
        <is>
          <t>EST_205</t>
        </is>
      </c>
      <c r="C254" t="inlineStr">
        <is>
          <t>CENTRE</t>
        </is>
      </c>
      <c r="D254" t="inlineStr">
        <is>
          <t>ESCO</t>
        </is>
      </c>
      <c r="E254" t="inlineStr">
        <is>
          <t>Hybrid Solar - S1</t>
        </is>
      </c>
      <c r="F254" t="inlineStr">
        <is>
          <t>EST</t>
        </is>
      </c>
      <c r="G254" t="inlineStr">
        <is>
          <t>Mandjou</t>
        </is>
      </c>
      <c r="H254" t="inlineStr">
        <is>
          <t>ZTE</t>
        </is>
      </c>
      <c r="I254" t="n">
        <v>0</v>
      </c>
      <c r="J254" t="n">
        <v>1.778068132852785</v>
      </c>
      <c r="K254" t="n">
        <v>14.57862487265754</v>
      </c>
      <c r="L254" t="n">
        <v>0</v>
      </c>
      <c r="M254" t="n">
        <v>3.423247097162653</v>
      </c>
      <c r="N254" t="n">
        <v>3.266893876719063</v>
      </c>
      <c r="O254" t="n">
        <v>5.672550074631689</v>
      </c>
      <c r="P254" t="n">
        <v>5.571848590508834</v>
      </c>
      <c r="Q254" t="n">
        <v>5.276507920201579</v>
      </c>
      <c r="R254" t="inlineStr">
        <is>
          <t>Operationnel</t>
        </is>
      </c>
      <c r="S254" t="inlineStr"/>
      <c r="T254" t="inlineStr"/>
      <c r="U254" t="inlineStr"/>
      <c r="V254" t="inlineStr"/>
      <c r="W254" t="inlineStr"/>
      <c r="X254" t="inlineStr">
        <is>
          <t>{05-25-2026 incident}:  {05-18-2026 groupe whatsapp incident}: impacted by    EST_060_Z_Bertoua-Mokolo(EST-060)  ,Adeterminer sans action</t>
        </is>
      </c>
      <c r="Y254" t="inlineStr">
        <is>
          <t>{05-25-2026 incident} {05-18-2026 groupe whatsapp incident} impacted by EST_060_Z_Bertoua-Mokolo(EST-060) ,Adeterminer sans action</t>
        </is>
      </c>
      <c r="Z254" t="inlineStr"/>
      <c r="AA254" t="inlineStr">
        <is>
          <t>{05-25-2026 incident}:  {05-18-2026 groupe whatsapp incident}: impacted by    EST_060_Z_Bertoua-Mokolo(EST-060)  ,Adeterminer sans action</t>
        </is>
      </c>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row>
    <row r="255">
      <c r="A255" t="inlineStr">
        <is>
          <t>Pitoa-Entree</t>
        </is>
      </c>
      <c r="B255" t="inlineStr">
        <is>
          <t>NRD_133</t>
        </is>
      </c>
      <c r="C255" t="inlineStr">
        <is>
          <t>NORD</t>
        </is>
      </c>
      <c r="D255" t="inlineStr">
        <is>
          <t>CAMUSAT</t>
        </is>
      </c>
      <c r="E255" t="inlineStr">
        <is>
          <t>Medium Grid + GE</t>
        </is>
      </c>
      <c r="F255" t="inlineStr">
        <is>
          <t>NORD</t>
        </is>
      </c>
      <c r="G255" t="inlineStr">
        <is>
          <t>Garoua</t>
        </is>
      </c>
      <c r="H255" t="inlineStr">
        <is>
          <t>Huawei</t>
        </is>
      </c>
      <c r="I255" t="n">
        <v>1.266183550065205</v>
      </c>
      <c r="J255" t="n">
        <v>0</v>
      </c>
      <c r="K255" t="n">
        <v>0</v>
      </c>
      <c r="L255" t="n">
        <v>0</v>
      </c>
      <c r="M255" t="n">
        <v>0.3208530589299524</v>
      </c>
      <c r="N255" t="n">
        <v>3.522055561550544</v>
      </c>
      <c r="O255" t="n">
        <v>5.97250060351364</v>
      </c>
      <c r="P255" t="n">
        <v>5.269928119124384</v>
      </c>
      <c r="Q255" t="n">
        <v>5.256193765998066</v>
      </c>
      <c r="R255" t="inlineStr">
        <is>
          <t>Operationnel</t>
        </is>
      </c>
      <c r="S255" t="inlineStr"/>
      <c r="T255" t="inlineStr"/>
      <c r="U255" t="inlineStr"/>
      <c r="V255" t="inlineStr"/>
      <c r="W255" t="inlineStr"/>
      <c r="X255" t="inlineStr">
        <is>
          <t>{05-25-2026 top offenders}: Up sans action     ;    {05-25-2026 retour CAMUSAT}: No power issue      ;    {05-25-2026 ocm ran 17H}: Power status check Ongoing</t>
        </is>
      </c>
      <c r="Y255" t="inlineStr">
        <is>
          <t>Up sans action No power issue</t>
        </is>
      </c>
      <c r="Z255" t="inlineStr"/>
      <c r="AA255" t="inlineStr"/>
      <c r="AB255" t="inlineStr">
        <is>
          <t>{05-25-2026 top offenders}: Up sans action</t>
        </is>
      </c>
      <c r="AC255" t="inlineStr">
        <is>
          <t xml:space="preserve">{05-25-2026 retour CAMUSAT}: No power issue </t>
        </is>
      </c>
      <c r="AD255" t="inlineStr"/>
      <c r="AE255" t="inlineStr"/>
      <c r="AF255" t="inlineStr"/>
      <c r="AG255" t="inlineStr"/>
      <c r="AH255" t="inlineStr"/>
      <c r="AI255" t="inlineStr"/>
      <c r="AJ255" t="inlineStr"/>
      <c r="AK255" t="inlineStr"/>
      <c r="AL255" t="inlineStr"/>
      <c r="AM255" t="inlineStr"/>
      <c r="AN255" t="inlineStr"/>
      <c r="AO255" t="inlineStr"/>
      <c r="AP255" t="inlineStr">
        <is>
          <t>{05-25-2026 ocm ran 17H}: Power status check Ongoing</t>
        </is>
      </c>
      <c r="AQ255" t="inlineStr"/>
      <c r="AR255" t="inlineStr"/>
    </row>
    <row r="256">
      <c r="A256" t="inlineStr">
        <is>
          <t>Mokola-MTN</t>
        </is>
      </c>
      <c r="B256" t="inlineStr">
        <is>
          <t>EXN_142</t>
        </is>
      </c>
      <c r="C256" t="inlineStr">
        <is>
          <t>EXTREME-NORD</t>
        </is>
      </c>
      <c r="D256" t="inlineStr">
        <is>
          <t>IHS</t>
        </is>
      </c>
      <c r="E256" t="inlineStr">
        <is>
          <t>Grid-Gen</t>
        </is>
      </c>
      <c r="F256" t="inlineStr">
        <is>
          <t>EXTREME-NORD</t>
        </is>
      </c>
      <c r="G256" t="inlineStr">
        <is>
          <t>Mokola</t>
        </is>
      </c>
      <c r="H256" t="inlineStr">
        <is>
          <t>NOKIA</t>
        </is>
      </c>
      <c r="I256" t="n">
        <v>0.6137585501365453</v>
      </c>
      <c r="J256" t="n">
        <v>0.7964967625765838</v>
      </c>
      <c r="K256" t="n">
        <v>0</v>
      </c>
      <c r="L256" t="n">
        <v>0.6207540731593721</v>
      </c>
      <c r="M256" t="n">
        <v>2.883985826049583</v>
      </c>
      <c r="N256" t="n">
        <v>16.45511852091651</v>
      </c>
      <c r="O256" t="n">
        <v>8.618230946349501</v>
      </c>
      <c r="P256" t="n">
        <v>0</v>
      </c>
      <c r="Q256" t="n">
        <v>5.24302893490259</v>
      </c>
      <c r="R256" t="inlineStr">
        <is>
          <t>Insecurity</t>
        </is>
      </c>
      <c r="S256" t="inlineStr"/>
      <c r="T256" t="inlineStr"/>
      <c r="U256" t="inlineStr"/>
      <c r="V256" t="inlineStr"/>
      <c r="W256" t="inlineStr"/>
      <c r="X256" t="inlineStr">
        <is>
          <t>{None hourly IHS}: 25-05-2026 18:55:53..4:04:07..FME Robert is managing with level 0     ;    {05-25-2026 ocm ran 22H}: Power status check Ongoing     ;    {05-25-2026 ticket}: INC-20260525-00020009..Auto TT closure RCA..Others Transmission equipement fault</t>
        </is>
      </c>
      <c r="Y256" t="inlineStr">
        <is>
          <t>25-05-2026 18 55 53.4 04 07.FME Robert is managing with level 0 .Auto TT closure RCA.</t>
        </is>
      </c>
      <c r="Z256" t="inlineStr"/>
      <c r="AA256" t="inlineStr"/>
      <c r="AB256" t="inlineStr"/>
      <c r="AC256" t="inlineStr"/>
      <c r="AD256" t="inlineStr"/>
      <c r="AE256" t="inlineStr">
        <is>
          <t>{None hourly IHS}: 25-05-2026 18:55:53..4:04:07..FME Robert is managing with level 0</t>
        </is>
      </c>
      <c r="AF256" t="inlineStr"/>
      <c r="AG256" t="inlineStr"/>
      <c r="AH256" t="inlineStr"/>
      <c r="AI256" t="inlineStr"/>
      <c r="AJ256" t="inlineStr"/>
      <c r="AK256" t="inlineStr"/>
      <c r="AL256" t="inlineStr"/>
      <c r="AM256" t="inlineStr"/>
      <c r="AN256" t="inlineStr"/>
      <c r="AO256" t="inlineStr">
        <is>
          <t>{05-25-2026 ocm ran 22H}: Power status check Ongoing</t>
        </is>
      </c>
      <c r="AP256" t="inlineStr"/>
      <c r="AQ256" t="inlineStr">
        <is>
          <t>{05-25-2026 ticket}: INC-20260525-00020009..Auto TT closure RCA..Others Transmission equipement fault</t>
        </is>
      </c>
      <c r="AR256" t="inlineStr"/>
    </row>
    <row r="257">
      <c r="A257" t="inlineStr">
        <is>
          <t>Foumban-Ndjidare-II</t>
        </is>
      </c>
      <c r="B257" t="inlineStr">
        <is>
          <t>OST_175</t>
        </is>
      </c>
      <c r="C257" t="inlineStr">
        <is>
          <t>OUEST</t>
        </is>
      </c>
      <c r="D257" t="inlineStr">
        <is>
          <t>IHS</t>
        </is>
      </c>
      <c r="E257" t="inlineStr">
        <is>
          <t>Grid-Gen</t>
        </is>
      </c>
      <c r="F257" t="inlineStr">
        <is>
          <t>OUEST</t>
        </is>
      </c>
      <c r="G257" t="inlineStr">
        <is>
          <t>Foumban</t>
        </is>
      </c>
      <c r="H257" t="inlineStr">
        <is>
          <t>Huawei</t>
        </is>
      </c>
      <c r="I257" t="n">
        <v>0.5825649981594199</v>
      </c>
      <c r="J257" t="n">
        <v>0</v>
      </c>
      <c r="K257" t="n">
        <v>0</v>
      </c>
      <c r="L257" t="n">
        <v>1.590264758170606</v>
      </c>
      <c r="M257" t="n">
        <v>0</v>
      </c>
      <c r="N257" t="n">
        <v>9.108635180988692</v>
      </c>
      <c r="O257" t="n">
        <v>11.62295017867404</v>
      </c>
      <c r="P257" t="n">
        <v>0.0754117171955952</v>
      </c>
      <c r="Q257" t="n">
        <v>5.241997043657418</v>
      </c>
      <c r="R257" t="inlineStr">
        <is>
          <t>Operationnel</t>
        </is>
      </c>
      <c r="S257" t="inlineStr"/>
      <c r="T257" t="inlineStr"/>
      <c r="U257" t="inlineStr"/>
      <c r="V257" t="inlineStr"/>
      <c r="W257" t="inlineStr"/>
      <c r="X257" t="inlineStr">
        <is>
          <t>{None hourly IHS}: 25/05/2026 06:54..6:06:00..49 v..FME is informed and managing</t>
        </is>
      </c>
      <c r="Y257" t="inlineStr">
        <is>
          <t>25/05/2026 06 54.6 06 00.49 v.FME is informed and managing</t>
        </is>
      </c>
      <c r="Z257" t="inlineStr"/>
      <c r="AA257" t="inlineStr"/>
      <c r="AB257" t="inlineStr"/>
      <c r="AC257" t="inlineStr"/>
      <c r="AD257" t="inlineStr"/>
      <c r="AE257" t="inlineStr">
        <is>
          <t>{None hourly IHS}: 25/05/2026 06:54..6:06:00..49 v..FME is informed and managing</t>
        </is>
      </c>
      <c r="AF257" t="inlineStr"/>
      <c r="AG257" t="inlineStr"/>
      <c r="AH257" t="inlineStr"/>
      <c r="AI257" t="inlineStr"/>
      <c r="AJ257" t="inlineStr"/>
      <c r="AK257" t="inlineStr"/>
      <c r="AL257" t="inlineStr"/>
      <c r="AM257" t="inlineStr"/>
      <c r="AN257" t="inlineStr"/>
      <c r="AO257" t="inlineStr"/>
      <c r="AP257" t="inlineStr"/>
      <c r="AQ257" t="inlineStr"/>
      <c r="AR257" t="inlineStr"/>
    </row>
    <row r="258">
      <c r="A258" t="inlineStr">
        <is>
          <t>Cite-Berge-EPC</t>
        </is>
      </c>
      <c r="B258" t="inlineStr">
        <is>
          <t>LIT_656</t>
        </is>
      </c>
      <c r="C258" t="inlineStr">
        <is>
          <t>Douala</t>
        </is>
      </c>
      <c r="D258" t="inlineStr">
        <is>
          <t>CAMUSAT</t>
        </is>
      </c>
      <c r="E258" t="inlineStr">
        <is>
          <t>Good Grid no GE - 8h</t>
        </is>
      </c>
      <c r="F258" t="inlineStr">
        <is>
          <t>LITTORAL</t>
        </is>
      </c>
      <c r="G258" t="inlineStr">
        <is>
          <t>Douala</t>
        </is>
      </c>
      <c r="H258" t="inlineStr">
        <is>
          <t>ZTE</t>
        </is>
      </c>
      <c r="I258" t="n">
        <v>0</v>
      </c>
      <c r="J258" t="n">
        <v>0.56599621040256</v>
      </c>
      <c r="K258" t="n">
        <v>0</v>
      </c>
      <c r="L258" t="n">
        <v>0.7068398238750346</v>
      </c>
      <c r="M258" t="n">
        <v>0</v>
      </c>
      <c r="N258" t="n">
        <v>1.995581693704064</v>
      </c>
      <c r="O258" t="n">
        <v>3.529598518926528</v>
      </c>
      <c r="P258" t="n">
        <v>7.080561738974365</v>
      </c>
      <c r="Q258" t="n">
        <v>5.162327748813611</v>
      </c>
      <c r="R258" t="inlineStr">
        <is>
          <t>Operationnel</t>
        </is>
      </c>
      <c r="S258" t="inlineStr"/>
      <c r="T258" t="inlineStr"/>
      <c r="U258" t="inlineStr"/>
      <c r="V258" t="inlineStr"/>
      <c r="W258" t="inlineStr"/>
      <c r="X258" t="inlineStr">
        <is>
          <t>{05-25-2026 ticket}: INC-20260525-00027531..Grid Outage</t>
        </is>
      </c>
      <c r="Y258" t="inlineStr">
        <is>
          <t>.Grid Outage</t>
        </is>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is>
          <t>{05-25-2026 ticket}: INC-20260525-00027531..Grid Outage</t>
        </is>
      </c>
      <c r="AR258" t="inlineStr"/>
    </row>
    <row r="259">
      <c r="A259" t="inlineStr">
        <is>
          <t>Nassarao-II</t>
        </is>
      </c>
      <c r="B259" t="inlineStr">
        <is>
          <t>NRD_147</t>
        </is>
      </c>
      <c r="C259" t="inlineStr">
        <is>
          <t>NORD</t>
        </is>
      </c>
      <c r="D259" t="inlineStr">
        <is>
          <t>CAMUSAT</t>
        </is>
      </c>
      <c r="E259" t="inlineStr">
        <is>
          <t>Good Grid + GE</t>
        </is>
      </c>
      <c r="F259" t="inlineStr">
        <is>
          <t>NORD</t>
        </is>
      </c>
      <c r="G259" t="inlineStr">
        <is>
          <t>Garoua</t>
        </is>
      </c>
      <c r="H259" t="inlineStr">
        <is>
          <t>Huawei</t>
        </is>
      </c>
      <c r="I259" t="n">
        <v>0.01906569872129623</v>
      </c>
      <c r="J259" t="n">
        <v>6.052779703966237</v>
      </c>
      <c r="K259" t="n">
        <v>0</v>
      </c>
      <c r="L259" t="n">
        <v>10.32547591122982</v>
      </c>
      <c r="M259" t="n">
        <v>2.051961430573034</v>
      </c>
      <c r="N259" t="n">
        <v>8.323041936940719</v>
      </c>
      <c r="O259" t="n">
        <v>10.55256348793483</v>
      </c>
      <c r="P259" t="n">
        <v>0.5812345277728531</v>
      </c>
      <c r="Q259" t="n">
        <v>5.03425405141639</v>
      </c>
      <c r="R259" t="inlineStr">
        <is>
          <t>Operationnel</t>
        </is>
      </c>
      <c r="S259" t="inlineStr"/>
      <c r="T259" t="inlineStr"/>
      <c r="U259" t="inlineStr"/>
      <c r="V259" t="inlineStr"/>
      <c r="W259" t="inlineStr"/>
      <c r="X259" t="inlineStr">
        <is>
          <t>{05-25-2026 top offenders}: ISOLEMENT DU ROUTEUR DE EGOULAI_01 (NRD_009_H_Garoua-Lainde)</t>
        </is>
      </c>
      <c r="Y259" t="inlineStr">
        <is>
          <t>ISOLEMENT DU ROUTEUR DE EGOULAI_01 (NRD_009_H_Garoua-Lainde)</t>
        </is>
      </c>
      <c r="Z259" t="inlineStr"/>
      <c r="AA259" t="inlineStr"/>
      <c r="AB259" t="inlineStr">
        <is>
          <t>{05-25-2026 top offenders}: ISOLEMENT DU ROUTEUR DE EGOULAI_01 (NRD_009_H_Garoua-Lainde)</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row>
    <row r="260">
      <c r="A260" t="inlineStr">
        <is>
          <t>Baiboum</t>
        </is>
      </c>
      <c r="B260" t="inlineStr">
        <is>
          <t>ADM_008</t>
        </is>
      </c>
      <c r="C260" t="inlineStr">
        <is>
          <t>ADAMAOUA</t>
        </is>
      </c>
      <c r="D260" t="inlineStr">
        <is>
          <t>IHS</t>
        </is>
      </c>
      <c r="E260" t="inlineStr">
        <is>
          <t>Gen Only</t>
        </is>
      </c>
      <c r="F260" t="inlineStr">
        <is>
          <t>ADAMAOUA</t>
        </is>
      </c>
      <c r="G260" t="inlineStr">
        <is>
          <t>Baiboum</t>
        </is>
      </c>
      <c r="H260" t="inlineStr">
        <is>
          <t>NOKIA</t>
        </is>
      </c>
      <c r="I260" t="n">
        <v>8.91753915868861e-05</v>
      </c>
      <c r="J260" t="n">
        <v>3.567015663470812e-05</v>
      </c>
      <c r="K260" t="n">
        <v>13.86859256976369</v>
      </c>
      <c r="L260" t="n">
        <v>6.623894319656403</v>
      </c>
      <c r="M260" t="n">
        <v>17.30088252006052</v>
      </c>
      <c r="N260" t="n">
        <v>0.1114068638618115</v>
      </c>
      <c r="O260" t="n">
        <v>14.86875897509527</v>
      </c>
      <c r="P260" t="n">
        <v>0.0001710016262940206</v>
      </c>
      <c r="Q260" t="n">
        <v>5.007611949701363</v>
      </c>
      <c r="R260" t="inlineStr">
        <is>
          <t>Operationnel</t>
        </is>
      </c>
      <c r="S260" t="inlineStr"/>
      <c r="T260" t="inlineStr"/>
      <c r="U260" t="inlineStr"/>
      <c r="V260" t="inlineStr"/>
      <c r="W260" t="inlineStr"/>
      <c r="X260" t="inlineStr">
        <is>
          <t xml:space="preserve">{05-25-2026 top offenders}: 25/05/2026: Closed after reset
24/05/2026 : Need BO RAN analysis      ;    {05-25-2026 retour IHS}: IHS     ;    {05/25/2026 cell nokia}: 25/05/2026: Closed after reset
24/05/2026 : Need BO RAN analysis </t>
        </is>
      </c>
      <c r="Y260" t="inlineStr">
        <is>
          <t>25/05/2026 Closed after reset
24/05/2026 Need BO RAN analysis IHS 25/05/2026 Closed after reset
24/05/2026 Need BO RAN analysis</t>
        </is>
      </c>
      <c r="Z260" t="inlineStr"/>
      <c r="AA260" t="inlineStr"/>
      <c r="AB260" t="inlineStr">
        <is>
          <t xml:space="preserve">{05-25-2026 top offenders}: 25/05/2026: Closed after reset
24/05/2026 : Need BO RAN analysis </t>
        </is>
      </c>
      <c r="AC260" t="inlineStr"/>
      <c r="AD260" t="inlineStr">
        <is>
          <t>{05-25-2026 retour IHS}: IHS</t>
        </is>
      </c>
      <c r="AE260" t="inlineStr"/>
      <c r="AF260" t="inlineStr">
        <is>
          <t xml:space="preserve">{05/25/2026 cell nokia}: 25/05/2026: Closed after reset
24/05/2026 : Need BO RAN analysis </t>
        </is>
      </c>
      <c r="AG260" t="inlineStr"/>
      <c r="AH260" t="inlineStr"/>
      <c r="AI260" t="inlineStr"/>
      <c r="AJ260" t="inlineStr"/>
      <c r="AK260" t="inlineStr"/>
      <c r="AL260" t="inlineStr"/>
      <c r="AM260" t="inlineStr"/>
      <c r="AN260" t="inlineStr"/>
      <c r="AO260" t="inlineStr"/>
      <c r="AP260" t="inlineStr"/>
      <c r="AQ260" t="inlineStr"/>
      <c r="AR260" t="inlineStr"/>
    </row>
    <row r="261">
      <c r="A261" t="inlineStr">
        <is>
          <t>Bda-Bus-Station-IHS</t>
        </is>
      </c>
      <c r="B261" t="inlineStr">
        <is>
          <t>NRO_066</t>
        </is>
      </c>
      <c r="C261" t="inlineStr">
        <is>
          <t>NORD-OUEST</t>
        </is>
      </c>
      <c r="D261" t="inlineStr">
        <is>
          <t>IHS</t>
        </is>
      </c>
      <c r="E261" t="inlineStr">
        <is>
          <t>Grid-Gen</t>
        </is>
      </c>
      <c r="F261" t="inlineStr">
        <is>
          <t>NORD-OUEST</t>
        </is>
      </c>
      <c r="G261" t="inlineStr">
        <is>
          <t>Bamenda</t>
        </is>
      </c>
      <c r="H261" t="inlineStr">
        <is>
          <t>Huawei</t>
        </is>
      </c>
      <c r="I261" t="n">
        <v>0</v>
      </c>
      <c r="J261" t="n">
        <v>0</v>
      </c>
      <c r="K261" t="n">
        <v>0</v>
      </c>
      <c r="L261" t="n">
        <v>3.443240219956454</v>
      </c>
      <c r="M261" t="n">
        <v>0</v>
      </c>
      <c r="N261" t="n">
        <v>8.4985202370818</v>
      </c>
      <c r="O261" t="n">
        <v>10.87233008966003</v>
      </c>
      <c r="P261" t="n">
        <v>0.2474393532472251</v>
      </c>
      <c r="Q261" t="n">
        <v>4.992591308466953</v>
      </c>
      <c r="R261" t="inlineStr">
        <is>
          <t>Operationnel</t>
        </is>
      </c>
      <c r="S261" t="inlineStr"/>
      <c r="T261" t="inlineStr"/>
      <c r="U261" t="inlineStr"/>
      <c r="V261" t="inlineStr"/>
      <c r="W261" t="inlineStr"/>
      <c r="X261" t="inlineStr">
        <is>
          <t>{05-25-2026 top offenders}: 26.05.2026: FME Activated is managing no ETA. Ste located in NOSO Area
26.05.2026: BBU Is Down. Need FME on the site to check his status and interco with MPR     ;    {None hourly IHS}: 25/05/2026 02:19..4:03:58..43.2V..Peter is informed and will manage in the morning, Insecurity area.</t>
        </is>
      </c>
      <c r="Y261" t="inlineStr">
        <is>
          <t>26.05.2026 FME Activated is managing no ETA. Ste located in NOSO Area
26.05.2026 BBU Is Down. Need FME on the site to check his status and interco with MPR 25/05/2026 02 19.4 03 58.43.2V.Peter is informed and will manage in the morning, Insecurity area.</t>
        </is>
      </c>
      <c r="Z261" t="inlineStr"/>
      <c r="AA261" t="inlineStr"/>
      <c r="AB261" t="inlineStr">
        <is>
          <t>{05-25-2026 top offenders}: 26.05.2026: FME Activated is managing no ETA. Ste located in NOSO Area
26.05.2026: BBU Is Down. Need FME on the site to check his status and interco with MPR</t>
        </is>
      </c>
      <c r="AC261" t="inlineStr"/>
      <c r="AD261" t="inlineStr"/>
      <c r="AE261" t="inlineStr">
        <is>
          <t>{None hourly IHS}: 25/05/2026 02:19..4:03:58..43.2V..Peter is informed and will manage in the morning, Insecurity area.</t>
        </is>
      </c>
      <c r="AF261" t="inlineStr"/>
      <c r="AG261" t="inlineStr"/>
      <c r="AH261" t="inlineStr"/>
      <c r="AI261" t="inlineStr"/>
      <c r="AJ261" t="inlineStr"/>
      <c r="AK261" t="inlineStr"/>
      <c r="AL261" t="inlineStr"/>
      <c r="AM261" t="inlineStr"/>
      <c r="AN261" t="inlineStr"/>
      <c r="AO261" t="inlineStr"/>
      <c r="AP261" t="inlineStr"/>
      <c r="AQ261" t="inlineStr"/>
      <c r="AR261" t="inlineStr"/>
    </row>
    <row r="262">
      <c r="A262" t="inlineStr">
        <is>
          <t>Essomba</t>
        </is>
      </c>
      <c r="B262" t="inlineStr">
        <is>
          <t>CTR_266</t>
        </is>
      </c>
      <c r="C262" t="inlineStr">
        <is>
          <t>Yaounde</t>
        </is>
      </c>
      <c r="D262" t="inlineStr">
        <is>
          <t>IHS</t>
        </is>
      </c>
      <c r="E262" t="inlineStr">
        <is>
          <t>Grid-Gen</t>
        </is>
      </c>
      <c r="F262" t="inlineStr">
        <is>
          <t>CENTRE</t>
        </is>
      </c>
      <c r="G262" t="inlineStr">
        <is>
          <t>Yaounde</t>
        </is>
      </c>
      <c r="H262" t="inlineStr">
        <is>
          <t>ZTE</t>
        </is>
      </c>
      <c r="I262" t="n">
        <v>2.651808619622011</v>
      </c>
      <c r="J262" t="n">
        <v>18.05780277542354</v>
      </c>
      <c r="K262" t="n">
        <v>2.064552995865116</v>
      </c>
      <c r="L262" t="n">
        <v>8.572376888021392</v>
      </c>
      <c r="M262" t="n">
        <v>0.07103711693818759</v>
      </c>
      <c r="N262" t="n">
        <v>3.669931936900751</v>
      </c>
      <c r="O262" t="n">
        <v>3.413570896702266</v>
      </c>
      <c r="P262" t="n">
        <v>6.36074749325296</v>
      </c>
      <c r="Q262" t="n">
        <v>4.987098104345196</v>
      </c>
      <c r="R262" t="inlineStr">
        <is>
          <t>Operationnel</t>
        </is>
      </c>
      <c r="S262" t="inlineStr"/>
      <c r="T262" t="inlineStr"/>
      <c r="U262" t="inlineStr"/>
      <c r="V262" t="inlineStr"/>
      <c r="W262" t="inlineStr"/>
      <c r="X262" t="inlineStr">
        <is>
          <t>{05-25-2026 top offenders}: 25/05/2026 : Power issue || Mail sent to IHS      ;    {05/25/2026 cell zte}: 25/05/2026 : Power issue || Mail sent to IHS      ;    {05-25-2026 ticket}: INC-20260525-00015244..Grid Outage</t>
        </is>
      </c>
      <c r="Y262" t="inlineStr">
        <is>
          <t>25/05/2026 Power issue || Mail sent to IHS 25/05/2026 Power issue || Mail sent to IHS .Grid Outage</t>
        </is>
      </c>
      <c r="Z262" t="inlineStr"/>
      <c r="AA262" t="inlineStr"/>
      <c r="AB262" t="inlineStr">
        <is>
          <t xml:space="preserve">{05-25-2026 top offenders}: 25/05/2026 : Power issue || Mail sent to IHS </t>
        </is>
      </c>
      <c r="AC262" t="inlineStr"/>
      <c r="AD262" t="inlineStr"/>
      <c r="AE262" t="inlineStr"/>
      <c r="AF262" t="inlineStr"/>
      <c r="AG262" t="inlineStr"/>
      <c r="AH262" t="inlineStr"/>
      <c r="AI262" t="inlineStr"/>
      <c r="AJ262" t="inlineStr"/>
      <c r="AK262" t="inlineStr">
        <is>
          <t xml:space="preserve">{05/25/2026 cell zte}: 25/05/2026 : Power issue || Mail sent to IHS </t>
        </is>
      </c>
      <c r="AL262" t="inlineStr"/>
      <c r="AM262" t="inlineStr"/>
      <c r="AN262" t="inlineStr"/>
      <c r="AO262" t="inlineStr"/>
      <c r="AP262" t="inlineStr"/>
      <c r="AQ262" t="inlineStr">
        <is>
          <t>{05-25-2026 ticket}: INC-20260525-00015244..Grid Outage</t>
        </is>
      </c>
      <c r="AR262" t="inlineStr"/>
    </row>
    <row r="263">
      <c r="A263" t="inlineStr">
        <is>
          <t>Batouri-Kako-MTN</t>
        </is>
      </c>
      <c r="B263" t="inlineStr">
        <is>
          <t>EST_070</t>
        </is>
      </c>
      <c r="C263" t="inlineStr">
        <is>
          <t>CENTRE</t>
        </is>
      </c>
      <c r="D263" t="inlineStr">
        <is>
          <t>IHS</t>
        </is>
      </c>
      <c r="E263" t="inlineStr">
        <is>
          <t>Grid-Gen</t>
        </is>
      </c>
      <c r="F263" t="inlineStr">
        <is>
          <t>EST</t>
        </is>
      </c>
      <c r="G263" t="inlineStr">
        <is>
          <t>Batouri</t>
        </is>
      </c>
      <c r="H263" t="inlineStr">
        <is>
          <t>ZTE</t>
        </is>
      </c>
      <c r="I263" t="n">
        <v>9.215670327851543</v>
      </c>
      <c r="J263" t="n">
        <v>2.445510268724692</v>
      </c>
      <c r="K263" t="n">
        <v>0</v>
      </c>
      <c r="L263" t="n">
        <v>3.548645532812263</v>
      </c>
      <c r="M263" t="n">
        <v>1.074385117839929</v>
      </c>
      <c r="N263" t="n">
        <v>4.949737019851404</v>
      </c>
      <c r="O263" t="n">
        <v>2.210103073329456</v>
      </c>
      <c r="P263" t="n">
        <v>6.728640392061584</v>
      </c>
      <c r="Q263" t="n">
        <v>4.95768806019981</v>
      </c>
      <c r="R263" t="inlineStr">
        <is>
          <t>Operationnel</t>
        </is>
      </c>
      <c r="S263" t="inlineStr"/>
      <c r="T263" t="inlineStr"/>
      <c r="U263" t="inlineStr"/>
      <c r="V263" t="inlineStr"/>
      <c r="W263" t="inlineStr"/>
      <c r="X263" t="inlineStr">
        <is>
          <t>{None hourly IHS}: 25/05/2026 07:38..0:22:00..33..FME is informed and managing     ;    {05-25-2026 ticket}: INC-20260525-00005773..Grid Outage</t>
        </is>
      </c>
      <c r="Y263" t="inlineStr">
        <is>
          <t>25/05/2026 07 38.0 22 00.33.FME is informed and managing .Grid Outage</t>
        </is>
      </c>
      <c r="Z263" t="inlineStr"/>
      <c r="AA263" t="inlineStr"/>
      <c r="AB263" t="inlineStr"/>
      <c r="AC263" t="inlineStr"/>
      <c r="AD263" t="inlineStr"/>
      <c r="AE263" t="inlineStr">
        <is>
          <t>{None hourly IHS}: 25/05/2026 07:38..0:22:00..33..FME is informed and managing</t>
        </is>
      </c>
      <c r="AF263" t="inlineStr"/>
      <c r="AG263" t="inlineStr"/>
      <c r="AH263" t="inlineStr"/>
      <c r="AI263" t="inlineStr"/>
      <c r="AJ263" t="inlineStr"/>
      <c r="AK263" t="inlineStr"/>
      <c r="AL263" t="inlineStr"/>
      <c r="AM263" t="inlineStr"/>
      <c r="AN263" t="inlineStr"/>
      <c r="AO263" t="inlineStr"/>
      <c r="AP263" t="inlineStr"/>
      <c r="AQ263" t="inlineStr">
        <is>
          <t>{05-25-2026 ticket}: INC-20260525-00005773..Grid Outage</t>
        </is>
      </c>
      <c r="AR263" t="inlineStr"/>
    </row>
    <row r="264">
      <c r="A264" t="inlineStr">
        <is>
          <t>Ngd-Balam</t>
        </is>
      </c>
      <c r="B264" t="inlineStr">
        <is>
          <t>ADM_165</t>
        </is>
      </c>
      <c r="C264" t="inlineStr">
        <is>
          <t>Ngaoundere</t>
        </is>
      </c>
      <c r="D264" t="inlineStr">
        <is>
          <t>CAMUSAT</t>
        </is>
      </c>
      <c r="E264" t="inlineStr">
        <is>
          <t>Hybrid Solar - S1</t>
        </is>
      </c>
      <c r="F264" t="inlineStr">
        <is>
          <t>ADAMAOUA</t>
        </is>
      </c>
      <c r="G264" t="inlineStr">
        <is>
          <t>Ngaoundere</t>
        </is>
      </c>
      <c r="H264" t="inlineStr">
        <is>
          <t>Huawei</t>
        </is>
      </c>
      <c r="I264" t="n">
        <v>0.2288062197338721</v>
      </c>
      <c r="J264" t="n">
        <v>0</v>
      </c>
      <c r="K264" t="n">
        <v>0</v>
      </c>
      <c r="L264" t="n">
        <v>0</v>
      </c>
      <c r="M264" t="n">
        <v>0</v>
      </c>
      <c r="N264" t="n">
        <v>3.577634097894161</v>
      </c>
      <c r="O264" t="n">
        <v>4.566887586659459</v>
      </c>
      <c r="P264" t="n">
        <v>5.57003597327012</v>
      </c>
      <c r="Q264" t="n">
        <v>4.948752685962796</v>
      </c>
      <c r="R264" t="inlineStr">
        <is>
          <t>Operationnel</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row>
    <row r="265">
      <c r="A265" t="inlineStr">
        <is>
          <t>Bamenda-Ntasen-IHS</t>
        </is>
      </c>
      <c r="B265" t="inlineStr">
        <is>
          <t>NRO_134</t>
        </is>
      </c>
      <c r="C265" t="inlineStr">
        <is>
          <t>SUD-OUEST</t>
        </is>
      </c>
      <c r="D265" t="inlineStr">
        <is>
          <t>IHS</t>
        </is>
      </c>
      <c r="E265" t="inlineStr">
        <is>
          <t>Grid-Gen</t>
        </is>
      </c>
      <c r="F265" t="inlineStr">
        <is>
          <t>NORD-OUEST</t>
        </is>
      </c>
      <c r="G265" t="inlineStr">
        <is>
          <t>Bamenda</t>
        </is>
      </c>
      <c r="H265" t="inlineStr">
        <is>
          <t>Huawei</t>
        </is>
      </c>
      <c r="I265" t="n">
        <v>4.108131939628974</v>
      </c>
      <c r="J265" t="n">
        <v>0.1626024090196984</v>
      </c>
      <c r="K265" t="n">
        <v>1.227410089803186</v>
      </c>
      <c r="L265" t="n">
        <v>11.01583612273958</v>
      </c>
      <c r="M265" t="n">
        <v>0</v>
      </c>
      <c r="N265" t="n">
        <v>6.906101499146713</v>
      </c>
      <c r="O265" t="n">
        <v>11.75789072833046</v>
      </c>
      <c r="P265" t="n">
        <v>0</v>
      </c>
      <c r="Q265" t="n">
        <v>4.933450188766469</v>
      </c>
      <c r="R265" t="inlineStr">
        <is>
          <t>Operationnel</t>
        </is>
      </c>
      <c r="S265" t="inlineStr"/>
      <c r="T265" t="inlineStr"/>
      <c r="U265" t="inlineStr"/>
      <c r="V265" t="inlineStr"/>
      <c r="W265" t="inlineStr"/>
      <c r="X265" t="inlineStr">
        <is>
          <t>{05-25-2026 top offenders}: 26.05.2026: IHS feedback : FME Peter is managing with level 0     ;    {None hourly IHS}: 25/05/2026 18:57..4:02:03..FME Peter is managing with level 0     ;    {05-25-2026 ocm ran 22H}: Power status check Ongoing</t>
        </is>
      </c>
      <c r="Y265" t="inlineStr">
        <is>
          <t>26.05.2026 IHS feedback FME Peter is managing with level 0 25/05/2026 18 57.4 02 03.FME Peter is managing with level 0</t>
        </is>
      </c>
      <c r="Z265" t="inlineStr"/>
      <c r="AA265" t="inlineStr"/>
      <c r="AB265" t="inlineStr">
        <is>
          <t>{05-25-2026 top offenders}: 26.05.2026: IHS feedback : FME Peter is managing with level 0</t>
        </is>
      </c>
      <c r="AC265" t="inlineStr"/>
      <c r="AD265" t="inlineStr"/>
      <c r="AE265" t="inlineStr">
        <is>
          <t>{None hourly IHS}: 25/05/2026 18:57..4:02:03..FME Peter is managing with level 0</t>
        </is>
      </c>
      <c r="AF265" t="inlineStr"/>
      <c r="AG265" t="inlineStr"/>
      <c r="AH265" t="inlineStr"/>
      <c r="AI265" t="inlineStr"/>
      <c r="AJ265" t="inlineStr"/>
      <c r="AK265" t="inlineStr"/>
      <c r="AL265" t="inlineStr"/>
      <c r="AM265" t="inlineStr"/>
      <c r="AN265" t="inlineStr"/>
      <c r="AO265" t="inlineStr">
        <is>
          <t>{05-25-2026 ocm ran 22H}: Power status check Ongoing</t>
        </is>
      </c>
      <c r="AP265" t="inlineStr"/>
      <c r="AQ265" t="inlineStr"/>
      <c r="AR265" t="inlineStr"/>
    </row>
    <row r="266">
      <c r="A266" t="inlineStr">
        <is>
          <t>Bong-assi</t>
        </is>
      </c>
      <c r="B266" t="inlineStr">
        <is>
          <t>CTR_774</t>
        </is>
      </c>
      <c r="C266" t="inlineStr">
        <is>
          <t>Yaounde</t>
        </is>
      </c>
      <c r="D266" t="inlineStr">
        <is>
          <t>CAMUSAT</t>
        </is>
      </c>
      <c r="E266" t="inlineStr">
        <is>
          <t>Hybrid Solar - S3</t>
        </is>
      </c>
      <c r="F266" t="inlineStr">
        <is>
          <t>CENTRE</t>
        </is>
      </c>
      <c r="G266" t="inlineStr">
        <is>
          <t>Yaounde</t>
        </is>
      </c>
      <c r="H266" t="inlineStr">
        <is>
          <t>ZTE</t>
        </is>
      </c>
      <c r="I266" t="n">
        <v>0</v>
      </c>
      <c r="J266" t="n">
        <v>0</v>
      </c>
      <c r="K266" t="n">
        <v>0</v>
      </c>
      <c r="L266" t="n">
        <v>0</v>
      </c>
      <c r="M266" t="n">
        <v>0.001337630873804524</v>
      </c>
      <c r="N266" t="n">
        <v>3.649823747347217</v>
      </c>
      <c r="O266" t="n">
        <v>3.552230280404337</v>
      </c>
      <c r="P266" t="n">
        <v>6.090941127286497</v>
      </c>
      <c r="Q266" t="n">
        <v>4.890075278298561</v>
      </c>
      <c r="R266" t="inlineStr">
        <is>
          <t>Operationnel</t>
        </is>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row>
    <row r="267">
      <c r="A267" t="inlineStr">
        <is>
          <t>CTR_941_Z_Biyemassi-Accacia</t>
        </is>
      </c>
      <c r="B267" t="inlineStr">
        <is>
          <t>CTR_941</t>
        </is>
      </c>
      <c r="C267" t="inlineStr">
        <is>
          <t>Yaounde</t>
        </is>
      </c>
      <c r="D267" t="inlineStr">
        <is>
          <t>ESCO</t>
        </is>
      </c>
      <c r="E267" t="inlineStr">
        <is>
          <t>Good Grid + Solar + GE</t>
        </is>
      </c>
      <c r="F267" t="inlineStr">
        <is>
          <t>CENTRE</t>
        </is>
      </c>
      <c r="G267" t="inlineStr">
        <is>
          <t>Yaounde</t>
        </is>
      </c>
      <c r="H267" t="inlineStr">
        <is>
          <t>ZTE</t>
        </is>
      </c>
      <c r="I267" t="n">
        <v>3.510585475682941</v>
      </c>
      <c r="J267" t="n">
        <v>9.072436813884538</v>
      </c>
      <c r="K267" t="n">
        <v>0</v>
      </c>
      <c r="L267" t="n">
        <v>0</v>
      </c>
      <c r="M267" t="n">
        <v>0</v>
      </c>
      <c r="N267" t="n">
        <v>2.968643214272868</v>
      </c>
      <c r="O267" t="n">
        <v>2.53666982873813</v>
      </c>
      <c r="P267" t="n">
        <v>6.925565864901604</v>
      </c>
      <c r="Q267" t="n">
        <v>4.887114655297875</v>
      </c>
      <c r="R267" t="inlineStr">
        <is>
          <t>Operationnel</t>
        </is>
      </c>
      <c r="S267" t="inlineStr"/>
      <c r="T267" t="inlineStr"/>
      <c r="U267" t="inlineStr"/>
      <c r="V267" t="inlineStr"/>
      <c r="W267" t="inlineStr"/>
      <c r="X267" t="inlineStr">
        <is>
          <t>{05-25-2026 top offenders}: 26.05.2026: FME Hossiah activated is managing ETA=2H
26.05.2026: Need FME On the site to check MPR status as it's not supervised</t>
        </is>
      </c>
      <c r="Y267" t="inlineStr">
        <is>
          <t>26.05.2026 FME Hossiah activated is managing ETA=2H
26.05.2026 Need FME On the site to check MPR status as it's not supervised</t>
        </is>
      </c>
      <c r="Z267" t="inlineStr"/>
      <c r="AA267" t="inlineStr"/>
      <c r="AB267" t="inlineStr">
        <is>
          <t>{05-25-2026 top offenders}: 26.05.2026: FME Hossiah activated is managing ETA=2H
26.05.2026: Need FME On the site to check MPR status as it's not supervised</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row>
    <row r="268">
      <c r="A268" t="inlineStr">
        <is>
          <t>CTR_936_Z_Nsimalen-TOUTOULI</t>
        </is>
      </c>
      <c r="B268" t="inlineStr">
        <is>
          <t>CTR_936</t>
        </is>
      </c>
      <c r="C268" t="inlineStr">
        <is>
          <t>Yaounde</t>
        </is>
      </c>
      <c r="D268" t="inlineStr">
        <is>
          <t>ESCO</t>
        </is>
      </c>
      <c r="E268" t="inlineStr">
        <is>
          <t>Good Grid + GE</t>
        </is>
      </c>
      <c r="F268" t="inlineStr">
        <is>
          <t>CENTRE</t>
        </is>
      </c>
      <c r="G268" t="inlineStr">
        <is>
          <t>Yaoundé</t>
        </is>
      </c>
      <c r="H268" t="inlineStr">
        <is>
          <t>ZTE</t>
        </is>
      </c>
      <c r="I268" t="n">
        <v>0.6346434268462169</v>
      </c>
      <c r="J268" t="n">
        <v>1.96843975881267</v>
      </c>
      <c r="K268" t="n">
        <v>1.051663228063566</v>
      </c>
      <c r="L268" t="n">
        <v>1.460050851375299</v>
      </c>
      <c r="M268" t="n">
        <v>0.6405468377692745</v>
      </c>
      <c r="N268" t="n">
        <v>3.897366801354068</v>
      </c>
      <c r="O268" t="n">
        <v>3.128017568197041</v>
      </c>
      <c r="P268" t="n">
        <v>6.267859409850132</v>
      </c>
      <c r="Q268" t="n">
        <v>4.875272163295124</v>
      </c>
      <c r="R268" t="inlineStr">
        <is>
          <t>Operationnel</t>
        </is>
      </c>
      <c r="S268" t="inlineStr"/>
      <c r="T268" t="inlineStr"/>
      <c r="U268" t="inlineStr"/>
      <c r="V268" t="inlineStr"/>
      <c r="W268" t="inlineStr"/>
      <c r="X268" t="inlineStr">
        <is>
          <t>{05-25-2026 top offenders}: 25/05/2026 : Need BO RAN analysis     ;    {05/25/2026 cell zte}: 25/05/2026 : Need BO RAN analysis</t>
        </is>
      </c>
      <c r="Y268" t="inlineStr">
        <is>
          <t>25/05/2026 Need BO RAN analysis 25/05/2026 Need BO RAN analysis</t>
        </is>
      </c>
      <c r="Z268" t="inlineStr"/>
      <c r="AA268" t="inlineStr"/>
      <c r="AB268" t="inlineStr">
        <is>
          <t>{05-25-2026 top offenders}: 25/05/2026 : Need BO RAN analysis</t>
        </is>
      </c>
      <c r="AC268" t="inlineStr"/>
      <c r="AD268" t="inlineStr"/>
      <c r="AE268" t="inlineStr"/>
      <c r="AF268" t="inlineStr"/>
      <c r="AG268" t="inlineStr"/>
      <c r="AH268" t="inlineStr"/>
      <c r="AI268" t="inlineStr">
        <is>
          <t>{05/25/2026 cell zte}: 25/05/2026 : Need BO RAN analysis</t>
        </is>
      </c>
      <c r="AJ268" t="inlineStr"/>
      <c r="AK268" t="inlineStr"/>
      <c r="AL268" t="inlineStr"/>
      <c r="AM268" t="inlineStr"/>
      <c r="AN268" t="inlineStr"/>
      <c r="AO268" t="inlineStr"/>
      <c r="AP268" t="inlineStr"/>
      <c r="AQ268" t="inlineStr"/>
      <c r="AR268" t="inlineStr"/>
    </row>
    <row r="269">
      <c r="A269" t="inlineStr">
        <is>
          <t>Odza</t>
        </is>
      </c>
      <c r="B269" t="inlineStr">
        <is>
          <t>CTR_099</t>
        </is>
      </c>
      <c r="C269" t="inlineStr">
        <is>
          <t>Yaounde</t>
        </is>
      </c>
      <c r="D269" t="inlineStr">
        <is>
          <t>IHS</t>
        </is>
      </c>
      <c r="E269" t="inlineStr">
        <is>
          <t>Grid-Gen</t>
        </is>
      </c>
      <c r="F269" t="inlineStr">
        <is>
          <t>CENTRE</t>
        </is>
      </c>
      <c r="G269" t="inlineStr">
        <is>
          <t>Yaounde</t>
        </is>
      </c>
      <c r="H269" t="inlineStr">
        <is>
          <t>ZTE</t>
        </is>
      </c>
      <c r="I269" t="n">
        <v>0</v>
      </c>
      <c r="J269" t="n">
        <v>0</v>
      </c>
      <c r="K269" t="n">
        <v>0</v>
      </c>
      <c r="L269" t="n">
        <v>0.1760143879143805</v>
      </c>
      <c r="M269" t="n">
        <v>4.839548501425379</v>
      </c>
      <c r="N269" t="n">
        <v>2.984629849445863</v>
      </c>
      <c r="O269" t="n">
        <v>2.641222191621531</v>
      </c>
      <c r="P269" t="n">
        <v>6.740678906552674</v>
      </c>
      <c r="Q269" t="n">
        <v>4.828080546067294</v>
      </c>
      <c r="R269" t="inlineStr">
        <is>
          <t>Operationnel</t>
        </is>
      </c>
      <c r="S269" t="inlineStr"/>
      <c r="T269" t="inlineStr"/>
      <c r="U269" t="inlineStr"/>
      <c r="V269" t="inlineStr"/>
      <c r="W269" t="inlineStr"/>
      <c r="X269" t="inlineStr">
        <is>
          <t>{05-25-2026 ticket}: INC-20260525-00025494..Grid Outage</t>
        </is>
      </c>
      <c r="Y269" t="inlineStr">
        <is>
          <t>.Grid Outage</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is>
          <t>{05-25-2026 ticket}: INC-20260525-00025494..Grid Outage</t>
        </is>
      </c>
      <c r="AR269" t="inlineStr"/>
    </row>
    <row r="270">
      <c r="A270" t="inlineStr">
        <is>
          <t>Ekoudou-New</t>
        </is>
      </c>
      <c r="B270" t="inlineStr">
        <is>
          <t>CTR_539</t>
        </is>
      </c>
      <c r="C270" t="inlineStr">
        <is>
          <t>Yaounde</t>
        </is>
      </c>
      <c r="D270" t="inlineStr">
        <is>
          <t>IHS</t>
        </is>
      </c>
      <c r="E270" t="inlineStr">
        <is>
          <t>Grid-Gen</t>
        </is>
      </c>
      <c r="F270" t="inlineStr">
        <is>
          <t>CENTRE</t>
        </is>
      </c>
      <c r="G270" t="inlineStr">
        <is>
          <t>Yaounde</t>
        </is>
      </c>
      <c r="H270" t="inlineStr">
        <is>
          <t>ZTE</t>
        </is>
      </c>
      <c r="I270" t="n">
        <v>0</v>
      </c>
      <c r="J270" t="n">
        <v>0</v>
      </c>
      <c r="K270" t="n">
        <v>0</v>
      </c>
      <c r="L270" t="n">
        <v>0</v>
      </c>
      <c r="M270" t="n">
        <v>0</v>
      </c>
      <c r="N270" t="n">
        <v>4.759645935997506</v>
      </c>
      <c r="O270" t="n">
        <v>4.058788603622443</v>
      </c>
      <c r="P270" t="n">
        <v>5.22512569303539</v>
      </c>
      <c r="Q270" t="n">
        <v>4.767102413300117</v>
      </c>
      <c r="R270" t="inlineStr">
        <is>
          <t>Operationnel</t>
        </is>
      </c>
      <c r="S270" t="inlineStr"/>
      <c r="T270" t="inlineStr"/>
      <c r="U270" t="inlineStr"/>
      <c r="V270" t="inlineStr"/>
      <c r="W270" t="inlineStr"/>
      <c r="X270" t="inlineStr">
        <is>
          <t>{05-25-2026 top offenders}: Power status check Ongoing     ;    {05-25-2026 ocm ran 22H}: Power status check Ongoing     ;    {05-25-2026 ticket}: INC-20260525-00021215..Others</t>
        </is>
      </c>
      <c r="Y270" t="inlineStr"/>
      <c r="Z270" t="inlineStr"/>
      <c r="AA270" t="inlineStr"/>
      <c r="AB270" t="inlineStr">
        <is>
          <t>{05-25-2026 top offenders}: Power status check Ongoing</t>
        </is>
      </c>
      <c r="AC270" t="inlineStr"/>
      <c r="AD270" t="inlineStr"/>
      <c r="AE270" t="inlineStr"/>
      <c r="AF270" t="inlineStr"/>
      <c r="AG270" t="inlineStr"/>
      <c r="AH270" t="inlineStr"/>
      <c r="AI270" t="inlineStr"/>
      <c r="AJ270" t="inlineStr"/>
      <c r="AK270" t="inlineStr"/>
      <c r="AL270" t="inlineStr"/>
      <c r="AM270" t="inlineStr"/>
      <c r="AN270" t="inlineStr"/>
      <c r="AO270" t="inlineStr">
        <is>
          <t>{05-25-2026 ocm ran 22H}: Power status check Ongoing</t>
        </is>
      </c>
      <c r="AP270" t="inlineStr"/>
      <c r="AQ270" t="inlineStr">
        <is>
          <t>{05-25-2026 ticket}: INC-20260525-00021215..Others</t>
        </is>
      </c>
      <c r="AR270" t="inlineStr"/>
    </row>
    <row r="271">
      <c r="A271" t="inlineStr">
        <is>
          <t>Kaele-MTN-IHS</t>
        </is>
      </c>
      <c r="B271" t="inlineStr">
        <is>
          <t>EXN_160</t>
        </is>
      </c>
      <c r="C271" t="inlineStr">
        <is>
          <t>EXTREME-NORD</t>
        </is>
      </c>
      <c r="D271" t="inlineStr">
        <is>
          <t>IHS</t>
        </is>
      </c>
      <c r="E271" t="inlineStr">
        <is>
          <t>Grid-Gen</t>
        </is>
      </c>
      <c r="F271" t="inlineStr">
        <is>
          <t>EXTREME-NORD</t>
        </is>
      </c>
      <c r="G271" t="inlineStr">
        <is>
          <t>Kaele</t>
        </is>
      </c>
      <c r="H271" t="inlineStr">
        <is>
          <t>NOKIA</t>
        </is>
      </c>
      <c r="I271" t="n">
        <v>1.008002956342582</v>
      </c>
      <c r="J271" t="n">
        <v>1.459301778085968</v>
      </c>
      <c r="K271" t="n">
        <v>0.07321542212136346</v>
      </c>
      <c r="L271" t="n">
        <v>0.9206339408779456</v>
      </c>
      <c r="M271" t="n">
        <v>1.025977729183064</v>
      </c>
      <c r="N271" t="n">
        <v>0</v>
      </c>
      <c r="O271" t="n">
        <v>14.1914799120053</v>
      </c>
      <c r="P271" t="n">
        <v>0</v>
      </c>
      <c r="Q271" t="n">
        <v>4.764243491223477</v>
      </c>
      <c r="R271" t="inlineStr">
        <is>
          <t>Insecurity</t>
        </is>
      </c>
      <c r="S271" t="inlineStr"/>
      <c r="T271" t="inlineStr"/>
      <c r="U271" t="inlineStr"/>
      <c r="V271" t="inlineStr"/>
      <c r="W271" t="inlineStr"/>
      <c r="X271" t="inlineStr">
        <is>
          <t>{05-25-2026 incident}:  {05-18-2026 groupe whatsapp incident}: impacted by    Kaele-MTN-IHS_EXN_160) ,Power issue || Action retour IHS attendu      ;    {05-25-2026 ocm ran 22H}: 25.05.26: Probable disjonction DC suite instabilité grid. Besoin d'un FME sur site pour vérifier le statut des BTS et leur interco avec le MPR; FME Hermann activé pour investigations, update ASAP     ;    {05-25-2026 ocm ran 17H}: 25.05.26: BO TRANS analysis ongoing     ;    {05-25-2026 ticket}: INC-20260525-00010504..Probable disjonction DC suite instabilité grid. Besoin d'un FME sur site pour vérifier le statut des BTS et leur interco avec le MPR; FME Hermann activé pour investigations, update ASAP..user:ndzie mbene lionnel</t>
        </is>
      </c>
      <c r="Y271" t="inlineStr">
        <is>
          <t>{05-25-2026 incident} {05-18-2026 groupe whatsapp incident} impacted by Kaele-MTN-IHS_EXN_160) ,Power issue || Action retour IHS attendu 25.05.26 Probable disjonction DC suite instabilité grid. Besoin d'un FME sur site pour vérifier le statut des BTS et leur interco avec le MPR; FME Hermann activé pour investigations, update ASAP 25.05.26 BO TRANS analysis ongoing .Probable disjonction DC suite instabilité grid. Besoin d'un FME sur site pour vérifier le statut des BTS et leur interco avec le MPR; FME Hermann activé pour investigations, update ASAP.user ndzie mbene lionnel</t>
        </is>
      </c>
      <c r="Z271" t="inlineStr"/>
      <c r="AA271" t="inlineStr">
        <is>
          <t xml:space="preserve">{05-25-2026 incident}:  {05-18-2026 groupe whatsapp incident}: impacted by    Kaele-MTN-IHS_EXN_160) ,Power issue || Action retour IHS attendu </t>
        </is>
      </c>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{05-25-2026 ocm ran 22H}: 25.05.26: Probable disjonction DC suite instabilité grid. Besoin d'un FME sur site pour vérifier le statut des BTS et leur interco avec le MPR; FME Hermann activé pour investigations, update ASAP</t>
        </is>
      </c>
      <c r="AP271" t="inlineStr">
        <is>
          <t>{05-25-2026 ocm ran 17H}: 25.05.26: BO TRANS analysis ongoing</t>
        </is>
      </c>
      <c r="AQ271" t="inlineStr">
        <is>
          <t>{05-25-2026 ticket}: INC-20260525-00010504..Probable disjonction DC suite instabilité grid. Besoin d'un FME sur site pour vérifier le statut des BTS et leur interco avec le MPR; FME Hermann activé pour investigations, update ASAP..user:ndzie mbene lionnel</t>
        </is>
      </c>
      <c r="AR271" t="inlineStr"/>
    </row>
    <row r="272">
      <c r="A272" t="inlineStr">
        <is>
          <t>Bitoto</t>
        </is>
      </c>
      <c r="B272" t="inlineStr">
        <is>
          <t>CTR_315</t>
        </is>
      </c>
      <c r="C272" t="inlineStr">
        <is>
          <t>Yaounde</t>
        </is>
      </c>
      <c r="D272" t="inlineStr">
        <is>
          <t>IHS</t>
        </is>
      </c>
      <c r="E272" t="inlineStr">
        <is>
          <t>Grid-Gen</t>
        </is>
      </c>
      <c r="F272" t="inlineStr">
        <is>
          <t>CENTRE</t>
        </is>
      </c>
      <c r="G272" t="inlineStr">
        <is>
          <t>Yaounde</t>
        </is>
      </c>
      <c r="H272" t="inlineStr">
        <is>
          <t>ZTE</t>
        </is>
      </c>
      <c r="I272" t="n">
        <v>0</v>
      </c>
      <c r="J272" t="n">
        <v>0</v>
      </c>
      <c r="K272" t="n">
        <v>0</v>
      </c>
      <c r="L272" t="n">
        <v>0</v>
      </c>
      <c r="M272" t="n">
        <v>0.1270749330114465</v>
      </c>
      <c r="N272" t="n">
        <v>2.255239619677949</v>
      </c>
      <c r="O272" t="n">
        <v>2.154479941246672</v>
      </c>
      <c r="P272" t="n">
        <v>7.059494338614959</v>
      </c>
      <c r="Q272" t="n">
        <v>4.726777301224486</v>
      </c>
      <c r="R272" t="inlineStr">
        <is>
          <t>Operationnel</t>
        </is>
      </c>
      <c r="S272" t="inlineStr"/>
      <c r="T272" t="inlineStr"/>
      <c r="U272" t="inlineStr"/>
      <c r="V272" t="inlineStr"/>
      <c r="W272" t="inlineStr"/>
      <c r="X272" t="inlineStr">
        <is>
          <t>{05-25-2026 ticket}: INC-20260525-00018851..power..Grid Outage</t>
        </is>
      </c>
      <c r="Y272" t="inlineStr">
        <is>
          <t>.power.Grid Outage</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{05-25-2026 ticket}: INC-20260525-00018851..power..Grid Outage</t>
        </is>
      </c>
      <c r="AR272" t="inlineStr"/>
    </row>
    <row r="273">
      <c r="A273" t="inlineStr">
        <is>
          <t>Nkomekui</t>
        </is>
      </c>
      <c r="B273" t="inlineStr">
        <is>
          <t>SUD_016</t>
        </is>
      </c>
      <c r="C273" t="inlineStr">
        <is>
          <t>CENTRE</t>
        </is>
      </c>
      <c r="D273" t="inlineStr">
        <is>
          <t>IHS</t>
        </is>
      </c>
      <c r="E273" t="inlineStr">
        <is>
          <t>Grid-Gen</t>
        </is>
      </c>
      <c r="F273" t="inlineStr">
        <is>
          <t>SUD</t>
        </is>
      </c>
      <c r="G273" t="inlineStr">
        <is>
          <t>Nkomekui</t>
        </is>
      </c>
      <c r="H273" t="inlineStr">
        <is>
          <t>ZTE</t>
        </is>
      </c>
      <c r="I273" t="n">
        <v>0</v>
      </c>
      <c r="J273" t="n">
        <v>4.621568174230167</v>
      </c>
      <c r="K273" t="n">
        <v>0</v>
      </c>
      <c r="L273" t="n">
        <v>5.932161069305687</v>
      </c>
      <c r="M273" t="n">
        <v>4.62188920563988</v>
      </c>
      <c r="N273" t="n">
        <v>32.36619186360203</v>
      </c>
      <c r="O273" t="n">
        <v>0.2605840141987208</v>
      </c>
      <c r="P273" t="n">
        <v>0</v>
      </c>
      <c r="Q273" t="n">
        <v>4.709370264786706</v>
      </c>
      <c r="R273" t="inlineStr">
        <is>
          <t>EXCLU</t>
        </is>
      </c>
      <c r="S273" t="inlineStr"/>
      <c r="T273" t="inlineStr"/>
      <c r="U273" t="inlineStr"/>
      <c r="V273" t="inlineStr"/>
      <c r="W273" t="inlineStr"/>
      <c r="X273" t="inlineStr">
        <is>
          <t>{05-25-2026 top offenders}: 25/05/2026 : Need BO RAN analysis ||No issue     ;    {05/25/2026 cell nokia}: 25/05/2026 : Need BO RAN analysis ||No issue     ;    {05/25/2026 cell nokia}: 25/05/2026 : Need BO RAN analysis ||No issue</t>
        </is>
      </c>
      <c r="Y273" t="inlineStr">
        <is>
          <t>25/05/2026 Need BO RAN analysis || No issue 25/05/2026 Need BO RAN analysis || No issue 25/05/2026 Need BO RAN analysis || No issue</t>
        </is>
      </c>
      <c r="Z273" t="inlineStr"/>
      <c r="AA273" t="inlineStr"/>
      <c r="AB273" t="inlineStr">
        <is>
          <t>{05-25-2026 top offenders}: 25/05/2026 : Need BO RAN analysis ||No issue</t>
        </is>
      </c>
      <c r="AC273" t="inlineStr"/>
      <c r="AD273" t="inlineStr"/>
      <c r="AE273" t="inlineStr"/>
      <c r="AF273" t="inlineStr"/>
      <c r="AG273" t="inlineStr">
        <is>
          <t>{05/25/2026 cell nokia}: 25/05/2026 : Need BO RAN analysis ||No issue</t>
        </is>
      </c>
      <c r="AH273" t="inlineStr">
        <is>
          <t>{05/25/2026 cell nokia}: 25/05/2026 : Need BO RAN analysis ||No issue</t>
        </is>
      </c>
      <c r="AI273" t="inlineStr"/>
      <c r="AJ273" t="inlineStr"/>
      <c r="AK273" t="inlineStr"/>
      <c r="AL273" t="inlineStr"/>
      <c r="AM273" t="inlineStr"/>
      <c r="AN273" t="inlineStr"/>
      <c r="AO273" t="inlineStr"/>
      <c r="AP273" t="inlineStr"/>
      <c r="AQ273" t="inlineStr"/>
      <c r="AR273" t="inlineStr"/>
    </row>
    <row r="274">
      <c r="A274" t="inlineStr">
        <is>
          <t>Ndokoti-Carrefour-MTN</t>
        </is>
      </c>
      <c r="B274" t="inlineStr">
        <is>
          <t>LIT_684</t>
        </is>
      </c>
      <c r="C274" t="inlineStr">
        <is>
          <t>Douala</t>
        </is>
      </c>
      <c r="D274" t="inlineStr">
        <is>
          <t>MTN sharing</t>
        </is>
      </c>
      <c r="E274" t="inlineStr">
        <is>
          <t>MTN sharing</t>
        </is>
      </c>
      <c r="F274" t="inlineStr">
        <is>
          <t>LITTORAL</t>
        </is>
      </c>
      <c r="G274" t="inlineStr">
        <is>
          <t>Douala</t>
        </is>
      </c>
      <c r="H274" t="inlineStr">
        <is>
          <t>ZTE</t>
        </is>
      </c>
      <c r="I274" t="n">
        <v>0</v>
      </c>
      <c r="J274" t="n">
        <v>0.1314801973558429</v>
      </c>
      <c r="K274" t="n">
        <v>0</v>
      </c>
      <c r="L274" t="n">
        <v>0</v>
      </c>
      <c r="M274" t="n">
        <v>0</v>
      </c>
      <c r="N274" t="n">
        <v>4.946239943407312</v>
      </c>
      <c r="O274" t="n">
        <v>4.34593571814723</v>
      </c>
      <c r="P274" t="n">
        <v>4.768346148879214</v>
      </c>
      <c r="Q274" t="n">
        <v>4.651941312604691</v>
      </c>
      <c r="R274" t="inlineStr">
        <is>
          <t>Operationnel</t>
        </is>
      </c>
      <c r="S274" t="inlineStr"/>
      <c r="T274" t="inlineStr"/>
      <c r="U274" t="inlineStr"/>
      <c r="V274" t="inlineStr"/>
      <c r="W274" t="inlineStr"/>
      <c r="X274" t="inlineStr">
        <is>
          <t>{05-25-2026 top offenders}: Power status check Ongoing     ;    {05-25-2026 ticket}: INC-20260525-00009452..power issu sur le Far end Ndokoti-New 
les équipes power IHS suivent le point..Grid Outage</t>
        </is>
      </c>
      <c r="Y274" t="inlineStr">
        <is>
          <t>.power issu sur le Far end Ndokoti-New
les équipes power IHS suivent le point.Grid Outage</t>
        </is>
      </c>
      <c r="Z274" t="inlineStr"/>
      <c r="AA274" t="inlineStr"/>
      <c r="AB274" t="inlineStr">
        <is>
          <t>{05-25-2026 top offenders}: Power status check Ongoing</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{05-25-2026 ticket}: INC-20260525-00009452..power issu sur le Far end Ndokoti-New 
les équipes power IHS suivent le point..Grid Outage</t>
        </is>
      </c>
      <c r="AR274" t="inlineStr"/>
    </row>
    <row r="275">
      <c r="A275" t="inlineStr">
        <is>
          <t>Maroua-Meskin</t>
        </is>
      </c>
      <c r="B275" t="inlineStr">
        <is>
          <t>EXN_233</t>
        </is>
      </c>
      <c r="C275" t="inlineStr">
        <is>
          <t>Maroua</t>
        </is>
      </c>
      <c r="D275" t="inlineStr">
        <is>
          <t>CAMUSAT</t>
        </is>
      </c>
      <c r="E275" t="inlineStr">
        <is>
          <t>Bad Grid + GE</t>
        </is>
      </c>
      <c r="F275" t="inlineStr">
        <is>
          <t>EXTREME-NORD</t>
        </is>
      </c>
      <c r="G275" t="inlineStr">
        <is>
          <t>Maroua</t>
        </is>
      </c>
      <c r="H275" t="inlineStr">
        <is>
          <t>Huawei</t>
        </is>
      </c>
      <c r="I275" t="n">
        <v>0</v>
      </c>
      <c r="J275" t="n">
        <v>1.809279519908228</v>
      </c>
      <c r="K275" t="n">
        <v>13.33996084843608</v>
      </c>
      <c r="L275" t="n">
        <v>18.43745808756595</v>
      </c>
      <c r="M275" t="n">
        <v>1.402211692391984</v>
      </c>
      <c r="N275" t="n">
        <v>3.38654384934195</v>
      </c>
      <c r="O275" t="n">
        <v>4.322825820863552</v>
      </c>
      <c r="P275" t="n">
        <v>5.186479325492978</v>
      </c>
      <c r="Q275" t="n">
        <v>4.639510263017467</v>
      </c>
      <c r="R275" t="inlineStr">
        <is>
          <t>Operationnel</t>
        </is>
      </c>
      <c r="S275" t="inlineStr"/>
      <c r="T275" t="inlineStr"/>
      <c r="U275" t="inlineStr"/>
      <c r="V275" t="inlineStr"/>
      <c r="W275" t="inlineStr"/>
      <c r="X275" t="inlineStr">
        <is>
          <t>{05-25-2026 retour CAMUSAT}: ATS faulty</t>
        </is>
      </c>
      <c r="Y275" t="inlineStr">
        <is>
          <t>ATS faulty</t>
        </is>
      </c>
      <c r="Z275" t="inlineStr"/>
      <c r="AA275" t="inlineStr"/>
      <c r="AB275" t="inlineStr"/>
      <c r="AC275" t="inlineStr">
        <is>
          <t>{05-25-2026 retour CAMUSAT}: ATS faulty</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row>
    <row r="276">
      <c r="A276" t="inlineStr">
        <is>
          <t>BTS-Mobile-Krystal-Palace</t>
        </is>
      </c>
      <c r="B276" t="inlineStr">
        <is>
          <t>LIT_756</t>
        </is>
      </c>
      <c r="C276" t="inlineStr">
        <is>
          <t>Douala</t>
        </is>
      </c>
      <c r="D276" t="inlineStr">
        <is>
          <t>CAMUSAT</t>
        </is>
      </c>
      <c r="E276" t="inlineStr">
        <is>
          <t>Good Grid + GE</t>
        </is>
      </c>
      <c r="F276" t="inlineStr">
        <is>
          <t>LITTORAL</t>
        </is>
      </c>
      <c r="G276" t="inlineStr">
        <is>
          <t>Douala</t>
        </is>
      </c>
      <c r="H276" t="inlineStr">
        <is>
          <t>ZTE</t>
        </is>
      </c>
      <c r="I276" t="n">
        <v>4.622852299869019</v>
      </c>
      <c r="J276" t="n">
        <v>4.622852299869019</v>
      </c>
      <c r="K276" t="n">
        <v>4.622852299869019</v>
      </c>
      <c r="L276" t="n">
        <v>4.622852299869019</v>
      </c>
      <c r="M276" t="n">
        <v>4.622852299869019</v>
      </c>
      <c r="N276" t="n">
        <v>10.79097874177188</v>
      </c>
      <c r="O276" t="n">
        <v>9.180207472688883</v>
      </c>
      <c r="P276" t="n">
        <v>0</v>
      </c>
      <c r="Q276" t="n">
        <v>4.622852299869019</v>
      </c>
      <c r="R276" t="inlineStr">
        <is>
          <t>Operationnel</t>
        </is>
      </c>
      <c r="S276" t="inlineStr"/>
      <c r="T276" t="inlineStr"/>
      <c r="U276" t="inlineStr"/>
      <c r="V276" t="inlineStr"/>
      <c r="W276" t="inlineStr"/>
      <c r="X276" t="inlineStr">
        <is>
          <t>{05-25-2026 retour CAMUSAT}: Site démantelé</t>
        </is>
      </c>
      <c r="Y276" t="inlineStr">
        <is>
          <t>Site démantelé</t>
        </is>
      </c>
      <c r="Z276" t="inlineStr"/>
      <c r="AA276" t="inlineStr"/>
      <c r="AB276" t="inlineStr"/>
      <c r="AC276" t="inlineStr">
        <is>
          <t>{05-25-2026 retour CAMUSAT}: Site démantelé</t>
        </is>
      </c>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row>
    <row r="277">
      <c r="A277" t="inlineStr">
        <is>
          <t>Kossehone</t>
        </is>
      </c>
      <c r="B277" t="inlineStr">
        <is>
          <t>EXN_243</t>
        </is>
      </c>
      <c r="C277" t="inlineStr">
        <is>
          <t>EXTREME-NORD</t>
        </is>
      </c>
      <c r="D277" t="inlineStr">
        <is>
          <t>CAMUSAT</t>
        </is>
      </c>
      <c r="E277" t="inlineStr">
        <is>
          <t>Bad Grid + GE</t>
        </is>
      </c>
      <c r="F277" t="inlineStr">
        <is>
          <t>EXTREME-NORD</t>
        </is>
      </c>
      <c r="G277" t="inlineStr">
        <is>
          <t>KOSSEHONE</t>
        </is>
      </c>
      <c r="H277" t="inlineStr">
        <is>
          <t>NOKIA</t>
        </is>
      </c>
      <c r="I277" t="n">
        <v>4.622852299869019</v>
      </c>
      <c r="J277" t="n">
        <v>4.622852299869019</v>
      </c>
      <c r="K277" t="n">
        <v>4.622852299869019</v>
      </c>
      <c r="L277" t="n">
        <v>4.622852299869019</v>
      </c>
      <c r="M277" t="n">
        <v>4.622852299869019</v>
      </c>
      <c r="N277" t="n">
        <v>0</v>
      </c>
      <c r="O277" t="n">
        <v>13.77031120903332</v>
      </c>
      <c r="P277" t="n">
        <v>0</v>
      </c>
      <c r="Q277" t="n">
        <v>4.622852299869019</v>
      </c>
      <c r="R277" t="inlineStr">
        <is>
          <t>Insecurity</t>
        </is>
      </c>
      <c r="S277" t="inlineStr"/>
      <c r="T277" t="inlineStr"/>
      <c r="U277" t="inlineStr"/>
      <c r="V277" t="inlineStr"/>
      <c r="W277" t="inlineStr"/>
      <c r="X277" t="inlineStr">
        <is>
          <t>{05-25-2026 incident}: {05-18-2026 groupe whatsapp incident}: impacted by   Bariki-IHS_GD_EXN_167 , Travaux planifier || Action : fin des travauxProbleme d'energie || Action RCA attendu de HIS     ;    {05-25-2026 dashboard_cell}: 17/03/2026 : Week 12
16/03/2026 : SWAP le 15 Mars 2026</t>
        </is>
      </c>
      <c r="Y277" t="inlineStr">
        <is>
          <t>{05-25-2026 incident} {05-18-2026 groupe whatsapp incident} impacted by Bariki-IHS_GD_EXN_167 , Travaux planifier || Action fin des travauxProbleme d'energie || Action RCA attendu de HIS {05-25-2026 dashboard_cell} 17/03/2026 Week 12
16/03/2026 SWAP le 15 Mars 2026</t>
        </is>
      </c>
      <c r="Z277" t="inlineStr"/>
      <c r="AA277" t="inlineStr">
        <is>
          <t>{05-25-2026 incident}: {05-18-2026 groupe whatsapp incident}: impacted by   Bariki-IHS_GD_EXN_167 , Travaux planifier || Action : fin des travauxProbleme d'energie || Action RCA attendu de HIS</t>
        </is>
      </c>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{05-25-2026 dashboard_cell}: 17/03/2026 : Week 12
16/03/2026 : SWAP le 15 Mars 2026</t>
        </is>
      </c>
    </row>
    <row r="278">
      <c r="A278" t="inlineStr">
        <is>
          <t>Balikumbat-Ville</t>
        </is>
      </c>
      <c r="B278" t="inlineStr">
        <is>
          <t>NRO_033</t>
        </is>
      </c>
      <c r="C278" t="inlineStr">
        <is>
          <t>NORD-OUEST</t>
        </is>
      </c>
      <c r="D278" t="inlineStr">
        <is>
          <t>IHS</t>
        </is>
      </c>
      <c r="E278" t="inlineStr">
        <is>
          <t>Grid-Gen</t>
        </is>
      </c>
      <c r="F278" t="inlineStr">
        <is>
          <t>NORD-OUEST</t>
        </is>
      </c>
      <c r="G278" t="inlineStr">
        <is>
          <t>Balikumbat</t>
        </is>
      </c>
      <c r="H278" t="inlineStr">
        <is>
          <t>NOKIA</t>
        </is>
      </c>
      <c r="I278" t="n">
        <v>0.3189090353933565</v>
      </c>
      <c r="J278" t="n">
        <v>0.2293769422400286</v>
      </c>
      <c r="K278" t="n">
        <v>0</v>
      </c>
      <c r="L278" t="n">
        <v>2.136035989761238</v>
      </c>
      <c r="M278" t="n">
        <v>4.622852299869019</v>
      </c>
      <c r="N278" t="n">
        <v>0</v>
      </c>
      <c r="O278" t="n">
        <v>13.77031120903332</v>
      </c>
      <c r="P278" t="n">
        <v>0</v>
      </c>
      <c r="Q278" t="n">
        <v>4.622852299869019</v>
      </c>
      <c r="R278" t="inlineStr">
        <is>
          <t>Insecurity</t>
        </is>
      </c>
      <c r="S278" t="inlineStr"/>
      <c r="T278" t="inlineStr"/>
      <c r="U278" t="inlineStr"/>
      <c r="V278" t="inlineStr"/>
      <c r="W278" t="inlineStr"/>
      <c r="X278" t="inlineStr">
        <is>
          <t>{05-25-2026 ticket}: INC-20260525-00028205</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{05-25-2026 ticket}: INC-20260525-00028205</t>
        </is>
      </c>
      <c r="AR278" t="inlineStr"/>
    </row>
    <row r="279">
      <c r="A279" t="inlineStr">
        <is>
          <t>Nkolmeyang-IHS</t>
        </is>
      </c>
      <c r="B279" t="inlineStr">
        <is>
          <t>CTR_442</t>
        </is>
      </c>
      <c r="C279" t="inlineStr">
        <is>
          <t>CENTRE</t>
        </is>
      </c>
      <c r="D279" t="inlineStr">
        <is>
          <t>IHS</t>
        </is>
      </c>
      <c r="E279" t="inlineStr">
        <is>
          <t>Grid-Gen</t>
        </is>
      </c>
      <c r="F279" t="inlineStr">
        <is>
          <t>CENTRE</t>
        </is>
      </c>
      <c r="G279" t="inlineStr">
        <is>
          <t>Nkolmeyang</t>
        </is>
      </c>
      <c r="H279" t="inlineStr">
        <is>
          <t>NOKIA</t>
        </is>
      </c>
      <c r="I279" t="n">
        <v>4.621728689935023</v>
      </c>
      <c r="J279" t="n">
        <v>4.621568174230167</v>
      </c>
      <c r="K279" t="n">
        <v>4.621354153290357</v>
      </c>
      <c r="L279" t="n">
        <v>4.621461163760261</v>
      </c>
      <c r="M279" t="n">
        <v>4.62188920563988</v>
      </c>
      <c r="N279" t="n">
        <v>32.36619186360203</v>
      </c>
      <c r="O279" t="n">
        <v>0</v>
      </c>
      <c r="P279" t="n">
        <v>0</v>
      </c>
      <c r="Q279" t="n">
        <v>4.62188920563988</v>
      </c>
      <c r="R279" t="inlineStr">
        <is>
          <t>Operationnel</t>
        </is>
      </c>
      <c r="S279" t="inlineStr"/>
      <c r="T279" t="inlineStr"/>
      <c r="U279" t="inlineStr"/>
      <c r="V279" t="inlineStr"/>
      <c r="W279" t="inlineStr"/>
      <c r="X279" t="inlineStr">
        <is>
          <t>{05-25-2026 top offenders}: 26/05/2026 ETR mi-juin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{05-25-2026 ocm ran 22H}: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{05-25-2026 ocm ran 17H}: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Y279" t="inlineStr">
        <is>
          <t>26/05/2026 ETR mi-juin
21/05/2026 ETR mi-juin
15/04/2026 ETR mi-juin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 21/05/2026 ETR mi-juin
15/04/2026 ETR mi-juin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 21/05/2026 ETR mi-juin
15/04/2026 ETR mi-juin
13/04/2026 ETR mi-juin
07/04/2026 Ce site prendra aussi sa transmission sur Tiga. Finalisation du site de Tiga ETR 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manage avec le level 0. Update ASAP (Plusieurs reset effectués sans succès)
BO TX; Site UE-RELAY. Cells L700 de son Donor Nkolbewae UP. Besoin d'un FME sur site pour Reset Physique du HMC si NOK, Check des Antennes Yagui(Deconnection et reconnection)</t>
        </is>
      </c>
      <c r="Z279" t="inlineStr"/>
      <c r="AA279" t="inlineStr"/>
      <c r="AB279" t="inlineStr">
        <is>
          <t>{05-25-2026 top offenders}: 26/05/2026 ETR mi-juin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AC279" t="inlineStr"/>
      <c r="AD279" t="inlineStr"/>
      <c r="AE279" t="inlineStr"/>
      <c r="AF279" t="inlineStr"/>
      <c r="AG279" t="inlineStr"/>
      <c r="AH279" t="inlineStr"/>
      <c r="AI279" t="inlineStr"/>
      <c r="AJ279" t="inlineStr"/>
      <c r="AK279" t="inlineStr"/>
      <c r="AL279" t="inlineStr"/>
      <c r="AM279" t="inlineStr"/>
      <c r="AN279" t="inlineStr"/>
      <c r="AO279" t="inlineStr">
        <is>
          <t>{05-25-2026 ocm ran 22H}: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AP279" t="inlineStr">
        <is>
          <t>{05-25-2026 ocm ran 17H}: 21/05/2026 ETR mi-juin
15/04/2026 ETR mi-juin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is>
      </c>
      <c r="AQ279" t="inlineStr"/>
      <c r="AR279" t="inlineStr"/>
    </row>
    <row r="280">
      <c r="A280" t="inlineStr">
        <is>
          <t>Bamengwi-IHS</t>
        </is>
      </c>
      <c r="B280" t="inlineStr">
        <is>
          <t>NRO_093</t>
        </is>
      </c>
      <c r="C280" t="inlineStr">
        <is>
          <t>NORD-OUEST</t>
        </is>
      </c>
      <c r="D280" t="inlineStr">
        <is>
          <t>IHS</t>
        </is>
      </c>
      <c r="E280" t="inlineStr">
        <is>
          <t>Grid-Gen</t>
        </is>
      </c>
      <c r="F280" t="inlineStr">
        <is>
          <t>NORD-OUEST</t>
        </is>
      </c>
      <c r="G280" t="inlineStr">
        <is>
          <t>Bamengwi</t>
        </is>
      </c>
      <c r="H280" t="inlineStr">
        <is>
          <t>NOKIA</t>
        </is>
      </c>
      <c r="I280" t="n">
        <v>0</v>
      </c>
      <c r="J280" t="n">
        <v>0</v>
      </c>
      <c r="K280" t="n">
        <v>0.2350663322232782</v>
      </c>
      <c r="L280" t="n">
        <v>7.50389518110452</v>
      </c>
      <c r="M280" t="n">
        <v>0.6894327874372561</v>
      </c>
      <c r="N280" t="n">
        <v>32.10253727883489</v>
      </c>
      <c r="O280" t="n">
        <v>0.09722094719340647</v>
      </c>
      <c r="P280" t="n">
        <v>0</v>
      </c>
      <c r="Q280" t="n">
        <v>4.616877548632692</v>
      </c>
      <c r="R280" t="inlineStr">
        <is>
          <t>Insecurity</t>
        </is>
      </c>
      <c r="S280" t="inlineStr"/>
      <c r="T280" t="inlineStr"/>
      <c r="U280" t="inlineStr"/>
      <c r="V280" t="inlineStr"/>
      <c r="W280" t="inlineStr"/>
      <c r="X280" t="inlineStr">
        <is>
          <t xml:space="preserve">{05/25/2026 cell nokia}: 25/05/2026: FeedbackFME  :Après investigation 
Il y a Power insuffisant sur le site ce qui fait que les équipements redémarrent régulièrement et le FRGU ne parvient pas à travailler normalement
23/05/2026 : FME activer || En attente d'un ETA 
22/05/2026 : Check breaker and  interconnection (sfp, optical fiber) between system and radio module, swap its if needed||Fme Active || Action avec le Level0 en cour || Ation avec le level non productive || Le fme se rendra demain sur site      ;    {05/25/2026 cell nokia}: 25/05/2026: FeedbackFME  :Après investigation 
Il y a Power insuffisant sur le site ce qui fait que les équipements redémarrent régulièrement et le FRGU ne parvient pas à travailler normalement||RI attendu
23/05/2026 : FME activer || En attente d'un ETA 
22/05/2026 : Check breaker and  interconnection (sfp, optical fiber) between system and radio module, swap its if needed||Fme Active || Action avec le Level0 en cour || Ation avec le level non productive || Le fme se rendra demain sur site      ;    {05/25/2026 cell nokia}: 
25/05/2026 : Instabilites power sur site noter par le FME || RI recu et partager a IHS pour restaurer le power
24/05/2026: FeedbackFME  :Après investigation 
Il y a Power insuffisant sur le site ce qui fait que les équipements redémarrent régulièrement et le FRGU ne parvient pas à travailler normalement||RI attendu
23/05/2026 : FME activer || En attente d'un ETA 
22/05/2026 : Check breaker and  interconnection (sfp, optical fiber) between system and radio module, swap its if needed||Fme Active || Action avec le Level0 en cour || Ation avec le level non productive || Le fme se rendra demain sur site </t>
        </is>
      </c>
      <c r="Y280" t="inlineStr">
        <is>
          <t>25/05/2026 FeedbackFME Après investigation
Il y a Power insuffisant sur le site ce qui fait que les équipements redémarrent régulièrement et le FRGU ne parvient pas à travailler normalement
23/05/2026 FME activer || En attente d'un ETA
22/05/2026 Check breaker and interconnection (sfp, optical fiber) between system and radio module, swap its if needed || Fme Active || Action avec le Level0 en cour || Ation avec le level non productive || Le fme se rendra demain sur site 25/05/2026 FeedbackFME Après investigation
Il y a Power insuffisant sur le site ce qui fait que les équipements redémarrent régulièrement et le FRGU ne parvient pas à travailler normalement || RI attendu
23/05/2026 FME activer || En attente d'un ETA
22/05/2026 Check breaker and interconnection (sfp, optical fiber) between system and radio module, swap its if needed || Fme Active || Action avec le Level0 en cour || Ation avec le level non productive || Le fme se rendra demain sur site 25/05/2026 Instabilites power sur site noter par le FME || RI recu et partager a IHS pour restaurer le power
24/05/2026 FeedbackFME Après investigation
Il y a Power insuffisant sur le site ce qui fait que les équipements redémarrent régulièrement et le FRGU ne parvient pas à travailler normalement || RI attendu
23/05/2026 FME activer || En attente d'un ETA
22/05/2026 Check breaker and interconnection (sfp, optical fiber) between system and radio module, swap its if needed || Fme Active || Action avec le Level0 en cour || Ation avec le level non productive || Le fme se rendra demain sur site</t>
        </is>
      </c>
      <c r="Z280" t="inlineStr"/>
      <c r="AA280" t="inlineStr"/>
      <c r="AB280" t="inlineStr"/>
      <c r="AC280" t="inlineStr"/>
      <c r="AD280" t="inlineStr"/>
      <c r="AE280" t="inlineStr"/>
      <c r="AF280" t="inlineStr">
        <is>
          <t xml:space="preserve">{05/25/2026 cell nokia}: 25/05/2026: FeedbackFME  :Après investigation 
Il y a Power insuffisant sur le site ce qui fait que les équipements redémarrent régulièrement et le FRGU ne parvient pas à travailler normalement
23/05/2026 : FME activer || En attente d'un ETA 
22/05/2026 : Check breaker and  interconnection (sfp, optical fiber) between system and radio module, swap its if needed||Fme Active || Action avec le Level0 en cour || Ation avec le level non productive || Le fme se rendra demain sur site </t>
        </is>
      </c>
      <c r="AG280" t="inlineStr">
        <is>
          <t xml:space="preserve">{05/25/2026 cell nokia}: 25/05/2026: FeedbackFME  :Après investigation 
Il y a Power insuffisant sur le site ce qui fait que les équipements redémarrent régulièrement et le FRGU ne parvient pas à travailler normalement||RI attendu
23/05/2026 : FME activer || En attente d'un ETA 
22/05/2026 : Check breaker and  interconnection (sfp, optical fiber) between system and radio module, swap its if needed||Fme Active || Action avec le Level0 en cour || Ation avec le level non productive || Le fme se rendra demain sur site </t>
        </is>
      </c>
      <c r="AH280" t="inlineStr">
        <is>
          <t xml:space="preserve">{05/25/2026 cell nokia}: 
25/05/2026 : Instabilites power sur site noter par le FME || RI recu et partager a IHS pour restaurer le power
24/05/2026: FeedbackFME  :Après investigation 
Il y a Power insuffisant sur le site ce qui fait que les équipements redémarrent régulièrement et le FRGU ne parvient pas à travailler normalement||RI attendu
23/05/2026 : FME activer || En attente d'un ETA 
22/05/2026 : Check breaker and  interconnection (sfp, optical fiber) between system and radio module, swap its if needed||Fme Active || Action avec le Level0 en cour || Ation avec le level non productive || Le fme se rendra demain sur site </t>
        </is>
      </c>
      <c r="AI280" t="inlineStr"/>
      <c r="AJ280" t="inlineStr"/>
      <c r="AK280" t="inlineStr"/>
      <c r="AL280" t="inlineStr"/>
      <c r="AM280" t="inlineStr"/>
      <c r="AN280" t="inlineStr"/>
      <c r="AO280" t="inlineStr"/>
      <c r="AP280" t="inlineStr"/>
      <c r="AQ280" t="inlineStr"/>
      <c r="AR280" t="inlineStr"/>
    </row>
    <row r="281">
      <c r="A281" t="inlineStr">
        <is>
          <t>Logpom-Denver-City</t>
        </is>
      </c>
      <c r="B281" t="inlineStr">
        <is>
          <t>LIT_440</t>
        </is>
      </c>
      <c r="C281" t="inlineStr">
        <is>
          <t>Douala</t>
        </is>
      </c>
      <c r="D281" t="inlineStr">
        <is>
          <t>IHS</t>
        </is>
      </c>
      <c r="E281" t="inlineStr">
        <is>
          <t>Grid-Gen</t>
        </is>
      </c>
      <c r="F281" t="inlineStr">
        <is>
          <t>LITTORAL</t>
        </is>
      </c>
      <c r="G281" t="inlineStr">
        <is>
          <t>Douala</t>
        </is>
      </c>
      <c r="H281" t="inlineStr">
        <is>
          <t>ZTE</t>
        </is>
      </c>
      <c r="I281" t="n">
        <v>3.68305068301216</v>
      </c>
      <c r="J281" t="n">
        <v>0</v>
      </c>
      <c r="K281" t="n">
        <v>4.932522764693965</v>
      </c>
      <c r="L281" t="n">
        <v>2.760281565948413</v>
      </c>
      <c r="M281" t="n">
        <v>1.232582262515231</v>
      </c>
      <c r="N281" t="n">
        <v>4.244451638430273</v>
      </c>
      <c r="O281" t="n">
        <v>3.594040600317567</v>
      </c>
      <c r="P281" t="n">
        <v>5.292979138348797</v>
      </c>
      <c r="Q281" t="n">
        <v>4.572896245501993</v>
      </c>
      <c r="R281" t="inlineStr">
        <is>
          <t>Operationnel</t>
        </is>
      </c>
      <c r="S281" t="inlineStr"/>
      <c r="T281" t="inlineStr"/>
      <c r="U281" t="inlineStr"/>
      <c r="V281" t="inlineStr"/>
      <c r="W281" t="inlineStr"/>
      <c r="X281" t="inlineStr">
        <is>
          <t>{05-25-2026 top offenders}: 25/05/2026 : Need BO TX analysis     ;    {05/25/2026 cell zte}: 25/05/2026 : Need BO TX analysis</t>
        </is>
      </c>
      <c r="Y281" t="inlineStr">
        <is>
          <t>25/05/2026 Need BO TX analysis 25/05/2026 Need BO TX analysis</t>
        </is>
      </c>
      <c r="Z281" t="inlineStr"/>
      <c r="AA281" t="inlineStr"/>
      <c r="AB281" t="inlineStr">
        <is>
          <t>{05-25-2026 top offenders}: 25/05/2026 : Need BO TX analysis</t>
        </is>
      </c>
      <c r="AC281" t="inlineStr"/>
      <c r="AD281" t="inlineStr"/>
      <c r="AE281" t="inlineStr"/>
      <c r="AF281" t="inlineStr"/>
      <c r="AG281" t="inlineStr"/>
      <c r="AH281" t="inlineStr"/>
      <c r="AI281" t="inlineStr"/>
      <c r="AJ281" t="inlineStr"/>
      <c r="AK281" t="inlineStr">
        <is>
          <t>{05/25/2026 cell zte}: 25/05/2026 : Need BO TX analysis</t>
        </is>
      </c>
      <c r="AL281" t="inlineStr"/>
      <c r="AM281" t="inlineStr"/>
      <c r="AN281" t="inlineStr"/>
      <c r="AO281" t="inlineStr"/>
      <c r="AP281" t="inlineStr"/>
      <c r="AQ281" t="inlineStr"/>
      <c r="AR281" t="inlineStr"/>
    </row>
    <row r="282">
      <c r="A282" t="inlineStr">
        <is>
          <t>Pitoa-Ville-IHS</t>
        </is>
      </c>
      <c r="B282" t="inlineStr">
        <is>
          <t>NRD_096</t>
        </is>
      </c>
      <c r="C282" t="inlineStr">
        <is>
          <t>NORD</t>
        </is>
      </c>
      <c r="D282" t="inlineStr">
        <is>
          <t>IHS</t>
        </is>
      </c>
      <c r="E282" t="inlineStr">
        <is>
          <t>Grid-Gen</t>
        </is>
      </c>
      <c r="F282" t="inlineStr">
        <is>
          <t>NORD</t>
        </is>
      </c>
      <c r="G282" t="inlineStr">
        <is>
          <t>Garoua</t>
        </is>
      </c>
      <c r="H282" t="inlineStr">
        <is>
          <t>Huawei</t>
        </is>
      </c>
      <c r="I282" t="n">
        <v>0.8895066960018034</v>
      </c>
      <c r="J282" t="n">
        <v>1.042995380001313</v>
      </c>
      <c r="K282" t="n">
        <v>5.588033233171534</v>
      </c>
      <c r="L282" t="n">
        <v>13.07156075483758</v>
      </c>
      <c r="M282" t="n">
        <v>0.3649057023739202</v>
      </c>
      <c r="N282" t="n">
        <v>3.039958594614902</v>
      </c>
      <c r="O282" t="n">
        <v>5.209767740750941</v>
      </c>
      <c r="P282" t="n">
        <v>4.535989139071109</v>
      </c>
      <c r="Q282" t="n">
        <v>4.548551363598748</v>
      </c>
      <c r="R282" t="inlineStr">
        <is>
          <t>Operationnel</t>
        </is>
      </c>
      <c r="S282" t="inlineStr"/>
      <c r="T282" t="inlineStr"/>
      <c r="U282" t="inlineStr"/>
      <c r="V282" t="inlineStr"/>
      <c r="W282" t="inlineStr"/>
      <c r="X282" t="inlineStr">
        <is>
          <t>{05-25-2026 top offenders}: UP sans action     ;    {05-25-2026 retour IHS}: IHS     ;    {05-25-2026 ocm ran 17H}: Power status check Ongoing</t>
        </is>
      </c>
      <c r="Y282" t="inlineStr">
        <is>
          <t>UP sans action IHS</t>
        </is>
      </c>
      <c r="Z282" t="inlineStr"/>
      <c r="AA282" t="inlineStr"/>
      <c r="AB282" t="inlineStr">
        <is>
          <t>{05-25-2026 top offenders}: UP sans action</t>
        </is>
      </c>
      <c r="AC282" t="inlineStr"/>
      <c r="AD282" t="inlineStr">
        <is>
          <t>{05-25-2026 retour IHS}: IHS</t>
        </is>
      </c>
      <c r="AE282" t="inlineStr"/>
      <c r="AF282" t="inlineStr"/>
      <c r="AG282" t="inlineStr"/>
      <c r="AH282" t="inlineStr"/>
      <c r="AI282" t="inlineStr"/>
      <c r="AJ282" t="inlineStr"/>
      <c r="AK282" t="inlineStr"/>
      <c r="AL282" t="inlineStr"/>
      <c r="AM282" t="inlineStr"/>
      <c r="AN282" t="inlineStr"/>
      <c r="AO282" t="inlineStr"/>
      <c r="AP282" t="inlineStr">
        <is>
          <t>{05-25-2026 ocm ran 17H}: Power status check Ongoing</t>
        </is>
      </c>
      <c r="AQ282" t="inlineStr"/>
      <c r="AR282" t="inlineStr"/>
    </row>
    <row r="283">
      <c r="A283" t="inlineStr">
        <is>
          <t>Mvan-IHS</t>
        </is>
      </c>
      <c r="B283" t="inlineStr">
        <is>
          <t>CTR_639</t>
        </is>
      </c>
      <c r="C283" t="inlineStr">
        <is>
          <t>Yaounde</t>
        </is>
      </c>
      <c r="D283" t="inlineStr">
        <is>
          <t>IHS</t>
        </is>
      </c>
      <c r="E283" t="inlineStr">
        <is>
          <t>Grid-Gen</t>
        </is>
      </c>
      <c r="F283" t="inlineStr">
        <is>
          <t>CENTRE</t>
        </is>
      </c>
      <c r="G283" t="inlineStr">
        <is>
          <t>Yaounde</t>
        </is>
      </c>
      <c r="H283" t="inlineStr">
        <is>
          <t>ZTE</t>
        </is>
      </c>
      <c r="I283" t="n">
        <v>0</v>
      </c>
      <c r="J283" t="n">
        <v>0</v>
      </c>
      <c r="K283" t="n">
        <v>0</v>
      </c>
      <c r="L283" t="n">
        <v>0</v>
      </c>
      <c r="M283" t="n">
        <v>0</v>
      </c>
      <c r="N283" t="n">
        <v>0.3044954418106463</v>
      </c>
      <c r="O283" t="n">
        <v>0.06885155604516514</v>
      </c>
      <c r="P283" t="n">
        <v>8.541565433703903</v>
      </c>
      <c r="Q283" t="n">
        <v>4.520924827285102</v>
      </c>
      <c r="R283" t="inlineStr">
        <is>
          <t>Operationnel</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row>
    <row r="284">
      <c r="A284" t="inlineStr">
        <is>
          <t>Foumban-Njintout-II</t>
        </is>
      </c>
      <c r="B284" t="inlineStr">
        <is>
          <t>OST_178</t>
        </is>
      </c>
      <c r="C284" t="inlineStr">
        <is>
          <t>OUEST</t>
        </is>
      </c>
      <c r="D284" t="inlineStr">
        <is>
          <t>IHS</t>
        </is>
      </c>
      <c r="E284" t="inlineStr">
        <is>
          <t>Grid-Gen</t>
        </is>
      </c>
      <c r="F284" t="inlineStr">
        <is>
          <t>OUEST</t>
        </is>
      </c>
      <c r="G284" t="inlineStr">
        <is>
          <t>Foumban</t>
        </is>
      </c>
      <c r="H284" t="inlineStr">
        <is>
          <t>Huawei</t>
        </is>
      </c>
      <c r="I284" t="n">
        <v>0</v>
      </c>
      <c r="J284" t="n">
        <v>0</v>
      </c>
      <c r="K284" t="n">
        <v>0.04797636067379499</v>
      </c>
      <c r="L284" t="n">
        <v>0</v>
      </c>
      <c r="M284" t="n">
        <v>0</v>
      </c>
      <c r="N284" t="n">
        <v>7.797855992390362</v>
      </c>
      <c r="O284" t="n">
        <v>9.960896991272001</v>
      </c>
      <c r="P284" t="n">
        <v>0.05591753179809441</v>
      </c>
      <c r="Q284" t="n">
        <v>4.486681476915702</v>
      </c>
      <c r="R284" t="inlineStr">
        <is>
          <t>Operationnel</t>
        </is>
      </c>
      <c r="S284" t="inlineStr"/>
      <c r="T284" t="inlineStr"/>
      <c r="U284" t="inlineStr"/>
      <c r="V284" t="inlineStr"/>
      <c r="W284" t="inlineStr"/>
      <c r="X284" t="inlineStr">
        <is>
          <t>{None hourly IHS}: 25/05/2026 16:32..0:47:05..FME Martial is managing with level 0</t>
        </is>
      </c>
      <c r="Y284" t="inlineStr">
        <is>
          <t>25/05/2026 16 32.0 47 05.FME Martial is managing with level 0</t>
        </is>
      </c>
      <c r="Z284" t="inlineStr"/>
      <c r="AA284" t="inlineStr"/>
      <c r="AB284" t="inlineStr"/>
      <c r="AC284" t="inlineStr"/>
      <c r="AD284" t="inlineStr"/>
      <c r="AE284" t="inlineStr">
        <is>
          <t>{None hourly IHS}: 25/05/2026 16:32..0:47:05..FME Martial is managing with level 0</t>
        </is>
      </c>
      <c r="AF284" t="inlineStr"/>
      <c r="AG284" t="inlineStr"/>
      <c r="AH284" t="inlineStr"/>
      <c r="AI284" t="inlineStr"/>
      <c r="AJ284" t="inlineStr"/>
      <c r="AK284" t="inlineStr"/>
      <c r="AL284" t="inlineStr"/>
      <c r="AM284" t="inlineStr"/>
      <c r="AN284" t="inlineStr"/>
      <c r="AO284" t="inlineStr"/>
      <c r="AP284" t="inlineStr"/>
      <c r="AQ284" t="inlineStr"/>
      <c r="AR284" t="inlineStr"/>
    </row>
    <row r="285">
      <c r="A285" t="inlineStr">
        <is>
          <t>BAFIA-BEGNIAN-IHS</t>
        </is>
      </c>
      <c r="B285" t="inlineStr">
        <is>
          <t>CTR_828</t>
        </is>
      </c>
      <c r="C285" t="inlineStr">
        <is>
          <t>CENTRE</t>
        </is>
      </c>
      <c r="D285" t="inlineStr">
        <is>
          <t>IHS</t>
        </is>
      </c>
      <c r="E285" t="inlineStr">
        <is>
          <t>Grid-Gen</t>
        </is>
      </c>
      <c r="F285" t="inlineStr">
        <is>
          <t>CENTRE</t>
        </is>
      </c>
      <c r="G285" t="inlineStr">
        <is>
          <t>Bafia</t>
        </is>
      </c>
      <c r="H285" t="inlineStr">
        <is>
          <t>ZTE</t>
        </is>
      </c>
      <c r="I285" t="n">
        <v>0.1103277944714117</v>
      </c>
      <c r="J285" t="n">
        <v>0</v>
      </c>
      <c r="K285" t="n">
        <v>0.2386155128084406</v>
      </c>
      <c r="L285" t="n">
        <v>0.09889550926996091</v>
      </c>
      <c r="M285" t="n">
        <v>2.567698390277172</v>
      </c>
      <c r="N285" t="n">
        <v>2.499410492827996</v>
      </c>
      <c r="O285" t="n">
        <v>4.455428817691279</v>
      </c>
      <c r="P285" t="n">
        <v>5.024848588320014</v>
      </c>
      <c r="Q285" t="n">
        <v>4.473055477081211</v>
      </c>
      <c r="R285" t="inlineStr">
        <is>
          <t>Operationnel</t>
        </is>
      </c>
      <c r="S285" t="inlineStr"/>
      <c r="T285" t="inlineStr"/>
      <c r="U285" t="inlineStr"/>
      <c r="V285" t="inlineStr"/>
      <c r="W285" t="inlineStr"/>
      <c r="X285" t="inlineStr">
        <is>
          <t>{05-25-2026 top offenders}: UP sans action     ;    {None hourly IHS}: 25/05/2026 21:50..1:09:15..FME Jordan is managing with level 0     ;    {05-25-2026 ocm ran 22H}: Power status check Ongoing     ;    {05-25-2026 ticket}: INC-20260525-00024860..Grid Outage</t>
        </is>
      </c>
      <c r="Y285" t="inlineStr">
        <is>
          <t>UP sans action 25/05/2026 21 50.1 09 15.FME Jordan is managing with level 0 .Grid Outage</t>
        </is>
      </c>
      <c r="Z285" t="inlineStr"/>
      <c r="AA285" t="inlineStr"/>
      <c r="AB285" t="inlineStr">
        <is>
          <t>{05-25-2026 top offenders}: UP sans action</t>
        </is>
      </c>
      <c r="AC285" t="inlineStr"/>
      <c r="AD285" t="inlineStr"/>
      <c r="AE285" t="inlineStr">
        <is>
          <t>{None hourly IHS}: 25/05/2026 21:50..1:09:15..FME Jordan is managing with level 0</t>
        </is>
      </c>
      <c r="AF285" t="inlineStr"/>
      <c r="AG285" t="inlineStr"/>
      <c r="AH285" t="inlineStr"/>
      <c r="AI285" t="inlineStr"/>
      <c r="AJ285" t="inlineStr"/>
      <c r="AK285" t="inlineStr"/>
      <c r="AL285" t="inlineStr"/>
      <c r="AM285" t="inlineStr"/>
      <c r="AN285" t="inlineStr"/>
      <c r="AO285" t="inlineStr">
        <is>
          <t>{05-25-2026 ocm ran 22H}: Power status check Ongoing</t>
        </is>
      </c>
      <c r="AP285" t="inlineStr"/>
      <c r="AQ285" t="inlineStr">
        <is>
          <t>{05-25-2026 ticket}: INC-20260525-00024860..Grid Outage</t>
        </is>
      </c>
      <c r="AR285" t="inlineStr"/>
    </row>
    <row r="286">
      <c r="A286" t="inlineStr">
        <is>
          <t>CTR_948_Z_Nkoabang-III</t>
        </is>
      </c>
      <c r="B286" t="inlineStr">
        <is>
          <t>CTR_948</t>
        </is>
      </c>
      <c r="C286" t="inlineStr">
        <is>
          <t>Yaounde</t>
        </is>
      </c>
      <c r="D286" t="inlineStr">
        <is>
          <t>ESCO</t>
        </is>
      </c>
      <c r="E286" t="inlineStr">
        <is>
          <t>Good Grid + Solar + GE</t>
        </is>
      </c>
      <c r="F286" t="inlineStr">
        <is>
          <t>CENTRE</t>
        </is>
      </c>
      <c r="G286" t="inlineStr">
        <is>
          <t>Yaoundé</t>
        </is>
      </c>
      <c r="H286" t="inlineStr">
        <is>
          <t>ZTE</t>
        </is>
      </c>
      <c r="I286" t="n">
        <v>10.44161794123271</v>
      </c>
      <c r="J286" t="n">
        <v>0</v>
      </c>
      <c r="K286" t="n">
        <v>0</v>
      </c>
      <c r="L286" t="n">
        <v>0</v>
      </c>
      <c r="M286" t="n">
        <v>11.96776559285227</v>
      </c>
      <c r="N286" t="n">
        <v>2.518269726508639</v>
      </c>
      <c r="O286" t="n">
        <v>2.14199528409342</v>
      </c>
      <c r="P286" t="n">
        <v>6.44768472006076</v>
      </c>
      <c r="Q286" t="n">
        <v>4.441095016736436</v>
      </c>
      <c r="R286" t="inlineStr">
        <is>
          <t>Operationnel</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row>
    <row r="287">
      <c r="A287" t="inlineStr">
        <is>
          <t>Mpenda-Mbocko-IHS</t>
        </is>
      </c>
      <c r="B287" t="inlineStr">
        <is>
          <t>SUO_008</t>
        </is>
      </c>
      <c r="C287" t="inlineStr">
        <is>
          <t>SUD-OUEST</t>
        </is>
      </c>
      <c r="D287" t="inlineStr">
        <is>
          <t>IHS</t>
        </is>
      </c>
      <c r="E287" t="inlineStr">
        <is>
          <t>Grid-Gen</t>
        </is>
      </c>
      <c r="F287" t="inlineStr">
        <is>
          <t>SUD-OUEST</t>
        </is>
      </c>
      <c r="G287" t="inlineStr">
        <is>
          <t>Mpenda-Mbocko</t>
        </is>
      </c>
      <c r="H287" t="inlineStr">
        <is>
          <t>NOKIA</t>
        </is>
      </c>
      <c r="I287" t="n">
        <v>0</v>
      </c>
      <c r="J287" t="n">
        <v>0</v>
      </c>
      <c r="K287" t="n">
        <v>0</v>
      </c>
      <c r="L287" t="n">
        <v>0</v>
      </c>
      <c r="M287" t="n">
        <v>0</v>
      </c>
      <c r="N287" t="n">
        <v>15.45283143292208</v>
      </c>
      <c r="O287" t="n">
        <v>6.591898976916879</v>
      </c>
      <c r="P287" t="n">
        <v>0</v>
      </c>
      <c r="Q287" t="n">
        <v>4.41963941752061</v>
      </c>
      <c r="R287" t="inlineStr">
        <is>
          <t>Insecurity</t>
        </is>
      </c>
      <c r="S287" t="inlineStr"/>
      <c r="T287" t="inlineStr"/>
      <c r="U287" t="inlineStr"/>
      <c r="V287" t="inlineStr"/>
      <c r="W287" t="inlineStr"/>
      <c r="X287" t="inlineStr">
        <is>
          <t>{None hourly IHS}: 25/05/2026 13:36..9:23:34..FME is managing with level 0     ;    {05-25-2026 ocm ran 22H}: P2 incident at SUO_008_N_Mpenda-Mbocko-IHS; Power issue; IHS     ;    {05-25-2026 ocm ran 17H}: P2 incident at SUO_008_N_Mpenda-Mbocko-IHS     ;    {05-25-2026 ticket}: INC-20260525-00004151..Fme is informed and managing..Gen stop due to Low Oil Pressure alarm // Gen card reset and Ge manually started..GE control board..Gen stop due to Low Oil Pressure alarm // Gen card reset and Ge manually started</t>
        </is>
      </c>
      <c r="Y287" t="inlineStr">
        <is>
          <t>25/05/2026 13 36.9 23 34.FME is managing with level 0 P2 incident at SUO_008_N_Mpenda-Mbocko-IHS; Power issue; IHS P2 incident at SUO_008_N_Mpenda-Mbocko-IHS .Fme is informed and managing.Gen stop due to Low Oil Pressure alarm // Gen card reset and Ge manually started.GE control board.Gen stop due to Low Oil Pressure alarm // Gen card reset and Ge manually started</t>
        </is>
      </c>
      <c r="Z287" t="inlineStr"/>
      <c r="AA287" t="inlineStr"/>
      <c r="AB287" t="inlineStr"/>
      <c r="AC287" t="inlineStr"/>
      <c r="AD287" t="inlineStr"/>
      <c r="AE287" t="inlineStr">
        <is>
          <t>{None hourly IHS}: 25/05/2026 13:36..9:23:34..FME is managing with level 0</t>
        </is>
      </c>
      <c r="AF287" t="inlineStr"/>
      <c r="AG287" t="inlineStr"/>
      <c r="AH287" t="inlineStr"/>
      <c r="AI287" t="inlineStr"/>
      <c r="AJ287" t="inlineStr"/>
      <c r="AK287" t="inlineStr"/>
      <c r="AL287" t="inlineStr"/>
      <c r="AM287" t="inlineStr"/>
      <c r="AN287" t="inlineStr"/>
      <c r="AO287" t="inlineStr">
        <is>
          <t>{05-25-2026 ocm ran 22H}: P2 incident at SUO_008_N_Mpenda-Mbocko-IHS; Power issue; IHS</t>
        </is>
      </c>
      <c r="AP287" t="inlineStr">
        <is>
          <t>{05-25-2026 ocm ran 17H}: P2 incident at SUO_008_N_Mpenda-Mbocko-IHS</t>
        </is>
      </c>
      <c r="AQ287" t="inlineStr">
        <is>
          <t>{05-25-2026 ticket}: INC-20260525-00004151..Fme is informed and managing..Gen stop due to Low Oil Pressure alarm // Gen card reset and Ge manually started..GE control board..Gen stop due to Low Oil Pressure alarm // Gen card reset and Ge manually started</t>
        </is>
      </c>
      <c r="AR287" t="inlineStr"/>
    </row>
    <row r="288">
      <c r="A288" t="inlineStr">
        <is>
          <t>Pitoa-II</t>
        </is>
      </c>
      <c r="B288" t="inlineStr">
        <is>
          <t>NRD_183</t>
        </is>
      </c>
      <c r="C288" t="inlineStr">
        <is>
          <t>NORD</t>
        </is>
      </c>
      <c r="D288" t="inlineStr">
        <is>
          <t>CAMUSAT</t>
        </is>
      </c>
      <c r="E288" t="inlineStr">
        <is>
          <t>Hybrid Solar - S1</t>
        </is>
      </c>
      <c r="F288" t="inlineStr">
        <is>
          <t>NORD</t>
        </is>
      </c>
      <c r="G288" t="inlineStr">
        <is>
          <t>Garoua</t>
        </is>
      </c>
      <c r="H288" t="inlineStr">
        <is>
          <t>Huawei</t>
        </is>
      </c>
      <c r="I288" t="n">
        <v>0.02505828503594125</v>
      </c>
      <c r="J288" t="n">
        <v>0.2141992905919249</v>
      </c>
      <c r="K288" t="n">
        <v>0</v>
      </c>
      <c r="L288" t="n">
        <v>0.5130081927215758</v>
      </c>
      <c r="M288" t="n">
        <v>0.5174669623009249</v>
      </c>
      <c r="N288" t="n">
        <v>3.049950241598024</v>
      </c>
      <c r="O288" t="n">
        <v>5.192554851739649</v>
      </c>
      <c r="P288" t="n">
        <v>4.166112621397475</v>
      </c>
      <c r="Q288" t="n">
        <v>4.351313232486667</v>
      </c>
      <c r="R288" t="inlineStr">
        <is>
          <t>Operationnel</t>
        </is>
      </c>
      <c r="S288" t="inlineStr"/>
      <c r="T288" t="inlineStr"/>
      <c r="U288" t="inlineStr"/>
      <c r="V288" t="inlineStr"/>
      <c r="W288" t="inlineStr"/>
      <c r="X288" t="inlineStr">
        <is>
          <t>{05-25-2026 top offenders}: UP sans action     ;    {05-25-2026 retour CAMUSAT}: ATS faulty     ;    {05-25-2026 ocm ran 17H}: Power status check Ongoing</t>
        </is>
      </c>
      <c r="Y288" t="inlineStr">
        <is>
          <t>UP sans action ATS faulty</t>
        </is>
      </c>
      <c r="Z288" t="inlineStr"/>
      <c r="AA288" t="inlineStr"/>
      <c r="AB288" t="inlineStr">
        <is>
          <t>{05-25-2026 top offenders}: UP sans action</t>
        </is>
      </c>
      <c r="AC288" t="inlineStr">
        <is>
          <t>{05-25-2026 retour CAMUSAT}: ATS faulty</t>
        </is>
      </c>
      <c r="AD288" t="inlineStr"/>
      <c r="AE288" t="inlineStr"/>
      <c r="AF288" t="inlineStr"/>
      <c r="AG288" t="inlineStr"/>
      <c r="AH288" t="inlineStr"/>
      <c r="AI288" t="inlineStr"/>
      <c r="AJ288" t="inlineStr"/>
      <c r="AK288" t="inlineStr"/>
      <c r="AL288" t="inlineStr"/>
      <c r="AM288" t="inlineStr"/>
      <c r="AN288" t="inlineStr"/>
      <c r="AO288" t="inlineStr"/>
      <c r="AP288" t="inlineStr">
        <is>
          <t>{05-25-2026 ocm ran 17H}: Power status check Ongoing</t>
        </is>
      </c>
      <c r="AQ288" t="inlineStr"/>
      <c r="AR288" t="inlineStr"/>
    </row>
    <row r="289">
      <c r="A289" t="inlineStr">
        <is>
          <t>Dibamba</t>
        </is>
      </c>
      <c r="B289" t="inlineStr">
        <is>
          <t>LIT_583</t>
        </is>
      </c>
      <c r="C289" t="inlineStr">
        <is>
          <t>LITTORAL</t>
        </is>
      </c>
      <c r="D289" t="inlineStr">
        <is>
          <t>CAMUSAT</t>
        </is>
      </c>
      <c r="E289" t="inlineStr">
        <is>
          <t>Good Grid + GE</t>
        </is>
      </c>
      <c r="F289" t="inlineStr">
        <is>
          <t>LITTORAL</t>
        </is>
      </c>
      <c r="G289" t="inlineStr">
        <is>
          <t>Dibamba</t>
        </is>
      </c>
      <c r="H289" t="inlineStr">
        <is>
          <t>ZTE</t>
        </is>
      </c>
      <c r="I289" t="n">
        <v>1.526308167324425</v>
      </c>
      <c r="J289" t="n">
        <v>7.540296575950325</v>
      </c>
      <c r="K289" t="n">
        <v>14.31199045181247</v>
      </c>
      <c r="L289" t="n">
        <v>12.6612647781459</v>
      </c>
      <c r="M289" t="n">
        <v>2.542533094771326</v>
      </c>
      <c r="N289" t="n">
        <v>2.242625165361757</v>
      </c>
      <c r="O289" t="n">
        <v>1.916368309923803</v>
      </c>
      <c r="P289" t="n">
        <v>6.458115819264687</v>
      </c>
      <c r="Q289" t="n">
        <v>4.331427120162769</v>
      </c>
      <c r="R289" t="inlineStr">
        <is>
          <t>Operationnel</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row>
    <row r="290">
      <c r="A290" t="inlineStr">
        <is>
          <t>Nsimalen-highway-II</t>
        </is>
      </c>
      <c r="B290" t="inlineStr">
        <is>
          <t>CTR_725</t>
        </is>
      </c>
      <c r="C290" t="inlineStr">
        <is>
          <t>Yaounde</t>
        </is>
      </c>
      <c r="D290" t="inlineStr">
        <is>
          <t>MTN sharing</t>
        </is>
      </c>
      <c r="E290" t="inlineStr">
        <is>
          <t xml:space="preserve">MTN </t>
        </is>
      </c>
      <c r="F290" t="inlineStr">
        <is>
          <t>CENTRE</t>
        </is>
      </c>
      <c r="G290" t="inlineStr">
        <is>
          <t>Yaounde</t>
        </is>
      </c>
      <c r="H290" t="inlineStr">
        <is>
          <t>ZTE</t>
        </is>
      </c>
      <c r="I290" t="n">
        <v>0</v>
      </c>
      <c r="J290" t="n">
        <v>0</v>
      </c>
      <c r="K290" t="n">
        <v>0</v>
      </c>
      <c r="L290" t="n">
        <v>0</v>
      </c>
      <c r="M290" t="n">
        <v>0</v>
      </c>
      <c r="N290" t="n">
        <v>3.684294929438989</v>
      </c>
      <c r="O290" t="n">
        <v>3.573746391668452</v>
      </c>
      <c r="P290" t="n">
        <v>4.977036533608247</v>
      </c>
      <c r="Q290" t="n">
        <v>4.321332465835123</v>
      </c>
      <c r="R290" t="inlineStr">
        <is>
          <t>Operationnel</t>
        </is>
      </c>
      <c r="S290" t="inlineStr"/>
      <c r="T290" t="inlineStr"/>
      <c r="U290" t="inlineStr"/>
      <c r="V290" t="inlineStr"/>
      <c r="W290" t="inlineStr"/>
      <c r="X290" t="inlineStr">
        <is>
          <t>{05-25-2026 ticket}: INC-20260525-00019159..Grid Outage</t>
        </is>
      </c>
      <c r="Y290" t="inlineStr">
        <is>
          <t>.Grid Outage</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{05-25-2026 ticket}: INC-20260525-00019159..Grid Outage</t>
        </is>
      </c>
      <c r="AR290" t="inlineStr"/>
    </row>
    <row r="291">
      <c r="A291" t="inlineStr">
        <is>
          <t>Maroua-Pitouare-IHS</t>
        </is>
      </c>
      <c r="B291" t="inlineStr">
        <is>
          <t>EXN_145</t>
        </is>
      </c>
      <c r="C291" t="inlineStr">
        <is>
          <t>Maroua</t>
        </is>
      </c>
      <c r="D291" t="inlineStr">
        <is>
          <t>IHS</t>
        </is>
      </c>
      <c r="E291" t="inlineStr">
        <is>
          <t>Grid-Gen</t>
        </is>
      </c>
      <c r="F291" t="inlineStr">
        <is>
          <t>EXTREME-NORD</t>
        </is>
      </c>
      <c r="G291" t="inlineStr">
        <is>
          <t>Maroua</t>
        </is>
      </c>
      <c r="H291" t="inlineStr">
        <is>
          <t>Huawei</t>
        </is>
      </c>
      <c r="I291" t="n">
        <v>4.323668861094704</v>
      </c>
      <c r="J291" t="n">
        <v>0.4302177591722241</v>
      </c>
      <c r="K291" t="n">
        <v>17.0196942068812</v>
      </c>
      <c r="L291" t="n">
        <v>4.10007048422951</v>
      </c>
      <c r="M291" t="n">
        <v>1.152377915321902</v>
      </c>
      <c r="N291" t="n">
        <v>4.659229883817129</v>
      </c>
      <c r="O291" t="n">
        <v>5.926865197153456</v>
      </c>
      <c r="P291" t="n">
        <v>3.133604801835107</v>
      </c>
      <c r="Q291" t="n">
        <v>4.289193654707176</v>
      </c>
      <c r="R291" t="inlineStr">
        <is>
          <t>Operationnel</t>
        </is>
      </c>
      <c r="S291" t="inlineStr"/>
      <c r="T291" t="inlineStr"/>
      <c r="U291" t="inlineStr"/>
      <c r="V291" t="inlineStr"/>
      <c r="W291" t="inlineStr"/>
      <c r="X291" t="inlineStr">
        <is>
          <t>{None hourly IHS}: 25/05/2026 15:58..1:21:05..Emmanuel is on site,</t>
        </is>
      </c>
      <c r="Y291" t="inlineStr">
        <is>
          <t>25/05/2026 15 58.1 21 05.Emmanuel is on site,</t>
        </is>
      </c>
      <c r="Z291" t="inlineStr"/>
      <c r="AA291" t="inlineStr"/>
      <c r="AB291" t="inlineStr"/>
      <c r="AC291" t="inlineStr"/>
      <c r="AD291" t="inlineStr"/>
      <c r="AE291" t="inlineStr">
        <is>
          <t>{None hourly IHS}: 25/05/2026 15:58..1:21:05..Emmanuel is on site,</t>
        </is>
      </c>
      <c r="AF291" t="inlineStr"/>
      <c r="AG291" t="inlineStr"/>
      <c r="AH291" t="inlineStr"/>
      <c r="AI291" t="inlineStr"/>
      <c r="AJ291" t="inlineStr"/>
      <c r="AK291" t="inlineStr"/>
      <c r="AL291" t="inlineStr"/>
      <c r="AM291" t="inlineStr"/>
      <c r="AN291" t="inlineStr"/>
      <c r="AO291" t="inlineStr"/>
      <c r="AP291" t="inlineStr"/>
      <c r="AQ291" t="inlineStr"/>
      <c r="AR291" t="inlineStr"/>
    </row>
    <row r="292">
      <c r="A292" t="inlineStr">
        <is>
          <t>Abang-MTN-IHS</t>
        </is>
      </c>
      <c r="B292" t="inlineStr">
        <is>
          <t>CTR_462</t>
        </is>
      </c>
      <c r="C292" t="inlineStr">
        <is>
          <t>Yaounde</t>
        </is>
      </c>
      <c r="D292" t="inlineStr">
        <is>
          <t>IHS</t>
        </is>
      </c>
      <c r="E292" t="inlineStr">
        <is>
          <t>Grid-Gen</t>
        </is>
      </c>
      <c r="F292" t="inlineStr">
        <is>
          <t>CENTRE</t>
        </is>
      </c>
      <c r="G292" t="inlineStr">
        <is>
          <t>Yaounde</t>
        </is>
      </c>
      <c r="H292" t="inlineStr">
        <is>
          <t>ZTE</t>
        </is>
      </c>
      <c r="I292" t="n">
        <v>0</v>
      </c>
      <c r="J292" t="n">
        <v>0</v>
      </c>
      <c r="K292" t="n">
        <v>0</v>
      </c>
      <c r="L292" t="n">
        <v>0</v>
      </c>
      <c r="M292" t="n">
        <v>0.1068856243561537</v>
      </c>
      <c r="N292" t="n">
        <v>2.505530376605158</v>
      </c>
      <c r="O292" t="n">
        <v>2.247503918588561</v>
      </c>
      <c r="P292" t="n">
        <v>6.072438751321501</v>
      </c>
      <c r="Q292" t="n">
        <v>4.279009824987944</v>
      </c>
      <c r="R292" t="inlineStr">
        <is>
          <t>Operationnel</t>
        </is>
      </c>
      <c r="S292" t="inlineStr"/>
      <c r="T292" t="inlineStr"/>
      <c r="U292" t="inlineStr"/>
      <c r="V292" t="inlineStr"/>
      <c r="W292" t="inlineStr"/>
      <c r="X292" t="inlineStr">
        <is>
          <t>{05-25-2026 ticket}: INC-20260525-00019093..power..Grid Outage</t>
        </is>
      </c>
      <c r="Y292" t="inlineStr">
        <is>
          <t>.power.Grid Outage</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{05-25-2026 ticket}: INC-20260525-00019093..power..Grid Outage</t>
        </is>
      </c>
      <c r="AR292" t="inlineStr"/>
    </row>
    <row r="293">
      <c r="A293" t="inlineStr">
        <is>
          <t>Nkongoa</t>
        </is>
      </c>
      <c r="B293" t="inlineStr">
        <is>
          <t>CTR_629</t>
        </is>
      </c>
      <c r="C293" t="inlineStr">
        <is>
          <t>Yaounde</t>
        </is>
      </c>
      <c r="D293" t="inlineStr">
        <is>
          <t>CAMUSAT</t>
        </is>
      </c>
      <c r="E293" t="inlineStr">
        <is>
          <t>Medium Grid + GE</t>
        </is>
      </c>
      <c r="F293" t="inlineStr">
        <is>
          <t>CENTRE</t>
        </is>
      </c>
      <c r="G293" t="inlineStr">
        <is>
          <t>Yaounde</t>
        </is>
      </c>
      <c r="H293" t="inlineStr">
        <is>
          <t>ZTE</t>
        </is>
      </c>
      <c r="I293" t="n">
        <v>0</v>
      </c>
      <c r="J293" t="n">
        <v>0</v>
      </c>
      <c r="K293" t="n">
        <v>0</v>
      </c>
      <c r="L293" t="n">
        <v>0</v>
      </c>
      <c r="M293" t="n">
        <v>0.06557958297306442</v>
      </c>
      <c r="N293" t="n">
        <v>3.201448588979613</v>
      </c>
      <c r="O293" t="n">
        <v>3.4019893849601</v>
      </c>
      <c r="P293" t="n">
        <v>5.090068608588497</v>
      </c>
      <c r="Q293" t="n">
        <v>4.253666178698925</v>
      </c>
      <c r="R293" t="inlineStr">
        <is>
          <t>EXCLU</t>
        </is>
      </c>
      <c r="S293" t="inlineStr">
        <is>
          <t>site vandalise</t>
        </is>
      </c>
      <c r="T293" t="inlineStr"/>
      <c r="U293" t="inlineStr"/>
      <c r="V293" t="inlineStr"/>
      <c r="W293" t="inlineStr"/>
      <c r="X293" t="inlineStr">
        <is>
          <t>{05-25-2026 retour CAMUSAT}: No power issue      ;    {05-25-2026 ticket}: INC-20260525-00019097..power..Others</t>
        </is>
      </c>
      <c r="Y293" t="inlineStr">
        <is>
          <t>No power issue .power.</t>
        </is>
      </c>
      <c r="Z293" t="inlineStr"/>
      <c r="AA293" t="inlineStr"/>
      <c r="AB293" t="inlineStr"/>
      <c r="AC293" t="inlineStr">
        <is>
          <t xml:space="preserve">{05-25-2026 retour CAMUSAT}: No power issue </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{05-25-2026 ticket}: INC-20260525-00019097..power..Others</t>
        </is>
      </c>
      <c r="AR293" t="inlineStr"/>
    </row>
    <row r="294">
      <c r="A294" t="inlineStr">
        <is>
          <t>Ngd-ZI</t>
        </is>
      </c>
      <c r="B294" t="inlineStr">
        <is>
          <t>ADM_033</t>
        </is>
      </c>
      <c r="C294" t="inlineStr">
        <is>
          <t>Ngaoundere</t>
        </is>
      </c>
      <c r="D294" t="inlineStr">
        <is>
          <t>IHS</t>
        </is>
      </c>
      <c r="E294" t="inlineStr">
        <is>
          <t>Grid-Gen</t>
        </is>
      </c>
      <c r="F294" t="inlineStr">
        <is>
          <t>ADAMAOUA</t>
        </is>
      </c>
      <c r="G294" t="inlineStr">
        <is>
          <t>Ngaoundere</t>
        </is>
      </c>
      <c r="H294" t="inlineStr">
        <is>
          <t>Huawei</t>
        </is>
      </c>
      <c r="I294" t="n">
        <v>0.05288100721107886</v>
      </c>
      <c r="J294" t="n">
        <v>0.05626967209138409</v>
      </c>
      <c r="K294" t="n">
        <v>0.1752296444684148</v>
      </c>
      <c r="L294" t="n">
        <v>7.940587073705959</v>
      </c>
      <c r="M294" t="n">
        <v>9.572710760687492</v>
      </c>
      <c r="N294" t="n">
        <v>5.283707820262261</v>
      </c>
      <c r="O294" t="n">
        <v>6.741767988956552</v>
      </c>
      <c r="P294" t="n">
        <v>2.284923730538647</v>
      </c>
      <c r="Q294" t="n">
        <v>4.209363844158513</v>
      </c>
      <c r="R294" t="inlineStr">
        <is>
          <t>Operationnel</t>
        </is>
      </c>
      <c r="S294" t="inlineStr"/>
      <c r="T294" t="inlineStr"/>
      <c r="U294" t="inlineStr"/>
      <c r="V294" t="inlineStr"/>
      <c r="W294" t="inlineStr"/>
      <c r="X294" t="inlineStr">
        <is>
          <t>{None hourly IHS}: 25/05/2026 02:33..0:49:28..48.9V..Joseph is going to site ETA ASAP.</t>
        </is>
      </c>
      <c r="Y294" t="inlineStr">
        <is>
          <t>25/05/2026 02 33.0 49 28.48.9V.Joseph is going to site ETA ASAP.</t>
        </is>
      </c>
      <c r="Z294" t="inlineStr"/>
      <c r="AA294" t="inlineStr"/>
      <c r="AB294" t="inlineStr"/>
      <c r="AC294" t="inlineStr"/>
      <c r="AD294" t="inlineStr"/>
      <c r="AE294" t="inlineStr">
        <is>
          <t>{None hourly IHS}: 25/05/2026 02:33..0:49:28..48.9V..Joseph is going to site ETA ASAP.</t>
        </is>
      </c>
      <c r="AF294" t="inlineStr"/>
      <c r="AG294" t="inlineStr"/>
      <c r="AH294" t="inlineStr"/>
      <c r="AI294" t="inlineStr"/>
      <c r="AJ294" t="inlineStr"/>
      <c r="AK294" t="inlineStr"/>
      <c r="AL294" t="inlineStr"/>
      <c r="AM294" t="inlineStr"/>
      <c r="AN294" t="inlineStr"/>
      <c r="AO294" t="inlineStr"/>
      <c r="AP294" t="inlineStr"/>
      <c r="AQ294" t="inlineStr"/>
      <c r="AR294" t="inlineStr"/>
    </row>
    <row r="295">
      <c r="A295" t="inlineStr">
        <is>
          <t>OST_362_H_Dschang-TSINBING</t>
        </is>
      </c>
      <c r="B295" t="inlineStr">
        <is>
          <t>OST_362</t>
        </is>
      </c>
      <c r="C295" t="inlineStr">
        <is>
          <t>OUEST</t>
        </is>
      </c>
      <c r="D295" t="inlineStr">
        <is>
          <t>ESCO</t>
        </is>
      </c>
      <c r="E295" t="inlineStr">
        <is>
          <t>Hybrid Solar - S1</t>
        </is>
      </c>
      <c r="F295" t="inlineStr">
        <is>
          <t>OST</t>
        </is>
      </c>
      <c r="G295" t="inlineStr">
        <is>
          <t>Dschang</t>
        </is>
      </c>
      <c r="H295" t="inlineStr">
        <is>
          <t>Huawei</t>
        </is>
      </c>
      <c r="I295" t="n">
        <v>0</v>
      </c>
      <c r="J295" t="n">
        <v>0</v>
      </c>
      <c r="K295" t="n">
        <v>0</v>
      </c>
      <c r="L295" t="n">
        <v>0</v>
      </c>
      <c r="M295" t="n">
        <v>0</v>
      </c>
      <c r="N295" t="n">
        <v>7.095318313889589</v>
      </c>
      <c r="O295" t="n">
        <v>9.04919826188072</v>
      </c>
      <c r="P295" t="n">
        <v>0.2072539710681664</v>
      </c>
      <c r="Q295" t="n">
        <v>4.159211603929996</v>
      </c>
      <c r="R295" t="inlineStr">
        <is>
          <t>Operationnel</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row>
    <row r="296">
      <c r="A296" t="inlineStr">
        <is>
          <t>Yassa-Pesage-IHS</t>
        </is>
      </c>
      <c r="B296" t="inlineStr">
        <is>
          <t>LIT_563</t>
        </is>
      </c>
      <c r="C296" t="inlineStr">
        <is>
          <t>Douala</t>
        </is>
      </c>
      <c r="D296" t="inlineStr">
        <is>
          <t>IHS</t>
        </is>
      </c>
      <c r="E296" t="inlineStr">
        <is>
          <t>Grid-Gen</t>
        </is>
      </c>
      <c r="F296" t="inlineStr">
        <is>
          <t>LITTORAL</t>
        </is>
      </c>
      <c r="G296" t="inlineStr">
        <is>
          <t>Douala</t>
        </is>
      </c>
      <c r="H296" t="inlineStr">
        <is>
          <t>ZTE</t>
        </is>
      </c>
      <c r="I296" t="n">
        <v>4.358786130301655</v>
      </c>
      <c r="J296" t="n">
        <v>14.71429631341797</v>
      </c>
      <c r="K296" t="n">
        <v>0.1986471022991555</v>
      </c>
      <c r="L296" t="n">
        <v>0.2749990725759274</v>
      </c>
      <c r="M296" t="n">
        <v>0.384934495324356</v>
      </c>
      <c r="N296" t="n">
        <v>1.894790954761819</v>
      </c>
      <c r="O296" t="n">
        <v>1.604623764497078</v>
      </c>
      <c r="P296" t="n">
        <v>6.375761436041561</v>
      </c>
      <c r="Q296" t="n">
        <v>4.134153318894054</v>
      </c>
      <c r="R296" t="inlineStr">
        <is>
          <t>Operationnel</t>
        </is>
      </c>
      <c r="S296" t="inlineStr"/>
      <c r="T296" t="inlineStr"/>
      <c r="U296" t="inlineStr"/>
      <c r="V296" t="inlineStr"/>
      <c r="W296" t="inlineStr"/>
      <c r="X296" t="inlineStr">
        <is>
          <t>{05-25-2026 ticket}: INC-20260525-00013119..grid outage power fluctuation on site..Grid Outage</t>
        </is>
      </c>
      <c r="Y296" t="inlineStr">
        <is>
          <t>.grid outage power fluctuation on site.Grid Outage</t>
        </is>
      </c>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{05-25-2026 ticket}: INC-20260525-00013119..grid outage power fluctuation on site..Grid Outage</t>
        </is>
      </c>
      <c r="AR296" t="inlineStr"/>
    </row>
    <row r="297">
      <c r="A297" t="inlineStr">
        <is>
          <t>Mbanga-Bakoko-IHS</t>
        </is>
      </c>
      <c r="B297" t="inlineStr">
        <is>
          <t>LIT_164</t>
        </is>
      </c>
      <c r="C297" t="inlineStr">
        <is>
          <t>Douala</t>
        </is>
      </c>
      <c r="D297" t="inlineStr">
        <is>
          <t>IHS</t>
        </is>
      </c>
      <c r="E297" t="inlineStr">
        <is>
          <t>Grid-Gen</t>
        </is>
      </c>
      <c r="F297" t="inlineStr">
        <is>
          <t>LITTORAL</t>
        </is>
      </c>
      <c r="G297" t="inlineStr">
        <is>
          <t>Douala</t>
        </is>
      </c>
      <c r="H297" t="inlineStr">
        <is>
          <t>ZTE</t>
        </is>
      </c>
      <c r="I297" t="n">
        <v>4.419550242129024</v>
      </c>
      <c r="J297" t="n">
        <v>14.60771388539322</v>
      </c>
      <c r="K297" t="n">
        <v>0.200644631070704</v>
      </c>
      <c r="L297" t="n">
        <v>0.2393289159411354</v>
      </c>
      <c r="M297" t="n">
        <v>0.3781393304854275</v>
      </c>
      <c r="N297" t="n">
        <v>1.891793460666882</v>
      </c>
      <c r="O297" t="n">
        <v>1.603986250089251</v>
      </c>
      <c r="P297" t="n">
        <v>6.37271760709353</v>
      </c>
      <c r="Q297" t="n">
        <v>4.131923934104378</v>
      </c>
      <c r="R297" t="inlineStr">
        <is>
          <t>Operationnel</t>
        </is>
      </c>
      <c r="S297" t="inlineStr"/>
      <c r="T297" t="inlineStr"/>
      <c r="U297" t="inlineStr"/>
      <c r="V297" t="inlineStr"/>
      <c r="W297" t="inlineStr"/>
      <c r="X297" t="inlineStr">
        <is>
          <t>{05-25-2026 ticket}: INC-20260525-00013122..impacted by yassa pesage ihs..Grid Outage</t>
        </is>
      </c>
      <c r="Y297" t="inlineStr">
        <is>
          <t>.impacted by yassa pesage ihs.Grid Outage</t>
        </is>
      </c>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{05-25-2026 ticket}: INC-20260525-00013122..impacted by yassa pesage ihs..Grid Outage</t>
        </is>
      </c>
      <c r="AR297" t="inlineStr"/>
    </row>
    <row r="298">
      <c r="A298" t="inlineStr">
        <is>
          <t>Betare-Oya</t>
        </is>
      </c>
      <c r="B298" t="inlineStr">
        <is>
          <t>EST_014</t>
        </is>
      </c>
      <c r="C298" t="inlineStr">
        <is>
          <t>CENTRE</t>
        </is>
      </c>
      <c r="D298" t="inlineStr">
        <is>
          <t>IHS</t>
        </is>
      </c>
      <c r="E298" t="inlineStr">
        <is>
          <t>Solar-Gen-Lithium</t>
        </is>
      </c>
      <c r="F298" t="inlineStr">
        <is>
          <t>EST</t>
        </is>
      </c>
      <c r="G298" t="inlineStr">
        <is>
          <t>Betare-oya</t>
        </is>
      </c>
      <c r="H298" t="inlineStr">
        <is>
          <t>NOKIA</t>
        </is>
      </c>
      <c r="I298" t="n">
        <v>0.3741799430989663</v>
      </c>
      <c r="J298" t="n">
        <v>0.01253806005712929</v>
      </c>
      <c r="K298" t="n">
        <v>0.005421863808488572</v>
      </c>
      <c r="L298" t="n">
        <v>4.491283078526593</v>
      </c>
      <c r="M298" t="n">
        <v>0.07899156186774609</v>
      </c>
      <c r="N298" t="n">
        <v>6.999023816089748</v>
      </c>
      <c r="O298" t="n">
        <v>8.093776669352726</v>
      </c>
      <c r="P298" t="n">
        <v>0.7904756386625219</v>
      </c>
      <c r="Q298" t="n">
        <v>4.128858136772313</v>
      </c>
      <c r="R298" t="inlineStr">
        <is>
          <t>Operationnel</t>
        </is>
      </c>
      <c r="S298" t="inlineStr"/>
      <c r="T298" t="inlineStr"/>
      <c r="U298" t="inlineStr"/>
      <c r="V298" t="inlineStr"/>
      <c r="W298" t="inlineStr"/>
      <c r="X298" t="inlineStr">
        <is>
          <t>{05-25-2026 top offenders}: 25/05/2026:Intervention prevue pour aujourd'hui ||ETA :16h
23/05/2026 : Check breaker and  interconnection (sfp, optical fiber) between system and radio module, swap its if needed  ||Action avec le level0 faite      ;    {05-25-2026 retour IHS}: IHS     ;    {None hourly IHS}: 25/05/2026 15:32..1:47:05..FME Stephane is heading to site, ETA ASAP     ;    {05/25/2026 cell nokia}: 25/05/2026:Intervention prevue pour aujourd'hui ||ETA :16h
23/05/2026 : Check breaker and  interconnection (sfp, optical fiber) between system and radio module, swap its if needed  ||Action avec le level0 faite      ;    {05/25/2026 cell nokia}: 25/05/2026:Intervention prevue pour aujourd'hui ||ETA :16h
23/05/2026 : Check breaker and  interconnection (sfp, optical fiber) between system and radio module, swap its if needed  ||Action avec le level0 faite      ;    {05-25-2026 ocm ran 17H}: Power status check Ongoing     ;    {05-25-2026 ticket}: INC-20260525-00015545..Others Transmission equipement fault</t>
        </is>
      </c>
      <c r="Y298" t="inlineStr">
        <is>
          <t>25/05/2026 Intervention prevue pour aujourd'hui || ETA 16h
23/05/2026 Check breaker and interconnection (sfp, optical fiber) between system and radio module, swap its if needed || Action avec le level0 faite IHS 25/05/2026 15 32.1 47 05.FME Stephane is heading to site, ETA ASAP 25/05/2026 Intervention prevue pour aujourd'hui || ETA 16h
23/05/2026 Check breaker and interconnection (sfp, optical fiber) between system and radio module, swap its if needed || Action avec le level0 faite 25/05/2026 Intervention prevue pour aujourd'hui || ETA 16h
23/05/2026 Check breaker and interconnection (sfp, optical fiber) between system and radio module, swap its if needed || Action avec le level0 faite .</t>
        </is>
      </c>
      <c r="Z298" t="inlineStr"/>
      <c r="AA298" t="inlineStr"/>
      <c r="AB298" t="inlineStr">
        <is>
          <t xml:space="preserve">{05-25-2026 top offenders}: 25/05/2026:Intervention prevue pour aujourd'hui ||ETA :16h
23/05/2026 : Check breaker and  interconnection (sfp, optical fiber) between system and radio module, swap its if needed  ||Action avec le level0 faite </t>
        </is>
      </c>
      <c r="AC298" t="inlineStr"/>
      <c r="AD298" t="inlineStr">
        <is>
          <t>{05-25-2026 retour IHS}: IHS</t>
        </is>
      </c>
      <c r="AE298" t="inlineStr">
        <is>
          <t>{None hourly IHS}: 25/05/2026 15:32..1:47:05..FME Stephane is heading to site, ETA ASAP</t>
        </is>
      </c>
      <c r="AF298" t="inlineStr">
        <is>
          <t xml:space="preserve">{05/25/2026 cell nokia}: 25/05/2026:Intervention prevue pour aujourd'hui ||ETA :16h
23/05/2026 : Check breaker and  interconnection (sfp, optical fiber) between system and radio module, swap its if needed  ||Action avec le level0 faite </t>
        </is>
      </c>
      <c r="AG298" t="inlineStr">
        <is>
          <t xml:space="preserve">{05/25/2026 cell nokia}: 25/05/2026:Intervention prevue pour aujourd'hui ||ETA :16h
23/05/2026 : Check breaker and  interconnection (sfp, optical fiber) between system and radio module, swap its if needed  ||Action avec le level0 faite </t>
        </is>
      </c>
      <c r="AH298" t="inlineStr"/>
      <c r="AI298" t="inlineStr"/>
      <c r="AJ298" t="inlineStr"/>
      <c r="AK298" t="inlineStr"/>
      <c r="AL298" t="inlineStr"/>
      <c r="AM298" t="inlineStr"/>
      <c r="AN298" t="inlineStr"/>
      <c r="AO298" t="inlineStr"/>
      <c r="AP298" t="inlineStr">
        <is>
          <t>{05-25-2026 ocm ran 17H}: Power status check Ongoing</t>
        </is>
      </c>
      <c r="AQ298" t="inlineStr">
        <is>
          <t>{05-25-2026 ticket}: INC-20260525-00015545..Others Transmission equipement fault</t>
        </is>
      </c>
      <c r="AR298" t="inlineStr"/>
    </row>
    <row r="299">
      <c r="A299" t="inlineStr">
        <is>
          <t>EXN_350_H_Maroua-Ziling</t>
        </is>
      </c>
      <c r="B299" t="inlineStr">
        <is>
          <t>EXN_350</t>
        </is>
      </c>
      <c r="C299" t="inlineStr">
        <is>
          <t>Maroua</t>
        </is>
      </c>
      <c r="D299" t="inlineStr">
        <is>
          <t>ESCO</t>
        </is>
      </c>
      <c r="E299" t="inlineStr">
        <is>
          <t>Hybrid Solar - S1</t>
        </is>
      </c>
      <c r="F299" t="inlineStr">
        <is>
          <t>EXN</t>
        </is>
      </c>
      <c r="G299" t="inlineStr">
        <is>
          <t>Maroua</t>
        </is>
      </c>
      <c r="H299" t="inlineStr">
        <is>
          <t>Huawei</t>
        </is>
      </c>
      <c r="I299" t="n">
        <v>0</v>
      </c>
      <c r="J299" t="n">
        <v>0</v>
      </c>
      <c r="K299" t="n">
        <v>0</v>
      </c>
      <c r="L299" t="n">
        <v>0</v>
      </c>
      <c r="M299" t="n">
        <v>0</v>
      </c>
      <c r="N299" t="n">
        <v>6.91546866819339</v>
      </c>
      <c r="O299" t="n">
        <v>8.833559013433705</v>
      </c>
      <c r="P299" t="n">
        <v>0.3184050281591797</v>
      </c>
      <c r="Q299" t="n">
        <v>4.119100512794172</v>
      </c>
      <c r="R299" t="inlineStr">
        <is>
          <t>EXCLU</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row>
    <row r="300">
      <c r="A300" t="inlineStr">
        <is>
          <t>Ngaouyanga-IHS</t>
        </is>
      </c>
      <c r="B300" t="inlineStr">
        <is>
          <t>ADM_081</t>
        </is>
      </c>
      <c r="C300" t="inlineStr">
        <is>
          <t>ADAMAOUA</t>
        </is>
      </c>
      <c r="D300" t="inlineStr">
        <is>
          <t>IHS</t>
        </is>
      </c>
      <c r="E300" t="inlineStr">
        <is>
          <t>Hybrid-Gen</t>
        </is>
      </c>
      <c r="F300" t="inlineStr">
        <is>
          <t>ADAMAOUA</t>
        </is>
      </c>
      <c r="G300" t="inlineStr">
        <is>
          <t>Ngaouyanga</t>
        </is>
      </c>
      <c r="H300" t="inlineStr">
        <is>
          <t>NOKIA</t>
        </is>
      </c>
      <c r="I300" t="n">
        <v>0</v>
      </c>
      <c r="J300" t="n">
        <v>0.4508324792498778</v>
      </c>
      <c r="K300" t="n">
        <v>0.04904954679373225</v>
      </c>
      <c r="L300" t="n">
        <v>0</v>
      </c>
      <c r="M300" t="n">
        <v>0.05290208364238672</v>
      </c>
      <c r="N300" t="n">
        <v>12.6652868202183</v>
      </c>
      <c r="O300" t="n">
        <v>6.865463644410647</v>
      </c>
      <c r="P300" t="n">
        <v>0</v>
      </c>
      <c r="Q300" t="n">
        <v>4.113417118731695</v>
      </c>
      <c r="R300" t="inlineStr">
        <is>
          <t>Operationnel</t>
        </is>
      </c>
      <c r="S300" t="inlineStr"/>
      <c r="T300" t="inlineStr"/>
      <c r="U300" t="inlineStr"/>
      <c r="V300" t="inlineStr"/>
      <c r="W300" t="inlineStr"/>
      <c r="X300" t="inlineStr">
        <is>
          <t>{05-25-2026 retour IHS}: IHS     ;    {None hourly IHS}: 25/05/2026 08:02..1:58:00..44..Our FME PARFAIT is managing with level zero     ;    {05-25-2026 ticket}: INC-20260525-00009557..Others</t>
        </is>
      </c>
      <c r="Y300" t="inlineStr">
        <is>
          <t>IHS 25/05/2026 08 02.1 58 00.44.Our FME PARFAIT is managing with level zero .</t>
        </is>
      </c>
      <c r="Z300" t="inlineStr"/>
      <c r="AA300" t="inlineStr"/>
      <c r="AB300" t="inlineStr"/>
      <c r="AC300" t="inlineStr"/>
      <c r="AD300" t="inlineStr">
        <is>
          <t>{05-25-2026 retour IHS}: IHS</t>
        </is>
      </c>
      <c r="AE300" t="inlineStr">
        <is>
          <t>{None hourly IHS}: 25/05/2026 08:02..1:58:00..44..Our FME PARFAIT is managing with level zero</t>
        </is>
      </c>
      <c r="AF300" t="inlineStr"/>
      <c r="AG300" t="inlineStr"/>
      <c r="AH300" t="inlineStr"/>
      <c r="AI300" t="inlineStr"/>
      <c r="AJ300" t="inlineStr"/>
      <c r="AK300" t="inlineStr"/>
      <c r="AL300" t="inlineStr"/>
      <c r="AM300" t="inlineStr"/>
      <c r="AN300" t="inlineStr"/>
      <c r="AO300" t="inlineStr"/>
      <c r="AP300" t="inlineStr"/>
      <c r="AQ300" t="inlineStr">
        <is>
          <t>{05-25-2026 ticket}: INC-20260525-00009557..Others</t>
        </is>
      </c>
      <c r="AR300" t="inlineStr"/>
    </row>
    <row r="301">
      <c r="A301" t="inlineStr">
        <is>
          <t>Elig-Edzoa</t>
        </is>
      </c>
      <c r="B301" t="inlineStr">
        <is>
          <t>CTR_075</t>
        </is>
      </c>
      <c r="C301" t="inlineStr">
        <is>
          <t>Yaounde</t>
        </is>
      </c>
      <c r="D301" t="inlineStr">
        <is>
          <t>IHS</t>
        </is>
      </c>
      <c r="E301" t="inlineStr">
        <is>
          <t>GridOnly</t>
        </is>
      </c>
      <c r="F301" t="inlineStr">
        <is>
          <t>CENTRE</t>
        </is>
      </c>
      <c r="G301" t="inlineStr">
        <is>
          <t>Yaounde</t>
        </is>
      </c>
      <c r="H301" t="inlineStr">
        <is>
          <t>ZTE</t>
        </is>
      </c>
      <c r="I301" t="n">
        <v>0</v>
      </c>
      <c r="J301" t="n">
        <v>0</v>
      </c>
      <c r="K301" t="n">
        <v>0.3093851035718663</v>
      </c>
      <c r="L301" t="n">
        <v>0</v>
      </c>
      <c r="M301" t="n">
        <v>0</v>
      </c>
      <c r="N301" t="n">
        <v>2.303199525196935</v>
      </c>
      <c r="O301" t="n">
        <v>2.054708936421964</v>
      </c>
      <c r="P301" t="n">
        <v>5.924077740348945</v>
      </c>
      <c r="Q301" t="n">
        <v>4.10802492915907</v>
      </c>
      <c r="R301" t="inlineStr">
        <is>
          <t>Operationnel</t>
        </is>
      </c>
      <c r="S301" t="inlineStr"/>
      <c r="T301" t="inlineStr"/>
      <c r="U301" t="inlineStr"/>
      <c r="V301" t="inlineStr"/>
      <c r="W301" t="inlineStr"/>
      <c r="X301" t="inlineStr">
        <is>
          <t>{05-25-2026 retour IHS}: IHS     ;    {None hourly IHS}: 25/05/2026 06:44..2:16:00..NO COM..Grid only site, no space to deployed MDG/Awaiting grid return     ;    {05-25-2026 ticket}: INC-20260525-00004993..Grid Outage..user:OCM_NOC.IHS</t>
        </is>
      </c>
      <c r="Y301" t="inlineStr">
        <is>
          <t>IHS 25/05/2026 06 44.2 16 00.NO COM.Grid only site, no space to deployed MDG/Awaiting grid return .Grid Outage.user OCM_NOC.IHS</t>
        </is>
      </c>
      <c r="Z301" t="inlineStr">
        <is>
          <t>CTR_075</t>
        </is>
      </c>
      <c r="AA301" t="inlineStr"/>
      <c r="AB301" t="inlineStr"/>
      <c r="AC301" t="inlineStr"/>
      <c r="AD301" t="inlineStr">
        <is>
          <t>{05-25-2026 retour IHS}: IHS</t>
        </is>
      </c>
      <c r="AE301" t="inlineStr">
        <is>
          <t>{None hourly IHS}: 25/05/2026 06:44..2:16:00..NO COM..Grid only site, no space to deployed MDG/Awaiting grid return</t>
        </is>
      </c>
      <c r="AF301" t="inlineStr"/>
      <c r="AG301" t="inlineStr"/>
      <c r="AH301" t="inlineStr"/>
      <c r="AI301" t="inlineStr"/>
      <c r="AJ301" t="inlineStr"/>
      <c r="AK301" t="inlineStr"/>
      <c r="AL301" t="inlineStr"/>
      <c r="AM301" t="inlineStr"/>
      <c r="AN301" t="inlineStr"/>
      <c r="AO301" t="inlineStr"/>
      <c r="AP301" t="inlineStr"/>
      <c r="AQ301" t="inlineStr">
        <is>
          <t>{05-25-2026 ticket}: INC-20260525-00004993..Grid Outage..user:OCM_NOC.IHS</t>
        </is>
      </c>
      <c r="AR301" t="inlineStr"/>
    </row>
    <row r="302">
      <c r="A302" t="inlineStr">
        <is>
          <t>Fondonera-IHS</t>
        </is>
      </c>
      <c r="B302" t="inlineStr">
        <is>
          <t>OST_263</t>
        </is>
      </c>
      <c r="C302" t="inlineStr">
        <is>
          <t>OUEST</t>
        </is>
      </c>
      <c r="D302" t="inlineStr">
        <is>
          <t>IHS</t>
        </is>
      </c>
      <c r="E302" t="inlineStr">
        <is>
          <t>Grid-Gen</t>
        </is>
      </c>
      <c r="F302" t="inlineStr">
        <is>
          <t>OUEST</t>
        </is>
      </c>
      <c r="G302" t="inlineStr">
        <is>
          <t>Santchou</t>
        </is>
      </c>
      <c r="H302" t="inlineStr">
        <is>
          <t>NOKIA</t>
        </is>
      </c>
      <c r="I302" t="n">
        <v>0.2793329966070547</v>
      </c>
      <c r="J302" t="n">
        <v>0</v>
      </c>
      <c r="K302" t="n">
        <v>0</v>
      </c>
      <c r="L302" t="n">
        <v>0</v>
      </c>
      <c r="M302" t="n">
        <v>1.029957937751297</v>
      </c>
      <c r="N302" t="n">
        <v>6.615469467525148</v>
      </c>
      <c r="O302" t="n">
        <v>9.265156267531646</v>
      </c>
      <c r="P302" t="n">
        <v>0</v>
      </c>
      <c r="Q302" t="n">
        <v>4.055108251791355</v>
      </c>
      <c r="R302" t="inlineStr">
        <is>
          <t>Operationnel</t>
        </is>
      </c>
      <c r="S302" t="inlineStr"/>
      <c r="T302" t="inlineStr"/>
      <c r="U302" t="inlineStr"/>
      <c r="V302" t="inlineStr"/>
      <c r="W302" t="inlineStr"/>
      <c r="X302" t="inlineStr">
        <is>
          <t>{05-25-2026 top offenders}: Power status check Ongoing     ;    {None hourly IHS}: 25-05-2026 19:19:56..3:40:04..FME isinformed and managing ETA ASAP     ;    {05-25-2026 ocm ran 22H}: Power status check Ongoing     ;    {05-25-2026 ticket}: INC-20260525-00020831</t>
        </is>
      </c>
      <c r="Y302" t="inlineStr">
        <is>
          <t>25-05-2026 19 19 56.3 40 04.FME isinformed and managing ETA ASAP</t>
        </is>
      </c>
      <c r="Z302" t="inlineStr"/>
      <c r="AA302" t="inlineStr"/>
      <c r="AB302" t="inlineStr">
        <is>
          <t>{05-25-2026 top offenders}: Power status check Ongoing</t>
        </is>
      </c>
      <c r="AC302" t="inlineStr"/>
      <c r="AD302" t="inlineStr"/>
      <c r="AE302" t="inlineStr">
        <is>
          <t>{None hourly IHS}: 25-05-2026 19:19:56..3:40:04..FME isinformed and managing ETA ASAP</t>
        </is>
      </c>
      <c r="AF302" t="inlineStr"/>
      <c r="AG302" t="inlineStr"/>
      <c r="AH302" t="inlineStr"/>
      <c r="AI302" t="inlineStr"/>
      <c r="AJ302" t="inlineStr"/>
      <c r="AK302" t="inlineStr"/>
      <c r="AL302" t="inlineStr"/>
      <c r="AM302" t="inlineStr"/>
      <c r="AN302" t="inlineStr"/>
      <c r="AO302" t="inlineStr">
        <is>
          <t>{05-25-2026 ocm ran 22H}: Power status check Ongoing</t>
        </is>
      </c>
      <c r="AP302" t="inlineStr"/>
      <c r="AQ302" t="inlineStr">
        <is>
          <t>{05-25-2026 ticket}: INC-20260525-00020831</t>
        </is>
      </c>
      <c r="AR302" t="inlineStr"/>
    </row>
    <row r="303">
      <c r="A303" t="inlineStr">
        <is>
          <t>Nkolangaa</t>
        </is>
      </c>
      <c r="B303" t="inlineStr">
        <is>
          <t>CTR_247</t>
        </is>
      </c>
      <c r="C303" t="inlineStr">
        <is>
          <t>Yaounde</t>
        </is>
      </c>
      <c r="D303" t="inlineStr">
        <is>
          <t>IHS</t>
        </is>
      </c>
      <c r="E303" t="inlineStr">
        <is>
          <t>Grid-Gen</t>
        </is>
      </c>
      <c r="F303" t="inlineStr">
        <is>
          <t>CENTRE</t>
        </is>
      </c>
      <c r="G303" t="inlineStr">
        <is>
          <t>Yaounde</t>
        </is>
      </c>
      <c r="H303" t="inlineStr">
        <is>
          <t>ZTE</t>
        </is>
      </c>
      <c r="I303" t="n">
        <v>0.02660993684955476</v>
      </c>
      <c r="J303" t="n">
        <v>0</v>
      </c>
      <c r="K303" t="n">
        <v>0</v>
      </c>
      <c r="L303" t="n">
        <v>0</v>
      </c>
      <c r="M303" t="n">
        <v>0.1057798495004755</v>
      </c>
      <c r="N303" t="n">
        <v>2.506904228065337</v>
      </c>
      <c r="O303" t="n">
        <v>2.247238287585299</v>
      </c>
      <c r="P303" t="n">
        <v>5.617540225054556</v>
      </c>
      <c r="Q303" t="n">
        <v>4.041892458758165</v>
      </c>
      <c r="R303" t="inlineStr">
        <is>
          <t>Operationnel</t>
        </is>
      </c>
      <c r="S303" t="inlineStr"/>
      <c r="T303" t="inlineStr"/>
      <c r="U303" t="inlineStr"/>
      <c r="V303" t="inlineStr"/>
      <c r="W303" t="inlineStr"/>
      <c r="X303" t="inlineStr">
        <is>
          <t>{05-25-2026 top offenders}: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    {05/25/2026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    {05/25/2026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    {05/25/2026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    {05-25-2026 ticket}: INC-20260525-00019061..power..Grid Outage</t>
        </is>
      </c>
      <c r="Y303" t="inlineStr">
        <is>
          <t>25/05/2026 En attente du GO de zte
21/05/2026 RI recu et transferer a ZTE || En attente du feedback de zte pour la validation du remplacement de la RRU
20/05/2026 En attente du RI pour transmettre a ZTE pour la validation du remplacement de le radio
19/05/2026 FME en route pour une investiguation ce jour || ETA 10h || Feedback FME Il a constater que la radio est faulty ||
18/05/2026 Feedback RM nouvelle intervention ce jour ETA 16H30 ||
16/05/2026 En attente du feedback du BO || ch
18/05/2026 Le jumpeur a ete remplacer hier mais apres redemarrage l'alarme persiste toujours. On va effectuer d'abord le remplacement de la RRU
17/05/2026 FME en route pour le site || ETA 10H || Feedback FME Remplacement de la bretelle sur nkolanga ce ctr_247 non ok
16/05/2026 Check and clean RRU 51 ant 1 || Escalade faite au RM || En attente d'un ETA 25/05/2026 En attente du GO de zte
21/05/2026 RI recu et transferer a ZTE || En attente du feedback de zte pour la validation du remplacement de la RRU
20/05/2026 En attente du RI pour transmettre a ZTE pour la validation du remplacement de le radio
19/05/2026 FME en route pour une investiguation ce jour || ETA 10h || Feedback FME Il a constater que la radio est faulty ||
18/05/2026 Feedback RM nouvelle intervention ce jour ETA 16H30 ||
16/05/2026 En attente du feedback du BO || ch
18/05/2026 Le jumpeur a ete remplacer hier mais apres redemarrage l'alarme persiste toujours. On va effectuer d'abord le remplacement de la RRU
17/05/2026 FME en route pour le site || ETA 10H || Feedback FME Remplacement de la bretelle sur nkolanga ce ctr_247 non ok
16/05/2026 Check and clean RRU 51 ant 1 || Escalade faite au RM || En attente d'un ETA 25/05/2026 En attente du GO de zte
21/05/2026 RI recu et transferer a ZTE || En attente du feedback de zte pour la validation du remplacement de la RRU
20/05/2026 En attente du RI pour transmettre a ZTE pour la validation du remplacement de le radio
19/05/2026 FME en route pour une investiguation ce jour || ETA 10h || Feedback FME Il a constater que la radio est faulty ||
18/05/2026 Feedback RM nouvelle intervention ce jour ETA 16H30 ||
16/05/2026 En attente du feedback du BO || ch
18/05/2026 Le jumpeur a ete remplacer hier mais apres redemarrage l'alarme persiste toujours. On va effectuer d'abord le remplacement de la RRU
17/05/2026 FME en route pour le site || ETA 10H || Feedback FME Remplacement de la bretelle sur nkolanga ce ctr_247 non ok
16/05/2026 Check and clean RRU 51 ant 1 || Escalade faite au RM || En attente d'un ETA 25/05/2026 En attente du GO de zte
21/05/2026 RI recu et transferer a ZTE || En attente du feedback de zte pour la validation du remplacement de la RRU
20/05/2026 En attente du RI pour transmettre a ZTE pour la validation du remplacement de le radio
19/05/2026 FME en route pour une investiguation ce jour || ETA 10h || Feedback FME Il a constater que la radio est faulty ||
18/05/2026 Feedback RM nouvelle intervention ce jour ETA 16H30 ||
16/05/2026 En attente du feedback du BO || ch
18/05/2026 Le jumpeur a ete remplacer hier mais apres redemarrage l'alarme persiste toujours. On va effectuer d'abord le remplacement de la RRU
17/05/2026 FME en route pour le site || ETA 10H || Feedback FME Remplacement de la bretelle sur nkolanga ce ctr_247 non ok
16/05/2026 Check and clean RRU 51 ant 1 || Escalade faite au RM || En attente d'un ETA .power.Grid Outage</t>
        </is>
      </c>
      <c r="Z303" t="inlineStr"/>
      <c r="AA303" t="inlineStr"/>
      <c r="AB303" t="inlineStr">
        <is>
          <t xml:space="preserve">{05-25-2026 top offenders}: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t>
        </is>
      </c>
      <c r="AC303" t="inlineStr"/>
      <c r="AD303" t="inlineStr"/>
      <c r="AE303" t="inlineStr"/>
      <c r="AF303" t="inlineStr"/>
      <c r="AG303" t="inlineStr"/>
      <c r="AH303" t="inlineStr"/>
      <c r="AI303" t="inlineStr">
        <is>
          <t xml:space="preserve">{05/25/2026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t>
        </is>
      </c>
      <c r="AJ303" t="inlineStr">
        <is>
          <t xml:space="preserve">{05/25/2026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t>
        </is>
      </c>
      <c r="AK303" t="inlineStr">
        <is>
          <t xml:space="preserve">{05/25/2026 cell zte}:   
25/05/2026 : En attente du GO de zte 
21/05/2026 : RI recu et transferer a ZTE || En attente du feedback de zte pour la validation du remplacement de la RRU
20/05/2026 : En attente du RI pour transmettre  a ZTE pour la validation du remplacement de le radio 
19/05/2026 : FME en route pour une investiguation ce jour || ETA : 10h  || Feedback FME : Il a constater que la radio est faulty || 
18/05/2026 : Feedback RM :  nouvelle intervention ce jour ETA 16H30 || 
16/05/2026 : En attente du feedback du BO || ch
18/05/2026 : Le jumpeur a ete remplacer hier mais apres redemarrage l'alarme persiste toujours. On va effectuer d'abord le remplacement de la RRU 
17/05/2026 : FME en route pour le site || ETA: 10H || Feedback FME : Remplacement de la bretelle sur nkolanga ce ctr_247 non ok
16/05/2026 : Check and clean RRU 51 ant 1 ||Escalade faite au RM || En attente d'un ETA </t>
        </is>
      </c>
      <c r="AL303" t="inlineStr"/>
      <c r="AM303" t="inlineStr"/>
      <c r="AN303" t="inlineStr"/>
      <c r="AO303" t="inlineStr"/>
      <c r="AP303" t="inlineStr"/>
      <c r="AQ303" t="inlineStr">
        <is>
          <t>{05-25-2026 ticket}: INC-20260525-00019061..power..Grid Outage</t>
        </is>
      </c>
      <c r="AR303" t="inlineStr"/>
    </row>
    <row r="304">
      <c r="A304" t="inlineStr">
        <is>
          <t>So-Djay-IHS</t>
        </is>
      </c>
      <c r="B304" t="inlineStr">
        <is>
          <t>NRD_125</t>
        </is>
      </c>
      <c r="C304" t="inlineStr">
        <is>
          <t>NORD</t>
        </is>
      </c>
      <c r="D304" t="inlineStr">
        <is>
          <t>IHS</t>
        </is>
      </c>
      <c r="E304" t="inlineStr">
        <is>
          <t>Solar-Gen</t>
        </is>
      </c>
      <c r="F304" t="inlineStr">
        <is>
          <t>NORD</t>
        </is>
      </c>
      <c r="G304" t="inlineStr">
        <is>
          <t>So-Djay</t>
        </is>
      </c>
      <c r="H304" t="inlineStr">
        <is>
          <t>NOKIA</t>
        </is>
      </c>
      <c r="I304" t="n">
        <v>0.1773876889448196</v>
      </c>
      <c r="J304" t="n">
        <v>0</v>
      </c>
      <c r="K304" t="n">
        <v>6.94629580794194</v>
      </c>
      <c r="L304" t="n">
        <v>2.158518595505608</v>
      </c>
      <c r="M304" t="n">
        <v>5.872866672594959</v>
      </c>
      <c r="N304" t="n">
        <v>0</v>
      </c>
      <c r="O304" t="n">
        <v>11.95394429682269</v>
      </c>
      <c r="P304" t="n">
        <v>0</v>
      </c>
      <c r="Q304" t="n">
        <v>4.013076977433995</v>
      </c>
      <c r="R304" t="inlineStr">
        <is>
          <t>Operationnel</t>
        </is>
      </c>
      <c r="S304" t="inlineStr"/>
      <c r="T304" t="inlineStr"/>
      <c r="U304" t="inlineStr"/>
      <c r="V304" t="inlineStr"/>
      <c r="W304" t="inlineStr"/>
      <c r="X304" t="inlineStr">
        <is>
          <t>{05-25-2026 top offenders}: 25.05.26: Besoin d'un FME sur site pour reset physique du MPR et si NOK, tshoot avec le BO TX; FME Ervice activé pour investigations, update ASAP
24/05/2025 IHS active en attente de retour      ;    {05-25-2026 ocm ran 17H}: 25.05.26: Besoin d'un FME sur site pour reset physique du MPR et si NOK, tshoot avec le BO TX; FME Ervice activé pour investigations, update ASAP
24/05/2025 IHS active en attente de retour      ;    {05-25-2026 ticket}: INC-20260525-00000727..Auto TT closure RCA..Others Transmission equipement fault</t>
        </is>
      </c>
      <c r="Y304" t="inlineStr">
        <is>
          <t>25.05.26 Besoin d'un FME sur site pour reset physique du MPR et si NOK, tshoot avec le BO TX; FME Ervice activé pour investigations, update ASAP
24/05/2025 IHS active en attente de retour 25.05.26 Besoin d'un FME sur site pour reset physique du MPR et si NOK, tshoot avec le BO TX; FME Ervice activé pour investigations, update ASAP
24/05/2025 IHS active en attente de retour .Auto TT closure RCA.</t>
        </is>
      </c>
      <c r="Z304" t="inlineStr"/>
      <c r="AA304" t="inlineStr"/>
      <c r="AB304" t="inlineStr">
        <is>
          <t xml:space="preserve">{05-25-2026 top offenders}: 25.05.26: Besoin d'un FME sur site pour reset physique du MPR et si NOK, tshoot avec le BO TX; FME Ervice activé pour investigations, update ASAP
24/05/2025 IHS active en attente de retour </t>
        </is>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 xml:space="preserve">{05-25-2026 ocm ran 17H}: 25.05.26: Besoin d'un FME sur site pour reset physique du MPR et si NOK, tshoot avec le BO TX; FME Ervice activé pour investigations, update ASAP
24/05/2025 IHS active en attente de retour </t>
        </is>
      </c>
      <c r="AQ304" t="inlineStr">
        <is>
          <t>{05-25-2026 ticket}: INC-20260525-00000727..Auto TT closure RCA..Others Transmission equipement fault</t>
        </is>
      </c>
      <c r="AR304" t="inlineStr"/>
    </row>
    <row r="305">
      <c r="A305" t="inlineStr">
        <is>
          <t>Mvog-Manga-III</t>
        </is>
      </c>
      <c r="B305" t="inlineStr">
        <is>
          <t>CTR_739</t>
        </is>
      </c>
      <c r="C305" t="inlineStr">
        <is>
          <t>Yaounde</t>
        </is>
      </c>
      <c r="D305" t="inlineStr">
        <is>
          <t>CAMUSAT</t>
        </is>
      </c>
      <c r="E305" t="inlineStr">
        <is>
          <t>Good Grid + GE</t>
        </is>
      </c>
      <c r="F305" t="inlineStr">
        <is>
          <t>CENTRE</t>
        </is>
      </c>
      <c r="G305" t="inlineStr">
        <is>
          <t>Yaounde</t>
        </is>
      </c>
      <c r="H305" t="inlineStr">
        <is>
          <t>ZTE</t>
        </is>
      </c>
      <c r="I305" t="n">
        <v>0</v>
      </c>
      <c r="J305" t="n">
        <v>0</v>
      </c>
      <c r="K305" t="n">
        <v>0</v>
      </c>
      <c r="L305" t="n">
        <v>0</v>
      </c>
      <c r="M305" t="n">
        <v>0</v>
      </c>
      <c r="N305" t="n">
        <v>3.721139127689252</v>
      </c>
      <c r="O305" t="n">
        <v>2.147201651757331</v>
      </c>
      <c r="P305" t="n">
        <v>5.275571172792081</v>
      </c>
      <c r="Q305" t="n">
        <v>4.00336868959259</v>
      </c>
      <c r="R305" t="inlineStr">
        <is>
          <t>Operationnel</t>
        </is>
      </c>
      <c r="S305" t="inlineStr"/>
      <c r="T305" t="inlineStr"/>
      <c r="U305" t="inlineStr"/>
      <c r="V305" t="inlineStr"/>
      <c r="W305" t="inlineStr"/>
      <c r="X305" t="inlineStr">
        <is>
          <t>{05-25-2026 ticket}: INC-20260525-00021846..power..Grid Outage</t>
        </is>
      </c>
      <c r="Y305" t="inlineStr">
        <is>
          <t>.power.Grid Outage</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is>
          <t>{05-25-2026 ticket}: INC-20260525-00021846..power..Grid Outage</t>
        </is>
      </c>
      <c r="AR305" t="inlineStr"/>
    </row>
    <row r="306">
      <c r="A306" t="inlineStr">
        <is>
          <t>Guider-Sanguere</t>
        </is>
      </c>
      <c r="B306" t="inlineStr">
        <is>
          <t>NRD_134</t>
        </is>
      </c>
      <c r="C306" t="inlineStr">
        <is>
          <t>NORD</t>
        </is>
      </c>
      <c r="D306" t="inlineStr">
        <is>
          <t>CAMUSAT</t>
        </is>
      </c>
      <c r="E306" t="inlineStr">
        <is>
          <t>Good Grid + GE</t>
        </is>
      </c>
      <c r="F306" t="inlineStr">
        <is>
          <t>NORD</t>
        </is>
      </c>
      <c r="G306" t="inlineStr">
        <is>
          <t>Guider</t>
        </is>
      </c>
      <c r="H306" t="inlineStr">
        <is>
          <t>Huawei</t>
        </is>
      </c>
      <c r="I306" t="n">
        <v>10.48023088578987</v>
      </c>
      <c r="J306" t="n">
        <v>6.850043374910468</v>
      </c>
      <c r="K306" t="n">
        <v>2.104129034651417</v>
      </c>
      <c r="L306" t="n">
        <v>3.448198371728691</v>
      </c>
      <c r="M306" t="n">
        <v>4.942599583943292</v>
      </c>
      <c r="N306" t="n">
        <v>3.787458684539724</v>
      </c>
      <c r="O306" t="n">
        <v>6.489312283457607</v>
      </c>
      <c r="P306" t="n">
        <v>2.454386342195868</v>
      </c>
      <c r="Q306" t="n">
        <v>3.999320126814541</v>
      </c>
      <c r="R306" t="inlineStr">
        <is>
          <t>Operationnel</t>
        </is>
      </c>
      <c r="S306" t="inlineStr"/>
      <c r="T306" t="inlineStr"/>
      <c r="U306" t="inlineStr"/>
      <c r="V306" t="inlineStr"/>
      <c r="W306" t="inlineStr"/>
      <c r="X306" t="inlineStr">
        <is>
          <t xml:space="preserve">{05-25-2026 retour CAMUSAT}: No power issue </t>
        </is>
      </c>
      <c r="Y306" t="inlineStr">
        <is>
          <t>No power issue</t>
        </is>
      </c>
      <c r="Z306" t="inlineStr"/>
      <c r="AA306" t="inlineStr"/>
      <c r="AB306" t="inlineStr"/>
      <c r="AC306" t="inlineStr">
        <is>
          <t xml:space="preserve">{05-25-2026 retour CAMUSAT}: No power issue </t>
        </is>
      </c>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row>
    <row r="307">
      <c r="A307" t="inlineStr">
        <is>
          <t>Buea-Bomaka-II-IHS</t>
        </is>
      </c>
      <c r="B307" t="inlineStr">
        <is>
          <t>SUO_201</t>
        </is>
      </c>
      <c r="C307" t="inlineStr">
        <is>
          <t>SUD-OUEST</t>
        </is>
      </c>
      <c r="D307" t="inlineStr">
        <is>
          <t>IHS</t>
        </is>
      </c>
      <c r="E307" t="inlineStr">
        <is>
          <t>Grid-Gen</t>
        </is>
      </c>
      <c r="F307" t="inlineStr">
        <is>
          <t>SUD-OUEST</t>
        </is>
      </c>
      <c r="G307" t="inlineStr">
        <is>
          <t>Buea</t>
        </is>
      </c>
      <c r="H307" t="inlineStr">
        <is>
          <t>Huawei</t>
        </is>
      </c>
      <c r="I307" t="n">
        <v>0</v>
      </c>
      <c r="J307" t="n">
        <v>0</v>
      </c>
      <c r="K307" t="n">
        <v>0</v>
      </c>
      <c r="L307" t="n">
        <v>0</v>
      </c>
      <c r="M307" t="n">
        <v>1.767902138211869</v>
      </c>
      <c r="N307" t="n">
        <v>5.590326487056821</v>
      </c>
      <c r="O307" t="n">
        <v>9.52127768087559</v>
      </c>
      <c r="P307" t="n">
        <v>0</v>
      </c>
      <c r="Q307" t="n">
        <v>3.994700841530336</v>
      </c>
      <c r="R307" t="inlineStr">
        <is>
          <t>Operationnel</t>
        </is>
      </c>
      <c r="S307" t="inlineStr"/>
      <c r="T307" t="inlineStr"/>
      <c r="U307" t="inlineStr"/>
      <c r="V307" t="inlineStr"/>
      <c r="W307" t="inlineStr"/>
      <c r="X307" t="inlineStr">
        <is>
          <t>{05-25-2026 top offenders}: Power status check Ongoing     ;    {None hourly IHS}: 25/05/2026 19:54..3:05:43..FME Abdel is managing with level 0     ;    {05-25-2026 ocm ran 22H}: Power status check Ongoing</t>
        </is>
      </c>
      <c r="Y307" t="inlineStr">
        <is>
          <t>25/05/2026 19 54.3 05 43.FME Abdel is managing with level 0</t>
        </is>
      </c>
      <c r="Z307" t="inlineStr"/>
      <c r="AA307" t="inlineStr"/>
      <c r="AB307" t="inlineStr">
        <is>
          <t>{05-25-2026 top offenders}: Power status check Ongoing</t>
        </is>
      </c>
      <c r="AC307" t="inlineStr"/>
      <c r="AD307" t="inlineStr"/>
      <c r="AE307" t="inlineStr">
        <is>
          <t>{None hourly IHS}: 25/05/2026 19:54..3:05:43..FME Abdel is managing with level 0</t>
        </is>
      </c>
      <c r="AF307" t="inlineStr"/>
      <c r="AG307" t="inlineStr"/>
      <c r="AH307" t="inlineStr"/>
      <c r="AI307" t="inlineStr"/>
      <c r="AJ307" t="inlineStr"/>
      <c r="AK307" t="inlineStr"/>
      <c r="AL307" t="inlineStr"/>
      <c r="AM307" t="inlineStr"/>
      <c r="AN307" t="inlineStr"/>
      <c r="AO307" t="inlineStr">
        <is>
          <t>{05-25-2026 ocm ran 22H}: Power status check Ongoing</t>
        </is>
      </c>
      <c r="AP307" t="inlineStr"/>
      <c r="AQ307" t="inlineStr"/>
      <c r="AR307" t="inlineStr"/>
    </row>
    <row r="308">
      <c r="A308" t="inlineStr">
        <is>
          <t>Doualare-II</t>
        </is>
      </c>
      <c r="B308" t="inlineStr">
        <is>
          <t>EXN_197</t>
        </is>
      </c>
      <c r="C308" t="inlineStr">
        <is>
          <t>Maroua</t>
        </is>
      </c>
      <c r="D308" t="inlineStr">
        <is>
          <t>CAMUSAT</t>
        </is>
      </c>
      <c r="E308" t="inlineStr">
        <is>
          <t>Medium Grid + GE</t>
        </is>
      </c>
      <c r="F308" t="inlineStr">
        <is>
          <t>EXTREME-NORD</t>
        </is>
      </c>
      <c r="G308" t="inlineStr">
        <is>
          <t>Maroua</t>
        </is>
      </c>
      <c r="H308" t="inlineStr">
        <is>
          <t>Huawei</t>
        </is>
      </c>
      <c r="I308" t="n">
        <v>0</v>
      </c>
      <c r="J308" t="n">
        <v>1.527110745848707</v>
      </c>
      <c r="K308" t="n">
        <v>1.111232389643669</v>
      </c>
      <c r="L308" t="n">
        <v>0</v>
      </c>
      <c r="M308" t="n">
        <v>0</v>
      </c>
      <c r="N308" t="n">
        <v>5.514140178810514</v>
      </c>
      <c r="O308" t="n">
        <v>7.032315180323076</v>
      </c>
      <c r="P308" t="n">
        <v>1.622805433528795</v>
      </c>
      <c r="Q308" t="n">
        <v>3.994522490747161</v>
      </c>
      <c r="R308" t="inlineStr">
        <is>
          <t>Operationnel</t>
        </is>
      </c>
      <c r="S308" t="inlineStr"/>
      <c r="T308" t="inlineStr"/>
      <c r="U308" t="inlineStr"/>
      <c r="V308" t="inlineStr"/>
      <c r="W308" t="inlineStr"/>
      <c r="X308" t="inlineStr">
        <is>
          <t>{05-25-2026 top offenders}: Power status check Ongoing     ;    {05-25-2026 retour CAMUSAT}: GE faulty</t>
        </is>
      </c>
      <c r="Y308" t="inlineStr">
        <is>
          <t>GE faulty</t>
        </is>
      </c>
      <c r="Z308" t="inlineStr"/>
      <c r="AA308" t="inlineStr"/>
      <c r="AB308" t="inlineStr">
        <is>
          <t>{05-25-2026 top offenders}: Power status check Ongoing</t>
        </is>
      </c>
      <c r="AC308" t="inlineStr">
        <is>
          <t>{05-25-2026 retour CAMUSAT}: GE faulty</t>
        </is>
      </c>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row>
    <row r="309">
      <c r="A309" t="inlineStr">
        <is>
          <t>Ngd-Burkina-II-IHS</t>
        </is>
      </c>
      <c r="B309" t="inlineStr">
        <is>
          <t>ADM_101</t>
        </is>
      </c>
      <c r="C309" t="inlineStr">
        <is>
          <t>Ngaoundere</t>
        </is>
      </c>
      <c r="D309" t="inlineStr">
        <is>
          <t>IHS</t>
        </is>
      </c>
      <c r="E309" t="inlineStr">
        <is>
          <t>Grid-Gen</t>
        </is>
      </c>
      <c r="F309" t="inlineStr">
        <is>
          <t>ADAMAOUA</t>
        </is>
      </c>
      <c r="G309" t="inlineStr">
        <is>
          <t>Ngaoundere</t>
        </is>
      </c>
      <c r="H309" t="inlineStr">
        <is>
          <t>Huawei</t>
        </is>
      </c>
      <c r="I309" t="n">
        <v>1.346548412963391</v>
      </c>
      <c r="J309" t="n">
        <v>0</v>
      </c>
      <c r="K309" t="n">
        <v>0.081042595874247</v>
      </c>
      <c r="L309" t="n">
        <v>13.52458957917776</v>
      </c>
      <c r="M309" t="n">
        <v>0</v>
      </c>
      <c r="N309" t="n">
        <v>6.720007074086064</v>
      </c>
      <c r="O309" t="n">
        <v>8.575950066471503</v>
      </c>
      <c r="P309" t="n">
        <v>0.2383762670536502</v>
      </c>
      <c r="Q309" t="n">
        <v>3.962972237203688</v>
      </c>
      <c r="R309" t="inlineStr">
        <is>
          <t>Operationnel</t>
        </is>
      </c>
      <c r="S309" t="inlineStr"/>
      <c r="T309" t="inlineStr"/>
      <c r="U309" t="inlineStr"/>
      <c r="V309" t="inlineStr"/>
      <c r="W309" t="inlineStr"/>
      <c r="X309" t="inlineStr">
        <is>
          <t>{05-25-2026 top offenders}: Power status check Ongoing     ;    {None hourly IHS}: 25-05-2026 19:00:25..3:59:35..FME Yannick is managing with level 0     ;    {05-25-2026 ocm ran 22H}: Power status check Ongoing</t>
        </is>
      </c>
      <c r="Y309" t="inlineStr">
        <is>
          <t>25-05-2026 19 00 25.3 59 35.FME Yannick is managing with level 0</t>
        </is>
      </c>
      <c r="Z309" t="inlineStr"/>
      <c r="AA309" t="inlineStr"/>
      <c r="AB309" t="inlineStr">
        <is>
          <t>{05-25-2026 top offenders}: Power status check Ongoing</t>
        </is>
      </c>
      <c r="AC309" t="inlineStr"/>
      <c r="AD309" t="inlineStr"/>
      <c r="AE309" t="inlineStr">
        <is>
          <t>{None hourly IHS}: 25-05-2026 19:00:25..3:59:35..FME Yannick is managing with level 0</t>
        </is>
      </c>
      <c r="AF309" t="inlineStr"/>
      <c r="AG309" t="inlineStr"/>
      <c r="AH309" t="inlineStr"/>
      <c r="AI309" t="inlineStr"/>
      <c r="AJ309" t="inlineStr"/>
      <c r="AK309" t="inlineStr"/>
      <c r="AL309" t="inlineStr"/>
      <c r="AM309" t="inlineStr"/>
      <c r="AN309" t="inlineStr"/>
      <c r="AO309" t="inlineStr">
        <is>
          <t>{05-25-2026 ocm ran 22H}: Power status check Ongoing</t>
        </is>
      </c>
      <c r="AP309" t="inlineStr"/>
      <c r="AQ309" t="inlineStr"/>
      <c r="AR309" t="inlineStr"/>
    </row>
    <row r="310">
      <c r="A310" t="inlineStr">
        <is>
          <t>Mewoulo-II-MTN</t>
        </is>
      </c>
      <c r="B310" t="inlineStr">
        <is>
          <t>CTR_846</t>
        </is>
      </c>
      <c r="C310" t="inlineStr">
        <is>
          <t>Yaounde</t>
        </is>
      </c>
      <c r="D310" t="inlineStr">
        <is>
          <t>MTN sharing</t>
        </is>
      </c>
      <c r="E310" t="inlineStr">
        <is>
          <t>MTN</t>
        </is>
      </c>
      <c r="F310" t="inlineStr">
        <is>
          <t>CENTRE</t>
        </is>
      </c>
      <c r="G310" t="inlineStr">
        <is>
          <t>Yaounde</t>
        </is>
      </c>
      <c r="H310" t="inlineStr">
        <is>
          <t>ZTE</t>
        </is>
      </c>
      <c r="I310" t="n">
        <v>1.026069890678104</v>
      </c>
      <c r="J310" t="n">
        <v>3.239634965885063</v>
      </c>
      <c r="K310" t="n">
        <v>0</v>
      </c>
      <c r="L310" t="n">
        <v>1.472357055414301</v>
      </c>
      <c r="M310" t="n">
        <v>1.468914885299043</v>
      </c>
      <c r="N310" t="n">
        <v>3.170224692157356</v>
      </c>
      <c r="O310" t="n">
        <v>2.960670036142816</v>
      </c>
      <c r="P310" t="n">
        <v>4.783565293619368</v>
      </c>
      <c r="Q310" t="n">
        <v>3.941213441656465</v>
      </c>
      <c r="R310" t="inlineStr">
        <is>
          <t>Operationnel</t>
        </is>
      </c>
      <c r="S310" t="inlineStr"/>
      <c r="T310" t="inlineStr"/>
      <c r="U310" t="inlineStr"/>
      <c r="V310" t="inlineStr"/>
      <c r="W310" t="inlineStr"/>
      <c r="X310" t="inlineStr">
        <is>
          <t>{05-25-2026 ticket}: INC-20260525-00016244..Grid Outage</t>
        </is>
      </c>
      <c r="Y310" t="inlineStr">
        <is>
          <t>.Grid Outage</t>
        </is>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{05-25-2026 ticket}: INC-20260525-00016244..Grid Outage</t>
        </is>
      </c>
      <c r="AR310" t="inlineStr"/>
    </row>
    <row r="311">
      <c r="A311" t="inlineStr">
        <is>
          <t>GSO</t>
        </is>
      </c>
      <c r="B311" t="inlineStr">
        <is>
          <t>CTR_389</t>
        </is>
      </c>
      <c r="C311" t="inlineStr">
        <is>
          <t>Yaounde</t>
        </is>
      </c>
      <c r="D311" t="inlineStr">
        <is>
          <t>IHS</t>
        </is>
      </c>
      <c r="E311" t="inlineStr">
        <is>
          <t>Grid-Gen</t>
        </is>
      </c>
      <c r="F311" t="inlineStr">
        <is>
          <t>CENTRE</t>
        </is>
      </c>
      <c r="G311" t="inlineStr">
        <is>
          <t>Yaounde</t>
        </is>
      </c>
      <c r="H311" t="inlineStr">
        <is>
          <t>ZTE</t>
        </is>
      </c>
      <c r="I311" t="n">
        <v>0</v>
      </c>
      <c r="J311" t="n">
        <v>0</v>
      </c>
      <c r="K311" t="n">
        <v>0.3249372918646362</v>
      </c>
      <c r="L311" t="n">
        <v>0</v>
      </c>
      <c r="M311" t="n">
        <v>0</v>
      </c>
      <c r="N311" t="n">
        <v>3.506693404313993</v>
      </c>
      <c r="O311" t="n">
        <v>3.198356657860469</v>
      </c>
      <c r="P311" t="n">
        <v>4.504524839833037</v>
      </c>
      <c r="Q311" t="n">
        <v>3.923538879043926</v>
      </c>
      <c r="R311" t="inlineStr">
        <is>
          <t>Operationnel</t>
        </is>
      </c>
      <c r="S311" t="inlineStr"/>
      <c r="T311" t="inlineStr"/>
      <c r="U311" t="inlineStr"/>
      <c r="V311" t="inlineStr"/>
      <c r="W311" t="inlineStr"/>
      <c r="X311" t="inlineStr">
        <is>
          <t>{05-25-2026 top offenders}: 25/05/2026 : Power issue || Mail sent to IHS      ;    {05/25/2026 cell zte}: 25/05/2026 : Power issue || Mail sent to IHS      ;    {05-25-2026 ticket}: INC-20260525-00006409..Grid Outage</t>
        </is>
      </c>
      <c r="Y311" t="inlineStr">
        <is>
          <t>25/05/2026 Power issue || Mail sent to IHS 25/05/2026 Power issue || Mail sent to IHS .Grid Outage</t>
        </is>
      </c>
      <c r="Z311" t="inlineStr"/>
      <c r="AA311" t="inlineStr"/>
      <c r="AB311" t="inlineStr">
        <is>
          <t xml:space="preserve">{05-25-2026 top offenders}: 25/05/2026 : Power issue || Mail sent to IHS </t>
        </is>
      </c>
      <c r="AC311" t="inlineStr"/>
      <c r="AD311" t="inlineStr"/>
      <c r="AE311" t="inlineStr"/>
      <c r="AF311" t="inlineStr"/>
      <c r="AG311" t="inlineStr"/>
      <c r="AH311" t="inlineStr"/>
      <c r="AI311" t="inlineStr">
        <is>
          <t xml:space="preserve">{05/25/2026 cell zte}: 25/05/2026 : Power issue || Mail sent to IHS </t>
        </is>
      </c>
      <c r="AJ311" t="inlineStr"/>
      <c r="AK311" t="inlineStr"/>
      <c r="AL311" t="inlineStr"/>
      <c r="AM311" t="inlineStr"/>
      <c r="AN311" t="inlineStr"/>
      <c r="AO311" t="inlineStr"/>
      <c r="AP311" t="inlineStr"/>
      <c r="AQ311" t="inlineStr">
        <is>
          <t>{05-25-2026 ticket}: INC-20260525-00006409..Grid Outage</t>
        </is>
      </c>
      <c r="AR311" t="inlineStr"/>
    </row>
    <row r="312">
      <c r="A312" t="inlineStr">
        <is>
          <t>Ngd-CRTV</t>
        </is>
      </c>
      <c r="B312" t="inlineStr">
        <is>
          <t>ADM_007</t>
        </is>
      </c>
      <c r="C312" t="inlineStr">
        <is>
          <t>Ngaoundere</t>
        </is>
      </c>
      <c r="D312" t="inlineStr">
        <is>
          <t>CAMUSAT</t>
        </is>
      </c>
      <c r="E312" t="inlineStr">
        <is>
          <t>Good Grid + Solar + GE</t>
        </is>
      </c>
      <c r="F312" t="inlineStr">
        <is>
          <t>ADAMAOUA</t>
        </is>
      </c>
      <c r="G312" t="inlineStr">
        <is>
          <t>Ngaoundere</t>
        </is>
      </c>
      <c r="H312" t="inlineStr">
        <is>
          <t>Huawei</t>
        </is>
      </c>
      <c r="I312" t="n">
        <v>1.429749053314042</v>
      </c>
      <c r="J312" t="n">
        <v>0.5545282550444737</v>
      </c>
      <c r="K312" t="n">
        <v>12.62853740943347</v>
      </c>
      <c r="L312" t="n">
        <v>23.85714601649959</v>
      </c>
      <c r="M312" t="n">
        <v>2.720545011457254</v>
      </c>
      <c r="N312" t="n">
        <v>2.886961500185845</v>
      </c>
      <c r="O312" t="n">
        <v>3.686214558449021</v>
      </c>
      <c r="P312" t="n">
        <v>4.165599616518593</v>
      </c>
      <c r="Q312" t="n">
        <v>3.822075118496261</v>
      </c>
      <c r="R312" t="inlineStr">
        <is>
          <t>Operationnel</t>
        </is>
      </c>
      <c r="S312" t="inlineStr"/>
      <c r="T312" t="inlineStr"/>
      <c r="U312" t="inlineStr"/>
      <c r="V312" t="inlineStr"/>
      <c r="W312" t="inlineStr"/>
      <c r="X312" t="inlineStr">
        <is>
          <t>{05-25-2026 retour CAMUSAT}: Souci avec le GE</t>
        </is>
      </c>
      <c r="Y312" t="inlineStr">
        <is>
          <t>Souci avec le GE</t>
        </is>
      </c>
      <c r="Z312" t="inlineStr"/>
      <c r="AA312" t="inlineStr"/>
      <c r="AB312" t="inlineStr"/>
      <c r="AC312" t="inlineStr">
        <is>
          <t>{05-25-2026 retour CAMUSAT}: Souci avec le GE</t>
        </is>
      </c>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row>
    <row r="313">
      <c r="A313" t="inlineStr">
        <is>
          <t>Hopital-de-La-Cass</t>
        </is>
      </c>
      <c r="B313" t="inlineStr">
        <is>
          <t>CTR_652</t>
        </is>
      </c>
      <c r="C313" t="inlineStr">
        <is>
          <t>Yaounde</t>
        </is>
      </c>
      <c r="D313" t="inlineStr">
        <is>
          <t>CAMUSAT</t>
        </is>
      </c>
      <c r="E313" t="inlineStr">
        <is>
          <t>Good Grid no GE - 8h</t>
        </is>
      </c>
      <c r="F313" t="inlineStr">
        <is>
          <t>CENTRE</t>
        </is>
      </c>
      <c r="G313" t="inlineStr">
        <is>
          <t>Yaounde</t>
        </is>
      </c>
      <c r="H313" t="inlineStr">
        <is>
          <t>ZTE</t>
        </is>
      </c>
      <c r="I313" t="n">
        <v>3.694643483918467</v>
      </c>
      <c r="J313" t="n">
        <v>0.4556505808528307</v>
      </c>
      <c r="K313" t="n">
        <v>0</v>
      </c>
      <c r="L313" t="n">
        <v>0</v>
      </c>
      <c r="M313" t="n">
        <v>5.88036800187197</v>
      </c>
      <c r="N313" t="n">
        <v>1.617897437742048</v>
      </c>
      <c r="O313" t="n">
        <v>1.743176895797846</v>
      </c>
      <c r="P313" t="n">
        <v>5.754957131944307</v>
      </c>
      <c r="Q313" t="n">
        <v>3.817384492898785</v>
      </c>
      <c r="R313" t="inlineStr">
        <is>
          <t>Operationnel</t>
        </is>
      </c>
      <c r="S313" t="inlineStr"/>
      <c r="T313" t="inlineStr"/>
      <c r="U313" t="inlineStr"/>
      <c r="V313" t="inlineStr"/>
      <c r="W313" t="inlineStr"/>
      <c r="X313" t="inlineStr">
        <is>
          <t>{05-25-2026 top offenders}: 25/05/2026 : Need BO RAN analysis || Cell was down due to power      ;    {05-25-2026 retour CAMUSAT}: No power issue      ;    {05/25/2026 cell zte}: 25/05/2026 : Need BO RAN analysis || Cell was down due to power      ;    {05-25-2026 ticket}: INC-20260525-00022121..Others</t>
        </is>
      </c>
      <c r="Y313" t="inlineStr">
        <is>
          <t>25/05/2026 Need BO RAN analysis || Cell was down due to power No power issue 25/05/2026 Need BO RAN analysis || Cell was down due to power .</t>
        </is>
      </c>
      <c r="Z313" t="inlineStr">
        <is>
          <t>CTR_652</t>
        </is>
      </c>
      <c r="AA313" t="inlineStr"/>
      <c r="AB313" t="inlineStr">
        <is>
          <t xml:space="preserve">{05-25-2026 top offenders}: 25/05/2026 : Need BO RAN analysis || Cell was down due to power </t>
        </is>
      </c>
      <c r="AC313" t="inlineStr">
        <is>
          <t xml:space="preserve">{05-25-2026 retour CAMUSAT}: No power issue </t>
        </is>
      </c>
      <c r="AD313" t="inlineStr"/>
      <c r="AE313" t="inlineStr"/>
      <c r="AF313" t="inlineStr"/>
      <c r="AG313" t="inlineStr"/>
      <c r="AH313" t="inlineStr"/>
      <c r="AI313" t="inlineStr"/>
      <c r="AJ313" t="inlineStr"/>
      <c r="AK313" t="inlineStr">
        <is>
          <t xml:space="preserve">{05/25/2026 cell zte}: 25/05/2026 : Need BO RAN analysis || Cell was down due to power </t>
        </is>
      </c>
      <c r="AL313" t="inlineStr"/>
      <c r="AM313" t="inlineStr"/>
      <c r="AN313" t="inlineStr"/>
      <c r="AO313" t="inlineStr"/>
      <c r="AP313" t="inlineStr"/>
      <c r="AQ313" t="inlineStr">
        <is>
          <t>{05-25-2026 ticket}: INC-20260525-00022121..Others</t>
        </is>
      </c>
      <c r="AR313" t="inlineStr"/>
    </row>
    <row r="314">
      <c r="A314" t="inlineStr">
        <is>
          <t>Meskin-MTN-IHS</t>
        </is>
      </c>
      <c r="B314" t="inlineStr">
        <is>
          <t>EXN_157</t>
        </is>
      </c>
      <c r="C314" t="inlineStr">
        <is>
          <t>EXTREME-NORD</t>
        </is>
      </c>
      <c r="D314" t="inlineStr">
        <is>
          <t>IHS</t>
        </is>
      </c>
      <c r="E314" t="inlineStr">
        <is>
          <t>Grid-Gen-Lithium</t>
        </is>
      </c>
      <c r="F314" t="inlineStr">
        <is>
          <t>EXTREME-NORD</t>
        </is>
      </c>
      <c r="G314" t="inlineStr">
        <is>
          <t>Maroua</t>
        </is>
      </c>
      <c r="H314" t="inlineStr">
        <is>
          <t>Huawei</t>
        </is>
      </c>
      <c r="I314" t="n">
        <v>0.6957820753182492</v>
      </c>
      <c r="J314" t="n">
        <v>0.1164630614125953</v>
      </c>
      <c r="K314" t="n">
        <v>13.13294909440606</v>
      </c>
      <c r="L314" t="n">
        <v>18.38279357252314</v>
      </c>
      <c r="M314" t="n">
        <v>2.692811464673703</v>
      </c>
      <c r="N314" t="n">
        <v>5.89694515385138</v>
      </c>
      <c r="O314" t="n">
        <v>7.525379448575538</v>
      </c>
      <c r="P314" t="n">
        <v>0.8437220241339383</v>
      </c>
      <c r="Q314" t="n">
        <v>3.808431283583452</v>
      </c>
      <c r="R314" t="inlineStr">
        <is>
          <t>Insecurity</t>
        </is>
      </c>
      <c r="S314" t="inlineStr"/>
      <c r="T314" t="inlineStr"/>
      <c r="U314" t="inlineStr"/>
      <c r="V314" t="inlineStr"/>
      <c r="W314" t="inlineStr"/>
      <c r="X314" t="inlineStr">
        <is>
          <t>{None hourly IHS}: 25/05/2026 03:51..2:32:47..50.1V..DG stopped due to fuel shortage.</t>
        </is>
      </c>
      <c r="Y314" t="inlineStr">
        <is>
          <t>25/05/2026 03 51.2 32 47.50.1V.DG stopped due to fuel shortage.</t>
        </is>
      </c>
      <c r="Z314" t="inlineStr"/>
      <c r="AA314" t="inlineStr"/>
      <c r="AB314" t="inlineStr"/>
      <c r="AC314" t="inlineStr"/>
      <c r="AD314" t="inlineStr"/>
      <c r="AE314" t="inlineStr">
        <is>
          <t>{None hourly IHS}: 25/05/2026 03:51..2:32:47..50.1V..DG stopped due to fuel shortage.</t>
        </is>
      </c>
      <c r="AF314" t="inlineStr"/>
      <c r="AG314" t="inlineStr"/>
      <c r="AH314" t="inlineStr"/>
      <c r="AI314" t="inlineStr"/>
      <c r="AJ314" t="inlineStr"/>
      <c r="AK314" t="inlineStr"/>
      <c r="AL314" t="inlineStr"/>
      <c r="AM314" t="inlineStr"/>
      <c r="AN314" t="inlineStr"/>
      <c r="AO314" t="inlineStr"/>
      <c r="AP314" t="inlineStr"/>
      <c r="AQ314" t="inlineStr"/>
      <c r="AR314" t="inlineStr"/>
    </row>
    <row r="315">
      <c r="A315" t="inlineStr">
        <is>
          <t>Maison-Blanche-IHS</t>
        </is>
      </c>
      <c r="B315" t="inlineStr">
        <is>
          <t>CTR_123</t>
        </is>
      </c>
      <c r="C315" t="inlineStr">
        <is>
          <t>Yaounde</t>
        </is>
      </c>
      <c r="D315" t="inlineStr">
        <is>
          <t>IHS</t>
        </is>
      </c>
      <c r="E315" t="inlineStr">
        <is>
          <t>GridOnly</t>
        </is>
      </c>
      <c r="F315" t="inlineStr">
        <is>
          <t>CENTRE</t>
        </is>
      </c>
      <c r="G315" t="inlineStr">
        <is>
          <t>Yaounde</t>
        </is>
      </c>
      <c r="H315" t="inlineStr">
        <is>
          <t>ZTE</t>
        </is>
      </c>
      <c r="I315" t="n">
        <v>0</v>
      </c>
      <c r="J315" t="n">
        <v>0</v>
      </c>
      <c r="K315" t="n">
        <v>0</v>
      </c>
      <c r="L315" t="n">
        <v>0</v>
      </c>
      <c r="M315" t="n">
        <v>0</v>
      </c>
      <c r="N315" t="n">
        <v>1.875806825493887</v>
      </c>
      <c r="O315" t="n">
        <v>1.750295806685231</v>
      </c>
      <c r="P315" t="n">
        <v>5.550062983318999</v>
      </c>
      <c r="Q315" t="n">
        <v>3.749753875919221</v>
      </c>
      <c r="R315" t="inlineStr">
        <is>
          <t>Operationnel</t>
        </is>
      </c>
      <c r="S315" t="inlineStr"/>
      <c r="T315" t="inlineStr"/>
      <c r="U315" t="inlineStr"/>
      <c r="V315" t="inlineStr"/>
      <c r="W315" t="inlineStr"/>
      <c r="X315" t="inlineStr">
        <is>
          <t>{None hourly IHS}: 25/05/2026 21:34..1:25:28..Grid outage, no space to deploy MDG, awaiting grid return     ;    {05-25-2026 ticket}: INC-20260525-00024599..Grid Outage</t>
        </is>
      </c>
      <c r="Y315" t="inlineStr">
        <is>
          <t>25/05/2026 21 34.1 25 28.Grid outage, no space to deploy MDG, awaiting grid return .Grid Outage</t>
        </is>
      </c>
      <c r="Z315" t="inlineStr"/>
      <c r="AA315" t="inlineStr"/>
      <c r="AB315" t="inlineStr"/>
      <c r="AC315" t="inlineStr"/>
      <c r="AD315" t="inlineStr"/>
      <c r="AE315" t="inlineStr">
        <is>
          <t>{None hourly IHS}: 25/05/2026 21:34..1:25:28..Grid outage, no space to deploy MDG, awaiting grid return</t>
        </is>
      </c>
      <c r="AF315" t="inlineStr"/>
      <c r="AG315" t="inlineStr"/>
      <c r="AH315" t="inlineStr"/>
      <c r="AI315" t="inlineStr"/>
      <c r="AJ315" t="inlineStr"/>
      <c r="AK315" t="inlineStr"/>
      <c r="AL315" t="inlineStr"/>
      <c r="AM315" t="inlineStr"/>
      <c r="AN315" t="inlineStr"/>
      <c r="AO315" t="inlineStr"/>
      <c r="AP315" t="inlineStr"/>
      <c r="AQ315" t="inlineStr">
        <is>
          <t>{05-25-2026 ticket}: INC-20260525-00024599..Grid Outage</t>
        </is>
      </c>
      <c r="AR315" t="inlineStr"/>
    </row>
    <row r="316">
      <c r="A316" t="inlineStr">
        <is>
          <t>Nkambe-Entrance-IHS</t>
        </is>
      </c>
      <c r="B316" t="inlineStr">
        <is>
          <t>NRO_090</t>
        </is>
      </c>
      <c r="C316" t="inlineStr">
        <is>
          <t>NORD-OUEST</t>
        </is>
      </c>
      <c r="D316" t="inlineStr">
        <is>
          <t>IHS</t>
        </is>
      </c>
      <c r="E316" t="inlineStr">
        <is>
          <t>Grid-Gen</t>
        </is>
      </c>
      <c r="F316" t="inlineStr">
        <is>
          <t>NORD-OUEST</t>
        </is>
      </c>
      <c r="G316" t="inlineStr">
        <is>
          <t>Nkambe</t>
        </is>
      </c>
      <c r="H316" t="inlineStr">
        <is>
          <t>NOKIA</t>
        </is>
      </c>
      <c r="I316" t="n">
        <v>0.0002853612530783018</v>
      </c>
      <c r="J316" t="n">
        <v>0.0002318560181263555</v>
      </c>
      <c r="K316" t="n">
        <v>0.0002542020392157231</v>
      </c>
      <c r="L316" t="n">
        <v>2.787136563801694</v>
      </c>
      <c r="M316" t="n">
        <v>2.77399674117449</v>
      </c>
      <c r="N316" t="n">
        <v>1.217107498131562</v>
      </c>
      <c r="O316" t="n">
        <v>0.5219649214072234</v>
      </c>
      <c r="P316" t="n">
        <v>6.503221109843592</v>
      </c>
      <c r="Q316" t="n">
        <v>3.740387884463977</v>
      </c>
      <c r="R316" t="inlineStr">
        <is>
          <t>Insecurity</t>
        </is>
      </c>
      <c r="S316" t="inlineStr"/>
      <c r="T316" t="inlineStr"/>
      <c r="U316" t="inlineStr"/>
      <c r="V316" t="inlineStr"/>
      <c r="W316" t="inlineStr"/>
      <c r="X316" t="inlineStr">
        <is>
          <t>{None hourly IHS}: 25/05/2026 22:08..0:51:58..FME Roland is managing with level 0     ;    {05-25-2026 ticket}: INC-20260525-00025157..Grid Outage</t>
        </is>
      </c>
      <c r="Y316" t="inlineStr">
        <is>
          <t>25/05/2026 22 08.0 51 58.FME Roland is managing with level 0 .Grid Outage</t>
        </is>
      </c>
      <c r="Z316" t="inlineStr"/>
      <c r="AA316" t="inlineStr"/>
      <c r="AB316" t="inlineStr"/>
      <c r="AC316" t="inlineStr"/>
      <c r="AD316" t="inlineStr"/>
      <c r="AE316" t="inlineStr">
        <is>
          <t>{None hourly IHS}: 25/05/2026 22:08..0:51:58..FME Roland is managing with level 0</t>
        </is>
      </c>
      <c r="AF316" t="inlineStr"/>
      <c r="AG316" t="inlineStr"/>
      <c r="AH316" t="inlineStr"/>
      <c r="AI316" t="inlineStr"/>
      <c r="AJ316" t="inlineStr"/>
      <c r="AK316" t="inlineStr"/>
      <c r="AL316" t="inlineStr"/>
      <c r="AM316" t="inlineStr"/>
      <c r="AN316" t="inlineStr"/>
      <c r="AO316" t="inlineStr"/>
      <c r="AP316" t="inlineStr"/>
      <c r="AQ316" t="inlineStr">
        <is>
          <t>{05-25-2026 ticket}: INC-20260525-00025157..Grid Outage</t>
        </is>
      </c>
      <c r="AR316" t="inlineStr"/>
    </row>
    <row r="317">
      <c r="A317" t="inlineStr">
        <is>
          <t>Bachuo-Ntai</t>
        </is>
      </c>
      <c r="B317" t="inlineStr">
        <is>
          <t>SUO_030</t>
        </is>
      </c>
      <c r="C317" t="inlineStr">
        <is>
          <t>SUD-OUEST</t>
        </is>
      </c>
      <c r="D317" t="inlineStr">
        <is>
          <t>IHS</t>
        </is>
      </c>
      <c r="E317" t="inlineStr">
        <is>
          <t>Grid-Gen</t>
        </is>
      </c>
      <c r="F317" t="inlineStr">
        <is>
          <t>SUD-OUEST</t>
        </is>
      </c>
      <c r="G317" t="inlineStr">
        <is>
          <t>Bashuo-Ntai</t>
        </is>
      </c>
      <c r="H317" t="inlineStr">
        <is>
          <t>NOKIA</t>
        </is>
      </c>
      <c r="I317" t="n">
        <v>0.4459661333264847</v>
      </c>
      <c r="J317" t="n">
        <v>4.029443574092622</v>
      </c>
      <c r="K317" t="n">
        <v>1.226643181435539</v>
      </c>
      <c r="L317" t="n">
        <v>0.5720423019521563</v>
      </c>
      <c r="M317" t="n">
        <v>2.218327041117703</v>
      </c>
      <c r="N317" t="n">
        <v>12.20367272959806</v>
      </c>
      <c r="O317" t="n">
        <v>5.869648279051107</v>
      </c>
      <c r="P317" t="n">
        <v>0</v>
      </c>
      <c r="Q317" t="n">
        <v>3.713191965368559</v>
      </c>
      <c r="R317" t="inlineStr">
        <is>
          <t>Insecurity</t>
        </is>
      </c>
      <c r="S317" t="inlineStr"/>
      <c r="T317" t="inlineStr"/>
      <c r="U317" t="inlineStr"/>
      <c r="V317" t="inlineStr"/>
      <c r="W317" t="inlineStr"/>
      <c r="X317" t="inlineStr">
        <is>
          <t>{05-25-2026 incident}: Upadate 6: d'apres le retour du PM , le vevel 0 ne peut pas se rendre sur site aujourdhui car il ya un lockdown declarer dans la zonne jusqu'au 21.05.2026. point EZCALADE a THEO pour Support     ;    {05-25-2026 ticket}: INC-20260525-00000358..Grid Outage</t>
        </is>
      </c>
      <c r="Y317" t="inlineStr">
        <is>
          <t>{05-25-2026 incident} Upadate 6 d'apres le retour du PM , le vevel 0 ne peut pas se rendre sur site aujourdhui car il ya un lockdown declarer dans la zonne jusqu'au 21.05.2026. point EZCALADE a THEO pour Support .Grid Outage</t>
        </is>
      </c>
      <c r="Z317" t="inlineStr"/>
      <c r="AA317" t="inlineStr">
        <is>
          <t>{05-25-2026 incident}: Upadate 6: d'apres le retour du PM , le vevel 0 ne peut pas se rendre sur site aujourdhui car il ya un lockdown declarer dans la zonne jusqu'au 21.05.2026. point EZCALADE a THEO pour Support</t>
        </is>
      </c>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{05-25-2026 ticket}: INC-20260525-00000358..Grid Outage</t>
        </is>
      </c>
      <c r="AR317" t="inlineStr"/>
    </row>
    <row r="318">
      <c r="A318" t="inlineStr">
        <is>
          <t>Ekoumdoum-II</t>
        </is>
      </c>
      <c r="B318" t="inlineStr">
        <is>
          <t>CTR_665</t>
        </is>
      </c>
      <c r="C318" t="inlineStr">
        <is>
          <t>Yaounde</t>
        </is>
      </c>
      <c r="D318" t="inlineStr">
        <is>
          <t>CAMUSAT</t>
        </is>
      </c>
      <c r="E318" t="inlineStr">
        <is>
          <t>HGB</t>
        </is>
      </c>
      <c r="F318" t="inlineStr">
        <is>
          <t>CENTRE</t>
        </is>
      </c>
      <c r="G318" t="inlineStr">
        <is>
          <t>Yaounde</t>
        </is>
      </c>
      <c r="H318" t="inlineStr">
        <is>
          <t>ZTE</t>
        </is>
      </c>
      <c r="I318" t="n">
        <v>0</v>
      </c>
      <c r="J318" t="n">
        <v>0</v>
      </c>
      <c r="K318" t="n">
        <v>0</v>
      </c>
      <c r="L318" t="n">
        <v>0</v>
      </c>
      <c r="M318" t="n">
        <v>0</v>
      </c>
      <c r="N318" t="n">
        <v>3.342205915854346</v>
      </c>
      <c r="O318" t="n">
        <v>1.730639112443941</v>
      </c>
      <c r="P318" t="n">
        <v>4.956242735850915</v>
      </c>
      <c r="Q318" t="n">
        <v>3.642886086641384</v>
      </c>
      <c r="R318" t="inlineStr">
        <is>
          <t>Operationnel</t>
        </is>
      </c>
      <c r="S318" t="inlineStr"/>
      <c r="T318" t="inlineStr"/>
      <c r="U318" t="inlineStr"/>
      <c r="V318" t="inlineStr"/>
      <c r="W318" t="inlineStr"/>
      <c r="X318" t="inlineStr">
        <is>
          <t>{05-25-2026 ticket}: INC-20260525-00025484..Others</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{05-25-2026 ticket}: INC-20260525-00025484..Others</t>
        </is>
      </c>
      <c r="AR318" t="inlineStr"/>
    </row>
    <row r="319">
      <c r="A319" t="inlineStr">
        <is>
          <t>Nkolo2-MTN-IHS</t>
        </is>
      </c>
      <c r="B319" t="inlineStr">
        <is>
          <t>CTR_469</t>
        </is>
      </c>
      <c r="C319" t="inlineStr">
        <is>
          <t>Yaounde</t>
        </is>
      </c>
      <c r="D319" t="inlineStr">
        <is>
          <t>IHS</t>
        </is>
      </c>
      <c r="E319" t="inlineStr">
        <is>
          <t>Grid-Gen</t>
        </is>
      </c>
      <c r="F319" t="inlineStr">
        <is>
          <t>CENTRE</t>
        </is>
      </c>
      <c r="G319" t="inlineStr">
        <is>
          <t>Yaounde</t>
        </is>
      </c>
      <c r="H319" t="inlineStr">
        <is>
          <t>ZTE</t>
        </is>
      </c>
      <c r="I319" t="n">
        <v>0</v>
      </c>
      <c r="J319" t="n">
        <v>0</v>
      </c>
      <c r="K319" t="n">
        <v>0</v>
      </c>
      <c r="L319" t="n">
        <v>0</v>
      </c>
      <c r="M319" t="n">
        <v>0</v>
      </c>
      <c r="N319" t="n">
        <v>1.197748682101763</v>
      </c>
      <c r="O319" t="n">
        <v>1.382024983764634</v>
      </c>
      <c r="P319" t="n">
        <v>5.663915866105449</v>
      </c>
      <c r="Q319" t="n">
        <v>3.588667448556498</v>
      </c>
      <c r="R319" t="inlineStr">
        <is>
          <t>Operationnel</t>
        </is>
      </c>
      <c r="S319" t="inlineStr"/>
      <c r="T319" t="inlineStr"/>
      <c r="U319" t="inlineStr"/>
      <c r="V319" t="inlineStr"/>
      <c r="W319" t="inlineStr"/>
      <c r="X319" t="inlineStr">
        <is>
          <t>{05-25-2026 ticket}: INC-20260525-00020211..Grid Outage</t>
        </is>
      </c>
      <c r="Y319" t="inlineStr">
        <is>
          <t>.Grid Outage</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{05-25-2026 ticket}: INC-20260525-00020211..Grid Outage</t>
        </is>
      </c>
      <c r="AR319" t="inlineStr"/>
    </row>
    <row r="320">
      <c r="A320" t="inlineStr">
        <is>
          <t>C-D-Billes</t>
        </is>
      </c>
      <c r="B320" t="inlineStr">
        <is>
          <t>LIT_084</t>
        </is>
      </c>
      <c r="C320" t="inlineStr">
        <is>
          <t>Douala</t>
        </is>
      </c>
      <c r="D320" t="inlineStr">
        <is>
          <t>IHS</t>
        </is>
      </c>
      <c r="E320" t="inlineStr">
        <is>
          <t>Grid-Gen</t>
        </is>
      </c>
      <c r="F320" t="inlineStr">
        <is>
          <t>LITTORAL</t>
        </is>
      </c>
      <c r="G320" t="inlineStr">
        <is>
          <t>Douala</t>
        </is>
      </c>
      <c r="H320" t="inlineStr">
        <is>
          <t>ZTE</t>
        </is>
      </c>
      <c r="I320" t="n">
        <v>0.0698778368475573</v>
      </c>
      <c r="J320" t="n">
        <v>0.5270087292007322</v>
      </c>
      <c r="K320" t="n">
        <v>0</v>
      </c>
      <c r="L320" t="n">
        <v>0</v>
      </c>
      <c r="M320" t="n">
        <v>0</v>
      </c>
      <c r="N320" t="n">
        <v>1.54708163974917</v>
      </c>
      <c r="O320" t="n">
        <v>1.324436182257718</v>
      </c>
      <c r="P320" t="n">
        <v>5.540452691921287</v>
      </c>
      <c r="Q320" t="n">
        <v>3.554834304988402</v>
      </c>
      <c r="R320" t="inlineStr">
        <is>
          <t>Operationnel</t>
        </is>
      </c>
      <c r="S320" t="inlineStr"/>
      <c r="T320" t="inlineStr"/>
      <c r="U320" t="inlineStr"/>
      <c r="V320" t="inlineStr"/>
      <c r="W320" t="inlineStr"/>
      <c r="X320" t="inlineStr">
        <is>
          <t>{05-25-2026 ticket}: INC-20260525-00025979..Grid Outage</t>
        </is>
      </c>
      <c r="Y320" t="inlineStr">
        <is>
          <t>.Grid Outage</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{05-25-2026 ticket}: INC-20260525-00025979..Grid Outage</t>
        </is>
      </c>
      <c r="AR320" t="inlineStr"/>
    </row>
    <row r="321">
      <c r="A321" t="inlineStr">
        <is>
          <t>Mehanda</t>
        </is>
      </c>
      <c r="B321" t="inlineStr">
        <is>
          <t>CTR_635</t>
        </is>
      </c>
      <c r="C321" t="inlineStr">
        <is>
          <t>Yaounde</t>
        </is>
      </c>
      <c r="D321" t="inlineStr">
        <is>
          <t>HIS</t>
        </is>
      </c>
      <c r="E321" t="inlineStr">
        <is>
          <t>Grid-Gen</t>
        </is>
      </c>
      <c r="F321" t="inlineStr">
        <is>
          <t>CENTRE</t>
        </is>
      </c>
      <c r="G321" t="inlineStr">
        <is>
          <t>Yaounde</t>
        </is>
      </c>
      <c r="H321" t="inlineStr">
        <is>
          <t>ZTE</t>
        </is>
      </c>
      <c r="I321" t="n">
        <v>0</v>
      </c>
      <c r="J321" t="n">
        <v>0</v>
      </c>
      <c r="K321" t="n">
        <v>0</v>
      </c>
      <c r="L321" t="n">
        <v>0</v>
      </c>
      <c r="M321" t="n">
        <v>0</v>
      </c>
      <c r="N321" t="n">
        <v>1.370229488147908</v>
      </c>
      <c r="O321" t="n">
        <v>0.0561012678886549</v>
      </c>
      <c r="P321" t="n">
        <v>6.378394861086488</v>
      </c>
      <c r="Q321" t="n">
        <v>3.540762428195975</v>
      </c>
      <c r="R321" t="inlineStr">
        <is>
          <t>Operationnel</t>
        </is>
      </c>
      <c r="S321" t="inlineStr"/>
      <c r="T321" t="inlineStr"/>
      <c r="U321" t="inlineStr"/>
      <c r="V321" t="inlineStr"/>
      <c r="W321" t="inlineStr"/>
      <c r="X321" t="inlineStr">
        <is>
          <t>{05-25-2026 ticket}: INC-20260525-00022970..Grid Outage</t>
        </is>
      </c>
      <c r="Y321" t="inlineStr">
        <is>
          <t>.Grid Outage</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{05-25-2026 ticket}: INC-20260525-00022970..Grid Outage</t>
        </is>
      </c>
      <c r="AR321" t="inlineStr"/>
    </row>
    <row r="322">
      <c r="A322" t="inlineStr">
        <is>
          <t>Mehanda-II</t>
        </is>
      </c>
      <c r="B322" t="inlineStr">
        <is>
          <t>CTR_763</t>
        </is>
      </c>
      <c r="C322" t="inlineStr">
        <is>
          <t>Yaounde</t>
        </is>
      </c>
      <c r="D322" t="inlineStr">
        <is>
          <t>CAMUSAT</t>
        </is>
      </c>
      <c r="E322" t="inlineStr">
        <is>
          <t>Good Grid + GE</t>
        </is>
      </c>
      <c r="F322" t="inlineStr">
        <is>
          <t>CENTRE</t>
        </is>
      </c>
      <c r="G322" t="inlineStr">
        <is>
          <t>Yaounde</t>
        </is>
      </c>
      <c r="H322" t="inlineStr">
        <is>
          <t>ZTE</t>
        </is>
      </c>
      <c r="I322" t="n">
        <v>0</v>
      </c>
      <c r="J322" t="n">
        <v>0</v>
      </c>
      <c r="K322" t="n">
        <v>0</v>
      </c>
      <c r="L322" t="n">
        <v>0</v>
      </c>
      <c r="M322" t="n">
        <v>0</v>
      </c>
      <c r="N322" t="n">
        <v>3.269891370813999</v>
      </c>
      <c r="O322" t="n">
        <v>1.918280853147281</v>
      </c>
      <c r="P322" t="n">
        <v>4.615607496273533</v>
      </c>
      <c r="Q322" t="n">
        <v>3.517915692871391</v>
      </c>
      <c r="R322" t="inlineStr">
        <is>
          <t>Operationnel</t>
        </is>
      </c>
      <c r="S322" t="inlineStr"/>
      <c r="T322" t="inlineStr"/>
      <c r="U322" t="inlineStr"/>
      <c r="V322" t="inlineStr"/>
      <c r="W322" t="inlineStr"/>
      <c r="X322" t="inlineStr">
        <is>
          <t>{05-25-2026 ticket}: INC-20260525-00022780..Auto TT closure RCA..Others Transmission equipement fault</t>
        </is>
      </c>
      <c r="Y322" t="inlineStr">
        <is>
          <t>.Auto TT closure RCA.</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{05-25-2026 ticket}: INC-20260525-00022780..Auto TT closure RCA..Others Transmission equipement fault</t>
        </is>
      </c>
      <c r="AR322" t="inlineStr"/>
    </row>
    <row r="323">
      <c r="A323" t="inlineStr">
        <is>
          <t>Zemda</t>
        </is>
      </c>
      <c r="B323" t="inlineStr">
        <is>
          <t>OST_262</t>
        </is>
      </c>
      <c r="C323" t="inlineStr">
        <is>
          <t>NORD-OUEST</t>
        </is>
      </c>
      <c r="D323" t="inlineStr">
        <is>
          <t>CAMUSAT</t>
        </is>
      </c>
      <c r="E323" t="inlineStr">
        <is>
          <t>Hybrid Solar - S3</t>
        </is>
      </c>
      <c r="F323" t="inlineStr">
        <is>
          <t>OUEST</t>
        </is>
      </c>
      <c r="G323" t="inlineStr">
        <is>
          <t>Zemda</t>
        </is>
      </c>
      <c r="H323" t="inlineStr">
        <is>
          <t>NOKIA</t>
        </is>
      </c>
      <c r="I323" t="n">
        <v>1.738493607241892</v>
      </c>
      <c r="J323" t="n">
        <v>0.000160515704856476</v>
      </c>
      <c r="K323" t="n">
        <v>0.0001605829976917231</v>
      </c>
      <c r="L323" t="n">
        <v>0.0001783507831739459</v>
      </c>
      <c r="M323" t="n">
        <v>0.0001961858614912421</v>
      </c>
      <c r="N323" t="n">
        <v>4.605399885695559</v>
      </c>
      <c r="O323" t="n">
        <v>4.542130777155562</v>
      </c>
      <c r="P323" t="n">
        <v>2.525899222311963</v>
      </c>
      <c r="Q323" t="n">
        <v>3.499723912987646</v>
      </c>
      <c r="R323" t="inlineStr">
        <is>
          <t>Operationnel</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row>
    <row r="324">
      <c r="A324" t="inlineStr">
        <is>
          <t>Eleveur</t>
        </is>
      </c>
      <c r="B324" t="inlineStr">
        <is>
          <t>CTR_254</t>
        </is>
      </c>
      <c r="C324" t="inlineStr">
        <is>
          <t>Yaounde</t>
        </is>
      </c>
      <c r="D324" t="inlineStr">
        <is>
          <t>IHS</t>
        </is>
      </c>
      <c r="E324" t="inlineStr">
        <is>
          <t>Grid-Gen</t>
        </is>
      </c>
      <c r="F324" t="inlineStr">
        <is>
          <t>CENTRE</t>
        </is>
      </c>
      <c r="G324" t="inlineStr">
        <is>
          <t>Yaounde</t>
        </is>
      </c>
      <c r="H324" t="inlineStr">
        <is>
          <t>ZTE</t>
        </is>
      </c>
      <c r="I324" t="n">
        <v>0</v>
      </c>
      <c r="J324" t="n">
        <v>0</v>
      </c>
      <c r="K324" t="n">
        <v>0</v>
      </c>
      <c r="L324" t="n">
        <v>0</v>
      </c>
      <c r="M324" t="n">
        <v>0</v>
      </c>
      <c r="N324" t="n">
        <v>1.584550315935878</v>
      </c>
      <c r="O324" t="n">
        <v>1.573066801309709</v>
      </c>
      <c r="P324" t="n">
        <v>5.240242236799769</v>
      </c>
      <c r="Q324" t="n">
        <v>3.48709667753893</v>
      </c>
      <c r="R324" t="inlineStr">
        <is>
          <t>Operationnel</t>
        </is>
      </c>
      <c r="S324" t="inlineStr"/>
      <c r="T324" t="inlineStr"/>
      <c r="U324" t="inlineStr"/>
      <c r="V324" t="inlineStr"/>
      <c r="W324" t="inlineStr"/>
      <c r="X324" t="inlineStr">
        <is>
          <t>{05-25-2026 ticket}: INC-20260525-00016784..Power fluctuation in site..Grid Outage</t>
        </is>
      </c>
      <c r="Y324" t="inlineStr">
        <is>
          <t>.Power fluctuation in site.Grid Outage</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is>
          <t>{05-25-2026 ticket}: INC-20260525-00016784..Power fluctuation in site..Grid Outage</t>
        </is>
      </c>
      <c r="AR324" t="inlineStr"/>
    </row>
    <row r="325">
      <c r="A325" t="inlineStr">
        <is>
          <t>Dakana</t>
        </is>
      </c>
      <c r="B325" t="inlineStr">
        <is>
          <t>EXN_211</t>
        </is>
      </c>
      <c r="C325" t="inlineStr">
        <is>
          <t>EXTREME-NORD</t>
        </is>
      </c>
      <c r="D325" t="inlineStr">
        <is>
          <t>IHS</t>
        </is>
      </c>
      <c r="E325" t="inlineStr">
        <is>
          <t>Hybrid-Gen</t>
        </is>
      </c>
      <c r="F325" t="inlineStr">
        <is>
          <t>EXTREME-NORD</t>
        </is>
      </c>
      <c r="G325" t="inlineStr">
        <is>
          <t>Dakana</t>
        </is>
      </c>
      <c r="H325" t="inlineStr">
        <is>
          <t>NOKIA</t>
        </is>
      </c>
      <c r="I325" t="n">
        <v>0</v>
      </c>
      <c r="J325" t="n">
        <v>0</v>
      </c>
      <c r="K325" t="n">
        <v>1.735849341933244</v>
      </c>
      <c r="L325" t="n">
        <v>5.030836407372485</v>
      </c>
      <c r="M325" t="n">
        <v>0.5752145636158569</v>
      </c>
      <c r="N325" t="n">
        <v>0</v>
      </c>
      <c r="O325" t="n">
        <v>10.35808350526897</v>
      </c>
      <c r="P325" t="n">
        <v>0</v>
      </c>
      <c r="Q325" t="n">
        <v>3.477328103024728</v>
      </c>
      <c r="R325" t="inlineStr">
        <is>
          <t>Insecurity</t>
        </is>
      </c>
      <c r="S325" t="inlineStr"/>
      <c r="T325" t="inlineStr"/>
      <c r="U325" t="inlineStr"/>
      <c r="V325" t="inlineStr"/>
      <c r="W325" t="inlineStr"/>
      <c r="X325" t="inlineStr">
        <is>
          <t>{05-25-2026 ocm ran 22H}: 25.05.26: Besoin d'un FME sur site pour vérifier le statut du MPR; CM-20260525-00003819; FME Yanoussa activé pour investigations, update ASAP     ;    {05-25-2026 ocm ran 17H}: 25.05.26: BO TRANS analysis ongoing     ;    {05-25-2026 ticket}: INC-20260525-00010858..25.05.26: Besoin d'un FME sur site pour vérifier le statut du MPR; CM-20260525-00003819; FME Yanoussa activé pour investigations, update ASAP..Others Transmission equipement fault..user:ndzie mbene lionnel</t>
        </is>
      </c>
      <c r="Y325" t="inlineStr">
        <is>
          <t>25.05.26 Besoin d'un FME sur site pour vérifier le statut du MPR; FME Yanoussa activé pour investigations, update ASAP 25.05.26 BO TRANS analysis ongoing .25.05.26 Besoin d'un FME sur site pour vérifier le statut du MPR; FME Yanoussa activé pour investigations, update ASAP.user ndzie mbene lionnel</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{05-25-2026 ocm ran 22H}: 25.05.26: Besoin d'un FME sur site pour vérifier le statut du MPR; CM-20260525-00003819; FME Yanoussa activé pour investigations, update ASAP</t>
        </is>
      </c>
      <c r="AP325" t="inlineStr">
        <is>
          <t>{05-25-2026 ocm ran 17H}: 25.05.26: BO TRANS analysis ongoing</t>
        </is>
      </c>
      <c r="AQ325" t="inlineStr">
        <is>
          <t>{05-25-2026 ticket}: INC-20260525-00010858..25.05.26: Besoin d'un FME sur site pour vérifier le statut du MPR; CM-20260525-00003819; FME Yanoussa activé pour investigations, update ASAP..Others Transmission equipement fault..user:ndzie mbene lionnel</t>
        </is>
      </c>
      <c r="AR325" t="inlineStr"/>
    </row>
    <row r="326">
      <c r="A326" t="inlineStr">
        <is>
          <t>Mendji-IHS</t>
        </is>
      </c>
      <c r="B326" t="inlineStr">
        <is>
          <t>NRO_087</t>
        </is>
      </c>
      <c r="C326" t="inlineStr">
        <is>
          <t>NORD-OUEST</t>
        </is>
      </c>
      <c r="D326" t="inlineStr">
        <is>
          <t>IHS</t>
        </is>
      </c>
      <c r="E326" t="inlineStr">
        <is>
          <t>Hybrid-Gen</t>
        </is>
      </c>
      <c r="F326" t="inlineStr">
        <is>
          <t>NORD-OUEST</t>
        </is>
      </c>
      <c r="G326" t="inlineStr">
        <is>
          <t>Mendji</t>
        </is>
      </c>
      <c r="H326" t="inlineStr">
        <is>
          <t>NOKIA</t>
        </is>
      </c>
      <c r="I326" t="n">
        <v>0</v>
      </c>
      <c r="J326" t="n">
        <v>4.346515596419287</v>
      </c>
      <c r="K326" t="n">
        <v>0</v>
      </c>
      <c r="L326" t="n">
        <v>0</v>
      </c>
      <c r="M326" t="n">
        <v>0</v>
      </c>
      <c r="N326" t="n">
        <v>12.10900187443298</v>
      </c>
      <c r="O326" t="n">
        <v>5.155897773289676</v>
      </c>
      <c r="P326" t="n">
        <v>0</v>
      </c>
      <c r="Q326" t="n">
        <v>3.460058698809759</v>
      </c>
      <c r="R326" t="inlineStr">
        <is>
          <t>Insecurity</t>
        </is>
      </c>
      <c r="S326" t="inlineStr"/>
      <c r="T326" t="inlineStr"/>
      <c r="U326" t="inlineStr"/>
      <c r="V326" t="inlineStr"/>
      <c r="W326" t="inlineStr"/>
      <c r="X326" t="inlineStr">
        <is>
          <t>{None hourly IHS}: 25/05/2026 15:05..7:54:13..FME Brice is managing with level 0     ;    {05-25-2026 ocm ran 22H}: 25.05.26: IHS: FME Brice is managing with level 0     ;    {05-25-2026 ocm ran 17H}: Power status check Ongoing     ;    {05-25-2026 ticket}: INC-20260525-00014565..No access for this site for now</t>
        </is>
      </c>
      <c r="Y326" t="inlineStr">
        <is>
          <t>25/05/2026 15 05.7 54 13.FME Brice is managing with level 0 25.05.26 IHS FME Brice is managing with level 0 .No access for this site for now</t>
        </is>
      </c>
      <c r="Z326" t="inlineStr"/>
      <c r="AA326" t="inlineStr"/>
      <c r="AB326" t="inlineStr"/>
      <c r="AC326" t="inlineStr"/>
      <c r="AD326" t="inlineStr"/>
      <c r="AE326" t="inlineStr">
        <is>
          <t>{None hourly IHS}: 25/05/2026 15:05..7:54:13..FME Brice is managing with level 0</t>
        </is>
      </c>
      <c r="AF326" t="inlineStr"/>
      <c r="AG326" t="inlineStr"/>
      <c r="AH326" t="inlineStr"/>
      <c r="AI326" t="inlineStr"/>
      <c r="AJ326" t="inlineStr"/>
      <c r="AK326" t="inlineStr"/>
      <c r="AL326" t="inlineStr"/>
      <c r="AM326" t="inlineStr"/>
      <c r="AN326" t="inlineStr"/>
      <c r="AO326" t="inlineStr">
        <is>
          <t>{05-25-2026 ocm ran 22H}: 25.05.26: IHS: FME Brice is managing with level 0</t>
        </is>
      </c>
      <c r="AP326" t="inlineStr">
        <is>
          <t>{05-25-2026 ocm ran 17H}: Power status check Ongoing</t>
        </is>
      </c>
      <c r="AQ326" t="inlineStr">
        <is>
          <t>{05-25-2026 ticket}: INC-20260525-00014565..No access for this site for now</t>
        </is>
      </c>
      <c r="AR326" t="inlineStr"/>
    </row>
    <row r="327">
      <c r="A327" t="inlineStr">
        <is>
          <t>Dschang-Vallee</t>
        </is>
      </c>
      <c r="B327" t="inlineStr">
        <is>
          <t>OST_096</t>
        </is>
      </c>
      <c r="C327" t="inlineStr">
        <is>
          <t>OUEST</t>
        </is>
      </c>
      <c r="D327" t="inlineStr">
        <is>
          <t>IHS</t>
        </is>
      </c>
      <c r="E327" t="inlineStr">
        <is>
          <t>Grid-Gen</t>
        </is>
      </c>
      <c r="F327" t="inlineStr">
        <is>
          <t>OUEST</t>
        </is>
      </c>
      <c r="G327" t="inlineStr">
        <is>
          <t>Dschang</t>
        </is>
      </c>
      <c r="H327" t="inlineStr">
        <is>
          <t>Huawei</t>
        </is>
      </c>
      <c r="I327" t="n">
        <v>0</v>
      </c>
      <c r="J327" t="n">
        <v>0</v>
      </c>
      <c r="K327" t="n">
        <v>0</v>
      </c>
      <c r="L327" t="n">
        <v>0</v>
      </c>
      <c r="M327" t="n">
        <v>3.033390120222696</v>
      </c>
      <c r="N327" t="n">
        <v>0.1255200652254715</v>
      </c>
      <c r="O327" t="n">
        <v>8.328010088027987</v>
      </c>
      <c r="P327" t="n">
        <v>1.235486749973187</v>
      </c>
      <c r="Q327" t="n">
        <v>3.458025499881574</v>
      </c>
      <c r="R327" t="inlineStr">
        <is>
          <t>Operationnel</t>
        </is>
      </c>
      <c r="S327" t="inlineStr"/>
      <c r="T327" t="inlineStr"/>
      <c r="U327" t="inlineStr"/>
      <c r="V327" t="inlineStr"/>
      <c r="W327" t="inlineStr"/>
      <c r="X327" t="inlineStr">
        <is>
          <t>{05-25-2026 top offenders}: 25/05/2026 : Besoin d'analyse BO RAN || Fme should check and replace SFP , optical fiber between BBU and RRU 60&amp;61 || Fme active ETA 17h || Up without action     ;    {05-25-2026 retour IHS}: IHS     ;    {05/25/2026 cell huawei}: 25/05/2026 : Besoin d'analyse BO RAN || Fme should check and replace SFP , optical fiber between BBU and RRU 60&amp;61 || Fme active ETA 17h || Up without action</t>
        </is>
      </c>
      <c r="Y327" t="inlineStr">
        <is>
          <t>25/05/2026 Besoin d'analyse BO RAN || Fme should check and replace SFP , optical fiber between BBU and RRU 60&amp;61 || Fme active ETA 17h || Up without action IHS 25/05/2026 Besoin d'analyse BO RAN || Fme should check and replace SFP , optical fiber between BBU and RRU 60&amp;61 || Fme active ETA 17h || Up without action</t>
        </is>
      </c>
      <c r="Z327" t="inlineStr"/>
      <c r="AA327" t="inlineStr"/>
      <c r="AB327" t="inlineStr">
        <is>
          <t>{05-25-2026 top offenders}: 25/05/2026 : Besoin d'analyse BO RAN || Fme should check and replace SFP , optical fiber between BBU and RRU 60&amp;61 || Fme active ETA 17h || Up without action</t>
        </is>
      </c>
      <c r="AC327" t="inlineStr"/>
      <c r="AD327" t="inlineStr">
        <is>
          <t>{05-25-2026 retour IHS}: IHS</t>
        </is>
      </c>
      <c r="AE327" t="inlineStr"/>
      <c r="AF327" t="inlineStr"/>
      <c r="AG327" t="inlineStr"/>
      <c r="AH327" t="inlineStr"/>
      <c r="AI327" t="inlineStr"/>
      <c r="AJ327" t="inlineStr"/>
      <c r="AK327" t="inlineStr"/>
      <c r="AL327" t="inlineStr"/>
      <c r="AM327" t="inlineStr">
        <is>
          <t>{05/25/2026 cell huawei}: 25/05/2026 : Besoin d'analyse BO RAN || Fme should check and replace SFP , optical fiber between BBU and RRU 60&amp;61 || Fme active ETA 17h || Up without action</t>
        </is>
      </c>
      <c r="AN327" t="inlineStr"/>
      <c r="AO327" t="inlineStr"/>
      <c r="AP327" t="inlineStr"/>
      <c r="AQ327" t="inlineStr"/>
      <c r="AR327" t="inlineStr"/>
    </row>
    <row r="328">
      <c r="A328" t="inlineStr">
        <is>
          <t>Nkolfoulou-I</t>
        </is>
      </c>
      <c r="B328" t="inlineStr">
        <is>
          <t>CTR_671</t>
        </is>
      </c>
      <c r="C328" t="inlineStr">
        <is>
          <t>Yaounde</t>
        </is>
      </c>
      <c r="D328" t="inlineStr">
        <is>
          <t>CAMUSAT</t>
        </is>
      </c>
      <c r="E328" t="inlineStr">
        <is>
          <t>Good Grid + GE</t>
        </is>
      </c>
      <c r="F328" t="inlineStr">
        <is>
          <t>CENTRE</t>
        </is>
      </c>
      <c r="G328" t="inlineStr">
        <is>
          <t>Yaounde</t>
        </is>
      </c>
      <c r="H328" t="inlineStr">
        <is>
          <t>ZTE</t>
        </is>
      </c>
      <c r="I328" t="n">
        <v>11.81795093498615</v>
      </c>
      <c r="J328" t="n">
        <v>3.250157662092326</v>
      </c>
      <c r="K328" t="n">
        <v>0</v>
      </c>
      <c r="L328" t="n">
        <v>0</v>
      </c>
      <c r="M328" t="n">
        <v>0</v>
      </c>
      <c r="N328" t="n">
        <v>1.584925002697745</v>
      </c>
      <c r="O328" t="n">
        <v>1.347386700939441</v>
      </c>
      <c r="P328" t="n">
        <v>5.240002834522957</v>
      </c>
      <c r="Q328" t="n">
        <v>3.411261924533362</v>
      </c>
      <c r="R328" t="inlineStr">
        <is>
          <t>Operationnel</t>
        </is>
      </c>
      <c r="S328" t="inlineStr"/>
      <c r="T328" t="inlineStr"/>
      <c r="U328" t="inlineStr"/>
      <c r="V328" t="inlineStr"/>
      <c r="W328" t="inlineStr"/>
      <c r="X328" t="inlineStr">
        <is>
          <t>{05-25-2026 retour CAMUSAT}: No power issue      ;    {05-25-2026 ticket}: INC-20260525-00017015..Auto TT closure RCA..Grid Outage</t>
        </is>
      </c>
      <c r="Y328" t="inlineStr">
        <is>
          <t>No power issue .Auto TT closure RCA.Grid Outage</t>
        </is>
      </c>
      <c r="Z328" t="inlineStr"/>
      <c r="AA328" t="inlineStr"/>
      <c r="AB328" t="inlineStr"/>
      <c r="AC328" t="inlineStr">
        <is>
          <t xml:space="preserve">{05-25-2026 retour CAMUSAT}: No power issue </t>
        </is>
      </c>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is>
          <t>{05-25-2026 ticket}: INC-20260525-00017015..Auto TT closure RCA..Grid Outage</t>
        </is>
      </c>
      <c r="AR328" t="inlineStr"/>
    </row>
    <row r="329">
      <c r="A329" t="inlineStr">
        <is>
          <t>NR-Bastos</t>
        </is>
      </c>
      <c r="B329" t="inlineStr">
        <is>
          <t>CTR_038</t>
        </is>
      </c>
      <c r="C329" t="inlineStr">
        <is>
          <t>Yaounde</t>
        </is>
      </c>
      <c r="D329" t="inlineStr">
        <is>
          <t>IHS</t>
        </is>
      </c>
      <c r="E329" t="inlineStr">
        <is>
          <t>GridOnly</t>
        </is>
      </c>
      <c r="F329" t="inlineStr">
        <is>
          <t>CENTRE</t>
        </is>
      </c>
      <c r="G329" t="inlineStr">
        <is>
          <t>Yaounde</t>
        </is>
      </c>
      <c r="H329" t="inlineStr">
        <is>
          <t>ZTE</t>
        </is>
      </c>
      <c r="I329" t="n">
        <v>0</v>
      </c>
      <c r="J329" t="n">
        <v>0</v>
      </c>
      <c r="K329" t="n">
        <v>0.694979496793966</v>
      </c>
      <c r="L329" t="n">
        <v>0</v>
      </c>
      <c r="M329" t="n">
        <v>0</v>
      </c>
      <c r="N329" t="n">
        <v>1.646373631643946</v>
      </c>
      <c r="O329" t="n">
        <v>1.411138141722004</v>
      </c>
      <c r="P329" t="n">
        <v>5.173825205147232</v>
      </c>
      <c r="Q329" t="n">
        <v>3.406928000502237</v>
      </c>
      <c r="R329" t="inlineStr">
        <is>
          <t>Operationnel</t>
        </is>
      </c>
      <c r="S329" t="inlineStr"/>
      <c r="T329" t="inlineStr"/>
      <c r="U329" t="inlineStr"/>
      <c r="V329" t="inlineStr"/>
      <c r="W329" t="inlineStr"/>
      <c r="X329" t="inlineStr">
        <is>
          <t>{05-25-2026 top offenders}: IHS feedback : Grid outage, No space to deploy MDG // awaiting grid return     ;    {05-25-2026 retour IHS}: IHS     ;    {05-25-2026 ticket}: INC-20260525-00026088..user:OCM_NOC.IHS</t>
        </is>
      </c>
      <c r="Y329" t="inlineStr">
        <is>
          <t>IHS feedback Grid outage, No space to deploy MDG // awaiting grid return IHS .user OCM_NOC.IHS</t>
        </is>
      </c>
      <c r="Z329" t="inlineStr"/>
      <c r="AA329" t="inlineStr"/>
      <c r="AB329" t="inlineStr">
        <is>
          <t>{05-25-2026 top offenders}: IHS feedback : Grid outage, No space to deploy MDG // awaiting grid return</t>
        </is>
      </c>
      <c r="AC329" t="inlineStr"/>
      <c r="AD329" t="inlineStr">
        <is>
          <t>{05-25-2026 retour IHS}: IHS</t>
        </is>
      </c>
      <c r="AE329" t="inlineStr"/>
      <c r="AF329" t="inlineStr"/>
      <c r="AG329" t="inlineStr"/>
      <c r="AH329" t="inlineStr"/>
      <c r="AI329" t="inlineStr"/>
      <c r="AJ329" t="inlineStr"/>
      <c r="AK329" t="inlineStr"/>
      <c r="AL329" t="inlineStr"/>
      <c r="AM329" t="inlineStr"/>
      <c r="AN329" t="inlineStr"/>
      <c r="AO329" t="inlineStr"/>
      <c r="AP329" t="inlineStr"/>
      <c r="AQ329" t="inlineStr">
        <is>
          <t>{05-25-2026 ticket}: INC-20260525-00026088..user:OCM_NOC.IHS</t>
        </is>
      </c>
      <c r="AR329" t="inlineStr"/>
    </row>
    <row r="330">
      <c r="A330" t="inlineStr">
        <is>
          <t>Bafia-Lable</t>
        </is>
      </c>
      <c r="B330" t="inlineStr">
        <is>
          <t>CTR_362</t>
        </is>
      </c>
      <c r="C330" t="inlineStr">
        <is>
          <t>CENTRE</t>
        </is>
      </c>
      <c r="D330" t="inlineStr">
        <is>
          <t>IHS</t>
        </is>
      </c>
      <c r="E330" t="inlineStr">
        <is>
          <t>Grid-Gen</t>
        </is>
      </c>
      <c r="F330" t="inlineStr">
        <is>
          <t>CENTRE</t>
        </is>
      </c>
      <c r="G330" t="inlineStr">
        <is>
          <t>Bafia</t>
        </is>
      </c>
      <c r="H330" t="inlineStr">
        <is>
          <t>ZTE</t>
        </is>
      </c>
      <c r="I330" t="n">
        <v>0.1049059306629235</v>
      </c>
      <c r="J330" t="n">
        <v>0.8324879506210895</v>
      </c>
      <c r="K330" t="n">
        <v>0</v>
      </c>
      <c r="L330" t="n">
        <v>2.554857133888647</v>
      </c>
      <c r="M330" t="n">
        <v>37.47189191657178</v>
      </c>
      <c r="N330" t="n">
        <v>1.878679424001535</v>
      </c>
      <c r="O330" t="n">
        <v>3.322246957781245</v>
      </c>
      <c r="P330" t="n">
        <v>3.878316884344895</v>
      </c>
      <c r="Q330" t="n">
        <v>3.406089751821316</v>
      </c>
      <c r="R330" t="inlineStr">
        <is>
          <t>Operationnel</t>
        </is>
      </c>
      <c r="S330" t="inlineStr"/>
      <c r="T330" t="inlineStr"/>
      <c r="U330" t="inlineStr"/>
      <c r="V330" t="inlineStr"/>
      <c r="W330" t="inlineStr"/>
      <c r="X330" t="inlineStr">
        <is>
          <t>{None hourly IHS}: 25/05/2026 06:32..0:28:00..25..Our FME FRANCIS is managung with level zero     ;    {05-25-2026 ticket}: INC-20260525-00004771..Grid Outage</t>
        </is>
      </c>
      <c r="Y330" t="inlineStr">
        <is>
          <t>25/05/2026 06 32.0 28 00.25.Our FME FRANCIS is managung with level zero .Grid Outage</t>
        </is>
      </c>
      <c r="Z330" t="inlineStr"/>
      <c r="AA330" t="inlineStr"/>
      <c r="AB330" t="inlineStr"/>
      <c r="AC330" t="inlineStr"/>
      <c r="AD330" t="inlineStr"/>
      <c r="AE330" t="inlineStr">
        <is>
          <t>{None hourly IHS}: 25/05/2026 06:32..0:28:00..25..Our FME FRANCIS is managung with level zero</t>
        </is>
      </c>
      <c r="AF330" t="inlineStr"/>
      <c r="AG330" t="inlineStr"/>
      <c r="AH330" t="inlineStr"/>
      <c r="AI330" t="inlineStr"/>
      <c r="AJ330" t="inlineStr"/>
      <c r="AK330" t="inlineStr"/>
      <c r="AL330" t="inlineStr"/>
      <c r="AM330" t="inlineStr"/>
      <c r="AN330" t="inlineStr"/>
      <c r="AO330" t="inlineStr"/>
      <c r="AP330" t="inlineStr"/>
      <c r="AQ330" t="inlineStr">
        <is>
          <t>{05-25-2026 ticket}: INC-20260525-00004771..Grid Outage</t>
        </is>
      </c>
      <c r="AR330" t="inlineStr"/>
    </row>
    <row r="331">
      <c r="A331" t="inlineStr">
        <is>
          <t>Beka-Hossere-MTN-IHS</t>
        </is>
      </c>
      <c r="B331" t="inlineStr">
        <is>
          <t>ADM_132</t>
        </is>
      </c>
      <c r="C331" t="inlineStr">
        <is>
          <t>Ngaoundere</t>
        </is>
      </c>
      <c r="D331" t="inlineStr">
        <is>
          <t>IHS</t>
        </is>
      </c>
      <c r="E331" t="inlineStr">
        <is>
          <t>Grid-Gen</t>
        </is>
      </c>
      <c r="F331" t="inlineStr">
        <is>
          <t>ADAMAOUA</t>
        </is>
      </c>
      <c r="G331" t="inlineStr">
        <is>
          <t>Ngaoundere</t>
        </is>
      </c>
      <c r="H331" t="inlineStr">
        <is>
          <t>Huawei</t>
        </is>
      </c>
      <c r="I331" t="n">
        <v>0</v>
      </c>
      <c r="J331" t="n">
        <v>0</v>
      </c>
      <c r="K331" t="n">
        <v>5.182962934426839</v>
      </c>
      <c r="L331" t="n">
        <v>3.521803739944583</v>
      </c>
      <c r="M331" t="n">
        <v>0</v>
      </c>
      <c r="N331" t="n">
        <v>5.878835293694472</v>
      </c>
      <c r="O331" t="n">
        <v>7.479478411212096</v>
      </c>
      <c r="P331" t="n">
        <v>0.1003779546344997</v>
      </c>
      <c r="Q331" t="n">
        <v>3.402790262332601</v>
      </c>
      <c r="R331" t="inlineStr">
        <is>
          <t>EXCLU</t>
        </is>
      </c>
      <c r="S331" t="inlineStr">
        <is>
          <t>enquete suite a un deces</t>
        </is>
      </c>
      <c r="T331" t="inlineStr"/>
      <c r="U331" t="inlineStr"/>
      <c r="V331" t="inlineStr"/>
      <c r="W331" t="inlineStr"/>
      <c r="X331" t="inlineStr">
        <is>
          <t>{None hourly IHS}: 25/05/2026 04:59..1:24:26..No comm..FME is informed and managing with L0.</t>
        </is>
      </c>
      <c r="Y331" t="inlineStr">
        <is>
          <t>25/05/2026 04 59.1 24 26.No comm.FME is informed and managing with L0.</t>
        </is>
      </c>
      <c r="Z331" t="inlineStr"/>
      <c r="AA331" t="inlineStr"/>
      <c r="AB331" t="inlineStr"/>
      <c r="AC331" t="inlineStr"/>
      <c r="AD331" t="inlineStr"/>
      <c r="AE331" t="inlineStr">
        <is>
          <t>{None hourly IHS}: 25/05/2026 04:59..1:24:26..No comm..FME is informed and managing with L0.</t>
        </is>
      </c>
      <c r="AF331" t="inlineStr"/>
      <c r="AG331" t="inlineStr"/>
      <c r="AH331" t="inlineStr"/>
      <c r="AI331" t="inlineStr"/>
      <c r="AJ331" t="inlineStr"/>
      <c r="AK331" t="inlineStr"/>
      <c r="AL331" t="inlineStr"/>
      <c r="AM331" t="inlineStr"/>
      <c r="AN331" t="inlineStr"/>
      <c r="AO331" t="inlineStr"/>
      <c r="AP331" t="inlineStr"/>
      <c r="AQ331" t="inlineStr"/>
      <c r="AR331" t="inlineStr"/>
    </row>
    <row r="332">
      <c r="A332" t="inlineStr">
        <is>
          <t>Dschang-Foto</t>
        </is>
      </c>
      <c r="B332" t="inlineStr">
        <is>
          <t>OST_105</t>
        </is>
      </c>
      <c r="C332" t="inlineStr">
        <is>
          <t>OUEST</t>
        </is>
      </c>
      <c r="D332" t="inlineStr">
        <is>
          <t>IHS</t>
        </is>
      </c>
      <c r="E332" t="inlineStr">
        <is>
          <t>Grid-Gen</t>
        </is>
      </c>
      <c r="F332" t="inlineStr">
        <is>
          <t>OUEST</t>
        </is>
      </c>
      <c r="G332" t="inlineStr">
        <is>
          <t>Dschang</t>
        </is>
      </c>
      <c r="H332" t="inlineStr">
        <is>
          <t>Huawei</t>
        </is>
      </c>
      <c r="I332" t="n">
        <v>0</v>
      </c>
      <c r="J332" t="n">
        <v>0</v>
      </c>
      <c r="K332" t="n">
        <v>0</v>
      </c>
      <c r="L332" t="n">
        <v>0</v>
      </c>
      <c r="M332" t="n">
        <v>4.58456038672157</v>
      </c>
      <c r="N332" t="n">
        <v>0.2210651895015767</v>
      </c>
      <c r="O332" t="n">
        <v>7.485800429089696</v>
      </c>
      <c r="P332" t="n">
        <v>1.620924415639563</v>
      </c>
      <c r="Q332" t="n">
        <v>3.389931170865757</v>
      </c>
      <c r="R332" t="inlineStr">
        <is>
          <t>Operationnel</t>
        </is>
      </c>
      <c r="S332" t="inlineStr"/>
      <c r="T332" t="inlineStr"/>
      <c r="U332" t="inlineStr"/>
      <c r="V332" t="inlineStr"/>
      <c r="W332" t="inlineStr"/>
      <c r="X332" t="inlineStr">
        <is>
          <t>{None hourly IHS}: 25/05/2026 04:54..1:29:48..49.8V..FME is informed and managing with L0.     ;    {05-25-2026 ticket}: INC-20260525-00008652..Auto TT closure RCA..Others</t>
        </is>
      </c>
      <c r="Y332" t="inlineStr">
        <is>
          <t>25/05/2026 04 54.1 29 48.49.8V.FME is informed and managing with L0. .Auto TT closure RCA.</t>
        </is>
      </c>
      <c r="Z332" t="inlineStr"/>
      <c r="AA332" t="inlineStr"/>
      <c r="AB332" t="inlineStr"/>
      <c r="AC332" t="inlineStr"/>
      <c r="AD332" t="inlineStr"/>
      <c r="AE332" t="inlineStr">
        <is>
          <t>{None hourly IHS}: 25/05/2026 04:54..1:29:48..49.8V..FME is informed and managing with L0.</t>
        </is>
      </c>
      <c r="AF332" t="inlineStr"/>
      <c r="AG332" t="inlineStr"/>
      <c r="AH332" t="inlineStr"/>
      <c r="AI332" t="inlineStr"/>
      <c r="AJ332" t="inlineStr"/>
      <c r="AK332" t="inlineStr"/>
      <c r="AL332" t="inlineStr"/>
      <c r="AM332" t="inlineStr"/>
      <c r="AN332" t="inlineStr"/>
      <c r="AO332" t="inlineStr"/>
      <c r="AP332" t="inlineStr"/>
      <c r="AQ332" t="inlineStr">
        <is>
          <t>{05-25-2026 ticket}: INC-20260525-00008652..Auto TT closure RCA..Others</t>
        </is>
      </c>
      <c r="AR332" t="inlineStr"/>
    </row>
    <row r="333">
      <c r="A333" t="inlineStr">
        <is>
          <t>Ngd-Madagascar</t>
        </is>
      </c>
      <c r="B333" t="inlineStr">
        <is>
          <t>ADM_135</t>
        </is>
      </c>
      <c r="C333" t="inlineStr">
        <is>
          <t>Ngaoundere</t>
        </is>
      </c>
      <c r="D333" t="inlineStr">
        <is>
          <t>IHS</t>
        </is>
      </c>
      <c r="E333" t="inlineStr">
        <is>
          <t>Grid-Gen</t>
        </is>
      </c>
      <c r="F333" t="inlineStr">
        <is>
          <t>ADAMAOUA</t>
        </is>
      </c>
      <c r="G333" t="inlineStr">
        <is>
          <t>Ngaoundere</t>
        </is>
      </c>
      <c r="H333" t="inlineStr">
        <is>
          <t>Huawei</t>
        </is>
      </c>
      <c r="I333" t="n">
        <v>0</v>
      </c>
      <c r="J333" t="n">
        <v>0</v>
      </c>
      <c r="K333" t="n">
        <v>0</v>
      </c>
      <c r="L333" t="n">
        <v>0.3760526263222926</v>
      </c>
      <c r="M333" t="n">
        <v>1.039428364337833</v>
      </c>
      <c r="N333" t="n">
        <v>5.880708727503807</v>
      </c>
      <c r="O333" t="n">
        <v>7.510450986192287</v>
      </c>
      <c r="P333" t="n">
        <v>0</v>
      </c>
      <c r="Q333" t="n">
        <v>3.361109684304846</v>
      </c>
      <c r="R333" t="inlineStr">
        <is>
          <t>Operationnel</t>
        </is>
      </c>
      <c r="S333" t="inlineStr"/>
      <c r="T333" t="inlineStr"/>
      <c r="U333" t="inlineStr"/>
      <c r="V333" t="inlineStr"/>
      <c r="W333" t="inlineStr"/>
      <c r="X333" t="inlineStr">
        <is>
          <t>{05-25-2026 top offenders}: Power status check Ongoing     ;    {None hourly IHS}: 25/05/2026 19:43..3:16:33..FME Joseph is managing with level 0     ;    {05-25-2026 ocm ran 22H}: Power status check Ongoing</t>
        </is>
      </c>
      <c r="Y333" t="inlineStr">
        <is>
          <t>25/05/2026 19 43.3 16 33.FME Joseph is managing with level 0</t>
        </is>
      </c>
      <c r="Z333" t="inlineStr"/>
      <c r="AA333" t="inlineStr"/>
      <c r="AB333" t="inlineStr">
        <is>
          <t>{05-25-2026 top offenders}: Power status check Ongoing</t>
        </is>
      </c>
      <c r="AC333" t="inlineStr"/>
      <c r="AD333" t="inlineStr"/>
      <c r="AE333" t="inlineStr">
        <is>
          <t>{None hourly IHS}: 25/05/2026 19:43..3:16:33..FME Joseph is managing with level 0</t>
        </is>
      </c>
      <c r="AF333" t="inlineStr"/>
      <c r="AG333" t="inlineStr"/>
      <c r="AH333" t="inlineStr"/>
      <c r="AI333" t="inlineStr"/>
      <c r="AJ333" t="inlineStr"/>
      <c r="AK333" t="inlineStr"/>
      <c r="AL333" t="inlineStr"/>
      <c r="AM333" t="inlineStr"/>
      <c r="AN333" t="inlineStr"/>
      <c r="AO333" t="inlineStr">
        <is>
          <t>{05-25-2026 ocm ran 22H}: Power status check Ongoing</t>
        </is>
      </c>
      <c r="AP333" t="inlineStr"/>
      <c r="AQ333" t="inlineStr"/>
      <c r="AR333" t="inlineStr"/>
    </row>
    <row r="334">
      <c r="A334" t="inlineStr">
        <is>
          <t>Nkwein-Ntambang</t>
        </is>
      </c>
      <c r="B334" t="inlineStr">
        <is>
          <t>NRO_222</t>
        </is>
      </c>
      <c r="C334" t="inlineStr">
        <is>
          <t>NORD-OUEST</t>
        </is>
      </c>
      <c r="D334" t="inlineStr">
        <is>
          <t>IHS</t>
        </is>
      </c>
      <c r="E334" t="inlineStr">
        <is>
          <t>Grid-Gen</t>
        </is>
      </c>
      <c r="F334" t="inlineStr">
        <is>
          <t>NORD-OUEST</t>
        </is>
      </c>
      <c r="G334" t="inlineStr">
        <is>
          <t>Bamenda</t>
        </is>
      </c>
      <c r="H334" t="inlineStr">
        <is>
          <t>Huawei</t>
        </is>
      </c>
      <c r="I334" t="n">
        <v>1.394970650595121</v>
      </c>
      <c r="J334" t="n">
        <v>0</v>
      </c>
      <c r="K334" t="n">
        <v>3.697033384412997</v>
      </c>
      <c r="L334" t="n">
        <v>0</v>
      </c>
      <c r="M334" t="n">
        <v>0</v>
      </c>
      <c r="N334" t="n">
        <v>4.563684759541023</v>
      </c>
      <c r="O334" t="n">
        <v>7.771300631394268</v>
      </c>
      <c r="P334" t="n">
        <v>0</v>
      </c>
      <c r="Q334" t="n">
        <v>3.260609017986319</v>
      </c>
      <c r="R334" t="inlineStr">
        <is>
          <t>Operationnel</t>
        </is>
      </c>
      <c r="S334" t="inlineStr"/>
      <c r="T334" t="inlineStr"/>
      <c r="U334" t="inlineStr"/>
      <c r="V334" t="inlineStr"/>
      <c r="W334" t="inlineStr"/>
      <c r="X334" t="inlineStr">
        <is>
          <t>{05-25-2026 top offenders}: UP sans action     ;    {05-25-2026 ocm ran 22H}: Power status check Ongoing</t>
        </is>
      </c>
      <c r="Y334" t="inlineStr">
        <is>
          <t>UP sans action</t>
        </is>
      </c>
      <c r="Z334" t="inlineStr"/>
      <c r="AA334" t="inlineStr"/>
      <c r="AB334" t="inlineStr">
        <is>
          <t>{05-25-2026 top offenders}: UP sans action</t>
        </is>
      </c>
      <c r="AC334" t="inlineStr"/>
      <c r="AD334" t="inlineStr"/>
      <c r="AE334" t="inlineStr"/>
      <c r="AF334" t="inlineStr"/>
      <c r="AG334" t="inlineStr"/>
      <c r="AH334" t="inlineStr"/>
      <c r="AI334" t="inlineStr"/>
      <c r="AJ334" t="inlineStr"/>
      <c r="AK334" t="inlineStr"/>
      <c r="AL334" t="inlineStr"/>
      <c r="AM334" t="inlineStr"/>
      <c r="AN334" t="inlineStr"/>
      <c r="AO334" t="inlineStr">
        <is>
          <t>{05-25-2026 ocm ran 22H}: Power status check Ongoing</t>
        </is>
      </c>
      <c r="AP334" t="inlineStr"/>
      <c r="AQ334" t="inlineStr"/>
      <c r="AR334" t="inlineStr"/>
    </row>
    <row r="335">
      <c r="A335" t="inlineStr">
        <is>
          <t>Kumba-Fiango-IHS</t>
        </is>
      </c>
      <c r="B335" t="inlineStr">
        <is>
          <t>SUO_110</t>
        </is>
      </c>
      <c r="C335" t="inlineStr">
        <is>
          <t>SUD-OUEST</t>
        </is>
      </c>
      <c r="D335" t="inlineStr">
        <is>
          <t>IHS</t>
        </is>
      </c>
      <c r="E335" t="inlineStr">
        <is>
          <t>Grid-Gen</t>
        </is>
      </c>
      <c r="F335" t="inlineStr">
        <is>
          <t>SUD-OUEST</t>
        </is>
      </c>
      <c r="G335" t="inlineStr">
        <is>
          <t>Kumba</t>
        </is>
      </c>
      <c r="H335" t="inlineStr">
        <is>
          <t>Huawei</t>
        </is>
      </c>
      <c r="I335" t="n">
        <v>0</v>
      </c>
      <c r="J335" t="n">
        <v>0.6607539815028834</v>
      </c>
      <c r="K335" t="n">
        <v>0</v>
      </c>
      <c r="L335" t="n">
        <v>0</v>
      </c>
      <c r="M335" t="n">
        <v>0</v>
      </c>
      <c r="N335" t="n">
        <v>4.451903208917345</v>
      </c>
      <c r="O335" t="n">
        <v>7.592530966199837</v>
      </c>
      <c r="P335" t="n">
        <v>0.1429573595816725</v>
      </c>
      <c r="Q335" t="n">
        <v>3.259182211720928</v>
      </c>
      <c r="R335" t="inlineStr">
        <is>
          <t>Operationnel</t>
        </is>
      </c>
      <c r="S335" t="inlineStr"/>
      <c r="T335" t="inlineStr"/>
      <c r="U335" t="inlineStr"/>
      <c r="V335" t="inlineStr"/>
      <c r="W335" t="inlineStr"/>
      <c r="X335" t="inlineStr">
        <is>
          <t>{None hourly IHS}: 25/05/2026 22:03..0:56:54..FME Marcel is managing with level 0</t>
        </is>
      </c>
      <c r="Y335" t="inlineStr">
        <is>
          <t>25/05/2026 22 03.0 56 54.FME Marcel is managing with level 0</t>
        </is>
      </c>
      <c r="Z335" t="inlineStr"/>
      <c r="AA335" t="inlineStr"/>
      <c r="AB335" t="inlineStr"/>
      <c r="AC335" t="inlineStr"/>
      <c r="AD335" t="inlineStr"/>
      <c r="AE335" t="inlineStr">
        <is>
          <t>{None hourly IHS}: 25/05/2026 22:03..0:56:54..FME Marcel is managing with level 0</t>
        </is>
      </c>
      <c r="AF335" t="inlineStr"/>
      <c r="AG335" t="inlineStr"/>
      <c r="AH335" t="inlineStr"/>
      <c r="AI335" t="inlineStr"/>
      <c r="AJ335" t="inlineStr"/>
      <c r="AK335" t="inlineStr"/>
      <c r="AL335" t="inlineStr"/>
      <c r="AM335" t="inlineStr"/>
      <c r="AN335" t="inlineStr"/>
      <c r="AO335" t="inlineStr"/>
      <c r="AP335" t="inlineStr"/>
      <c r="AQ335" t="inlineStr"/>
      <c r="AR335" t="inlineStr"/>
    </row>
    <row r="336">
      <c r="A336" t="inlineStr">
        <is>
          <t>Superette-Biyem-Assi</t>
        </is>
      </c>
      <c r="B336" t="inlineStr">
        <is>
          <t>CTR_561</t>
        </is>
      </c>
      <c r="C336" t="inlineStr">
        <is>
          <t>Yaounde</t>
        </is>
      </c>
      <c r="D336" t="inlineStr">
        <is>
          <t>CAMUSAT</t>
        </is>
      </c>
      <c r="E336" t="inlineStr">
        <is>
          <t>Good Grid no GE - 12h</t>
        </is>
      </c>
      <c r="F336" t="inlineStr">
        <is>
          <t>CENTRE</t>
        </is>
      </c>
      <c r="G336" t="inlineStr">
        <is>
          <t>Yaounde</t>
        </is>
      </c>
      <c r="H336" t="inlineStr">
        <is>
          <t>ZTE</t>
        </is>
      </c>
      <c r="I336" t="n">
        <v>0</v>
      </c>
      <c r="J336" t="n">
        <v>0</v>
      </c>
      <c r="K336" t="n">
        <v>0</v>
      </c>
      <c r="L336" t="n">
        <v>0</v>
      </c>
      <c r="M336" t="n">
        <v>0</v>
      </c>
      <c r="N336" t="n">
        <v>1.893666894476218</v>
      </c>
      <c r="O336" t="n">
        <v>1.60940512255577</v>
      </c>
      <c r="P336" t="n">
        <v>4.686367969233936</v>
      </c>
      <c r="Q336" t="n">
        <v>3.254598596593358</v>
      </c>
      <c r="R336" t="inlineStr">
        <is>
          <t>Operationnel</t>
        </is>
      </c>
      <c r="S336" t="inlineStr"/>
      <c r="T336" t="inlineStr"/>
      <c r="U336" t="inlineStr"/>
      <c r="V336" t="inlineStr"/>
      <c r="W336" t="inlineStr"/>
      <c r="X336" t="inlineStr">
        <is>
          <t>{05-25-2026 retour CAMUSAT}: No power issue      ;    {05-25-2026 ticket}: INC-20260525-00027694..Grid outage, Grid only site / Grid return awaiting..user:OCM_NOC.CAMUSAT</t>
        </is>
      </c>
      <c r="Y336" t="inlineStr">
        <is>
          <t>No power issue .Grid outage, Grid only site / Grid return awaiting.user OCM_NOC.CAMUSAT</t>
        </is>
      </c>
      <c r="Z336" t="inlineStr"/>
      <c r="AA336" t="inlineStr"/>
      <c r="AB336" t="inlineStr"/>
      <c r="AC336" t="inlineStr">
        <is>
          <t xml:space="preserve">{05-25-2026 retour CAMUSAT}: No power issue </t>
        </is>
      </c>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is>
          <t>{05-25-2026 ticket}: INC-20260525-00027694..Grid outage, Grid only site / Grid return awaiting..user:OCM_NOC.CAMUSAT</t>
        </is>
      </c>
      <c r="AR336" t="inlineStr"/>
    </row>
    <row r="337">
      <c r="A337" t="inlineStr">
        <is>
          <t>Chamber-Wangai</t>
        </is>
      </c>
      <c r="B337" t="inlineStr">
        <is>
          <t>NRD_055</t>
        </is>
      </c>
      <c r="C337" t="inlineStr">
        <is>
          <t>NORD</t>
        </is>
      </c>
      <c r="D337" t="inlineStr">
        <is>
          <t>IHS</t>
        </is>
      </c>
      <c r="E337" t="inlineStr">
        <is>
          <t>Solar-Gen</t>
        </is>
      </c>
      <c r="F337" t="inlineStr">
        <is>
          <t>NORD</t>
        </is>
      </c>
      <c r="G337" t="inlineStr">
        <is>
          <t>Chamber-Wangai</t>
        </is>
      </c>
      <c r="H337" t="inlineStr">
        <is>
          <t>NOKIA</t>
        </is>
      </c>
      <c r="I337" t="n">
        <v>0</v>
      </c>
      <c r="J337" t="n">
        <v>0.003888047073192308</v>
      </c>
      <c r="K337" t="n">
        <v>0.00631361772435815</v>
      </c>
      <c r="L337" t="n">
        <v>0</v>
      </c>
      <c r="M337" t="n">
        <v>0.07563856714407606</v>
      </c>
      <c r="N337" t="n">
        <v>22.62820781826393</v>
      </c>
      <c r="O337" t="n">
        <v>0</v>
      </c>
      <c r="P337" t="n">
        <v>0</v>
      </c>
      <c r="Q337" t="n">
        <v>3.231305984310838</v>
      </c>
      <c r="R337" t="inlineStr">
        <is>
          <t>Operationnel</t>
        </is>
      </c>
      <c r="S337" t="inlineStr"/>
      <c r="T337" t="inlineStr"/>
      <c r="U337" t="inlineStr"/>
      <c r="V337" t="inlineStr"/>
      <c r="W337" t="inlineStr"/>
      <c r="X337" t="inlineStr">
        <is>
          <t>{05-25-2026 ticket}: INC-20260525-00018464..Others Transmission equipement fault</t>
        </is>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{05-25-2026 ticket}: INC-20260525-00018464..Others Transmission equipement fault</t>
        </is>
      </c>
      <c r="AR337" t="inlineStr"/>
    </row>
    <row r="338">
      <c r="A338" t="inlineStr">
        <is>
          <t>Buea-UB-Lamp-IHS</t>
        </is>
      </c>
      <c r="B338" t="inlineStr">
        <is>
          <t>SUO_200</t>
        </is>
      </c>
      <c r="C338" t="inlineStr">
        <is>
          <t>SUD-OUEST</t>
        </is>
      </c>
      <c r="D338" t="inlineStr">
        <is>
          <t>IHS</t>
        </is>
      </c>
      <c r="E338" t="inlineStr">
        <is>
          <t>Grid-Gen</t>
        </is>
      </c>
      <c r="F338" t="inlineStr">
        <is>
          <t>SUD-OUEST</t>
        </is>
      </c>
      <c r="G338" t="inlineStr">
        <is>
          <t>Buea</t>
        </is>
      </c>
      <c r="H338" t="inlineStr">
        <is>
          <t>Huawei</t>
        </is>
      </c>
      <c r="I338" t="n">
        <v>0</v>
      </c>
      <c r="J338" t="n">
        <v>0</v>
      </c>
      <c r="K338" t="n">
        <v>0</v>
      </c>
      <c r="L338" t="n">
        <v>0</v>
      </c>
      <c r="M338" t="n">
        <v>0</v>
      </c>
      <c r="N338" t="n">
        <v>2.124473939786339</v>
      </c>
      <c r="O338" t="n">
        <v>3.63893223986862</v>
      </c>
      <c r="P338" t="n">
        <v>3.268867088233555</v>
      </c>
      <c r="Q338" t="n">
        <v>3.229682992183954</v>
      </c>
      <c r="R338" t="inlineStr">
        <is>
          <t>Operationnel</t>
        </is>
      </c>
      <c r="S338" t="inlineStr"/>
      <c r="T338" t="inlineStr"/>
      <c r="U338" t="inlineStr"/>
      <c r="V338" t="inlineStr"/>
      <c r="W338" t="inlineStr"/>
      <c r="X338" t="inlineStr">
        <is>
          <t>{05-25-2026 retour IHS}: IHS</t>
        </is>
      </c>
      <c r="Y338" t="inlineStr">
        <is>
          <t>IHS</t>
        </is>
      </c>
      <c r="Z338" t="inlineStr"/>
      <c r="AA338" t="inlineStr"/>
      <c r="AB338" t="inlineStr"/>
      <c r="AC338" t="inlineStr"/>
      <c r="AD338" t="inlineStr">
        <is>
          <t>{05-25-2026 retour IHS}: IHS</t>
        </is>
      </c>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row>
    <row r="339">
      <c r="A339" t="inlineStr">
        <is>
          <t>Fonfuka</t>
        </is>
      </c>
      <c r="B339" t="inlineStr">
        <is>
          <t>NRO_043</t>
        </is>
      </c>
      <c r="C339" t="inlineStr">
        <is>
          <t>NORD-OUEST</t>
        </is>
      </c>
      <c r="D339" t="inlineStr">
        <is>
          <t>IHS</t>
        </is>
      </c>
      <c r="E339" t="inlineStr">
        <is>
          <t>Hybrid-Gen</t>
        </is>
      </c>
      <c r="F339" t="inlineStr">
        <is>
          <t>NORD-OUEST</t>
        </is>
      </c>
      <c r="G339" t="inlineStr">
        <is>
          <t>Fonfuka</t>
        </is>
      </c>
      <c r="H339" t="inlineStr">
        <is>
          <t>NOKIA</t>
        </is>
      </c>
      <c r="I339" t="n">
        <v>1.196912105880439</v>
      </c>
      <c r="J339" t="n">
        <v>0</v>
      </c>
      <c r="K339" t="n">
        <v>0</v>
      </c>
      <c r="L339" t="n">
        <v>0.08480579739921747</v>
      </c>
      <c r="M339" t="n">
        <v>0.0008917539158696494</v>
      </c>
      <c r="N339" t="n">
        <v>15.03455611109113</v>
      </c>
      <c r="O339" t="n">
        <v>3.217057080490019</v>
      </c>
      <c r="P339" t="n">
        <v>0</v>
      </c>
      <c r="Q339" t="n">
        <v>3.226936390123076</v>
      </c>
      <c r="R339" t="inlineStr">
        <is>
          <t>Insecurity</t>
        </is>
      </c>
      <c r="S339" t="inlineStr"/>
      <c r="T339" t="inlineStr"/>
      <c r="U339" t="inlineStr"/>
      <c r="V339" t="inlineStr"/>
      <c r="W339" t="inlineStr"/>
      <c r="X339" t="inlineStr">
        <is>
          <t>{05-25-2026 ticket}: INC-20260525-00013461..Others Transmission equipement fault</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is>
          <t>{05-25-2026 ticket}: INC-20260525-00013461..Others Transmission equipement fault</t>
        </is>
      </c>
      <c r="AR339" t="inlineStr"/>
    </row>
    <row r="340">
      <c r="A340" t="inlineStr">
        <is>
          <t>Buea-Dirty-South-HIS</t>
        </is>
      </c>
      <c r="B340" t="inlineStr">
        <is>
          <t>SUO_260</t>
        </is>
      </c>
      <c r="C340" t="inlineStr">
        <is>
          <t>SUD-OUEST</t>
        </is>
      </c>
      <c r="D340" t="inlineStr"/>
      <c r="E340" t="inlineStr"/>
      <c r="F340" t="inlineStr">
        <is>
          <t>SUD-OUEST</t>
        </is>
      </c>
      <c r="G340" t="inlineStr">
        <is>
          <t>Buea</t>
        </is>
      </c>
      <c r="H340" t="inlineStr">
        <is>
          <t>Huawei</t>
        </is>
      </c>
      <c r="I340" t="n">
        <v>0</v>
      </c>
      <c r="J340" t="n">
        <v>0</v>
      </c>
      <c r="K340" t="n">
        <v>0</v>
      </c>
      <c r="L340" t="n">
        <v>0</v>
      </c>
      <c r="M340" t="n">
        <v>0</v>
      </c>
      <c r="N340" t="n">
        <v>2.125098417722784</v>
      </c>
      <c r="O340" t="n">
        <v>3.645466762548833</v>
      </c>
      <c r="P340" t="n">
        <v>3.238428798753247</v>
      </c>
      <c r="Q340" t="n">
        <v>3.216092662506099</v>
      </c>
      <c r="R340" t="inlineStr">
        <is>
          <t>Operationnel</t>
        </is>
      </c>
      <c r="S340" t="inlineStr"/>
      <c r="T340" t="inlineStr"/>
      <c r="U340" t="inlineStr"/>
      <c r="V340" t="inlineStr"/>
      <c r="W340" t="inlineStr"/>
      <c r="X340" t="inlineStr">
        <is>
          <t>{05-25-2026 retour IHS}: IHS</t>
        </is>
      </c>
      <c r="Y340" t="inlineStr">
        <is>
          <t>IHS</t>
        </is>
      </c>
      <c r="Z340" t="inlineStr"/>
      <c r="AA340" t="inlineStr"/>
      <c r="AB340" t="inlineStr"/>
      <c r="AC340" t="inlineStr"/>
      <c r="AD340" t="inlineStr">
        <is>
          <t>{05-25-2026 retour IHS}: IHS</t>
        </is>
      </c>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row>
    <row r="341">
      <c r="A341" t="inlineStr">
        <is>
          <t>Buea-Service-Center-IHS</t>
        </is>
      </c>
      <c r="B341" t="inlineStr">
        <is>
          <t>SUO_182</t>
        </is>
      </c>
      <c r="C341" t="inlineStr">
        <is>
          <t>SUD-OUEST</t>
        </is>
      </c>
      <c r="D341" t="inlineStr">
        <is>
          <t>IHS</t>
        </is>
      </c>
      <c r="E341" t="inlineStr">
        <is>
          <t>Grid-Gen</t>
        </is>
      </c>
      <c r="F341" t="inlineStr">
        <is>
          <t>SUD-OUEST</t>
        </is>
      </c>
      <c r="G341" t="inlineStr">
        <is>
          <t>Buea</t>
        </is>
      </c>
      <c r="H341" t="inlineStr">
        <is>
          <t>Huawei</t>
        </is>
      </c>
      <c r="I341" t="n">
        <v>0</v>
      </c>
      <c r="J341" t="n">
        <v>0</v>
      </c>
      <c r="K341" t="n">
        <v>0</v>
      </c>
      <c r="L341" t="n">
        <v>0</v>
      </c>
      <c r="M341" t="n">
        <v>0</v>
      </c>
      <c r="N341" t="n">
        <v>2.126971851532119</v>
      </c>
      <c r="O341" t="n">
        <v>3.632716474392322</v>
      </c>
      <c r="P341" t="n">
        <v>3.24116482477395</v>
      </c>
      <c r="Q341" t="n">
        <v>3.213506576150078</v>
      </c>
      <c r="R341" t="inlineStr">
        <is>
          <t>Operationnel</t>
        </is>
      </c>
      <c r="S341" t="inlineStr"/>
      <c r="T341" t="inlineStr"/>
      <c r="U341" t="inlineStr"/>
      <c r="V341" t="inlineStr"/>
      <c r="W341" t="inlineStr"/>
      <c r="X341" t="inlineStr">
        <is>
          <t>{05-25-2026 retour IHS}: IHS</t>
        </is>
      </c>
      <c r="Y341" t="inlineStr">
        <is>
          <t>IHS</t>
        </is>
      </c>
      <c r="Z341" t="inlineStr"/>
      <c r="AA341" t="inlineStr"/>
      <c r="AB341" t="inlineStr"/>
      <c r="AC341" t="inlineStr"/>
      <c r="AD341" t="inlineStr">
        <is>
          <t>{05-25-2026 retour IHS}: IHS</t>
        </is>
      </c>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row>
    <row r="342">
      <c r="A342" t="inlineStr">
        <is>
          <t>Mokong-MTN-IHS</t>
        </is>
      </c>
      <c r="B342" t="inlineStr">
        <is>
          <t>EXN_161</t>
        </is>
      </c>
      <c r="C342" t="inlineStr">
        <is>
          <t>EXTREME-NORD</t>
        </is>
      </c>
      <c r="D342" t="inlineStr">
        <is>
          <t>IHS</t>
        </is>
      </c>
      <c r="E342" t="inlineStr">
        <is>
          <t>Hybrid-Gen</t>
        </is>
      </c>
      <c r="F342" t="inlineStr">
        <is>
          <t>EXTREME-NORD</t>
        </is>
      </c>
      <c r="G342" t="inlineStr">
        <is>
          <t>Mokong</t>
        </is>
      </c>
      <c r="H342" t="inlineStr">
        <is>
          <t>NOKIA</t>
        </is>
      </c>
      <c r="I342" t="n">
        <v>0</v>
      </c>
      <c r="J342" t="n">
        <v>0</v>
      </c>
      <c r="K342" t="n">
        <v>0</v>
      </c>
      <c r="L342" t="n">
        <v>0</v>
      </c>
      <c r="M342" t="n">
        <v>2.138366537707971</v>
      </c>
      <c r="N342" t="n">
        <v>10.05134707384626</v>
      </c>
      <c r="O342" t="n">
        <v>5.295366400713262</v>
      </c>
      <c r="P342" t="n">
        <v>0</v>
      </c>
      <c r="Q342" t="n">
        <v>3.213047010390206</v>
      </c>
      <c r="R342" t="inlineStr">
        <is>
          <t>Insecurity</t>
        </is>
      </c>
      <c r="S342" t="inlineStr"/>
      <c r="T342" t="inlineStr"/>
      <c r="U342" t="inlineStr"/>
      <c r="V342" t="inlineStr"/>
      <c r="W342" t="inlineStr"/>
      <c r="X342" t="inlineStr">
        <is>
          <t>{05-25-2026 ticket}: INC-20260525-00006733..Auto TT closure RCA..Others Transmission equipement fault</t>
        </is>
      </c>
      <c r="Y342" t="inlineStr">
        <is>
          <t>.Auto TT closure RCA.</t>
        </is>
      </c>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is>
          <t>{05-25-2026 ticket}: INC-20260525-00006733..Auto TT closure RCA..Others Transmission equipement fault</t>
        </is>
      </c>
      <c r="AR342" t="inlineStr"/>
    </row>
    <row r="343">
      <c r="A343" t="inlineStr">
        <is>
          <t>Dschang-Universite</t>
        </is>
      </c>
      <c r="B343" t="inlineStr">
        <is>
          <t>OST_106</t>
        </is>
      </c>
      <c r="C343" t="inlineStr">
        <is>
          <t>OUEST</t>
        </is>
      </c>
      <c r="D343" t="inlineStr">
        <is>
          <t>IHS</t>
        </is>
      </c>
      <c r="E343" t="inlineStr">
        <is>
          <t>Grid-Gen</t>
        </is>
      </c>
      <c r="F343" t="inlineStr">
        <is>
          <t>OUEST</t>
        </is>
      </c>
      <c r="G343" t="inlineStr">
        <is>
          <t>Dschang</t>
        </is>
      </c>
      <c r="H343" t="inlineStr">
        <is>
          <t>Huawei</t>
        </is>
      </c>
      <c r="I343" t="n">
        <v>0.2897308472660965</v>
      </c>
      <c r="J343" t="n">
        <v>0</v>
      </c>
      <c r="K343" t="n">
        <v>0</v>
      </c>
      <c r="L343" t="n">
        <v>1.88302756875066</v>
      </c>
      <c r="M343" t="n">
        <v>0</v>
      </c>
      <c r="N343" t="n">
        <v>5.543490641823436</v>
      </c>
      <c r="O343" t="n">
        <v>7.076144295861087</v>
      </c>
      <c r="P343" t="n">
        <v>0.04924846837263363</v>
      </c>
      <c r="Q343" t="n">
        <v>3.192835720380215</v>
      </c>
      <c r="R343" t="inlineStr">
        <is>
          <t>Operationnel</t>
        </is>
      </c>
      <c r="S343" t="inlineStr"/>
      <c r="T343" t="inlineStr"/>
      <c r="U343" t="inlineStr"/>
      <c r="V343" t="inlineStr"/>
      <c r="W343" t="inlineStr"/>
      <c r="X343" t="inlineStr">
        <is>
          <t>{None hourly IHS}: 25/05/2026 07:20..4:40:00..28..FME is informed and managing with L0.</t>
        </is>
      </c>
      <c r="Y343" t="inlineStr">
        <is>
          <t>25/05/2026 07 20.4 40 00.28.FME is informed and managing with L0.</t>
        </is>
      </c>
      <c r="Z343" t="inlineStr"/>
      <c r="AA343" t="inlineStr"/>
      <c r="AB343" t="inlineStr"/>
      <c r="AC343" t="inlineStr"/>
      <c r="AD343" t="inlineStr"/>
      <c r="AE343" t="inlineStr">
        <is>
          <t>{None hourly IHS}: 25/05/2026 07:20..4:40:00..28..FME is informed and managing with L0.</t>
        </is>
      </c>
      <c r="AF343" t="inlineStr"/>
      <c r="AG343" t="inlineStr"/>
      <c r="AH343" t="inlineStr"/>
      <c r="AI343" t="inlineStr"/>
      <c r="AJ343" t="inlineStr"/>
      <c r="AK343" t="inlineStr"/>
      <c r="AL343" t="inlineStr"/>
      <c r="AM343" t="inlineStr"/>
      <c r="AN343" t="inlineStr"/>
      <c r="AO343" t="inlineStr"/>
      <c r="AP343" t="inlineStr"/>
      <c r="AQ343" t="inlineStr"/>
      <c r="AR343" t="inlineStr"/>
    </row>
    <row r="344">
      <c r="A344" t="inlineStr">
        <is>
          <t>Goro-IHS</t>
        </is>
      </c>
      <c r="B344" t="inlineStr">
        <is>
          <t>ADM_138</t>
        </is>
      </c>
      <c r="C344" t="inlineStr">
        <is>
          <t>ADAMAOUA</t>
        </is>
      </c>
      <c r="D344" t="inlineStr">
        <is>
          <t>IHS</t>
        </is>
      </c>
      <c r="E344" t="inlineStr">
        <is>
          <t>Hybrid-Gen</t>
        </is>
      </c>
      <c r="F344" t="inlineStr">
        <is>
          <t>ADAMAOUA</t>
        </is>
      </c>
      <c r="G344" t="inlineStr">
        <is>
          <t>Goro</t>
        </is>
      </c>
      <c r="H344" t="inlineStr">
        <is>
          <t>NOKIA</t>
        </is>
      </c>
      <c r="I344" t="n">
        <v>3.236763518275962</v>
      </c>
      <c r="J344" t="n">
        <v>3.11511654000621</v>
      </c>
      <c r="K344" t="n">
        <v>3.242493846251966</v>
      </c>
      <c r="L344" t="n">
        <v>3.254779675750207</v>
      </c>
      <c r="M344" t="n">
        <v>3.557897063446271</v>
      </c>
      <c r="N344" t="n">
        <v>0.1741044486809027</v>
      </c>
      <c r="O344" t="n">
        <v>0.1992520027083921</v>
      </c>
      <c r="P344" t="n">
        <v>5.909816204716034</v>
      </c>
      <c r="Q344" t="n">
        <v>3.173654827905554</v>
      </c>
      <c r="R344" t="inlineStr">
        <is>
          <t>Operationnel</t>
        </is>
      </c>
      <c r="S344" t="inlineStr"/>
      <c r="T344" t="inlineStr"/>
      <c r="U344" t="inlineStr"/>
      <c r="V344" t="inlineStr"/>
      <c r="W344" t="inlineStr"/>
      <c r="X344" t="inlineStr">
        <is>
          <t>{05-25-2026 top offenders}: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ticket}: INC-20260525-00017989..Others</t>
        </is>
      </c>
      <c r="Y344" t="inlineStr">
        <is>
          <t>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t>
        </is>
      </c>
      <c r="Z344" t="inlineStr"/>
      <c r="AA344" t="inlineStr"/>
      <c r="AB344" t="inlineStr">
        <is>
          <t>{05-25-2026 top offenders}: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C344" t="inlineStr"/>
      <c r="AD344" t="inlineStr"/>
      <c r="AE344" t="inlineStr"/>
      <c r="AF344"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G344"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H344"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I344" t="inlineStr"/>
      <c r="AJ344" t="inlineStr"/>
      <c r="AK344" t="inlineStr"/>
      <c r="AL344" t="inlineStr"/>
      <c r="AM344" t="inlineStr"/>
      <c r="AN344" t="inlineStr"/>
      <c r="AO344" t="inlineStr"/>
      <c r="AP344" t="inlineStr"/>
      <c r="AQ344" t="inlineStr">
        <is>
          <t>{05-25-2026 ticket}: INC-20260525-00017989..Others</t>
        </is>
      </c>
      <c r="AR344" t="inlineStr"/>
    </row>
    <row r="345">
      <c r="A345" t="inlineStr">
        <is>
          <t>Tourningal-MTN-IHS</t>
        </is>
      </c>
      <c r="B345" t="inlineStr">
        <is>
          <t>ADM_094</t>
        </is>
      </c>
      <c r="C345" t="inlineStr">
        <is>
          <t>ADAMAOUA</t>
        </is>
      </c>
      <c r="D345" t="inlineStr">
        <is>
          <t>IHS</t>
        </is>
      </c>
      <c r="E345" t="inlineStr">
        <is>
          <t>Solar-Grid-Gen</t>
        </is>
      </c>
      <c r="F345" t="inlineStr">
        <is>
          <t>ADAMAOUA</t>
        </is>
      </c>
      <c r="G345" t="inlineStr">
        <is>
          <t>Tournigal</t>
        </is>
      </c>
      <c r="H345" t="inlineStr">
        <is>
          <t>NOKIA</t>
        </is>
      </c>
      <c r="I345" t="n">
        <v>0</v>
      </c>
      <c r="J345" t="n">
        <v>0</v>
      </c>
      <c r="K345" t="n">
        <v>0</v>
      </c>
      <c r="L345" t="n">
        <v>1.090598405629745</v>
      </c>
      <c r="M345" t="n">
        <v>0.1849249821484965</v>
      </c>
      <c r="N345" t="n">
        <v>7.589904839554133</v>
      </c>
      <c r="O345" t="n">
        <v>6.21853814922437</v>
      </c>
      <c r="P345" t="n">
        <v>0</v>
      </c>
      <c r="Q345" t="n">
        <v>3.171472690764316</v>
      </c>
      <c r="R345" t="inlineStr">
        <is>
          <t>Operationnel</t>
        </is>
      </c>
      <c r="S345" t="inlineStr"/>
      <c r="T345" t="inlineStr"/>
      <c r="U345" t="inlineStr"/>
      <c r="V345" t="inlineStr"/>
      <c r="W345" t="inlineStr"/>
      <c r="X345" t="inlineStr">
        <is>
          <t>{None hourly IHS}: 25/05/2026 03:39..2:44:44..46.2V..FME Yannick managing with level 0     ;    {05-25-2026 ticket}: INC-20260525-00002573..Grid Outage</t>
        </is>
      </c>
      <c r="Y345" t="inlineStr">
        <is>
          <t>25/05/2026 03 39.2 44 44.46.2V.FME Yannick managing with level 0 .Grid Outage</t>
        </is>
      </c>
      <c r="Z345" t="inlineStr"/>
      <c r="AA345" t="inlineStr"/>
      <c r="AB345" t="inlineStr"/>
      <c r="AC345" t="inlineStr"/>
      <c r="AD345" t="inlineStr"/>
      <c r="AE345" t="inlineStr">
        <is>
          <t>{None hourly IHS}: 25/05/2026 03:39..2:44:44..46.2V..FME Yannick managing with level 0</t>
        </is>
      </c>
      <c r="AF345" t="inlineStr"/>
      <c r="AG345" t="inlineStr"/>
      <c r="AH345" t="inlineStr"/>
      <c r="AI345" t="inlineStr"/>
      <c r="AJ345" t="inlineStr"/>
      <c r="AK345" t="inlineStr"/>
      <c r="AL345" t="inlineStr"/>
      <c r="AM345" t="inlineStr"/>
      <c r="AN345" t="inlineStr"/>
      <c r="AO345" t="inlineStr"/>
      <c r="AP345" t="inlineStr"/>
      <c r="AQ345" t="inlineStr">
        <is>
          <t>{05-25-2026 ticket}: INC-20260525-00002573..Grid Outage</t>
        </is>
      </c>
      <c r="AR345" t="inlineStr"/>
    </row>
    <row r="346">
      <c r="A346" t="inlineStr">
        <is>
          <t>Nkongoa-Mfou</t>
        </is>
      </c>
      <c r="B346" t="inlineStr">
        <is>
          <t>CTR_896</t>
        </is>
      </c>
      <c r="C346" t="inlineStr">
        <is>
          <t>CENTRE</t>
        </is>
      </c>
      <c r="D346" t="inlineStr">
        <is>
          <t>CAMUSAT</t>
        </is>
      </c>
      <c r="E346" t="inlineStr">
        <is>
          <t>Good Grid + GE</t>
        </is>
      </c>
      <c r="F346" t="inlineStr">
        <is>
          <t>CENTRE</t>
        </is>
      </c>
      <c r="G346" t="inlineStr">
        <is>
          <t>Mfou</t>
        </is>
      </c>
      <c r="H346" t="inlineStr">
        <is>
          <t>ZTE</t>
        </is>
      </c>
      <c r="I346" t="n">
        <v>0</v>
      </c>
      <c r="J346" t="n">
        <v>3.301932894447726</v>
      </c>
      <c r="K346" t="n">
        <v>0</v>
      </c>
      <c r="L346" t="n">
        <v>0</v>
      </c>
      <c r="M346" t="n">
        <v>4.35395282407764</v>
      </c>
      <c r="N346" t="n">
        <v>3.49695154850545</v>
      </c>
      <c r="O346" t="n">
        <v>2.858986488094633</v>
      </c>
      <c r="P346" t="n">
        <v>3.273313130517197</v>
      </c>
      <c r="Q346" t="n">
        <v>3.166154443217392</v>
      </c>
      <c r="R346" t="inlineStr">
        <is>
          <t>EXCLU</t>
        </is>
      </c>
      <c r="S346" t="inlineStr">
        <is>
          <t>site vandalise</t>
        </is>
      </c>
      <c r="T346" t="inlineStr"/>
      <c r="U346" t="inlineStr"/>
      <c r="V346" t="inlineStr"/>
      <c r="W346" t="inlineStr"/>
      <c r="X346" t="inlineStr">
        <is>
          <t xml:space="preserve">{05-25-2026 retour CAMUSAT}: No power issue </t>
        </is>
      </c>
      <c r="Y346" t="inlineStr">
        <is>
          <t>No power issue</t>
        </is>
      </c>
      <c r="Z346" t="inlineStr"/>
      <c r="AA346" t="inlineStr"/>
      <c r="AB346" t="inlineStr"/>
      <c r="AC346" t="inlineStr">
        <is>
          <t xml:space="preserve">{05-25-2026 retour CAMUSAT}: No power issue </t>
        </is>
      </c>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row>
    <row r="347">
      <c r="A347" t="inlineStr">
        <is>
          <t>Edenville-Stade</t>
        </is>
      </c>
      <c r="B347" t="inlineStr">
        <is>
          <t>CTR_730</t>
        </is>
      </c>
      <c r="C347" t="inlineStr">
        <is>
          <t>Yaounde</t>
        </is>
      </c>
      <c r="D347" t="inlineStr">
        <is>
          <t>CAMUSAT</t>
        </is>
      </c>
      <c r="E347" t="inlineStr">
        <is>
          <t>Good Grid + GE</t>
        </is>
      </c>
      <c r="F347" t="inlineStr">
        <is>
          <t>CENTRE</t>
        </is>
      </c>
      <c r="G347" t="inlineStr">
        <is>
          <t>Yaounde</t>
        </is>
      </c>
      <c r="H347" t="inlineStr">
        <is>
          <t>ZTE</t>
        </is>
      </c>
      <c r="I347" t="n">
        <v>0</v>
      </c>
      <c r="J347" t="n">
        <v>0</v>
      </c>
      <c r="K347" t="n">
        <v>0</v>
      </c>
      <c r="L347" t="n">
        <v>0</v>
      </c>
      <c r="M347" t="n">
        <v>0</v>
      </c>
      <c r="N347" t="n">
        <v>3.256652438561362</v>
      </c>
      <c r="O347" t="n">
        <v>2.278051483963538</v>
      </c>
      <c r="P347" t="n">
        <v>3.711624499033635</v>
      </c>
      <c r="Q347" t="n">
        <v>3.165387534849743</v>
      </c>
      <c r="R347" t="inlineStr">
        <is>
          <t>Operationnel</t>
        </is>
      </c>
      <c r="S347" t="inlineStr"/>
      <c r="T347" t="inlineStr"/>
      <c r="U347" t="inlineStr"/>
      <c r="V347" t="inlineStr"/>
      <c r="W347" t="inlineStr"/>
      <c r="X347" t="inlineStr">
        <is>
          <t>{05-25-2026 ticket}: INC-20260525-00021953..Auto TT closure RCA..Others</t>
        </is>
      </c>
      <c r="Y347" t="inlineStr">
        <is>
          <t>.Auto TT closure RCA.</t>
        </is>
      </c>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is>
          <t>{05-25-2026 ticket}: INC-20260525-00021953..Auto TT closure RCA..Others</t>
        </is>
      </c>
      <c r="AR347" t="inlineStr"/>
    </row>
    <row r="348">
      <c r="A348" t="inlineStr">
        <is>
          <t>Messamendongo</t>
        </is>
      </c>
      <c r="B348" t="inlineStr">
        <is>
          <t>CTR_007</t>
        </is>
      </c>
      <c r="C348" t="inlineStr">
        <is>
          <t>Yaounde</t>
        </is>
      </c>
      <c r="D348" t="inlineStr"/>
      <c r="E348" t="inlineStr"/>
      <c r="F348" t="inlineStr">
        <is>
          <t>CENTRE</t>
        </is>
      </c>
      <c r="G348" t="inlineStr">
        <is>
          <t>Yaounde</t>
        </is>
      </c>
      <c r="H348" t="inlineStr">
        <is>
          <t>ZTE</t>
        </is>
      </c>
      <c r="I348" t="n">
        <v>0</v>
      </c>
      <c r="J348" t="n">
        <v>0</v>
      </c>
      <c r="K348" t="n">
        <v>0.5948533671201059</v>
      </c>
      <c r="L348" t="n">
        <v>0</v>
      </c>
      <c r="M348" t="n">
        <v>0</v>
      </c>
      <c r="N348" t="n">
        <v>0.2882590154630729</v>
      </c>
      <c r="O348" t="n">
        <v>0.07713924334690049</v>
      </c>
      <c r="P348" t="n">
        <v>5.932456820037341</v>
      </c>
      <c r="Q348" t="n">
        <v>3.160768249565538</v>
      </c>
      <c r="R348" t="inlineStr">
        <is>
          <t>Operationnel</t>
        </is>
      </c>
      <c r="S348" t="inlineStr"/>
      <c r="T348" t="inlineStr"/>
      <c r="U348" t="inlineStr"/>
      <c r="V348" t="inlineStr"/>
      <c r="W348" t="inlineStr"/>
      <c r="X348" t="inlineStr">
        <is>
          <t>{05-25-2026 ticket}: INC-20260525-00023557..Les investigations du BO IP revelent une Boucle ethernet sur les VLAN 1303 à 1306, BO TX alerté pour prise en charge..Desactivation de la bouclee..Others..Boucle etherneet..user:KOUAMEBOZOMABILEVICTORINE</t>
        </is>
      </c>
      <c r="Y348" t="inlineStr">
        <is>
          <t>.Les investigations du BO IP revelent une Boucle ethernet sur les VLAN 1303 à 1306, BO TX alerté pour prise en charge.Desactivation de la bouclee.Boucle etherneet.user KOUAMEBOZOMABILEVICTORINE</t>
        </is>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is>
          <t>{05-25-2026 ticket}: INC-20260525-00023557..Les investigations du BO IP revelent une Boucle ethernet sur les VLAN 1303 à 1306, BO TX alerté pour prise en charge..Desactivation de la bouclee..Others..Boucle etherneet..user:KOUAMEBOZOMABILEVICTORINE</t>
        </is>
      </c>
      <c r="AR348" t="inlineStr"/>
    </row>
    <row r="349">
      <c r="A349" t="inlineStr">
        <is>
          <t>CTR_951_Z_Odza-Entree-Plaque-LB</t>
        </is>
      </c>
      <c r="B349" t="inlineStr">
        <is>
          <t>CTR_951</t>
        </is>
      </c>
      <c r="C349" t="inlineStr">
        <is>
          <t>Yaounde</t>
        </is>
      </c>
      <c r="D349" t="inlineStr">
        <is>
          <t>ESCO</t>
        </is>
      </c>
      <c r="E349" t="inlineStr">
        <is>
          <t>Good Grid + Solar + GE</t>
        </is>
      </c>
      <c r="F349" t="inlineStr">
        <is>
          <t>CENTRE</t>
        </is>
      </c>
      <c r="G349" t="inlineStr">
        <is>
          <t>Yaoundé</t>
        </is>
      </c>
      <c r="H349" t="inlineStr">
        <is>
          <t>ZTE</t>
        </is>
      </c>
      <c r="I349" t="n">
        <v>0</v>
      </c>
      <c r="J349" t="n">
        <v>0</v>
      </c>
      <c r="K349" t="n">
        <v>0</v>
      </c>
      <c r="L349" t="n">
        <v>0</v>
      </c>
      <c r="M349" t="n">
        <v>0</v>
      </c>
      <c r="N349" t="n">
        <v>2.875596001742543</v>
      </c>
      <c r="O349" t="n">
        <v>0.707003478278609</v>
      </c>
      <c r="P349" t="n">
        <v>4.79970784714151</v>
      </c>
      <c r="Q349" t="n">
        <v>3.150976791569287</v>
      </c>
      <c r="R349" t="inlineStr">
        <is>
          <t>Operationnel</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row>
    <row r="350">
      <c r="A350" t="inlineStr">
        <is>
          <t>Ngd-Beka</t>
        </is>
      </c>
      <c r="B350" t="inlineStr">
        <is>
          <t>ADM_180</t>
        </is>
      </c>
      <c r="C350" t="inlineStr">
        <is>
          <t>Ngaoundere</t>
        </is>
      </c>
      <c r="D350" t="inlineStr">
        <is>
          <t>ESCO</t>
        </is>
      </c>
      <c r="E350" t="inlineStr">
        <is>
          <t>Medium Grid solar + GE</t>
        </is>
      </c>
      <c r="F350" t="inlineStr">
        <is>
          <t>ADAMAOUA</t>
        </is>
      </c>
      <c r="G350" t="inlineStr">
        <is>
          <t>Ngaoundere</t>
        </is>
      </c>
      <c r="H350" t="inlineStr">
        <is>
          <t>Huawei</t>
        </is>
      </c>
      <c r="I350" t="n">
        <v>0</v>
      </c>
      <c r="J350" t="n">
        <v>0</v>
      </c>
      <c r="K350" t="n">
        <v>1.077274400527348</v>
      </c>
      <c r="L350" t="n">
        <v>7.144250826834231</v>
      </c>
      <c r="M350" t="n">
        <v>2.375578926642183</v>
      </c>
      <c r="N350" t="n">
        <v>6.840531315819974</v>
      </c>
      <c r="O350" t="n">
        <v>5.81200635134354</v>
      </c>
      <c r="P350" t="n">
        <v>0.410574904731574</v>
      </c>
      <c r="Q350" t="n">
        <v>3.142094922567224</v>
      </c>
      <c r="R350" t="inlineStr">
        <is>
          <t>Operationnel</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row>
    <row r="351">
      <c r="A351" t="inlineStr">
        <is>
          <t>Mendong-IV-MTN</t>
        </is>
      </c>
      <c r="B351" t="inlineStr">
        <is>
          <t>CTR_746</t>
        </is>
      </c>
      <c r="C351" t="inlineStr">
        <is>
          <t>Yaounde</t>
        </is>
      </c>
      <c r="D351" t="inlineStr">
        <is>
          <t>MTN sharing</t>
        </is>
      </c>
      <c r="E351" t="inlineStr"/>
      <c r="F351" t="inlineStr">
        <is>
          <t>CENTRE</t>
        </is>
      </c>
      <c r="G351" t="inlineStr">
        <is>
          <t>Yaounde</t>
        </is>
      </c>
      <c r="H351" t="inlineStr">
        <is>
          <t>ZTE</t>
        </is>
      </c>
      <c r="I351" t="n">
        <v>0</v>
      </c>
      <c r="J351" t="n">
        <v>3.741656750363122</v>
      </c>
      <c r="K351" t="n">
        <v>0.2721276249668262</v>
      </c>
      <c r="L351" t="n">
        <v>2.166837170015381</v>
      </c>
      <c r="M351" t="n">
        <v>0.001498146578661148</v>
      </c>
      <c r="N351" t="n">
        <v>1.763275901346474</v>
      </c>
      <c r="O351" t="n">
        <v>1.888370802180129</v>
      </c>
      <c r="P351" t="n">
        <v>4.323297316286798</v>
      </c>
      <c r="Q351" t="n">
        <v>3.140293579657167</v>
      </c>
      <c r="R351" t="inlineStr">
        <is>
          <t>Operationnel</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row>
    <row r="352">
      <c r="A352" t="inlineStr">
        <is>
          <t>Bangambi-IHS</t>
        </is>
      </c>
      <c r="B352" t="inlineStr">
        <is>
          <t>OST_205</t>
        </is>
      </c>
      <c r="C352" t="inlineStr">
        <is>
          <t>OUEST</t>
        </is>
      </c>
      <c r="D352" t="inlineStr">
        <is>
          <t>IHS</t>
        </is>
      </c>
      <c r="E352" t="inlineStr">
        <is>
          <t>Grid-Gen</t>
        </is>
      </c>
      <c r="F352" t="inlineStr">
        <is>
          <t>OUEST</t>
        </is>
      </c>
      <c r="G352" t="inlineStr">
        <is>
          <t>Bangambi</t>
        </is>
      </c>
      <c r="H352" t="inlineStr">
        <is>
          <t>NOKIA</t>
        </is>
      </c>
      <c r="I352" t="n">
        <v>0</v>
      </c>
      <c r="J352" t="n">
        <v>0</v>
      </c>
      <c r="K352" t="n">
        <v>0.01615858095556057</v>
      </c>
      <c r="L352" t="n">
        <v>0</v>
      </c>
      <c r="M352" t="n">
        <v>1.107629703823555</v>
      </c>
      <c r="N352" t="n">
        <v>10.96295996546887</v>
      </c>
      <c r="O352" t="n">
        <v>4.672714978358511</v>
      </c>
      <c r="P352" t="n">
        <v>0</v>
      </c>
      <c r="Q352" t="n">
        <v>3.134193982872618</v>
      </c>
      <c r="R352" t="inlineStr">
        <is>
          <t>Operationnel</t>
        </is>
      </c>
      <c r="S352" t="inlineStr"/>
      <c r="T352" t="inlineStr"/>
      <c r="U352" t="inlineStr"/>
      <c r="V352" t="inlineStr"/>
      <c r="W352" t="inlineStr"/>
      <c r="X352" t="inlineStr">
        <is>
          <t>{05-25-2026 top offenders}: 26.05.2026 IHS: FME isinformed and  managing</t>
        </is>
      </c>
      <c r="Y352" t="inlineStr">
        <is>
          <t>26.05.2026 IHS FME isinformed and managing</t>
        </is>
      </c>
      <c r="Z352" t="inlineStr"/>
      <c r="AA352" t="inlineStr"/>
      <c r="AB352" t="inlineStr">
        <is>
          <t>{05-25-2026 top offenders}: 26.05.2026 IHS: FME isinformed and  managing</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row>
    <row r="353">
      <c r="A353" t="inlineStr">
        <is>
          <t>Bertoua-Meteo</t>
        </is>
      </c>
      <c r="B353" t="inlineStr">
        <is>
          <t>EST_107</t>
        </is>
      </c>
      <c r="C353" t="inlineStr">
        <is>
          <t>CENTRE</t>
        </is>
      </c>
      <c r="D353" t="inlineStr">
        <is>
          <t>IHS</t>
        </is>
      </c>
      <c r="E353" t="inlineStr">
        <is>
          <t>Grid-Gen</t>
        </is>
      </c>
      <c r="F353" t="inlineStr">
        <is>
          <t>EST</t>
        </is>
      </c>
      <c r="G353" t="inlineStr">
        <is>
          <t>Bertoua</t>
        </is>
      </c>
      <c r="H353" t="inlineStr">
        <is>
          <t>ZTE</t>
        </is>
      </c>
      <c r="I353" t="n">
        <v>0</v>
      </c>
      <c r="J353" t="n">
        <v>0.4538849080994078</v>
      </c>
      <c r="K353" t="n">
        <v>0</v>
      </c>
      <c r="L353" t="n">
        <v>0</v>
      </c>
      <c r="M353" t="n">
        <v>1.031955466522845</v>
      </c>
      <c r="N353" t="n">
        <v>1.822726200896051</v>
      </c>
      <c r="O353" t="n">
        <v>3.183534447878523</v>
      </c>
      <c r="P353" t="n">
        <v>3.41428687123386</v>
      </c>
      <c r="Q353" t="n">
        <v>3.109545904637977</v>
      </c>
      <c r="R353" t="inlineStr">
        <is>
          <t>Operationnel</t>
        </is>
      </c>
      <c r="S353" t="inlineStr"/>
      <c r="T353" t="inlineStr"/>
      <c r="U353" t="inlineStr"/>
      <c r="V353" t="inlineStr"/>
      <c r="W353" t="inlineStr"/>
      <c r="X353" t="inlineStr">
        <is>
          <t>{05-25-2026 ticket}: INC-20260525-00013953..Grid Outage</t>
        </is>
      </c>
      <c r="Y353" t="inlineStr">
        <is>
          <t>.Grid Outage</t>
        </is>
      </c>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is>
          <t>{05-25-2026 ticket}: INC-20260525-00013953..Grid Outage</t>
        </is>
      </c>
      <c r="AR353" t="inlineStr"/>
    </row>
    <row r="354">
      <c r="A354" t="inlineStr">
        <is>
          <t>Golf-Quater-IHS</t>
        </is>
      </c>
      <c r="B354" t="inlineStr">
        <is>
          <t>CTR_852</t>
        </is>
      </c>
      <c r="C354" t="inlineStr">
        <is>
          <t>Yaounde</t>
        </is>
      </c>
      <c r="D354" t="inlineStr">
        <is>
          <t>IHS</t>
        </is>
      </c>
      <c r="E354" t="inlineStr">
        <is>
          <t>Grid-Gen</t>
        </is>
      </c>
      <c r="F354" t="inlineStr">
        <is>
          <t>CENTRE</t>
        </is>
      </c>
      <c r="G354" t="inlineStr">
        <is>
          <t>Yaounde</t>
        </is>
      </c>
      <c r="H354" t="inlineStr">
        <is>
          <t>ZTE</t>
        </is>
      </c>
      <c r="I354" t="n">
        <v>12.71808733766512</v>
      </c>
      <c r="J354" t="n">
        <v>32.89245019732731</v>
      </c>
      <c r="K354" t="n">
        <v>3.081901533246013</v>
      </c>
      <c r="L354" t="n">
        <v>3.081901533246013</v>
      </c>
      <c r="M354" t="n">
        <v>3.081901533246013</v>
      </c>
      <c r="N354" t="n">
        <v>0</v>
      </c>
      <c r="O354" t="n">
        <v>0</v>
      </c>
      <c r="P354" t="n">
        <v>5.912107626508371</v>
      </c>
      <c r="Q354" t="n">
        <v>3.083096483493278</v>
      </c>
      <c r="R354" t="inlineStr">
        <is>
          <t>Operationnel</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row>
    <row r="355">
      <c r="A355" t="inlineStr">
        <is>
          <t>NTENYING1</t>
        </is>
      </c>
      <c r="B355" t="inlineStr">
        <is>
          <t>SUD_161</t>
        </is>
      </c>
      <c r="C355" t="inlineStr">
        <is>
          <t>CENTRE</t>
        </is>
      </c>
      <c r="D355" t="inlineStr">
        <is>
          <t>ESCO</t>
        </is>
      </c>
      <c r="E355" t="inlineStr">
        <is>
          <t>Hybrid Solar - S3</t>
        </is>
      </c>
      <c r="F355" t="inlineStr">
        <is>
          <t>SUD</t>
        </is>
      </c>
      <c r="G355" t="inlineStr">
        <is>
          <t>Ntenying</t>
        </is>
      </c>
      <c r="H355" t="inlineStr">
        <is>
          <t>NOKIA</t>
        </is>
      </c>
      <c r="I355" t="n">
        <v>3.081901533246013</v>
      </c>
      <c r="J355" t="n">
        <v>3.081901533246013</v>
      </c>
      <c r="K355" t="n">
        <v>3.081901533246013</v>
      </c>
      <c r="L355" t="n">
        <v>3.081901533246013</v>
      </c>
      <c r="M355" t="n">
        <v>3.081901533246013</v>
      </c>
      <c r="N355" t="n">
        <v>0</v>
      </c>
      <c r="O355" t="n">
        <v>9.180207472688883</v>
      </c>
      <c r="P355" t="n">
        <v>0</v>
      </c>
      <c r="Q355" t="n">
        <v>3.081901533246013</v>
      </c>
      <c r="R355" t="inlineStr">
        <is>
          <t>Operationnel</t>
        </is>
      </c>
      <c r="S355" t="inlineStr"/>
      <c r="T355" t="inlineStr"/>
      <c r="U355" t="inlineStr"/>
      <c r="V355" t="inlineStr"/>
      <c r="W355" t="inlineStr"/>
      <c r="X355" t="inlineStr">
        <is>
          <t>{05-25-2026 top offenders}: 26/05/2026 Le bailleur refuse l'accès au site pour problème de loyer impayé - Escalade refaite à Camusat et à OCM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     ;    {05-25-2026 ocm ran 22H}: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     ;    {05-25-2026 ocm ran 17H}: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t>
        </is>
      </c>
      <c r="Y355" t="inlineStr">
        <is>
          <t>26/05/2026 Le bailleur refuse l'accès au site pour problème de loyer impayé - Escalade refaite à Camusat et à OCM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t>
        </is>
      </c>
      <c r="Z355" t="inlineStr"/>
      <c r="AA355" t="inlineStr"/>
      <c r="AB355" t="inlineStr">
        <is>
          <t>{05-25-2026 top offenders}: 26/05/2026 Le bailleur refuse l'accès au site pour problème de loyer impayé - Escalade refaite à Camusat et à OCM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t>
        </is>
      </c>
      <c r="AC355" t="inlineStr"/>
      <c r="AD355" t="inlineStr"/>
      <c r="AE355" t="inlineStr"/>
      <c r="AF355" t="inlineStr"/>
      <c r="AG355" t="inlineStr"/>
      <c r="AH355" t="inlineStr"/>
      <c r="AI355" t="inlineStr"/>
      <c r="AJ355" t="inlineStr"/>
      <c r="AK355" t="inlineStr"/>
      <c r="AL355" t="inlineStr"/>
      <c r="AM355" t="inlineStr"/>
      <c r="AN355" t="inlineStr"/>
      <c r="AO355" t="inlineStr">
        <is>
          <t>{05-25-2026 ocm ran 22H}: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t>
        </is>
      </c>
      <c r="AP355" t="inlineStr">
        <is>
          <t>{05-25-2026 ocm ran 17H}: 23/05/2026 Le bailleur refuse l'accès au site pour problème de loyer impayé - Escalade refaite à Camusat et à OCM
22/05/2026 Le bailleur refuse l'accès au site pour problème de loyer impayé - Escalade refaite à Camusat et à OCM
21/05/2026 Le bailleur refuse l'accès au site pour problème de loyer impayé - Escalade refaite à Camusat et à OCM
19.08.26: Le bailleur refuse l'accès au site pour problème de loyer impayé - Escalade refaite à Camusat et à OCM
18.08.26: Le bailleur refuse l'accès au site pour problème de loyer impayé - Escalade refaite à Camusat
17.05.2026: Le FME as recu la spare est en route pour le site ETA=14H
15/05/2026 FME  sur site travaux en cours 
15/05/2026 FME en route ETA=10H UTC 
13/05/2026 : carte core en defaut remplacee mais le site n'est pas remonte car le software de la BTS a ete upgrade par Nokia. Le nouveau software SRAN24 expediee de Douala vers Yaoundé recu a Yaounde ce jour et expedie vers Djoum ETD=14/05/2026, ETR 15/05/2026 
11/05/2026 SRAN24 remis à Douala ce jour et recherche d'une solution pour expédition sur Yaoundé en cours ETD=11.05.2026 ET ETD=13/05/2026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UTC
17.04.26; Camusat FME is managing</t>
        </is>
      </c>
      <c r="AQ355" t="inlineStr"/>
      <c r="AR355" t="inlineStr"/>
    </row>
    <row r="356">
      <c r="A356" t="inlineStr">
        <is>
          <t>SS_Vreket</t>
        </is>
      </c>
      <c r="B356" t="inlineStr">
        <is>
          <t>EXN_251</t>
        </is>
      </c>
      <c r="C356" t="inlineStr">
        <is>
          <t>EXTREME-NORD</t>
        </is>
      </c>
      <c r="D356" t="inlineStr">
        <is>
          <t>OCM</t>
        </is>
      </c>
      <c r="E356" t="inlineStr"/>
      <c r="F356" t="inlineStr">
        <is>
          <t>EXTREME-NORD</t>
        </is>
      </c>
      <c r="G356" t="inlineStr">
        <is>
          <t>Mozogo</t>
        </is>
      </c>
      <c r="H356" t="inlineStr">
        <is>
          <t>NOKIA</t>
        </is>
      </c>
      <c r="I356" t="n">
        <v>0.01658662283517805</v>
      </c>
      <c r="J356" t="n">
        <v>0.291960232055771</v>
      </c>
      <c r="K356" t="n">
        <v>3.081901533246013</v>
      </c>
      <c r="L356" t="n">
        <v>3.081901533246013</v>
      </c>
      <c r="M356" t="n">
        <v>3.081901533246013</v>
      </c>
      <c r="N356" t="n">
        <v>0</v>
      </c>
      <c r="O356" t="n">
        <v>9.180207472688883</v>
      </c>
      <c r="P356" t="n">
        <v>0</v>
      </c>
      <c r="Q356" t="n">
        <v>3.081901533246013</v>
      </c>
      <c r="R356" t="inlineStr">
        <is>
          <t>Insecurity</t>
        </is>
      </c>
      <c r="S356" t="inlineStr"/>
      <c r="T356" t="inlineStr"/>
      <c r="U356" t="inlineStr"/>
      <c r="V356" t="inlineStr"/>
      <c r="W356" t="inlineStr"/>
      <c r="X356" t="inlineStr">
        <is>
          <t>{05-25-2026 incident}:  {05-18-2026 groupe whatsapp incident}: impacted by    EXN_104_H_Kolofata  ,soucis  d'energie || Action RCA attendu de HIS     ;    {05-25-2026 ocm ran 22H}: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CM-20260520-00003488; FME Yaouba activé pour investigations, update ASAP     ;    {05-25-2026 ocm ran 17H}: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CM-20260520-00003488; FME Yaouba activé pour investigations, update ASAP</t>
        </is>
      </c>
      <c r="Y356" t="inlineStr">
        <is>
          <t>{05-25-2026 incident} {05-18-2026 groupe whatsapp incident} impacted by EXN_104_H_Kolofata ,soucis d'energie || Action RCA attendu de HIS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FME Yaouba activé pour investigations, update ASAP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FME Yaouba activé pour investigations, update ASAP</t>
        </is>
      </c>
      <c r="Z356" t="inlineStr"/>
      <c r="AA356" t="inlineStr">
        <is>
          <t>{05-25-2026 incident}:  {05-18-2026 groupe whatsapp incident}: impacted by    EXN_104_H_Kolofata  ,soucis  d'energie || Action RCA attendu de HIS</t>
        </is>
      </c>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{05-25-2026 ocm ran 22H}: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CM-20260520-00003488; FME Yaouba activé pour investigations, update ASAP</t>
        </is>
      </c>
      <c r="AP356" t="inlineStr">
        <is>
          <t>{05-25-2026 ocm ran 17H}: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CM-20260520-00003488; FME Yaouba activé pour investigations, update ASAP</t>
        </is>
      </c>
      <c r="AQ356" t="inlineStr"/>
      <c r="AR356" t="inlineStr"/>
    </row>
    <row r="357">
      <c r="A357" t="inlineStr">
        <is>
          <t>Ekok</t>
        </is>
      </c>
      <c r="B357" t="inlineStr">
        <is>
          <t>SUO_015</t>
        </is>
      </c>
      <c r="C357" t="inlineStr">
        <is>
          <t>SUD-OUEST</t>
        </is>
      </c>
      <c r="D357" t="inlineStr">
        <is>
          <t>IHS</t>
        </is>
      </c>
      <c r="E357" t="inlineStr">
        <is>
          <t>Grid-Gen</t>
        </is>
      </c>
      <c r="F357" t="inlineStr">
        <is>
          <t>SUD-OUEST</t>
        </is>
      </c>
      <c r="G357" t="inlineStr">
        <is>
          <t>Ekok</t>
        </is>
      </c>
      <c r="H357" t="inlineStr">
        <is>
          <t>NOKIA</t>
        </is>
      </c>
      <c r="I357" t="n">
        <v>3.081152459956682</v>
      </c>
      <c r="J357" t="n">
        <v>3.081081119643413</v>
      </c>
      <c r="K357" t="n">
        <v>3.081116789800047</v>
      </c>
      <c r="L357" t="n">
        <v>3.081045449486778</v>
      </c>
      <c r="M357" t="n">
        <v>3.081116789800047</v>
      </c>
      <c r="N357" t="n">
        <v>21.57571270417931</v>
      </c>
      <c r="O357" t="n">
        <v>0</v>
      </c>
      <c r="P357" t="n">
        <v>0</v>
      </c>
      <c r="Q357" t="n">
        <v>3.081009779330143</v>
      </c>
      <c r="R357" t="inlineStr">
        <is>
          <t>EXCLU</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row>
    <row r="358">
      <c r="A358" t="inlineStr">
        <is>
          <t>Douggoy</t>
        </is>
      </c>
      <c r="B358" t="inlineStr">
        <is>
          <t>EXN_002</t>
        </is>
      </c>
      <c r="C358" t="inlineStr">
        <is>
          <t>Maroua</t>
        </is>
      </c>
      <c r="D358" t="inlineStr">
        <is>
          <t>IHS</t>
        </is>
      </c>
      <c r="E358" t="inlineStr">
        <is>
          <t>Grid-Gen</t>
        </is>
      </c>
      <c r="F358" t="inlineStr">
        <is>
          <t>EXTREME-NORD</t>
        </is>
      </c>
      <c r="G358" t="inlineStr">
        <is>
          <t>Maroua</t>
        </is>
      </c>
      <c r="H358" t="inlineStr">
        <is>
          <t>Huawei</t>
        </is>
      </c>
      <c r="I358" t="n">
        <v>0</v>
      </c>
      <c r="J358" t="n">
        <v>0</v>
      </c>
      <c r="K358" t="n">
        <v>8.107327220895293</v>
      </c>
      <c r="L358" t="n">
        <v>0</v>
      </c>
      <c r="M358" t="n">
        <v>0</v>
      </c>
      <c r="N358" t="n">
        <v>5.281834386452926</v>
      </c>
      <c r="O358" t="n">
        <v>6.741502357953292</v>
      </c>
      <c r="P358" t="n">
        <v>0.06771664401237122</v>
      </c>
      <c r="Q358" t="n">
        <v>3.052759015275389</v>
      </c>
      <c r="R358" t="inlineStr">
        <is>
          <t>Operationnel</t>
        </is>
      </c>
      <c r="S358" t="inlineStr"/>
      <c r="T358" t="inlineStr"/>
      <c r="U358" t="inlineStr"/>
      <c r="V358" t="inlineStr"/>
      <c r="W358" t="inlineStr"/>
      <c r="X358" t="inlineStr">
        <is>
          <t>{None hourly IHS}: 25/05/2026 06:57..2:03:00..44..Fme is informed and managing</t>
        </is>
      </c>
      <c r="Y358" t="inlineStr">
        <is>
          <t>25/05/2026 06 57.2 03 00.44.Fme is informed and managing</t>
        </is>
      </c>
      <c r="Z358" t="inlineStr"/>
      <c r="AA358" t="inlineStr"/>
      <c r="AB358" t="inlineStr"/>
      <c r="AC358" t="inlineStr"/>
      <c r="AD358" t="inlineStr"/>
      <c r="AE358" t="inlineStr">
        <is>
          <t>{None hourly IHS}: 25/05/2026 06:57..2:03:00..44..Fme is informed and managing</t>
        </is>
      </c>
      <c r="AF358" t="inlineStr"/>
      <c r="AG358" t="inlineStr"/>
      <c r="AH358" t="inlineStr"/>
      <c r="AI358" t="inlineStr"/>
      <c r="AJ358" t="inlineStr"/>
      <c r="AK358" t="inlineStr"/>
      <c r="AL358" t="inlineStr"/>
      <c r="AM358" t="inlineStr"/>
      <c r="AN358" t="inlineStr"/>
      <c r="AO358" t="inlineStr"/>
      <c r="AP358" t="inlineStr"/>
      <c r="AQ358" t="inlineStr"/>
      <c r="AR358" t="inlineStr"/>
    </row>
    <row r="359">
      <c r="A359" t="inlineStr">
        <is>
          <t>Mvog-Atangana-Mballa</t>
        </is>
      </c>
      <c r="B359" t="inlineStr">
        <is>
          <t>CTR_728</t>
        </is>
      </c>
      <c r="C359" t="inlineStr">
        <is>
          <t>Yaounde</t>
        </is>
      </c>
      <c r="D359" t="inlineStr">
        <is>
          <t>CAMUSAT</t>
        </is>
      </c>
      <c r="E359" t="inlineStr">
        <is>
          <t>Good Grid no GE - 8h</t>
        </is>
      </c>
      <c r="F359" t="inlineStr">
        <is>
          <t>CENTRE</t>
        </is>
      </c>
      <c r="G359" t="inlineStr">
        <is>
          <t>Yaounde</t>
        </is>
      </c>
      <c r="H359" t="inlineStr">
        <is>
          <t>ZTE</t>
        </is>
      </c>
      <c r="I359" t="n">
        <v>0</v>
      </c>
      <c r="J359" t="n">
        <v>0</v>
      </c>
      <c r="K359" t="n">
        <v>0</v>
      </c>
      <c r="L359" t="n">
        <v>0</v>
      </c>
      <c r="M359" t="n">
        <v>0</v>
      </c>
      <c r="N359" t="n">
        <v>1.405325148176125</v>
      </c>
      <c r="O359" t="n">
        <v>1.192470699837815</v>
      </c>
      <c r="P359" t="n">
        <v>4.686846773787559</v>
      </c>
      <c r="Q359" t="n">
        <v>3.045143436833861</v>
      </c>
      <c r="R359" t="inlineStr">
        <is>
          <t>Operationnel</t>
        </is>
      </c>
      <c r="S359" t="inlineStr"/>
      <c r="T359" t="inlineStr"/>
      <c r="U359" t="inlineStr"/>
      <c r="V359" t="inlineStr"/>
      <c r="W359" t="inlineStr"/>
      <c r="X359" t="inlineStr">
        <is>
          <t>{05-25-2026 ticket}: INC-20260525-00021678..Others</t>
        </is>
      </c>
      <c r="Y359" t="inlineStr"/>
      <c r="Z359" t="inlineStr">
        <is>
          <t>CTR_728</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is>
          <t>{05-25-2026 ticket}: INC-20260525-00021678..Others</t>
        </is>
      </c>
      <c r="AR359" t="inlineStr"/>
    </row>
    <row r="360">
      <c r="A360" t="inlineStr">
        <is>
          <t>Nkolmesseng-Ebama-Ewoulou</t>
        </is>
      </c>
      <c r="B360" t="inlineStr">
        <is>
          <t>CTR_564</t>
        </is>
      </c>
      <c r="C360" t="inlineStr">
        <is>
          <t>Yaounde</t>
        </is>
      </c>
      <c r="D360" t="inlineStr">
        <is>
          <t>CAMUSAT</t>
        </is>
      </c>
      <c r="E360" t="inlineStr">
        <is>
          <t>Good Grid no GE - 8h</t>
        </is>
      </c>
      <c r="F360" t="inlineStr">
        <is>
          <t>CENTRE</t>
        </is>
      </c>
      <c r="G360" t="inlineStr">
        <is>
          <t>Yaounde</t>
        </is>
      </c>
      <c r="H360" t="inlineStr">
        <is>
          <t>ZTE</t>
        </is>
      </c>
      <c r="I360" t="n">
        <v>13.86855689960706</v>
      </c>
      <c r="J360" t="n">
        <v>22.82772313109781</v>
      </c>
      <c r="K360" t="n">
        <v>0</v>
      </c>
      <c r="L360" t="n">
        <v>0.00936341611663285</v>
      </c>
      <c r="M360" t="n">
        <v>0</v>
      </c>
      <c r="N360" t="n">
        <v>1.619396184789516</v>
      </c>
      <c r="O360" t="n">
        <v>1.37575609208768</v>
      </c>
      <c r="P360" t="n">
        <v>4.451822138609267</v>
      </c>
      <c r="Q360" t="n">
        <v>3.014681123067747</v>
      </c>
      <c r="R360" t="inlineStr">
        <is>
          <t>Operationnel</t>
        </is>
      </c>
      <c r="S360" t="inlineStr"/>
      <c r="T360" t="inlineStr"/>
      <c r="U360" t="inlineStr"/>
      <c r="V360" t="inlineStr"/>
      <c r="W360" t="inlineStr"/>
      <c r="X360" t="inlineStr">
        <is>
          <t>{05-25-2026 retour CAMUSAT}: Grid outage Grid only site     ;    {05-25-2026 ticket}: INC-20260525-00017021..power fluctuation in site..Grid Outage</t>
        </is>
      </c>
      <c r="Y360" t="inlineStr">
        <is>
          <t>Grid outage Grid only site .power fluctuation in site.Grid Outage</t>
        </is>
      </c>
      <c r="Z360" t="inlineStr"/>
      <c r="AA360" t="inlineStr"/>
      <c r="AB360" t="inlineStr"/>
      <c r="AC360" t="inlineStr">
        <is>
          <t>{05-25-2026 retour CAMUSAT}: Grid outage Grid only site</t>
        </is>
      </c>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is>
          <t>{05-25-2026 ticket}: INC-20260525-00017021..power fluctuation in site..Grid Outage</t>
        </is>
      </c>
      <c r="AR360" t="inlineStr"/>
    </row>
    <row r="361">
      <c r="A361" t="inlineStr">
        <is>
          <t>Bandjoun-IUT</t>
        </is>
      </c>
      <c r="B361" t="inlineStr">
        <is>
          <t>OST_239</t>
        </is>
      </c>
      <c r="C361" t="inlineStr">
        <is>
          <t>OUEST</t>
        </is>
      </c>
      <c r="D361" t="inlineStr">
        <is>
          <t>CAMUSAT</t>
        </is>
      </c>
      <c r="E361" t="inlineStr">
        <is>
          <t>Good Grid + GE</t>
        </is>
      </c>
      <c r="F361" t="inlineStr">
        <is>
          <t>OUEST</t>
        </is>
      </c>
      <c r="G361" t="inlineStr">
        <is>
          <t>Bandjoun</t>
        </is>
      </c>
      <c r="H361" t="inlineStr">
        <is>
          <t>Huawei</t>
        </is>
      </c>
      <c r="I361" t="n">
        <v>0</v>
      </c>
      <c r="J361" t="n">
        <v>0</v>
      </c>
      <c r="K361" t="n">
        <v>0</v>
      </c>
      <c r="L361" t="n">
        <v>0</v>
      </c>
      <c r="M361" t="n">
        <v>0</v>
      </c>
      <c r="N361" t="n">
        <v>1.987088793768409</v>
      </c>
      <c r="O361" t="n">
        <v>3.420264797984435</v>
      </c>
      <c r="P361" t="n">
        <v>3.031687832563962</v>
      </c>
      <c r="Q361" t="n">
        <v>3.012968955549278</v>
      </c>
      <c r="R361" t="inlineStr">
        <is>
          <t>Operationnel</t>
        </is>
      </c>
      <c r="S361" t="inlineStr"/>
      <c r="T361" t="inlineStr"/>
      <c r="U361" t="inlineStr"/>
      <c r="V361" t="inlineStr"/>
      <c r="W361" t="inlineStr"/>
      <c r="X361" t="inlineStr">
        <is>
          <t>{05-25-2026 ocm ran 17H}: Power status check Ongoing</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{05-25-2026 ocm ran 17H}: Power status check Ongoing</t>
        </is>
      </c>
      <c r="AQ361" t="inlineStr"/>
      <c r="AR361" t="inlineStr"/>
    </row>
    <row r="362">
      <c r="A362" t="inlineStr">
        <is>
          <t>Yansoki-MTN</t>
        </is>
      </c>
      <c r="B362" t="inlineStr">
        <is>
          <t>LIT_698</t>
        </is>
      </c>
      <c r="C362" t="inlineStr">
        <is>
          <t>Douala</t>
        </is>
      </c>
      <c r="D362" t="inlineStr">
        <is>
          <t>MTN sharing</t>
        </is>
      </c>
      <c r="E362" t="inlineStr">
        <is>
          <t>MTN</t>
        </is>
      </c>
      <c r="F362" t="inlineStr">
        <is>
          <t>LITTORAL</t>
        </is>
      </c>
      <c r="G362" t="inlineStr">
        <is>
          <t>Douala</t>
        </is>
      </c>
      <c r="H362" t="inlineStr">
        <is>
          <t>ZTE</t>
        </is>
      </c>
      <c r="I362" t="n">
        <v>0</v>
      </c>
      <c r="J362" t="n">
        <v>0.4842223763172986</v>
      </c>
      <c r="K362" t="n">
        <v>3.060321088481963</v>
      </c>
      <c r="L362" t="n">
        <v>0</v>
      </c>
      <c r="M362" t="n">
        <v>20.75311115106169</v>
      </c>
      <c r="N362" t="n">
        <v>2.275847391580639</v>
      </c>
      <c r="O362" t="n">
        <v>1.939318828605527</v>
      </c>
      <c r="P362" t="n">
        <v>3.878316884344895</v>
      </c>
      <c r="Q362" t="n">
        <v>2.998540377190503</v>
      </c>
      <c r="R362" t="inlineStr">
        <is>
          <t>Operationnel</t>
        </is>
      </c>
      <c r="S362" t="inlineStr"/>
      <c r="T362" t="inlineStr"/>
      <c r="U362" t="inlineStr"/>
      <c r="V362" t="inlineStr"/>
      <c r="W362" t="inlineStr"/>
      <c r="X362" t="inlineStr">
        <is>
          <t>{05-25-2026 top offenders}: Power MTN     ;    {05-25-2026 ticket}: INC-20260525-00025522</t>
        </is>
      </c>
      <c r="Y362" t="inlineStr">
        <is>
          <t>Power MTN</t>
        </is>
      </c>
      <c r="Z362" t="inlineStr"/>
      <c r="AA362" t="inlineStr"/>
      <c r="AB362" t="inlineStr">
        <is>
          <t>{05-25-2026 top offenders}: Power MTN</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is>
          <t>{05-25-2026 ticket}: INC-20260525-00025522</t>
        </is>
      </c>
      <c r="AR362" t="inlineStr"/>
    </row>
    <row r="363">
      <c r="A363" t="inlineStr">
        <is>
          <t>Lada</t>
        </is>
      </c>
      <c r="B363" t="inlineStr">
        <is>
          <t>CTR_667</t>
        </is>
      </c>
      <c r="C363" t="inlineStr">
        <is>
          <t>Yaounde</t>
        </is>
      </c>
      <c r="D363" t="inlineStr">
        <is>
          <t>CAMUSAT</t>
        </is>
      </c>
      <c r="E363" t="inlineStr">
        <is>
          <t>Bad Grid + Solar + GE</t>
        </is>
      </c>
      <c r="F363" t="inlineStr">
        <is>
          <t>CENTRE</t>
        </is>
      </c>
      <c r="G363" t="inlineStr">
        <is>
          <t>Lada</t>
        </is>
      </c>
      <c r="H363" t="inlineStr">
        <is>
          <t>ZTE</t>
        </is>
      </c>
      <c r="I363" t="n">
        <v>0</v>
      </c>
      <c r="J363" t="n">
        <v>0</v>
      </c>
      <c r="K363" t="n">
        <v>0</v>
      </c>
      <c r="L363" t="n">
        <v>0</v>
      </c>
      <c r="M363" t="n">
        <v>0.06466999397887788</v>
      </c>
      <c r="N363" t="n">
        <v>3.120641144003613</v>
      </c>
      <c r="O363" t="n">
        <v>2.223437749693143</v>
      </c>
      <c r="P363" t="n">
        <v>3.405565788292872</v>
      </c>
      <c r="Q363" t="n">
        <v>2.968024558189439</v>
      </c>
      <c r="R363" t="inlineStr">
        <is>
          <t>exclu</t>
        </is>
      </c>
      <c r="S363" t="inlineStr">
        <is>
          <t>site vandalise</t>
        </is>
      </c>
      <c r="T363" t="inlineStr"/>
      <c r="U363" t="inlineStr"/>
      <c r="V363" t="inlineStr"/>
      <c r="W363" t="inlineStr"/>
      <c r="X363" t="inlineStr">
        <is>
          <t>{05-25-2026 retour CAMUSAT}: Site Vandalisé     ;    {05-25-2026 ticket}: INC-20260525-00019118..power..Grid Outage</t>
        </is>
      </c>
      <c r="Y363" t="inlineStr">
        <is>
          <t>Site Vandalisé .power.Grid Outage</t>
        </is>
      </c>
      <c r="Z363" t="inlineStr"/>
      <c r="AA363" t="inlineStr"/>
      <c r="AB363" t="inlineStr"/>
      <c r="AC363" t="inlineStr">
        <is>
          <t>{05-25-2026 retour CAMUSAT}: Site Vandalisé</t>
        </is>
      </c>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is>
          <t>{05-25-2026 ticket}: INC-20260525-00019118..power..Grid Outage</t>
        </is>
      </c>
      <c r="AR363" t="inlineStr"/>
    </row>
    <row r="364">
      <c r="A364" t="inlineStr">
        <is>
          <t>Ntumbaw</t>
        </is>
      </c>
      <c r="B364" t="inlineStr">
        <is>
          <t>NRO_245</t>
        </is>
      </c>
      <c r="C364" t="inlineStr">
        <is>
          <t>NORD-OUEST</t>
        </is>
      </c>
      <c r="D364" t="inlineStr">
        <is>
          <t>IHS</t>
        </is>
      </c>
      <c r="E364" t="inlineStr">
        <is>
          <t>Gen Only</t>
        </is>
      </c>
      <c r="F364" t="inlineStr">
        <is>
          <t>NORD-OUEST</t>
        </is>
      </c>
      <c r="G364" t="inlineStr">
        <is>
          <t>Ntumbaw</t>
        </is>
      </c>
      <c r="H364" t="inlineStr">
        <is>
          <t>NOKIA</t>
        </is>
      </c>
      <c r="I364" t="n">
        <v>0.01904786364297883</v>
      </c>
      <c r="J364" t="n">
        <v>0</v>
      </c>
      <c r="K364" t="n">
        <v>0</v>
      </c>
      <c r="L364" t="n">
        <v>0.9224659207323509</v>
      </c>
      <c r="M364" t="n">
        <v>0.001694332440152762</v>
      </c>
      <c r="N364" t="n">
        <v>10.37370258463924</v>
      </c>
      <c r="O364" t="n">
        <v>4.421959311280435</v>
      </c>
      <c r="P364" t="n">
        <v>0</v>
      </c>
      <c r="Q364" t="n">
        <v>2.965866513713035</v>
      </c>
      <c r="R364" t="inlineStr">
        <is>
          <t>Insecurity</t>
        </is>
      </c>
      <c r="S364" t="inlineStr"/>
      <c r="T364" t="inlineStr"/>
      <c r="U364" t="inlineStr"/>
      <c r="V364" t="inlineStr"/>
      <c r="W364" t="inlineStr"/>
      <c r="X364" t="inlineStr">
        <is>
          <t>{05-25-2026 ticket}: INC-20260525-00012469..generator issue on site..Grid Outage</t>
        </is>
      </c>
      <c r="Y364" t="inlineStr">
        <is>
          <t>.generator issue on site.Grid Outage</t>
        </is>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is>
          <t>{05-25-2026 ticket}: INC-20260525-00012469..generator issue on site..Grid Outage</t>
        </is>
      </c>
      <c r="AR364" t="inlineStr"/>
    </row>
    <row r="365">
      <c r="A365" t="inlineStr">
        <is>
          <t>Yagoua-Quinf-II</t>
        </is>
      </c>
      <c r="B365" t="inlineStr">
        <is>
          <t>EXN_236</t>
        </is>
      </c>
      <c r="C365" t="inlineStr">
        <is>
          <t>EXTREME-NORD</t>
        </is>
      </c>
      <c r="D365" t="inlineStr">
        <is>
          <t>CAMUSAT</t>
        </is>
      </c>
      <c r="E365" t="inlineStr">
        <is>
          <t>Bad Grid + GE</t>
        </is>
      </c>
      <c r="F365" t="inlineStr">
        <is>
          <t>EXTREME-NORD</t>
        </is>
      </c>
      <c r="G365" t="inlineStr">
        <is>
          <t>Yagoua</t>
        </is>
      </c>
      <c r="H365" t="inlineStr">
        <is>
          <t>Huawei</t>
        </is>
      </c>
      <c r="I365" t="n">
        <v>0.5968865660482889</v>
      </c>
      <c r="J365" t="n">
        <v>0</v>
      </c>
      <c r="K365" t="n">
        <v>0</v>
      </c>
      <c r="L365" t="n">
        <v>0.8344319741576849</v>
      </c>
      <c r="M365" t="n">
        <v>1.126106844960377</v>
      </c>
      <c r="N365" t="n">
        <v>3.88550172056161</v>
      </c>
      <c r="O365" t="n">
        <v>6.591367714910357</v>
      </c>
      <c r="P365" t="n">
        <v>0.3522633501653654</v>
      </c>
      <c r="Q365" t="n">
        <v>2.951348759962674</v>
      </c>
      <c r="R365" t="inlineStr">
        <is>
          <t>Insecurity</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row>
    <row r="366">
      <c r="A366" t="inlineStr">
        <is>
          <t>Ekounou-II</t>
        </is>
      </c>
      <c r="B366" t="inlineStr">
        <is>
          <t>CTR_719</t>
        </is>
      </c>
      <c r="C366" t="inlineStr">
        <is>
          <t>Yaounde</t>
        </is>
      </c>
      <c r="D366" t="inlineStr">
        <is>
          <t>CAMUSAT</t>
        </is>
      </c>
      <c r="E366" t="inlineStr">
        <is>
          <t>Good Grid no GE - 8h</t>
        </is>
      </c>
      <c r="F366" t="inlineStr">
        <is>
          <t>CENTRE</t>
        </is>
      </c>
      <c r="G366" t="inlineStr">
        <is>
          <t>Yaounde</t>
        </is>
      </c>
      <c r="H366" t="inlineStr">
        <is>
          <t>ZTE</t>
        </is>
      </c>
      <c r="I366" t="n">
        <v>0</v>
      </c>
      <c r="J366" t="n">
        <v>0</v>
      </c>
      <c r="K366" t="n">
        <v>0</v>
      </c>
      <c r="L366" t="n">
        <v>0</v>
      </c>
      <c r="M366" t="n">
        <v>0.00133763087380456</v>
      </c>
      <c r="N366" t="n">
        <v>2.570226290820874</v>
      </c>
      <c r="O366" t="n">
        <v>2.181043041572739</v>
      </c>
      <c r="P366" t="n">
        <v>3.517708654816391</v>
      </c>
      <c r="Q366" t="n">
        <v>2.933674197350135</v>
      </c>
      <c r="R366" t="inlineStr">
        <is>
          <t>Operationnel</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row>
    <row r="367">
      <c r="A367" t="inlineStr">
        <is>
          <t>Boussa-IHS</t>
        </is>
      </c>
      <c r="B367" t="inlineStr">
        <is>
          <t>NRD_129</t>
        </is>
      </c>
      <c r="C367" t="inlineStr">
        <is>
          <t>NORD</t>
        </is>
      </c>
      <c r="D367" t="inlineStr">
        <is>
          <t>IHS</t>
        </is>
      </c>
      <c r="E367" t="inlineStr">
        <is>
          <t>Solar-Gen</t>
        </is>
      </c>
      <c r="F367" t="inlineStr">
        <is>
          <t>NORD</t>
        </is>
      </c>
      <c r="G367" t="inlineStr">
        <is>
          <t>Boussa</t>
        </is>
      </c>
      <c r="H367" t="inlineStr">
        <is>
          <t>NOKIA</t>
        </is>
      </c>
      <c r="I367" t="n">
        <v>7.27856680164254</v>
      </c>
      <c r="J367" t="n">
        <v>7.036098911917542</v>
      </c>
      <c r="K367" t="n">
        <v>4.430709549168695</v>
      </c>
      <c r="L367" t="n">
        <v>22.83060956273266</v>
      </c>
      <c r="M367" t="n">
        <v>10.05799056340839</v>
      </c>
      <c r="N367" t="n">
        <v>0</v>
      </c>
      <c r="O367" t="n">
        <v>8.533156252342181</v>
      </c>
      <c r="P367" t="n">
        <v>0</v>
      </c>
      <c r="Q367" t="n">
        <v>2.864678975476181</v>
      </c>
      <c r="R367" t="inlineStr">
        <is>
          <t>Operationnel</t>
        </is>
      </c>
      <c r="S367" t="inlineStr"/>
      <c r="T367" t="inlineStr"/>
      <c r="U367" t="inlineStr"/>
      <c r="V367" t="inlineStr"/>
      <c r="W367" t="inlineStr"/>
      <c r="X367" t="inlineStr">
        <is>
          <t>{05-25-2026 ticket}: INC-20260525-00016392..Grid Outage</t>
        </is>
      </c>
      <c r="Y367" t="inlineStr">
        <is>
          <t>.Grid Outage</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is>
          <t>{05-25-2026 ticket}: INC-20260525-00016392..Grid Outage</t>
        </is>
      </c>
      <c r="AR367" t="inlineStr"/>
    </row>
    <row r="368">
      <c r="A368" t="inlineStr">
        <is>
          <t>CRH-Etoug-Ebe</t>
        </is>
      </c>
      <c r="B368" t="inlineStr">
        <is>
          <t>CTR_265</t>
        </is>
      </c>
      <c r="C368" t="inlineStr">
        <is>
          <t>Yaounde</t>
        </is>
      </c>
      <c r="D368" t="inlineStr">
        <is>
          <t>IHS</t>
        </is>
      </c>
      <c r="E368" t="inlineStr">
        <is>
          <t>Grid-Gen</t>
        </is>
      </c>
      <c r="F368" t="inlineStr">
        <is>
          <t>CENTRE</t>
        </is>
      </c>
      <c r="G368" t="inlineStr">
        <is>
          <t>Yaounde</t>
        </is>
      </c>
      <c r="H368" t="inlineStr">
        <is>
          <t>ZTE</t>
        </is>
      </c>
      <c r="I368" t="n">
        <v>6.525569795082085</v>
      </c>
      <c r="J368" t="n">
        <v>0.7940711919254179</v>
      </c>
      <c r="K368" t="n">
        <v>0</v>
      </c>
      <c r="L368" t="n">
        <v>0</v>
      </c>
      <c r="M368" t="n">
        <v>0</v>
      </c>
      <c r="N368" t="n">
        <v>2.097871179693776</v>
      </c>
      <c r="O368" t="n">
        <v>1.890230219202954</v>
      </c>
      <c r="P368" t="n">
        <v>3.693635127947521</v>
      </c>
      <c r="Q368" t="n">
        <v>2.860336355309004</v>
      </c>
      <c r="R368" t="inlineStr">
        <is>
          <t>Operationnel</t>
        </is>
      </c>
      <c r="S368" t="inlineStr"/>
      <c r="T368" t="inlineStr"/>
      <c r="U368" t="inlineStr"/>
      <c r="V368" t="inlineStr"/>
      <c r="W368" t="inlineStr"/>
      <c r="X368" t="inlineStr">
        <is>
          <t>{05-25-2026 retour IHS}: IHS     ;    {None hourly IHS}: 25/05/2026 21:47..1:12:12..Fme Martial is informed ETA 10:15 PM     ;    {05-25-2026 ocm ran 22H}: Power status check Ongoing</t>
        </is>
      </c>
      <c r="Y368" t="inlineStr">
        <is>
          <t>IHS 25/05/2026 21 47.1 12 12.Fme Martial is informed ETA 10 15 PM</t>
        </is>
      </c>
      <c r="Z368" t="inlineStr"/>
      <c r="AA368" t="inlineStr"/>
      <c r="AB368" t="inlineStr"/>
      <c r="AC368" t="inlineStr"/>
      <c r="AD368" t="inlineStr">
        <is>
          <t>{05-25-2026 retour IHS}: IHS</t>
        </is>
      </c>
      <c r="AE368" t="inlineStr">
        <is>
          <t>{None hourly IHS}: 25/05/2026 21:47..1:12:12..Fme Martial is informed ETA 10:15 PM</t>
        </is>
      </c>
      <c r="AF368" t="inlineStr"/>
      <c r="AG368" t="inlineStr"/>
      <c r="AH368" t="inlineStr"/>
      <c r="AI368" t="inlineStr"/>
      <c r="AJ368" t="inlineStr"/>
      <c r="AK368" t="inlineStr"/>
      <c r="AL368" t="inlineStr"/>
      <c r="AM368" t="inlineStr"/>
      <c r="AN368" t="inlineStr"/>
      <c r="AO368" t="inlineStr">
        <is>
          <t>{05-25-2026 ocm ran 22H}: Power status check Ongoing</t>
        </is>
      </c>
      <c r="AP368" t="inlineStr"/>
      <c r="AQ368" t="inlineStr"/>
      <c r="AR368" t="inlineStr"/>
    </row>
    <row r="369">
      <c r="A369" t="inlineStr">
        <is>
          <t>Brazzaville</t>
        </is>
      </c>
      <c r="B369" t="inlineStr">
        <is>
          <t>LIT_081</t>
        </is>
      </c>
      <c r="C369" t="inlineStr">
        <is>
          <t>Douala</t>
        </is>
      </c>
      <c r="D369" t="inlineStr">
        <is>
          <t>IHS</t>
        </is>
      </c>
      <c r="E369" t="inlineStr">
        <is>
          <t>Grid-Gen</t>
        </is>
      </c>
      <c r="F369" t="inlineStr">
        <is>
          <t>LITTORAL</t>
        </is>
      </c>
      <c r="G369" t="inlineStr">
        <is>
          <t>Douala</t>
        </is>
      </c>
      <c r="H369" t="inlineStr">
        <is>
          <t>ZTE</t>
        </is>
      </c>
      <c r="I369" t="n">
        <v>0</v>
      </c>
      <c r="J369" t="n">
        <v>0</v>
      </c>
      <c r="K369" t="n">
        <v>0</v>
      </c>
      <c r="L369" t="n">
        <v>0</v>
      </c>
      <c r="M369" t="n">
        <v>0</v>
      </c>
      <c r="N369" t="n">
        <v>1.208739493783197</v>
      </c>
      <c r="O369" t="n">
        <v>1.074955543995294</v>
      </c>
      <c r="P369" t="n">
        <v>4.443956063799743</v>
      </c>
      <c r="Q369" t="n">
        <v>2.85095510411405</v>
      </c>
      <c r="R369" t="inlineStr">
        <is>
          <t>Operationnel</t>
        </is>
      </c>
      <c r="S369" t="inlineStr"/>
      <c r="T369" t="inlineStr"/>
      <c r="U369" t="inlineStr"/>
      <c r="V369" t="inlineStr"/>
      <c r="W369" t="inlineStr"/>
      <c r="X369" t="inlineStr">
        <is>
          <t>{05-25-2026 ticket}: INC-20260525-00022571..Grid Outage</t>
        </is>
      </c>
      <c r="Y369" t="inlineStr">
        <is>
          <t>.Grid Outage</t>
        </is>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is>
          <t>{05-25-2026 ticket}: INC-20260525-00022571..Grid Outage</t>
        </is>
      </c>
      <c r="AR369" t="inlineStr"/>
    </row>
    <row r="370">
      <c r="A370" t="inlineStr">
        <is>
          <t>Mbanga-Bakoko-SIC</t>
        </is>
      </c>
      <c r="B370" t="inlineStr">
        <is>
          <t>LIT_614</t>
        </is>
      </c>
      <c r="C370" t="inlineStr">
        <is>
          <t>Douala</t>
        </is>
      </c>
      <c r="D370" t="inlineStr">
        <is>
          <t>IHS</t>
        </is>
      </c>
      <c r="E370" t="inlineStr">
        <is>
          <t>Grid + Gen</t>
        </is>
      </c>
      <c r="F370" t="inlineStr">
        <is>
          <t>LITTORAL</t>
        </is>
      </c>
      <c r="G370" t="inlineStr">
        <is>
          <t>Douala</t>
        </is>
      </c>
      <c r="H370" t="inlineStr">
        <is>
          <t>ZTE</t>
        </is>
      </c>
      <c r="I370" t="n">
        <v>3.598548081944338</v>
      </c>
      <c r="J370" t="n">
        <v>12.05531799231237</v>
      </c>
      <c r="K370" t="n">
        <v>0</v>
      </c>
      <c r="L370" t="n">
        <v>2.208303727103325</v>
      </c>
      <c r="M370" t="n">
        <v>4.458252362077773</v>
      </c>
      <c r="N370" t="n">
        <v>0.5017055741400189</v>
      </c>
      <c r="O370" t="n">
        <v>0.8446003379676373</v>
      </c>
      <c r="P370" t="n">
        <v>4.773339396366997</v>
      </c>
      <c r="Q370" t="n">
        <v>2.844427465449887</v>
      </c>
      <c r="R370" t="inlineStr">
        <is>
          <t>Operationnel</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row>
    <row r="371">
      <c r="A371" t="inlineStr">
        <is>
          <t>Av-Germaine</t>
        </is>
      </c>
      <c r="B371" t="inlineStr">
        <is>
          <t>CTR_090</t>
        </is>
      </c>
      <c r="C371" t="inlineStr">
        <is>
          <t>Yaounde</t>
        </is>
      </c>
      <c r="D371" t="inlineStr">
        <is>
          <t>IHS</t>
        </is>
      </c>
      <c r="E371" t="inlineStr">
        <is>
          <t>Grid-Lithium</t>
        </is>
      </c>
      <c r="F371" t="inlineStr">
        <is>
          <t>CENTRE</t>
        </is>
      </c>
      <c r="G371" t="inlineStr">
        <is>
          <t>Yaounde</t>
        </is>
      </c>
      <c r="H371" t="inlineStr">
        <is>
          <t>ZTE</t>
        </is>
      </c>
      <c r="I371" t="n">
        <v>0</v>
      </c>
      <c r="J371" t="n">
        <v>0</v>
      </c>
      <c r="K371" t="n">
        <v>0</v>
      </c>
      <c r="L371" t="n">
        <v>0</v>
      </c>
      <c r="M371" t="n">
        <v>0</v>
      </c>
      <c r="N371" t="n">
        <v>1.451161828711197</v>
      </c>
      <c r="O371" t="n">
        <v>1.029054506631849</v>
      </c>
      <c r="P371" t="n">
        <v>4.267379784488702</v>
      </c>
      <c r="Q371" t="n">
        <v>2.778080974109173</v>
      </c>
      <c r="R371" t="inlineStr">
        <is>
          <t>Operationnel</t>
        </is>
      </c>
      <c r="S371" t="inlineStr"/>
      <c r="T371" t="inlineStr"/>
      <c r="U371" t="inlineStr"/>
      <c r="V371" t="inlineStr"/>
      <c r="W371" t="inlineStr"/>
      <c r="X371" t="inlineStr">
        <is>
          <t>{05-25-2026 ticket}: INC-20260525-00022080..power issues responsabilité ihs..Grid Outage</t>
        </is>
      </c>
      <c r="Y371" t="inlineStr">
        <is>
          <t>.power issues responsabilité ihs.Grid Outage</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is>
          <t>{05-25-2026 ticket}: INC-20260525-00022080..power issues responsabilité ihs..Grid Outage</t>
        </is>
      </c>
      <c r="AR371" t="inlineStr"/>
    </row>
    <row r="372">
      <c r="A372" t="inlineStr">
        <is>
          <t>Nkolagaa-II</t>
        </is>
      </c>
      <c r="B372" t="inlineStr">
        <is>
          <t>CTR_670</t>
        </is>
      </c>
      <c r="C372" t="inlineStr">
        <is>
          <t>Yaounde</t>
        </is>
      </c>
      <c r="D372" t="inlineStr">
        <is>
          <t>CAMUSAT</t>
        </is>
      </c>
      <c r="E372" t="inlineStr">
        <is>
          <t>Good Grid + GE</t>
        </is>
      </c>
      <c r="F372" t="inlineStr">
        <is>
          <t>CENTRE</t>
        </is>
      </c>
      <c r="G372" t="inlineStr">
        <is>
          <t>Yaounde</t>
        </is>
      </c>
      <c r="H372" t="inlineStr">
        <is>
          <t>ZTE</t>
        </is>
      </c>
      <c r="I372" t="n">
        <v>0</v>
      </c>
      <c r="J372" t="n">
        <v>0</v>
      </c>
      <c r="K372" t="n">
        <v>0</v>
      </c>
      <c r="L372" t="n">
        <v>0</v>
      </c>
      <c r="M372" t="n">
        <v>0.06317184740021636</v>
      </c>
      <c r="N372" t="n">
        <v>2.548119771870716</v>
      </c>
      <c r="O372" t="n">
        <v>2.31545232922264</v>
      </c>
      <c r="P372" t="n">
        <v>3.081620307441773</v>
      </c>
      <c r="Q372" t="n">
        <v>2.748225053005853</v>
      </c>
      <c r="R372" t="inlineStr">
        <is>
          <t>Operationnel</t>
        </is>
      </c>
      <c r="S372" t="inlineStr"/>
      <c r="T372" t="inlineStr"/>
      <c r="U372" t="inlineStr"/>
      <c r="V372" t="inlineStr"/>
      <c r="W372" t="inlineStr"/>
      <c r="X372" t="inlineStr">
        <is>
          <t>{05-25-2026 retour CAMUSAT}: No power issue      ;    {05-25-2026 ticket}: INC-20260525-00019108..power..Grid Outage</t>
        </is>
      </c>
      <c r="Y372" t="inlineStr">
        <is>
          <t>No power issue .power.Grid Outage</t>
        </is>
      </c>
      <c r="Z372" t="inlineStr"/>
      <c r="AA372" t="inlineStr"/>
      <c r="AB372" t="inlineStr"/>
      <c r="AC372" t="inlineStr">
        <is>
          <t xml:space="preserve">{05-25-2026 retour CAMUSAT}: No power issue </t>
        </is>
      </c>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is>
          <t>{05-25-2026 ticket}: INC-20260525-00019108..power..Grid Outage</t>
        </is>
      </c>
      <c r="AR372" t="inlineStr"/>
    </row>
    <row r="373">
      <c r="A373" t="inlineStr">
        <is>
          <t>Ngalbidje-MTN-IHS</t>
        </is>
      </c>
      <c r="B373" t="inlineStr">
        <is>
          <t>NRD_117</t>
        </is>
      </c>
      <c r="C373" t="inlineStr">
        <is>
          <t>NORD</t>
        </is>
      </c>
      <c r="D373" t="inlineStr">
        <is>
          <t>IHS</t>
        </is>
      </c>
      <c r="E373" t="inlineStr">
        <is>
          <t>Grid-Gen</t>
        </is>
      </c>
      <c r="F373" t="inlineStr">
        <is>
          <t>NORD</t>
        </is>
      </c>
      <c r="G373" t="inlineStr">
        <is>
          <t>Garoua</t>
        </is>
      </c>
      <c r="H373" t="inlineStr">
        <is>
          <t>Huawei</t>
        </is>
      </c>
      <c r="I373" t="n">
        <v>0.2282890024626676</v>
      </c>
      <c r="J373" t="n">
        <v>4.488714675843885</v>
      </c>
      <c r="K373" t="n">
        <v>0.113520273490225</v>
      </c>
      <c r="L373" t="n">
        <v>3.559275239489431</v>
      </c>
      <c r="M373" t="n">
        <v>4.697188906295927</v>
      </c>
      <c r="N373" t="n">
        <v>2.269977298978055</v>
      </c>
      <c r="O373" t="n">
        <v>2.909722009717419</v>
      </c>
      <c r="P373" t="n">
        <v>2.754494196341605</v>
      </c>
      <c r="Q373" t="n">
        <v>2.737416995545511</v>
      </c>
      <c r="R373" t="inlineStr">
        <is>
          <t>Operationnel</t>
        </is>
      </c>
      <c r="S373" t="inlineStr"/>
      <c r="T373" t="inlineStr"/>
      <c r="U373" t="inlineStr"/>
      <c r="V373" t="inlineStr"/>
      <c r="W373" t="inlineStr"/>
      <c r="X373" t="inlineStr">
        <is>
          <t>{05-25-2026 retour IHS}: IHS</t>
        </is>
      </c>
      <c r="Y373" t="inlineStr">
        <is>
          <t>IHS</t>
        </is>
      </c>
      <c r="Z373" t="inlineStr"/>
      <c r="AA373" t="inlineStr"/>
      <c r="AB373" t="inlineStr"/>
      <c r="AC373" t="inlineStr"/>
      <c r="AD373" t="inlineStr">
        <is>
          <t>{05-25-2026 retour IHS}: IHS</t>
        </is>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row>
    <row r="374">
      <c r="A374" t="inlineStr">
        <is>
          <t>LIT_851_Z_Yassa-La-Perle</t>
        </is>
      </c>
      <c r="B374" t="inlineStr">
        <is>
          <t>LIT_851</t>
        </is>
      </c>
      <c r="C374" t="inlineStr">
        <is>
          <t>Douala</t>
        </is>
      </c>
      <c r="D374" t="inlineStr">
        <is>
          <t>CAMUSAT</t>
        </is>
      </c>
      <c r="E374" t="inlineStr">
        <is>
          <t>Good-Grid + solar + SE</t>
        </is>
      </c>
      <c r="F374" t="inlineStr">
        <is>
          <t>LITTORAL</t>
        </is>
      </c>
      <c r="G374" t="inlineStr">
        <is>
          <t>Douala</t>
        </is>
      </c>
      <c r="H374" t="inlineStr">
        <is>
          <t>ZTE</t>
        </is>
      </c>
      <c r="I374" t="n">
        <v>0.1283412235719807</v>
      </c>
      <c r="J374" t="n">
        <v>11.5344266949745</v>
      </c>
      <c r="K374" t="n">
        <v>0.1203689435641053</v>
      </c>
      <c r="L374" t="n">
        <v>0.2420398478453793</v>
      </c>
      <c r="M374" t="n">
        <v>0.3653159091752207</v>
      </c>
      <c r="N374" t="n">
        <v>1.88567357688972</v>
      </c>
      <c r="O374" t="n">
        <v>1.601542444859254</v>
      </c>
      <c r="P374" t="n">
        <v>3.686076856065332</v>
      </c>
      <c r="Q374" t="n">
        <v>2.729177189362874</v>
      </c>
      <c r="R374" t="inlineStr">
        <is>
          <t>Operationnel</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row>
    <row r="375">
      <c r="A375" t="inlineStr">
        <is>
          <t>Ngd-Q-Haoussa</t>
        </is>
      </c>
      <c r="B375" t="inlineStr">
        <is>
          <t>ADM_048</t>
        </is>
      </c>
      <c r="C375" t="inlineStr">
        <is>
          <t>Ngaoundere</t>
        </is>
      </c>
      <c r="D375" t="inlineStr">
        <is>
          <t>IHS</t>
        </is>
      </c>
      <c r="E375" t="inlineStr">
        <is>
          <t>Grid-Gen</t>
        </is>
      </c>
      <c r="F375" t="inlineStr">
        <is>
          <t>ADAMAOUA</t>
        </is>
      </c>
      <c r="G375" t="inlineStr">
        <is>
          <t>Ngaoundere</t>
        </is>
      </c>
      <c r="H375" t="inlineStr">
        <is>
          <t>Huawei</t>
        </is>
      </c>
      <c r="I375" t="n">
        <v>0</v>
      </c>
      <c r="J375" t="n">
        <v>0</v>
      </c>
      <c r="K375" t="n">
        <v>0</v>
      </c>
      <c r="L375" t="n">
        <v>4.278902814518039</v>
      </c>
      <c r="M375" t="n">
        <v>0</v>
      </c>
      <c r="N375" t="n">
        <v>4.596157612236171</v>
      </c>
      <c r="O375" t="n">
        <v>5.866248202209371</v>
      </c>
      <c r="P375" t="n">
        <v>0.04907746674633973</v>
      </c>
      <c r="Q375" t="n">
        <v>2.651291402350807</v>
      </c>
      <c r="R375" t="inlineStr">
        <is>
          <t>Operationnel</t>
        </is>
      </c>
      <c r="S375" t="inlineStr"/>
      <c r="T375" t="inlineStr"/>
      <c r="U375" t="inlineStr"/>
      <c r="V375" t="inlineStr"/>
      <c r="W375" t="inlineStr"/>
      <c r="X375" t="inlineStr">
        <is>
          <t>{None hourly IHS}: 25/05/2026 20:35..2:24:04..FME Joseph is managing with level 0     ;    {05-25-2026 ocm ran 22H}: Power status check Ongoing</t>
        </is>
      </c>
      <c r="Y375" t="inlineStr">
        <is>
          <t>25/05/2026 20 35.2 24 04.FME Joseph is managing with level 0</t>
        </is>
      </c>
      <c r="Z375" t="inlineStr"/>
      <c r="AA375" t="inlineStr"/>
      <c r="AB375" t="inlineStr"/>
      <c r="AC375" t="inlineStr"/>
      <c r="AD375" t="inlineStr"/>
      <c r="AE375" t="inlineStr">
        <is>
          <t>{None hourly IHS}: 25/05/2026 20:35..2:24:04..FME Joseph is managing with level 0</t>
        </is>
      </c>
      <c r="AF375" t="inlineStr"/>
      <c r="AG375" t="inlineStr"/>
      <c r="AH375" t="inlineStr"/>
      <c r="AI375" t="inlineStr"/>
      <c r="AJ375" t="inlineStr"/>
      <c r="AK375" t="inlineStr"/>
      <c r="AL375" t="inlineStr"/>
      <c r="AM375" t="inlineStr"/>
      <c r="AN375" t="inlineStr"/>
      <c r="AO375" t="inlineStr">
        <is>
          <t>{05-25-2026 ocm ran 22H}: Power status check Ongoing</t>
        </is>
      </c>
      <c r="AP375" t="inlineStr"/>
      <c r="AQ375" t="inlineStr"/>
      <c r="AR375" t="inlineStr"/>
    </row>
    <row r="376">
      <c r="A376" t="inlineStr">
        <is>
          <t>Nyalla-III</t>
        </is>
      </c>
      <c r="B376" t="inlineStr">
        <is>
          <t>LIT_751</t>
        </is>
      </c>
      <c r="C376" t="inlineStr">
        <is>
          <t>Douala</t>
        </is>
      </c>
      <c r="D376" t="inlineStr">
        <is>
          <t>CAMUSAT</t>
        </is>
      </c>
      <c r="E376" t="inlineStr">
        <is>
          <t>Good Grid no GE - 8h</t>
        </is>
      </c>
      <c r="F376" t="inlineStr">
        <is>
          <t>LITTORAL</t>
        </is>
      </c>
      <c r="G376" t="inlineStr">
        <is>
          <t>Douala</t>
        </is>
      </c>
      <c r="H376" t="inlineStr">
        <is>
          <t>ZTE</t>
        </is>
      </c>
      <c r="I376" t="n">
        <v>5.958111108257498</v>
      </c>
      <c r="J376" t="n">
        <v>46.99883786629685</v>
      </c>
      <c r="K376" t="n">
        <v>32.63706971090052</v>
      </c>
      <c r="L376" t="n">
        <v>25.43253631935348</v>
      </c>
      <c r="M376" t="n">
        <v>8.73244671592002</v>
      </c>
      <c r="N376" t="n">
        <v>0.8086989276964458</v>
      </c>
      <c r="O376" t="n">
        <v>0.8351438742515587</v>
      </c>
      <c r="P376" t="n">
        <v>4.311122000494675</v>
      </c>
      <c r="Q376" t="n">
        <v>2.644050360553944</v>
      </c>
      <c r="R376" t="inlineStr">
        <is>
          <t>Operationnel</t>
        </is>
      </c>
      <c r="S376" t="inlineStr"/>
      <c r="T376" t="inlineStr"/>
      <c r="U376" t="inlineStr"/>
      <c r="V376" t="inlineStr"/>
      <c r="W376" t="inlineStr"/>
      <c r="X376" t="inlineStr">
        <is>
          <t>{05-25-2026 retour CAMUSAT}: Grid outage Grid only site</t>
        </is>
      </c>
      <c r="Y376" t="inlineStr">
        <is>
          <t>Grid outage Grid only site</t>
        </is>
      </c>
      <c r="Z376" t="inlineStr"/>
      <c r="AA376" t="inlineStr"/>
      <c r="AB376" t="inlineStr"/>
      <c r="AC376" t="inlineStr">
        <is>
          <t>{05-25-2026 retour CAMUSAT}: Grid outage Grid only site</t>
        </is>
      </c>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row>
    <row r="377">
      <c r="A377" t="inlineStr">
        <is>
          <t>Nkoa-Ayos-IHS</t>
        </is>
      </c>
      <c r="B377" t="inlineStr">
        <is>
          <t>CTR_661</t>
        </is>
      </c>
      <c r="C377" t="inlineStr">
        <is>
          <t>Yaounde</t>
        </is>
      </c>
      <c r="D377" t="inlineStr">
        <is>
          <t>IHS</t>
        </is>
      </c>
      <c r="E377" t="inlineStr">
        <is>
          <t>Grid-Gen</t>
        </is>
      </c>
      <c r="F377" t="inlineStr">
        <is>
          <t>CENTRE</t>
        </is>
      </c>
      <c r="G377" t="inlineStr">
        <is>
          <t>Yaounde</t>
        </is>
      </c>
      <c r="H377" t="inlineStr">
        <is>
          <t>ZTE</t>
        </is>
      </c>
      <c r="I377" t="n">
        <v>0</v>
      </c>
      <c r="J377" t="n">
        <v>0</v>
      </c>
      <c r="K377" t="n">
        <v>0</v>
      </c>
      <c r="L377" t="n">
        <v>0</v>
      </c>
      <c r="M377" t="n">
        <v>0</v>
      </c>
      <c r="N377" t="n">
        <v>1.401952967319321</v>
      </c>
      <c r="O377" t="n">
        <v>1.187689341779123</v>
      </c>
      <c r="P377" t="n">
        <v>3.901299502918794</v>
      </c>
      <c r="Q377" t="n">
        <v>2.633402818798458</v>
      </c>
      <c r="R377" t="inlineStr">
        <is>
          <t>Operationnel</t>
        </is>
      </c>
      <c r="S377" t="inlineStr"/>
      <c r="T377" t="inlineStr"/>
      <c r="U377" t="inlineStr"/>
      <c r="V377" t="inlineStr"/>
      <c r="W377" t="inlineStr"/>
      <c r="X377" t="inlineStr">
        <is>
          <t>{05-25-2026 ticket}: INC-20260525-00021647..Auto TT closure RCA..Others</t>
        </is>
      </c>
      <c r="Y377" t="inlineStr">
        <is>
          <t>.Auto TT closure RCA.</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is>
          <t>{05-25-2026 ticket}: INC-20260525-00021647..Auto TT closure RCA..Others</t>
        </is>
      </c>
      <c r="AR377" t="inlineStr"/>
    </row>
    <row r="378">
      <c r="A378" t="inlineStr">
        <is>
          <t>BAMENDA-MILE4-IHS</t>
        </is>
      </c>
      <c r="B378" t="inlineStr">
        <is>
          <t>NRO_117</t>
        </is>
      </c>
      <c r="C378" t="inlineStr">
        <is>
          <t>NORD-OUEST</t>
        </is>
      </c>
      <c r="D378" t="inlineStr">
        <is>
          <t>IHS</t>
        </is>
      </c>
      <c r="E378" t="inlineStr">
        <is>
          <t>Grid-Gen</t>
        </is>
      </c>
      <c r="F378" t="inlineStr">
        <is>
          <t>NORD-OUEST</t>
        </is>
      </c>
      <c r="G378" t="inlineStr">
        <is>
          <t>Bamenda</t>
        </is>
      </c>
      <c r="H378" t="inlineStr">
        <is>
          <t>Huawei</t>
        </is>
      </c>
      <c r="I378" t="n">
        <v>0.6867396906113294</v>
      </c>
      <c r="J378" t="n">
        <v>0</v>
      </c>
      <c r="K378" t="n">
        <v>0</v>
      </c>
      <c r="L378" t="n">
        <v>0</v>
      </c>
      <c r="M378" t="n">
        <v>0</v>
      </c>
      <c r="N378" t="n">
        <v>4.566182671286804</v>
      </c>
      <c r="O378" t="n">
        <v>5.831131783578308</v>
      </c>
      <c r="P378" t="n">
        <v>0</v>
      </c>
      <c r="Q378" t="n">
        <v>2.609628659401369</v>
      </c>
      <c r="R378" t="inlineStr">
        <is>
          <t>Operationnel</t>
        </is>
      </c>
      <c r="S378" t="inlineStr"/>
      <c r="T378" t="inlineStr"/>
      <c r="U378" t="inlineStr"/>
      <c r="V378" t="inlineStr"/>
      <c r="W378" t="inlineStr"/>
      <c r="X378" t="inlineStr">
        <is>
          <t>{None hourly IHS}: 25/05/2026 20:41..2:18:07..FME Peter is managing with level 0     ;    {05-25-2026 ocm ran 22H}: Power status check Ongoing</t>
        </is>
      </c>
      <c r="Y378" t="inlineStr">
        <is>
          <t>25/05/2026 20 41.2 18 07.FME Peter is managing with level 0</t>
        </is>
      </c>
      <c r="Z378" t="inlineStr"/>
      <c r="AA378" t="inlineStr"/>
      <c r="AB378" t="inlineStr"/>
      <c r="AC378" t="inlineStr"/>
      <c r="AD378" t="inlineStr"/>
      <c r="AE378" t="inlineStr">
        <is>
          <t>{None hourly IHS}: 25/05/2026 20:41..2:18:07..FME Peter is managing with level 0</t>
        </is>
      </c>
      <c r="AF378" t="inlineStr"/>
      <c r="AG378" t="inlineStr"/>
      <c r="AH378" t="inlineStr"/>
      <c r="AI378" t="inlineStr"/>
      <c r="AJ378" t="inlineStr"/>
      <c r="AK378" t="inlineStr"/>
      <c r="AL378" t="inlineStr"/>
      <c r="AM378" t="inlineStr"/>
      <c r="AN378" t="inlineStr"/>
      <c r="AO378" t="inlineStr">
        <is>
          <t>{05-25-2026 ocm ran 22H}: Power status check Ongoing</t>
        </is>
      </c>
      <c r="AP378" t="inlineStr"/>
      <c r="AQ378" t="inlineStr"/>
      <c r="AR378" t="inlineStr"/>
    </row>
    <row r="379">
      <c r="A379" t="inlineStr">
        <is>
          <t>Mimboman-Liberte-II</t>
        </is>
      </c>
      <c r="B379" t="inlineStr">
        <is>
          <t>CTR_655</t>
        </is>
      </c>
      <c r="C379" t="inlineStr">
        <is>
          <t>Yaounde</t>
        </is>
      </c>
      <c r="D379" t="inlineStr">
        <is>
          <t>CAMUSAT</t>
        </is>
      </c>
      <c r="E379" t="inlineStr">
        <is>
          <t>Good Grid no GE - 8h</t>
        </is>
      </c>
      <c r="F379" t="inlineStr">
        <is>
          <t>CENTRE</t>
        </is>
      </c>
      <c r="G379" t="inlineStr">
        <is>
          <t>Yaounde</t>
        </is>
      </c>
      <c r="H379" t="inlineStr">
        <is>
          <t>ZTE</t>
        </is>
      </c>
      <c r="I379" t="n">
        <v>0</v>
      </c>
      <c r="J379" t="n">
        <v>0</v>
      </c>
      <c r="K379" t="n">
        <v>0</v>
      </c>
      <c r="L379" t="n">
        <v>0</v>
      </c>
      <c r="M379" t="n">
        <v>2.512855524451178</v>
      </c>
      <c r="N379" t="n">
        <v>2.052034499158704</v>
      </c>
      <c r="O379" t="n">
        <v>1.869351622346665</v>
      </c>
      <c r="P379" t="n">
        <v>3.231930736954079</v>
      </c>
      <c r="Q379" t="n">
        <v>2.606008138502937</v>
      </c>
      <c r="R379" t="inlineStr">
        <is>
          <t>Operationnel</t>
        </is>
      </c>
      <c r="S379" t="inlineStr"/>
      <c r="T379" t="inlineStr"/>
      <c r="U379" t="inlineStr"/>
      <c r="V379" t="inlineStr"/>
      <c r="W379" t="inlineStr"/>
      <c r="X379" t="inlineStr">
        <is>
          <t>{05-25-2026 ticket}: INC-20260525-00018365..Grid Outage</t>
        </is>
      </c>
      <c r="Y379" t="inlineStr">
        <is>
          <t>.Grid Outage</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is>
          <t>{05-25-2026 ticket}: INC-20260525-00018365..Grid Outage</t>
        </is>
      </c>
      <c r="AR379" t="inlineStr"/>
    </row>
    <row r="380">
      <c r="A380" t="inlineStr">
        <is>
          <t>Bodjongo-IHS</t>
        </is>
      </c>
      <c r="B380" t="inlineStr">
        <is>
          <t>LIT_123</t>
        </is>
      </c>
      <c r="C380" t="inlineStr">
        <is>
          <t>Douala</t>
        </is>
      </c>
      <c r="D380" t="inlineStr">
        <is>
          <t>IHS</t>
        </is>
      </c>
      <c r="E380" t="inlineStr">
        <is>
          <t>Grid-Gen</t>
        </is>
      </c>
      <c r="F380" t="inlineStr">
        <is>
          <t>LITTORAL</t>
        </is>
      </c>
      <c r="G380" t="inlineStr">
        <is>
          <t>Douala</t>
        </is>
      </c>
      <c r="H380" t="inlineStr">
        <is>
          <t>ZTE</t>
        </is>
      </c>
      <c r="I380" t="n">
        <v>0.2500477980098895</v>
      </c>
      <c r="J380" t="n">
        <v>2.692847134830339</v>
      </c>
      <c r="K380" t="n">
        <v>0.05279183181949161</v>
      </c>
      <c r="L380" t="n">
        <v>0</v>
      </c>
      <c r="M380" t="n">
        <v>0.5330369856720107</v>
      </c>
      <c r="N380" t="n">
        <v>1.7766397291864</v>
      </c>
      <c r="O380" t="n">
        <v>1.474305194297391</v>
      </c>
      <c r="P380" t="n">
        <v>3.532996200207063</v>
      </c>
      <c r="Q380" t="n">
        <v>2.59106234287296</v>
      </c>
      <c r="R380" t="inlineStr">
        <is>
          <t>Operationnel</t>
        </is>
      </c>
      <c r="S380" t="inlineStr"/>
      <c r="T380" t="inlineStr"/>
      <c r="U380" t="inlineStr"/>
      <c r="V380" t="inlineStr"/>
      <c r="W380" t="inlineStr"/>
      <c r="X380" t="inlineStr">
        <is>
          <t>{05-25-2026 ticket}: INC-20260525-00026715..Grid Outage</t>
        </is>
      </c>
      <c r="Y380" t="inlineStr">
        <is>
          <t>.Grid Outage</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is>
          <t>{05-25-2026 ticket}: INC-20260525-00026715..Grid Outage</t>
        </is>
      </c>
      <c r="AR380" t="inlineStr"/>
    </row>
    <row r="381">
      <c r="A381" t="inlineStr">
        <is>
          <t>Obili-GP-MTN</t>
        </is>
      </c>
      <c r="B381" t="inlineStr">
        <is>
          <t>CTR_747</t>
        </is>
      </c>
      <c r="C381" t="inlineStr">
        <is>
          <t>Yaounde</t>
        </is>
      </c>
      <c r="D381" t="inlineStr">
        <is>
          <t>MTN sharing</t>
        </is>
      </c>
      <c r="E381" t="inlineStr">
        <is>
          <t>MTN</t>
        </is>
      </c>
      <c r="F381" t="inlineStr">
        <is>
          <t>CENTRE</t>
        </is>
      </c>
      <c r="G381" t="inlineStr">
        <is>
          <t>Yaounde</t>
        </is>
      </c>
      <c r="H381" t="inlineStr">
        <is>
          <t>ZTE</t>
        </is>
      </c>
      <c r="I381" t="n">
        <v>9.245704599738039</v>
      </c>
      <c r="J381" t="n">
        <v>5.317867466819621</v>
      </c>
      <c r="K381" t="n">
        <v>0.1200300770760742</v>
      </c>
      <c r="L381" t="n">
        <v>0</v>
      </c>
      <c r="M381" t="n">
        <v>0.4073710238476401</v>
      </c>
      <c r="N381" t="n">
        <v>2.202034099492824</v>
      </c>
      <c r="O381" t="n">
        <v>1.987132409192446</v>
      </c>
      <c r="P381" t="n">
        <v>3.05966369862564</v>
      </c>
      <c r="Q381" t="n">
        <v>2.577133146707073</v>
      </c>
      <c r="R381" t="inlineStr">
        <is>
          <t>Operationnel</t>
        </is>
      </c>
      <c r="S381" t="inlineStr"/>
      <c r="T381" t="inlineStr"/>
      <c r="U381" t="inlineStr"/>
      <c r="V381" t="inlineStr"/>
      <c r="W381" t="inlineStr"/>
      <c r="X381" t="inlineStr">
        <is>
          <t>{05-25-2026 ticket}: INC-20260525-00016319..Grid Outage</t>
        </is>
      </c>
      <c r="Y381" t="inlineStr">
        <is>
          <t>.Grid Outage</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is>
          <t>{05-25-2026 ticket}: INC-20260525-00016319..Grid Outage</t>
        </is>
      </c>
      <c r="AR381" t="inlineStr"/>
    </row>
    <row r="382">
      <c r="A382" t="inlineStr">
        <is>
          <t>Mbankolo-Camtel-II</t>
        </is>
      </c>
      <c r="B382" t="inlineStr">
        <is>
          <t>CTR_680</t>
        </is>
      </c>
      <c r="C382" t="inlineStr">
        <is>
          <t>Yaounde</t>
        </is>
      </c>
      <c r="D382" t="inlineStr">
        <is>
          <t>CAMUSAT</t>
        </is>
      </c>
      <c r="E382" t="inlineStr">
        <is>
          <t>Medium Grid + GE</t>
        </is>
      </c>
      <c r="F382" t="inlineStr">
        <is>
          <t>CENTRE</t>
        </is>
      </c>
      <c r="G382" t="inlineStr">
        <is>
          <t>Yaounde</t>
        </is>
      </c>
      <c r="H382" t="inlineStr">
        <is>
          <t>ZTE</t>
        </is>
      </c>
      <c r="I382" t="n">
        <v>0.02204415680030137</v>
      </c>
      <c r="J382" t="n">
        <v>3.45203291356693</v>
      </c>
      <c r="K382" t="n">
        <v>0</v>
      </c>
      <c r="L382" t="n">
        <v>0</v>
      </c>
      <c r="M382" t="n">
        <v>0</v>
      </c>
      <c r="N382" t="n">
        <v>2.278844885675575</v>
      </c>
      <c r="O382" t="n">
        <v>1.844966696247335</v>
      </c>
      <c r="P382" t="n">
        <v>3.128782555973621</v>
      </c>
      <c r="Q382" t="n">
        <v>2.576419743574378</v>
      </c>
      <c r="R382" t="inlineStr">
        <is>
          <t>Operationnel</t>
        </is>
      </c>
      <c r="S382" t="inlineStr"/>
      <c r="T382" t="inlineStr"/>
      <c r="U382" t="inlineStr"/>
      <c r="V382" t="inlineStr"/>
      <c r="W382" t="inlineStr"/>
      <c r="X382" t="inlineStr">
        <is>
          <t xml:space="preserve">{05-25-2026 retour CAMUSAT}: No power issue </t>
        </is>
      </c>
      <c r="Y382" t="inlineStr">
        <is>
          <t>No power issue</t>
        </is>
      </c>
      <c r="Z382" t="inlineStr"/>
      <c r="AA382" t="inlineStr"/>
      <c r="AB382" t="inlineStr"/>
      <c r="AC382" t="inlineStr">
        <is>
          <t xml:space="preserve">{05-25-2026 retour CAMUSAT}: No power issue </t>
        </is>
      </c>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row>
    <row r="383">
      <c r="A383" t="inlineStr">
        <is>
          <t>Nkolda-II</t>
        </is>
      </c>
      <c r="B383" t="inlineStr">
        <is>
          <t>CTR_776</t>
        </is>
      </c>
      <c r="C383" t="inlineStr">
        <is>
          <t>Yaounde</t>
        </is>
      </c>
      <c r="D383" t="inlineStr">
        <is>
          <t>CAMUSAT</t>
        </is>
      </c>
      <c r="E383" t="inlineStr">
        <is>
          <t>Good Grid no GE - 8h</t>
        </is>
      </c>
      <c r="F383" t="inlineStr">
        <is>
          <t>CENTRE</t>
        </is>
      </c>
      <c r="G383" t="inlineStr">
        <is>
          <t>Yaounde</t>
        </is>
      </c>
      <c r="H383" t="inlineStr">
        <is>
          <t>ZTE</t>
        </is>
      </c>
      <c r="I383" t="n">
        <v>24.77691884040602</v>
      </c>
      <c r="J383" t="n">
        <v>2.937722760128185</v>
      </c>
      <c r="K383" t="n">
        <v>8.366863280570037</v>
      </c>
      <c r="L383" t="n">
        <v>0.7623247525204531</v>
      </c>
      <c r="M383" t="n">
        <v>23.45161200571864</v>
      </c>
      <c r="N383" t="n">
        <v>3.471472848698488</v>
      </c>
      <c r="O383" t="n">
        <v>1.503471478455414</v>
      </c>
      <c r="P383" t="n">
        <v>2.916535337417673</v>
      </c>
      <c r="Q383" t="n">
        <v>2.521398526965212</v>
      </c>
      <c r="R383" t="inlineStr">
        <is>
          <t>Operationnel</t>
        </is>
      </c>
      <c r="S383" t="inlineStr"/>
      <c r="T383" t="inlineStr"/>
      <c r="U383" t="inlineStr"/>
      <c r="V383" t="inlineStr"/>
      <c r="W383" t="inlineStr"/>
      <c r="X383" t="inlineStr">
        <is>
          <t>{05-25-2026 retour CAMUSAT}: Grid outage Grid only site     ;    {05-25-2026 ticket}: INC-20260525-00022013..Grid Outage</t>
        </is>
      </c>
      <c r="Y383" t="inlineStr">
        <is>
          <t>Grid outage Grid only site .Grid Outage</t>
        </is>
      </c>
      <c r="Z383" t="inlineStr"/>
      <c r="AA383" t="inlineStr"/>
      <c r="AB383" t="inlineStr"/>
      <c r="AC383" t="inlineStr">
        <is>
          <t>{05-25-2026 retour CAMUSAT}: Grid outage Grid only site</t>
        </is>
      </c>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is>
          <t>{05-25-2026 ticket}: INC-20260525-00022013..Grid Outage</t>
        </is>
      </c>
      <c r="AR383" t="inlineStr"/>
    </row>
    <row r="384">
      <c r="A384" t="inlineStr">
        <is>
          <t>Awae-Nkomo</t>
        </is>
      </c>
      <c r="B384" t="inlineStr">
        <is>
          <t>CTR_374</t>
        </is>
      </c>
      <c r="C384" t="inlineStr">
        <is>
          <t>Yaounde</t>
        </is>
      </c>
      <c r="D384" t="inlineStr">
        <is>
          <t>IHS</t>
        </is>
      </c>
      <c r="E384" t="inlineStr">
        <is>
          <t>Grid-Gen</t>
        </is>
      </c>
      <c r="F384" t="inlineStr">
        <is>
          <t>CENTRE</t>
        </is>
      </c>
      <c r="G384" t="inlineStr">
        <is>
          <t>Yaounde</t>
        </is>
      </c>
      <c r="H384" t="inlineStr">
        <is>
          <t>ZTE</t>
        </is>
      </c>
      <c r="I384" t="n">
        <v>0</v>
      </c>
      <c r="J384" t="n">
        <v>0</v>
      </c>
      <c r="K384" t="n">
        <v>0</v>
      </c>
      <c r="L384" t="n">
        <v>0</v>
      </c>
      <c r="M384" t="n">
        <v>0.06575793375623874</v>
      </c>
      <c r="N384" t="n">
        <v>2.16793760416292</v>
      </c>
      <c r="O384" t="n">
        <v>2.065865438558911</v>
      </c>
      <c r="P384" t="n">
        <v>2.822792245883376</v>
      </c>
      <c r="Q384" t="n">
        <v>2.475170003966522</v>
      </c>
      <c r="R384" t="inlineStr">
        <is>
          <t>Operationnel</t>
        </is>
      </c>
      <c r="S384" t="inlineStr"/>
      <c r="T384" t="inlineStr"/>
      <c r="U384" t="inlineStr"/>
      <c r="V384" t="inlineStr"/>
      <c r="W384" t="inlineStr"/>
      <c r="X384" t="inlineStr">
        <is>
          <t>{05-25-2026 ticket}: INC-20260525-00019083..power..Grid Outage</t>
        </is>
      </c>
      <c r="Y384" t="inlineStr">
        <is>
          <t>.power.Grid Outage</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is>
          <t>{05-25-2026 ticket}: INC-20260525-00019083..power..Grid Outage</t>
        </is>
      </c>
      <c r="AR384" t="inlineStr"/>
    </row>
    <row r="385">
      <c r="A385" t="inlineStr">
        <is>
          <t>Rain-forest-School</t>
        </is>
      </c>
      <c r="B385" t="inlineStr">
        <is>
          <t>CTR_766</t>
        </is>
      </c>
      <c r="C385" t="inlineStr">
        <is>
          <t>Yaounde</t>
        </is>
      </c>
      <c r="D385" t="inlineStr">
        <is>
          <t>CAMUSAT</t>
        </is>
      </c>
      <c r="E385" t="inlineStr">
        <is>
          <t>Good Grid no GE - 8h</t>
        </is>
      </c>
      <c r="F385" t="inlineStr">
        <is>
          <t>CENTRE</t>
        </is>
      </c>
      <c r="G385" t="inlineStr">
        <is>
          <t>Yaounde</t>
        </is>
      </c>
      <c r="H385" t="inlineStr">
        <is>
          <t>ZTE</t>
        </is>
      </c>
      <c r="I385" t="n">
        <v>0</v>
      </c>
      <c r="J385" t="n">
        <v>0</v>
      </c>
      <c r="K385" t="n">
        <v>0</v>
      </c>
      <c r="L385" t="n">
        <v>0</v>
      </c>
      <c r="M385" t="n">
        <v>0</v>
      </c>
      <c r="N385" t="n">
        <v>3.283130303066637</v>
      </c>
      <c r="O385" t="n">
        <v>1.816384800296487</v>
      </c>
      <c r="P385" t="n">
        <v>2.652987630973566</v>
      </c>
      <c r="Q385" t="n">
        <v>2.462114726638188</v>
      </c>
      <c r="R385" t="inlineStr">
        <is>
          <t>Operationnel</t>
        </is>
      </c>
      <c r="S385" t="inlineStr"/>
      <c r="T385" t="inlineStr"/>
      <c r="U385" t="inlineStr"/>
      <c r="V385" t="inlineStr"/>
      <c r="W385" t="inlineStr"/>
      <c r="X385" t="inlineStr">
        <is>
          <t>{05-25-2026 ticket}: INC-20260525-00022180..Grid Outage</t>
        </is>
      </c>
      <c r="Y385" t="inlineStr">
        <is>
          <t>.Grid Outage</t>
        </is>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is>
          <t>{05-25-2026 ticket}: INC-20260525-00022180..Grid Outage</t>
        </is>
      </c>
      <c r="AR385" t="inlineStr"/>
    </row>
    <row r="386">
      <c r="A386" t="inlineStr">
        <is>
          <t>Clge-Advantiste</t>
        </is>
      </c>
      <c r="B386" t="inlineStr">
        <is>
          <t>CTR_331</t>
        </is>
      </c>
      <c r="C386" t="inlineStr">
        <is>
          <t>Yaounde</t>
        </is>
      </c>
      <c r="D386" t="inlineStr">
        <is>
          <t>IHS</t>
        </is>
      </c>
      <c r="E386" t="inlineStr">
        <is>
          <t>Grid-Gen</t>
        </is>
      </c>
      <c r="F386" t="inlineStr">
        <is>
          <t>CENTRE</t>
        </is>
      </c>
      <c r="G386" t="inlineStr">
        <is>
          <t>Yaounde</t>
        </is>
      </c>
      <c r="H386" t="inlineStr">
        <is>
          <t>ZTE</t>
        </is>
      </c>
      <c r="I386" t="n">
        <v>0</v>
      </c>
      <c r="J386" t="n">
        <v>0</v>
      </c>
      <c r="K386" t="n">
        <v>0</v>
      </c>
      <c r="L386" t="n">
        <v>0</v>
      </c>
      <c r="M386" t="n">
        <v>0</v>
      </c>
      <c r="N386" t="n">
        <v>0.1568688576350171</v>
      </c>
      <c r="O386" t="n">
        <v>0.0634326835786486</v>
      </c>
      <c r="P386" t="n">
        <v>4.618172520667941</v>
      </c>
      <c r="Q386" t="n">
        <v>2.452020072310542</v>
      </c>
      <c r="R386" t="inlineStr">
        <is>
          <t>Operationnel</t>
        </is>
      </c>
      <c r="S386" t="inlineStr"/>
      <c r="T386" t="inlineStr"/>
      <c r="U386" t="inlineStr"/>
      <c r="V386" t="inlineStr"/>
      <c r="W386" t="inlineStr"/>
      <c r="X386" t="inlineStr">
        <is>
          <t>{05-25-2026 ticket}: INC-20260525-00022997..Auto TT closure RCA..Others</t>
        </is>
      </c>
      <c r="Y386" t="inlineStr">
        <is>
          <t>.Auto TT closure RCA.</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is>
          <t>{05-25-2026 ticket}: INC-20260525-00022997..Auto TT closure RCA..Others</t>
        </is>
      </c>
      <c r="AR386" t="inlineStr"/>
    </row>
    <row r="387">
      <c r="A387" t="inlineStr">
        <is>
          <t>Domayo-II</t>
        </is>
      </c>
      <c r="B387" t="inlineStr">
        <is>
          <t>EXN_247</t>
        </is>
      </c>
      <c r="C387" t="inlineStr">
        <is>
          <t>Maroua</t>
        </is>
      </c>
      <c r="D387" t="inlineStr">
        <is>
          <t>CAMUSAT</t>
        </is>
      </c>
      <c r="E387" t="inlineStr">
        <is>
          <t>Medium Grid + GE</t>
        </is>
      </c>
      <c r="F387" t="inlineStr">
        <is>
          <t>EXTREME-NORD</t>
        </is>
      </c>
      <c r="G387" t="inlineStr">
        <is>
          <t>Maroua</t>
        </is>
      </c>
      <c r="H387" t="inlineStr">
        <is>
          <t>Huawei</t>
        </is>
      </c>
      <c r="I387" t="n">
        <v>0</v>
      </c>
      <c r="J387" t="n">
        <v>0</v>
      </c>
      <c r="K387" t="n">
        <v>2.673496074855964</v>
      </c>
      <c r="L387" t="n">
        <v>4.180310501579475</v>
      </c>
      <c r="M387" t="n">
        <v>7.353688151515411</v>
      </c>
      <c r="N387" t="n">
        <v>3.416518790291316</v>
      </c>
      <c r="O387" t="n">
        <v>4.397468132779801</v>
      </c>
      <c r="P387" t="n">
        <v>0.9285388307756962</v>
      </c>
      <c r="Q387" t="n">
        <v>2.448381716333793</v>
      </c>
      <c r="R387" t="inlineStr">
        <is>
          <t>Operationnel</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row>
    <row r="388">
      <c r="A388" t="inlineStr">
        <is>
          <t>Ndokoti-Brasseries</t>
        </is>
      </c>
      <c r="B388" t="inlineStr">
        <is>
          <t>LIT_406</t>
        </is>
      </c>
      <c r="C388" t="inlineStr">
        <is>
          <t>Douala</t>
        </is>
      </c>
      <c r="D388" t="inlineStr">
        <is>
          <t>IHS</t>
        </is>
      </c>
      <c r="E388" t="inlineStr">
        <is>
          <t>GridOnly</t>
        </is>
      </c>
      <c r="F388" t="inlineStr">
        <is>
          <t>LITTORAL</t>
        </is>
      </c>
      <c r="G388" t="inlineStr">
        <is>
          <t>Douala</t>
        </is>
      </c>
      <c r="H388" t="inlineStr">
        <is>
          <t>ZTE</t>
        </is>
      </c>
      <c r="I388" t="n">
        <v>0</v>
      </c>
      <c r="J388" t="n">
        <v>0</v>
      </c>
      <c r="K388" t="n">
        <v>15.67623126246672</v>
      </c>
      <c r="L388" t="n">
        <v>0</v>
      </c>
      <c r="M388" t="n">
        <v>0</v>
      </c>
      <c r="N388" t="n">
        <v>1.032386924531092</v>
      </c>
      <c r="O388" t="n">
        <v>0.983100343067754</v>
      </c>
      <c r="P388" t="n">
        <v>3.778315133288242</v>
      </c>
      <c r="Q388" t="n">
        <v>2.447810993827635</v>
      </c>
      <c r="R388" t="inlineStr">
        <is>
          <t>Operationnel</t>
        </is>
      </c>
      <c r="S388" t="inlineStr"/>
      <c r="T388" t="inlineStr"/>
      <c r="U388" t="inlineStr"/>
      <c r="V388" t="inlineStr"/>
      <c r="W388" t="inlineStr"/>
      <c r="X388" t="inlineStr">
        <is>
          <t>{05-25-2026 ticket}: INC-20260525-00021516..Grid Outage</t>
        </is>
      </c>
      <c r="Y388" t="inlineStr">
        <is>
          <t>.Grid Outage</t>
        </is>
      </c>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is>
          <t>{05-25-2026 ticket}: INC-20260525-00021516..Grid Outage</t>
        </is>
      </c>
      <c r="AR388" t="inlineStr"/>
    </row>
    <row r="389">
      <c r="A389" t="inlineStr">
        <is>
          <t>Ekounou-Lycee-MTN</t>
        </is>
      </c>
      <c r="B389" t="inlineStr">
        <is>
          <t>CTR_726</t>
        </is>
      </c>
      <c r="C389" t="inlineStr">
        <is>
          <t>Yaounde</t>
        </is>
      </c>
      <c r="D389" t="inlineStr">
        <is>
          <t>MTN</t>
        </is>
      </c>
      <c r="E389" t="inlineStr"/>
      <c r="F389" t="inlineStr">
        <is>
          <t>CENTRE</t>
        </is>
      </c>
      <c r="G389" t="inlineStr">
        <is>
          <t>Yaounde</t>
        </is>
      </c>
      <c r="H389" t="inlineStr">
        <is>
          <t>ZTE</t>
        </is>
      </c>
      <c r="I389" t="n">
        <v>0.4526364526171904</v>
      </c>
      <c r="J389" t="n">
        <v>0.9276737636010306</v>
      </c>
      <c r="K389" t="n">
        <v>0</v>
      </c>
      <c r="L389" t="n">
        <v>0</v>
      </c>
      <c r="M389" t="n">
        <v>3.83111750320318</v>
      </c>
      <c r="N389" t="n">
        <v>1.25457617431827</v>
      </c>
      <c r="O389" t="n">
        <v>1.371080986430294</v>
      </c>
      <c r="P389" t="n">
        <v>3.448281994541081</v>
      </c>
      <c r="Q389" t="n">
        <v>2.437680669343355</v>
      </c>
      <c r="R389" t="inlineStr">
        <is>
          <t>Operationnel</t>
        </is>
      </c>
      <c r="S389" t="inlineStr"/>
      <c r="T389" t="inlineStr"/>
      <c r="U389" t="inlineStr"/>
      <c r="V389" t="inlineStr"/>
      <c r="W389" t="inlineStr"/>
      <c r="X389" t="inlineStr">
        <is>
          <t>{05/25/2026 cell zte}: 25/05/2026 : Power issue || Mail sent to MTN</t>
        </is>
      </c>
      <c r="Y389" t="inlineStr">
        <is>
          <t>25/05/2026 Power issue || Mail sent to MTN</t>
        </is>
      </c>
      <c r="Z389" t="inlineStr"/>
      <c r="AA389" t="inlineStr"/>
      <c r="AB389" t="inlineStr"/>
      <c r="AC389" t="inlineStr"/>
      <c r="AD389" t="inlineStr"/>
      <c r="AE389" t="inlineStr"/>
      <c r="AF389" t="inlineStr"/>
      <c r="AG389" t="inlineStr"/>
      <c r="AH389" t="inlineStr"/>
      <c r="AI389" t="inlineStr"/>
      <c r="AJ389" t="inlineStr"/>
      <c r="AK389" t="inlineStr">
        <is>
          <t>{05/25/2026 cell zte}: 25/05/2026 : Power issue || Mail sent to MTN</t>
        </is>
      </c>
      <c r="AL389" t="inlineStr"/>
      <c r="AM389" t="inlineStr"/>
      <c r="AN389" t="inlineStr"/>
      <c r="AO389" t="inlineStr"/>
      <c r="AP389" t="inlineStr"/>
      <c r="AQ389" t="inlineStr"/>
      <c r="AR389" t="inlineStr"/>
    </row>
    <row r="390">
      <c r="A390" t="inlineStr">
        <is>
          <t>Matsari</t>
        </is>
      </c>
      <c r="B390" t="inlineStr">
        <is>
          <t>CTR_301</t>
        </is>
      </c>
      <c r="C390" t="inlineStr">
        <is>
          <t>CENTRE</t>
        </is>
      </c>
      <c r="D390" t="inlineStr">
        <is>
          <t>IHS</t>
        </is>
      </c>
      <c r="E390" t="inlineStr">
        <is>
          <t>Hybrid-Gen</t>
        </is>
      </c>
      <c r="F390" t="inlineStr">
        <is>
          <t>CENTRE</t>
        </is>
      </c>
      <c r="G390" t="inlineStr">
        <is>
          <t>Matsari</t>
        </is>
      </c>
      <c r="H390" t="inlineStr">
        <is>
          <t>NOKIA</t>
        </is>
      </c>
      <c r="I390" t="n">
        <v>0.005618049669979562</v>
      </c>
      <c r="J390" t="n">
        <v>8.228322574306336</v>
      </c>
      <c r="K390" t="n">
        <v>9.245205217545152</v>
      </c>
      <c r="L390" t="n">
        <v>9.245240887701787</v>
      </c>
      <c r="M390" t="n">
        <v>6.82996107672508</v>
      </c>
      <c r="N390" t="n">
        <v>0.2420476481661331</v>
      </c>
      <c r="O390" t="n">
        <v>6.894983951637307</v>
      </c>
      <c r="P390" t="n">
        <v>0.1641615612421128</v>
      </c>
      <c r="Q390" t="n">
        <v>2.434898397125842</v>
      </c>
      <c r="R390" t="inlineStr">
        <is>
          <t>Operationnel</t>
        </is>
      </c>
      <c r="S390" t="inlineStr"/>
      <c r="T390" t="inlineStr"/>
      <c r="U390" t="inlineStr"/>
      <c r="V390" t="inlineStr"/>
      <c r="W390" t="inlineStr"/>
      <c r="X390" t="inlineStr">
        <is>
          <t>{05-25-2026 retour IHS}: IHS     ;    {05/25/2026 cell nokia}: 24/05/2026 :Intervetion e cour ||Apres remplacement de la FO et SFP la l'alarm persiste
23/05/2026 : Commande de la sfp effectuer 
22/05/2026: FME en route pour le site.||ETA: 12h|| FME sur site || Intervention en cours ||Le fme apres avoir remplacer la F.O , les cellules restent toujours down || Feedback fme : Faulty optical SFP o tower. Need to replaaced this SFP || Suite de l'intervention prevu pour demain.
21/05/2026 : Commande de la FO en cours || Expedition en cours || ETD 21052026 a OBALA
20/05/2026 : Commande de la fibre en cours || ETD : Ce soir 
19/05/2026: Activation du level0 en cour||Cde de la FO en cour
18/05/2026 : Check breaker and  interconnection (sfp, optical fiber) between system and radio module, swap its if needed ||Feedback RM. Intervention en cours     ;    {05-25-2026 ticket}: INC-20260525-00017960..Grid Outage</t>
        </is>
      </c>
      <c r="Y390" t="inlineStr">
        <is>
          <t>IHS 24/05/2026 Intervetion e cour || Apres remplacement de la FO et SFP la l'alarm persiste
23/05/2026 Commande de la sfp effectuer
22/05/2026 FME en route pour le site. || ETA 12h || FME sur site || Intervention en cours || Le fme apres avoir remplacer la F.O , les cellules restent toujours down || Feedback fme Faulty optical SFP o tower. Need to replaaced this SFP || Suite de l'intervention prevu pour demain.
21/05/2026 Commande de la FO en cours || Expedition en cours || ETD 21052026 a OBALA
20/05/2026 Commande de la fibre en cours || ETD Ce soir
19/05/2026 Activation du level0 en cour || Cde de la FO en cour
18/05/2026 Check breaker and interconnection (sfp, optical fiber) between system and radio module, swap its if needed || Feedback RM. Intervention en cours .Grid Outage</t>
        </is>
      </c>
      <c r="Z390" t="inlineStr"/>
      <c r="AA390" t="inlineStr"/>
      <c r="AB390" t="inlineStr"/>
      <c r="AC390" t="inlineStr"/>
      <c r="AD390" t="inlineStr">
        <is>
          <t>{05-25-2026 retour IHS}: IHS</t>
        </is>
      </c>
      <c r="AE390" t="inlineStr"/>
      <c r="AF390" t="inlineStr">
        <is>
          <t>{05/25/2026 cell nokia}: 24/05/2026 :Intervetion e cour ||Apres remplacement de la FO et SFP la l'alarm persiste
23/05/2026 : Commande de la sfp effectuer 
22/05/2026: FME en route pour le site.||ETA: 12h|| FME sur site || Intervention en cours ||Le fme apres avoir remplacer la F.O , les cellules restent toujours down || Feedback fme : Faulty optical SFP o tower. Need to replaaced this SFP || Suite de l'intervention prevu pour demain.
21/05/2026 : Commande de la FO en cours || Expedition en cours || ETD 21052026 a OBALA
20/05/2026 : Commande de la fibre en cours || ETD : Ce soir 
19/05/2026: Activation du level0 en cour||Cde de la FO en cour
18/05/2026 : Check breaker and  interconnection (sfp, optical fiber) between system and radio module, swap its if needed ||Feedback RM. Intervention en cours</t>
        </is>
      </c>
      <c r="AG390" t="inlineStr"/>
      <c r="AH390" t="inlineStr"/>
      <c r="AI390" t="inlineStr"/>
      <c r="AJ390" t="inlineStr"/>
      <c r="AK390" t="inlineStr"/>
      <c r="AL390" t="inlineStr"/>
      <c r="AM390" t="inlineStr"/>
      <c r="AN390" t="inlineStr"/>
      <c r="AO390" t="inlineStr"/>
      <c r="AP390" t="inlineStr"/>
      <c r="AQ390" t="inlineStr">
        <is>
          <t>{05-25-2026 ticket}: INC-20260525-00017960..Grid Outage</t>
        </is>
      </c>
      <c r="AR390" t="inlineStr"/>
    </row>
    <row r="391">
      <c r="A391" t="inlineStr">
        <is>
          <t>Pitoa</t>
        </is>
      </c>
      <c r="B391" t="inlineStr">
        <is>
          <t>NRD_013</t>
        </is>
      </c>
      <c r="C391" t="inlineStr">
        <is>
          <t>NORD</t>
        </is>
      </c>
      <c r="D391" t="inlineStr">
        <is>
          <t>IHS</t>
        </is>
      </c>
      <c r="E391" t="inlineStr">
        <is>
          <t>Grid-Gen</t>
        </is>
      </c>
      <c r="F391" t="inlineStr">
        <is>
          <t>NORD</t>
        </is>
      </c>
      <c r="G391" t="inlineStr">
        <is>
          <t>Garoua</t>
        </is>
      </c>
      <c r="H391" t="inlineStr">
        <is>
          <t>Huawei</t>
        </is>
      </c>
      <c r="I391" t="n">
        <v>0.02452323268641937</v>
      </c>
      <c r="J391" t="n">
        <v>0</v>
      </c>
      <c r="K391" t="n">
        <v>0</v>
      </c>
      <c r="L391" t="n">
        <v>0</v>
      </c>
      <c r="M391" t="n">
        <v>0.3791559299495196</v>
      </c>
      <c r="N391" t="n">
        <v>3.058068454771811</v>
      </c>
      <c r="O391" t="n">
        <v>5.182142116411831</v>
      </c>
      <c r="P391" t="n">
        <v>0.414507942136333</v>
      </c>
      <c r="Q391" t="n">
        <v>2.392557921200344</v>
      </c>
      <c r="R391" t="inlineStr">
        <is>
          <t>Operationnel</t>
        </is>
      </c>
      <c r="S391" t="inlineStr"/>
      <c r="T391" t="inlineStr"/>
      <c r="U391" t="inlineStr"/>
      <c r="V391" t="inlineStr"/>
      <c r="W391" t="inlineStr"/>
      <c r="X391" t="inlineStr">
        <is>
          <t>{05-25-2026 retour IHS}: IHS     ;    {05-25-2026 ocm ran 17H}: Power status check Ongoing</t>
        </is>
      </c>
      <c r="Y391" t="inlineStr">
        <is>
          <t>IHS</t>
        </is>
      </c>
      <c r="Z391" t="inlineStr"/>
      <c r="AA391" t="inlineStr"/>
      <c r="AB391" t="inlineStr"/>
      <c r="AC391" t="inlineStr"/>
      <c r="AD391" t="inlineStr">
        <is>
          <t>{05-25-2026 retour IHS}: IHS</t>
        </is>
      </c>
      <c r="AE391" t="inlineStr"/>
      <c r="AF391" t="inlineStr"/>
      <c r="AG391" t="inlineStr"/>
      <c r="AH391" t="inlineStr"/>
      <c r="AI391" t="inlineStr"/>
      <c r="AJ391" t="inlineStr"/>
      <c r="AK391" t="inlineStr"/>
      <c r="AL391" t="inlineStr"/>
      <c r="AM391" t="inlineStr"/>
      <c r="AN391" t="inlineStr"/>
      <c r="AO391" t="inlineStr"/>
      <c r="AP391" t="inlineStr">
        <is>
          <t>{05-25-2026 ocm ran 17H}: Power status check Ongoing</t>
        </is>
      </c>
      <c r="AQ391" t="inlineStr"/>
      <c r="AR391" t="inlineStr"/>
    </row>
    <row r="392">
      <c r="A392" t="inlineStr">
        <is>
          <t>Ngd-Baladji-II-IHS</t>
        </is>
      </c>
      <c r="B392" t="inlineStr">
        <is>
          <t>ADM_158</t>
        </is>
      </c>
      <c r="C392" t="inlineStr">
        <is>
          <t>Ngaoundere</t>
        </is>
      </c>
      <c r="D392" t="inlineStr">
        <is>
          <t>IHS</t>
        </is>
      </c>
      <c r="E392" t="inlineStr">
        <is>
          <t>Grid-Gen</t>
        </is>
      </c>
      <c r="F392" t="inlineStr">
        <is>
          <t>ADAMAOUA</t>
        </is>
      </c>
      <c r="G392" t="inlineStr">
        <is>
          <t>Ngaoundere</t>
        </is>
      </c>
      <c r="H392" t="inlineStr">
        <is>
          <t>Huawei</t>
        </is>
      </c>
      <c r="I392" t="n">
        <v>0.4254557932614793</v>
      </c>
      <c r="J392" t="n">
        <v>0</v>
      </c>
      <c r="K392" t="n">
        <v>0</v>
      </c>
      <c r="L392" t="n">
        <v>8.748587461797261</v>
      </c>
      <c r="M392" t="n">
        <v>10.20917336552208</v>
      </c>
      <c r="N392" t="n">
        <v>1.751660611728595</v>
      </c>
      <c r="O392" t="n">
        <v>2.240066250497261</v>
      </c>
      <c r="P392" t="n">
        <v>2.662666323021798</v>
      </c>
      <c r="Q392" t="n">
        <v>2.390703073055334</v>
      </c>
      <c r="R392" t="inlineStr">
        <is>
          <t>Operationnel</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row>
    <row r="393">
      <c r="A393" t="inlineStr">
        <is>
          <t>Mobil-Kondengui</t>
        </is>
      </c>
      <c r="B393" t="inlineStr">
        <is>
          <t>CTR_125</t>
        </is>
      </c>
      <c r="C393" t="inlineStr">
        <is>
          <t>Yaounde</t>
        </is>
      </c>
      <c r="D393" t="inlineStr">
        <is>
          <t>IHS</t>
        </is>
      </c>
      <c r="E393" t="inlineStr">
        <is>
          <t>GridOnly</t>
        </is>
      </c>
      <c r="F393" t="inlineStr">
        <is>
          <t>CENTRE</t>
        </is>
      </c>
      <c r="G393" t="inlineStr">
        <is>
          <t>Yaounde</t>
        </is>
      </c>
      <c r="H393" t="inlineStr">
        <is>
          <t>ZTE</t>
        </is>
      </c>
      <c r="I393" t="n">
        <v>23.70023299746315</v>
      </c>
      <c r="J393" t="n">
        <v>0.9819102367642321</v>
      </c>
      <c r="K393" t="n">
        <v>0</v>
      </c>
      <c r="L393" t="n">
        <v>0</v>
      </c>
      <c r="M393" t="n">
        <v>0.0019618586149134</v>
      </c>
      <c r="N393" t="n">
        <v>1.074226946272916</v>
      </c>
      <c r="O393" t="n">
        <v>1.064702187269434</v>
      </c>
      <c r="P393" t="n">
        <v>3.59134195509853</v>
      </c>
      <c r="Q393" t="n">
        <v>2.383676052198281</v>
      </c>
      <c r="R393" t="inlineStr">
        <is>
          <t>Operationnel</t>
        </is>
      </c>
      <c r="S393" t="inlineStr"/>
      <c r="T393" t="inlineStr"/>
      <c r="U393" t="inlineStr"/>
      <c r="V393" t="inlineStr"/>
      <c r="W393" t="inlineStr"/>
      <c r="X393" t="inlineStr">
        <is>
          <t>{05-25-2026 ticket}: INC-20260525-00022099..Grid Outage</t>
        </is>
      </c>
      <c r="Y393" t="inlineStr">
        <is>
          <t>.Grid Outage</t>
        </is>
      </c>
      <c r="Z393" t="inlineStr">
        <is>
          <t>CTR_125</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is>
          <t>{05-25-2026 ticket}: INC-20260525-00022099..Grid Outage</t>
        </is>
      </c>
      <c r="AR393" t="inlineStr"/>
    </row>
    <row r="394">
      <c r="A394" t="inlineStr">
        <is>
          <t>Vivoki-IHS</t>
        </is>
      </c>
      <c r="B394" t="inlineStr">
        <is>
          <t>NRO_039</t>
        </is>
      </c>
      <c r="C394" t="inlineStr">
        <is>
          <t>NORD-OUEST</t>
        </is>
      </c>
      <c r="D394" t="inlineStr">
        <is>
          <t>IHS</t>
        </is>
      </c>
      <c r="E394" t="inlineStr">
        <is>
          <t>Grid-Gen</t>
        </is>
      </c>
      <c r="F394" t="inlineStr">
        <is>
          <t>NORD-OUEST</t>
        </is>
      </c>
      <c r="G394" t="inlineStr">
        <is>
          <t>Vikovi</t>
        </is>
      </c>
      <c r="H394" t="inlineStr">
        <is>
          <t>NOKIA</t>
        </is>
      </c>
      <c r="I394" t="n">
        <v>0</v>
      </c>
      <c r="J394" t="n">
        <v>0</v>
      </c>
      <c r="K394" t="n">
        <v>0</v>
      </c>
      <c r="L394" t="n">
        <v>0.2837382609514516</v>
      </c>
      <c r="M394" t="n">
        <v>1.132402627606418</v>
      </c>
      <c r="N394" t="n">
        <v>8.301185209165137</v>
      </c>
      <c r="O394" t="n">
        <v>3.542720690487605</v>
      </c>
      <c r="P394" t="n">
        <v>0</v>
      </c>
      <c r="Q394" t="n">
        <v>2.374740677961265</v>
      </c>
      <c r="R394" t="inlineStr">
        <is>
          <t>Insecurity</t>
        </is>
      </c>
      <c r="S394" t="inlineStr"/>
      <c r="T394" t="inlineStr"/>
      <c r="U394" t="inlineStr"/>
      <c r="V394" t="inlineStr"/>
      <c r="W394" t="inlineStr"/>
      <c r="X394" t="inlineStr">
        <is>
          <t>{05-25-2026 ticket}: INC-20260525-00028165</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is>
          <t>{05-25-2026 ticket}: INC-20260525-00028165</t>
        </is>
      </c>
      <c r="AR394" t="inlineStr"/>
    </row>
    <row r="395">
      <c r="A395" t="inlineStr">
        <is>
          <t>PK10-Bassang</t>
        </is>
      </c>
      <c r="B395" t="inlineStr">
        <is>
          <t>LIT_452</t>
        </is>
      </c>
      <c r="C395" t="inlineStr">
        <is>
          <t>Douala</t>
        </is>
      </c>
      <c r="D395" t="inlineStr">
        <is>
          <t>IHS</t>
        </is>
      </c>
      <c r="E395" t="inlineStr">
        <is>
          <t>Grid-Gen</t>
        </is>
      </c>
      <c r="F395" t="inlineStr">
        <is>
          <t>LITTORAL</t>
        </is>
      </c>
      <c r="G395" t="inlineStr">
        <is>
          <t>Douala</t>
        </is>
      </c>
      <c r="H395" t="inlineStr">
        <is>
          <t>ZTE</t>
        </is>
      </c>
      <c r="I395" t="n">
        <v>0</v>
      </c>
      <c r="J395" t="n">
        <v>1.948393130783916</v>
      </c>
      <c r="K395" t="n">
        <v>2.936278118784476</v>
      </c>
      <c r="L395" t="n">
        <v>3.490003795304666</v>
      </c>
      <c r="M395" t="n">
        <v>3.097007844580847</v>
      </c>
      <c r="N395" t="n">
        <v>4.899653889348505</v>
      </c>
      <c r="O395" t="n">
        <v>1.928587336073795</v>
      </c>
      <c r="P395" t="n">
        <v>1.968331319618182</v>
      </c>
      <c r="Q395" t="n">
        <v>2.373581397870634</v>
      </c>
      <c r="R395" t="inlineStr">
        <is>
          <t>Operationnel</t>
        </is>
      </c>
      <c r="S395" t="inlineStr"/>
      <c r="T395" t="inlineStr"/>
      <c r="U395" t="inlineStr"/>
      <c r="V395" t="inlineStr"/>
      <c r="W395" t="inlineStr"/>
      <c r="X395" t="inlineStr">
        <is>
          <t>{05/25/2026 cell zte}: 25/05/2026 : Check and replace SFP, Optical fiber between BBU and RRU 51</t>
        </is>
      </c>
      <c r="Y395" t="inlineStr">
        <is>
          <t>25/05/2026 Check and replace SFP, Optical fiber between BBU and RRU 51</t>
        </is>
      </c>
      <c r="Z395" t="inlineStr"/>
      <c r="AA395" t="inlineStr"/>
      <c r="AB395" t="inlineStr"/>
      <c r="AC395" t="inlineStr"/>
      <c r="AD395" t="inlineStr"/>
      <c r="AE395" t="inlineStr"/>
      <c r="AF395" t="inlineStr"/>
      <c r="AG395" t="inlineStr"/>
      <c r="AH395" t="inlineStr"/>
      <c r="AI395" t="inlineStr"/>
      <c r="AJ395" t="inlineStr"/>
      <c r="AK395" t="inlineStr">
        <is>
          <t>{05/25/2026 cell zte}: 25/05/2026 : Check and replace SFP, Optical fiber between BBU and RRU 51</t>
        </is>
      </c>
      <c r="AL395" t="inlineStr"/>
      <c r="AM395" t="inlineStr"/>
      <c r="AN395" t="inlineStr"/>
      <c r="AO395" t="inlineStr"/>
      <c r="AP395" t="inlineStr"/>
      <c r="AQ395" t="inlineStr"/>
      <c r="AR395" t="inlineStr"/>
    </row>
    <row r="396">
      <c r="A396" t="inlineStr">
        <is>
          <t>Lomie</t>
        </is>
      </c>
      <c r="B396" t="inlineStr">
        <is>
          <t>EST_010</t>
        </is>
      </c>
      <c r="C396" t="inlineStr">
        <is>
          <t>CENTRE</t>
        </is>
      </c>
      <c r="D396" t="inlineStr">
        <is>
          <t>IHS</t>
        </is>
      </c>
      <c r="E396" t="inlineStr">
        <is>
          <t>Grid-Gen</t>
        </is>
      </c>
      <c r="F396" t="inlineStr">
        <is>
          <t>EST</t>
        </is>
      </c>
      <c r="G396" t="inlineStr">
        <is>
          <t>Lomie</t>
        </is>
      </c>
      <c r="H396" t="inlineStr">
        <is>
          <t>NOKIA</t>
        </is>
      </c>
      <c r="I396" t="n">
        <v>2.095372011197576</v>
      </c>
      <c r="J396" t="n">
        <v>1.933322489605716</v>
      </c>
      <c r="K396" t="n">
        <v>1.597559305202421</v>
      </c>
      <c r="L396" t="n">
        <v>1.557555224536502</v>
      </c>
      <c r="M396" t="n">
        <v>2.125977005590228</v>
      </c>
      <c r="N396" t="n">
        <v>1.546082475050857</v>
      </c>
      <c r="O396" t="n">
        <v>6.378278524094645</v>
      </c>
      <c r="P396" t="n">
        <v>0</v>
      </c>
      <c r="Q396" t="n">
        <v>2.362042102199279</v>
      </c>
      <c r="R396" t="inlineStr">
        <is>
          <t>Operationnel</t>
        </is>
      </c>
      <c r="S396" t="inlineStr"/>
      <c r="T396" t="inlineStr"/>
      <c r="U396" t="inlineStr"/>
      <c r="V396" t="inlineStr"/>
      <c r="W396" t="inlineStr"/>
      <c r="X396" t="inlineStr">
        <is>
          <t>{05-25-2026 retour IHS}: IHS     ;    {05-25-2026 ticket}: INC-20260525-00014031..Others</t>
        </is>
      </c>
      <c r="Y396" t="inlineStr">
        <is>
          <t>IHS .</t>
        </is>
      </c>
      <c r="Z396" t="inlineStr"/>
      <c r="AA396" t="inlineStr"/>
      <c r="AB396" t="inlineStr"/>
      <c r="AC396" t="inlineStr"/>
      <c r="AD396" t="inlineStr">
        <is>
          <t>{05-25-2026 retour IHS}: IHS</t>
        </is>
      </c>
      <c r="AE396" t="inlineStr"/>
      <c r="AF396" t="inlineStr"/>
      <c r="AG396" t="inlineStr"/>
      <c r="AH396" t="inlineStr"/>
      <c r="AI396" t="inlineStr"/>
      <c r="AJ396" t="inlineStr"/>
      <c r="AK396" t="inlineStr"/>
      <c r="AL396" t="inlineStr"/>
      <c r="AM396" t="inlineStr"/>
      <c r="AN396" t="inlineStr"/>
      <c r="AO396" t="inlineStr"/>
      <c r="AP396" t="inlineStr"/>
      <c r="AQ396" t="inlineStr">
        <is>
          <t>{05-25-2026 ticket}: INC-20260525-00014031..Others</t>
        </is>
      </c>
      <c r="AR396" t="inlineStr"/>
    </row>
    <row r="397">
      <c r="A397" t="inlineStr">
        <is>
          <t>Kotto-Baden-Baden</t>
        </is>
      </c>
      <c r="B397" t="inlineStr">
        <is>
          <t>LIT_713</t>
        </is>
      </c>
      <c r="C397" t="inlineStr">
        <is>
          <t>Douala</t>
        </is>
      </c>
      <c r="D397" t="inlineStr">
        <is>
          <t>CAMUSAT</t>
        </is>
      </c>
      <c r="E397" t="inlineStr">
        <is>
          <t>Good Grid no GE - 8h</t>
        </is>
      </c>
      <c r="F397" t="inlineStr">
        <is>
          <t>LITTORAL</t>
        </is>
      </c>
      <c r="G397" t="inlineStr">
        <is>
          <t>Douala</t>
        </is>
      </c>
      <c r="H397" t="inlineStr">
        <is>
          <t>ZTE</t>
        </is>
      </c>
      <c r="I397" t="n">
        <v>0</v>
      </c>
      <c r="J397" t="n">
        <v>0</v>
      </c>
      <c r="K397" t="n">
        <v>0</v>
      </c>
      <c r="L397" t="n">
        <v>0</v>
      </c>
      <c r="M397" t="n">
        <v>16.25489037847463</v>
      </c>
      <c r="N397" t="n">
        <v>0.554036825214121</v>
      </c>
      <c r="O397" t="n">
        <v>0.5570282138376326</v>
      </c>
      <c r="P397" t="n">
        <v>3.998325825677931</v>
      </c>
      <c r="Q397" t="n">
        <v>2.351198374582302</v>
      </c>
      <c r="R397" t="inlineStr">
        <is>
          <t>Operationnel</t>
        </is>
      </c>
      <c r="S397" t="inlineStr"/>
      <c r="T397" t="inlineStr"/>
      <c r="U397" t="inlineStr"/>
      <c r="V397" t="inlineStr"/>
      <c r="W397" t="inlineStr"/>
      <c r="X397" t="inlineStr">
        <is>
          <t>{05-25-2026 retour CAMUSAT}: Insuffisance de redresseurs</t>
        </is>
      </c>
      <c r="Y397" t="inlineStr">
        <is>
          <t>Insuffisance de redresseurs</t>
        </is>
      </c>
      <c r="Z397" t="inlineStr"/>
      <c r="AA397" t="inlineStr"/>
      <c r="AB397" t="inlineStr"/>
      <c r="AC397" t="inlineStr">
        <is>
          <t>{05-25-2026 retour CAMUSAT}: Insuffisance de redresseurs</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row>
    <row r="398">
      <c r="A398" t="inlineStr">
        <is>
          <t>EXN_153_H_Salak-MTN-HIS</t>
        </is>
      </c>
      <c r="B398" t="inlineStr">
        <is>
          <t>EXN_153</t>
        </is>
      </c>
      <c r="C398" t="inlineStr">
        <is>
          <t>EXTREME-NORD</t>
        </is>
      </c>
      <c r="D398" t="inlineStr">
        <is>
          <t>IHS</t>
        </is>
      </c>
      <c r="E398" t="inlineStr">
        <is>
          <t>Solar-Gen</t>
        </is>
      </c>
      <c r="F398" t="inlineStr">
        <is>
          <t>EXN</t>
        </is>
      </c>
      <c r="G398" t="inlineStr">
        <is>
          <t>Salak</t>
        </is>
      </c>
      <c r="H398" t="inlineStr">
        <is>
          <t>Huawei</t>
        </is>
      </c>
      <c r="I398" t="n">
        <v>0</v>
      </c>
      <c r="J398" t="n">
        <v>0</v>
      </c>
      <c r="K398" t="n">
        <v>0</v>
      </c>
      <c r="L398" t="n">
        <v>0</v>
      </c>
      <c r="M398" t="n">
        <v>4.950393513167995</v>
      </c>
      <c r="N398" t="n">
        <v>1.488130922548749</v>
      </c>
      <c r="O398" t="n">
        <v>2.537307343145956</v>
      </c>
      <c r="P398" t="n">
        <v>2.439167197455715</v>
      </c>
      <c r="Q398" t="n">
        <v>2.336306084187277</v>
      </c>
      <c r="R398" t="inlineStr">
        <is>
          <t>Insecurity</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row>
    <row r="399">
      <c r="A399" t="inlineStr">
        <is>
          <t>Tradex-Nkomo</t>
        </is>
      </c>
      <c r="B399" t="inlineStr">
        <is>
          <t>CTR_276</t>
        </is>
      </c>
      <c r="C399" t="inlineStr">
        <is>
          <t>Yaounde</t>
        </is>
      </c>
      <c r="D399" t="inlineStr">
        <is>
          <t>IHS</t>
        </is>
      </c>
      <c r="E399" t="inlineStr">
        <is>
          <t>Grid-Gen</t>
        </is>
      </c>
      <c r="F399" t="inlineStr">
        <is>
          <t>CENTRE</t>
        </is>
      </c>
      <c r="G399" t="inlineStr">
        <is>
          <t>Yaounde</t>
        </is>
      </c>
      <c r="H399" t="inlineStr">
        <is>
          <t>ZTE</t>
        </is>
      </c>
      <c r="I399" t="n">
        <v>0.03854160424389245</v>
      </c>
      <c r="J399" t="n">
        <v>0.001551651813613444</v>
      </c>
      <c r="K399" t="n">
        <v>0.0007490732893306281</v>
      </c>
      <c r="L399" t="n">
        <v>0.001444641343709069</v>
      </c>
      <c r="M399" t="n">
        <v>10.54431232218427</v>
      </c>
      <c r="N399" t="n">
        <v>2.71048403534645</v>
      </c>
      <c r="O399" t="n">
        <v>2.239588114691392</v>
      </c>
      <c r="P399" t="n">
        <v>2.286325943874256</v>
      </c>
      <c r="Q399" t="n">
        <v>2.331205251788501</v>
      </c>
      <c r="R399" t="inlineStr">
        <is>
          <t>Operationnel</t>
        </is>
      </c>
      <c r="S399" t="inlineStr"/>
      <c r="T399" t="inlineStr"/>
      <c r="U399" t="inlineStr"/>
      <c r="V399" t="inlineStr"/>
      <c r="W399" t="inlineStr"/>
      <c r="X399" t="inlineStr">
        <is>
          <t>{05-25-2026 ticket}: INC-20260525-00019080..Grid Outage</t>
        </is>
      </c>
      <c r="Y399" t="inlineStr">
        <is>
          <t>.Grid Outage</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is>
          <t>{05-25-2026 ticket}: INC-20260525-00019080..Grid Outage</t>
        </is>
      </c>
      <c r="AR399" t="inlineStr"/>
    </row>
    <row r="400">
      <c r="A400" t="inlineStr">
        <is>
          <t>Tradex-Simbock-MTN</t>
        </is>
      </c>
      <c r="B400" t="inlineStr">
        <is>
          <t>CTR_851</t>
        </is>
      </c>
      <c r="C400" t="inlineStr">
        <is>
          <t>Yaounde</t>
        </is>
      </c>
      <c r="D400" t="inlineStr">
        <is>
          <t>MTN</t>
        </is>
      </c>
      <c r="E400" t="inlineStr"/>
      <c r="F400" t="inlineStr">
        <is>
          <t>CENTRE</t>
        </is>
      </c>
      <c r="G400" t="inlineStr">
        <is>
          <t>Yaounde</t>
        </is>
      </c>
      <c r="H400" t="inlineStr">
        <is>
          <t>ZTE</t>
        </is>
      </c>
      <c r="I400" t="n">
        <v>0</v>
      </c>
      <c r="J400" t="n">
        <v>0</v>
      </c>
      <c r="K400" t="n">
        <v>0</v>
      </c>
      <c r="L400" t="n">
        <v>0</v>
      </c>
      <c r="M400" t="n">
        <v>0.6274380552059884</v>
      </c>
      <c r="N400" t="n">
        <v>1.167648845565108</v>
      </c>
      <c r="O400" t="n">
        <v>1.320611095810766</v>
      </c>
      <c r="P400" t="n">
        <v>3.281658009880337</v>
      </c>
      <c r="Q400" t="n">
        <v>2.321431628870569</v>
      </c>
      <c r="R400" t="inlineStr">
        <is>
          <t>Operationnel</t>
        </is>
      </c>
      <c r="S400" t="inlineStr"/>
      <c r="T400" t="inlineStr"/>
      <c r="U400" t="inlineStr"/>
      <c r="V400" t="inlineStr"/>
      <c r="W400" t="inlineStr"/>
      <c r="X400" t="inlineStr">
        <is>
          <t>{05-25-2026 ticket}: INC-20260525-00017463..Grid Outage</t>
        </is>
      </c>
      <c r="Y400" t="inlineStr">
        <is>
          <t>.Grid Outage</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is>
          <t>{05-25-2026 ticket}: INC-20260525-00017463..Grid Outage</t>
        </is>
      </c>
      <c r="AR400" t="inlineStr"/>
    </row>
    <row r="401">
      <c r="A401" t="inlineStr">
        <is>
          <t>Ngaoundere-Cifan-MTN-IHS</t>
        </is>
      </c>
      <c r="B401" t="inlineStr">
        <is>
          <t>ADM_120</t>
        </is>
      </c>
      <c r="C401" t="inlineStr">
        <is>
          <t>Ngaoundere</t>
        </is>
      </c>
      <c r="D401" t="inlineStr">
        <is>
          <t>IHS</t>
        </is>
      </c>
      <c r="E401" t="inlineStr">
        <is>
          <t>Grid-Gen</t>
        </is>
      </c>
      <c r="F401" t="inlineStr">
        <is>
          <t>ADAMAOUA</t>
        </is>
      </c>
      <c r="G401" t="inlineStr">
        <is>
          <t>Ngaoundere</t>
        </is>
      </c>
      <c r="H401" t="inlineStr">
        <is>
          <t>Huawei</t>
        </is>
      </c>
      <c r="I401" t="n">
        <v>0</v>
      </c>
      <c r="J401" t="n">
        <v>0</v>
      </c>
      <c r="K401" t="n">
        <v>0</v>
      </c>
      <c r="L401" t="n">
        <v>2.717727069083106</v>
      </c>
      <c r="M401" t="n">
        <v>0</v>
      </c>
      <c r="N401" t="n">
        <v>4.042870160545784</v>
      </c>
      <c r="O401" t="n">
        <v>5.163069810377714</v>
      </c>
      <c r="P401" t="n">
        <v>0</v>
      </c>
      <c r="Q401" t="n">
        <v>2.310623571410227</v>
      </c>
      <c r="R401" t="inlineStr">
        <is>
          <t>Operationnel</t>
        </is>
      </c>
      <c r="S401" t="inlineStr"/>
      <c r="T401" t="inlineStr"/>
      <c r="U401" t="inlineStr"/>
      <c r="V401" t="inlineStr"/>
      <c r="W401" t="inlineStr"/>
      <c r="X401" t="inlineStr">
        <is>
          <t>{05-25-2026 ocm ran 22H}: Power status check Ongoing</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{05-25-2026 ocm ran 22H}: Power status check Ongoing</t>
        </is>
      </c>
      <c r="AP401" t="inlineStr"/>
      <c r="AQ401" t="inlineStr"/>
      <c r="AR401" t="inlineStr"/>
    </row>
    <row r="402">
      <c r="A402" t="inlineStr">
        <is>
          <t>Minkan-Nord-IHS</t>
        </is>
      </c>
      <c r="B402" t="inlineStr">
        <is>
          <t>CTR_646</t>
        </is>
      </c>
      <c r="C402" t="inlineStr">
        <is>
          <t>Yaounde</t>
        </is>
      </c>
      <c r="D402" t="inlineStr">
        <is>
          <t>CAMUSAT</t>
        </is>
      </c>
      <c r="E402" t="inlineStr">
        <is>
          <t>Good Grid + GE</t>
        </is>
      </c>
      <c r="F402" t="inlineStr">
        <is>
          <t>CENTRE</t>
        </is>
      </c>
      <c r="G402" t="inlineStr">
        <is>
          <t>Yaounde</t>
        </is>
      </c>
      <c r="H402" t="inlineStr">
        <is>
          <t>ZTE</t>
        </is>
      </c>
      <c r="I402" t="n">
        <v>0.463248324216042</v>
      </c>
      <c r="J402" t="n">
        <v>2.599391324447184</v>
      </c>
      <c r="K402" t="n">
        <v>0</v>
      </c>
      <c r="L402" t="n">
        <v>1.589230323628196</v>
      </c>
      <c r="M402" t="n">
        <v>0.4240646571527216</v>
      </c>
      <c r="N402" t="n">
        <v>2.330301867638654</v>
      </c>
      <c r="O402" t="n">
        <v>0.8150621704050522</v>
      </c>
      <c r="P402" t="n">
        <v>3.267909479126311</v>
      </c>
      <c r="Q402" t="n">
        <v>2.310570066175275</v>
      </c>
      <c r="R402" t="inlineStr">
        <is>
          <t>Operationnel</t>
        </is>
      </c>
      <c r="S402" t="inlineStr"/>
      <c r="T402" t="inlineStr"/>
      <c r="U402" t="inlineStr"/>
      <c r="V402" t="inlineStr"/>
      <c r="W402" t="inlineStr"/>
      <c r="X402" t="inlineStr">
        <is>
          <t>{05-25-2026 ticket}: INC-20260525-00022186..Grid Outage</t>
        </is>
      </c>
      <c r="Y402" t="inlineStr">
        <is>
          <t>.Grid Outage</t>
        </is>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is>
          <t>{05-25-2026 ticket}: INC-20260525-00022186..Grid Outage</t>
        </is>
      </c>
      <c r="AR402" t="inlineStr"/>
    </row>
    <row r="403">
      <c r="A403" t="inlineStr">
        <is>
          <t>Maroua-Camp-SIC</t>
        </is>
      </c>
      <c r="B403" t="inlineStr">
        <is>
          <t>EXN_071</t>
        </is>
      </c>
      <c r="C403" t="inlineStr">
        <is>
          <t>Maroua</t>
        </is>
      </c>
      <c r="D403" t="inlineStr">
        <is>
          <t>IHS</t>
        </is>
      </c>
      <c r="E403" t="inlineStr">
        <is>
          <t>Grid-Gen</t>
        </is>
      </c>
      <c r="F403" t="inlineStr">
        <is>
          <t>EXTREME-NORD</t>
        </is>
      </c>
      <c r="G403" t="inlineStr">
        <is>
          <t>Maroua</t>
        </is>
      </c>
      <c r="H403" t="inlineStr">
        <is>
          <t>Huawei</t>
        </is>
      </c>
      <c r="I403" t="n">
        <v>0.70207785796429</v>
      </c>
      <c r="J403" t="n">
        <v>0.1003936558486215</v>
      </c>
      <c r="K403" t="n">
        <v>0</v>
      </c>
      <c r="L403" t="n">
        <v>0</v>
      </c>
      <c r="M403" t="n">
        <v>5.147150097165507</v>
      </c>
      <c r="N403" t="n">
        <v>1.640503539041362</v>
      </c>
      <c r="O403" t="n">
        <v>2.087859685628895</v>
      </c>
      <c r="P403" t="n">
        <v>2.585373587936972</v>
      </c>
      <c r="Q403" t="n">
        <v>2.283425076976199</v>
      </c>
      <c r="R403" t="inlineStr">
        <is>
          <t>Operationnel</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row>
    <row r="404">
      <c r="A404" t="inlineStr">
        <is>
          <t>CTR_946_Z_Nkolfoulou-foret-Bar</t>
        </is>
      </c>
      <c r="B404" t="inlineStr">
        <is>
          <t>CTR_946</t>
        </is>
      </c>
      <c r="C404" t="inlineStr">
        <is>
          <t>Yaounde</t>
        </is>
      </c>
      <c r="D404" t="inlineStr">
        <is>
          <t>ESCO</t>
        </is>
      </c>
      <c r="E404" t="inlineStr">
        <is>
          <t>GE</t>
        </is>
      </c>
      <c r="F404" t="inlineStr">
        <is>
          <t>CENTRE</t>
        </is>
      </c>
      <c r="G404" t="inlineStr">
        <is>
          <t>Yaounde</t>
        </is>
      </c>
      <c r="H404" t="inlineStr">
        <is>
          <t>ZTE</t>
        </is>
      </c>
      <c r="I404" t="n">
        <v>0</v>
      </c>
      <c r="J404" t="n">
        <v>0</v>
      </c>
      <c r="K404" t="n">
        <v>0</v>
      </c>
      <c r="L404" t="n">
        <v>0.02402385049353229</v>
      </c>
      <c r="M404" t="n">
        <v>0</v>
      </c>
      <c r="N404" t="n">
        <v>1.583551151237566</v>
      </c>
      <c r="O404" t="n">
        <v>1.348024215347268</v>
      </c>
      <c r="P404" t="n">
        <v>3.051900224791898</v>
      </c>
      <c r="Q404" t="n">
        <v>2.270209283943008</v>
      </c>
      <c r="R404" t="inlineStr">
        <is>
          <t>Operationnel</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row>
    <row r="405">
      <c r="A405" t="inlineStr">
        <is>
          <t>Nlobisson</t>
        </is>
      </c>
      <c r="B405" t="inlineStr">
        <is>
          <t>CTR_631</t>
        </is>
      </c>
      <c r="C405" t="inlineStr">
        <is>
          <t>Yaounde</t>
        </is>
      </c>
      <c r="D405" t="inlineStr">
        <is>
          <t>CAMUSAT</t>
        </is>
      </c>
      <c r="E405" t="inlineStr">
        <is>
          <t>Bad Grid + Solar + GE</t>
        </is>
      </c>
      <c r="F405" t="inlineStr">
        <is>
          <t>CENTRE</t>
        </is>
      </c>
      <c r="G405" t="inlineStr">
        <is>
          <t>Yaounde</t>
        </is>
      </c>
      <c r="H405" t="inlineStr">
        <is>
          <t>ZTE</t>
        </is>
      </c>
      <c r="I405" t="n">
        <v>0</v>
      </c>
      <c r="J405" t="n">
        <v>0</v>
      </c>
      <c r="K405" t="n">
        <v>0</v>
      </c>
      <c r="L405" t="n">
        <v>0</v>
      </c>
      <c r="M405" t="n">
        <v>0.05560977419363991</v>
      </c>
      <c r="N405" t="n">
        <v>2.386130195156849</v>
      </c>
      <c r="O405" t="n">
        <v>2.191933912706427</v>
      </c>
      <c r="P405" t="n">
        <v>2.286565346151068</v>
      </c>
      <c r="Q405" t="n">
        <v>2.269014333695742</v>
      </c>
      <c r="R405" t="inlineStr">
        <is>
          <t>Operationnel</t>
        </is>
      </c>
      <c r="S405" t="inlineStr"/>
      <c r="T405" t="inlineStr"/>
      <c r="U405" t="inlineStr"/>
      <c r="V405" t="inlineStr"/>
      <c r="W405" t="inlineStr"/>
      <c r="X405" t="inlineStr">
        <is>
          <t>{05-25-2026 retour CAMUSAT}: No power issue      ;    {05-25-2026 ticket}: INC-20260525-00019085..Grid Outage</t>
        </is>
      </c>
      <c r="Y405" t="inlineStr">
        <is>
          <t>No power issue .Grid Outage</t>
        </is>
      </c>
      <c r="Z405" t="inlineStr"/>
      <c r="AA405" t="inlineStr"/>
      <c r="AB405" t="inlineStr"/>
      <c r="AC405" t="inlineStr">
        <is>
          <t xml:space="preserve">{05-25-2026 retour CAMUSAT}: No power issue </t>
        </is>
      </c>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{05-25-2026 ticket}: INC-20260525-00019085..Grid Outage</t>
        </is>
      </c>
      <c r="AR405" t="inlineStr"/>
    </row>
    <row r="406">
      <c r="A406" t="inlineStr">
        <is>
          <t>Mimboman-Chapelle</t>
        </is>
      </c>
      <c r="B406" t="inlineStr">
        <is>
          <t>CTR_772</t>
        </is>
      </c>
      <c r="C406" t="inlineStr">
        <is>
          <t>Yaounde</t>
        </is>
      </c>
      <c r="D406" t="inlineStr">
        <is>
          <t>CAMUSAT</t>
        </is>
      </c>
      <c r="E406" t="inlineStr">
        <is>
          <t>Good Grid no GE - 8h</t>
        </is>
      </c>
      <c r="F406" t="inlineStr">
        <is>
          <t>CENTRE</t>
        </is>
      </c>
      <c r="G406" t="inlineStr">
        <is>
          <t>Yaounde</t>
        </is>
      </c>
      <c r="H406" t="inlineStr">
        <is>
          <t>ZTE</t>
        </is>
      </c>
      <c r="I406" t="n">
        <v>12.50060639266279</v>
      </c>
      <c r="J406" t="n">
        <v>4.213323231544973</v>
      </c>
      <c r="K406" t="n">
        <v>0</v>
      </c>
      <c r="L406" t="n">
        <v>1.024322053002999</v>
      </c>
      <c r="M406" t="n">
        <v>0.08300445448916048</v>
      </c>
      <c r="N406" t="n">
        <v>2.195539528953795</v>
      </c>
      <c r="O406" t="n">
        <v>2.199424706998379</v>
      </c>
      <c r="P406" t="n">
        <v>2.289985378676946</v>
      </c>
      <c r="Q406" t="n">
        <v>2.246096258057888</v>
      </c>
      <c r="R406" t="inlineStr">
        <is>
          <t>Operationnel</t>
        </is>
      </c>
      <c r="S406" t="inlineStr"/>
      <c r="T406" t="inlineStr"/>
      <c r="U406" t="inlineStr"/>
      <c r="V406" t="inlineStr"/>
      <c r="W406" t="inlineStr"/>
      <c r="X406" t="inlineStr">
        <is>
          <t>{05-25-2026 retour CAMUSAT}: Grid outage Grid only site     ;    {05-25-2026 ticket}: INC-20260525-00019079..Auto TT closure RCA..Others</t>
        </is>
      </c>
      <c r="Y406" t="inlineStr">
        <is>
          <t>Grid outage Grid only site .Auto TT closure RCA.</t>
        </is>
      </c>
      <c r="Z406" t="inlineStr"/>
      <c r="AA406" t="inlineStr"/>
      <c r="AB406" t="inlineStr"/>
      <c r="AC406" t="inlineStr">
        <is>
          <t>{05-25-2026 retour CAMUSAT}: Grid outage Grid only site</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is>
          <t>{05-25-2026 ticket}: INC-20260525-00019079..Auto TT closure RCA..Others</t>
        </is>
      </c>
      <c r="AR406" t="inlineStr"/>
    </row>
    <row r="407">
      <c r="A407" t="inlineStr">
        <is>
          <t>Bambili-University-IHS</t>
        </is>
      </c>
      <c r="B407" t="inlineStr">
        <is>
          <t>NRO_061</t>
        </is>
      </c>
      <c r="C407" t="inlineStr">
        <is>
          <t>NORD-OUEST</t>
        </is>
      </c>
      <c r="D407" t="inlineStr">
        <is>
          <t>IHS</t>
        </is>
      </c>
      <c r="E407" t="inlineStr">
        <is>
          <t>Grid-Gen</t>
        </is>
      </c>
      <c r="F407" t="inlineStr">
        <is>
          <t>NORD-OUEST</t>
        </is>
      </c>
      <c r="G407" t="inlineStr">
        <is>
          <t>Bamenda</t>
        </is>
      </c>
      <c r="H407" t="inlineStr">
        <is>
          <t>Huawei</t>
        </is>
      </c>
      <c r="I407" t="n">
        <v>0</v>
      </c>
      <c r="J407" t="n">
        <v>0</v>
      </c>
      <c r="K407" t="n">
        <v>0</v>
      </c>
      <c r="L407" t="n">
        <v>0</v>
      </c>
      <c r="M407" t="n">
        <v>0</v>
      </c>
      <c r="N407" t="n">
        <v>3.435877606321116</v>
      </c>
      <c r="O407" t="n">
        <v>4.389021066876111</v>
      </c>
      <c r="P407" t="n">
        <v>0.4911166707159851</v>
      </c>
      <c r="Q407" t="n">
        <v>2.22019972434103</v>
      </c>
      <c r="R407" t="inlineStr">
        <is>
          <t>Insecurity</t>
        </is>
      </c>
      <c r="S407" t="inlineStr"/>
      <c r="T407" t="inlineStr"/>
      <c r="U407" t="inlineStr"/>
      <c r="V407" t="inlineStr"/>
      <c r="W407" t="inlineStr"/>
      <c r="X407" t="inlineStr">
        <is>
          <t>{None hourly IHS}: 25/05/2026 18:11..2:15:45..FME Simeu is managing with level 0</t>
        </is>
      </c>
      <c r="Y407" t="inlineStr">
        <is>
          <t>25/05/2026 18 11.2 15 45.FME Simeu is managing with level 0</t>
        </is>
      </c>
      <c r="Z407" t="inlineStr"/>
      <c r="AA407" t="inlineStr"/>
      <c r="AB407" t="inlineStr"/>
      <c r="AC407" t="inlineStr"/>
      <c r="AD407" t="inlineStr"/>
      <c r="AE407" t="inlineStr">
        <is>
          <t>{None hourly IHS}: 25/05/2026 18:11..2:15:45..FME Simeu is managing with level 0</t>
        </is>
      </c>
      <c r="AF407" t="inlineStr"/>
      <c r="AG407" t="inlineStr"/>
      <c r="AH407" t="inlineStr"/>
      <c r="AI407" t="inlineStr"/>
      <c r="AJ407" t="inlineStr"/>
      <c r="AK407" t="inlineStr"/>
      <c r="AL407" t="inlineStr"/>
      <c r="AM407" t="inlineStr"/>
      <c r="AN407" t="inlineStr"/>
      <c r="AO407" t="inlineStr"/>
      <c r="AP407" t="inlineStr"/>
      <c r="AQ407" t="inlineStr"/>
      <c r="AR407" t="inlineStr"/>
    </row>
    <row r="408">
      <c r="A408" t="inlineStr">
        <is>
          <t>Laising</t>
        </is>
      </c>
      <c r="B408" t="inlineStr">
        <is>
          <t>NRO_044</t>
        </is>
      </c>
      <c r="C408" t="inlineStr">
        <is>
          <t>NORD-OUEST</t>
        </is>
      </c>
      <c r="D408" t="inlineStr">
        <is>
          <t>IHS</t>
        </is>
      </c>
      <c r="E408" t="inlineStr">
        <is>
          <t>Gen Only</t>
        </is>
      </c>
      <c r="F408" t="inlineStr">
        <is>
          <t>NORD-OUEST</t>
        </is>
      </c>
      <c r="G408" t="inlineStr">
        <is>
          <t>Laising</t>
        </is>
      </c>
      <c r="H408" t="inlineStr">
        <is>
          <t>NOKIA</t>
        </is>
      </c>
      <c r="I408" t="n">
        <v>0.2222964161480227</v>
      </c>
      <c r="J408" t="n">
        <v>0.08874734970736206</v>
      </c>
      <c r="K408" t="n">
        <v>1.013032448428088</v>
      </c>
      <c r="L408" t="n">
        <v>3.895680486712153</v>
      </c>
      <c r="M408" t="n">
        <v>6.245059683306082</v>
      </c>
      <c r="N408" t="n">
        <v>6.570257264926521</v>
      </c>
      <c r="O408" t="n">
        <v>3.797726453617852</v>
      </c>
      <c r="P408" t="n">
        <v>0</v>
      </c>
      <c r="Q408" t="n">
        <v>2.213172703483975</v>
      </c>
      <c r="R408" t="inlineStr">
        <is>
          <t>Insecurity</t>
        </is>
      </c>
      <c r="S408" t="inlineStr"/>
      <c r="T408" t="inlineStr"/>
      <c r="U408" t="inlineStr"/>
      <c r="V408" t="inlineStr"/>
      <c r="W408" t="inlineStr"/>
      <c r="X408" t="inlineStr">
        <is>
          <t>{05/25/2026 cell nokia}: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     ;    {05/25/2026 cell nokia}: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     ;    {05/25/2026 cell nokia}: 25/05/2026 : Relance faite a IHS ce jour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     ;    {05-25-2026 ticket}: INC-20260525-00005719..Grid Outage</t>
        </is>
      </c>
      <c r="Y408" t="inlineStr">
        <is>
          <t>21/05/2026 En attente feedback IHS
18/05/2026 Relance faite a IHS ce jour
15/05/2026 Need BO RAN analysis || Site Actualy down check power needed || Mail sent to HIS || Feedback HIS Le site est dans une zone rouge et notre FME ne peux s'y rendre facilement.
Néanmoins il rentre en contact avec le niveau 0 afin d'avoir l'état de l'énergie dans le site.
Nous vous reviendrons sous peu. 21/05/2026 En attente feedback IHS
18/05/2026 Relance faite a IHS ce jour
15/05/2026 Need BO RAN analysis || Site Actualy down check power needed || Mail sent to HIS || Feedback HIS Le site est dans une zone rouge et notre FME ne peux s'y rendre facilement.
Néanmoins il rentre en contact avec le niveau 0 afin d'avoir l'état de l'énergie dans le site.
Nous vous reviendrons sous peu. 25/05/2026 Relance faite a IHS ce jour
21/05/2026 En attente feedback IHS
18/05/2026 Relance faite a IHS ce jour
15/05/2026 Need BO RAN analysis || Site Actualy down check power needed || Mail sent to HIS || Feedback HIS Le site est dans une zone rouge et notre FME ne peux s'y rendre facilement.
Néanmoins il rentre en contact avec le niveau 0 afin d'avoir l'état de l'énergie dans le site.
Nous vous reviendrons sous peu. .Grid Outage</t>
        </is>
      </c>
      <c r="Z408" t="inlineStr"/>
      <c r="AA408" t="inlineStr"/>
      <c r="AB408" t="inlineStr"/>
      <c r="AC408" t="inlineStr"/>
      <c r="AD408" t="inlineStr"/>
      <c r="AE408" t="inlineStr"/>
      <c r="AF408" t="inlineStr">
        <is>
          <t>{05/25/2026 cell nokia}: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t>
        </is>
      </c>
      <c r="AG408" t="inlineStr">
        <is>
          <t>{05/25/2026 cell nokia}: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t>
        </is>
      </c>
      <c r="AH408" t="inlineStr">
        <is>
          <t>{05/25/2026 cell nokia}: 25/05/2026 : Relance faite a IHS ce jour 
21/05/2026 : En attente feedback IHS 
18/05/2026: Relance faite a IHS ce jour 
15/05/2026 : Need BO RAN analysis||Site Actualy down check power needed|| Mail sent to HIS  ||Feedback HIS : Le site est dans une zone rouge et notre FME ne peux s'y rendre facilement.
Néanmoins il rentre en contact avec le niveau 0 afin d'avoir l'état de l'énergie dans le site.
Nous vous reviendrons sous peu.</t>
        </is>
      </c>
      <c r="AI408" t="inlineStr"/>
      <c r="AJ408" t="inlineStr"/>
      <c r="AK408" t="inlineStr"/>
      <c r="AL408" t="inlineStr"/>
      <c r="AM408" t="inlineStr"/>
      <c r="AN408" t="inlineStr"/>
      <c r="AO408" t="inlineStr"/>
      <c r="AP408" t="inlineStr"/>
      <c r="AQ408" t="inlineStr">
        <is>
          <t>{05-25-2026 ticket}: INC-20260525-00005719..Grid Outage</t>
        </is>
      </c>
      <c r="AR408" t="inlineStr"/>
    </row>
    <row r="409">
      <c r="A409" t="inlineStr">
        <is>
          <t>Foumbot-Ndoumbem</t>
        </is>
      </c>
      <c r="B409" t="inlineStr">
        <is>
          <t>OST_228</t>
        </is>
      </c>
      <c r="C409" t="inlineStr">
        <is>
          <t>OUEST</t>
        </is>
      </c>
      <c r="D409" t="inlineStr">
        <is>
          <t>CAMUSAT</t>
        </is>
      </c>
      <c r="E409" t="inlineStr">
        <is>
          <t>Hybrid Solar - S1</t>
        </is>
      </c>
      <c r="F409" t="inlineStr">
        <is>
          <t>OUEST</t>
        </is>
      </c>
      <c r="G409" t="inlineStr">
        <is>
          <t>Foumbot</t>
        </is>
      </c>
      <c r="H409" t="inlineStr">
        <is>
          <t>Huawei</t>
        </is>
      </c>
      <c r="I409" t="n">
        <v>0</v>
      </c>
      <c r="J409" t="n">
        <v>0</v>
      </c>
      <c r="K409" t="n">
        <v>0</v>
      </c>
      <c r="L409" t="n">
        <v>1.883384270317008</v>
      </c>
      <c r="M409" t="n">
        <v>0</v>
      </c>
      <c r="N409" t="n">
        <v>1.882800978382072</v>
      </c>
      <c r="O409" t="n">
        <v>2.49114067477925</v>
      </c>
      <c r="P409" t="n">
        <v>2.023633245561619</v>
      </c>
      <c r="Q409" t="n">
        <v>2.160470047056071</v>
      </c>
      <c r="R409" t="inlineStr">
        <is>
          <t>Operationnel</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row>
    <row r="410">
      <c r="A410" t="inlineStr">
        <is>
          <t>Garoua-Boulai-Entrance</t>
        </is>
      </c>
      <c r="B410" t="inlineStr">
        <is>
          <t>EST_144</t>
        </is>
      </c>
      <c r="C410" t="inlineStr">
        <is>
          <t>CENTRE</t>
        </is>
      </c>
      <c r="D410" t="inlineStr">
        <is>
          <t>CAMUSAT</t>
        </is>
      </c>
      <c r="E410" t="inlineStr">
        <is>
          <t>Hybrid Solar - S3</t>
        </is>
      </c>
      <c r="F410" t="inlineStr">
        <is>
          <t>EST</t>
        </is>
      </c>
      <c r="G410" t="inlineStr">
        <is>
          <t>Garoua-Boulai</t>
        </is>
      </c>
      <c r="H410" t="inlineStr">
        <is>
          <t>ZTE</t>
        </is>
      </c>
      <c r="I410" t="n">
        <v>0</v>
      </c>
      <c r="J410" t="n">
        <v>0.01318012287655552</v>
      </c>
      <c r="K410" t="n">
        <v>0</v>
      </c>
      <c r="L410" t="n">
        <v>0</v>
      </c>
      <c r="M410" t="n">
        <v>0</v>
      </c>
      <c r="N410" t="n">
        <v>1.359988049990208</v>
      </c>
      <c r="O410" t="n">
        <v>2.310352213960036</v>
      </c>
      <c r="P410" t="n">
        <v>2.243404535674497</v>
      </c>
      <c r="Q410" t="n">
        <v>2.13972785097294</v>
      </c>
      <c r="R410" t="inlineStr">
        <is>
          <t>Operationnel</t>
        </is>
      </c>
      <c r="S410" t="inlineStr"/>
      <c r="T410" t="inlineStr"/>
      <c r="U410" t="inlineStr"/>
      <c r="V410" t="inlineStr"/>
      <c r="W410" t="inlineStr"/>
      <c r="X410" t="inlineStr">
        <is>
          <t>{05-25-2026 ticket}: INC-20260525-00021644..Transmission issue impacted by Gado-Badzere(EST-055)/Main site up awaited..Auto TT closure RCA..Others..user:OCM_NOC.CAMUSAT</t>
        </is>
      </c>
      <c r="Y410" t="inlineStr">
        <is>
          <t>.Transmission issue impacted by Gado-Badzere(EST-055)/Main site up awaited.Auto TT closure RCA.user OCM_NOC.CAMUSAT</t>
        </is>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is>
          <t>{05-25-2026 ticket}: INC-20260525-00021644..Transmission issue impacted by Gado-Badzere(EST-055)/Main site up awaited..Auto TT closure RCA..Others..user:OCM_NOC.CAMUSAT</t>
        </is>
      </c>
      <c r="AR410" t="inlineStr"/>
    </row>
    <row r="411">
      <c r="A411" t="inlineStr">
        <is>
          <t>GAROUA-BOULAI-II-IHS</t>
        </is>
      </c>
      <c r="B411" t="inlineStr">
        <is>
          <t>ADM_156</t>
        </is>
      </c>
      <c r="C411" t="inlineStr">
        <is>
          <t>CENTRE</t>
        </is>
      </c>
      <c r="D411" t="inlineStr">
        <is>
          <t>IHS</t>
        </is>
      </c>
      <c r="E411" t="inlineStr">
        <is>
          <t>Grid-Gen-Lithium</t>
        </is>
      </c>
      <c r="F411" t="inlineStr">
        <is>
          <t>ADAMAOUA</t>
        </is>
      </c>
      <c r="G411" t="inlineStr">
        <is>
          <t>Garoua Boulai</t>
        </is>
      </c>
      <c r="H411" t="inlineStr">
        <is>
          <t>ZTE</t>
        </is>
      </c>
      <c r="I411" t="n">
        <v>0</v>
      </c>
      <c r="J411" t="n">
        <v>0</v>
      </c>
      <c r="K411" t="n">
        <v>0</v>
      </c>
      <c r="L411" t="n">
        <v>0</v>
      </c>
      <c r="M411" t="n">
        <v>0</v>
      </c>
      <c r="N411" t="n">
        <v>1.363485126434301</v>
      </c>
      <c r="O411" t="n">
        <v>2.311414737973077</v>
      </c>
      <c r="P411" t="n">
        <v>2.240942112255865</v>
      </c>
      <c r="Q411" t="n">
        <v>2.139299809093322</v>
      </c>
      <c r="R411" t="inlineStr">
        <is>
          <t>Operationnel</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row>
    <row r="412">
      <c r="A412" t="inlineStr">
        <is>
          <t>Nkolso-MTN-IHS</t>
        </is>
      </c>
      <c r="B412" t="inlineStr">
        <is>
          <t>CTR_471</t>
        </is>
      </c>
      <c r="C412" t="inlineStr">
        <is>
          <t>Yaounde</t>
        </is>
      </c>
      <c r="D412" t="inlineStr">
        <is>
          <t>IHS</t>
        </is>
      </c>
      <c r="E412" t="inlineStr">
        <is>
          <t>Grid-Gen</t>
        </is>
      </c>
      <c r="F412" t="inlineStr">
        <is>
          <t>CENTRE</t>
        </is>
      </c>
      <c r="G412" t="inlineStr">
        <is>
          <t>Yaounde</t>
        </is>
      </c>
      <c r="H412" t="inlineStr">
        <is>
          <t>ZTE</t>
        </is>
      </c>
      <c r="I412" t="n">
        <v>0</v>
      </c>
      <c r="J412" t="n">
        <v>8.566830178664681</v>
      </c>
      <c r="K412" t="n">
        <v>5.572516715035399</v>
      </c>
      <c r="L412" t="n">
        <v>8.312163095370583</v>
      </c>
      <c r="M412" t="n">
        <v>0</v>
      </c>
      <c r="N412" t="n">
        <v>1.696581657734134</v>
      </c>
      <c r="O412" t="n">
        <v>1.444713900534152</v>
      </c>
      <c r="P412" t="n">
        <v>2.654116241707105</v>
      </c>
      <c r="Q412" t="n">
        <v>2.111370076448279</v>
      </c>
      <c r="R412" t="inlineStr">
        <is>
          <t>Operationnel</t>
        </is>
      </c>
      <c r="S412" t="inlineStr"/>
      <c r="T412" t="inlineStr"/>
      <c r="U412" t="inlineStr"/>
      <c r="V412" t="inlineStr"/>
      <c r="W412" t="inlineStr"/>
      <c r="X412" t="inlineStr">
        <is>
          <t>{05-25-2026 ticket}: INC-20260525-00021025..Grid Outage</t>
        </is>
      </c>
      <c r="Y412" t="inlineStr">
        <is>
          <t>.Grid Outage</t>
        </is>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is>
          <t>{05-25-2026 ticket}: INC-20260525-00021025..Grid Outage</t>
        </is>
      </c>
      <c r="AR412" t="inlineStr"/>
    </row>
    <row r="413">
      <c r="A413" t="inlineStr">
        <is>
          <t>Pinyin-New</t>
        </is>
      </c>
      <c r="B413" t="inlineStr">
        <is>
          <t>NRO_247</t>
        </is>
      </c>
      <c r="C413" t="inlineStr">
        <is>
          <t>NORD-OUEST</t>
        </is>
      </c>
      <c r="D413" t="inlineStr">
        <is>
          <t>IHS</t>
        </is>
      </c>
      <c r="E413" t="inlineStr">
        <is>
          <t>Grid Gen</t>
        </is>
      </c>
      <c r="F413" t="inlineStr">
        <is>
          <t>NORD-OUEST</t>
        </is>
      </c>
      <c r="G413" t="inlineStr">
        <is>
          <t>Pinyin</t>
        </is>
      </c>
      <c r="H413" t="inlineStr">
        <is>
          <t>NOKIA</t>
        </is>
      </c>
      <c r="I413" t="n">
        <v>0</v>
      </c>
      <c r="J413" t="n">
        <v>0</v>
      </c>
      <c r="K413" t="n">
        <v>0</v>
      </c>
      <c r="L413" t="n">
        <v>0</v>
      </c>
      <c r="M413" t="n">
        <v>0</v>
      </c>
      <c r="N413" t="n">
        <v>7.216716824734522</v>
      </c>
      <c r="O413" t="n">
        <v>3.137367779511817</v>
      </c>
      <c r="P413" t="n">
        <v>0</v>
      </c>
      <c r="Q413" t="n">
        <v>2.083797045369586</v>
      </c>
      <c r="R413" t="inlineStr">
        <is>
          <t>Insecurity</t>
        </is>
      </c>
      <c r="S413" t="inlineStr"/>
      <c r="T413" t="inlineStr"/>
      <c r="U413" t="inlineStr"/>
      <c r="V413" t="inlineStr"/>
      <c r="W413" t="inlineStr"/>
      <c r="X413" t="inlineStr">
        <is>
          <t>{05-25-2026 ticket}: INC-20260525-00008734..Grid Outage</t>
        </is>
      </c>
      <c r="Y413" t="inlineStr">
        <is>
          <t>.Grid Outage</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is>
          <t>{05-25-2026 ticket}: INC-20260525-00008734..Grid Outage</t>
        </is>
      </c>
      <c r="AR413" t="inlineStr"/>
    </row>
    <row r="414">
      <c r="A414" t="inlineStr">
        <is>
          <t>Widikum</t>
        </is>
      </c>
      <c r="B414" t="inlineStr">
        <is>
          <t>NRO_219</t>
        </is>
      </c>
      <c r="C414" t="inlineStr">
        <is>
          <t>NORD-OUEST</t>
        </is>
      </c>
      <c r="D414" t="inlineStr">
        <is>
          <t>IHS</t>
        </is>
      </c>
      <c r="E414" t="inlineStr">
        <is>
          <t>Gen Only</t>
        </is>
      </c>
      <c r="F414" t="inlineStr">
        <is>
          <t>NORD-OUEST</t>
        </is>
      </c>
      <c r="G414" t="inlineStr">
        <is>
          <t>Widikum</t>
        </is>
      </c>
      <c r="H414" t="inlineStr">
        <is>
          <t>NOKIA</t>
        </is>
      </c>
      <c r="I414" t="n">
        <v>0</v>
      </c>
      <c r="J414" t="n">
        <v>0</v>
      </c>
      <c r="K414" t="n">
        <v>1.494294201744699</v>
      </c>
      <c r="L414" t="n">
        <v>2.223641894456287</v>
      </c>
      <c r="M414" t="n">
        <v>0</v>
      </c>
      <c r="N414" t="n">
        <v>7.215592764448921</v>
      </c>
      <c r="O414" t="n">
        <v>3.137633410515078</v>
      </c>
      <c r="P414" t="n">
        <v>0</v>
      </c>
      <c r="Q414" t="n">
        <v>2.083725705056316</v>
      </c>
      <c r="R414" t="inlineStr">
        <is>
          <t>Insecurity</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row>
    <row r="415">
      <c r="A415" t="inlineStr">
        <is>
          <t>Batibo</t>
        </is>
      </c>
      <c r="B415" t="inlineStr">
        <is>
          <t>NRO_010</t>
        </is>
      </c>
      <c r="C415" t="inlineStr">
        <is>
          <t>NORD-OUEST</t>
        </is>
      </c>
      <c r="D415" t="inlineStr">
        <is>
          <t>IHS</t>
        </is>
      </c>
      <c r="E415" t="inlineStr">
        <is>
          <t>Grid-Gen</t>
        </is>
      </c>
      <c r="F415" t="inlineStr">
        <is>
          <t>NORD-OUEST</t>
        </is>
      </c>
      <c r="G415" t="inlineStr">
        <is>
          <t>Batibo</t>
        </is>
      </c>
      <c r="H415" t="inlineStr">
        <is>
          <t>NOKIA</t>
        </is>
      </c>
      <c r="I415" t="n">
        <v>0</v>
      </c>
      <c r="J415" t="n">
        <v>0</v>
      </c>
      <c r="K415" t="n">
        <v>0.0356701566347918</v>
      </c>
      <c r="L415" t="n">
        <v>0</v>
      </c>
      <c r="M415" t="n">
        <v>0</v>
      </c>
      <c r="N415" t="n">
        <v>7.213969121814164</v>
      </c>
      <c r="O415" t="n">
        <v>3.127805063394432</v>
      </c>
      <c r="P415" t="n">
        <v>0</v>
      </c>
      <c r="Q415" t="n">
        <v>2.080194359549472</v>
      </c>
      <c r="R415" t="inlineStr">
        <is>
          <t>Insecurity</t>
        </is>
      </c>
      <c r="S415" t="inlineStr"/>
      <c r="T415" t="inlineStr"/>
      <c r="U415" t="inlineStr"/>
      <c r="V415" t="inlineStr"/>
      <c r="W415" t="inlineStr"/>
      <c r="X415" t="inlineStr">
        <is>
          <t>{05/25/2026 cell nokia}: 22/05/2026 : Feedback PM : Intevenion planned 25.05.2025 while waiting acces to be granted by local resident
19/05/2026:AZHA power connector founded faulty. Spare part reauest to SPM awaiting feedback PM
18/05/2026 : En attente du feedback du SPMS 
16/05/2026 : AZHA power connector founded faulty. Spare part reauest to SPM awaiting feedback || Feedback SPMS : 
15/05/2026 : Cde en cours
13/05/2026: Intervention en cours || ETR 14H||Fme sur le site||Radio AZHA  faulty a cause de la filtration d'eau dans le connecteur
12/05/2026 : Feedback PM : intevention planned on 13.05.2026
12/05/2026 : intevention planned on 12.05.2026 || Access issue || Negociation en cours 
11/05/2026 : Ghost town     
08/05/2026 : FME a recharger le software hier || Nouvelle alarme apparue || Feedback RM : Plan for next week 
07/05/2026 : Check breaker and  interconnection (sfp, optical fiber) between system and radio module, swap its if needed || Rajout d'un second depart || Access issue      ;    {05/25/2026 cell nokia}: 25/05/2026 : Relance faite au SMPS HW 
22/05/2026 : Feedback PM : Intevenion planned 25.05.2025 while waiting acces to be granted by local resident
19/05/2026:AZHA power connector founded faulty. Spare part reauest to SPM awaiting feedback PM
18/05/2026 : En attente du feedback du SPMS 
16/05/2026 : AZHA power connector founded faulty. Spare part reauest to SPM awaiting feedback || Feedback SPMS : 
15/05/2026 : Cde en cours
13/05/2026: Intervention en cours || ETR 14H||Fme sur le site||Radio AZHA  faulty a cause de la filtration d'eau dans le connecteur
12/05/2026 : Feedback PM : intevention planned on 13.05.2026
12/05/2026 : intevention planned on 12.05.2026 || Access issue || Negociation en cours 
11/05/2026 : Ghost town     
08/05/2026 : FME a recharger le software hier || Nouvelle alarme apparue || Feedback RM : Plan for next week 
07/05/2026 : Check breaker and  interconnection (sfp, optical fiber) between system and radio module, swap its if needed || Rajout d'un second depart || Access issue      ;    {05-25-2026 ticket}: INC-20260525-00006794..Grid Outage</t>
        </is>
      </c>
      <c r="Y415" t="inlineStr">
        <is>
          <t>22/05/2026 Feedback PM Intevenion planned 25.05.2025 while waiting acces to be granted by local resident
19/05/2026 AZHA power connector founded faulty. Spare part reauest to SPM awaiting feedback PM
18/05/2026 En attente du feedback du SPMS
16/05/2026 AZHA power connector founded faulty. Spare part reauest to SPM awaiting feedback || Feedback SPMS 15/05/2026 Cde en cours
13/05/2026 Intervention en cours || ETR 14H || Fme sur le site || Radio AZHA faulty a cause de la filtration d'eau dans le connecteur
12/05/2026 Feedback PM intevention planned on 13.05.2026
12/05/2026 intevention planned on 12.05.2026 || Access issue || Negociation en cours
11/05/2026 Ghost town
08/05/2026 FME a recharger le software hier || Nouvelle alarme apparue || Feedback RM Plan for next week
07/05/2026 Check breaker and interconnection (sfp, optical fiber) between system and radio module, swap its if needed || Rajout d'un second depart || Access issue 25/05/2026 Relance faite au SMPS HW
22/05/2026 Feedback PM Intevenion planned 25.05.2025 while waiting acces to be granted by local resident
19/05/2026 AZHA power connector founded faulty. Spare part reauest to SPM awaiting feedback PM
18/05/2026 En attente du feedback du SPMS
16/05/2026 AZHA power connector founded faulty. Spare part reauest to SPM awaiting feedback || Feedback SPMS 15/05/2026 Cde en cours
13/05/2026 Intervention en cours || ETR 14H || Fme sur le site || Radio AZHA faulty a cause de la filtration d'eau dans le connecteur
12/05/2026 Feedback PM intevention planned on 13.05.2026
12/05/2026 intevention planned on 12.05.2026 || Access issue || Negociation en cours
11/05/2026 Ghost town
08/05/2026 FME a recharger le software hier || Nouvelle alarme apparue || Feedback RM Plan for next week
07/05/2026 Check breaker and interconnection (sfp, optical fiber) between system and radio module, swap its if needed || Rajout d'un second depart || Access issue .Grid Outage</t>
        </is>
      </c>
      <c r="Z415" t="inlineStr"/>
      <c r="AA415" t="inlineStr"/>
      <c r="AB415" t="inlineStr"/>
      <c r="AC415" t="inlineStr"/>
      <c r="AD415" t="inlineStr"/>
      <c r="AE415" t="inlineStr"/>
      <c r="AF415" t="inlineStr">
        <is>
          <t xml:space="preserve">{05/25/2026 cell nokia}: 22/05/2026 : Feedback PM : Intevenion planned 25.05.2025 while waiting acces to be granted by local resident
19/05/2026:AZHA power connector founded faulty. Spare part reauest to SPM awaiting feedback PM
18/05/2026 : En attente du feedback du SPMS 
16/05/2026 : AZHA power connector founded faulty. Spare part reauest to SPM awaiting feedback || Feedback SPMS : 
15/05/2026 : Cde en cours
13/05/2026: Intervention en cours || ETR 14H||Fme sur le site||Radio AZHA  faulty a cause de la filtration d'eau dans le connecteur
12/05/2026 : Feedback PM : intevention planned on 13.05.2026
12/05/2026 : intevention planned on 12.05.2026 || Access issue || Negociation en cours 
11/05/2026 : Ghost town     
08/05/2026 : FME a recharger le software hier || Nouvelle alarme apparue || Feedback RM : Plan for next week 
07/05/2026 : Check breaker and  interconnection (sfp, optical fiber) between system and radio module, swap its if needed || Rajout d'un second depart || Access issue </t>
        </is>
      </c>
      <c r="AG415" t="inlineStr"/>
      <c r="AH415" t="inlineStr">
        <is>
          <t xml:space="preserve">{05/25/2026 cell nokia}: 25/05/2026 : Relance faite au SMPS HW 
22/05/2026 : Feedback PM : Intevenion planned 25.05.2025 while waiting acces to be granted by local resident
19/05/2026:AZHA power connector founded faulty. Spare part reauest to SPM awaiting feedback PM
18/05/2026 : En attente du feedback du SPMS 
16/05/2026 : AZHA power connector founded faulty. Spare part reauest to SPM awaiting feedback || Feedback SPMS : 
15/05/2026 : Cde en cours
13/05/2026: Intervention en cours || ETR 14H||Fme sur le site||Radio AZHA  faulty a cause de la filtration d'eau dans le connecteur
12/05/2026 : Feedback PM : intevention planned on 13.05.2026
12/05/2026 : intevention planned on 12.05.2026 || Access issue || Negociation en cours 
11/05/2026 : Ghost town     
08/05/2026 : FME a recharger le software hier || Nouvelle alarme apparue || Feedback RM : Plan for next week 
07/05/2026 : Check breaker and  interconnection (sfp, optical fiber) between system and radio module, swap its if needed || Rajout d'un second depart || Access issue </t>
        </is>
      </c>
      <c r="AI415" t="inlineStr"/>
      <c r="AJ415" t="inlineStr"/>
      <c r="AK415" t="inlineStr"/>
      <c r="AL415" t="inlineStr"/>
      <c r="AM415" t="inlineStr"/>
      <c r="AN415" t="inlineStr"/>
      <c r="AO415" t="inlineStr"/>
      <c r="AP415" t="inlineStr"/>
      <c r="AQ415" t="inlineStr">
        <is>
          <t>{05-25-2026 ticket}: INC-20260525-00006794..Grid Outage</t>
        </is>
      </c>
      <c r="AR415" t="inlineStr"/>
    </row>
    <row r="416">
      <c r="A416" t="inlineStr">
        <is>
          <t>Maroua-Total-Domayo-MTN-IHS</t>
        </is>
      </c>
      <c r="B416" t="inlineStr">
        <is>
          <t>EXN_158</t>
        </is>
      </c>
      <c r="C416" t="inlineStr">
        <is>
          <t>Maroua</t>
        </is>
      </c>
      <c r="D416" t="inlineStr">
        <is>
          <t>IHS</t>
        </is>
      </c>
      <c r="E416" t="inlineStr">
        <is>
          <t>Grid-Gen</t>
        </is>
      </c>
      <c r="F416" t="inlineStr">
        <is>
          <t>EXTREME-NORD</t>
        </is>
      </c>
      <c r="G416" t="inlineStr">
        <is>
          <t>Maroua</t>
        </is>
      </c>
      <c r="H416" t="inlineStr">
        <is>
          <t>Huawei</t>
        </is>
      </c>
      <c r="I416" t="n">
        <v>0</v>
      </c>
      <c r="J416" t="n">
        <v>0</v>
      </c>
      <c r="K416" t="n">
        <v>2.924863668661342</v>
      </c>
      <c r="L416" t="n">
        <v>1.690141196748023</v>
      </c>
      <c r="M416" t="n">
        <v>0</v>
      </c>
      <c r="N416" t="n">
        <v>3.489582708855397</v>
      </c>
      <c r="O416" t="n">
        <v>4.453569400668455</v>
      </c>
      <c r="P416" t="n">
        <v>0.1600575222110592</v>
      </c>
      <c r="Q416" t="n">
        <v>2.076894870060753</v>
      </c>
      <c r="R416" t="inlineStr">
        <is>
          <t>Operationnel</t>
        </is>
      </c>
      <c r="S416" t="inlineStr"/>
      <c r="T416" t="inlineStr"/>
      <c r="U416" t="inlineStr"/>
      <c r="V416" t="inlineStr"/>
      <c r="W416" t="inlineStr"/>
      <c r="X416" t="inlineStr">
        <is>
          <t>{None hourly IHS}: 25/05/2026 11:10..1:50:00..32..FME is informed and managing</t>
        </is>
      </c>
      <c r="Y416" t="inlineStr">
        <is>
          <t>25/05/2026 11 10.1 50 00.32.FME is informed and managing</t>
        </is>
      </c>
      <c r="Z416" t="inlineStr"/>
      <c r="AA416" t="inlineStr"/>
      <c r="AB416" t="inlineStr"/>
      <c r="AC416" t="inlineStr"/>
      <c r="AD416" t="inlineStr"/>
      <c r="AE416" t="inlineStr">
        <is>
          <t>{None hourly IHS}: 25/05/2026 11:10..1:50:00..32..FME is informed and managing</t>
        </is>
      </c>
      <c r="AF416" t="inlineStr"/>
      <c r="AG416" t="inlineStr"/>
      <c r="AH416" t="inlineStr"/>
      <c r="AI416" t="inlineStr"/>
      <c r="AJ416" t="inlineStr"/>
      <c r="AK416" t="inlineStr"/>
      <c r="AL416" t="inlineStr"/>
      <c r="AM416" t="inlineStr"/>
      <c r="AN416" t="inlineStr"/>
      <c r="AO416" t="inlineStr"/>
      <c r="AP416" t="inlineStr"/>
      <c r="AQ416" t="inlineStr"/>
      <c r="AR416" t="inlineStr"/>
    </row>
    <row r="417">
      <c r="A417" t="inlineStr">
        <is>
          <t>PK11-Mbengue-City</t>
        </is>
      </c>
      <c r="B417" t="inlineStr">
        <is>
          <t>LIT_261</t>
        </is>
      </c>
      <c r="C417" t="inlineStr">
        <is>
          <t>Douala</t>
        </is>
      </c>
      <c r="D417" t="inlineStr">
        <is>
          <t>IHS</t>
        </is>
      </c>
      <c r="E417" t="inlineStr">
        <is>
          <t>Grid-Gen</t>
        </is>
      </c>
      <c r="F417" t="inlineStr">
        <is>
          <t>LITTORAL</t>
        </is>
      </c>
      <c r="G417" t="inlineStr">
        <is>
          <t>Douala</t>
        </is>
      </c>
      <c r="H417" t="inlineStr">
        <is>
          <t>ZTE</t>
        </is>
      </c>
      <c r="I417" t="n">
        <v>0</v>
      </c>
      <c r="J417" t="n">
        <v>0</v>
      </c>
      <c r="K417" t="n">
        <v>1.305723918694873</v>
      </c>
      <c r="L417" t="n">
        <v>0.7423137946483331</v>
      </c>
      <c r="M417" t="n">
        <v>2.074130432921557</v>
      </c>
      <c r="N417" t="n">
        <v>0.5952523690194997</v>
      </c>
      <c r="O417" t="n">
        <v>0.6378331650295285</v>
      </c>
      <c r="P417" t="n">
        <v>3.401153946334493</v>
      </c>
      <c r="Q417" t="n">
        <v>2.072792802047753</v>
      </c>
      <c r="R417" t="inlineStr">
        <is>
          <t>Operationnel</t>
        </is>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row>
    <row r="418">
      <c r="A418" t="inlineStr">
        <is>
          <t>Ondoa-Otoa-IHS</t>
        </is>
      </c>
      <c r="B418" t="inlineStr">
        <is>
          <t>CTR_622</t>
        </is>
      </c>
      <c r="C418" t="inlineStr">
        <is>
          <t>Yaounde</t>
        </is>
      </c>
      <c r="D418" t="inlineStr">
        <is>
          <t>IHS</t>
        </is>
      </c>
      <c r="E418" t="inlineStr">
        <is>
          <t>Grid-Gen</t>
        </is>
      </c>
      <c r="F418" t="inlineStr">
        <is>
          <t>CENTRE</t>
        </is>
      </c>
      <c r="G418" t="inlineStr">
        <is>
          <t>Yaounde</t>
        </is>
      </c>
      <c r="H418" t="inlineStr">
        <is>
          <t>ZTE</t>
        </is>
      </c>
      <c r="I418" t="n">
        <v>0</v>
      </c>
      <c r="J418" t="n">
        <v>0</v>
      </c>
      <c r="K418" t="n">
        <v>0</v>
      </c>
      <c r="L418" t="n">
        <v>0</v>
      </c>
      <c r="M418" t="n">
        <v>1.740810654247745</v>
      </c>
      <c r="N418" t="n">
        <v>1.685715741639989</v>
      </c>
      <c r="O418" t="n">
        <v>1.566691657231454</v>
      </c>
      <c r="P418" t="n">
        <v>2.435986567206649</v>
      </c>
      <c r="Q418" t="n">
        <v>2.037015634943056</v>
      </c>
      <c r="R418" t="inlineStr">
        <is>
          <t>Operationnel</t>
        </is>
      </c>
      <c r="S418" t="inlineStr"/>
      <c r="T418" t="inlineStr"/>
      <c r="U418" t="inlineStr"/>
      <c r="V418" t="inlineStr"/>
      <c r="W418" t="inlineStr"/>
      <c r="X418" t="inlineStr">
        <is>
          <t>{None hourly IHS}: 25/05/2026 04:36..0:44:09..40.3V..fme is on the way ETA 05:35 AM     ;    {05-25-2026 ticket}: INC-20260525-00003296..Grid Outage</t>
        </is>
      </c>
      <c r="Y418" t="inlineStr">
        <is>
          <t>25/05/2026 04 36.0 44 09.40.3V.fme is on the way ETA 05 35 AM .Grid Outage</t>
        </is>
      </c>
      <c r="Z418" t="inlineStr"/>
      <c r="AA418" t="inlineStr"/>
      <c r="AB418" t="inlineStr"/>
      <c r="AC418" t="inlineStr"/>
      <c r="AD418" t="inlineStr"/>
      <c r="AE418" t="inlineStr">
        <is>
          <t>{None hourly IHS}: 25/05/2026 04:36..0:44:09..40.3V..fme is on the way ETA 05:35 AM</t>
        </is>
      </c>
      <c r="AF418" t="inlineStr"/>
      <c r="AG418" t="inlineStr"/>
      <c r="AH418" t="inlineStr"/>
      <c r="AI418" t="inlineStr"/>
      <c r="AJ418" t="inlineStr"/>
      <c r="AK418" t="inlineStr"/>
      <c r="AL418" t="inlineStr"/>
      <c r="AM418" t="inlineStr"/>
      <c r="AN418" t="inlineStr"/>
      <c r="AO418" t="inlineStr"/>
      <c r="AP418" t="inlineStr"/>
      <c r="AQ418" t="inlineStr">
        <is>
          <t>{05-25-2026 ticket}: INC-20260525-00003296..Grid Outage</t>
        </is>
      </c>
      <c r="AR418" t="inlineStr"/>
    </row>
    <row r="419">
      <c r="A419" t="inlineStr">
        <is>
          <t>Foumbot-Centre-Ville-II</t>
        </is>
      </c>
      <c r="B419" t="inlineStr">
        <is>
          <t>OST_227</t>
        </is>
      </c>
      <c r="C419" t="inlineStr">
        <is>
          <t>OUEST</t>
        </is>
      </c>
      <c r="D419" t="inlineStr">
        <is>
          <t>CAMUSAT</t>
        </is>
      </c>
      <c r="E419" t="inlineStr">
        <is>
          <t>Medium Grid + GE</t>
        </is>
      </c>
      <c r="F419" t="inlineStr">
        <is>
          <t>OUEST</t>
        </is>
      </c>
      <c r="G419" t="inlineStr">
        <is>
          <t>Foumbot</t>
        </is>
      </c>
      <c r="H419" t="inlineStr">
        <is>
          <t>Huawei</t>
        </is>
      </c>
      <c r="I419" t="n">
        <v>0</v>
      </c>
      <c r="J419" t="n">
        <v>1.583130726843648</v>
      </c>
      <c r="K419" t="n">
        <v>1.20957501148579</v>
      </c>
      <c r="L419" t="n">
        <v>1.855829074316631</v>
      </c>
      <c r="M419" t="n">
        <v>0</v>
      </c>
      <c r="N419" t="n">
        <v>1.549954238256817</v>
      </c>
      <c r="O419" t="n">
        <v>2.673151038213463</v>
      </c>
      <c r="P419" t="n">
        <v>1.729852451588755</v>
      </c>
      <c r="Q419" t="n">
        <v>2.020839218909178</v>
      </c>
      <c r="R419" t="inlineStr">
        <is>
          <t>Operationnel</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row>
    <row r="420">
      <c r="A420" t="inlineStr">
        <is>
          <t>Montee-Kondengui-MTN-IHS</t>
        </is>
      </c>
      <c r="B420" t="inlineStr">
        <is>
          <t>CTR_535</t>
        </is>
      </c>
      <c r="C420" t="inlineStr">
        <is>
          <t>Yaounde</t>
        </is>
      </c>
      <c r="D420" t="inlineStr">
        <is>
          <t>IHS</t>
        </is>
      </c>
      <c r="E420" t="inlineStr">
        <is>
          <t>Grid-Gen</t>
        </is>
      </c>
      <c r="F420" t="inlineStr">
        <is>
          <t>CENTRE</t>
        </is>
      </c>
      <c r="G420" t="inlineStr">
        <is>
          <t>Yaounde</t>
        </is>
      </c>
      <c r="H420" t="inlineStr">
        <is>
          <t>ZTE</t>
        </is>
      </c>
      <c r="I420" t="n">
        <v>20.0924641800287</v>
      </c>
      <c r="J420" t="n">
        <v>0.8292598014456404</v>
      </c>
      <c r="K420" t="n">
        <v>0</v>
      </c>
      <c r="L420" t="n">
        <v>0</v>
      </c>
      <c r="M420" t="n">
        <v>0.002675261747609462</v>
      </c>
      <c r="N420" t="n">
        <v>1.074351841860205</v>
      </c>
      <c r="O420" t="n">
        <v>0.9105830791775894</v>
      </c>
      <c r="P420" t="n">
        <v>2.979908540122181</v>
      </c>
      <c r="Q420" t="n">
        <v>2.013098794919429</v>
      </c>
      <c r="R420" t="inlineStr">
        <is>
          <t>Operationnel</t>
        </is>
      </c>
      <c r="S420" t="inlineStr"/>
      <c r="T420" t="inlineStr"/>
      <c r="U420" t="inlineStr"/>
      <c r="V420" t="inlineStr"/>
      <c r="W420" t="inlineStr"/>
      <c r="X420" t="inlineStr">
        <is>
          <t>{05-25-2026 ticket}: INC-20260525-00017876..Grid Outage</t>
        </is>
      </c>
      <c r="Y420" t="inlineStr">
        <is>
          <t>.Grid Outage</t>
        </is>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is>
          <t>{05-25-2026 ticket}: INC-20260525-00017876..Grid Outage</t>
        </is>
      </c>
      <c r="AR420" t="inlineStr"/>
    </row>
    <row r="421">
      <c r="A421" t="inlineStr">
        <is>
          <t>Avenue-General-De-Gaulle</t>
        </is>
      </c>
      <c r="B421" t="inlineStr">
        <is>
          <t>LIT_453</t>
        </is>
      </c>
      <c r="C421" t="inlineStr">
        <is>
          <t>Douala</t>
        </is>
      </c>
      <c r="D421" t="inlineStr">
        <is>
          <t>CAMUSAT</t>
        </is>
      </c>
      <c r="E421" t="inlineStr">
        <is>
          <t>GridOnly</t>
        </is>
      </c>
      <c r="F421" t="inlineStr">
        <is>
          <t>LITTORAL</t>
        </is>
      </c>
      <c r="G421" t="inlineStr">
        <is>
          <t>Douala</t>
        </is>
      </c>
      <c r="H421" t="inlineStr">
        <is>
          <t>ZTE</t>
        </is>
      </c>
      <c r="I421" t="n">
        <v>0</v>
      </c>
      <c r="J421" t="n">
        <v>0</v>
      </c>
      <c r="K421" t="n">
        <v>0</v>
      </c>
      <c r="L421" t="n">
        <v>0.08398538379661717</v>
      </c>
      <c r="M421" t="n">
        <v>0.2473903713405988</v>
      </c>
      <c r="N421" t="n">
        <v>1.98583983789552</v>
      </c>
      <c r="O421" t="n">
        <v>1.678894193008762</v>
      </c>
      <c r="P421" t="n">
        <v>2.196310687793165</v>
      </c>
      <c r="Q421" t="n">
        <v>1.992552784697788</v>
      </c>
      <c r="R421" t="inlineStr">
        <is>
          <t>Operationnel</t>
        </is>
      </c>
      <c r="S421" t="inlineStr"/>
      <c r="T421" t="inlineStr"/>
      <c r="U421" t="inlineStr"/>
      <c r="V421" t="inlineStr"/>
      <c r="W421" t="inlineStr"/>
      <c r="X421" t="inlineStr">
        <is>
          <t>{05-25-2026 ticket}: INC-20260525-00018030..power Grid outage here the site is only on Grid..Grid Outage</t>
        </is>
      </c>
      <c r="Y421" t="inlineStr">
        <is>
          <t>.power Grid outage here the site is only on Grid.Grid Outage</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is>
          <t>{05-25-2026 ticket}: INC-20260525-00018030..power Grid outage here the site is only on Grid..Grid Outage</t>
        </is>
      </c>
      <c r="AR421" t="inlineStr"/>
    </row>
    <row r="422">
      <c r="A422" t="inlineStr">
        <is>
          <t>Kousseri-Sarra</t>
        </is>
      </c>
      <c r="B422" t="inlineStr">
        <is>
          <t>EXN_010</t>
        </is>
      </c>
      <c r="C422" t="inlineStr">
        <is>
          <t>EXTREME-NORD</t>
        </is>
      </c>
      <c r="D422" t="inlineStr">
        <is>
          <t>IHS</t>
        </is>
      </c>
      <c r="E422" t="inlineStr">
        <is>
          <t>Grid-Gen</t>
        </is>
      </c>
      <c r="F422" t="inlineStr">
        <is>
          <t>EXTREME-NORD</t>
        </is>
      </c>
      <c r="G422" t="inlineStr">
        <is>
          <t>Kousseri</t>
        </is>
      </c>
      <c r="H422" t="inlineStr">
        <is>
          <t>Huawei</t>
        </is>
      </c>
      <c r="I422" t="n">
        <v>3.456241992049835</v>
      </c>
      <c r="J422" t="n">
        <v>6.182529898725291</v>
      </c>
      <c r="K422" t="n">
        <v>15.55777067228258</v>
      </c>
      <c r="L422" t="n">
        <v>8.300338438446152</v>
      </c>
      <c r="M422" t="n">
        <v>0</v>
      </c>
      <c r="N422" t="n">
        <v>3.17234791714127</v>
      </c>
      <c r="O422" t="n">
        <v>4.035678706338763</v>
      </c>
      <c r="P422" t="n">
        <v>0.3084869338341355</v>
      </c>
      <c r="Q422" t="n">
        <v>1.96870728498743</v>
      </c>
      <c r="R422" t="inlineStr">
        <is>
          <t>Insecurity</t>
        </is>
      </c>
      <c r="S422" t="inlineStr"/>
      <c r="T422" t="inlineStr"/>
      <c r="U422" t="inlineStr"/>
      <c r="V422" t="inlineStr"/>
      <c r="W422" t="inlineStr"/>
      <c r="X42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422"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422" t="inlineStr"/>
      <c r="AA42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row>
    <row r="423">
      <c r="A423" t="inlineStr">
        <is>
          <t>Bellare</t>
        </is>
      </c>
      <c r="B423" t="inlineStr">
        <is>
          <t>EXN_046</t>
        </is>
      </c>
      <c r="C423" t="inlineStr">
        <is>
          <t>Maroua</t>
        </is>
      </c>
      <c r="D423" t="inlineStr">
        <is>
          <t>IHS</t>
        </is>
      </c>
      <c r="E423" t="inlineStr">
        <is>
          <t>Solar-Grid-Gen</t>
        </is>
      </c>
      <c r="F423" t="inlineStr">
        <is>
          <t>EXTREME-NORD</t>
        </is>
      </c>
      <c r="G423" t="inlineStr">
        <is>
          <t>Maroua</t>
        </is>
      </c>
      <c r="H423" t="inlineStr">
        <is>
          <t>Huawei</t>
        </is>
      </c>
      <c r="I423" t="n">
        <v>0</v>
      </c>
      <c r="J423" t="n">
        <v>0.05377276112694866</v>
      </c>
      <c r="K423" t="n">
        <v>5.909153818276247</v>
      </c>
      <c r="L423" t="n">
        <v>13.85464553851949</v>
      </c>
      <c r="M423" t="n">
        <v>1.344069337077273</v>
      </c>
      <c r="N423" t="n">
        <v>3.310357541095644</v>
      </c>
      <c r="O423" t="n">
        <v>4.22571112607145</v>
      </c>
      <c r="P423" t="n">
        <v>0.05266850089851094</v>
      </c>
      <c r="Q423" t="n">
        <v>1.918804735855356</v>
      </c>
      <c r="R423" t="inlineStr">
        <is>
          <t>Operationnel</t>
        </is>
      </c>
      <c r="S423" t="inlineStr"/>
      <c r="T423" t="inlineStr"/>
      <c r="U423" t="inlineStr"/>
      <c r="V423" t="inlineStr"/>
      <c r="W423" t="inlineStr"/>
      <c r="X423" t="inlineStr">
        <is>
          <t>{None hourly IHS}: 25/05/2026 05:37..0:46:18..46.1V..DG stopped due to low fuel.</t>
        </is>
      </c>
      <c r="Y423" t="inlineStr">
        <is>
          <t>25/05/2026 05 37.0 46 18.46.1V.DG stopped due to low fuel.</t>
        </is>
      </c>
      <c r="Z423" t="inlineStr"/>
      <c r="AA423" t="inlineStr"/>
      <c r="AB423" t="inlineStr"/>
      <c r="AC423" t="inlineStr"/>
      <c r="AD423" t="inlineStr"/>
      <c r="AE423" t="inlineStr">
        <is>
          <t>{None hourly IHS}: 25/05/2026 05:37..0:46:18..46.1V..DG stopped due to low fuel.</t>
        </is>
      </c>
      <c r="AF423" t="inlineStr"/>
      <c r="AG423" t="inlineStr"/>
      <c r="AH423" t="inlineStr"/>
      <c r="AI423" t="inlineStr"/>
      <c r="AJ423" t="inlineStr"/>
      <c r="AK423" t="inlineStr"/>
      <c r="AL423" t="inlineStr"/>
      <c r="AM423" t="inlineStr"/>
      <c r="AN423" t="inlineStr"/>
      <c r="AO423" t="inlineStr"/>
      <c r="AP423" t="inlineStr"/>
      <c r="AQ423" t="inlineStr"/>
      <c r="AR423" t="inlineStr"/>
    </row>
    <row r="424">
      <c r="A424" t="inlineStr">
        <is>
          <t>Bengbis-MTN-IHS</t>
        </is>
      </c>
      <c r="B424" t="inlineStr">
        <is>
          <t>SUD_052</t>
        </is>
      </c>
      <c r="C424" t="inlineStr">
        <is>
          <t>CENTRE</t>
        </is>
      </c>
      <c r="D424" t="inlineStr">
        <is>
          <t>IHS</t>
        </is>
      </c>
      <c r="E424" t="inlineStr">
        <is>
          <t>Grid-Gen</t>
        </is>
      </c>
      <c r="F424" t="inlineStr">
        <is>
          <t>SUD</t>
        </is>
      </c>
      <c r="G424" t="inlineStr">
        <is>
          <t>Bengbis</t>
        </is>
      </c>
      <c r="H424" t="inlineStr">
        <is>
          <t>NOKIA</t>
        </is>
      </c>
      <c r="I424" t="n">
        <v>1.113978991704548</v>
      </c>
      <c r="J424" t="n">
        <v>1.357231624875511</v>
      </c>
      <c r="K424" t="n">
        <v>0.4221741388510784</v>
      </c>
      <c r="L424" t="n">
        <v>0.6074092622555523</v>
      </c>
      <c r="M424" t="n">
        <v>1.167323710951879</v>
      </c>
      <c r="N424" t="n">
        <v>4.990328085720337</v>
      </c>
      <c r="O424" t="n">
        <v>3.582140331371488</v>
      </c>
      <c r="P424" t="n">
        <v>0</v>
      </c>
      <c r="Q424" t="n">
        <v>1.915184214956924</v>
      </c>
      <c r="R424" t="inlineStr">
        <is>
          <t>Operationnel</t>
        </is>
      </c>
      <c r="S424" t="inlineStr"/>
      <c r="T424" t="inlineStr"/>
      <c r="U424" t="inlineStr"/>
      <c r="V424" t="inlineStr"/>
      <c r="W424" t="inlineStr"/>
      <c r="X424" t="inlineStr">
        <is>
          <t>{05-25-2026 ticket}: INC-20260525-00008103..Grid Outage</t>
        </is>
      </c>
      <c r="Y424" t="inlineStr">
        <is>
          <t>.Grid Outage</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is>
          <t>{05-25-2026 ticket}: INC-20260525-00008103..Grid Outage</t>
        </is>
      </c>
      <c r="AR424" t="inlineStr"/>
    </row>
    <row r="425">
      <c r="A425" t="inlineStr">
        <is>
          <t>Maroua-Douggoy-Lopere-IHS</t>
        </is>
      </c>
      <c r="B425" t="inlineStr">
        <is>
          <t>EXN_115</t>
        </is>
      </c>
      <c r="C425" t="inlineStr">
        <is>
          <t>Maroua</t>
        </is>
      </c>
      <c r="D425" t="inlineStr">
        <is>
          <t>IHS</t>
        </is>
      </c>
      <c r="E425" t="inlineStr">
        <is>
          <t>Grid-Gen</t>
        </is>
      </c>
      <c r="F425" t="inlineStr">
        <is>
          <t>EXTREME-NORD</t>
        </is>
      </c>
      <c r="G425" t="inlineStr">
        <is>
          <t>Maroua</t>
        </is>
      </c>
      <c r="H425" t="inlineStr">
        <is>
          <t>Huawei</t>
        </is>
      </c>
      <c r="I425" t="n">
        <v>0</v>
      </c>
      <c r="J425" t="n">
        <v>0</v>
      </c>
      <c r="K425" t="n">
        <v>0</v>
      </c>
      <c r="L425" t="n">
        <v>0</v>
      </c>
      <c r="M425" t="n">
        <v>0</v>
      </c>
      <c r="N425" t="n">
        <v>3.044329940170018</v>
      </c>
      <c r="O425" t="n">
        <v>3.888359751930393</v>
      </c>
      <c r="P425" t="n">
        <v>0.3315721533838075</v>
      </c>
      <c r="Q425" t="n">
        <v>1.913008335402202</v>
      </c>
      <c r="R425" t="inlineStr">
        <is>
          <t>Operationnel</t>
        </is>
      </c>
      <c r="S425" t="inlineStr"/>
      <c r="T425" t="inlineStr"/>
      <c r="U425" t="inlineStr"/>
      <c r="V425" t="inlineStr"/>
      <c r="W425" t="inlineStr"/>
      <c r="X425" t="inlineStr">
        <is>
          <t>{None hourly IHS}: 25/05/2026 07:34..1:26:00..0 V..FME is informed and managing with L0.</t>
        </is>
      </c>
      <c r="Y425" t="inlineStr">
        <is>
          <t>25/05/2026 07 34.1 26 00.0 V.FME is informed and managing with L0.</t>
        </is>
      </c>
      <c r="Z425" t="inlineStr"/>
      <c r="AA425" t="inlineStr"/>
      <c r="AB425" t="inlineStr"/>
      <c r="AC425" t="inlineStr"/>
      <c r="AD425" t="inlineStr"/>
      <c r="AE425" t="inlineStr">
        <is>
          <t>{None hourly IHS}: 25/05/2026 07:34..1:26:00..0 V..FME is informed and managing with L0.</t>
        </is>
      </c>
      <c r="AF425" t="inlineStr"/>
      <c r="AG425" t="inlineStr"/>
      <c r="AH425" t="inlineStr"/>
      <c r="AI425" t="inlineStr"/>
      <c r="AJ425" t="inlineStr"/>
      <c r="AK425" t="inlineStr"/>
      <c r="AL425" t="inlineStr"/>
      <c r="AM425" t="inlineStr"/>
      <c r="AN425" t="inlineStr"/>
      <c r="AO425" t="inlineStr"/>
      <c r="AP425" t="inlineStr"/>
      <c r="AQ425" t="inlineStr"/>
      <c r="AR425" t="inlineStr"/>
    </row>
    <row r="426">
      <c r="A426" t="inlineStr">
        <is>
          <t>Abome-New</t>
        </is>
      </c>
      <c r="B426" t="inlineStr">
        <is>
          <t>CTR_549</t>
        </is>
      </c>
      <c r="C426" t="inlineStr">
        <is>
          <t>Yaounde</t>
        </is>
      </c>
      <c r="D426" t="inlineStr">
        <is>
          <t>IHS</t>
        </is>
      </c>
      <c r="E426" t="inlineStr">
        <is>
          <t>Grid-Gen</t>
        </is>
      </c>
      <c r="F426" t="inlineStr">
        <is>
          <t>CENTRE</t>
        </is>
      </c>
      <c r="G426" t="inlineStr">
        <is>
          <t>Yaounde</t>
        </is>
      </c>
      <c r="H426" t="inlineStr">
        <is>
          <t>ZTE</t>
        </is>
      </c>
      <c r="I426" t="n">
        <v>0</v>
      </c>
      <c r="J426" t="n">
        <v>0</v>
      </c>
      <c r="K426" t="n">
        <v>0</v>
      </c>
      <c r="L426" t="n">
        <v>0</v>
      </c>
      <c r="M426" t="n">
        <v>0</v>
      </c>
      <c r="N426" t="n">
        <v>0.1890919191555859</v>
      </c>
      <c r="O426" t="n">
        <v>0.05418872466517775</v>
      </c>
      <c r="P426" t="n">
        <v>3.580739854268311</v>
      </c>
      <c r="Q426" t="n">
        <v>1.912508953209316</v>
      </c>
      <c r="R426" t="inlineStr">
        <is>
          <t>Operationnel</t>
        </is>
      </c>
      <c r="S426" t="inlineStr"/>
      <c r="T426" t="inlineStr"/>
      <c r="U426" t="inlineStr"/>
      <c r="V426" t="inlineStr"/>
      <c r="W426" t="inlineStr"/>
      <c r="X426" t="inlineStr">
        <is>
          <t>{05-25-2026 ticket}: INC-20260525-00023090..Others</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is>
          <t>{05-25-2026 ticket}: INC-20260525-00023090..Others</t>
        </is>
      </c>
      <c r="AR426" t="inlineStr"/>
    </row>
    <row r="427">
      <c r="A427" t="inlineStr">
        <is>
          <t>Awing</t>
        </is>
      </c>
      <c r="B427" t="inlineStr">
        <is>
          <t>NRO_248</t>
        </is>
      </c>
      <c r="C427" t="inlineStr">
        <is>
          <t>NORD-OUEST</t>
        </is>
      </c>
      <c r="D427" t="inlineStr">
        <is>
          <t>IHS</t>
        </is>
      </c>
      <c r="E427" t="inlineStr">
        <is>
          <t>Grid-Gen</t>
        </is>
      </c>
      <c r="F427" t="inlineStr">
        <is>
          <t>NORD-OUEST</t>
        </is>
      </c>
      <c r="G427" t="inlineStr">
        <is>
          <t>Awing</t>
        </is>
      </c>
      <c r="H427" t="inlineStr">
        <is>
          <t>NOKIA</t>
        </is>
      </c>
      <c r="I427" t="n">
        <v>0</v>
      </c>
      <c r="J427" t="n">
        <v>0</v>
      </c>
      <c r="K427" t="n">
        <v>0.3281119358051323</v>
      </c>
      <c r="L427" t="n">
        <v>1.534494468272109</v>
      </c>
      <c r="M427" t="n">
        <v>0</v>
      </c>
      <c r="N427" t="n">
        <v>6.651564292251678</v>
      </c>
      <c r="O427" t="n">
        <v>2.857392702075066</v>
      </c>
      <c r="P427" t="n">
        <v>0</v>
      </c>
      <c r="Q427" t="n">
        <v>1.909102453250693</v>
      </c>
      <c r="R427" t="inlineStr">
        <is>
          <t>Insecurity</t>
        </is>
      </c>
      <c r="S427" t="inlineStr"/>
      <c r="T427" t="inlineStr"/>
      <c r="U427" t="inlineStr"/>
      <c r="V427" t="inlineStr"/>
      <c r="W427" t="inlineStr"/>
      <c r="X427" t="inlineStr">
        <is>
          <t>{None hourly IHS}: 25/05/2026 06:09..5:51:00..36v..FME is informed and managing     ;    {05-25-2026 ticket}: INC-20260525-00004526..power..Grid Outage</t>
        </is>
      </c>
      <c r="Y427" t="inlineStr">
        <is>
          <t>25/05/2026 06 09.5 51 00.36v.FME is informed and managing .power.Grid Outage</t>
        </is>
      </c>
      <c r="Z427" t="inlineStr"/>
      <c r="AA427" t="inlineStr"/>
      <c r="AB427" t="inlineStr"/>
      <c r="AC427" t="inlineStr"/>
      <c r="AD427" t="inlineStr"/>
      <c r="AE427" t="inlineStr">
        <is>
          <t>{None hourly IHS}: 25/05/2026 06:09..5:51:00..36v..FME is informed and managing</t>
        </is>
      </c>
      <c r="AF427" t="inlineStr"/>
      <c r="AG427" t="inlineStr"/>
      <c r="AH427" t="inlineStr"/>
      <c r="AI427" t="inlineStr"/>
      <c r="AJ427" t="inlineStr"/>
      <c r="AK427" t="inlineStr"/>
      <c r="AL427" t="inlineStr"/>
      <c r="AM427" t="inlineStr"/>
      <c r="AN427" t="inlineStr"/>
      <c r="AO427" t="inlineStr"/>
      <c r="AP427" t="inlineStr"/>
      <c r="AQ427" t="inlineStr">
        <is>
          <t>{05-25-2026 ticket}: INC-20260525-00004526..power..Grid Outage</t>
        </is>
      </c>
      <c r="AR427" t="inlineStr"/>
    </row>
    <row r="428">
      <c r="A428" t="inlineStr">
        <is>
          <t>Bfsam-Mairie-Rurale-MTN-IHS</t>
        </is>
      </c>
      <c r="B428" t="inlineStr">
        <is>
          <t>OST_214</t>
        </is>
      </c>
      <c r="C428" t="inlineStr">
        <is>
          <t>Bafoussam</t>
        </is>
      </c>
      <c r="D428" t="inlineStr">
        <is>
          <t>IHS</t>
        </is>
      </c>
      <c r="E428" t="inlineStr">
        <is>
          <t>Grid-Gen</t>
        </is>
      </c>
      <c r="F428" t="inlineStr">
        <is>
          <t>OUEST</t>
        </is>
      </c>
      <c r="G428" t="inlineStr">
        <is>
          <t>Bafoussam</t>
        </is>
      </c>
      <c r="H428" t="inlineStr">
        <is>
          <t>Huawei</t>
        </is>
      </c>
      <c r="I428" t="n">
        <v>0</v>
      </c>
      <c r="J428" t="n">
        <v>0</v>
      </c>
      <c r="K428" t="n">
        <v>0</v>
      </c>
      <c r="L428" t="n">
        <v>0</v>
      </c>
      <c r="M428" t="n">
        <v>0</v>
      </c>
      <c r="N428" t="n">
        <v>3.280382600146278</v>
      </c>
      <c r="O428" t="n">
        <v>4.286168742413579</v>
      </c>
      <c r="P428" t="n">
        <v>0</v>
      </c>
      <c r="Q428" t="n">
        <v>1.907354615575588</v>
      </c>
      <c r="R428" t="inlineStr">
        <is>
          <t>Operationnel</t>
        </is>
      </c>
      <c r="S428" t="inlineStr"/>
      <c r="T428" t="inlineStr"/>
      <c r="U428" t="inlineStr"/>
      <c r="V428" t="inlineStr"/>
      <c r="W428" t="inlineStr"/>
      <c r="X428" t="inlineStr">
        <is>
          <t>{None hourly IHS}: 25/05/2026 21:38..1:21:54..FME isinformed and managing ETA ASAP     ;    {05-25-2026 ocm ran 22H}: Power status check Ongoing</t>
        </is>
      </c>
      <c r="Y428" t="inlineStr">
        <is>
          <t>25/05/2026 21 38.1 21 54.FME isinformed and managing ETA ASAP</t>
        </is>
      </c>
      <c r="Z428" t="inlineStr"/>
      <c r="AA428" t="inlineStr"/>
      <c r="AB428" t="inlineStr"/>
      <c r="AC428" t="inlineStr"/>
      <c r="AD428" t="inlineStr"/>
      <c r="AE428" t="inlineStr">
        <is>
          <t>{None hourly IHS}: 25/05/2026 21:38..1:21:54..FME isinformed and managing ETA ASAP</t>
        </is>
      </c>
      <c r="AF428" t="inlineStr"/>
      <c r="AG428" t="inlineStr"/>
      <c r="AH428" t="inlineStr"/>
      <c r="AI428" t="inlineStr"/>
      <c r="AJ428" t="inlineStr"/>
      <c r="AK428" t="inlineStr"/>
      <c r="AL428" t="inlineStr"/>
      <c r="AM428" t="inlineStr"/>
      <c r="AN428" t="inlineStr"/>
      <c r="AO428" t="inlineStr">
        <is>
          <t>{05-25-2026 ocm ran 22H}: Power status check Ongoing</t>
        </is>
      </c>
      <c r="AP428" t="inlineStr"/>
      <c r="AQ428" t="inlineStr"/>
      <c r="AR428" t="inlineStr"/>
    </row>
    <row r="429">
      <c r="A429" t="inlineStr">
        <is>
          <t>Mokolo3-IHS</t>
        </is>
      </c>
      <c r="B429" t="inlineStr">
        <is>
          <t>EXN_156</t>
        </is>
      </c>
      <c r="C429" t="inlineStr">
        <is>
          <t>Maroua</t>
        </is>
      </c>
      <c r="D429" t="inlineStr">
        <is>
          <t>IHS</t>
        </is>
      </c>
      <c r="E429" t="inlineStr">
        <is>
          <t>Grid-Gen</t>
        </is>
      </c>
      <c r="F429" t="inlineStr">
        <is>
          <t>EXTREME-NORD</t>
        </is>
      </c>
      <c r="G429" t="inlineStr">
        <is>
          <t>Maroua</t>
        </is>
      </c>
      <c r="H429" t="inlineStr">
        <is>
          <t>NOKIA</t>
        </is>
      </c>
      <c r="I429" t="n">
        <v>1.062845822168574</v>
      </c>
      <c r="J429" t="n">
        <v>0</v>
      </c>
      <c r="K429" t="n">
        <v>0</v>
      </c>
      <c r="L429" t="n">
        <v>0.4724775261555133</v>
      </c>
      <c r="M429" t="n">
        <v>0.6553509601826575</v>
      </c>
      <c r="N429" t="n">
        <v>6.695902225739282</v>
      </c>
      <c r="O429" t="n">
        <v>2.819039345453279</v>
      </c>
      <c r="P429" t="n">
        <v>0</v>
      </c>
      <c r="Q429" t="n">
        <v>1.902558241867186</v>
      </c>
      <c r="R429" t="inlineStr">
        <is>
          <t>Operationnel</t>
        </is>
      </c>
      <c r="S429" t="inlineStr"/>
      <c r="T429" t="inlineStr"/>
      <c r="U429" t="inlineStr"/>
      <c r="V429" t="inlineStr"/>
      <c r="W429" t="inlineStr"/>
      <c r="X429" t="inlineStr">
        <is>
          <t>{None hourly IHS}: 25/05/2026 07:55..1:05:00..25..FME is informed and managing     ;    {05-25-2026 ticket}: INC-20260525-00003854..Others</t>
        </is>
      </c>
      <c r="Y429" t="inlineStr">
        <is>
          <t>25/05/2026 07 55.1 05 00.25.FME is informed and managing .</t>
        </is>
      </c>
      <c r="Z429" t="inlineStr"/>
      <c r="AA429" t="inlineStr"/>
      <c r="AB429" t="inlineStr"/>
      <c r="AC429" t="inlineStr"/>
      <c r="AD429" t="inlineStr"/>
      <c r="AE429" t="inlineStr">
        <is>
          <t>{None hourly IHS}: 25/05/2026 07:55..1:05:00..25..FME is informed and managing</t>
        </is>
      </c>
      <c r="AF429" t="inlineStr"/>
      <c r="AG429" t="inlineStr"/>
      <c r="AH429" t="inlineStr"/>
      <c r="AI429" t="inlineStr"/>
      <c r="AJ429" t="inlineStr"/>
      <c r="AK429" t="inlineStr"/>
      <c r="AL429" t="inlineStr"/>
      <c r="AM429" t="inlineStr"/>
      <c r="AN429" t="inlineStr"/>
      <c r="AO429" t="inlineStr"/>
      <c r="AP429" t="inlineStr"/>
      <c r="AQ429" t="inlineStr">
        <is>
          <t>{05-25-2026 ticket}: INC-20260525-00003854..Others</t>
        </is>
      </c>
      <c r="AR429" t="inlineStr"/>
    </row>
    <row r="430">
      <c r="A430" t="inlineStr">
        <is>
          <t>Maroua-Ouro-Bah-II-IHS</t>
        </is>
      </c>
      <c r="B430" t="inlineStr">
        <is>
          <t>EXN_184</t>
        </is>
      </c>
      <c r="C430" t="inlineStr">
        <is>
          <t>Maroua</t>
        </is>
      </c>
      <c r="D430" t="inlineStr">
        <is>
          <t>IHS</t>
        </is>
      </c>
      <c r="E430" t="inlineStr">
        <is>
          <t>Grid-Gen</t>
        </is>
      </c>
      <c r="F430" t="inlineStr">
        <is>
          <t>EXTREME-NORD</t>
        </is>
      </c>
      <c r="G430" t="inlineStr">
        <is>
          <t>Maroua</t>
        </is>
      </c>
      <c r="H430" t="inlineStr">
        <is>
          <t>Huawei</t>
        </is>
      </c>
      <c r="I430" t="n">
        <v>0</v>
      </c>
      <c r="J430" t="n">
        <v>0</v>
      </c>
      <c r="K430" t="n">
        <v>2.953203608107684</v>
      </c>
      <c r="L430" t="n">
        <v>2.44661604358037</v>
      </c>
      <c r="M430" t="n">
        <v>4.349993436691178</v>
      </c>
      <c r="N430" t="n">
        <v>1.878429632826957</v>
      </c>
      <c r="O430" t="n">
        <v>2.379469401008463</v>
      </c>
      <c r="P430" t="n">
        <v>1.586553088754495</v>
      </c>
      <c r="Q430" t="n">
        <v>1.894424183795476</v>
      </c>
      <c r="R430" t="inlineStr">
        <is>
          <t>Operationnel</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row>
    <row r="431">
      <c r="A431" t="inlineStr">
        <is>
          <t>Nkolmesseng-Abom</t>
        </is>
      </c>
      <c r="B431" t="inlineStr">
        <is>
          <t>CTR_711</t>
        </is>
      </c>
      <c r="C431" t="inlineStr">
        <is>
          <t>Yaounde</t>
        </is>
      </c>
      <c r="D431" t="inlineStr">
        <is>
          <t>CAMUSAT</t>
        </is>
      </c>
      <c r="E431" t="inlineStr">
        <is>
          <t>Good Grid + GE</t>
        </is>
      </c>
      <c r="F431" t="inlineStr">
        <is>
          <t>CENTRE</t>
        </is>
      </c>
      <c r="G431" t="inlineStr">
        <is>
          <t>Yaounde</t>
        </is>
      </c>
      <c r="H431" t="inlineStr">
        <is>
          <t>ZTE</t>
        </is>
      </c>
      <c r="I431" t="n">
        <v>1.151825027894062</v>
      </c>
      <c r="J431" t="n">
        <v>1.565224308212982</v>
      </c>
      <c r="K431" t="n">
        <v>0</v>
      </c>
      <c r="L431" t="n">
        <v>2.138532900725671</v>
      </c>
      <c r="M431" t="n">
        <v>2.214314148496289</v>
      </c>
      <c r="N431" t="n">
        <v>0.6899232241845817</v>
      </c>
      <c r="O431" t="n">
        <v>0.9935662045962231</v>
      </c>
      <c r="P431" t="n">
        <v>2.794337575268076</v>
      </c>
      <c r="Q431" t="n">
        <v>1.889287681240066</v>
      </c>
      <c r="R431" t="inlineStr">
        <is>
          <t>Operationnel</t>
        </is>
      </c>
      <c r="S431" t="inlineStr"/>
      <c r="T431" t="inlineStr"/>
      <c r="U431" t="inlineStr"/>
      <c r="V431" t="inlineStr"/>
      <c r="W431" t="inlineStr"/>
      <c r="X431" t="inlineStr">
        <is>
          <t>{05-25-2026 ticket}: INC-20260525-00019099..power issue in site..Grid Outage</t>
        </is>
      </c>
      <c r="Y431" t="inlineStr">
        <is>
          <t>.power issue in site.Grid Outage</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is>
          <t>{05-25-2026 ticket}: INC-20260525-00019099..power issue in site..Grid Outage</t>
        </is>
      </c>
      <c r="AR431" t="inlineStr"/>
    </row>
    <row r="432">
      <c r="A432" t="inlineStr">
        <is>
          <t>Ministere-New</t>
        </is>
      </c>
      <c r="B432" t="inlineStr">
        <is>
          <t>LIT_581</t>
        </is>
      </c>
      <c r="C432" t="inlineStr">
        <is>
          <t>Douala</t>
        </is>
      </c>
      <c r="D432" t="inlineStr">
        <is>
          <t>IHS</t>
        </is>
      </c>
      <c r="E432" t="inlineStr">
        <is>
          <t>Grid-Gen</t>
        </is>
      </c>
      <c r="F432" t="inlineStr">
        <is>
          <t>LITTORAL</t>
        </is>
      </c>
      <c r="G432" t="inlineStr">
        <is>
          <t>Douala</t>
        </is>
      </c>
      <c r="H432" t="inlineStr">
        <is>
          <t>ZTE</t>
        </is>
      </c>
      <c r="I432" t="n">
        <v>0</v>
      </c>
      <c r="J432" t="n">
        <v>0</v>
      </c>
      <c r="K432" t="n">
        <v>0</v>
      </c>
      <c r="L432" t="n">
        <v>0.06042524533933762</v>
      </c>
      <c r="M432" t="n">
        <v>0.2226887878710054</v>
      </c>
      <c r="N432" t="n">
        <v>1.860194877082759</v>
      </c>
      <c r="O432" t="n">
        <v>1.578326295174271</v>
      </c>
      <c r="P432" t="n">
        <v>2.062279613104032</v>
      </c>
      <c r="Q432" t="n">
        <v>1.870953220729783</v>
      </c>
      <c r="R432" t="inlineStr">
        <is>
          <t>Operationnel</t>
        </is>
      </c>
      <c r="S432" t="inlineStr"/>
      <c r="T432" t="inlineStr"/>
      <c r="U432" t="inlineStr"/>
      <c r="V432" t="inlineStr"/>
      <c r="W432" t="inlineStr"/>
      <c r="X432" t="inlineStr">
        <is>
          <t>{05-25-2026 ticket}: INC-20260525-00017448..Others</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is>
          <t>{05-25-2026 ticket}: INC-20260525-00017448..Others</t>
        </is>
      </c>
      <c r="AR432" t="inlineStr"/>
    </row>
    <row r="433">
      <c r="A433" t="inlineStr">
        <is>
          <t>Garoua-Ray-Re</t>
        </is>
      </c>
      <c r="B433" t="inlineStr">
        <is>
          <t>NRD_062</t>
        </is>
      </c>
      <c r="C433" t="inlineStr">
        <is>
          <t>Garoua</t>
        </is>
      </c>
      <c r="D433" t="inlineStr">
        <is>
          <t>IHS</t>
        </is>
      </c>
      <c r="E433" t="inlineStr">
        <is>
          <t>Grid-Gen</t>
        </is>
      </c>
      <c r="F433" t="inlineStr">
        <is>
          <t>NORD</t>
        </is>
      </c>
      <c r="G433" t="inlineStr">
        <is>
          <t>Garoua</t>
        </is>
      </c>
      <c r="H433" t="inlineStr">
        <is>
          <t>Huawei</t>
        </is>
      </c>
      <c r="I433" t="n">
        <v>0</v>
      </c>
      <c r="J433" t="n">
        <v>0</v>
      </c>
      <c r="K433" t="n">
        <v>0</v>
      </c>
      <c r="L433" t="n">
        <v>2.920761600648341</v>
      </c>
      <c r="M433" t="n">
        <v>13.14079652886572</v>
      </c>
      <c r="N433" t="n">
        <v>1.869686941716725</v>
      </c>
      <c r="O433" t="n">
        <v>2.368844160878036</v>
      </c>
      <c r="P433" t="n">
        <v>1.550642747232784</v>
      </c>
      <c r="Q433" t="n">
        <v>1.870881880416513</v>
      </c>
      <c r="R433" t="inlineStr">
        <is>
          <t>Operationnel</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row>
    <row r="434">
      <c r="A434" t="inlineStr">
        <is>
          <t>Garoua-Roumde-Adja-II</t>
        </is>
      </c>
      <c r="B434" t="inlineStr">
        <is>
          <t>NRD_138</t>
        </is>
      </c>
      <c r="C434" t="inlineStr">
        <is>
          <t>Garoua</t>
        </is>
      </c>
      <c r="D434" t="inlineStr">
        <is>
          <t>CAMUSAT</t>
        </is>
      </c>
      <c r="E434" t="inlineStr">
        <is>
          <t>Medium Grid + GE</t>
        </is>
      </c>
      <c r="F434" t="inlineStr">
        <is>
          <t>NORD</t>
        </is>
      </c>
      <c r="G434" t="inlineStr">
        <is>
          <t>Garoua</t>
        </is>
      </c>
      <c r="H434" t="inlineStr">
        <is>
          <t>Huawei</t>
        </is>
      </c>
      <c r="I434" t="n">
        <v>0</v>
      </c>
      <c r="J434" t="n">
        <v>0</v>
      </c>
      <c r="K434" t="n">
        <v>0</v>
      </c>
      <c r="L434" t="n">
        <v>2.967507340918236</v>
      </c>
      <c r="M434" t="n">
        <v>21.25208313714747</v>
      </c>
      <c r="N434" t="n">
        <v>1.855323949178487</v>
      </c>
      <c r="O434" t="n">
        <v>2.348762457031529</v>
      </c>
      <c r="P434" t="n">
        <v>1.530806558582695</v>
      </c>
      <c r="Q434" t="n">
        <v>1.851744841381948</v>
      </c>
      <c r="R434" t="inlineStr">
        <is>
          <t>Operationnel</t>
        </is>
      </c>
      <c r="S434" t="inlineStr"/>
      <c r="T434" t="inlineStr"/>
      <c r="U434" t="inlineStr"/>
      <c r="V434" t="inlineStr"/>
      <c r="W434" t="inlineStr"/>
      <c r="X434" t="inlineStr">
        <is>
          <t xml:space="preserve">{05-25-2026 retour CAMUSAT}: No power issue </t>
        </is>
      </c>
      <c r="Y434" t="inlineStr">
        <is>
          <t>No power issue</t>
        </is>
      </c>
      <c r="Z434" t="inlineStr"/>
      <c r="AA434" t="inlineStr"/>
      <c r="AB434" t="inlineStr"/>
      <c r="AC434" t="inlineStr">
        <is>
          <t xml:space="preserve">{05-25-2026 retour CAMUSAT}: No power issue </t>
        </is>
      </c>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row>
    <row r="435">
      <c r="A435" t="inlineStr">
        <is>
          <t>Garoua-Foulbere-IV</t>
        </is>
      </c>
      <c r="B435" t="inlineStr">
        <is>
          <t>NRD_067</t>
        </is>
      </c>
      <c r="C435" t="inlineStr">
        <is>
          <t>Garoua</t>
        </is>
      </c>
      <c r="D435" t="inlineStr">
        <is>
          <t>IHS</t>
        </is>
      </c>
      <c r="E435" t="inlineStr">
        <is>
          <t>Grid-Gen</t>
        </is>
      </c>
      <c r="F435" t="inlineStr">
        <is>
          <t>NORD</t>
        </is>
      </c>
      <c r="G435" t="inlineStr">
        <is>
          <t>Garoua</t>
        </is>
      </c>
      <c r="H435" t="inlineStr">
        <is>
          <t>Huawei</t>
        </is>
      </c>
      <c r="I435" t="n">
        <v>1.747748499713212</v>
      </c>
      <c r="J435" t="n">
        <v>0</v>
      </c>
      <c r="K435" t="n">
        <v>0</v>
      </c>
      <c r="L435" t="n">
        <v>2.962085477109747</v>
      </c>
      <c r="M435" t="n">
        <v>21.25577499835918</v>
      </c>
      <c r="N435" t="n">
        <v>1.84845469187759</v>
      </c>
      <c r="O435" t="n">
        <v>2.341802924746099</v>
      </c>
      <c r="P435" t="n">
        <v>1.53149056508787</v>
      </c>
      <c r="Q435" t="n">
        <v>1.84878421838126</v>
      </c>
      <c r="R435" t="inlineStr">
        <is>
          <t>Operationnel</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row>
    <row r="436">
      <c r="A436" t="inlineStr">
        <is>
          <t>LELE-HIS</t>
        </is>
      </c>
      <c r="B436" t="inlineStr">
        <is>
          <t>SUD_205</t>
        </is>
      </c>
      <c r="C436" t="inlineStr">
        <is>
          <t>CENTRE</t>
        </is>
      </c>
      <c r="D436" t="inlineStr">
        <is>
          <t>IHS</t>
        </is>
      </c>
      <c r="E436" t="inlineStr">
        <is>
          <t>Grid-Gen</t>
        </is>
      </c>
      <c r="F436" t="inlineStr">
        <is>
          <t>SUD</t>
        </is>
      </c>
      <c r="G436" t="inlineStr">
        <is>
          <t>Mintom</t>
        </is>
      </c>
      <c r="H436" t="inlineStr">
        <is>
          <t>NOKIA</t>
        </is>
      </c>
      <c r="I436" t="n">
        <v>0.04592532666729472</v>
      </c>
      <c r="J436" t="n">
        <v>0.3485866057135034</v>
      </c>
      <c r="K436" t="n">
        <v>1.362118436334478</v>
      </c>
      <c r="L436" t="n">
        <v>2.224614830778597</v>
      </c>
      <c r="M436" t="n">
        <v>5.013547525489893</v>
      </c>
      <c r="N436" t="n">
        <v>3.03758557845641</v>
      </c>
      <c r="O436" t="n">
        <v>1.409438103301134</v>
      </c>
      <c r="P436" t="n">
        <v>1.78522277818271</v>
      </c>
      <c r="Q436" t="n">
        <v>1.837904820607648</v>
      </c>
      <c r="R436" t="inlineStr">
        <is>
          <t>Operationnel</t>
        </is>
      </c>
      <c r="S436" t="inlineStr"/>
      <c r="T436" t="inlineStr"/>
      <c r="U436" t="inlineStr"/>
      <c r="V436" t="inlineStr"/>
      <c r="W436" t="inlineStr"/>
      <c r="X436" t="inlineStr">
        <is>
          <t>{05-25-2026 ticket}: INC-20260525-00006020..Grid Outage</t>
        </is>
      </c>
      <c r="Y436" t="inlineStr">
        <is>
          <t>.Grid Outage</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is>
          <t>{05-25-2026 ticket}: INC-20260525-00006020..Grid Outage</t>
        </is>
      </c>
      <c r="AR436" t="inlineStr"/>
    </row>
    <row r="437">
      <c r="A437" t="inlineStr">
        <is>
          <t>MELEN-MINTOM</t>
        </is>
      </c>
      <c r="B437" t="inlineStr">
        <is>
          <t>SUD_163</t>
        </is>
      </c>
      <c r="C437" t="inlineStr">
        <is>
          <t>CENTRE</t>
        </is>
      </c>
      <c r="D437" t="inlineStr">
        <is>
          <t>CAMUSAT</t>
        </is>
      </c>
      <c r="E437" t="inlineStr"/>
      <c r="F437" t="inlineStr">
        <is>
          <t>SUD</t>
        </is>
      </c>
      <c r="G437" t="inlineStr">
        <is>
          <t>Melen-Mintom</t>
        </is>
      </c>
      <c r="H437" t="inlineStr">
        <is>
          <t>NOKIA</t>
        </is>
      </c>
      <c r="I437" t="n">
        <v>0.04701326644465548</v>
      </c>
      <c r="J437" t="n">
        <v>0.3694893175014912</v>
      </c>
      <c r="K437" t="n">
        <v>1.376717452696977</v>
      </c>
      <c r="L437" t="n">
        <v>2.212660444472295</v>
      </c>
      <c r="M437" t="n">
        <v>6.584805569596281</v>
      </c>
      <c r="N437" t="n">
        <v>3.0684347885168</v>
      </c>
      <c r="O437" t="n">
        <v>1.398281601164186</v>
      </c>
      <c r="P437" t="n">
        <v>1.765010385954775</v>
      </c>
      <c r="Q437" t="n">
        <v>1.828024187219811</v>
      </c>
      <c r="R437" t="inlineStr">
        <is>
          <t>EXCLU</t>
        </is>
      </c>
      <c r="S437" t="inlineStr"/>
      <c r="T437" t="inlineStr"/>
      <c r="U437" t="inlineStr"/>
      <c r="V437" t="inlineStr"/>
      <c r="W437" t="inlineStr"/>
      <c r="X437" t="inlineStr">
        <is>
          <t>{05-25-2026 ticket}: INC-20260525-00005956..travaux en cours à Mintom MTN..Grid Outage</t>
        </is>
      </c>
      <c r="Y437" t="inlineStr">
        <is>
          <t>.travaux en cours à Mintom MTN.Grid Outage</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is>
          <t>{05-25-2026 ticket}: INC-20260525-00005956..travaux en cours à Mintom MTN..Grid Outage</t>
        </is>
      </c>
      <c r="AR437" t="inlineStr"/>
    </row>
    <row r="438">
      <c r="A438" t="inlineStr">
        <is>
          <t>Ngoulmekong-Nord</t>
        </is>
      </c>
      <c r="B438" t="inlineStr">
        <is>
          <t>CTR_379</t>
        </is>
      </c>
      <c r="C438" t="inlineStr">
        <is>
          <t>Yaounde</t>
        </is>
      </c>
      <c r="D438" t="inlineStr">
        <is>
          <t>IHS</t>
        </is>
      </c>
      <c r="E438" t="inlineStr">
        <is>
          <t>Grid-Gen</t>
        </is>
      </c>
      <c r="F438" t="inlineStr">
        <is>
          <t>CENTRE</t>
        </is>
      </c>
      <c r="G438" t="inlineStr">
        <is>
          <t>Yaounde</t>
        </is>
      </c>
      <c r="H438" t="inlineStr">
        <is>
          <t>ZTE</t>
        </is>
      </c>
      <c r="I438" t="n">
        <v>0</v>
      </c>
      <c r="J438" t="n">
        <v>0</v>
      </c>
      <c r="K438" t="n">
        <v>0</v>
      </c>
      <c r="L438" t="n">
        <v>0.002140209398087509</v>
      </c>
      <c r="M438" t="n">
        <v>0</v>
      </c>
      <c r="N438" t="n">
        <v>1.584550315935878</v>
      </c>
      <c r="O438" t="n">
        <v>1.348342972551179</v>
      </c>
      <c r="P438" t="n">
        <v>2.178116114755498</v>
      </c>
      <c r="Q438" t="n">
        <v>1.814790559108303</v>
      </c>
      <c r="R438" t="inlineStr">
        <is>
          <t>Operationnel</t>
        </is>
      </c>
      <c r="S438" t="inlineStr"/>
      <c r="T438" t="inlineStr"/>
      <c r="U438" t="inlineStr"/>
      <c r="V438" t="inlineStr"/>
      <c r="W438" t="inlineStr"/>
      <c r="X438" t="inlineStr">
        <is>
          <t>{05-25-2026 ticket}: INC-20260525-00017001..Grid Outage</t>
        </is>
      </c>
      <c r="Y438" t="inlineStr">
        <is>
          <t>.Grid Outage</t>
        </is>
      </c>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is>
          <t>{05-25-2026 ticket}: INC-20260525-00017001..Grid Outage</t>
        </is>
      </c>
      <c r="AR438" t="inlineStr"/>
    </row>
    <row r="439">
      <c r="A439" t="inlineStr">
        <is>
          <t>Lele</t>
        </is>
      </c>
      <c r="B439" t="inlineStr">
        <is>
          <t>SUD_159</t>
        </is>
      </c>
      <c r="C439" t="inlineStr">
        <is>
          <t>CENTRE</t>
        </is>
      </c>
      <c r="D439" t="inlineStr">
        <is>
          <t>ESCO</t>
        </is>
      </c>
      <c r="E439" t="inlineStr">
        <is>
          <t>Hybrid Solar - S3</t>
        </is>
      </c>
      <c r="F439" t="inlineStr">
        <is>
          <t>SUD</t>
        </is>
      </c>
      <c r="G439" t="inlineStr">
        <is>
          <t>Lele</t>
        </is>
      </c>
      <c r="H439" t="inlineStr">
        <is>
          <t>NOKIA</t>
        </is>
      </c>
      <c r="I439" t="n">
        <v>0.04637120362522924</v>
      </c>
      <c r="J439" t="n">
        <v>0.3641744641629067</v>
      </c>
      <c r="K439" t="n">
        <v>1.364750126912065</v>
      </c>
      <c r="L439" t="n">
        <v>2.211475617849204</v>
      </c>
      <c r="M439" t="n">
        <v>4.686563076809695</v>
      </c>
      <c r="N439" t="n">
        <v>3.038709638742012</v>
      </c>
      <c r="O439" t="n">
        <v>1.407844317281571</v>
      </c>
      <c r="P439" t="n">
        <v>1.72277298426019</v>
      </c>
      <c r="Q439" t="n">
        <v>1.804963430955418</v>
      </c>
      <c r="R439" t="inlineStr">
        <is>
          <t>Operationnel</t>
        </is>
      </c>
      <c r="S439" t="inlineStr"/>
      <c r="T439" t="inlineStr"/>
      <c r="U439" t="inlineStr"/>
      <c r="V439" t="inlineStr"/>
      <c r="W439" t="inlineStr"/>
      <c r="X439" t="inlineStr">
        <is>
          <t>{05-25-2026 retour CAMUSAT}: No power issue      ;    {05-25-2026 ticket}: INC-20260525-00005947..travaux en cours à Mintom MTN..Grid Outage</t>
        </is>
      </c>
      <c r="Y439" t="inlineStr">
        <is>
          <t>No power issue .travaux en cours à Mintom MTN.Grid Outage</t>
        </is>
      </c>
      <c r="Z439" t="inlineStr"/>
      <c r="AA439" t="inlineStr"/>
      <c r="AB439" t="inlineStr"/>
      <c r="AC439" t="inlineStr">
        <is>
          <t xml:space="preserve">{05-25-2026 retour CAMUSAT}: No power issue </t>
        </is>
      </c>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is>
          <t>{05-25-2026 ticket}: INC-20260525-00005947..travaux en cours à Mintom MTN..Grid Outage</t>
        </is>
      </c>
      <c r="AR439" t="inlineStr"/>
    </row>
    <row r="440">
      <c r="A440" t="inlineStr">
        <is>
          <t>Djottin</t>
        </is>
      </c>
      <c r="B440" t="inlineStr">
        <is>
          <t>NRO_098</t>
        </is>
      </c>
      <c r="C440" t="inlineStr">
        <is>
          <t>NORD-OUEST</t>
        </is>
      </c>
      <c r="D440" t="inlineStr">
        <is>
          <t>IHS</t>
        </is>
      </c>
      <c r="E440" t="inlineStr">
        <is>
          <t>Gen Only</t>
        </is>
      </c>
      <c r="F440" t="inlineStr">
        <is>
          <t>NORD-OUEST</t>
        </is>
      </c>
      <c r="G440" t="inlineStr">
        <is>
          <t>Djottin</t>
        </is>
      </c>
      <c r="H440" t="inlineStr">
        <is>
          <t>NOKIA</t>
        </is>
      </c>
      <c r="I440" t="n">
        <v>0</v>
      </c>
      <c r="J440" t="n">
        <v>0.001605157048565712</v>
      </c>
      <c r="K440" t="n">
        <v>0</v>
      </c>
      <c r="L440" t="n">
        <v>2.831068991790156</v>
      </c>
      <c r="M440" t="n">
        <v>0</v>
      </c>
      <c r="N440" t="n">
        <v>6.24715238060981</v>
      </c>
      <c r="O440" t="n">
        <v>2.687654490991496</v>
      </c>
      <c r="P440" t="n">
        <v>0</v>
      </c>
      <c r="Q440" t="n">
        <v>1.794369394434885</v>
      </c>
      <c r="R440" t="inlineStr">
        <is>
          <t>Insecurity</t>
        </is>
      </c>
      <c r="S440" t="inlineStr"/>
      <c r="T440" t="inlineStr"/>
      <c r="U440" t="inlineStr"/>
      <c r="V440" t="inlineStr"/>
      <c r="W440" t="inlineStr"/>
      <c r="X440" t="inlineStr">
        <is>
          <t>{05-25-2026 ticket}: INC-20260525-00002296..power issue at tadu..Grid Outage</t>
        </is>
      </c>
      <c r="Y440" t="inlineStr">
        <is>
          <t>.power issue at tadu.Grid Outage</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is>
          <t>{05-25-2026 ticket}: INC-20260525-00002296..power issue at tadu..Grid Outage</t>
        </is>
      </c>
      <c r="AR440" t="inlineStr"/>
    </row>
    <row r="441">
      <c r="A441" t="inlineStr">
        <is>
          <t>Tadu-IHS</t>
        </is>
      </c>
      <c r="B441" t="inlineStr">
        <is>
          <t>NRO_018</t>
        </is>
      </c>
      <c r="C441" t="inlineStr">
        <is>
          <t>NORD-OUEST</t>
        </is>
      </c>
      <c r="D441" t="inlineStr">
        <is>
          <t>IHS</t>
        </is>
      </c>
      <c r="E441" t="inlineStr">
        <is>
          <t>Hybrid-Gen</t>
        </is>
      </c>
      <c r="F441" t="inlineStr">
        <is>
          <t>NORD-OUEST</t>
        </is>
      </c>
      <c r="G441" t="inlineStr">
        <is>
          <t>Tadu</t>
        </is>
      </c>
      <c r="H441" t="inlineStr">
        <is>
          <t>NOKIA</t>
        </is>
      </c>
      <c r="I441" t="n">
        <v>0</v>
      </c>
      <c r="J441" t="n">
        <v>0</v>
      </c>
      <c r="K441" t="n">
        <v>0.001872683223326521</v>
      </c>
      <c r="L441" t="n">
        <v>0</v>
      </c>
      <c r="M441" t="n">
        <v>0.001070104699043579</v>
      </c>
      <c r="N441" t="n">
        <v>6.25489590702173</v>
      </c>
      <c r="O441" t="n">
        <v>2.666404010730642</v>
      </c>
      <c r="P441" t="n">
        <v>0</v>
      </c>
      <c r="Q441" t="n">
        <v>1.788341137963605</v>
      </c>
      <c r="R441" t="inlineStr">
        <is>
          <t>Insecurity</t>
        </is>
      </c>
      <c r="S441" t="inlineStr"/>
      <c r="T441" t="inlineStr"/>
      <c r="U441" t="inlineStr"/>
      <c r="V441" t="inlineStr"/>
      <c r="W441" t="inlineStr"/>
      <c r="X441" t="inlineStr">
        <is>
          <t>{None hourly IHS}: 25/05/2026 03:17..3:06:44..1V..Kelvin is informed and will manage in the morning, Insecurity area.     ;    {05-25-2026 ticket}: INC-20260525-00002285..generator issue on site..Others Transmission equipement fault</t>
        </is>
      </c>
      <c r="Y441" t="inlineStr">
        <is>
          <t>25/05/2026 03 17.3 06 44.1V.Kelvin is informed and will manage in the morning, Insecurity area. .generator issue on site.</t>
        </is>
      </c>
      <c r="Z441" t="inlineStr"/>
      <c r="AA441" t="inlineStr"/>
      <c r="AB441" t="inlineStr"/>
      <c r="AC441" t="inlineStr"/>
      <c r="AD441" t="inlineStr"/>
      <c r="AE441" t="inlineStr">
        <is>
          <t>{None hourly IHS}: 25/05/2026 03:17..3:06:44..1V..Kelvin is informed and will manage in the morning, Insecurity area.</t>
        </is>
      </c>
      <c r="AF441" t="inlineStr"/>
      <c r="AG441" t="inlineStr"/>
      <c r="AH441" t="inlineStr"/>
      <c r="AI441" t="inlineStr"/>
      <c r="AJ441" t="inlineStr"/>
      <c r="AK441" t="inlineStr"/>
      <c r="AL441" t="inlineStr"/>
      <c r="AM441" t="inlineStr"/>
      <c r="AN441" t="inlineStr"/>
      <c r="AO441" t="inlineStr"/>
      <c r="AP441" t="inlineStr"/>
      <c r="AQ441" t="inlineStr">
        <is>
          <t>{05-25-2026 ticket}: INC-20260525-00002285..generator issue on site..Others Transmission equipement fault</t>
        </is>
      </c>
      <c r="AR441" t="inlineStr"/>
    </row>
    <row r="442">
      <c r="A442" t="inlineStr">
        <is>
          <t>Ekombitie</t>
        </is>
      </c>
      <c r="B442" t="inlineStr">
        <is>
          <t>CTR_387</t>
        </is>
      </c>
      <c r="C442" t="inlineStr">
        <is>
          <t>Yaounde</t>
        </is>
      </c>
      <c r="D442" t="inlineStr">
        <is>
          <t>IHS</t>
        </is>
      </c>
      <c r="E442" t="inlineStr">
        <is>
          <t>Grid-Gen</t>
        </is>
      </c>
      <c r="F442" t="inlineStr">
        <is>
          <t>CENTRE</t>
        </is>
      </c>
      <c r="G442" t="inlineStr">
        <is>
          <t>Yaounde</t>
        </is>
      </c>
      <c r="H442" t="inlineStr">
        <is>
          <t>ZTE</t>
        </is>
      </c>
      <c r="I442" t="n">
        <v>0</v>
      </c>
      <c r="J442" t="n">
        <v>0</v>
      </c>
      <c r="K442" t="n">
        <v>0</v>
      </c>
      <c r="L442" t="n">
        <v>12.34462079769884</v>
      </c>
      <c r="M442" t="n">
        <v>0</v>
      </c>
      <c r="N442" t="n">
        <v>1.23796506120883</v>
      </c>
      <c r="O442" t="n">
        <v>1.188964370594777</v>
      </c>
      <c r="P442" t="n">
        <v>2.308521954967202</v>
      </c>
      <c r="Q442" t="n">
        <v>1.779798135449574</v>
      </c>
      <c r="R442" t="inlineStr">
        <is>
          <t>Operationnel</t>
        </is>
      </c>
      <c r="S442" t="inlineStr"/>
      <c r="T442" t="inlineStr"/>
      <c r="U442" t="inlineStr"/>
      <c r="V442" t="inlineStr"/>
      <c r="W442" t="inlineStr"/>
      <c r="X442" t="inlineStr">
        <is>
          <t>{05-25-2026 ticket}: INC-20260525-00022823..Grid Outage</t>
        </is>
      </c>
      <c r="Y442" t="inlineStr">
        <is>
          <t>.Grid Outage</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is>
          <t>{05-25-2026 ticket}: INC-20260525-00022823..Grid Outage</t>
        </is>
      </c>
      <c r="AR442" t="inlineStr"/>
    </row>
    <row r="443">
      <c r="A443" t="inlineStr">
        <is>
          <t>Mbalmayo-Haoussa</t>
        </is>
      </c>
      <c r="B443" t="inlineStr">
        <is>
          <t>CTR_393</t>
        </is>
      </c>
      <c r="C443" t="inlineStr">
        <is>
          <t>CENTRE</t>
        </is>
      </c>
      <c r="D443" t="inlineStr">
        <is>
          <t>IHS</t>
        </is>
      </c>
      <c r="E443" t="inlineStr">
        <is>
          <t>Grid-Gen</t>
        </is>
      </c>
      <c r="F443" t="inlineStr">
        <is>
          <t>CENTRE</t>
        </is>
      </c>
      <c r="G443" t="inlineStr">
        <is>
          <t>Mbalmayo</t>
        </is>
      </c>
      <c r="H443" t="inlineStr">
        <is>
          <t>ZTE</t>
        </is>
      </c>
      <c r="I443" t="n">
        <v>1.519851868973527</v>
      </c>
      <c r="J443" t="n">
        <v>1.540950766623006</v>
      </c>
      <c r="K443" t="n">
        <v>1.540950766623006</v>
      </c>
      <c r="L443" t="n">
        <v>1.540950766623006</v>
      </c>
      <c r="M443" t="n">
        <v>1.540950766623006</v>
      </c>
      <c r="N443" t="n">
        <v>0.09329700370490271</v>
      </c>
      <c r="O443" t="n">
        <v>0.1179932916483912</v>
      </c>
      <c r="P443" t="n">
        <v>3.294175328925048</v>
      </c>
      <c r="Q443" t="n">
        <v>1.770809255977605</v>
      </c>
      <c r="R443" t="inlineStr">
        <is>
          <t>Operationnel</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row>
    <row r="444">
      <c r="A444" t="inlineStr">
        <is>
          <t>Guidjiba-MTN</t>
        </is>
      </c>
      <c r="B444" t="inlineStr">
        <is>
          <t>NRD_058</t>
        </is>
      </c>
      <c r="C444" t="inlineStr">
        <is>
          <t>NORD</t>
        </is>
      </c>
      <c r="D444" t="inlineStr">
        <is>
          <t>IHS</t>
        </is>
      </c>
      <c r="E444" t="inlineStr">
        <is>
          <t>Solar-Gen</t>
        </is>
      </c>
      <c r="F444" t="inlineStr">
        <is>
          <t>NORD</t>
        </is>
      </c>
      <c r="G444" t="inlineStr">
        <is>
          <t>Guidjiba</t>
        </is>
      </c>
      <c r="H444" t="inlineStr">
        <is>
          <t>NOKIA</t>
        </is>
      </c>
      <c r="I444" t="n">
        <v>0.5700269381022905</v>
      </c>
      <c r="J444" t="n">
        <v>1.493652138925272</v>
      </c>
      <c r="K444" t="n">
        <v>0</v>
      </c>
      <c r="L444" t="n">
        <v>0</v>
      </c>
      <c r="M444" t="n">
        <v>0.5535455256110495</v>
      </c>
      <c r="N444" t="n">
        <v>6.165970248871943</v>
      </c>
      <c r="O444" t="n">
        <v>2.627508308130266</v>
      </c>
      <c r="P444" t="n">
        <v>0</v>
      </c>
      <c r="Q444" t="n">
        <v>1.762584826214998</v>
      </c>
      <c r="R444" t="inlineStr">
        <is>
          <t>Operationnel</t>
        </is>
      </c>
      <c r="S444" t="inlineStr"/>
      <c r="T444" t="inlineStr"/>
      <c r="U444" t="inlineStr"/>
      <c r="V444" t="inlineStr"/>
      <c r="W444" t="inlineStr"/>
      <c r="X444" t="inlineStr">
        <is>
          <t>{05/25/2026 cell nokia}: 25/05/2026 : Need BO RAN analysis      ;    {05/25/2026 cell nokia}: 25/05/2026 : Need BO RAN analysis ||Closed after resEt but Check and clean jumport port 3 of FXDB</t>
        </is>
      </c>
      <c r="Y444" t="inlineStr">
        <is>
          <t>25/05/2026 Need BO RAN analysis 25/05/2026 Need BO RAN analysis || Closed after resEt but Check and clean jumport port 3 of FXDB</t>
        </is>
      </c>
      <c r="Z444" t="inlineStr"/>
      <c r="AA444" t="inlineStr"/>
      <c r="AB444" t="inlineStr"/>
      <c r="AC444" t="inlineStr"/>
      <c r="AD444" t="inlineStr"/>
      <c r="AE444" t="inlineStr"/>
      <c r="AF444" t="inlineStr">
        <is>
          <t xml:space="preserve">{05/25/2026 cell nokia}: 25/05/2026 : Need BO RAN analysis </t>
        </is>
      </c>
      <c r="AG444" t="inlineStr">
        <is>
          <t>{05/25/2026 cell nokia}: 25/05/2026 : Need BO RAN analysis ||Closed after resEt but Check and clean jumport port 3 of FXDB</t>
        </is>
      </c>
      <c r="AH444" t="inlineStr"/>
      <c r="AI444" t="inlineStr"/>
      <c r="AJ444" t="inlineStr"/>
      <c r="AK444" t="inlineStr"/>
      <c r="AL444" t="inlineStr"/>
      <c r="AM444" t="inlineStr"/>
      <c r="AN444" t="inlineStr"/>
      <c r="AO444" t="inlineStr"/>
      <c r="AP444" t="inlineStr"/>
      <c r="AQ444" t="inlineStr"/>
      <c r="AR444" t="inlineStr"/>
    </row>
    <row r="445">
      <c r="A445" t="inlineStr">
        <is>
          <t>Batouri-Sambo</t>
        </is>
      </c>
      <c r="B445" t="inlineStr">
        <is>
          <t>EST_139</t>
        </is>
      </c>
      <c r="C445" t="inlineStr">
        <is>
          <t>CENTRE</t>
        </is>
      </c>
      <c r="D445" t="inlineStr">
        <is>
          <t>CAMUSAT</t>
        </is>
      </c>
      <c r="E445" t="inlineStr">
        <is>
          <t>Hybrid Solar - S3</t>
        </is>
      </c>
      <c r="F445" t="inlineStr">
        <is>
          <t>EST</t>
        </is>
      </c>
      <c r="G445" t="inlineStr">
        <is>
          <t>Batouri</t>
        </is>
      </c>
      <c r="H445" t="inlineStr">
        <is>
          <t>ZTE</t>
        </is>
      </c>
      <c r="I445" t="n">
        <v>0.206387526288906</v>
      </c>
      <c r="J445" t="n">
        <v>3.542421090479493</v>
      </c>
      <c r="K445" t="n">
        <v>0</v>
      </c>
      <c r="L445" t="n">
        <v>0.7299540853743793</v>
      </c>
      <c r="M445" t="n">
        <v>0</v>
      </c>
      <c r="N445" t="n">
        <v>1.111695622459624</v>
      </c>
      <c r="O445" t="n">
        <v>1.900430449728163</v>
      </c>
      <c r="P445" t="n">
        <v>1.846817563973758</v>
      </c>
      <c r="Q445" t="n">
        <v>1.759840682812405</v>
      </c>
      <c r="R445" t="inlineStr">
        <is>
          <t>Operationnel</t>
        </is>
      </c>
      <c r="S445" t="inlineStr"/>
      <c r="T445" t="inlineStr"/>
      <c r="U445" t="inlineStr"/>
      <c r="V445" t="inlineStr"/>
      <c r="W445" t="inlineStr"/>
      <c r="X445" t="inlineStr">
        <is>
          <t>{05-25-2026 ticket}: INC-20260525-00026650..low solar, gen fail , couvre feu /  fme  informe que le site sera managé le matin..user:OCM_NOC.CAMUSAT</t>
        </is>
      </c>
      <c r="Y445" t="inlineStr">
        <is>
          <t>.low solar, gen fail , couvre feu / fme informe que le site sera managé le matin.user OCM_NOC.CAMUSAT</t>
        </is>
      </c>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{05-25-2026 ticket}: INC-20260525-00026650..low solar, gen fail , couvre feu /  fme  informe que le site sera managé le matin..user:OCM_NOC.CAMUSAT</t>
        </is>
      </c>
      <c r="AR445" t="inlineStr"/>
    </row>
    <row r="446">
      <c r="A446" t="inlineStr">
        <is>
          <t>Ngong-Town-IHS</t>
        </is>
      </c>
      <c r="B446" t="inlineStr">
        <is>
          <t>NRD_088</t>
        </is>
      </c>
      <c r="C446" t="inlineStr">
        <is>
          <t>NORD</t>
        </is>
      </c>
      <c r="D446" t="inlineStr">
        <is>
          <t>IHS</t>
        </is>
      </c>
      <c r="E446" t="inlineStr">
        <is>
          <t>Grid-Gen</t>
        </is>
      </c>
      <c r="F446" t="inlineStr">
        <is>
          <t>NORD</t>
        </is>
      </c>
      <c r="G446" t="inlineStr">
        <is>
          <t>Ngong</t>
        </is>
      </c>
      <c r="H446" t="inlineStr">
        <is>
          <t>Huawei</t>
        </is>
      </c>
      <c r="I446" t="n">
        <v>0</v>
      </c>
      <c r="J446" t="n">
        <v>0</v>
      </c>
      <c r="K446" t="n">
        <v>0</v>
      </c>
      <c r="L446" t="n">
        <v>0</v>
      </c>
      <c r="M446" t="n">
        <v>0.4819929915276244</v>
      </c>
      <c r="N446" t="n">
        <v>2.820142360986216</v>
      </c>
      <c r="O446" t="n">
        <v>3.595581260136478</v>
      </c>
      <c r="P446" t="n">
        <v>0.2778776427275332</v>
      </c>
      <c r="Q446" t="n">
        <v>1.754704180256996</v>
      </c>
      <c r="R446" t="inlineStr">
        <is>
          <t>Operationnel</t>
        </is>
      </c>
      <c r="S446" t="inlineStr"/>
      <c r="T446" t="inlineStr"/>
      <c r="U446" t="inlineStr"/>
      <c r="V446" t="inlineStr"/>
      <c r="W446" t="inlineStr"/>
      <c r="X446" t="inlineStr">
        <is>
          <t>{None hourly IHS}: 25/05/2026 16:49..0:30:05..FME Ayang is managing with level 0     ;    {05-25-2026 ocm ran 17H}: Power status check Ongoing</t>
        </is>
      </c>
      <c r="Y446" t="inlineStr">
        <is>
          <t>25/05/2026 16 49.0 30 05.FME Ayang is managing with level 0</t>
        </is>
      </c>
      <c r="Z446" t="inlineStr"/>
      <c r="AA446" t="inlineStr"/>
      <c r="AB446" t="inlineStr"/>
      <c r="AC446" t="inlineStr"/>
      <c r="AD446" t="inlineStr"/>
      <c r="AE446" t="inlineStr">
        <is>
          <t>{None hourly IHS}: 25/05/2026 16:49..0:30:05..FME Ayang is managing with level 0</t>
        </is>
      </c>
      <c r="AF446" t="inlineStr"/>
      <c r="AG446" t="inlineStr"/>
      <c r="AH446" t="inlineStr"/>
      <c r="AI446" t="inlineStr"/>
      <c r="AJ446" t="inlineStr"/>
      <c r="AK446" t="inlineStr"/>
      <c r="AL446" t="inlineStr"/>
      <c r="AM446" t="inlineStr"/>
      <c r="AN446" t="inlineStr"/>
      <c r="AO446" t="inlineStr"/>
      <c r="AP446" t="inlineStr">
        <is>
          <t>{05-25-2026 ocm ran 17H}: Power status check Ongoing</t>
        </is>
      </c>
      <c r="AQ446" t="inlineStr"/>
      <c r="AR446" t="inlineStr"/>
    </row>
    <row r="447">
      <c r="A447" t="inlineStr">
        <is>
          <t>Makepe-Conteneur</t>
        </is>
      </c>
      <c r="B447" t="inlineStr">
        <is>
          <t>LIT_730</t>
        </is>
      </c>
      <c r="C447" t="inlineStr">
        <is>
          <t>Douala</t>
        </is>
      </c>
      <c r="D447" t="inlineStr">
        <is>
          <t>CAMUSAT</t>
        </is>
      </c>
      <c r="E447" t="inlineStr">
        <is>
          <t>Good Grid no GE - 8h</t>
        </is>
      </c>
      <c r="F447" t="inlineStr">
        <is>
          <t>LITTORAL</t>
        </is>
      </c>
      <c r="G447" t="inlineStr">
        <is>
          <t>Douala</t>
        </is>
      </c>
      <c r="H447" t="inlineStr">
        <is>
          <t>ZTE</t>
        </is>
      </c>
      <c r="I447" t="n">
        <v>32.90538062910742</v>
      </c>
      <c r="J447" t="n">
        <v>30.69791515068501</v>
      </c>
      <c r="K447" t="n">
        <v>13.86855689960706</v>
      </c>
      <c r="L447" t="n">
        <v>36.74714567406608</v>
      </c>
      <c r="M447" t="n">
        <v>5.19077469872986</v>
      </c>
      <c r="N447" t="n">
        <v>1.24046297295461</v>
      </c>
      <c r="O447" t="n">
        <v>1.111081360438746</v>
      </c>
      <c r="P447" t="n">
        <v>2.308179951714613</v>
      </c>
      <c r="Q447" t="n">
        <v>1.753830261419444</v>
      </c>
      <c r="R447" t="inlineStr">
        <is>
          <t>Operationnel</t>
        </is>
      </c>
      <c r="S447" t="inlineStr"/>
      <c r="T447" t="inlineStr"/>
      <c r="U447" t="inlineStr"/>
      <c r="V447" t="inlineStr"/>
      <c r="W447" t="inlineStr"/>
      <c r="X447" t="inlineStr">
        <is>
          <t>{05-25-2026 ticket}: INC-20260525-00020989..Grid Outage</t>
        </is>
      </c>
      <c r="Y447" t="inlineStr">
        <is>
          <t>.Grid Outage</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is>
          <t>{05-25-2026 ticket}: INC-20260525-00020989..Grid Outage</t>
        </is>
      </c>
      <c r="AR447" t="inlineStr"/>
    </row>
    <row r="448">
      <c r="A448" t="inlineStr">
        <is>
          <t>Pinyi-Ngali</t>
        </is>
      </c>
      <c r="B448" t="inlineStr">
        <is>
          <t>NRO_091</t>
        </is>
      </c>
      <c r="C448" t="inlineStr">
        <is>
          <t>NORD-OUEST</t>
        </is>
      </c>
      <c r="D448" t="inlineStr">
        <is>
          <t>IHS</t>
        </is>
      </c>
      <c r="E448" t="inlineStr">
        <is>
          <t>Solar+ Gen</t>
        </is>
      </c>
      <c r="F448" t="inlineStr">
        <is>
          <t>NORD-OUEST</t>
        </is>
      </c>
      <c r="G448" t="inlineStr">
        <is>
          <t>Pinyi-Ngali</t>
        </is>
      </c>
      <c r="H448" t="inlineStr">
        <is>
          <t>NOKIA</t>
        </is>
      </c>
      <c r="I448" t="n">
        <v>0</v>
      </c>
      <c r="J448" t="n">
        <v>0</v>
      </c>
      <c r="K448" t="n">
        <v>0</v>
      </c>
      <c r="L448" t="n">
        <v>0</v>
      </c>
      <c r="M448" t="n">
        <v>0.04048562778048877</v>
      </c>
      <c r="N448" t="n">
        <v>6.044821529201586</v>
      </c>
      <c r="O448" t="n">
        <v>2.589105388781787</v>
      </c>
      <c r="P448" t="n">
        <v>0</v>
      </c>
      <c r="Q448" t="n">
        <v>1.732392497281934</v>
      </c>
      <c r="R448" t="inlineStr">
        <is>
          <t>Insecurity</t>
        </is>
      </c>
      <c r="S448" t="inlineStr"/>
      <c r="T448" t="inlineStr"/>
      <c r="U448" t="inlineStr"/>
      <c r="V448" t="inlineStr"/>
      <c r="W448" t="inlineStr"/>
      <c r="X448" t="inlineStr">
        <is>
          <t>{None hourly IHS}: 25/05/2026 12:22..10:03:45..FME Roland is managing with level 0.     ;    {05-25-2026 ticket}: INC-20260525-00011492..Grid Outage</t>
        </is>
      </c>
      <c r="Y448" t="inlineStr">
        <is>
          <t>25/05/2026 12 22.10 03 45.FME Roland is managing with level 0. .Grid Outage</t>
        </is>
      </c>
      <c r="Z448" t="inlineStr"/>
      <c r="AA448" t="inlineStr"/>
      <c r="AB448" t="inlineStr"/>
      <c r="AC448" t="inlineStr"/>
      <c r="AD448" t="inlineStr"/>
      <c r="AE448" t="inlineStr">
        <is>
          <t>{None hourly IHS}: 25/05/2026 12:22..10:03:45..FME Roland is managing with level 0.</t>
        </is>
      </c>
      <c r="AF448" t="inlineStr"/>
      <c r="AG448" t="inlineStr"/>
      <c r="AH448" t="inlineStr"/>
      <c r="AI448" t="inlineStr"/>
      <c r="AJ448" t="inlineStr"/>
      <c r="AK448" t="inlineStr"/>
      <c r="AL448" t="inlineStr"/>
      <c r="AM448" t="inlineStr"/>
      <c r="AN448" t="inlineStr"/>
      <c r="AO448" t="inlineStr"/>
      <c r="AP448" t="inlineStr"/>
      <c r="AQ448" t="inlineStr">
        <is>
          <t>{05-25-2026 ticket}: INC-20260525-00011492..Grid Outage</t>
        </is>
      </c>
      <c r="AR448" t="inlineStr"/>
    </row>
    <row r="449">
      <c r="A449" t="inlineStr">
        <is>
          <t>Salapoumbe-Ville-MTN-IHS</t>
        </is>
      </c>
      <c r="B449" t="inlineStr">
        <is>
          <t>EST_103</t>
        </is>
      </c>
      <c r="C449" t="inlineStr">
        <is>
          <t>CENTRE</t>
        </is>
      </c>
      <c r="D449" t="inlineStr">
        <is>
          <t>IHS</t>
        </is>
      </c>
      <c r="E449" t="inlineStr">
        <is>
          <t>Hybrid-Gen</t>
        </is>
      </c>
      <c r="F449" t="inlineStr">
        <is>
          <t>EST</t>
        </is>
      </c>
      <c r="G449" t="inlineStr">
        <is>
          <t>SALAPOUMBE</t>
        </is>
      </c>
      <c r="H449" t="inlineStr">
        <is>
          <t>NOKIA</t>
        </is>
      </c>
      <c r="I449" t="n">
        <v>0.4882174338603956</v>
      </c>
      <c r="J449" t="n">
        <v>0.5703301344336863</v>
      </c>
      <c r="K449" t="n">
        <v>0.08707085234552683</v>
      </c>
      <c r="L449" t="n">
        <v>0.07824248857841586</v>
      </c>
      <c r="M449" t="n">
        <v>1.417228828335231</v>
      </c>
      <c r="N449" t="n">
        <v>12.12274038903477</v>
      </c>
      <c r="O449" t="n">
        <v>0</v>
      </c>
      <c r="P449" t="n">
        <v>0</v>
      </c>
      <c r="Q449" t="n">
        <v>1.731126206721399</v>
      </c>
      <c r="R449" t="inlineStr">
        <is>
          <t>Operationnel</t>
        </is>
      </c>
      <c r="S449" t="inlineStr"/>
      <c r="T449" t="inlineStr"/>
      <c r="U449" t="inlineStr"/>
      <c r="V449" t="inlineStr"/>
      <c r="W449" t="inlineStr"/>
      <c r="X449" t="inlineStr">
        <is>
          <t>{05-25-2026 ticket}: INC-20260525-00016726..Grid Outage</t>
        </is>
      </c>
      <c r="Y449" t="inlineStr">
        <is>
          <t>.Grid Outage</t>
        </is>
      </c>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is>
          <t>{05-25-2026 ticket}: INC-20260525-00016726..Grid Outage</t>
        </is>
      </c>
      <c r="AR449" t="inlineStr"/>
    </row>
    <row r="450">
      <c r="A450" t="inlineStr">
        <is>
          <t>Martap</t>
        </is>
      </c>
      <c r="B450" t="inlineStr">
        <is>
          <t>ADM_060</t>
        </is>
      </c>
      <c r="C450" t="inlineStr">
        <is>
          <t>NGAOUNDERE</t>
        </is>
      </c>
      <c r="D450" t="inlineStr">
        <is>
          <t>IHS</t>
        </is>
      </c>
      <c r="E450" t="inlineStr">
        <is>
          <t>Solar-Gen</t>
        </is>
      </c>
      <c r="F450" t="inlineStr">
        <is>
          <t>ADAMAOUA</t>
        </is>
      </c>
      <c r="G450" t="inlineStr">
        <is>
          <t>Martap</t>
        </is>
      </c>
      <c r="H450" t="inlineStr">
        <is>
          <t>NOKIA</t>
        </is>
      </c>
      <c r="I450" t="n">
        <v>0</v>
      </c>
      <c r="J450" t="n">
        <v>0.2868643756397169</v>
      </c>
      <c r="K450" t="n">
        <v>1.558646229837385</v>
      </c>
      <c r="L450" t="n">
        <v>1.221151804487979</v>
      </c>
      <c r="M450" t="n">
        <v>1.869651221556354</v>
      </c>
      <c r="N450" t="n">
        <v>0.5770176132753019</v>
      </c>
      <c r="O450" t="n">
        <v>0.1756058464939901</v>
      </c>
      <c r="P450" t="n">
        <v>3.010723033180335</v>
      </c>
      <c r="Q450" t="n">
        <v>1.711408584372127</v>
      </c>
      <c r="R450" t="inlineStr">
        <is>
          <t>Operationnel</t>
        </is>
      </c>
      <c r="S450" t="inlineStr"/>
      <c r="T450" t="inlineStr"/>
      <c r="U450" t="inlineStr"/>
      <c r="V450" t="inlineStr"/>
      <c r="W450" t="inlineStr"/>
      <c r="X450"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     ;    {05-25-2026 ticket}: INC-20260525-00017854..Others</t>
        </is>
      </c>
      <c r="Y450" t="inlineStr">
        <is>
          <t>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25/05/2026 Forte pluie dans la zone. Evidences partagees
22/05/2026 Feedback Warehouse La spare na pas pu ete transferer faute des agents de l'agence || ETD demain matin
20/05/2026 FRMF transfere sur ngaoundere || Expedition pour Ngaoudal || ETD 21052026
18/05/2026 La spare quitte Maroua pour NDE aujourd'hui ETD 20052026
17/05/2026 Check breaker and interconnection (sfp, optical fiber) between system and radio module, swap its if needed || FME active || Cmd de la radio FRMF en cour chez le warehouse de NDE. .</t>
        </is>
      </c>
      <c r="Z450" t="inlineStr"/>
      <c r="AA450" t="inlineStr"/>
      <c r="AB450" t="inlineStr"/>
      <c r="AC450" t="inlineStr"/>
      <c r="AD450" t="inlineStr"/>
      <c r="AE450" t="inlineStr"/>
      <c r="AF450"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G450"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H450" t="inlineStr">
        <is>
          <t>{05/25/2026 cell nokia}: 25/05/2026 : Forte pluie dans la zone. Evidences partagees
22/05/2026 ; Feedback Warehouse ; La spare na pas pu ete transferer faute des agents de l'agence||ETD : demain matin
20/05/2026 : FRMF transfere sur ngaoundere || Expedition pour Ngaoudal || ETD 21052026
18/05/2026 ; La spare quitte  Maroua pour NDE aujourd'hui ETD : 20052026
17/05/2026 : Check breaker and  interconnection (sfp, optical fiber) between system and radio module, swap its if needed||FME  active ||Cmd de la radio FRMF en cour chez le warehouse de NDE.</t>
        </is>
      </c>
      <c r="AI450" t="inlineStr"/>
      <c r="AJ450" t="inlineStr"/>
      <c r="AK450" t="inlineStr"/>
      <c r="AL450" t="inlineStr"/>
      <c r="AM450" t="inlineStr"/>
      <c r="AN450" t="inlineStr"/>
      <c r="AO450" t="inlineStr"/>
      <c r="AP450" t="inlineStr"/>
      <c r="AQ450" t="inlineStr">
        <is>
          <t>{05-25-2026 ticket}: INC-20260525-00017854..Others</t>
        </is>
      </c>
      <c r="AR450" t="inlineStr"/>
    </row>
    <row r="451">
      <c r="A451" t="inlineStr">
        <is>
          <t>Mambine</t>
        </is>
      </c>
      <c r="B451" t="inlineStr">
        <is>
          <t>CTR_097</t>
        </is>
      </c>
      <c r="C451" t="inlineStr">
        <is>
          <t>CENTRE</t>
        </is>
      </c>
      <c r="D451" t="inlineStr">
        <is>
          <t>IHS</t>
        </is>
      </c>
      <c r="E451" t="inlineStr">
        <is>
          <t>Grid-Gen</t>
        </is>
      </c>
      <c r="F451" t="inlineStr">
        <is>
          <t>CENTRE</t>
        </is>
      </c>
      <c r="G451" t="inlineStr">
        <is>
          <t>Mambine</t>
        </is>
      </c>
      <c r="H451" t="inlineStr">
        <is>
          <t>NOKIA</t>
        </is>
      </c>
      <c r="I451" t="n">
        <v>0.2497802718351297</v>
      </c>
      <c r="J451" t="n">
        <v>1.031580929878179</v>
      </c>
      <c r="K451" t="n">
        <v>0.5433813310961012</v>
      </c>
      <c r="L451" t="n">
        <v>5.585357971423925</v>
      </c>
      <c r="M451" t="n">
        <v>0.170503348714305</v>
      </c>
      <c r="N451" t="n">
        <v>5.658894164478497</v>
      </c>
      <c r="O451" t="n">
        <v>2.643294113446964</v>
      </c>
      <c r="P451" t="n">
        <v>0</v>
      </c>
      <c r="Q451" t="n">
        <v>1.695473885164924</v>
      </c>
      <c r="R451" t="inlineStr">
        <is>
          <t>Operationnel</t>
        </is>
      </c>
      <c r="S451" t="inlineStr"/>
      <c r="T451" t="inlineStr"/>
      <c r="U451" t="inlineStr"/>
      <c r="V451" t="inlineStr"/>
      <c r="W451" t="inlineStr"/>
      <c r="X451" t="inlineStr">
        <is>
          <t>{05-25-2026 ticket}: INC-20260525-00016668..Others</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is>
          <t>{05-25-2026 ticket}: INC-20260525-00016668..Others</t>
        </is>
      </c>
      <c r="AR451" t="inlineStr"/>
    </row>
    <row r="452">
      <c r="A452" t="inlineStr">
        <is>
          <t>Kika-IHS</t>
        </is>
      </c>
      <c r="B452" t="inlineStr">
        <is>
          <t>EST_115</t>
        </is>
      </c>
      <c r="C452" t="inlineStr">
        <is>
          <t>CENTRE</t>
        </is>
      </c>
      <c r="D452" t="inlineStr">
        <is>
          <t>IHS</t>
        </is>
      </c>
      <c r="E452" t="inlineStr">
        <is>
          <t>Hybrid-Gen</t>
        </is>
      </c>
      <c r="F452" t="inlineStr">
        <is>
          <t>EST</t>
        </is>
      </c>
      <c r="G452" t="inlineStr">
        <is>
          <t>Kika</t>
        </is>
      </c>
      <c r="H452" t="inlineStr">
        <is>
          <t>NOKIA</t>
        </is>
      </c>
      <c r="I452" t="n">
        <v>1.677549631455941</v>
      </c>
      <c r="J452" t="n">
        <v>1.747391798146864</v>
      </c>
      <c r="K452" t="n">
        <v>1.66618868656776</v>
      </c>
      <c r="L452" t="n">
        <v>1.752885002268622</v>
      </c>
      <c r="M452" t="n">
        <v>3.167509909169513</v>
      </c>
      <c r="N452" t="n">
        <v>11.84422322938024</v>
      </c>
      <c r="O452" t="n">
        <v>0</v>
      </c>
      <c r="P452" t="n">
        <v>0</v>
      </c>
      <c r="Q452" t="n">
        <v>1.691353982073606</v>
      </c>
      <c r="R452" t="inlineStr">
        <is>
          <t>Operationnel</t>
        </is>
      </c>
      <c r="S452" t="inlineStr"/>
      <c r="T452" t="inlineStr"/>
      <c r="U452" t="inlineStr"/>
      <c r="V452" t="inlineStr"/>
      <c r="W452" t="inlineStr"/>
      <c r="X452" t="inlineStr">
        <is>
          <t>{05-25-2026 ticket}: INC-20260525-00018483..Sans action..Grid Outage..A Determiner</t>
        </is>
      </c>
      <c r="Y452" t="inlineStr">
        <is>
          <t>.Sans action.Grid Outage.A Determiner</t>
        </is>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is>
          <t>{05-25-2026 ticket}: INC-20260525-00018483..Sans action..Grid Outage..A Determiner</t>
        </is>
      </c>
      <c r="AR452" t="inlineStr"/>
    </row>
    <row r="453">
      <c r="A453" t="inlineStr">
        <is>
          <t>Japoma-I</t>
        </is>
      </c>
      <c r="B453" t="inlineStr">
        <is>
          <t>LIT_725</t>
        </is>
      </c>
      <c r="C453" t="inlineStr">
        <is>
          <t>Douala</t>
        </is>
      </c>
      <c r="D453" t="inlineStr">
        <is>
          <t>CAMUSAT</t>
        </is>
      </c>
      <c r="E453" t="inlineStr">
        <is>
          <t>Good Grid no GE - 8h</t>
        </is>
      </c>
      <c r="F453" t="inlineStr">
        <is>
          <t>LITTORAL</t>
        </is>
      </c>
      <c r="G453" t="inlineStr">
        <is>
          <t>Douala</t>
        </is>
      </c>
      <c r="H453" t="inlineStr">
        <is>
          <t>ZTE</t>
        </is>
      </c>
      <c r="I453" t="n">
        <v>2.374794183196217</v>
      </c>
      <c r="J453" t="n">
        <v>7.104228911089995</v>
      </c>
      <c r="K453" t="n">
        <v>0</v>
      </c>
      <c r="L453" t="n">
        <v>12.06592986391122</v>
      </c>
      <c r="M453" t="n">
        <v>0</v>
      </c>
      <c r="N453" t="n">
        <v>0.8457929171212866</v>
      </c>
      <c r="O453" t="n">
        <v>0.7601296789307437</v>
      </c>
      <c r="P453" t="n">
        <v>2.493203711364578</v>
      </c>
      <c r="Q453" t="n">
        <v>1.676140660268868</v>
      </c>
      <c r="R453" t="inlineStr">
        <is>
          <t>Operationnel</t>
        </is>
      </c>
      <c r="S453" t="inlineStr"/>
      <c r="T453" t="inlineStr"/>
      <c r="U453" t="inlineStr"/>
      <c r="V453" t="inlineStr"/>
      <c r="W453" t="inlineStr"/>
      <c r="X453" t="inlineStr">
        <is>
          <t>{05-25-2026 ticket}: INC-20260525-00019538..Grid Outage</t>
        </is>
      </c>
      <c r="Y453" t="inlineStr">
        <is>
          <t>.Grid Outage</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is>
          <t>{05-25-2026 ticket}: INC-20260525-00019538..Grid Outage</t>
        </is>
      </c>
      <c r="AR453" t="inlineStr"/>
    </row>
    <row r="454">
      <c r="A454" t="inlineStr">
        <is>
          <t>Mokolo</t>
        </is>
      </c>
      <c r="B454" t="inlineStr">
        <is>
          <t>EXN_012</t>
        </is>
      </c>
      <c r="C454" t="inlineStr">
        <is>
          <t>EXTREME-NORD</t>
        </is>
      </c>
      <c r="D454" t="inlineStr">
        <is>
          <t>CAMUSAT</t>
        </is>
      </c>
      <c r="E454" t="inlineStr">
        <is>
          <t>Medium Grid + GE</t>
        </is>
      </c>
      <c r="F454" t="inlineStr">
        <is>
          <t>EXTREME-NORD</t>
        </is>
      </c>
      <c r="G454" t="inlineStr">
        <is>
          <t>Mokolo</t>
        </is>
      </c>
      <c r="H454" t="inlineStr">
        <is>
          <t>NOKIA</t>
        </is>
      </c>
      <c r="I454" t="n">
        <v>1.157585758190582</v>
      </c>
      <c r="J454" t="n">
        <v>0</v>
      </c>
      <c r="K454" t="n">
        <v>0</v>
      </c>
      <c r="L454" t="n">
        <v>0.05632435328550852</v>
      </c>
      <c r="M454" t="n">
        <v>0</v>
      </c>
      <c r="N454" t="n">
        <v>1.264567821301392</v>
      </c>
      <c r="O454" t="n">
        <v>4.121562422695613</v>
      </c>
      <c r="P454" t="n">
        <v>0.1978146812967451</v>
      </c>
      <c r="Q454" t="n">
        <v>1.667394304419309</v>
      </c>
      <c r="R454" t="inlineStr">
        <is>
          <t>Insecurity</t>
        </is>
      </c>
      <c r="S454" t="inlineStr"/>
      <c r="T454" t="inlineStr"/>
      <c r="U454" t="inlineStr"/>
      <c r="V454" t="inlineStr"/>
      <c r="W454" t="inlineStr"/>
      <c r="X454" t="inlineStr">
        <is>
          <t>{05-25-2026 ticket}: INC-20260525-00020934..Others Transmission equipement fault</t>
        </is>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is>
          <t>{05-25-2026 ticket}: INC-20260525-00020934..Others Transmission equipement fault</t>
        </is>
      </c>
      <c r="AR454" t="inlineStr"/>
    </row>
    <row r="455">
      <c r="A455" t="inlineStr">
        <is>
          <t>Dir</t>
        </is>
      </c>
      <c r="B455" t="inlineStr">
        <is>
          <t>ADM_021</t>
        </is>
      </c>
      <c r="C455" t="inlineStr">
        <is>
          <t>ADAMAOUA</t>
        </is>
      </c>
      <c r="D455" t="inlineStr">
        <is>
          <t>IHS</t>
        </is>
      </c>
      <c r="E455" t="inlineStr">
        <is>
          <t>Solar-Gen</t>
        </is>
      </c>
      <c r="F455" t="inlineStr">
        <is>
          <t>ADAMAOUA</t>
        </is>
      </c>
      <c r="G455" t="inlineStr">
        <is>
          <t>Dir</t>
        </is>
      </c>
      <c r="H455" t="inlineStr">
        <is>
          <t>NOKIA</t>
        </is>
      </c>
      <c r="I455" t="n">
        <v>0.232087874144273</v>
      </c>
      <c r="J455" t="n">
        <v>0.04928732358377138</v>
      </c>
      <c r="K455" t="n">
        <v>0.5000172412157339</v>
      </c>
      <c r="L455" t="n">
        <v>1.852814363862773</v>
      </c>
      <c r="M455" t="n">
        <v>1.945640132257215</v>
      </c>
      <c r="N455" t="n">
        <v>0.2235631012473572</v>
      </c>
      <c r="O455" t="n">
        <v>4.843281845447155</v>
      </c>
      <c r="P455" t="n">
        <v>0</v>
      </c>
      <c r="Q455" t="n">
        <v>1.657870368197411</v>
      </c>
      <c r="R455" t="inlineStr">
        <is>
          <t>Operationnel</t>
        </is>
      </c>
      <c r="S455" t="inlineStr"/>
      <c r="T455" t="inlineStr"/>
      <c r="U455" t="inlineStr"/>
      <c r="V455" t="inlineStr"/>
      <c r="W455" t="inlineStr"/>
      <c r="X455" t="inlineStr">
        <is>
          <t>{05/25/2026 cell nokia}: 
21/05/2026 : Need BO RAN analysis ||Closed after reset but check and replace FXDB if needed     ;    {05-25-2026 ticket}: INC-20260525-00017976..Grid Outage</t>
        </is>
      </c>
      <c r="Y455" t="inlineStr">
        <is>
          <t>21/05/2026 Need BO RAN analysis || Closed after reset but check and replace FXDB if needed .Grid Outage</t>
        </is>
      </c>
      <c r="Z455" t="inlineStr"/>
      <c r="AA455" t="inlineStr"/>
      <c r="AB455" t="inlineStr"/>
      <c r="AC455" t="inlineStr"/>
      <c r="AD455" t="inlineStr"/>
      <c r="AE455" t="inlineStr"/>
      <c r="AF455" t="inlineStr"/>
      <c r="AG455" t="inlineStr"/>
      <c r="AH455" t="inlineStr">
        <is>
          <t>{05/25/2026 cell nokia}: 
21/05/2026 : Need BO RAN analysis ||Closed after reset but check and replace FXDB if needed</t>
        </is>
      </c>
      <c r="AI455" t="inlineStr"/>
      <c r="AJ455" t="inlineStr"/>
      <c r="AK455" t="inlineStr"/>
      <c r="AL455" t="inlineStr"/>
      <c r="AM455" t="inlineStr"/>
      <c r="AN455" t="inlineStr"/>
      <c r="AO455" t="inlineStr"/>
      <c r="AP455" t="inlineStr"/>
      <c r="AQ455" t="inlineStr">
        <is>
          <t>{05-25-2026 ticket}: INC-20260525-00017976..Grid Outage</t>
        </is>
      </c>
      <c r="AR455" t="inlineStr"/>
    </row>
    <row r="456">
      <c r="A456" t="inlineStr">
        <is>
          <t>Ngo-Njo-II</t>
        </is>
      </c>
      <c r="B456" t="inlineStr">
        <is>
          <t>LIT_585</t>
        </is>
      </c>
      <c r="C456" t="inlineStr">
        <is>
          <t>Douala</t>
        </is>
      </c>
      <c r="D456" t="inlineStr">
        <is>
          <t>CAMUSAT</t>
        </is>
      </c>
      <c r="E456" t="inlineStr">
        <is>
          <t>Medium Grid + GE</t>
        </is>
      </c>
      <c r="F456" t="inlineStr">
        <is>
          <t>LITTORAL</t>
        </is>
      </c>
      <c r="G456" t="inlineStr">
        <is>
          <t>Douala</t>
        </is>
      </c>
      <c r="H456" t="inlineStr">
        <is>
          <t>ZTE</t>
        </is>
      </c>
      <c r="I456" t="n">
        <v>4.150561590946058</v>
      </c>
      <c r="J456" t="n">
        <v>7.390036041126265</v>
      </c>
      <c r="K456" t="n">
        <v>1.075259036677482</v>
      </c>
      <c r="L456" t="n">
        <v>0.182274500403786</v>
      </c>
      <c r="M456" t="n">
        <v>12.76724081350786</v>
      </c>
      <c r="N456" t="n">
        <v>0.6984161241202356</v>
      </c>
      <c r="O456" t="n">
        <v>0.5925696420739098</v>
      </c>
      <c r="P456" t="n">
        <v>2.605278177237578</v>
      </c>
      <c r="Q456" t="n">
        <v>1.65728898248738</v>
      </c>
      <c r="R456" t="inlineStr">
        <is>
          <t>Operationnel</t>
        </is>
      </c>
      <c r="S456" t="inlineStr"/>
      <c r="T456" t="inlineStr"/>
      <c r="U456" t="inlineStr"/>
      <c r="V456" t="inlineStr"/>
      <c r="W456" t="inlineStr"/>
      <c r="X456" t="inlineStr">
        <is>
          <t>{05-25-2026 retour CAMUSAT}: Site impacté par Bonamoutongo 3</t>
        </is>
      </c>
      <c r="Y456" t="inlineStr">
        <is>
          <t>Site impacté par Bonamoutongo 3</t>
        </is>
      </c>
      <c r="Z456" t="inlineStr"/>
      <c r="AA456" t="inlineStr"/>
      <c r="AB456" t="inlineStr"/>
      <c r="AC456" t="inlineStr">
        <is>
          <t>{05-25-2026 retour CAMUSAT}: Site impacté par Bonamoutongo 3</t>
        </is>
      </c>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row>
    <row r="457">
      <c r="A457" t="inlineStr">
        <is>
          <t>Bda-Titam-Naka</t>
        </is>
      </c>
      <c r="B457" t="inlineStr">
        <is>
          <t>OST_113</t>
        </is>
      </c>
      <c r="C457" t="inlineStr">
        <is>
          <t>NORD-OUEST</t>
        </is>
      </c>
      <c r="D457" t="inlineStr">
        <is>
          <t>IHS</t>
        </is>
      </c>
      <c r="E457" t="inlineStr">
        <is>
          <t>Grid-Gen</t>
        </is>
      </c>
      <c r="F457" t="inlineStr">
        <is>
          <t>OUEST</t>
        </is>
      </c>
      <c r="G457" t="inlineStr">
        <is>
          <t>Bamenda</t>
        </is>
      </c>
      <c r="H457" t="inlineStr">
        <is>
          <t>Huawei</t>
        </is>
      </c>
      <c r="I457" t="n">
        <v>0</v>
      </c>
      <c r="J457" t="n">
        <v>0</v>
      </c>
      <c r="K457" t="n">
        <v>0</v>
      </c>
      <c r="L457" t="n">
        <v>0</v>
      </c>
      <c r="M457" t="n">
        <v>0</v>
      </c>
      <c r="N457" t="n">
        <v>2.167562917401053</v>
      </c>
      <c r="O457" t="n">
        <v>3.730521809792902</v>
      </c>
      <c r="P457" t="n">
        <v>0.1292772294781632</v>
      </c>
      <c r="Q457" t="n">
        <v>1.629323579685703</v>
      </c>
      <c r="R457" t="inlineStr">
        <is>
          <t>Operationnel</t>
        </is>
      </c>
      <c r="S457" t="inlineStr"/>
      <c r="T457" t="inlineStr"/>
      <c r="U457" t="inlineStr"/>
      <c r="V457" t="inlineStr"/>
      <c r="W457" t="inlineStr"/>
      <c r="X457" t="inlineStr">
        <is>
          <t>{None hourly IHS}: 25/05/2026 08:53..3:07:00..36v..FME Jeff is managing with level 0.</t>
        </is>
      </c>
      <c r="Y457" t="inlineStr">
        <is>
          <t>25/05/2026 08 53.3 07 00.36v.FME Jeff is managing with level 0.</t>
        </is>
      </c>
      <c r="Z457" t="inlineStr"/>
      <c r="AA457" t="inlineStr"/>
      <c r="AB457" t="inlineStr"/>
      <c r="AC457" t="inlineStr"/>
      <c r="AD457" t="inlineStr"/>
      <c r="AE457" t="inlineStr">
        <is>
          <t>{None hourly IHS}: 25/05/2026 08:53..3:07:00..36v..FME Jeff is managing with level 0.</t>
        </is>
      </c>
      <c r="AF457" t="inlineStr"/>
      <c r="AG457" t="inlineStr"/>
      <c r="AH457" t="inlineStr"/>
      <c r="AI457" t="inlineStr"/>
      <c r="AJ457" t="inlineStr"/>
      <c r="AK457" t="inlineStr"/>
      <c r="AL457" t="inlineStr"/>
      <c r="AM457" t="inlineStr"/>
      <c r="AN457" t="inlineStr"/>
      <c r="AO457" t="inlineStr"/>
      <c r="AP457" t="inlineStr"/>
      <c r="AQ457" t="inlineStr"/>
      <c r="AR457" t="inlineStr"/>
    </row>
    <row r="458">
      <c r="A458" t="inlineStr">
        <is>
          <t>Maroua-Doualare-II</t>
        </is>
      </c>
      <c r="B458" t="inlineStr">
        <is>
          <t>EXN_111</t>
        </is>
      </c>
      <c r="C458" t="inlineStr">
        <is>
          <t>Maroua</t>
        </is>
      </c>
      <c r="D458" t="inlineStr">
        <is>
          <t>IHS</t>
        </is>
      </c>
      <c r="E458" t="inlineStr">
        <is>
          <t>Grid-Gen</t>
        </is>
      </c>
      <c r="F458" t="inlineStr">
        <is>
          <t>EXTREME-NORD</t>
        </is>
      </c>
      <c r="G458" t="inlineStr">
        <is>
          <t>Maroua</t>
        </is>
      </c>
      <c r="H458" t="inlineStr">
        <is>
          <t>Huawei</t>
        </is>
      </c>
      <c r="I458" t="n">
        <v>0</v>
      </c>
      <c r="J458" t="n">
        <v>0</v>
      </c>
      <c r="K458" t="n">
        <v>1.133330051678923</v>
      </c>
      <c r="L458" t="n">
        <v>0</v>
      </c>
      <c r="M458" t="n">
        <v>0</v>
      </c>
      <c r="N458" t="n">
        <v>2.643415104972243</v>
      </c>
      <c r="O458" t="n">
        <v>3.384670243547503</v>
      </c>
      <c r="P458" t="n">
        <v>0.2185400784035617</v>
      </c>
      <c r="Q458" t="n">
        <v>1.627718422637137</v>
      </c>
      <c r="R458" t="inlineStr">
        <is>
          <t>Operationnel</t>
        </is>
      </c>
      <c r="S458" t="inlineStr"/>
      <c r="T458" t="inlineStr"/>
      <c r="U458" t="inlineStr"/>
      <c r="V458" t="inlineStr"/>
      <c r="W458" t="inlineStr"/>
      <c r="X458" t="inlineStr">
        <is>
          <t>{None hourly IHS}: 25/05/2026 16:44..0:35:05..FME Romaric is managing with level 0</t>
        </is>
      </c>
      <c r="Y458" t="inlineStr">
        <is>
          <t>25/05/2026 16 44.0 35 05.FME Romaric is managing with level 0</t>
        </is>
      </c>
      <c r="Z458" t="inlineStr"/>
      <c r="AA458" t="inlineStr"/>
      <c r="AB458" t="inlineStr"/>
      <c r="AC458" t="inlineStr"/>
      <c r="AD458" t="inlineStr"/>
      <c r="AE458" t="inlineStr">
        <is>
          <t>{None hourly IHS}: 25/05/2026 16:44..0:35:05..FME Romaric is managing with level 0</t>
        </is>
      </c>
      <c r="AF458" t="inlineStr"/>
      <c r="AG458" t="inlineStr"/>
      <c r="AH458" t="inlineStr"/>
      <c r="AI458" t="inlineStr"/>
      <c r="AJ458" t="inlineStr"/>
      <c r="AK458" t="inlineStr"/>
      <c r="AL458" t="inlineStr"/>
      <c r="AM458" t="inlineStr"/>
      <c r="AN458" t="inlineStr"/>
      <c r="AO458" t="inlineStr"/>
      <c r="AP458" t="inlineStr"/>
      <c r="AQ458" t="inlineStr"/>
      <c r="AR458" t="inlineStr"/>
    </row>
    <row r="459">
      <c r="A459" t="inlineStr">
        <is>
          <t>Micro_SNH</t>
        </is>
      </c>
      <c r="B459" t="inlineStr">
        <is>
          <t>CTR_843</t>
        </is>
      </c>
      <c r="C459" t="inlineStr">
        <is>
          <t>Yaounde</t>
        </is>
      </c>
      <c r="D459" t="inlineStr">
        <is>
          <t>CAMUSAT</t>
        </is>
      </c>
      <c r="E459" t="inlineStr">
        <is>
          <t>Good Grid no GE - 8h</t>
        </is>
      </c>
      <c r="F459" t="inlineStr">
        <is>
          <t>CENTRE</t>
        </is>
      </c>
      <c r="G459" t="inlineStr">
        <is>
          <t>Yaounde</t>
        </is>
      </c>
      <c r="H459" t="inlineStr">
        <is>
          <t>ZTE</t>
        </is>
      </c>
      <c r="I459" t="n">
        <v>0</v>
      </c>
      <c r="J459" t="n">
        <v>0.3185523338270085</v>
      </c>
      <c r="K459" t="n">
        <v>0.1551651813613439</v>
      </c>
      <c r="L459" t="n">
        <v>2.419578064851198</v>
      </c>
      <c r="M459" t="n">
        <v>0</v>
      </c>
      <c r="N459" t="n">
        <v>0</v>
      </c>
      <c r="O459" t="n">
        <v>3.013796236794952</v>
      </c>
      <c r="P459" t="n">
        <v>1.18018482402975</v>
      </c>
      <c r="Q459" t="n">
        <v>1.627219040444251</v>
      </c>
      <c r="R459" t="inlineStr">
        <is>
          <t>Operationnel</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row>
    <row r="460">
      <c r="A460" t="inlineStr">
        <is>
          <t>Garoua-Boulai-new</t>
        </is>
      </c>
      <c r="B460" t="inlineStr">
        <is>
          <t>EST_118</t>
        </is>
      </c>
      <c r="C460" t="inlineStr">
        <is>
          <t>CENTRE</t>
        </is>
      </c>
      <c r="D460" t="inlineStr">
        <is>
          <t>IHS</t>
        </is>
      </c>
      <c r="E460" t="inlineStr">
        <is>
          <t>Grid-Gen</t>
        </is>
      </c>
      <c r="F460" t="inlineStr">
        <is>
          <t>EST</t>
        </is>
      </c>
      <c r="G460" t="inlineStr">
        <is>
          <t>Garoua-Boulai</t>
        </is>
      </c>
      <c r="H460" t="inlineStr">
        <is>
          <t>ZTE</t>
        </is>
      </c>
      <c r="I460" t="n">
        <v>0</v>
      </c>
      <c r="J460" t="n">
        <v>0</v>
      </c>
      <c r="K460" t="n">
        <v>0</v>
      </c>
      <c r="L460" t="n">
        <v>7.23710755824111e-17</v>
      </c>
      <c r="M460" t="n">
        <v>0</v>
      </c>
      <c r="N460" t="n">
        <v>1.363110439672434</v>
      </c>
      <c r="O460" t="n">
        <v>1.155760495187191</v>
      </c>
      <c r="P460" t="n">
        <v>1.988577912171377</v>
      </c>
      <c r="Q460" t="n">
        <v>1.619674802315992</v>
      </c>
      <c r="R460" t="inlineStr">
        <is>
          <t>Operationnel</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row>
    <row r="461">
      <c r="A461" t="inlineStr">
        <is>
          <t>Bertoua-Meteo-II</t>
        </is>
      </c>
      <c r="B461" t="inlineStr">
        <is>
          <t>EST_124</t>
        </is>
      </c>
      <c r="C461" t="inlineStr">
        <is>
          <t>CENTRE</t>
        </is>
      </c>
      <c r="D461" t="inlineStr">
        <is>
          <t>CAMUSAT</t>
        </is>
      </c>
      <c r="E461" t="inlineStr">
        <is>
          <t>Good Grid + GE</t>
        </is>
      </c>
      <c r="F461" t="inlineStr">
        <is>
          <t>EST</t>
        </is>
      </c>
      <c r="G461" t="inlineStr">
        <is>
          <t>Bertoua</t>
        </is>
      </c>
      <c r="H461" t="inlineStr">
        <is>
          <t>ZTE</t>
        </is>
      </c>
      <c r="I461" t="n">
        <v>7.23710755824111e-17</v>
      </c>
      <c r="J461" t="n">
        <v>0.2498159419917645</v>
      </c>
      <c r="K461" t="n">
        <v>3.935399206124995</v>
      </c>
      <c r="L461" t="n">
        <v>0</v>
      </c>
      <c r="M461" t="n">
        <v>0.3047123130527089</v>
      </c>
      <c r="N461" t="n">
        <v>1.877555363715933</v>
      </c>
      <c r="O461" t="n">
        <v>0.7960961167722398</v>
      </c>
      <c r="P461" t="n">
        <v>2.058004572446686</v>
      </c>
      <c r="Q461" t="n">
        <v>1.608599218680889</v>
      </c>
      <c r="R461" t="inlineStr">
        <is>
          <t>Operationnel</t>
        </is>
      </c>
      <c r="S461" t="inlineStr"/>
      <c r="T461" t="inlineStr"/>
      <c r="U461" t="inlineStr"/>
      <c r="V461" t="inlineStr"/>
      <c r="W461" t="inlineStr"/>
      <c r="X461" t="inlineStr">
        <is>
          <t>{05-25-2026 retour CAMUSAT}: No power issue      ;    {05-25-2026 ticket}: INC-20260525-00013956..Grid Outage</t>
        </is>
      </c>
      <c r="Y461" t="inlineStr">
        <is>
          <t>No power issue .Grid Outage</t>
        </is>
      </c>
      <c r="Z461" t="inlineStr"/>
      <c r="AA461" t="inlineStr"/>
      <c r="AB461" t="inlineStr"/>
      <c r="AC461" t="inlineStr">
        <is>
          <t xml:space="preserve">{05-25-2026 retour CAMUSAT}: No power issue </t>
        </is>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is>
          <t>{05-25-2026 ticket}: INC-20260525-00013956..Grid Outage</t>
        </is>
      </c>
      <c r="AR461" t="inlineStr"/>
    </row>
    <row r="462">
      <c r="A462" t="inlineStr">
        <is>
          <t>Ngd-Trouamala</t>
        </is>
      </c>
      <c r="B462" t="inlineStr">
        <is>
          <t>ADM_058</t>
        </is>
      </c>
      <c r="C462" t="inlineStr">
        <is>
          <t>Ngaoundere</t>
        </is>
      </c>
      <c r="D462" t="inlineStr">
        <is>
          <t>IHS</t>
        </is>
      </c>
      <c r="E462" t="inlineStr">
        <is>
          <t>Grid-Gen</t>
        </is>
      </c>
      <c r="F462" t="inlineStr">
        <is>
          <t>ADAMAOUA</t>
        </is>
      </c>
      <c r="G462" t="inlineStr">
        <is>
          <t>Ngaoundere</t>
        </is>
      </c>
      <c r="H462" t="inlineStr">
        <is>
          <t>Huawei</t>
        </is>
      </c>
      <c r="I462" t="n">
        <v>0</v>
      </c>
      <c r="J462" t="n">
        <v>0</v>
      </c>
      <c r="K462" t="n">
        <v>4.916060987407007</v>
      </c>
      <c r="L462" t="n">
        <v>10.36715648925757</v>
      </c>
      <c r="M462" t="n">
        <v>0.9574761794693993</v>
      </c>
      <c r="N462" t="n">
        <v>2.750200832104361</v>
      </c>
      <c r="O462" t="n">
        <v>3.512970018122409</v>
      </c>
      <c r="P462" t="n">
        <v>0</v>
      </c>
      <c r="Q462" t="n">
        <v>1.572072978286862</v>
      </c>
      <c r="R462" t="inlineStr">
        <is>
          <t>Operationnel</t>
        </is>
      </c>
      <c r="S462" t="inlineStr"/>
      <c r="T462" t="inlineStr"/>
      <c r="U462" t="inlineStr"/>
      <c r="V462" t="inlineStr"/>
      <c r="W462" t="inlineStr"/>
      <c r="X462" t="inlineStr">
        <is>
          <t>{None hourly IHS}: 25/05/2026 22:02..0:57:12..FME Yannick is managing with level 0</t>
        </is>
      </c>
      <c r="Y462" t="inlineStr">
        <is>
          <t>25/05/2026 22 02.0 57 12.FME Yannick is managing with level 0</t>
        </is>
      </c>
      <c r="Z462" t="inlineStr"/>
      <c r="AA462" t="inlineStr"/>
      <c r="AB462" t="inlineStr"/>
      <c r="AC462" t="inlineStr"/>
      <c r="AD462" t="inlineStr"/>
      <c r="AE462" t="inlineStr">
        <is>
          <t>{None hourly IHS}: 25/05/2026 22:02..0:57:12..FME Yannick is managing with level 0</t>
        </is>
      </c>
      <c r="AF462" t="inlineStr"/>
      <c r="AG462" t="inlineStr"/>
      <c r="AH462" t="inlineStr"/>
      <c r="AI462" t="inlineStr"/>
      <c r="AJ462" t="inlineStr"/>
      <c r="AK462" t="inlineStr"/>
      <c r="AL462" t="inlineStr"/>
      <c r="AM462" t="inlineStr"/>
      <c r="AN462" t="inlineStr"/>
      <c r="AO462" t="inlineStr"/>
      <c r="AP462" t="inlineStr"/>
      <c r="AQ462" t="inlineStr"/>
      <c r="AR462" t="inlineStr"/>
    </row>
    <row r="463">
      <c r="A463" t="inlineStr">
        <is>
          <t>Kong-Kong-IHS</t>
        </is>
      </c>
      <c r="B463" t="inlineStr">
        <is>
          <t>NRD_070</t>
        </is>
      </c>
      <c r="C463" t="inlineStr">
        <is>
          <t>NORD</t>
        </is>
      </c>
      <c r="D463" t="inlineStr">
        <is>
          <t>IHS</t>
        </is>
      </c>
      <c r="E463" t="inlineStr">
        <is>
          <t>Solar-Gen</t>
        </is>
      </c>
      <c r="F463" t="inlineStr">
        <is>
          <t>NORD</t>
        </is>
      </c>
      <c r="G463" t="inlineStr">
        <is>
          <t>KongKong</t>
        </is>
      </c>
      <c r="H463" t="inlineStr">
        <is>
          <t>NOKIA</t>
        </is>
      </c>
      <c r="I463" t="n">
        <v>1.005185013968433</v>
      </c>
      <c r="J463" t="n">
        <v>1.518068361141788</v>
      </c>
      <c r="K463" t="n">
        <v>3.147536631542911</v>
      </c>
      <c r="L463" t="n">
        <v>3.859336365556173</v>
      </c>
      <c r="M463" t="n">
        <v>3.396861887047936</v>
      </c>
      <c r="N463" t="n">
        <v>0</v>
      </c>
      <c r="O463" t="n">
        <v>4.596479249375998</v>
      </c>
      <c r="P463" t="n">
        <v>0</v>
      </c>
      <c r="Q463" t="n">
        <v>1.543091099882972</v>
      </c>
      <c r="R463" t="inlineStr">
        <is>
          <t>Operationnel</t>
        </is>
      </c>
      <c r="S463" t="inlineStr"/>
      <c r="T463" t="inlineStr"/>
      <c r="U463" t="inlineStr"/>
      <c r="V463" t="inlineStr"/>
      <c r="W463" t="inlineStr"/>
      <c r="X463" t="inlineStr">
        <is>
          <t>{05-25-2026 incident}:  {05-18-2026 groupe whatsapp incident}: impacted by    Kaele-MTN-IHS_EXN_160) ,Power issue || Action retour IHS attendu      ;    {05/25/2026 cell nokia}: 25/05/2026 : FME presnetement sur le site de Sonahel || Intervention apres Sonahel || ETA : 15H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     ;    {05/25/2026 cell nokia}: 25/05/2026 : FME presnetement sur le site de Sonahel || Intervention apres Sonahel || ETA : 15H|| Intervention reporte a demain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     ;    {05/25/2026 cell nokia}: 25/05/2026 : FME presnetement sur le site de Sonahel || Intervention apres Sonahel || ETA : 15H||Escalade faite au RM || En attente du feedback du RM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t>
        </is>
      </c>
      <c r="Y463" t="inlineStr">
        <is>
          <t>{05-25-2026 incident} {05-18-2026 groupe whatsapp incident} impacted by Kaele-MTN-IHS_EXN_160) ,Power issue || Action retour IHS attendu 25/05/2026 FME presnetement sur le site de Sonahel || Intervention apres Sonahel || ETA 15H
23/05/2026 Fme actuellement a l'agence pour recuperer la spare ET Interviendra sur site apres les site de Bodouba et So-Djay || ETA Demain matin
22/05/2026 Reception de la FXDB prevu ce soiR
21/05/2026 Cde FXDB en cours
19/05/2026 Need BO RAN analysis || Site actually down but FME should check and replace FXDB if issue persist || FME activer. || Besoin de la FXDB 25/05/2026 FME presnetement sur le site de Sonahel || Intervention apres Sonahel || ETA 15H || Intervention reporte a demain
23/05/2026 Fme actuellement a l'agence pour recuperer la spare ET Interviendra sur site apres les site de Bodouba et So-Djay || ETA Demain matin
22/05/2026 Reception de la FXDB prevu ce soiR
21/05/2026 Cde FXDB en cours
19/05/2026 Need BO RAN analysis || Site actually down but FME should check and replace FXDB if issue persist || FME activer. || Besoin de la FXDB 25/05/2026 FME presnetement sur le site de Sonahel || Intervention apres Sonahel || ETA 15H || Escalade faite au RM || En attente du feedback du RM
23/05/2026 Fme actuellement a l'agence pour recuperer la spare ET Interviendra sur site apres les site de Bodouba et So-Djay || ETA Demain matin
22/05/2026 Reception de la FXDB prevu ce soiR
21/05/2026 Cde FXDB en cours
19/05/2026 Need BO RAN analysis || Site actually down but FME should check and replace FXDB if issue persist || FME activer. || Besoin de la FXDB</t>
        </is>
      </c>
      <c r="Z463" t="inlineStr"/>
      <c r="AA463" t="inlineStr">
        <is>
          <t xml:space="preserve">{05-25-2026 incident}:  {05-18-2026 groupe whatsapp incident}: impacted by    Kaele-MTN-IHS_EXN_160) ,Power issue || Action retour IHS attendu </t>
        </is>
      </c>
      <c r="AB463" t="inlineStr"/>
      <c r="AC463" t="inlineStr"/>
      <c r="AD463" t="inlineStr"/>
      <c r="AE463" t="inlineStr"/>
      <c r="AF463" t="inlineStr">
        <is>
          <t>{05/25/2026 cell nokia}: 25/05/2026 : FME presnetement sur le site de Sonahel || Intervention apres Sonahel || ETA : 15H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t>
        </is>
      </c>
      <c r="AG463" t="inlineStr">
        <is>
          <t>{05/25/2026 cell nokia}: 25/05/2026 : FME presnetement sur le site de Sonahel || Intervention apres Sonahel || ETA : 15H|| Intervention reporte a demain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t>
        </is>
      </c>
      <c r="AH463" t="inlineStr">
        <is>
          <t>{05/25/2026 cell nokia}: 25/05/2026 : FME presnetement sur le site de Sonahel || Intervention apres Sonahel || ETA : 15H||Escalade faite au RM || En attente du feedback du RM 
23/05/2026: Fme actuellement a l'agence pour recuperer la spare ET Interviendra sur site apres les site de Bodouba et So-Djay ||ETA: Demain matin
22/05/2026 : Reception de la FXDB prevu ce soiR
21/05/2026 : Cde FXDB en cours
19/05/2026 : Need BO RAN analysis||Site actually down but FME should check and replace FXDB if issue persist|| FME activer. ||Besoin de la FXDB</t>
        </is>
      </c>
      <c r="AI463" t="inlineStr"/>
      <c r="AJ463" t="inlineStr"/>
      <c r="AK463" t="inlineStr"/>
      <c r="AL463" t="inlineStr"/>
      <c r="AM463" t="inlineStr"/>
      <c r="AN463" t="inlineStr"/>
      <c r="AO463" t="inlineStr"/>
      <c r="AP463" t="inlineStr"/>
      <c r="AQ463" t="inlineStr"/>
      <c r="AR463" t="inlineStr"/>
    </row>
    <row r="464">
      <c r="A464" t="inlineStr">
        <is>
          <t>CTR_1055_Z_Ndisamba</t>
        </is>
      </c>
      <c r="B464" t="inlineStr">
        <is>
          <t>CTR_1055</t>
        </is>
      </c>
      <c r="C464" t="inlineStr">
        <is>
          <t>Yaounde</t>
        </is>
      </c>
      <c r="D464" t="inlineStr">
        <is>
          <t>IHS</t>
        </is>
      </c>
      <c r="E464" t="inlineStr">
        <is>
          <t>Grid-Gen</t>
        </is>
      </c>
      <c r="F464" t="inlineStr">
        <is>
          <t>CTR</t>
        </is>
      </c>
      <c r="G464" t="inlineStr">
        <is>
          <t>Yaounde</t>
        </is>
      </c>
      <c r="H464" t="inlineStr">
        <is>
          <t>ZTE</t>
        </is>
      </c>
      <c r="I464" t="n">
        <v>0</v>
      </c>
      <c r="J464" t="n">
        <v>0</v>
      </c>
      <c r="K464" t="n">
        <v>0</v>
      </c>
      <c r="L464" t="n">
        <v>0</v>
      </c>
      <c r="M464" t="n">
        <v>0</v>
      </c>
      <c r="N464" t="n">
        <v>0</v>
      </c>
      <c r="O464" t="n">
        <v>0.6853279884125393</v>
      </c>
      <c r="P464" t="n">
        <v>2.517314940672012</v>
      </c>
      <c r="Q464" t="n">
        <v>1.542823449846333</v>
      </c>
      <c r="R464" t="inlineStr">
        <is>
          <t>Operationnel</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row>
    <row r="465">
      <c r="A465" t="inlineStr">
        <is>
          <t>La-Falaise</t>
        </is>
      </c>
      <c r="B465" t="inlineStr">
        <is>
          <t>LIT_041</t>
        </is>
      </c>
      <c r="C465" t="inlineStr">
        <is>
          <t>Douala</t>
        </is>
      </c>
      <c r="D465" t="inlineStr">
        <is>
          <t>IHS</t>
        </is>
      </c>
      <c r="E465" t="inlineStr">
        <is>
          <t>Grid-Gen (LL)</t>
        </is>
      </c>
      <c r="F465" t="inlineStr">
        <is>
          <t>LITTORAL</t>
        </is>
      </c>
      <c r="G465" t="inlineStr">
        <is>
          <t>Douala</t>
        </is>
      </c>
      <c r="H465" t="inlineStr">
        <is>
          <t>ZTE</t>
        </is>
      </c>
      <c r="I465" t="n">
        <v>3.081901533246013</v>
      </c>
      <c r="J465" t="n">
        <v>4.236009451164702</v>
      </c>
      <c r="K465" t="n">
        <v>3.081901533246013</v>
      </c>
      <c r="L465" t="n">
        <v>3.087626593385897</v>
      </c>
      <c r="M465" t="n">
        <v>3.081901533246013</v>
      </c>
      <c r="N465" t="n">
        <v>0</v>
      </c>
      <c r="O465" t="n">
        <v>0</v>
      </c>
      <c r="P465" t="n">
        <v>2.958328134883894</v>
      </c>
      <c r="Q465" t="n">
        <v>1.542734274454746</v>
      </c>
      <c r="R465" t="inlineStr">
        <is>
          <t>EXCLU</t>
        </is>
      </c>
      <c r="S465" t="inlineStr"/>
      <c r="T465" t="inlineStr"/>
      <c r="U465" t="inlineStr"/>
      <c r="V465" t="inlineStr"/>
      <c r="W465" t="inlineStr"/>
      <c r="X465" t="inlineStr">
        <is>
          <t xml:space="preserve">{05/25/2026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    {05/25/2026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    {05/25/2026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t>
        </is>
      </c>
      <c r="Y465" t="inlineStr">
        <is>
          <t>25/05/2026 Le FME ira ce jour recuperer ce jour recuperer la nouvelle F.O || Intervention prevue pour ce jour apres recuperation
24/05/2026 Commande d'une nopuvelle fibre en cours
23/05/2026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FME activer || ETA 13H || Access issue
21/04/2026 FME en route pour le site || ETA 13h || FME sur site || Intervention en cours || Le FME a remplacer la F.O mais les cellules restent down || Suite des checks demain avec l'assistance du BO
20/05/2026 FME etait sur site apres avoir remplacer le power connector a constater que la fibre etait faulty || Commande de la fibre passe
25/05/2026 Le FME ira ce jour recuperer ce jour recuperer la nouvelle F.O || Intervention prevue pour ce jour apres recuperation
24/05/2026 Commande d'une nopuvelle fibre en cours
23/05/2026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FME activer || ETA 13H || Access issue
21/04/2026 FME en route pour le site || ETA 13h || FME sur site || Intervention en cours || Le FME a remplacer la F.O mais les cellules restent down || Suite des checks demain avec l'assistance du BO
20/05/2026 FME etait sur site apres avoir remplacer le power connector a constater que la fibre etait faulty || Commande de la fibre passe
25/05/2026 Le FME ira ce jour recuperer ce jour recuperer la nouvelle F.O || Intervention prevue pour ce jour apres recuperation
24/05/2026 Commande d'une nopuvelle fibre en cours
23/05/2026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FME activer || ETA 13H || Access issue
21/04/2026 FME en route pour le site || ETA 13h || FME sur site || Intervention en cours || Le FME a remplacer la F.O mais les cellules restent down || Suite des checks demain avec l'assistance du BO
20/05/2026 FME etait sur site apres avoir remplacer le power connector a constater que la fibre etait faulty || Commande de la fibre passe</t>
        </is>
      </c>
      <c r="Z465" t="inlineStr"/>
      <c r="AA465" t="inlineStr"/>
      <c r="AB465" t="inlineStr"/>
      <c r="AC465" t="inlineStr"/>
      <c r="AD465" t="inlineStr"/>
      <c r="AE465" t="inlineStr"/>
      <c r="AF465" t="inlineStr"/>
      <c r="AG465" t="inlineStr"/>
      <c r="AH465" t="inlineStr"/>
      <c r="AI465" t="inlineStr">
        <is>
          <t xml:space="preserve">{05/25/2026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t>
        </is>
      </c>
      <c r="AJ465" t="inlineStr">
        <is>
          <t xml:space="preserve">{05/25/2026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t>
        </is>
      </c>
      <c r="AK465" t="inlineStr">
        <is>
          <t xml:space="preserve">{05/25/2026 cell zte}: 25/05/2026 : Le FME ira ce jour recuperer ce jour recuperer la nouvelle F.O ||  Intervention prevue pour ce jour apres recuperation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t>
        </is>
      </c>
      <c r="AL465" t="inlineStr"/>
      <c r="AM465" t="inlineStr"/>
      <c r="AN465" t="inlineStr"/>
      <c r="AO465" t="inlineStr"/>
      <c r="AP465" t="inlineStr"/>
      <c r="AQ465" t="inlineStr"/>
      <c r="AR465" t="inlineStr"/>
    </row>
    <row r="466">
      <c r="A466" t="inlineStr">
        <is>
          <t>Mabenanga-Kribi</t>
        </is>
      </c>
      <c r="B466" t="inlineStr">
        <is>
          <t>SUD_090</t>
        </is>
      </c>
      <c r="C466" t="inlineStr">
        <is>
          <t>CENTRE</t>
        </is>
      </c>
      <c r="D466" t="inlineStr">
        <is>
          <t>CAMUSAT</t>
        </is>
      </c>
      <c r="E466" t="inlineStr">
        <is>
          <t>HGB</t>
        </is>
      </c>
      <c r="F466" t="inlineStr">
        <is>
          <t>SUD</t>
        </is>
      </c>
      <c r="G466" t="inlineStr">
        <is>
          <t>Kribi</t>
        </is>
      </c>
      <c r="H466" t="inlineStr">
        <is>
          <t>ZTE</t>
        </is>
      </c>
      <c r="I466" t="n">
        <v>1.540950766623006</v>
      </c>
      <c r="J466" t="n">
        <v>1.540950766623006</v>
      </c>
      <c r="K466" t="n">
        <v>1.540950766623006</v>
      </c>
      <c r="L466" t="n">
        <v>3.668907465906465</v>
      </c>
      <c r="M466" t="n">
        <v>4.986473876604087</v>
      </c>
      <c r="N466" t="n">
        <v>10.79097874177188</v>
      </c>
      <c r="O466" t="n">
        <v>0</v>
      </c>
      <c r="P466" t="n">
        <v>0</v>
      </c>
      <c r="Q466" t="n">
        <v>1.540950766623006</v>
      </c>
      <c r="R466" t="inlineStr">
        <is>
          <t>Operationnel</t>
        </is>
      </c>
      <c r="S466" t="inlineStr"/>
      <c r="T466" t="inlineStr"/>
      <c r="U466" t="inlineStr"/>
      <c r="V466" t="inlineStr"/>
      <c r="W466" t="inlineStr"/>
      <c r="X466" t="inlineStr">
        <is>
          <t>{05-25-2026 retour CAMUSAT}: No power issue      ;    {05/25/2026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     ;    {05/25/2026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     ;    {05/25/2026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t>
        </is>
      </c>
      <c r="Y466" t="inlineStr">
        <is>
          <t>No power issue 22/05/2026 Rapport recu et transferer a Camusat || En attente du support de Camusat
20/05/2026 En attente du RI pour avoir le support de Camusat
19/05/2026 FME activer pour investiguation || ETA 11H || FME dis qu'il a n'a pas pu intervenir sur le site a cause de la presence des guepes || RI est attendu pour interpeller Camusat
18/05/2026 Feedback BO RRU 52 link interrupted / FME Need to check RRU
17/05/2026 Need BO RAN analysis 22/05/2026 Rapport recu et transferer a Camusat || En attente du support de Camusat
20/05/2026 En attente du RI pour avoir le support de Camusat
19/05/2026 FME activer pour investiguation || ETA 11H || FME dis qu'il a n'a pas pu intervenir sur le site a cause de la presence des guepes || RI est attendu pour interpeller Camusat
18/05/2026 Feedback BO RRU 52 link interrupted / FME Need to check RRU
17/05/2026 Need BO RAN analysis 22/05/2026 Rapport recu et transferer a Camusat || En attente du support de Camusat
20/05/2026 En attente du RI pour avoir le support de Camusat
19/05/2026 FME activer pour investiguation || ETA 11H || FME dis qu'il a n'a pas pu intervenir sur le site a cause de la presence des guepes || RI est attendu pour interpeller Camusat
18/05/2026 Feedback BO RRU 52 link interrupted / FME Need to check RRU
17/05/2026 Need BO RAN analysis</t>
        </is>
      </c>
      <c r="Z466" t="inlineStr"/>
      <c r="AA466" t="inlineStr"/>
      <c r="AB466" t="inlineStr"/>
      <c r="AC466" t="inlineStr">
        <is>
          <t xml:space="preserve">{05-25-2026 retour CAMUSAT}: No power issue </t>
        </is>
      </c>
      <c r="AD466" t="inlineStr"/>
      <c r="AE466" t="inlineStr"/>
      <c r="AF466" t="inlineStr"/>
      <c r="AG466" t="inlineStr"/>
      <c r="AH466" t="inlineStr"/>
      <c r="AI466" t="inlineStr">
        <is>
          <t>{05/25/2026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t>
        </is>
      </c>
      <c r="AJ466" t="inlineStr">
        <is>
          <t>{05/25/2026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t>
        </is>
      </c>
      <c r="AK466" t="inlineStr">
        <is>
          <t>{05/25/2026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t>
        </is>
      </c>
      <c r="AL466" t="inlineStr"/>
      <c r="AM466" t="inlineStr"/>
      <c r="AN466" t="inlineStr"/>
      <c r="AO466" t="inlineStr"/>
      <c r="AP466" t="inlineStr"/>
      <c r="AQ466" t="inlineStr"/>
      <c r="AR466" t="inlineStr"/>
    </row>
    <row r="467">
      <c r="A467" t="inlineStr">
        <is>
          <t>Wouri</t>
        </is>
      </c>
      <c r="B467" t="inlineStr">
        <is>
          <t>LIT_087</t>
        </is>
      </c>
      <c r="C467" t="inlineStr">
        <is>
          <t>Douala</t>
        </is>
      </c>
      <c r="D467" t="inlineStr">
        <is>
          <t>IHS</t>
        </is>
      </c>
      <c r="E467" t="inlineStr">
        <is>
          <t>Grid-Gen</t>
        </is>
      </c>
      <c r="F467" t="inlineStr">
        <is>
          <t>LITTORAL</t>
        </is>
      </c>
      <c r="G467" t="inlineStr">
        <is>
          <t>Douala</t>
        </is>
      </c>
      <c r="H467" t="inlineStr">
        <is>
          <t>ZTE</t>
        </is>
      </c>
      <c r="I467" t="n">
        <v>1.540950766623006</v>
      </c>
      <c r="J467" t="n">
        <v>9.24343954479173</v>
      </c>
      <c r="K467" t="n">
        <v>1.163667519896813</v>
      </c>
      <c r="L467" t="n">
        <v>1.540950766623006</v>
      </c>
      <c r="M467" t="n">
        <v>1.540950766623006</v>
      </c>
      <c r="N467" t="n">
        <v>0</v>
      </c>
      <c r="O467" t="n">
        <v>4.590103736344441</v>
      </c>
      <c r="P467" t="n">
        <v>0</v>
      </c>
      <c r="Q467" t="n">
        <v>1.540950766623006</v>
      </c>
      <c r="R467" t="inlineStr">
        <is>
          <t>EXCLU</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row>
    <row r="468">
      <c r="A468" t="inlineStr">
        <is>
          <t>Mora-II</t>
        </is>
      </c>
      <c r="B468" t="inlineStr">
        <is>
          <t>EXN_032</t>
        </is>
      </c>
      <c r="C468" t="inlineStr">
        <is>
          <t>EXTREME-NORD</t>
        </is>
      </c>
      <c r="D468" t="inlineStr">
        <is>
          <t>IHS</t>
        </is>
      </c>
      <c r="E468" t="inlineStr">
        <is>
          <t>Grid-Gen</t>
        </is>
      </c>
      <c r="F468" t="inlineStr">
        <is>
          <t>EXTREME-NORD</t>
        </is>
      </c>
      <c r="G468" t="inlineStr">
        <is>
          <t>Mora</t>
        </is>
      </c>
      <c r="H468" t="inlineStr">
        <is>
          <t>Huawei</t>
        </is>
      </c>
      <c r="I468" t="n">
        <v>2.262540200266527</v>
      </c>
      <c r="J468" t="n">
        <v>0</v>
      </c>
      <c r="K468" t="n">
        <v>0.1411646448821886</v>
      </c>
      <c r="L468" t="n">
        <v>1.540950766623006</v>
      </c>
      <c r="M468" t="n">
        <v>1.412538202737756</v>
      </c>
      <c r="N468" t="n">
        <v>10.79097874177188</v>
      </c>
      <c r="O468" t="n">
        <v>0</v>
      </c>
      <c r="P468" t="n">
        <v>0</v>
      </c>
      <c r="Q468" t="n">
        <v>1.540950766623006</v>
      </c>
      <c r="R468" t="inlineStr">
        <is>
          <t>Insecurity</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row>
    <row r="469">
      <c r="A469" t="inlineStr">
        <is>
          <t>Ntumansah</t>
        </is>
      </c>
      <c r="B469" t="inlineStr">
        <is>
          <t>NRO_002</t>
        </is>
      </c>
      <c r="C469" t="inlineStr">
        <is>
          <t>NORD-OUEST</t>
        </is>
      </c>
      <c r="D469" t="inlineStr">
        <is>
          <t>IHS</t>
        </is>
      </c>
      <c r="E469" t="inlineStr">
        <is>
          <t>Grid-Gen</t>
        </is>
      </c>
      <c r="F469" t="inlineStr">
        <is>
          <t>NORD-OUEST</t>
        </is>
      </c>
      <c r="G469" t="inlineStr">
        <is>
          <t>Bamenda</t>
        </is>
      </c>
      <c r="H469" t="inlineStr">
        <is>
          <t>Huawei</t>
        </is>
      </c>
      <c r="I469" t="n">
        <v>1.540861591231419</v>
      </c>
      <c r="J469" t="n">
        <v>1.540950766623006</v>
      </c>
      <c r="K469" t="n">
        <v>1.540861591231419</v>
      </c>
      <c r="L469" t="n">
        <v>1.540950766623006</v>
      </c>
      <c r="M469" t="n">
        <v>1.155713074967255</v>
      </c>
      <c r="N469" t="n">
        <v>10.79097874177188</v>
      </c>
      <c r="O469" t="n">
        <v>0</v>
      </c>
      <c r="P469" t="n">
        <v>0</v>
      </c>
      <c r="Q469" t="n">
        <v>1.540950766623006</v>
      </c>
      <c r="R469" t="inlineStr">
        <is>
          <t>Operationnel</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row>
    <row r="470">
      <c r="A470" t="inlineStr">
        <is>
          <t>Bsadi-Lycee-CAMTEL</t>
        </is>
      </c>
      <c r="B470" t="inlineStr">
        <is>
          <t>LIT_643</t>
        </is>
      </c>
      <c r="C470" t="inlineStr">
        <is>
          <t>Douala</t>
        </is>
      </c>
      <c r="D470" t="inlineStr">
        <is>
          <t>CAMUSAT</t>
        </is>
      </c>
      <c r="E470" t="inlineStr">
        <is>
          <t>Good Grid no GE - 12h</t>
        </is>
      </c>
      <c r="F470" t="inlineStr">
        <is>
          <t>LITTORAL</t>
        </is>
      </c>
      <c r="G470" t="inlineStr">
        <is>
          <t>Douala</t>
        </is>
      </c>
      <c r="H470" t="inlineStr">
        <is>
          <t>ZTE</t>
        </is>
      </c>
      <c r="I470" t="n">
        <v>0.01491012547334297</v>
      </c>
      <c r="J470" t="n">
        <v>0</v>
      </c>
      <c r="K470" t="n">
        <v>0.0933131297566149</v>
      </c>
      <c r="L470" t="n">
        <v>0.9973910847437309</v>
      </c>
      <c r="M470" t="n">
        <v>0.5171280958128953</v>
      </c>
      <c r="N470" t="n">
        <v>0</v>
      </c>
      <c r="O470" t="n">
        <v>1.346483555528355</v>
      </c>
      <c r="P470" t="n">
        <v>2.081089791996358</v>
      </c>
      <c r="Q470" t="n">
        <v>1.537294575567941</v>
      </c>
      <c r="R470" t="inlineStr">
        <is>
          <t>Operationnel</t>
        </is>
      </c>
      <c r="S470" t="inlineStr"/>
      <c r="T470" t="inlineStr"/>
      <c r="U470" t="inlineStr"/>
      <c r="V470" t="inlineStr"/>
      <c r="W470" t="inlineStr"/>
      <c r="X470" t="inlineStr">
        <is>
          <t>{05-25-2026 retour CAMUSAT}: No power issue      ;    {05-25-2026 ticket}: INC-20260525-00020885..Grid Outage</t>
        </is>
      </c>
      <c r="Y470" t="inlineStr">
        <is>
          <t>No power issue .Grid Outage</t>
        </is>
      </c>
      <c r="Z470" t="inlineStr"/>
      <c r="AA470" t="inlineStr"/>
      <c r="AB470" t="inlineStr"/>
      <c r="AC470" t="inlineStr">
        <is>
          <t xml:space="preserve">{05-25-2026 retour CAMUSAT}: No power issue </t>
        </is>
      </c>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is>
          <t>{05-25-2026 ticket}: INC-20260525-00020885..Grid Outage</t>
        </is>
      </c>
      <c r="AR470" t="inlineStr"/>
    </row>
    <row r="471">
      <c r="A471" t="inlineStr">
        <is>
          <t>Kaele-Guiedame</t>
        </is>
      </c>
      <c r="B471" t="inlineStr">
        <is>
          <t>EXN_095</t>
        </is>
      </c>
      <c r="C471" t="inlineStr">
        <is>
          <t>EXTREME-NORD</t>
        </is>
      </c>
      <c r="D471" t="inlineStr">
        <is>
          <t>IHS</t>
        </is>
      </c>
      <c r="E471" t="inlineStr">
        <is>
          <t>Grid-Gen</t>
        </is>
      </c>
      <c r="F471" t="inlineStr">
        <is>
          <t>EXTREME-NORD</t>
        </is>
      </c>
      <c r="G471" t="inlineStr">
        <is>
          <t>Kaele</t>
        </is>
      </c>
      <c r="H471" t="inlineStr">
        <is>
          <t>NOKIA</t>
        </is>
      </c>
      <c r="I471" t="n">
        <v>1.616589333767083</v>
      </c>
      <c r="J471" t="n">
        <v>3.567015663488182e-05</v>
      </c>
      <c r="K471" t="n">
        <v>5.631386924122882</v>
      </c>
      <c r="L471" t="n">
        <v>1.505814613874997</v>
      </c>
      <c r="M471" t="n">
        <v>0.4160275081022999</v>
      </c>
      <c r="N471" t="n">
        <v>0</v>
      </c>
      <c r="O471" t="n">
        <v>3.618110138986461</v>
      </c>
      <c r="P471" t="n">
        <v>0.6025273406236351</v>
      </c>
      <c r="Q471" t="n">
        <v>1.528852419282597</v>
      </c>
      <c r="R471" t="inlineStr">
        <is>
          <t>Insecurity</t>
        </is>
      </c>
      <c r="S471" t="inlineStr"/>
      <c r="T471" t="inlineStr"/>
      <c r="U471" t="inlineStr"/>
      <c r="V471" t="inlineStr"/>
      <c r="W471" t="inlineStr"/>
      <c r="X471" t="inlineStr">
        <is>
          <t>{05/25/2026 cell nokia}: 25/05/2026 : Check breaker and  interconnection (sfp, optical fiber) between system and radio module, swap its if needed||Escalade faite au RM || En attente du feedback du RM      ;    {05-25-2026 ticket}: INC-20260525-00010045..Grid Outage</t>
        </is>
      </c>
      <c r="Y471" t="inlineStr">
        <is>
          <t>25/05/2026 Check breaker and interconnection (sfp, optical fiber) between system and radio module, swap its if needed || Escalade faite au RM || En attente du feedback du RM .Grid Outage</t>
        </is>
      </c>
      <c r="Z471" t="inlineStr"/>
      <c r="AA471" t="inlineStr"/>
      <c r="AB471" t="inlineStr"/>
      <c r="AC471" t="inlineStr"/>
      <c r="AD471" t="inlineStr"/>
      <c r="AE471" t="inlineStr"/>
      <c r="AF471" t="inlineStr"/>
      <c r="AG471" t="inlineStr"/>
      <c r="AH471" t="inlineStr">
        <is>
          <t xml:space="preserve">{05/25/2026 cell nokia}: 25/05/2026 : Check breaker and  interconnection (sfp, optical fiber) between system and radio module, swap its if needed||Escalade faite au RM || En attente du feedback du RM </t>
        </is>
      </c>
      <c r="AI471" t="inlineStr"/>
      <c r="AJ471" t="inlineStr"/>
      <c r="AK471" t="inlineStr"/>
      <c r="AL471" t="inlineStr"/>
      <c r="AM471" t="inlineStr"/>
      <c r="AN471" t="inlineStr"/>
      <c r="AO471" t="inlineStr"/>
      <c r="AP471" t="inlineStr"/>
      <c r="AQ471" t="inlineStr">
        <is>
          <t>{05-25-2026 ticket}: INC-20260525-00010045..Grid Outage</t>
        </is>
      </c>
      <c r="AR471" t="inlineStr"/>
    </row>
    <row r="472">
      <c r="A472" t="inlineStr">
        <is>
          <t>Ngona-II</t>
        </is>
      </c>
      <c r="B472" t="inlineStr">
        <is>
          <t>CTR_709</t>
        </is>
      </c>
      <c r="C472" t="inlineStr">
        <is>
          <t>Yaounde</t>
        </is>
      </c>
      <c r="D472" t="inlineStr">
        <is>
          <t>CAMUSAT</t>
        </is>
      </c>
      <c r="E472" t="inlineStr">
        <is>
          <t>Good Grid + GE</t>
        </is>
      </c>
      <c r="F472" t="inlineStr">
        <is>
          <t>CENTRE</t>
        </is>
      </c>
      <c r="G472" t="inlineStr">
        <is>
          <t>Yaounde</t>
        </is>
      </c>
      <c r="H472" t="inlineStr">
        <is>
          <t>ZTE</t>
        </is>
      </c>
      <c r="I472" t="n">
        <v>0</v>
      </c>
      <c r="J472" t="n">
        <v>2.113599461237954</v>
      </c>
      <c r="K472" t="n">
        <v>0</v>
      </c>
      <c r="L472" t="n">
        <v>0</v>
      </c>
      <c r="M472" t="n">
        <v>0</v>
      </c>
      <c r="N472" t="n">
        <v>0.4251445791318458</v>
      </c>
      <c r="O472" t="n">
        <v>0.4031216105483996</v>
      </c>
      <c r="P472" t="n">
        <v>2.51266369643682</v>
      </c>
      <c r="Q472" t="n">
        <v>1.506368549765577</v>
      </c>
      <c r="R472" t="inlineStr">
        <is>
          <t>Operationnel</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row>
    <row r="473">
      <c r="A473" t="inlineStr">
        <is>
          <t>Kousseri-Papar-IHS</t>
        </is>
      </c>
      <c r="B473" t="inlineStr">
        <is>
          <t>EXN_188</t>
        </is>
      </c>
      <c r="C473" t="inlineStr">
        <is>
          <t>EXTREME-NORD</t>
        </is>
      </c>
      <c r="D473" t="inlineStr">
        <is>
          <t>IHS</t>
        </is>
      </c>
      <c r="E473" t="inlineStr">
        <is>
          <t>GenOnly</t>
        </is>
      </c>
      <c r="F473" t="inlineStr">
        <is>
          <t>EXTREME-NORD</t>
        </is>
      </c>
      <c r="G473" t="inlineStr">
        <is>
          <t>Kousseri</t>
        </is>
      </c>
      <c r="H473" t="inlineStr">
        <is>
          <t>Huawei</t>
        </is>
      </c>
      <c r="I473" t="n">
        <v>24.27104467901139</v>
      </c>
      <c r="J473" t="n">
        <v>18.49114167330132</v>
      </c>
      <c r="K473" t="n">
        <v>18.49140919947608</v>
      </c>
      <c r="L473" t="n">
        <v>18.49114167330132</v>
      </c>
      <c r="M473" t="n">
        <v>0</v>
      </c>
      <c r="N473" t="n">
        <v>2.392999452457746</v>
      </c>
      <c r="O473" t="n">
        <v>3.065913039634696</v>
      </c>
      <c r="P473" t="n">
        <v>0.2585544589563264</v>
      </c>
      <c r="Q473" t="n">
        <v>1.505815662337736</v>
      </c>
      <c r="R473" t="inlineStr">
        <is>
          <t>Insecurity</t>
        </is>
      </c>
      <c r="S473" t="inlineStr"/>
      <c r="T473" t="inlineStr"/>
      <c r="U473" t="inlineStr"/>
      <c r="V473" t="inlineStr"/>
      <c r="W473" t="inlineStr"/>
      <c r="X473" t="inlineStr">
        <is>
          <t>{None hourly IHS}: 25/05/2026 10:29..1:31:00..44..Our FME YANICK is managing with level zero</t>
        </is>
      </c>
      <c r="Y473" t="inlineStr">
        <is>
          <t>25/05/2026 10 29.1 31 00.44.Our FME YANICK is managing with level zero</t>
        </is>
      </c>
      <c r="Z473" t="inlineStr"/>
      <c r="AA473" t="inlineStr"/>
      <c r="AB473" t="inlineStr"/>
      <c r="AC473" t="inlineStr"/>
      <c r="AD473" t="inlineStr"/>
      <c r="AE473" t="inlineStr">
        <is>
          <t>{None hourly IHS}: 25/05/2026 10:29..1:31:00..44..Our FME YANICK is managing with level zero</t>
        </is>
      </c>
      <c r="AF473" t="inlineStr"/>
      <c r="AG473" t="inlineStr"/>
      <c r="AH473" t="inlineStr"/>
      <c r="AI473" t="inlineStr"/>
      <c r="AJ473" t="inlineStr"/>
      <c r="AK473" t="inlineStr"/>
      <c r="AL473" t="inlineStr"/>
      <c r="AM473" t="inlineStr"/>
      <c r="AN473" t="inlineStr"/>
      <c r="AO473" t="inlineStr"/>
      <c r="AP473" t="inlineStr"/>
      <c r="AQ473" t="inlineStr"/>
      <c r="AR473" t="inlineStr"/>
    </row>
    <row r="474">
      <c r="A474" t="inlineStr">
        <is>
          <t>Mora-Technical-School-MTN-IHS</t>
        </is>
      </c>
      <c r="B474" t="inlineStr">
        <is>
          <t>EXN_134</t>
        </is>
      </c>
      <c r="C474" t="inlineStr">
        <is>
          <t>EXTREME-NORD</t>
        </is>
      </c>
      <c r="D474" t="inlineStr">
        <is>
          <t>IHS</t>
        </is>
      </c>
      <c r="E474" t="inlineStr">
        <is>
          <t>Grid-Gen</t>
        </is>
      </c>
      <c r="F474" t="inlineStr">
        <is>
          <t>EXTREME-NORD</t>
        </is>
      </c>
      <c r="G474" t="inlineStr">
        <is>
          <t>Mora</t>
        </is>
      </c>
      <c r="H474" t="inlineStr">
        <is>
          <t>Huawei</t>
        </is>
      </c>
      <c r="I474" t="n">
        <v>2.513907794071905</v>
      </c>
      <c r="J474" t="n">
        <v>0.8814452406023405</v>
      </c>
      <c r="K474" t="n">
        <v>10.49870802692669</v>
      </c>
      <c r="L474" t="n">
        <v>1.103884337376902</v>
      </c>
      <c r="M474" t="n">
        <v>0</v>
      </c>
      <c r="N474" t="n">
        <v>2.004574175988873</v>
      </c>
      <c r="O474" t="n">
        <v>3.403795675782272</v>
      </c>
      <c r="P474" t="n">
        <v>0.1325262603777467</v>
      </c>
      <c r="Q474" t="n">
        <v>1.498057403269669</v>
      </c>
      <c r="R474" t="inlineStr">
        <is>
          <t>Insecurity</t>
        </is>
      </c>
      <c r="S474" t="inlineStr"/>
      <c r="T474" t="inlineStr"/>
      <c r="U474" t="inlineStr"/>
      <c r="V474" t="inlineStr"/>
      <c r="W474" t="inlineStr"/>
      <c r="X474" t="inlineStr">
        <is>
          <t>{None hourly IHS}: 25/05/2026 06:36..0:24:00..53 V..Fme is informed and managing</t>
        </is>
      </c>
      <c r="Y474" t="inlineStr">
        <is>
          <t>25/05/2026 06 36.0 24 00.53 V.Fme is informed and managing</t>
        </is>
      </c>
      <c r="Z474" t="inlineStr"/>
      <c r="AA474" t="inlineStr"/>
      <c r="AB474" t="inlineStr"/>
      <c r="AC474" t="inlineStr"/>
      <c r="AD474" t="inlineStr"/>
      <c r="AE474" t="inlineStr">
        <is>
          <t>{None hourly IHS}: 25/05/2026 06:36..0:24:00..53 V..Fme is informed and managing</t>
        </is>
      </c>
      <c r="AF474" t="inlineStr"/>
      <c r="AG474" t="inlineStr"/>
      <c r="AH474" t="inlineStr"/>
      <c r="AI474" t="inlineStr"/>
      <c r="AJ474" t="inlineStr"/>
      <c r="AK474" t="inlineStr"/>
      <c r="AL474" t="inlineStr"/>
      <c r="AM474" t="inlineStr"/>
      <c r="AN474" t="inlineStr"/>
      <c r="AO474" t="inlineStr"/>
      <c r="AP474" t="inlineStr"/>
      <c r="AQ474" t="inlineStr"/>
      <c r="AR474" t="inlineStr"/>
    </row>
    <row r="475">
      <c r="A475" t="inlineStr">
        <is>
          <t>Ouro-Kessoun</t>
        </is>
      </c>
      <c r="B475" t="inlineStr">
        <is>
          <t>NRD_040</t>
        </is>
      </c>
      <c r="C475" t="inlineStr">
        <is>
          <t>Garoua</t>
        </is>
      </c>
      <c r="D475" t="inlineStr">
        <is>
          <t>IHS</t>
        </is>
      </c>
      <c r="E475" t="inlineStr">
        <is>
          <t>Grid-Gen</t>
        </is>
      </c>
      <c r="F475" t="inlineStr">
        <is>
          <t>NORD</t>
        </is>
      </c>
      <c r="G475" t="inlineStr">
        <is>
          <t>Garoua</t>
        </is>
      </c>
      <c r="H475" t="inlineStr">
        <is>
          <t>Huawei</t>
        </is>
      </c>
      <c r="I475" t="n">
        <v>0.1896225526705533</v>
      </c>
      <c r="J475" t="n">
        <v>3.194547887898686</v>
      </c>
      <c r="K475" t="n">
        <v>0.1693083984670394</v>
      </c>
      <c r="L475" t="n">
        <v>1.290938638769751</v>
      </c>
      <c r="M475" t="n">
        <v>3.254901792924753</v>
      </c>
      <c r="N475" t="n">
        <v>2.303699107546092</v>
      </c>
      <c r="O475" t="n">
        <v>2.943457147131525</v>
      </c>
      <c r="P475" t="n">
        <v>0.320628049301</v>
      </c>
      <c r="Q475" t="n">
        <v>1.484324392965274</v>
      </c>
      <c r="R475" t="inlineStr">
        <is>
          <t>Operationnel</t>
        </is>
      </c>
      <c r="S475" t="inlineStr"/>
      <c r="T475" t="inlineStr"/>
      <c r="U475" t="inlineStr"/>
      <c r="V475" t="inlineStr"/>
      <c r="W475" t="inlineStr"/>
      <c r="X475" t="inlineStr">
        <is>
          <t>{05-25-2026 retour IHS}: IHS</t>
        </is>
      </c>
      <c r="Y475" t="inlineStr">
        <is>
          <t>IHS</t>
        </is>
      </c>
      <c r="Z475" t="inlineStr"/>
      <c r="AA475" t="inlineStr"/>
      <c r="AB475" t="inlineStr"/>
      <c r="AC475" t="inlineStr"/>
      <c r="AD475" t="inlineStr">
        <is>
          <t>{05-25-2026 retour IHS}: IHS</t>
        </is>
      </c>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row>
    <row r="476">
      <c r="A476" t="inlineStr">
        <is>
          <t>Meiganga-Universite</t>
        </is>
      </c>
      <c r="B476" t="inlineStr">
        <is>
          <t>ADM_171</t>
        </is>
      </c>
      <c r="C476" t="inlineStr">
        <is>
          <t>ADAMAOUA</t>
        </is>
      </c>
      <c r="D476" t="inlineStr">
        <is>
          <t>CAMUSAT</t>
        </is>
      </c>
      <c r="E476" t="inlineStr">
        <is>
          <t>Hybrid Solar - S3</t>
        </is>
      </c>
      <c r="F476" t="inlineStr">
        <is>
          <t>ADAMAOUA</t>
        </is>
      </c>
      <c r="G476" t="inlineStr">
        <is>
          <t>Meiganga</t>
        </is>
      </c>
      <c r="H476" t="inlineStr">
        <is>
          <t>Huawei</t>
        </is>
      </c>
      <c r="I476" t="n">
        <v>0.01810260449215684</v>
      </c>
      <c r="J476" t="n">
        <v>0</v>
      </c>
      <c r="K476" t="n">
        <v>0.6075162727254568</v>
      </c>
      <c r="L476" t="n">
        <v>1.818714276338131</v>
      </c>
      <c r="M476" t="n">
        <v>0</v>
      </c>
      <c r="N476" t="n">
        <v>1.809737059817992</v>
      </c>
      <c r="O476" t="n">
        <v>1.155122980779366</v>
      </c>
      <c r="P476" t="n">
        <v>1.597839196089891</v>
      </c>
      <c r="Q476" t="n">
        <v>1.479473251662943</v>
      </c>
      <c r="R476" t="inlineStr">
        <is>
          <t>Operationnel</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row>
    <row r="477">
      <c r="A477" t="inlineStr">
        <is>
          <t>Bamenda-Bayelle-MTN</t>
        </is>
      </c>
      <c r="B477" t="inlineStr">
        <is>
          <t>NRO_112</t>
        </is>
      </c>
      <c r="C477" t="inlineStr">
        <is>
          <t>NORD-OUEST</t>
        </is>
      </c>
      <c r="D477" t="inlineStr">
        <is>
          <t>MTN sharing</t>
        </is>
      </c>
      <c r="E477" t="inlineStr"/>
      <c r="F477" t="inlineStr">
        <is>
          <t>NORD-OUEST</t>
        </is>
      </c>
      <c r="G477" t="inlineStr">
        <is>
          <t>Bamenda</t>
        </is>
      </c>
      <c r="H477" t="inlineStr">
        <is>
          <t>Huawei</t>
        </is>
      </c>
      <c r="I477" t="n">
        <v>0.001605157048565632</v>
      </c>
      <c r="J477" t="n">
        <v>0</v>
      </c>
      <c r="K477" t="n">
        <v>3.512993211255789</v>
      </c>
      <c r="L477" t="n">
        <v>0</v>
      </c>
      <c r="M477" t="n">
        <v>0</v>
      </c>
      <c r="N477" t="n">
        <v>2.363648989444824</v>
      </c>
      <c r="O477" t="n">
        <v>3.021818293093424</v>
      </c>
      <c r="P477" t="n">
        <v>0.2046889466737584</v>
      </c>
      <c r="Q477" t="n">
        <v>1.458731055579811</v>
      </c>
      <c r="R477" t="inlineStr">
        <is>
          <t>Operationnel</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row>
    <row r="478">
      <c r="A478" t="inlineStr">
        <is>
          <t>Home-IHS</t>
        </is>
      </c>
      <c r="B478" t="inlineStr">
        <is>
          <t>ADM_112</t>
        </is>
      </c>
      <c r="C478" t="inlineStr">
        <is>
          <t>NGAOUNDERE</t>
        </is>
      </c>
      <c r="D478" t="inlineStr">
        <is>
          <t>IHS</t>
        </is>
      </c>
      <c r="E478" t="inlineStr">
        <is>
          <t>Hybrid-Gen</t>
        </is>
      </c>
      <c r="F478" t="inlineStr">
        <is>
          <t>ADAMAOUA</t>
        </is>
      </c>
      <c r="G478" t="inlineStr">
        <is>
          <t>Home</t>
        </is>
      </c>
      <c r="H478" t="inlineStr">
        <is>
          <t>NOKIA</t>
        </is>
      </c>
      <c r="I478" t="n">
        <v>0.495137444247545</v>
      </c>
      <c r="J478" t="n">
        <v>0.6763240048739702</v>
      </c>
      <c r="K478" t="n">
        <v>18.48985754766246</v>
      </c>
      <c r="L478" t="n">
        <v>13.48900859793456</v>
      </c>
      <c r="M478" t="n">
        <v>4.399485779021952</v>
      </c>
      <c r="N478" t="n">
        <v>1.196249935054295</v>
      </c>
      <c r="O478" t="n">
        <v>3.83002718361435</v>
      </c>
      <c r="P478" t="n">
        <v>0</v>
      </c>
      <c r="Q478" t="n">
        <v>1.456608681260041</v>
      </c>
      <c r="R478" t="inlineStr">
        <is>
          <t>Operationnel</t>
        </is>
      </c>
      <c r="S478" t="inlineStr"/>
      <c r="T478" t="inlineStr"/>
      <c r="U478" t="inlineStr"/>
      <c r="V478" t="inlineStr"/>
      <c r="W478" t="inlineStr"/>
      <c r="X478" t="inlineStr">
        <is>
          <t>{05-25-2026 ticket}: INC-20260525-00006883..Others</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is>
          <t>{05-25-2026 ticket}: INC-20260525-00006883..Others</t>
        </is>
      </c>
      <c r="AR478" t="inlineStr"/>
    </row>
    <row r="479">
      <c r="A479" t="inlineStr">
        <is>
          <t>Bankwop-IHS</t>
        </is>
      </c>
      <c r="B479" t="inlineStr">
        <is>
          <t>OST_161</t>
        </is>
      </c>
      <c r="C479" t="inlineStr">
        <is>
          <t>OUEST</t>
        </is>
      </c>
      <c r="D479" t="inlineStr">
        <is>
          <t>IHS</t>
        </is>
      </c>
      <c r="E479" t="inlineStr">
        <is>
          <t>Grid-Gen</t>
        </is>
      </c>
      <c r="F479" t="inlineStr">
        <is>
          <t>OUEST</t>
        </is>
      </c>
      <c r="G479" t="inlineStr">
        <is>
          <t>Bankwop</t>
        </is>
      </c>
      <c r="H479" t="inlineStr">
        <is>
          <t>NOKIA</t>
        </is>
      </c>
      <c r="I479" t="n">
        <v>0</v>
      </c>
      <c r="J479" t="n">
        <v>0</v>
      </c>
      <c r="K479" t="n">
        <v>0</v>
      </c>
      <c r="L479" t="n">
        <v>0.007847434459654457</v>
      </c>
      <c r="M479" t="n">
        <v>0</v>
      </c>
      <c r="N479" t="n">
        <v>2.579968146629418</v>
      </c>
      <c r="O479" t="n">
        <v>3.156971347552455</v>
      </c>
      <c r="P479" t="n">
        <v>0</v>
      </c>
      <c r="Q479" t="n">
        <v>1.428250906735382</v>
      </c>
      <c r="R479" t="inlineStr">
        <is>
          <t>Operationnel</t>
        </is>
      </c>
      <c r="S479" t="inlineStr"/>
      <c r="T479" t="inlineStr"/>
      <c r="U479" t="inlineStr"/>
      <c r="V479" t="inlineStr"/>
      <c r="W479" t="inlineStr"/>
      <c r="X479" t="inlineStr">
        <is>
          <t>{None hourly IHS}: 25/05/2026 05:03..1:20:13..Herbert is going to site ETA ASAP.     ;    {05-25-2026 ticket}: INC-20260525-00003545..Low fuel // Fuel refuelling..Low fuel // Fuel refuelling..Others Transmission equipement fault</t>
        </is>
      </c>
      <c r="Y479" t="inlineStr">
        <is>
          <t>25/05/2026 05 03.1 20 13.Herbert is going to site ETA ASAP. .Low fuel // Fuel refuelling.Low fuel // Fuel refuelling.</t>
        </is>
      </c>
      <c r="Z479" t="inlineStr"/>
      <c r="AA479" t="inlineStr"/>
      <c r="AB479" t="inlineStr"/>
      <c r="AC479" t="inlineStr"/>
      <c r="AD479" t="inlineStr"/>
      <c r="AE479" t="inlineStr">
        <is>
          <t>{None hourly IHS}: 25/05/2026 05:03..1:20:13..Herbert is going to site ETA ASAP.</t>
        </is>
      </c>
      <c r="AF479" t="inlineStr"/>
      <c r="AG479" t="inlineStr"/>
      <c r="AH479" t="inlineStr"/>
      <c r="AI479" t="inlineStr"/>
      <c r="AJ479" t="inlineStr"/>
      <c r="AK479" t="inlineStr"/>
      <c r="AL479" t="inlineStr"/>
      <c r="AM479" t="inlineStr"/>
      <c r="AN479" t="inlineStr"/>
      <c r="AO479" t="inlineStr"/>
      <c r="AP479" t="inlineStr"/>
      <c r="AQ479" t="inlineStr">
        <is>
          <t>{05-25-2026 ticket}: INC-20260525-00003545..Low fuel // Fuel refuelling..Low fuel // Fuel refuelling..Others Transmission equipement fault</t>
        </is>
      </c>
      <c r="AR479" t="inlineStr"/>
    </row>
    <row r="480">
      <c r="A480" t="inlineStr">
        <is>
          <t>Etam-Bafia</t>
        </is>
      </c>
      <c r="B480" t="inlineStr">
        <is>
          <t>CTR_721</t>
        </is>
      </c>
      <c r="C480" t="inlineStr">
        <is>
          <t>Yaounde</t>
        </is>
      </c>
      <c r="D480" t="inlineStr">
        <is>
          <t>CAMUSAT</t>
        </is>
      </c>
      <c r="E480" t="inlineStr">
        <is>
          <t>Good Grid no GE - 8h</t>
        </is>
      </c>
      <c r="F480" t="inlineStr">
        <is>
          <t>CENTRE</t>
        </is>
      </c>
      <c r="G480" t="inlineStr">
        <is>
          <t>Yaounde</t>
        </is>
      </c>
      <c r="H480" t="inlineStr">
        <is>
          <t>ZTE</t>
        </is>
      </c>
      <c r="I480" t="n">
        <v>0</v>
      </c>
      <c r="J480" t="n">
        <v>0</v>
      </c>
      <c r="K480" t="n">
        <v>0</v>
      </c>
      <c r="L480" t="n">
        <v>0</v>
      </c>
      <c r="M480" t="n">
        <v>0.001676497361835078</v>
      </c>
      <c r="N480" t="n">
        <v>0.8070752850616885</v>
      </c>
      <c r="O480" t="n">
        <v>0.6854873670144952</v>
      </c>
      <c r="P480" t="n">
        <v>2.051267108370707</v>
      </c>
      <c r="Q480" t="n">
        <v>1.415088618937143</v>
      </c>
      <c r="R480" t="inlineStr">
        <is>
          <t>Operationnel</t>
        </is>
      </c>
      <c r="S480" t="inlineStr"/>
      <c r="T480" t="inlineStr"/>
      <c r="U480" t="inlineStr"/>
      <c r="V480" t="inlineStr"/>
      <c r="W480" t="inlineStr"/>
      <c r="X480" t="inlineStr">
        <is>
          <t>{05-25-2026 ticket}: INC-20260525-00022127..Grid Outage</t>
        </is>
      </c>
      <c r="Y480" t="inlineStr">
        <is>
          <t>.Grid Outage</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is>
          <t>{05-25-2026 ticket}: INC-20260525-00022127..Grid Outage</t>
        </is>
      </c>
      <c r="AR480" t="inlineStr"/>
    </row>
    <row r="481">
      <c r="A481" t="inlineStr">
        <is>
          <t>Nkolmesseng-II</t>
        </is>
      </c>
      <c r="B481" t="inlineStr">
        <is>
          <t>CTR_273</t>
        </is>
      </c>
      <c r="C481" t="inlineStr">
        <is>
          <t>Yaounde</t>
        </is>
      </c>
      <c r="D481" t="inlineStr">
        <is>
          <t>IHS</t>
        </is>
      </c>
      <c r="E481" t="inlineStr">
        <is>
          <t>Grid-Gen</t>
        </is>
      </c>
      <c r="F481" t="inlineStr">
        <is>
          <t>CENTRE</t>
        </is>
      </c>
      <c r="G481" t="inlineStr">
        <is>
          <t>Yaounde</t>
        </is>
      </c>
      <c r="H481" t="inlineStr">
        <is>
          <t>ZTE</t>
        </is>
      </c>
      <c r="I481" t="n">
        <v>8.471983232172768</v>
      </c>
      <c r="J481" t="n">
        <v>0</v>
      </c>
      <c r="K481" t="n">
        <v>0</v>
      </c>
      <c r="L481" t="n">
        <v>0</v>
      </c>
      <c r="M481" t="n">
        <v>0</v>
      </c>
      <c r="N481" t="n">
        <v>0.6859265653913329</v>
      </c>
      <c r="O481" t="n">
        <v>0.7431824209227118</v>
      </c>
      <c r="P481" t="n">
        <v>2.024522454018346</v>
      </c>
      <c r="Q481" t="n">
        <v>1.403210456777757</v>
      </c>
      <c r="R481" t="inlineStr">
        <is>
          <t>Operationnel</t>
        </is>
      </c>
      <c r="S481" t="inlineStr"/>
      <c r="T481" t="inlineStr"/>
      <c r="U481" t="inlineStr"/>
      <c r="V481" t="inlineStr"/>
      <c r="W481" t="inlineStr"/>
      <c r="X481" t="inlineStr">
        <is>
          <t>{05-25-2026 ticket}: INC-20260525-00019091..ENEO outage in site..Grid Outage</t>
        </is>
      </c>
      <c r="Y481" t="inlineStr">
        <is>
          <t>.ENEO outage in site.Grid Outage</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is>
          <t>{05-25-2026 ticket}: INC-20260525-00019091..ENEO outage in site..Grid Outage</t>
        </is>
      </c>
      <c r="AR481" t="inlineStr"/>
    </row>
    <row r="482">
      <c r="A482" t="inlineStr">
        <is>
          <t>Edea-Centre</t>
        </is>
      </c>
      <c r="B482" t="inlineStr">
        <is>
          <t>LIT_185</t>
        </is>
      </c>
      <c r="C482" t="inlineStr">
        <is>
          <t>LITTORAL</t>
        </is>
      </c>
      <c r="D482" t="inlineStr">
        <is>
          <t>CAMUSAT</t>
        </is>
      </c>
      <c r="E482" t="inlineStr">
        <is>
          <t>Good Grid + GE</t>
        </is>
      </c>
      <c r="F482" t="inlineStr">
        <is>
          <t>LITTORAL</t>
        </is>
      </c>
      <c r="G482" t="inlineStr">
        <is>
          <t>Edea</t>
        </is>
      </c>
      <c r="H482" t="inlineStr">
        <is>
          <t>ZTE</t>
        </is>
      </c>
      <c r="I482" t="n">
        <v>0.5416513284993127</v>
      </c>
      <c r="J482" t="n">
        <v>0</v>
      </c>
      <c r="K482" t="n">
        <v>0</v>
      </c>
      <c r="L482" t="n">
        <v>1.749353656761776</v>
      </c>
      <c r="M482" t="n">
        <v>1.533424363573065</v>
      </c>
      <c r="N482" t="n">
        <v>0.3264770651735149</v>
      </c>
      <c r="O482" t="n">
        <v>1.025548177388809</v>
      </c>
      <c r="P482" t="n">
        <v>1.939158442172449</v>
      </c>
      <c r="Q482" t="n">
        <v>1.402158187157032</v>
      </c>
      <c r="R482" t="inlineStr">
        <is>
          <t>Operationnel</t>
        </is>
      </c>
      <c r="S482" t="inlineStr"/>
      <c r="T482" t="inlineStr"/>
      <c r="U482" t="inlineStr"/>
      <c r="V482" t="inlineStr"/>
      <c r="W482" t="inlineStr"/>
      <c r="X482" t="inlineStr">
        <is>
          <t xml:space="preserve">{05-25-2026 retour CAMUSAT}: No power issue </t>
        </is>
      </c>
      <c r="Y482" t="inlineStr">
        <is>
          <t>No power issue</t>
        </is>
      </c>
      <c r="Z482" t="inlineStr"/>
      <c r="AA482" t="inlineStr"/>
      <c r="AB482" t="inlineStr"/>
      <c r="AC482" t="inlineStr">
        <is>
          <t xml:space="preserve">{05-25-2026 retour CAMUSAT}: No power issue </t>
        </is>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row>
    <row r="483">
      <c r="A483" t="inlineStr">
        <is>
          <t>Deone-IHS</t>
        </is>
      </c>
      <c r="B483" t="inlineStr">
        <is>
          <t>ADM_111</t>
        </is>
      </c>
      <c r="C483" t="inlineStr">
        <is>
          <t>ADAMAOUA</t>
        </is>
      </c>
      <c r="D483" t="inlineStr">
        <is>
          <t>IHS</t>
        </is>
      </c>
      <c r="E483" t="inlineStr">
        <is>
          <t>Hybrid-Gen</t>
        </is>
      </c>
      <c r="F483" t="inlineStr">
        <is>
          <t>ADAMAOUA</t>
        </is>
      </c>
      <c r="G483" t="inlineStr">
        <is>
          <t>Deone</t>
        </is>
      </c>
      <c r="H483" t="inlineStr">
        <is>
          <t>NOKIA</t>
        </is>
      </c>
      <c r="I483" t="n">
        <v>0.06466466304657437</v>
      </c>
      <c r="J483" t="n">
        <v>0.005886938562000292</v>
      </c>
      <c r="K483" t="n">
        <v>3.246322534420069</v>
      </c>
      <c r="L483" t="n">
        <v>0</v>
      </c>
      <c r="M483" t="n">
        <v>0.07494779929309928</v>
      </c>
      <c r="N483" t="n">
        <v>3.062190009152348</v>
      </c>
      <c r="O483" t="n">
        <v>2.726321149647158</v>
      </c>
      <c r="P483" t="n">
        <v>0.08833357197883031</v>
      </c>
      <c r="Q483" t="n">
        <v>1.398602852668701</v>
      </c>
      <c r="R483" t="inlineStr">
        <is>
          <t>Operationnel</t>
        </is>
      </c>
      <c r="S483" t="inlineStr"/>
      <c r="T483" t="inlineStr"/>
      <c r="U483" t="inlineStr"/>
      <c r="V483" t="inlineStr"/>
      <c r="W483" t="inlineStr"/>
      <c r="X483" t="inlineStr">
        <is>
          <t>{None hourly IHS}: 25/05/2026 03:44..6:16:00..23..FME is informed and managing     ;    {05-25-2026 ticket}: INC-20260525-00007524..Others Transmission equipement fault</t>
        </is>
      </c>
      <c r="Y483" t="inlineStr">
        <is>
          <t>25/05/2026 03 44.6 16 00.23.FME is informed and managing .</t>
        </is>
      </c>
      <c r="Z483" t="inlineStr"/>
      <c r="AA483" t="inlineStr"/>
      <c r="AB483" t="inlineStr"/>
      <c r="AC483" t="inlineStr"/>
      <c r="AD483" t="inlineStr"/>
      <c r="AE483" t="inlineStr">
        <is>
          <t>{None hourly IHS}: 25/05/2026 03:44..6:16:00..23..FME is informed and managing</t>
        </is>
      </c>
      <c r="AF483" t="inlineStr"/>
      <c r="AG483" t="inlineStr"/>
      <c r="AH483" t="inlineStr"/>
      <c r="AI483" t="inlineStr"/>
      <c r="AJ483" t="inlineStr"/>
      <c r="AK483" t="inlineStr"/>
      <c r="AL483" t="inlineStr"/>
      <c r="AM483" t="inlineStr"/>
      <c r="AN483" t="inlineStr"/>
      <c r="AO483" t="inlineStr"/>
      <c r="AP483" t="inlineStr"/>
      <c r="AQ483" t="inlineStr">
        <is>
          <t>{05-25-2026 ticket}: INC-20260525-00007524..Others Transmission equipement fault</t>
        </is>
      </c>
      <c r="AR483" t="inlineStr"/>
    </row>
    <row r="484">
      <c r="A484" t="inlineStr">
        <is>
          <t>Stade-Abega</t>
        </is>
      </c>
      <c r="B484" t="inlineStr">
        <is>
          <t>CTR_274</t>
        </is>
      </c>
      <c r="C484" t="inlineStr">
        <is>
          <t>Yaounde</t>
        </is>
      </c>
      <c r="D484" t="inlineStr">
        <is>
          <t>IHS</t>
        </is>
      </c>
      <c r="E484" t="inlineStr">
        <is>
          <t>Grid-Gen</t>
        </is>
      </c>
      <c r="F484" t="inlineStr">
        <is>
          <t>CENTRE</t>
        </is>
      </c>
      <c r="G484" t="inlineStr">
        <is>
          <t>Yaounde</t>
        </is>
      </c>
      <c r="H484" t="inlineStr">
        <is>
          <t>ZTE</t>
        </is>
      </c>
      <c r="I484" t="n">
        <v>0</v>
      </c>
      <c r="J484" t="n">
        <v>0</v>
      </c>
      <c r="K484" t="n">
        <v>0</v>
      </c>
      <c r="L484" t="n">
        <v>0</v>
      </c>
      <c r="M484" t="n">
        <v>0.00221154971135721</v>
      </c>
      <c r="N484" t="n">
        <v>1.247582021430084</v>
      </c>
      <c r="O484" t="n">
        <v>0.2849689402980494</v>
      </c>
      <c r="P484" t="n">
        <v>2.142479375835855</v>
      </c>
      <c r="Q484" t="n">
        <v>1.391100438600245</v>
      </c>
      <c r="R484" t="inlineStr">
        <is>
          <t>Operationnel</t>
        </is>
      </c>
      <c r="S484" t="inlineStr"/>
      <c r="T484" t="inlineStr"/>
      <c r="U484" t="inlineStr"/>
      <c r="V484" t="inlineStr"/>
      <c r="W484" t="inlineStr"/>
      <c r="X484" t="inlineStr">
        <is>
          <t>{05-25-2026 ticket}: INC-20260525-00018853..Grid Outage</t>
        </is>
      </c>
      <c r="Y484" t="inlineStr">
        <is>
          <t>.Grid Outage</t>
        </is>
      </c>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is>
          <t>{05-25-2026 ticket}: INC-20260525-00018853..Grid Outage</t>
        </is>
      </c>
      <c r="AR484" t="inlineStr"/>
    </row>
    <row r="485">
      <c r="A485" t="inlineStr">
        <is>
          <t>Number49-MTN</t>
        </is>
      </c>
      <c r="B485" t="inlineStr">
        <is>
          <t>NRO_261</t>
        </is>
      </c>
      <c r="C485" t="inlineStr">
        <is>
          <t>NORD-OUEST</t>
        </is>
      </c>
      <c r="D485" t="inlineStr">
        <is>
          <t>IHS</t>
        </is>
      </c>
      <c r="E485" t="inlineStr">
        <is>
          <t>Grid-Gen</t>
        </is>
      </c>
      <c r="F485" t="inlineStr">
        <is>
          <t>NORD-OUEST</t>
        </is>
      </c>
      <c r="G485" t="inlineStr">
        <is>
          <t>Number49</t>
        </is>
      </c>
      <c r="H485" t="inlineStr">
        <is>
          <t>NOKIA</t>
        </is>
      </c>
      <c r="I485" t="n">
        <v>0</v>
      </c>
      <c r="J485" t="n">
        <v>0</v>
      </c>
      <c r="K485" t="n">
        <v>0.9919157157002907</v>
      </c>
      <c r="L485" t="n">
        <v>1.475888400921146</v>
      </c>
      <c r="M485" t="n">
        <v>0</v>
      </c>
      <c r="N485" t="n">
        <v>4.80910458856396</v>
      </c>
      <c r="O485" t="n">
        <v>2.08945347164846</v>
      </c>
      <c r="P485" t="n">
        <v>0</v>
      </c>
      <c r="Q485" t="n">
        <v>1.388193320834511</v>
      </c>
      <c r="R485" t="inlineStr">
        <is>
          <t>Insecurity</t>
        </is>
      </c>
      <c r="S485" t="inlineStr"/>
      <c r="T485" t="inlineStr"/>
      <c r="U485" t="inlineStr"/>
      <c r="V485" t="inlineStr"/>
      <c r="W485" t="inlineStr"/>
      <c r="X485" t="inlineStr">
        <is>
          <t>{05-25-2026 ticket}: INC-20260525-00008743..Others</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is>
          <t>{05-25-2026 ticket}: INC-20260525-00008743..Others</t>
        </is>
      </c>
      <c r="AR485" t="inlineStr"/>
    </row>
    <row r="486">
      <c r="A486" t="inlineStr">
        <is>
          <t>Old-Airport-IHS</t>
        </is>
      </c>
      <c r="B486" t="inlineStr">
        <is>
          <t>LIT_122</t>
        </is>
      </c>
      <c r="C486" t="inlineStr">
        <is>
          <t>Douala</t>
        </is>
      </c>
      <c r="D486" t="inlineStr">
        <is>
          <t>IHS</t>
        </is>
      </c>
      <c r="E486" t="inlineStr">
        <is>
          <t>Grid-Lithium</t>
        </is>
      </c>
      <c r="F486" t="inlineStr">
        <is>
          <t>LITTORAL</t>
        </is>
      </c>
      <c r="G486" t="inlineStr">
        <is>
          <t>Douala</t>
        </is>
      </c>
      <c r="H486" t="inlineStr">
        <is>
          <t>ZTE</t>
        </is>
      </c>
      <c r="I486" t="n">
        <v>0</v>
      </c>
      <c r="J486" t="n">
        <v>0</v>
      </c>
      <c r="K486" t="n">
        <v>0</v>
      </c>
      <c r="L486" t="n">
        <v>0</v>
      </c>
      <c r="M486" t="n">
        <v>0</v>
      </c>
      <c r="N486" t="n">
        <v>0.4377590334480375</v>
      </c>
      <c r="O486" t="n">
        <v>0.408965492620134</v>
      </c>
      <c r="P486" t="n">
        <v>2.270867396857292</v>
      </c>
      <c r="Q486" t="n">
        <v>1.384037747586558</v>
      </c>
      <c r="R486" t="inlineStr">
        <is>
          <t>Operationnel</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row>
    <row r="487">
      <c r="A487" t="inlineStr">
        <is>
          <t>Douala-Bali-III-MTN</t>
        </is>
      </c>
      <c r="B487" t="inlineStr">
        <is>
          <t>LIT_746</t>
        </is>
      </c>
      <c r="C487" t="inlineStr">
        <is>
          <t>Douala</t>
        </is>
      </c>
      <c r="D487" t="inlineStr">
        <is>
          <t>MTN</t>
        </is>
      </c>
      <c r="E487" t="inlineStr">
        <is>
          <t>MTN</t>
        </is>
      </c>
      <c r="F487" t="inlineStr">
        <is>
          <t>LITTORAL</t>
        </is>
      </c>
      <c r="G487" t="inlineStr">
        <is>
          <t>Douala</t>
        </is>
      </c>
      <c r="H487" t="inlineStr">
        <is>
          <t>ZTE</t>
        </is>
      </c>
      <c r="I487" t="n">
        <v>0</v>
      </c>
      <c r="J487" t="n">
        <v>0</v>
      </c>
      <c r="K487" t="n">
        <v>0</v>
      </c>
      <c r="L487" t="n">
        <v>0.776985186897354</v>
      </c>
      <c r="M487" t="n">
        <v>0</v>
      </c>
      <c r="N487" t="n">
        <v>0.4258939526555799</v>
      </c>
      <c r="O487" t="n">
        <v>0.4411068440146751</v>
      </c>
      <c r="P487" t="n">
        <v>2.21618107676851</v>
      </c>
      <c r="Q487" t="n">
        <v>1.364615347298912</v>
      </c>
      <c r="R487" t="inlineStr">
        <is>
          <t>Operationnel</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row>
    <row r="488">
      <c r="A488" t="inlineStr">
        <is>
          <t>CTR_702_Z_Hilton-Indoor-8F</t>
        </is>
      </c>
      <c r="B488" t="inlineStr">
        <is>
          <t>CTR_702_indoor_8F</t>
        </is>
      </c>
      <c r="C488" t="inlineStr">
        <is>
          <t>Yaounde</t>
        </is>
      </c>
      <c r="D488" t="inlineStr"/>
      <c r="E488" t="inlineStr"/>
      <c r="F488" t="inlineStr">
        <is>
          <t>CTR</t>
        </is>
      </c>
      <c r="G488" t="inlineStr">
        <is>
          <t>Yaounde</t>
        </is>
      </c>
      <c r="H488" t="inlineStr">
        <is>
          <t>ZTE</t>
        </is>
      </c>
      <c r="I488" t="n">
        <v>0</v>
      </c>
      <c r="J488" t="n">
        <v>0</v>
      </c>
      <c r="K488" t="n">
        <v>0</v>
      </c>
      <c r="L488" t="n">
        <v>0</v>
      </c>
      <c r="M488" t="n">
        <v>0</v>
      </c>
      <c r="N488" t="n">
        <v>0</v>
      </c>
      <c r="O488" t="n">
        <v>0</v>
      </c>
      <c r="P488" t="n">
        <v>2.585544589563264</v>
      </c>
      <c r="Q488" t="n">
        <v>1.348331920795131</v>
      </c>
      <c r="R488" t="inlineStr">
        <is>
          <t>Operationnel</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row>
    <row r="489">
      <c r="A489" t="inlineStr">
        <is>
          <t>Hopital-General-Garoua</t>
        </is>
      </c>
      <c r="B489" t="inlineStr">
        <is>
          <t>NRD_189</t>
        </is>
      </c>
      <c r="C489" t="inlineStr">
        <is>
          <t>Garoua</t>
        </is>
      </c>
      <c r="D489" t="inlineStr">
        <is>
          <t>ESCO</t>
        </is>
      </c>
      <c r="E489" t="inlineStr">
        <is>
          <t>Medium Grid + Solar + GE</t>
        </is>
      </c>
      <c r="F489" t="inlineStr">
        <is>
          <t>NORD</t>
        </is>
      </c>
      <c r="G489" t="inlineStr">
        <is>
          <t>Garoua</t>
        </is>
      </c>
      <c r="H489" t="inlineStr">
        <is>
          <t>Huawei</t>
        </is>
      </c>
      <c r="I489" t="n">
        <v>0.01933322489605716</v>
      </c>
      <c r="J489" t="n">
        <v>0.5038409624664343</v>
      </c>
      <c r="K489" t="n">
        <v>0</v>
      </c>
      <c r="L489" t="n">
        <v>0.5157726298607723</v>
      </c>
      <c r="M489" t="n">
        <v>0.505446119515</v>
      </c>
      <c r="N489" t="n">
        <v>1.699204465067204</v>
      </c>
      <c r="O489" t="n">
        <v>2.197937173380118</v>
      </c>
      <c r="P489" t="n">
        <v>0.6486091685326365</v>
      </c>
      <c r="Q489" t="n">
        <v>1.318761360944888</v>
      </c>
      <c r="R489" t="inlineStr">
        <is>
          <t>Operationnel</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row>
    <row r="490">
      <c r="A490" t="inlineStr">
        <is>
          <t>Guider-Ville</t>
        </is>
      </c>
      <c r="B490" t="inlineStr">
        <is>
          <t>NRD_076</t>
        </is>
      </c>
      <c r="C490" t="inlineStr">
        <is>
          <t>NORD</t>
        </is>
      </c>
      <c r="D490" t="inlineStr">
        <is>
          <t>IHS</t>
        </is>
      </c>
      <c r="E490" t="inlineStr">
        <is>
          <t>Grid-Gen</t>
        </is>
      </c>
      <c r="F490" t="inlineStr">
        <is>
          <t>NORD</t>
        </is>
      </c>
      <c r="G490" t="inlineStr">
        <is>
          <t>Guider</t>
        </is>
      </c>
      <c r="H490" t="inlineStr">
        <is>
          <t>Huawei</t>
        </is>
      </c>
      <c r="I490" t="n">
        <v>23.66927130150414</v>
      </c>
      <c r="J490" t="n">
        <v>0.7014179600665461</v>
      </c>
      <c r="K490" t="n">
        <v>2.297514788846941</v>
      </c>
      <c r="L490" t="n">
        <v>8.426378936915189</v>
      </c>
      <c r="M490" t="n">
        <v>8.719748140158034</v>
      </c>
      <c r="N490" t="n">
        <v>1.120313417982567</v>
      </c>
      <c r="O490" t="n">
        <v>1.913074485483372</v>
      </c>
      <c r="P490" t="n">
        <v>0.9158847104299502</v>
      </c>
      <c r="Q490" t="n">
        <v>1.27984522005633</v>
      </c>
      <c r="R490" t="inlineStr">
        <is>
          <t>Operationnel</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row>
    <row r="491">
      <c r="A491" t="inlineStr">
        <is>
          <t>Brazz-Tergal</t>
        </is>
      </c>
      <c r="B491" t="inlineStr">
        <is>
          <t>LIT_340</t>
        </is>
      </c>
      <c r="C491" t="inlineStr">
        <is>
          <t>Douala</t>
        </is>
      </c>
      <c r="D491" t="inlineStr">
        <is>
          <t>IHS</t>
        </is>
      </c>
      <c r="E491" t="inlineStr">
        <is>
          <t>Grid-Gen</t>
        </is>
      </c>
      <c r="F491" t="inlineStr">
        <is>
          <t>LITTORAL</t>
        </is>
      </c>
      <c r="G491" t="inlineStr">
        <is>
          <t>Douala</t>
        </is>
      </c>
      <c r="H491" t="inlineStr">
        <is>
          <t>ZTE</t>
        </is>
      </c>
      <c r="I491" t="n">
        <v>0</v>
      </c>
      <c r="J491" t="n">
        <v>0</v>
      </c>
      <c r="K491" t="n">
        <v>0</v>
      </c>
      <c r="L491" t="n">
        <v>0</v>
      </c>
      <c r="M491" t="n">
        <v>0.7726334277879058</v>
      </c>
      <c r="N491" t="n">
        <v>0.1738546575063247</v>
      </c>
      <c r="O491" t="n">
        <v>0.2113360261941919</v>
      </c>
      <c r="P491" t="n">
        <v>2.269123180269097</v>
      </c>
      <c r="Q491" t="n">
        <v>1.279096146767001</v>
      </c>
      <c r="R491" t="inlineStr">
        <is>
          <t>Operationnel</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row>
    <row r="492">
      <c r="A492" t="inlineStr">
        <is>
          <t>NRD_259_H_GUIDER-KOLLAS</t>
        </is>
      </c>
      <c r="B492" t="inlineStr">
        <is>
          <t>NRD_259</t>
        </is>
      </c>
      <c r="C492" t="inlineStr">
        <is>
          <t>NORD</t>
        </is>
      </c>
      <c r="D492" t="inlineStr">
        <is>
          <t>ESCO</t>
        </is>
      </c>
      <c r="E492" t="inlineStr">
        <is>
          <t>Hybrid Solar - S3</t>
        </is>
      </c>
      <c r="F492" t="inlineStr">
        <is>
          <t>NRD</t>
        </is>
      </c>
      <c r="G492" t="inlineStr">
        <is>
          <t>Guider</t>
        </is>
      </c>
      <c r="H492" t="inlineStr">
        <is>
          <t>Huawei</t>
        </is>
      </c>
      <c r="I492" t="n">
        <v>3.767892150568011</v>
      </c>
      <c r="J492" t="n">
        <v>0</v>
      </c>
      <c r="K492" t="n">
        <v>2.823631764131803</v>
      </c>
      <c r="L492" t="n">
        <v>0</v>
      </c>
      <c r="M492" t="n">
        <v>4.179561428290143</v>
      </c>
      <c r="N492" t="n">
        <v>1.11469311655456</v>
      </c>
      <c r="O492" t="n">
        <v>1.955309815001819</v>
      </c>
      <c r="P492" t="n">
        <v>0.8748443201194224</v>
      </c>
      <c r="Q492" t="n">
        <v>1.271819434813502</v>
      </c>
      <c r="R492" t="inlineStr">
        <is>
          <t>Operationnel</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row>
    <row r="493">
      <c r="A493" t="inlineStr">
        <is>
          <t>Olembe-MTN</t>
        </is>
      </c>
      <c r="B493" t="inlineStr">
        <is>
          <t>CTR_778</t>
        </is>
      </c>
      <c r="C493" t="inlineStr">
        <is>
          <t>Yaounde</t>
        </is>
      </c>
      <c r="D493" t="inlineStr">
        <is>
          <t>MTN sharing</t>
        </is>
      </c>
      <c r="E493" t="inlineStr">
        <is>
          <t>MTN</t>
        </is>
      </c>
      <c r="F493" t="inlineStr">
        <is>
          <t>CENTRE</t>
        </is>
      </c>
      <c r="G493" t="inlineStr">
        <is>
          <t>Yaounde</t>
        </is>
      </c>
      <c r="H493" t="inlineStr">
        <is>
          <t>ZTE</t>
        </is>
      </c>
      <c r="I493" t="n">
        <v>0</v>
      </c>
      <c r="J493" t="n">
        <v>0.1048167552713361</v>
      </c>
      <c r="K493" t="n">
        <v>7.351619282430592</v>
      </c>
      <c r="L493" t="n">
        <v>1.115869510006192</v>
      </c>
      <c r="M493" t="n">
        <v>1.16766257743991</v>
      </c>
      <c r="N493" t="n">
        <v>0.696043107961744</v>
      </c>
      <c r="O493" t="n">
        <v>0.6990345481807886</v>
      </c>
      <c r="P493" t="n">
        <v>1.782110548584161</v>
      </c>
      <c r="Q493" t="n">
        <v>1.263419112926009</v>
      </c>
      <c r="R493" t="inlineStr">
        <is>
          <t>Operationnel</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row>
    <row r="494">
      <c r="A494" t="inlineStr">
        <is>
          <t>NRD_256_H_GUIDER-OURO-ALHADJI</t>
        </is>
      </c>
      <c r="B494" t="inlineStr">
        <is>
          <t>NRD_256</t>
        </is>
      </c>
      <c r="C494" t="inlineStr">
        <is>
          <t>NORD</t>
        </is>
      </c>
      <c r="D494" t="inlineStr">
        <is>
          <t>ESCO</t>
        </is>
      </c>
      <c r="E494" t="inlineStr">
        <is>
          <t>Hybrid Solar - S3</t>
        </is>
      </c>
      <c r="F494" t="inlineStr">
        <is>
          <t>NRD</t>
        </is>
      </c>
      <c r="G494" t="inlineStr">
        <is>
          <t>Guider</t>
        </is>
      </c>
      <c r="H494" t="inlineStr">
        <is>
          <t>Huawei</t>
        </is>
      </c>
      <c r="I494" t="n">
        <v>3.728137760998536</v>
      </c>
      <c r="J494" t="n">
        <v>0</v>
      </c>
      <c r="K494" t="n">
        <v>1.517586814027218</v>
      </c>
      <c r="L494" t="n">
        <v>0</v>
      </c>
      <c r="M494" t="n">
        <v>4.229392637108948</v>
      </c>
      <c r="N494" t="n">
        <v>1.109072815126554</v>
      </c>
      <c r="O494" t="n">
        <v>1.91477452390424</v>
      </c>
      <c r="P494" t="n">
        <v>0.8767253380086547</v>
      </c>
      <c r="Q494" t="n">
        <v>1.258389620840503</v>
      </c>
      <c r="R494" t="inlineStr">
        <is>
          <t>Operationnel</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row>
    <row r="495">
      <c r="A495" t="inlineStr">
        <is>
          <t>NYANGOBE-MTN</t>
        </is>
      </c>
      <c r="B495" t="inlineStr">
        <is>
          <t>LIT_685</t>
        </is>
      </c>
      <c r="C495" t="inlineStr">
        <is>
          <t>Douala</t>
        </is>
      </c>
      <c r="D495" t="inlineStr">
        <is>
          <t>MTN</t>
        </is>
      </c>
      <c r="E495" t="inlineStr"/>
      <c r="F495" t="inlineStr">
        <is>
          <t>LITTORAL</t>
        </is>
      </c>
      <c r="G495" t="inlineStr">
        <is>
          <t>Douala</t>
        </is>
      </c>
      <c r="H495" t="inlineStr">
        <is>
          <t>ZTE</t>
        </is>
      </c>
      <c r="I495" t="n">
        <v>8.419405421293087</v>
      </c>
      <c r="J495" t="n">
        <v>8.805962908744323</v>
      </c>
      <c r="K495" t="n">
        <v>0</v>
      </c>
      <c r="L495" t="n">
        <v>0.4759468999780273</v>
      </c>
      <c r="M495" t="n">
        <v>3.47504016459637</v>
      </c>
      <c r="N495" t="n">
        <v>0.5931291440355863</v>
      </c>
      <c r="O495" t="n">
        <v>0.6243922362645401</v>
      </c>
      <c r="P495" t="n">
        <v>1.848390778935664</v>
      </c>
      <c r="Q495" t="n">
        <v>1.258229105135647</v>
      </c>
      <c r="R495" t="inlineStr">
        <is>
          <t>Operationnel</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row>
    <row r="496">
      <c r="A496" t="inlineStr">
        <is>
          <t>Palar</t>
        </is>
      </c>
      <c r="B496" t="inlineStr">
        <is>
          <t>EXN_055</t>
        </is>
      </c>
      <c r="C496" t="inlineStr">
        <is>
          <t>Maroua</t>
        </is>
      </c>
      <c r="D496" t="inlineStr">
        <is>
          <t>IHS</t>
        </is>
      </c>
      <c r="E496" t="inlineStr">
        <is>
          <t>Grid-Gen</t>
        </is>
      </c>
      <c r="F496" t="inlineStr">
        <is>
          <t>EXTREME-NORD</t>
        </is>
      </c>
      <c r="G496" t="inlineStr">
        <is>
          <t>Maroua</t>
        </is>
      </c>
      <c r="H496" t="inlineStr">
        <is>
          <t>Huawei</t>
        </is>
      </c>
      <c r="I496" t="n">
        <v>0</v>
      </c>
      <c r="J496" t="n">
        <v>0</v>
      </c>
      <c r="K496" t="n">
        <v>0</v>
      </c>
      <c r="L496" t="n">
        <v>0</v>
      </c>
      <c r="M496" t="n">
        <v>0</v>
      </c>
      <c r="N496" t="n">
        <v>2.154448880735705</v>
      </c>
      <c r="O496" t="n">
        <v>2.752999717793622</v>
      </c>
      <c r="P496" t="n">
        <v>0.04907746674633973</v>
      </c>
      <c r="Q496" t="n">
        <v>1.257462196767999</v>
      </c>
      <c r="R496" t="inlineStr">
        <is>
          <t>Operationnel</t>
        </is>
      </c>
      <c r="S496" t="inlineStr"/>
      <c r="T496" t="inlineStr"/>
      <c r="U496" t="inlineStr"/>
      <c r="V496" t="inlineStr"/>
      <c r="W496" t="inlineStr"/>
      <c r="X496" t="inlineStr">
        <is>
          <t>{None hourly IHS}: 25/05/2026 05:06..1:17:01..48.7V..Gen stopped due to fuel shortage</t>
        </is>
      </c>
      <c r="Y496" t="inlineStr">
        <is>
          <t>25/05/2026 05 06.1 17 01.48.7V.Gen stopped due to fuel shortage</t>
        </is>
      </c>
      <c r="Z496" t="inlineStr"/>
      <c r="AA496" t="inlineStr"/>
      <c r="AB496" t="inlineStr"/>
      <c r="AC496" t="inlineStr"/>
      <c r="AD496" t="inlineStr"/>
      <c r="AE496" t="inlineStr">
        <is>
          <t>{None hourly IHS}: 25/05/2026 05:06..1:17:01..48.7V..Gen stopped due to fuel shortage</t>
        </is>
      </c>
      <c r="AF496" t="inlineStr"/>
      <c r="AG496" t="inlineStr"/>
      <c r="AH496" t="inlineStr"/>
      <c r="AI496" t="inlineStr"/>
      <c r="AJ496" t="inlineStr"/>
      <c r="AK496" t="inlineStr"/>
      <c r="AL496" t="inlineStr"/>
      <c r="AM496" t="inlineStr"/>
      <c r="AN496" t="inlineStr"/>
      <c r="AO496" t="inlineStr"/>
      <c r="AP496" t="inlineStr"/>
      <c r="AQ496" t="inlineStr"/>
      <c r="AR496" t="inlineStr"/>
    </row>
    <row r="497">
      <c r="A497" t="inlineStr">
        <is>
          <t>Bafia-Dang</t>
        </is>
      </c>
      <c r="B497" t="inlineStr">
        <is>
          <t>CTR_397</t>
        </is>
      </c>
      <c r="C497" t="inlineStr">
        <is>
          <t>CENTRE</t>
        </is>
      </c>
      <c r="D497" t="inlineStr">
        <is>
          <t>IHS</t>
        </is>
      </c>
      <c r="E497" t="inlineStr">
        <is>
          <t>Grid-Gen</t>
        </is>
      </c>
      <c r="F497" t="inlineStr">
        <is>
          <t>CENTRE</t>
        </is>
      </c>
      <c r="G497" t="inlineStr">
        <is>
          <t>Bafia</t>
        </is>
      </c>
      <c r="H497" t="inlineStr">
        <is>
          <t>ZTE</t>
        </is>
      </c>
      <c r="I497" t="n">
        <v>0.06839752534721379</v>
      </c>
      <c r="J497" t="n">
        <v>0</v>
      </c>
      <c r="K497" t="n">
        <v>0</v>
      </c>
      <c r="L497" t="n">
        <v>0</v>
      </c>
      <c r="M497" t="n">
        <v>1.139518823855059</v>
      </c>
      <c r="N497" t="n">
        <v>1.005534373263951</v>
      </c>
      <c r="O497" t="n">
        <v>0.4486507645072772</v>
      </c>
      <c r="P497" t="n">
        <v>1.846817563973759</v>
      </c>
      <c r="Q497" t="n">
        <v>1.257301681063141</v>
      </c>
      <c r="R497" t="inlineStr">
        <is>
          <t>Operationnel</t>
        </is>
      </c>
      <c r="S497" t="inlineStr"/>
      <c r="T497" t="inlineStr"/>
      <c r="U497" t="inlineStr"/>
      <c r="V497" t="inlineStr"/>
      <c r="W497" t="inlineStr"/>
      <c r="X497" t="inlineStr">
        <is>
          <t>{None hourly IHS}: 25/05/2026 07:29..0:31:00..44..FME is informed and managing with L0.</t>
        </is>
      </c>
      <c r="Y497" t="inlineStr">
        <is>
          <t>25/05/2026 07 29.0 31 00.44.FME is informed and managing with L0.</t>
        </is>
      </c>
      <c r="Z497" t="inlineStr"/>
      <c r="AA497" t="inlineStr"/>
      <c r="AB497" t="inlineStr"/>
      <c r="AC497" t="inlineStr"/>
      <c r="AD497" t="inlineStr"/>
      <c r="AE497" t="inlineStr">
        <is>
          <t>{None hourly IHS}: 25/05/2026 07:29..0:31:00..44..FME is informed and managing with L0.</t>
        </is>
      </c>
      <c r="AF497" t="inlineStr"/>
      <c r="AG497" t="inlineStr"/>
      <c r="AH497" t="inlineStr"/>
      <c r="AI497" t="inlineStr"/>
      <c r="AJ497" t="inlineStr"/>
      <c r="AK497" t="inlineStr"/>
      <c r="AL497" t="inlineStr"/>
      <c r="AM497" t="inlineStr"/>
      <c r="AN497" t="inlineStr"/>
      <c r="AO497" t="inlineStr"/>
      <c r="AP497" t="inlineStr"/>
      <c r="AQ497" t="inlineStr"/>
      <c r="AR497" t="inlineStr"/>
    </row>
    <row r="498">
      <c r="A498" t="inlineStr">
        <is>
          <t>Guider-CRTV</t>
        </is>
      </c>
      <c r="B498" t="inlineStr">
        <is>
          <t>NRD_100</t>
        </is>
      </c>
      <c r="C498" t="inlineStr">
        <is>
          <t>NORD</t>
        </is>
      </c>
      <c r="D498" t="inlineStr">
        <is>
          <t>CAMUSAT</t>
        </is>
      </c>
      <c r="E498" t="inlineStr">
        <is>
          <t>Medium Grid + Solar + GE</t>
        </is>
      </c>
      <c r="F498" t="inlineStr">
        <is>
          <t>NORD</t>
        </is>
      </c>
      <c r="G498" t="inlineStr">
        <is>
          <t>Guider</t>
        </is>
      </c>
      <c r="H498" t="inlineStr">
        <is>
          <t>Huawei</t>
        </is>
      </c>
      <c r="I498" t="n">
        <v>3.703008135649326</v>
      </c>
      <c r="J498" t="n">
        <v>0</v>
      </c>
      <c r="K498" t="n">
        <v>1.418512953974083</v>
      </c>
      <c r="L498" t="n">
        <v>0</v>
      </c>
      <c r="M498" t="n">
        <v>4.230391401494722</v>
      </c>
      <c r="N498" t="n">
        <v>1.117191028300341</v>
      </c>
      <c r="O498" t="n">
        <v>1.880508124483613</v>
      </c>
      <c r="P498" t="n">
        <v>0.8878404437177559</v>
      </c>
      <c r="Q498" t="n">
        <v>1.253841675869567</v>
      </c>
      <c r="R498" t="inlineStr">
        <is>
          <t>Operationnel</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row>
    <row r="499">
      <c r="A499" t="inlineStr">
        <is>
          <t>Likok-MTN</t>
        </is>
      </c>
      <c r="B499" t="inlineStr">
        <is>
          <t>ADM_065</t>
        </is>
      </c>
      <c r="C499" t="inlineStr">
        <is>
          <t>ADAMAOUA</t>
        </is>
      </c>
      <c r="D499" t="inlineStr">
        <is>
          <t>IHS</t>
        </is>
      </c>
      <c r="E499" t="inlineStr">
        <is>
          <t>Hybrid-Gen</t>
        </is>
      </c>
      <c r="F499" t="inlineStr">
        <is>
          <t>ADAMAOUA</t>
        </is>
      </c>
      <c r="G499" t="inlineStr">
        <is>
          <t>Likok</t>
        </is>
      </c>
      <c r="H499" t="inlineStr">
        <is>
          <t>NOKIA</t>
        </is>
      </c>
      <c r="I499" t="n">
        <v>0</v>
      </c>
      <c r="J499" t="n">
        <v>0.937486281773113</v>
      </c>
      <c r="K499" t="n">
        <v>0.0125759135320856</v>
      </c>
      <c r="L499" t="n">
        <v>0.5226141398893197</v>
      </c>
      <c r="M499" t="n">
        <v>0.1264612396671074</v>
      </c>
      <c r="N499" t="n">
        <v>4.331753653945302</v>
      </c>
      <c r="O499" t="n">
        <v>1.878017275197679</v>
      </c>
      <c r="P499" t="n">
        <v>0</v>
      </c>
      <c r="Q499" t="n">
        <v>1.24904608164832</v>
      </c>
      <c r="R499" t="inlineStr">
        <is>
          <t>Operationnel</t>
        </is>
      </c>
      <c r="S499" t="inlineStr"/>
      <c r="T499" t="inlineStr"/>
      <c r="U499" t="inlineStr"/>
      <c r="V499" t="inlineStr"/>
      <c r="W499" t="inlineStr"/>
      <c r="X499" t="inlineStr">
        <is>
          <t>{05-25-2026 ocm ran 22H}: Power status check Ongoing     ;    {05-25-2026 ticket}: INC-20260525-00017919..Others</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{05-25-2026 ocm ran 22H}: Power status check Ongoing</t>
        </is>
      </c>
      <c r="AP499" t="inlineStr"/>
      <c r="AQ499" t="inlineStr">
        <is>
          <t>{05-25-2026 ticket}: INC-20260525-00017919..Others</t>
        </is>
      </c>
      <c r="AR499" t="inlineStr"/>
    </row>
    <row r="500">
      <c r="A500" t="inlineStr">
        <is>
          <t>Guider</t>
        </is>
      </c>
      <c r="B500" t="inlineStr">
        <is>
          <t>NRD_006</t>
        </is>
      </c>
      <c r="C500" t="inlineStr">
        <is>
          <t>NORD</t>
        </is>
      </c>
      <c r="D500" t="inlineStr">
        <is>
          <t>CAMUSAT</t>
        </is>
      </c>
      <c r="E500" t="inlineStr">
        <is>
          <t>Good Grid + Solar + GE</t>
        </is>
      </c>
      <c r="F500" t="inlineStr">
        <is>
          <t>NORD</t>
        </is>
      </c>
      <c r="G500" t="inlineStr">
        <is>
          <t>Guider</t>
        </is>
      </c>
      <c r="H500" t="inlineStr">
        <is>
          <t>Huawei</t>
        </is>
      </c>
      <c r="I500" t="n">
        <v>3.730081784535132</v>
      </c>
      <c r="J500" t="n">
        <v>0</v>
      </c>
      <c r="K500" t="n">
        <v>0.7396563679790431</v>
      </c>
      <c r="L500" t="n">
        <v>0</v>
      </c>
      <c r="M500" t="n">
        <v>4.232157074248144</v>
      </c>
      <c r="N500" t="n">
        <v>1.112819682745225</v>
      </c>
      <c r="O500" t="n">
        <v>1.879073717066006</v>
      </c>
      <c r="P500" t="n">
        <v>0.8751863233720099</v>
      </c>
      <c r="Q500" t="n">
        <v>1.246136922036452</v>
      </c>
      <c r="R500" t="inlineStr">
        <is>
          <t>Operationnel</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row>
    <row r="501">
      <c r="A501" t="inlineStr">
        <is>
          <t>Sagamla-MTN-IHS</t>
        </is>
      </c>
      <c r="B501" t="inlineStr">
        <is>
          <t>NRD_089</t>
        </is>
      </c>
      <c r="C501" t="inlineStr">
        <is>
          <t>NORD</t>
        </is>
      </c>
      <c r="D501" t="inlineStr">
        <is>
          <t>IHS</t>
        </is>
      </c>
      <c r="E501" t="inlineStr">
        <is>
          <t>Grid-Gen</t>
        </is>
      </c>
      <c r="F501" t="inlineStr">
        <is>
          <t>NORD</t>
        </is>
      </c>
      <c r="G501" t="inlineStr">
        <is>
          <t>Guider</t>
        </is>
      </c>
      <c r="H501" t="inlineStr">
        <is>
          <t>Huawei</t>
        </is>
      </c>
      <c r="I501" t="n">
        <v>3.749967896859028</v>
      </c>
      <c r="J501" t="n">
        <v>0</v>
      </c>
      <c r="K501" t="n">
        <v>3.689631826911278</v>
      </c>
      <c r="L501" t="n">
        <v>0</v>
      </c>
      <c r="M501" t="n">
        <v>4.230641092591166</v>
      </c>
      <c r="N501" t="n">
        <v>1.098456690206987</v>
      </c>
      <c r="O501" t="n">
        <v>1.890283345403606</v>
      </c>
      <c r="P501" t="n">
        <v>0.8700562745831937</v>
      </c>
      <c r="Q501" t="n">
        <v>1.245173827807313</v>
      </c>
      <c r="R501" t="inlineStr">
        <is>
          <t>Operationnel</t>
        </is>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row>
    <row r="502">
      <c r="A502" t="inlineStr">
        <is>
          <t>Beka-Hossere-II</t>
        </is>
      </c>
      <c r="B502" t="inlineStr">
        <is>
          <t>ADM_172</t>
        </is>
      </c>
      <c r="C502" t="inlineStr">
        <is>
          <t>Ngaoundere</t>
        </is>
      </c>
      <c r="D502" t="inlineStr">
        <is>
          <t>CAMUSAT</t>
        </is>
      </c>
      <c r="E502" t="inlineStr">
        <is>
          <t>Hybrid Solar - S3</t>
        </is>
      </c>
      <c r="F502" t="inlineStr">
        <is>
          <t>ADAMAOUA</t>
        </is>
      </c>
      <c r="G502" t="inlineStr">
        <is>
          <t>Ngaoundere</t>
        </is>
      </c>
      <c r="H502" t="inlineStr">
        <is>
          <t>Huawei</t>
        </is>
      </c>
      <c r="I502" t="n">
        <v>2.903194048505706</v>
      </c>
      <c r="J502" t="n">
        <v>2.654305530586446</v>
      </c>
      <c r="K502" t="n">
        <v>0.2401671646220533</v>
      </c>
      <c r="L502" t="n">
        <v>3.138099865024127</v>
      </c>
      <c r="M502" t="n">
        <v>5.143422565797171</v>
      </c>
      <c r="N502" t="n">
        <v>1.081595785922968</v>
      </c>
      <c r="O502" t="n">
        <v>1.386646963221369</v>
      </c>
      <c r="P502" t="n">
        <v>1.196840382430773</v>
      </c>
      <c r="Q502" t="n">
        <v>1.244103723108269</v>
      </c>
      <c r="R502" t="inlineStr">
        <is>
          <t>Operationnel</t>
        </is>
      </c>
      <c r="S502" t="inlineStr"/>
      <c r="T502" t="inlineStr"/>
      <c r="U502" t="inlineStr"/>
      <c r="V502" t="inlineStr"/>
      <c r="W502" t="inlineStr"/>
      <c r="X502" t="inlineStr">
        <is>
          <t xml:space="preserve">{05-25-2026 retour CAMUSAT}: No power issue </t>
        </is>
      </c>
      <c r="Y502" t="inlineStr">
        <is>
          <t>No power issue</t>
        </is>
      </c>
      <c r="Z502" t="inlineStr"/>
      <c r="AA502" t="inlineStr"/>
      <c r="AB502" t="inlineStr"/>
      <c r="AC502" t="inlineStr">
        <is>
          <t xml:space="preserve">{05-25-2026 retour CAMUSAT}: No power issue </t>
        </is>
      </c>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row>
    <row r="503">
      <c r="A503" t="inlineStr">
        <is>
          <t>Ngd-Bamyanga-Hossere-MTN</t>
        </is>
      </c>
      <c r="B503" t="inlineStr">
        <is>
          <t>ADM_164</t>
        </is>
      </c>
      <c r="C503" t="inlineStr">
        <is>
          <t>Ngaoundere</t>
        </is>
      </c>
      <c r="D503" t="inlineStr">
        <is>
          <t>MTN sharing</t>
        </is>
      </c>
      <c r="E503" t="inlineStr"/>
      <c r="F503" t="inlineStr">
        <is>
          <t>ADAMAOUA</t>
        </is>
      </c>
      <c r="G503" t="inlineStr">
        <is>
          <t>Ngaoundere</t>
        </is>
      </c>
      <c r="H503" t="inlineStr">
        <is>
          <t>Huawei</t>
        </is>
      </c>
      <c r="I503" t="n">
        <v>2.281481053439602</v>
      </c>
      <c r="J503" t="n">
        <v>2.599105963194106</v>
      </c>
      <c r="K503" t="n">
        <v>0.3117571689880805</v>
      </c>
      <c r="L503" t="n">
        <v>3.161178456366838</v>
      </c>
      <c r="M503" t="n">
        <v>7.10144663887248</v>
      </c>
      <c r="N503" t="n">
        <v>1.084093697668749</v>
      </c>
      <c r="O503" t="n">
        <v>1.40757868627831</v>
      </c>
      <c r="P503" t="n">
        <v>1.179740219801387</v>
      </c>
      <c r="Q503" t="n">
        <v>1.242569906372973</v>
      </c>
      <c r="R503" t="inlineStr">
        <is>
          <t>Operationnel</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row>
    <row r="504">
      <c r="A504" t="inlineStr">
        <is>
          <t>Denver-Total-IHS</t>
        </is>
      </c>
      <c r="B504" t="inlineStr">
        <is>
          <t>LIT_588</t>
        </is>
      </c>
      <c r="C504" t="inlineStr">
        <is>
          <t>Douala</t>
        </is>
      </c>
      <c r="D504" t="inlineStr">
        <is>
          <t>IHS</t>
        </is>
      </c>
      <c r="E504" t="inlineStr">
        <is>
          <t>Grid-Gen</t>
        </is>
      </c>
      <c r="F504" t="inlineStr">
        <is>
          <t>LITTORAL</t>
        </is>
      </c>
      <c r="G504" t="inlineStr">
        <is>
          <t>Douala</t>
        </is>
      </c>
      <c r="H504" t="inlineStr">
        <is>
          <t>ZTE</t>
        </is>
      </c>
      <c r="I504" t="n">
        <v>0</v>
      </c>
      <c r="J504" t="n">
        <v>0</v>
      </c>
      <c r="K504" t="n">
        <v>0</v>
      </c>
      <c r="L504" t="n">
        <v>0</v>
      </c>
      <c r="M504" t="n">
        <v>0</v>
      </c>
      <c r="N504" t="n">
        <v>0.7865924087462881</v>
      </c>
      <c r="O504" t="n">
        <v>0.7223569502670756</v>
      </c>
      <c r="P504" t="n">
        <v>1.662135807576385</v>
      </c>
      <c r="Q504" t="n">
        <v>1.221613689350033</v>
      </c>
      <c r="R504" t="inlineStr">
        <is>
          <t>Operationnel</t>
        </is>
      </c>
      <c r="S504" t="inlineStr"/>
      <c r="T504" t="inlineStr"/>
      <c r="U504" t="inlineStr"/>
      <c r="V504" t="inlineStr"/>
      <c r="W504" t="inlineStr"/>
      <c r="X504" t="inlineStr">
        <is>
          <t>{05-25-2026 ticket}: INC-20260525-00018272..Grid Outage</t>
        </is>
      </c>
      <c r="Y504" t="inlineStr">
        <is>
          <t>.Grid Outage</t>
        </is>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is>
          <t>{05-25-2026 ticket}: INC-20260525-00018272..Grid Outage</t>
        </is>
      </c>
      <c r="AR504" t="inlineStr"/>
    </row>
    <row r="505">
      <c r="A505" t="inlineStr">
        <is>
          <t>LIT_841_Z_PK12-BASSA-SODIKOMBO</t>
        </is>
      </c>
      <c r="B505" t="inlineStr">
        <is>
          <t>LIT_841</t>
        </is>
      </c>
      <c r="C505" t="inlineStr">
        <is>
          <t>Douala</t>
        </is>
      </c>
      <c r="D505" t="inlineStr">
        <is>
          <t>ESCO</t>
        </is>
      </c>
      <c r="E505" t="inlineStr">
        <is>
          <t>Medium Grid + GE</t>
        </is>
      </c>
      <c r="F505" t="inlineStr">
        <is>
          <t>LIT</t>
        </is>
      </c>
      <c r="G505" t="inlineStr">
        <is>
          <t>Douala</t>
        </is>
      </c>
      <c r="H505" t="inlineStr">
        <is>
          <t>ZTE</t>
        </is>
      </c>
      <c r="I505" t="n">
        <v>0</v>
      </c>
      <c r="J505" t="n">
        <v>0</v>
      </c>
      <c r="K505" t="n">
        <v>0</v>
      </c>
      <c r="L505" t="n">
        <v>0</v>
      </c>
      <c r="M505" t="n">
        <v>0.3491216580630248</v>
      </c>
      <c r="N505" t="n">
        <v>0.5797653161956604</v>
      </c>
      <c r="O505" t="n">
        <v>0.4899298224139857</v>
      </c>
      <c r="P505" t="n">
        <v>1.865217338962981</v>
      </c>
      <c r="Q505" t="n">
        <v>1.219955027066515</v>
      </c>
      <c r="R505" t="inlineStr">
        <is>
          <t>Operationnel</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row>
    <row r="506">
      <c r="A506" t="inlineStr">
        <is>
          <t>Ngomedzap</t>
        </is>
      </c>
      <c r="B506" t="inlineStr">
        <is>
          <t>CTR_188</t>
        </is>
      </c>
      <c r="C506" t="inlineStr">
        <is>
          <t>CENTRE</t>
        </is>
      </c>
      <c r="D506" t="inlineStr">
        <is>
          <t>CAMUSAT</t>
        </is>
      </c>
      <c r="E506" t="inlineStr">
        <is>
          <t>Bad Grid + Solar + GE</t>
        </is>
      </c>
      <c r="F506" t="inlineStr">
        <is>
          <t>CENTRE</t>
        </is>
      </c>
      <c r="G506" t="inlineStr">
        <is>
          <t>Ngomedzap</t>
        </is>
      </c>
      <c r="H506" t="inlineStr">
        <is>
          <t>NOKIA</t>
        </is>
      </c>
      <c r="I506" t="n">
        <v>18.49028558954208</v>
      </c>
      <c r="J506" t="n">
        <v>18.49012507383723</v>
      </c>
      <c r="K506" t="n">
        <v>18.48991105289742</v>
      </c>
      <c r="L506" t="n">
        <v>18.32573915698579</v>
      </c>
      <c r="M506" t="n">
        <v>6.098722865711849</v>
      </c>
      <c r="N506" t="n">
        <v>2.64641259906718</v>
      </c>
      <c r="O506" t="n">
        <v>2.47398091196861</v>
      </c>
      <c r="P506" t="n">
        <v>0</v>
      </c>
      <c r="Q506" t="n">
        <v>1.208451401551795</v>
      </c>
      <c r="R506" t="inlineStr">
        <is>
          <t>Operationnel</t>
        </is>
      </c>
      <c r="S506" t="inlineStr"/>
      <c r="T506" t="inlineStr"/>
      <c r="U506" t="inlineStr"/>
      <c r="V506" t="inlineStr"/>
      <c r="W506" t="inlineStr"/>
      <c r="X506" t="inlineStr">
        <is>
          <t>{05-25-2026 retour IHS}: IHS     ;    {05-25-2026 ticket}: INC-20260525-00025415.."fme a  informé recemment  qu'il  a parlé avec le RM de HUAWEI Centre ( Alain Raoul). Il confirme qu'il y'a  un problème de transmission a NGOMEZAP ""le site U- Relay est hors service"".
Merci  passer ce down time en transmission."..user:OCM_NOC.CAMUSAT</t>
        </is>
      </c>
      <c r="Y506" t="inlineStr">
        <is>
          <t>IHS ."fme a informé recemment qu'il a parlé avec le RM de HUAWEI Centre ( Alain Raoul). Il confirme qu'il y'a un problème de transmission a NGOMEZAP ""le site U- Relay est hors service"".
Merci passer ce down time en transmission.".user OCM_NOC.CAMUSAT</t>
        </is>
      </c>
      <c r="Z506" t="inlineStr"/>
      <c r="AA506" t="inlineStr"/>
      <c r="AB506" t="inlineStr"/>
      <c r="AC506" t="inlineStr"/>
      <c r="AD506" t="inlineStr">
        <is>
          <t>{05-25-2026 retour IHS}: IHS</t>
        </is>
      </c>
      <c r="AE506" t="inlineStr"/>
      <c r="AF506" t="inlineStr"/>
      <c r="AG506" t="inlineStr"/>
      <c r="AH506" t="inlineStr"/>
      <c r="AI506" t="inlineStr"/>
      <c r="AJ506" t="inlineStr"/>
      <c r="AK506" t="inlineStr"/>
      <c r="AL506" t="inlineStr"/>
      <c r="AM506" t="inlineStr"/>
      <c r="AN506" t="inlineStr"/>
      <c r="AO506" t="inlineStr"/>
      <c r="AP506" t="inlineStr"/>
      <c r="AQ506" t="inlineStr">
        <is>
          <t>{05-25-2026 ticket}: INC-20260525-00025415.."fme a  informé recemment  qu'il  a parlé avec le RM de HUAWEI Centre ( Alain Raoul). Il confirme qu'il y'a  un problème de transmission a NGOMEZAP ""le site U- Relay est hors service"".
Merci  passer ce down time en transmission."..user:OCM_NOC.CAMUSAT</t>
        </is>
      </c>
      <c r="AR506" t="inlineStr"/>
    </row>
    <row r="507">
      <c r="A507" t="inlineStr">
        <is>
          <t>Maroua-Loperey-II-IHS</t>
        </is>
      </c>
      <c r="B507" t="inlineStr">
        <is>
          <t>EXN_146</t>
        </is>
      </c>
      <c r="C507" t="inlineStr">
        <is>
          <t>Maroua</t>
        </is>
      </c>
      <c r="D507" t="inlineStr">
        <is>
          <t>IHS</t>
        </is>
      </c>
      <c r="E507" t="inlineStr">
        <is>
          <t>Grid-Gen</t>
        </is>
      </c>
      <c r="F507" t="inlineStr">
        <is>
          <t>EXTREME-NORD</t>
        </is>
      </c>
      <c r="G507" t="inlineStr">
        <is>
          <t>Maroua</t>
        </is>
      </c>
      <c r="H507" t="inlineStr">
        <is>
          <t>Huawei</t>
        </is>
      </c>
      <c r="I507" t="n">
        <v>0.0002675261747609386</v>
      </c>
      <c r="J507" t="n">
        <v>0</v>
      </c>
      <c r="K507" t="n">
        <v>0</v>
      </c>
      <c r="L507" t="n">
        <v>0</v>
      </c>
      <c r="M507" t="n">
        <v>0.1122718180080072</v>
      </c>
      <c r="N507" t="n">
        <v>1.96398311011994</v>
      </c>
      <c r="O507" t="n">
        <v>2.50681290397163</v>
      </c>
      <c r="P507" t="n">
        <v>0.1368013010350934</v>
      </c>
      <c r="Q507" t="n">
        <v>1.193362925295278</v>
      </c>
      <c r="R507" t="inlineStr">
        <is>
          <t>Operationnel</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row>
    <row r="508">
      <c r="A508" t="inlineStr">
        <is>
          <t>Nkolmessing-Abom-II</t>
        </is>
      </c>
      <c r="B508" t="inlineStr">
        <is>
          <t>CTR_875</t>
        </is>
      </c>
      <c r="C508" t="inlineStr">
        <is>
          <t>CENTRE</t>
        </is>
      </c>
      <c r="D508" t="inlineStr">
        <is>
          <t>CAMUSAT</t>
        </is>
      </c>
      <c r="E508" t="inlineStr">
        <is>
          <t>Good Grid + GE</t>
        </is>
      </c>
      <c r="F508" t="inlineStr">
        <is>
          <t>CENTRE</t>
        </is>
      </c>
      <c r="G508" t="inlineStr">
        <is>
          <t>Ebolmadzom</t>
        </is>
      </c>
      <c r="H508" t="inlineStr">
        <is>
          <t>ZTE</t>
        </is>
      </c>
      <c r="I508" t="n">
        <v>0.4830809313049854</v>
      </c>
      <c r="J508" t="n">
        <v>0.5113673655163757</v>
      </c>
      <c r="K508" t="n">
        <v>14.61370647170786</v>
      </c>
      <c r="L508" t="n">
        <v>0.9216633422080684</v>
      </c>
      <c r="M508" t="n">
        <v>0.9653592840856884</v>
      </c>
      <c r="N508" t="n">
        <v>0.6243530408578428</v>
      </c>
      <c r="O508" t="n">
        <v>0.6677963421973331</v>
      </c>
      <c r="P508" t="n">
        <v>1.660904595867069</v>
      </c>
      <c r="Q508" t="n">
        <v>1.179487234364343</v>
      </c>
      <c r="R508" t="inlineStr">
        <is>
          <t>Operationnel</t>
        </is>
      </c>
      <c r="S508" t="inlineStr"/>
      <c r="T508" t="inlineStr"/>
      <c r="U508" t="inlineStr"/>
      <c r="V508" t="inlineStr"/>
      <c r="W508" t="inlineStr"/>
      <c r="X508" t="inlineStr">
        <is>
          <t>{05-25-2026 ticket}: INC-20260525-00019120..Auto TT closure RCA..Grid Outage</t>
        </is>
      </c>
      <c r="Y508" t="inlineStr">
        <is>
          <t>.Auto TT closure RCA.Grid Outage</t>
        </is>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is>
          <t>{05-25-2026 ticket}: INC-20260525-00019120..Auto TT closure RCA..Grid Outage</t>
        </is>
      </c>
      <c r="AR508" t="inlineStr"/>
    </row>
    <row r="509">
      <c r="A509" t="inlineStr">
        <is>
          <t>MVAMEBOD</t>
        </is>
      </c>
      <c r="B509" t="inlineStr">
        <is>
          <t>CTR_981</t>
        </is>
      </c>
      <c r="C509" t="inlineStr">
        <is>
          <t>CENTRE</t>
        </is>
      </c>
      <c r="D509" t="inlineStr"/>
      <c r="E509" t="inlineStr"/>
      <c r="F509" t="inlineStr">
        <is>
          <t>CENTRE</t>
        </is>
      </c>
      <c r="G509" t="inlineStr">
        <is>
          <t>Mvamebod</t>
        </is>
      </c>
      <c r="H509" t="inlineStr">
        <is>
          <t>NOKIA</t>
        </is>
      </c>
      <c r="I509" t="n">
        <v>0</v>
      </c>
      <c r="J509" t="n">
        <v>0</v>
      </c>
      <c r="K509" t="n">
        <v>0</v>
      </c>
      <c r="L509" t="n">
        <v>0</v>
      </c>
      <c r="M509" t="n">
        <v>1.540629735213293</v>
      </c>
      <c r="N509" t="n">
        <v>7.194235619022498</v>
      </c>
      <c r="O509" t="n">
        <v>0</v>
      </c>
      <c r="P509" t="n">
        <v>0.1885590330367692</v>
      </c>
      <c r="Q509" t="n">
        <v>1.12566755955793</v>
      </c>
      <c r="R509" t="inlineStr">
        <is>
          <t>Operationnel</t>
        </is>
      </c>
      <c r="S509" t="inlineStr"/>
      <c r="T509" t="inlineStr"/>
      <c r="U509" t="inlineStr"/>
      <c r="V509" t="inlineStr"/>
      <c r="W509" t="inlineStr"/>
      <c r="X509" t="inlineStr">
        <is>
          <t>{05/25/2026 cell nokia}: 25/05/2026: Interventionn prevu pour ce jour ||ETA: 12H
23/05/2026 : FME activer || Tickets creer au FME pour la commande du materiel 
22/05/2026 : Need BO RAN analysis ||FME should check and clean jumper pot of AHPMDA||ETA : 23052026     ;    {05/25/2026 cell nokia}: 25/05/2026: Interventionn prevu pour ce jour ||ETA: 12H||intervention en cour|| Jumpeur fualty||cde e cour
23/05/2026 : FME activer || Tickets creer au FME pour la commande du materiel 
22/05/2026 : Need BO RAN analysis ||FME should check and clean jumper pot of AHPMDA||ETA : 23052026</t>
        </is>
      </c>
      <c r="Y509" t="inlineStr">
        <is>
          <t>25/05/2026 Interventionn prevu pour ce jour || ETA 12H
23/05/2026 FME activer || Tickets creer au FME pour la commande du materiel
22/05/2026 Need BO RAN analysis || FME should check and clean jumper pot of AHPMDA || ETA 23052026 25/05/2026 Interventionn prevu pour ce jour || ETA 12H || intervention en cour || Jumpeur fualty || cde e cour
23/05/2026 FME activer || Tickets creer au FME pour la commande du materiel
22/05/2026 Need BO RAN analysis || FME should check and clean jumper pot of AHPMDA || ETA 23052026</t>
        </is>
      </c>
      <c r="Z509" t="inlineStr"/>
      <c r="AA509" t="inlineStr"/>
      <c r="AB509" t="inlineStr"/>
      <c r="AC509" t="inlineStr"/>
      <c r="AD509" t="inlineStr"/>
      <c r="AE509" t="inlineStr"/>
      <c r="AF509" t="inlineStr">
        <is>
          <t>{05/25/2026 cell nokia}: 25/05/2026: Interventionn prevu pour ce jour ||ETA: 12H
23/05/2026 : FME activer || Tickets creer au FME pour la commande du materiel 
22/05/2026 : Need BO RAN analysis ||FME should check and clean jumper pot of AHPMDA||ETA : 23052026</t>
        </is>
      </c>
      <c r="AG509" t="inlineStr">
        <is>
          <t>{05/25/2026 cell nokia}: 25/05/2026: Interventionn prevu pour ce jour ||ETA: 12H||intervention en cour|| Jumpeur fualty||cde e cour
23/05/2026 : FME activer || Tickets creer au FME pour la commande du materiel 
22/05/2026 : Need BO RAN analysis ||FME should check and clean jumper pot of AHPMDA||ETA : 23052026</t>
        </is>
      </c>
      <c r="AH509" t="inlineStr"/>
      <c r="AI509" t="inlineStr"/>
      <c r="AJ509" t="inlineStr"/>
      <c r="AK509" t="inlineStr"/>
      <c r="AL509" t="inlineStr"/>
      <c r="AM509" t="inlineStr"/>
      <c r="AN509" t="inlineStr"/>
      <c r="AO509" t="inlineStr"/>
      <c r="AP509" t="inlineStr"/>
      <c r="AQ509" t="inlineStr"/>
      <c r="AR509" t="inlineStr"/>
    </row>
    <row r="510">
      <c r="A510" t="inlineStr">
        <is>
          <t>Kousseri-Michedire-MTN-IHS</t>
        </is>
      </c>
      <c r="B510" t="inlineStr">
        <is>
          <t>EXN_182</t>
        </is>
      </c>
      <c r="C510" t="inlineStr">
        <is>
          <t>EXTREME-NORD</t>
        </is>
      </c>
      <c r="D510" t="inlineStr">
        <is>
          <t>IHS</t>
        </is>
      </c>
      <c r="E510" t="inlineStr">
        <is>
          <t>Hybrid-Gen-Lithium</t>
        </is>
      </c>
      <c r="F510" t="inlineStr">
        <is>
          <t>EXTREME-NORD</t>
        </is>
      </c>
      <c r="G510" t="inlineStr">
        <is>
          <t>Kousseri</t>
        </is>
      </c>
      <c r="H510" t="inlineStr">
        <is>
          <t>Huawei</t>
        </is>
      </c>
      <c r="I510" t="n">
        <v>1.591709399514315</v>
      </c>
      <c r="J510" t="n">
        <v>6.678345075948897</v>
      </c>
      <c r="K510" t="n">
        <v>6.299902549132073</v>
      </c>
      <c r="L510" t="n">
        <v>3.708982886885653</v>
      </c>
      <c r="M510" t="n">
        <v>0</v>
      </c>
      <c r="N510" t="n">
        <v>1.790378243788193</v>
      </c>
      <c r="O510" t="n">
        <v>2.315399203021988</v>
      </c>
      <c r="P510" t="n">
        <v>0.04856446186745814</v>
      </c>
      <c r="Q510" t="n">
        <v>1.058297877197638</v>
      </c>
      <c r="R510" t="inlineStr">
        <is>
          <t>Insecurity</t>
        </is>
      </c>
      <c r="S510" t="inlineStr"/>
      <c r="T510" t="inlineStr"/>
      <c r="U510" t="inlineStr"/>
      <c r="V510" t="inlineStr"/>
      <c r="W510" t="inlineStr"/>
      <c r="X51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{None hourly IHS}: 25/05/2026 06:50..0:10:00..53 V..Our FME YANICK? is on way, ETA:07:30 AM</t>
        </is>
      </c>
      <c r="Y510"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25/05/2026 06 50.0 10 00.53 V.Our FME YANICK? is on way, ETA 07 30 AM</t>
        </is>
      </c>
      <c r="Z510" t="inlineStr"/>
      <c r="AA51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510" t="inlineStr"/>
      <c r="AC510" t="inlineStr"/>
      <c r="AD510" t="inlineStr"/>
      <c r="AE510" t="inlineStr">
        <is>
          <t>{None hourly IHS}: 25/05/2026 06:50..0:10:00..53 V..Our FME YANICK? is on way, ETA:07:30 AM</t>
        </is>
      </c>
      <c r="AF510" t="inlineStr"/>
      <c r="AG510" t="inlineStr"/>
      <c r="AH510" t="inlineStr"/>
      <c r="AI510" t="inlineStr"/>
      <c r="AJ510" t="inlineStr"/>
      <c r="AK510" t="inlineStr"/>
      <c r="AL510" t="inlineStr"/>
      <c r="AM510" t="inlineStr"/>
      <c r="AN510" t="inlineStr"/>
      <c r="AO510" t="inlineStr"/>
      <c r="AP510" t="inlineStr"/>
      <c r="AQ510" t="inlineStr"/>
      <c r="AR510" t="inlineStr"/>
    </row>
    <row r="511">
      <c r="A511" t="inlineStr">
        <is>
          <t>Andek</t>
        </is>
      </c>
      <c r="B511" t="inlineStr">
        <is>
          <t>NRO_218</t>
        </is>
      </c>
      <c r="C511" t="inlineStr">
        <is>
          <t>NORD-OUEST</t>
        </is>
      </c>
      <c r="D511" t="inlineStr">
        <is>
          <t>IHS</t>
        </is>
      </c>
      <c r="E511" t="inlineStr">
        <is>
          <t>solar + Gen</t>
        </is>
      </c>
      <c r="F511" t="inlineStr">
        <is>
          <t>NORD-OUEST</t>
        </is>
      </c>
      <c r="G511" t="inlineStr">
        <is>
          <t>Andek</t>
        </is>
      </c>
      <c r="H511" t="inlineStr">
        <is>
          <t>NOKIA</t>
        </is>
      </c>
      <c r="I511" t="n">
        <v>0</v>
      </c>
      <c r="J511" t="n">
        <v>0</v>
      </c>
      <c r="K511" t="n">
        <v>0.75433463743426</v>
      </c>
      <c r="L511" t="n">
        <v>1.118259410500723</v>
      </c>
      <c r="M511" t="n">
        <v>2.346472078828192</v>
      </c>
      <c r="N511" t="n">
        <v>0</v>
      </c>
      <c r="O511" t="n">
        <v>3.147196126632462</v>
      </c>
      <c r="P511" t="n">
        <v>0</v>
      </c>
      <c r="Q511" t="n">
        <v>1.056550039522533</v>
      </c>
      <c r="R511" t="inlineStr">
        <is>
          <t>Insecurity</t>
        </is>
      </c>
      <c r="S511" t="inlineStr"/>
      <c r="T511" t="inlineStr"/>
      <c r="U511" t="inlineStr"/>
      <c r="V511" t="inlineStr"/>
      <c r="W511" t="inlineStr"/>
      <c r="X511" t="inlineStr">
        <is>
          <t>{05-25-2026 ticket}: INC-20260525-00006657..Auto TT closure RCA..Others Transmission equipement fault</t>
        </is>
      </c>
      <c r="Y511" t="inlineStr">
        <is>
          <t>.Auto TT closure RCA.</t>
        </is>
      </c>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is>
          <t>{05-25-2026 ticket}: INC-20260525-00006657..Auto TT closure RCA..Others Transmission equipement fault</t>
        </is>
      </c>
      <c r="AR511" t="inlineStr"/>
    </row>
    <row r="512">
      <c r="A512" t="inlineStr">
        <is>
          <t>PK12-Marche</t>
        </is>
      </c>
      <c r="B512" t="inlineStr">
        <is>
          <t>LIT_249</t>
        </is>
      </c>
      <c r="C512" t="inlineStr">
        <is>
          <t>Douala</t>
        </is>
      </c>
      <c r="D512" t="inlineStr">
        <is>
          <t>IHS</t>
        </is>
      </c>
      <c r="E512" t="inlineStr">
        <is>
          <t>Grid-Gen</t>
        </is>
      </c>
      <c r="F512" t="inlineStr">
        <is>
          <t>LITTORAL</t>
        </is>
      </c>
      <c r="G512" t="inlineStr">
        <is>
          <t>Douala</t>
        </is>
      </c>
      <c r="H512" t="inlineStr">
        <is>
          <t>ZTE</t>
        </is>
      </c>
      <c r="I512" t="n">
        <v>0</v>
      </c>
      <c r="J512" t="n">
        <v>0.1985935970642032</v>
      </c>
      <c r="K512" t="n">
        <v>0.5283106899179015</v>
      </c>
      <c r="L512" t="n">
        <v>0.5053391090450958</v>
      </c>
      <c r="M512" t="n">
        <v>1.922139895500709</v>
      </c>
      <c r="N512" t="n">
        <v>0.4766015610949246</v>
      </c>
      <c r="O512" t="n">
        <v>0.4029091057457907</v>
      </c>
      <c r="P512" t="n">
        <v>1.633202332407462</v>
      </c>
      <c r="Q512" t="n">
        <v>1.055016222787238</v>
      </c>
      <c r="R512" t="inlineStr">
        <is>
          <t>Operationnel</t>
        </is>
      </c>
      <c r="S512" t="inlineStr"/>
      <c r="T512" t="inlineStr"/>
      <c r="U512" t="inlineStr"/>
      <c r="V512" t="inlineStr"/>
      <c r="W512" t="inlineStr"/>
      <c r="X512" t="inlineStr">
        <is>
          <t>{05-25-2026 ticket}: INC-20260525-00018111..Grid Outage</t>
        </is>
      </c>
      <c r="Y512" t="inlineStr">
        <is>
          <t>.Grid Outage</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is>
          <t>{05-25-2026 ticket}: INC-20260525-00018111..Grid Outage</t>
        </is>
      </c>
      <c r="AR512" t="inlineStr"/>
    </row>
    <row r="513">
      <c r="A513" t="inlineStr">
        <is>
          <t>Mogode</t>
        </is>
      </c>
      <c r="B513" t="inlineStr">
        <is>
          <t>EXN_024</t>
        </is>
      </c>
      <c r="C513" t="inlineStr">
        <is>
          <t>EXTREME-NORD</t>
        </is>
      </c>
      <c r="D513" t="inlineStr">
        <is>
          <t>IHS</t>
        </is>
      </c>
      <c r="E513" t="inlineStr">
        <is>
          <t>Solar-Grid-Gen</t>
        </is>
      </c>
      <c r="F513" t="inlineStr">
        <is>
          <t>EXTREME-NORD</t>
        </is>
      </c>
      <c r="G513" t="inlineStr">
        <is>
          <t>Mogode</t>
        </is>
      </c>
      <c r="H513" t="inlineStr">
        <is>
          <t>NOKIA</t>
        </is>
      </c>
      <c r="I513" t="n">
        <v>0</v>
      </c>
      <c r="J513" t="n">
        <v>0.03609819851440932</v>
      </c>
      <c r="K513" t="n">
        <v>0.07348052266767113</v>
      </c>
      <c r="L513" t="n">
        <v>0.0614418448034289</v>
      </c>
      <c r="M513" t="n">
        <v>0</v>
      </c>
      <c r="N513" t="n">
        <v>7.369464127989001</v>
      </c>
      <c r="O513" t="n">
        <v>0</v>
      </c>
      <c r="P513" t="n">
        <v>0</v>
      </c>
      <c r="Q513" t="n">
        <v>1.052358796117945</v>
      </c>
      <c r="R513" t="inlineStr">
        <is>
          <t>Insecurity</t>
        </is>
      </c>
      <c r="S513" t="inlineStr"/>
      <c r="T513" t="inlineStr"/>
      <c r="U513" t="inlineStr"/>
      <c r="V513" t="inlineStr"/>
      <c r="W513" t="inlineStr"/>
      <c r="X513" t="inlineStr">
        <is>
          <t>{None hourly IHS}: 25/05/2026 14:39..2:40:21..Fme is managing with level 0     ;    {05-25-2026 ocm ran 17H}: Power status check Ongoing     ;    {05-25-2026 ticket}: INC-20260525-00014145..Auto TT closure RCA..Others Transmission equipement fault</t>
        </is>
      </c>
      <c r="Y513" t="inlineStr">
        <is>
          <t>25/05/2026 14 39.2 40 21.Fme is managing with level 0 .Auto TT closure RCA.</t>
        </is>
      </c>
      <c r="Z513" t="inlineStr"/>
      <c r="AA513" t="inlineStr"/>
      <c r="AB513" t="inlineStr"/>
      <c r="AC513" t="inlineStr"/>
      <c r="AD513" t="inlineStr"/>
      <c r="AE513" t="inlineStr">
        <is>
          <t>{None hourly IHS}: 25/05/2026 14:39..2:40:21..Fme is managing with level 0</t>
        </is>
      </c>
      <c r="AF513" t="inlineStr"/>
      <c r="AG513" t="inlineStr"/>
      <c r="AH513" t="inlineStr"/>
      <c r="AI513" t="inlineStr"/>
      <c r="AJ513" t="inlineStr"/>
      <c r="AK513" t="inlineStr"/>
      <c r="AL513" t="inlineStr"/>
      <c r="AM513" t="inlineStr"/>
      <c r="AN513" t="inlineStr"/>
      <c r="AO513" t="inlineStr"/>
      <c r="AP513" t="inlineStr">
        <is>
          <t>{05-25-2026 ocm ran 17H}: Power status check Ongoing</t>
        </is>
      </c>
      <c r="AQ513" t="inlineStr">
        <is>
          <t>{05-25-2026 ticket}: INC-20260525-00014145..Auto TT closure RCA..Others Transmission equipement fault</t>
        </is>
      </c>
      <c r="AR513" t="inlineStr"/>
    </row>
    <row r="514">
      <c r="A514" t="inlineStr">
        <is>
          <t>EST_074_N_Mazabe</t>
        </is>
      </c>
      <c r="B514" t="inlineStr">
        <is>
          <t>EST_074</t>
        </is>
      </c>
      <c r="C514" t="inlineStr">
        <is>
          <t>CENTRE</t>
        </is>
      </c>
      <c r="D514" t="inlineStr">
        <is>
          <t>IHS</t>
        </is>
      </c>
      <c r="E514" t="inlineStr">
        <is>
          <t>Solar Only</t>
        </is>
      </c>
      <c r="F514" t="inlineStr">
        <is>
          <t>EST</t>
        </is>
      </c>
      <c r="G514" t="inlineStr">
        <is>
          <t>Mazabe</t>
        </is>
      </c>
      <c r="H514" t="inlineStr">
        <is>
          <t>NOKIA</t>
        </is>
      </c>
      <c r="I514" t="n">
        <v>0</v>
      </c>
      <c r="J514" t="n">
        <v>0</v>
      </c>
      <c r="K514" t="n">
        <v>0</v>
      </c>
      <c r="L514" t="n">
        <v>0</v>
      </c>
      <c r="M514" t="n">
        <v>0</v>
      </c>
      <c r="N514" t="n">
        <v>3.671680475122798</v>
      </c>
      <c r="O514" t="n">
        <v>1.572269908299928</v>
      </c>
      <c r="P514" t="n">
        <v>0.000195430430050242</v>
      </c>
      <c r="Q514" t="n">
        <v>1.05224668991138</v>
      </c>
      <c r="R514" t="inlineStr">
        <is>
          <t>Operationnel</t>
        </is>
      </c>
      <c r="S514" t="inlineStr"/>
      <c r="T514" t="inlineStr"/>
      <c r="U514" t="inlineStr"/>
      <c r="V514" t="inlineStr"/>
      <c r="W514" t="inlineStr"/>
      <c r="X514" t="inlineStr">
        <is>
          <t>{None hourly IHS}: 25/05/2026 21:21..1:38:50..FME Desire is managing with level 0     ;    {05-25-2026 ocm ran 22H}: Power status check Ongoing     ;    {05-25-2026 ticket}: INC-20260525-00024103..Auto TT closure RCA..Others Transmission equipement fault</t>
        </is>
      </c>
      <c r="Y514" t="inlineStr">
        <is>
          <t>25/05/2026 21 21.1 38 50.FME Desire is managing with level 0 .Auto TT closure RCA.</t>
        </is>
      </c>
      <c r="Z514" t="inlineStr"/>
      <c r="AA514" t="inlineStr"/>
      <c r="AB514" t="inlineStr"/>
      <c r="AC514" t="inlineStr"/>
      <c r="AD514" t="inlineStr"/>
      <c r="AE514" t="inlineStr">
        <is>
          <t>{None hourly IHS}: 25/05/2026 21:21..1:38:50..FME Desire is managing with level 0</t>
        </is>
      </c>
      <c r="AF514" t="inlineStr"/>
      <c r="AG514" t="inlineStr"/>
      <c r="AH514" t="inlineStr"/>
      <c r="AI514" t="inlineStr"/>
      <c r="AJ514" t="inlineStr"/>
      <c r="AK514" t="inlineStr"/>
      <c r="AL514" t="inlineStr"/>
      <c r="AM514" t="inlineStr"/>
      <c r="AN514" t="inlineStr"/>
      <c r="AO514" t="inlineStr">
        <is>
          <t>{05-25-2026 ocm ran 22H}: Power status check Ongoing</t>
        </is>
      </c>
      <c r="AP514" t="inlineStr"/>
      <c r="AQ514" t="inlineStr">
        <is>
          <t>{05-25-2026 ticket}: INC-20260525-00024103..Auto TT closure RCA..Others Transmission equipement fault</t>
        </is>
      </c>
      <c r="AR514" t="inlineStr"/>
    </row>
    <row r="515">
      <c r="A515" t="inlineStr">
        <is>
          <t>Oyomabang-marche</t>
        </is>
      </c>
      <c r="B515" t="inlineStr">
        <is>
          <t>CTR_718</t>
        </is>
      </c>
      <c r="C515" t="inlineStr">
        <is>
          <t>Yaounde</t>
        </is>
      </c>
      <c r="D515" t="inlineStr">
        <is>
          <t>CAMUSAT</t>
        </is>
      </c>
      <c r="E515" t="inlineStr">
        <is>
          <t>Good Grid no GE - 8h</t>
        </is>
      </c>
      <c r="F515" t="inlineStr">
        <is>
          <t>CENTRE</t>
        </is>
      </c>
      <c r="G515" t="inlineStr">
        <is>
          <t>Yaounde</t>
        </is>
      </c>
      <c r="H515" t="inlineStr">
        <is>
          <t>ZTE</t>
        </is>
      </c>
      <c r="I515" t="n">
        <v>0</v>
      </c>
      <c r="J515" t="n">
        <v>0</v>
      </c>
      <c r="K515" t="n">
        <v>0</v>
      </c>
      <c r="L515" t="n">
        <v>0</v>
      </c>
      <c r="M515" t="n">
        <v>0</v>
      </c>
      <c r="N515" t="n">
        <v>0.369815833962807</v>
      </c>
      <c r="O515" t="n">
        <v>0.3500485360969148</v>
      </c>
      <c r="P515" t="n">
        <v>1.662135807576387</v>
      </c>
      <c r="Q515" t="n">
        <v>1.037109804156573</v>
      </c>
      <c r="R515" t="inlineStr">
        <is>
          <t>Operationnel</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row>
    <row r="516">
      <c r="A516" t="inlineStr">
        <is>
          <t>Ngd-Bamyangal-New</t>
        </is>
      </c>
      <c r="B516" t="inlineStr">
        <is>
          <t>ADM_131</t>
        </is>
      </c>
      <c r="C516" t="inlineStr">
        <is>
          <t>Ngaoundere</t>
        </is>
      </c>
      <c r="D516" t="inlineStr">
        <is>
          <t>IHS</t>
        </is>
      </c>
      <c r="E516" t="inlineStr">
        <is>
          <t>Grid-Gen</t>
        </is>
      </c>
      <c r="F516" t="inlineStr">
        <is>
          <t>ADAMAOUA</t>
        </is>
      </c>
      <c r="G516" t="inlineStr">
        <is>
          <t>Ngaoundere</t>
        </is>
      </c>
      <c r="H516" t="inlineStr">
        <is>
          <t>Huawei</t>
        </is>
      </c>
      <c r="I516" t="n">
        <v>1.64612422346069</v>
      </c>
      <c r="J516" t="n">
        <v>1.332351690622744</v>
      </c>
      <c r="K516" t="n">
        <v>0.2493700650338296</v>
      </c>
      <c r="L516" t="n">
        <v>1.625399862455876</v>
      </c>
      <c r="M516" t="n">
        <v>1.612933142712016</v>
      </c>
      <c r="N516" t="n">
        <v>1.041004720054035</v>
      </c>
      <c r="O516" t="n">
        <v>1.300263760960997</v>
      </c>
      <c r="P516" t="n">
        <v>0.8562051428533906</v>
      </c>
      <c r="Q516" t="n">
        <v>1.031670105269766</v>
      </c>
      <c r="R516" t="inlineStr">
        <is>
          <t>Operationnel</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row>
    <row r="517">
      <c r="A517" t="inlineStr">
        <is>
          <t>Bonga</t>
        </is>
      </c>
      <c r="B517" t="inlineStr">
        <is>
          <t>EST_073</t>
        </is>
      </c>
      <c r="C517" t="inlineStr">
        <is>
          <t>CENTRE</t>
        </is>
      </c>
      <c r="D517" t="inlineStr">
        <is>
          <t>IHS</t>
        </is>
      </c>
      <c r="E517" t="inlineStr">
        <is>
          <t>Hybrid-Gen</t>
        </is>
      </c>
      <c r="F517" t="inlineStr">
        <is>
          <t>EST</t>
        </is>
      </c>
      <c r="G517" t="inlineStr">
        <is>
          <t>Bonga</t>
        </is>
      </c>
      <c r="H517" t="inlineStr">
        <is>
          <t>NOKIA</t>
        </is>
      </c>
      <c r="I517" t="n">
        <v>0.3202109961105263</v>
      </c>
      <c r="J517" t="n">
        <v>0.1454807338349983</v>
      </c>
      <c r="K517" t="n">
        <v>0.3462680455322417</v>
      </c>
      <c r="L517" t="n">
        <v>0.416838848070404</v>
      </c>
      <c r="M517" t="n">
        <v>1.435483855090834</v>
      </c>
      <c r="N517" t="n">
        <v>1.80361717604083</v>
      </c>
      <c r="O517" t="n">
        <v>0.7992836888113672</v>
      </c>
      <c r="P517" t="n">
        <v>0.961952548553518</v>
      </c>
      <c r="Q517" t="n">
        <v>1.027532367100131</v>
      </c>
      <c r="R517" t="inlineStr">
        <is>
          <t>Operationnel</t>
        </is>
      </c>
      <c r="S517" t="inlineStr"/>
      <c r="T517" t="inlineStr"/>
      <c r="U517" t="inlineStr"/>
      <c r="V517" t="inlineStr"/>
      <c r="W517" t="inlineStr"/>
      <c r="X517" t="inlineStr">
        <is>
          <t>{05/25/2026 cell nokia}: 25/05/2026 : Check breaker and  interconnection (sfp, optical fiber) between system and radio module, swap its if needed||Escalade faite au RM || En attente du feedback du RM      ;    {05-25-2026 ticket}: INC-20260525-00021857..Others</t>
        </is>
      </c>
      <c r="Y517" t="inlineStr">
        <is>
          <t>25/05/2026 Check breaker and interconnection (sfp, optical fiber) between system and radio module, swap its if needed || Escalade faite au RM || En attente du feedback du RM .</t>
        </is>
      </c>
      <c r="Z517" t="inlineStr"/>
      <c r="AA517" t="inlineStr"/>
      <c r="AB517" t="inlineStr"/>
      <c r="AC517" t="inlineStr"/>
      <c r="AD517" t="inlineStr"/>
      <c r="AE517" t="inlineStr"/>
      <c r="AF517" t="inlineStr"/>
      <c r="AG517" t="inlineStr"/>
      <c r="AH517" t="inlineStr">
        <is>
          <t xml:space="preserve">{05/25/2026 cell nokia}: 25/05/2026 : Check breaker and  interconnection (sfp, optical fiber) between system and radio module, swap its if needed||Escalade faite au RM || En attente du feedback du RM </t>
        </is>
      </c>
      <c r="AI517" t="inlineStr"/>
      <c r="AJ517" t="inlineStr"/>
      <c r="AK517" t="inlineStr"/>
      <c r="AL517" t="inlineStr"/>
      <c r="AM517" t="inlineStr"/>
      <c r="AN517" t="inlineStr"/>
      <c r="AO517" t="inlineStr"/>
      <c r="AP517" t="inlineStr"/>
      <c r="AQ517" t="inlineStr">
        <is>
          <t>{05-25-2026 ticket}: INC-20260525-00021857..Others</t>
        </is>
      </c>
      <c r="AR517" t="inlineStr"/>
    </row>
    <row r="518">
      <c r="A518" t="inlineStr">
        <is>
          <t>Kouba-MTN-IHS</t>
        </is>
      </c>
      <c r="B518" t="inlineStr">
        <is>
          <t>EST_094</t>
        </is>
      </c>
      <c r="C518" t="inlineStr">
        <is>
          <t>CENTRE</t>
        </is>
      </c>
      <c r="D518" t="inlineStr">
        <is>
          <t>IHS</t>
        </is>
      </c>
      <c r="E518" t="inlineStr">
        <is>
          <t>Hybrid-Gen</t>
        </is>
      </c>
      <c r="F518" t="inlineStr">
        <is>
          <t>EST</t>
        </is>
      </c>
      <c r="G518" t="inlineStr">
        <is>
          <t>Kouba</t>
        </is>
      </c>
      <c r="H518" t="inlineStr">
        <is>
          <t>NOKIA</t>
        </is>
      </c>
      <c r="I518" t="n">
        <v>0</v>
      </c>
      <c r="J518" t="n">
        <v>0.9294037661978184</v>
      </c>
      <c r="K518" t="n">
        <v>0.2391318714023823</v>
      </c>
      <c r="L518" t="n">
        <v>0.5423647316320098</v>
      </c>
      <c r="M518" t="n">
        <v>0.2163573350683296</v>
      </c>
      <c r="N518" t="n">
        <v>1.751285924966728</v>
      </c>
      <c r="O518" t="n">
        <v>0.7512044772211852</v>
      </c>
      <c r="P518" t="n">
        <v>0.9815835352520539</v>
      </c>
      <c r="Q518" t="n">
        <v>1.014156058362084</v>
      </c>
      <c r="R518" t="inlineStr">
        <is>
          <t>Operationnel</t>
        </is>
      </c>
      <c r="S518" t="inlineStr"/>
      <c r="T518" t="inlineStr"/>
      <c r="U518" t="inlineStr"/>
      <c r="V518" t="inlineStr"/>
      <c r="W518" t="inlineStr"/>
      <c r="X518" t="inlineStr">
        <is>
          <t>{05-25-2026 ticket}: INC-20260525-00013918..Auto TT closure RCA..Others Transmission equipement fault</t>
        </is>
      </c>
      <c r="Y518" t="inlineStr">
        <is>
          <t>.Auto TT closure RCA.</t>
        </is>
      </c>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is>
          <t>{05-25-2026 ticket}: INC-20260525-00013918..Auto TT closure RCA..Others Transmission equipement fault</t>
        </is>
      </c>
      <c r="AR518" t="inlineStr"/>
    </row>
    <row r="519">
      <c r="A519" t="inlineStr">
        <is>
          <t>Mehanda-III</t>
        </is>
      </c>
      <c r="B519" t="inlineStr">
        <is>
          <t>CTR_866</t>
        </is>
      </c>
      <c r="C519" t="inlineStr">
        <is>
          <t>Yaounde</t>
        </is>
      </c>
      <c r="D519" t="inlineStr">
        <is>
          <t>CAMUSAT</t>
        </is>
      </c>
      <c r="E519" t="inlineStr">
        <is>
          <t>Good Grid + GE</t>
        </is>
      </c>
      <c r="F519" t="inlineStr">
        <is>
          <t>CENTRE</t>
        </is>
      </c>
      <c r="G519" t="inlineStr">
        <is>
          <t>Binguela</t>
        </is>
      </c>
      <c r="H519" t="inlineStr">
        <is>
          <t>ZTE</t>
        </is>
      </c>
      <c r="I519" t="n">
        <v>0</v>
      </c>
      <c r="J519" t="n">
        <v>0</v>
      </c>
      <c r="K519" t="n">
        <v>0</v>
      </c>
      <c r="L519" t="n">
        <v>0</v>
      </c>
      <c r="M519" t="n">
        <v>0</v>
      </c>
      <c r="N519" t="n">
        <v>1.24945545523942</v>
      </c>
      <c r="O519" t="n">
        <v>0.1347811710544656</v>
      </c>
      <c r="P519" t="n">
        <v>1.497221839178579</v>
      </c>
      <c r="Q519" t="n">
        <v>1.00445377575742</v>
      </c>
      <c r="R519" t="inlineStr">
        <is>
          <t>Operationnel</t>
        </is>
      </c>
      <c r="S519" t="inlineStr"/>
      <c r="T519" t="inlineStr"/>
      <c r="U519" t="inlineStr"/>
      <c r="V519" t="inlineStr"/>
      <c r="W519" t="inlineStr"/>
      <c r="X519" t="inlineStr">
        <is>
          <t>{05-25-2026 ticket}: INC-20260525-00022654..Grid Outage</t>
        </is>
      </c>
      <c r="Y519" t="inlineStr">
        <is>
          <t>.Grid Outage</t>
        </is>
      </c>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is>
          <t>{05-25-2026 ticket}: INC-20260525-00022654..Grid Outage</t>
        </is>
      </c>
      <c r="AR519" t="inlineStr"/>
    </row>
    <row r="520">
      <c r="A520" t="inlineStr">
        <is>
          <t>Bambui-II</t>
        </is>
      </c>
      <c r="B520" t="inlineStr">
        <is>
          <t>NRO_140</t>
        </is>
      </c>
      <c r="C520" t="inlineStr">
        <is>
          <t>NORD-OUEST</t>
        </is>
      </c>
      <c r="D520" t="inlineStr">
        <is>
          <t>CAMUSAT</t>
        </is>
      </c>
      <c r="E520" t="inlineStr">
        <is>
          <t>HGB</t>
        </is>
      </c>
      <c r="F520" t="inlineStr">
        <is>
          <t>NORD-OUEST</t>
        </is>
      </c>
      <c r="G520" t="inlineStr">
        <is>
          <t>Tubah</t>
        </is>
      </c>
      <c r="H520" t="inlineStr">
        <is>
          <t>NOKIA</t>
        </is>
      </c>
      <c r="I520" t="n">
        <v>0</v>
      </c>
      <c r="J520" t="n">
        <v>0</v>
      </c>
      <c r="K520" t="n">
        <v>0.03379747341146521</v>
      </c>
      <c r="L520" t="n">
        <v>0</v>
      </c>
      <c r="M520" t="n">
        <v>0</v>
      </c>
      <c r="N520" t="n">
        <v>3.397534661023385</v>
      </c>
      <c r="O520" t="n">
        <v>1.477174009132606</v>
      </c>
      <c r="P520" t="n">
        <v>0</v>
      </c>
      <c r="Q520" t="n">
        <v>0.9810719880833142</v>
      </c>
      <c r="R520" t="inlineStr">
        <is>
          <t>Insecurity</t>
        </is>
      </c>
      <c r="S520" t="inlineStr"/>
      <c r="T520" t="inlineStr"/>
      <c r="U520" t="inlineStr"/>
      <c r="V520" t="inlineStr"/>
      <c r="W520" t="inlineStr"/>
      <c r="X520" t="inlineStr">
        <is>
          <t>{05-25-2026 ticket}: INC-20260525-00018955..Transmission issue impacted by NRO_061_H_Bambili-university-IHS/Main site up awaited..Auto TT closure RCA..Others Transmission equipement fault..user:OCM_NOC.CAMUSAT</t>
        </is>
      </c>
      <c r="Y520" t="inlineStr">
        <is>
          <t>.Transmission issue impacted by NRO_061_H_Bambili-university-IHS/Main site up awaited.Auto TT closure RCA.user OCM_NOC.CAMUSAT</t>
        </is>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is>
          <t>{05-25-2026 ticket}: INC-20260525-00018955..Transmission issue impacted by NRO_061_H_Bambili-university-IHS/Main site up awaited..Auto TT closure RCA..Others Transmission equipement fault..user:OCM_NOC.CAMUSAT</t>
        </is>
      </c>
      <c r="AR520" t="inlineStr"/>
    </row>
    <row r="521">
      <c r="A521" t="inlineStr">
        <is>
          <t>Mayo-Nonde-IHS</t>
        </is>
      </c>
      <c r="B521" t="inlineStr">
        <is>
          <t>NRD_106</t>
        </is>
      </c>
      <c r="C521" t="inlineStr">
        <is>
          <t>NORD</t>
        </is>
      </c>
      <c r="D521" t="inlineStr">
        <is>
          <t>IHS</t>
        </is>
      </c>
      <c r="E521" t="inlineStr">
        <is>
          <t>Solar-Gen</t>
        </is>
      </c>
      <c r="F521" t="inlineStr">
        <is>
          <t>NORD</t>
        </is>
      </c>
      <c r="G521" t="inlineStr">
        <is>
          <t>Mayo-Nonde</t>
        </is>
      </c>
      <c r="H521" t="inlineStr">
        <is>
          <t>NOKIA</t>
        </is>
      </c>
      <c r="I521" t="n">
        <v>1.710883392831155</v>
      </c>
      <c r="J521" t="n">
        <v>2.168156965810868</v>
      </c>
      <c r="K521" t="n">
        <v>3.116092518941925</v>
      </c>
      <c r="L521" t="n">
        <v>3.631041152353919</v>
      </c>
      <c r="M521" t="n">
        <v>4.293565501116761</v>
      </c>
      <c r="N521" t="n">
        <v>3.378050949406296</v>
      </c>
      <c r="O521" t="n">
        <v>1.456539081334369</v>
      </c>
      <c r="P521" t="n">
        <v>0</v>
      </c>
      <c r="Q521" t="n">
        <v>0.9713623326003346</v>
      </c>
      <c r="R521" t="inlineStr">
        <is>
          <t>Operationnel</t>
        </is>
      </c>
      <c r="S521" t="inlineStr"/>
      <c r="T521" t="inlineStr"/>
      <c r="U521" t="inlineStr"/>
      <c r="V521" t="inlineStr"/>
      <c r="W521" t="inlineStr"/>
      <c r="X521" t="inlineStr">
        <is>
          <t>{05-25-2026 ticket}: INC-20260525-00005822..Others</t>
        </is>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is>
          <t>{05-25-2026 ticket}: INC-20260525-00005822..Others</t>
        </is>
      </c>
      <c r="AR521" t="inlineStr"/>
    </row>
    <row r="522">
      <c r="A522" t="inlineStr">
        <is>
          <t>Bsadi-Terminus</t>
        </is>
      </c>
      <c r="B522" t="inlineStr">
        <is>
          <t>LIT_057</t>
        </is>
      </c>
      <c r="C522" t="inlineStr">
        <is>
          <t>Douala</t>
        </is>
      </c>
      <c r="D522" t="inlineStr">
        <is>
          <t>IHS</t>
        </is>
      </c>
      <c r="E522" t="inlineStr">
        <is>
          <t>Grid-Gen</t>
        </is>
      </c>
      <c r="F522" t="inlineStr">
        <is>
          <t>LITTORAL</t>
        </is>
      </c>
      <c r="G522" t="inlineStr">
        <is>
          <t>Douala</t>
        </is>
      </c>
      <c r="H522" t="inlineStr">
        <is>
          <t>ZTE</t>
        </is>
      </c>
      <c r="I522" t="n">
        <v>0</v>
      </c>
      <c r="J522" t="n">
        <v>0</v>
      </c>
      <c r="K522" t="n">
        <v>0.08871167955072712</v>
      </c>
      <c r="L522" t="n">
        <v>0</v>
      </c>
      <c r="M522" t="n">
        <v>0</v>
      </c>
      <c r="N522" t="n">
        <v>0.5090744137900715</v>
      </c>
      <c r="O522" t="n">
        <v>0.4929048896505053</v>
      </c>
      <c r="P522" t="n">
        <v>1.394381461125448</v>
      </c>
      <c r="Q522" t="n">
        <v>0.9653236139290533</v>
      </c>
      <c r="R522" t="inlineStr">
        <is>
          <t>Operationnel</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row>
    <row r="523">
      <c r="A523" t="inlineStr">
        <is>
          <t>Nwa</t>
        </is>
      </c>
      <c r="B523" t="inlineStr">
        <is>
          <t>NRO_012</t>
        </is>
      </c>
      <c r="C523" t="inlineStr">
        <is>
          <t>NORD-OUEST</t>
        </is>
      </c>
      <c r="D523" t="inlineStr">
        <is>
          <t>IHS</t>
        </is>
      </c>
      <c r="E523" t="inlineStr">
        <is>
          <t>Solar-Gen</t>
        </is>
      </c>
      <c r="F523" t="inlineStr">
        <is>
          <t>NORD-OUEST</t>
        </is>
      </c>
      <c r="G523" t="inlineStr">
        <is>
          <t>Mwa</t>
        </is>
      </c>
      <c r="H523" t="inlineStr">
        <is>
          <t>NOKIA</t>
        </is>
      </c>
      <c r="I523" t="n">
        <v>1.276189029001264</v>
      </c>
      <c r="J523" t="n">
        <v>1.10479392637109</v>
      </c>
      <c r="K523" t="n">
        <v>3.06274665913313</v>
      </c>
      <c r="L523" t="n">
        <v>0.6642674919314105</v>
      </c>
      <c r="M523" t="n">
        <v>3.089106904886241</v>
      </c>
      <c r="N523" t="n">
        <v>0.9716876691086251</v>
      </c>
      <c r="O523" t="n">
        <v>2.439023871939506</v>
      </c>
      <c r="P523" t="n">
        <v>0</v>
      </c>
      <c r="Q523" t="n">
        <v>0.9575653548609863</v>
      </c>
      <c r="R523" t="inlineStr">
        <is>
          <t>Insecurity</t>
        </is>
      </c>
      <c r="S523" t="inlineStr"/>
      <c r="T523" t="inlineStr"/>
      <c r="U523" t="inlineStr"/>
      <c r="V523" t="inlineStr"/>
      <c r="W523" t="inlineStr"/>
      <c r="X523" t="inlineStr">
        <is>
          <t>{05-25-2026 ticket}: INC-20260525-00005784..Others</t>
        </is>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is>
          <t>{05-25-2026 ticket}: INC-20260525-00005784..Others</t>
        </is>
      </c>
      <c r="AR523" t="inlineStr"/>
    </row>
    <row r="524">
      <c r="A524" t="inlineStr">
        <is>
          <t>Koza-MTN</t>
        </is>
      </c>
      <c r="B524" t="inlineStr">
        <is>
          <t>EXN_043</t>
        </is>
      </c>
      <c r="C524" t="inlineStr">
        <is>
          <t>EXTREME-NORD</t>
        </is>
      </c>
      <c r="D524" t="inlineStr">
        <is>
          <t>IHS</t>
        </is>
      </c>
      <c r="E524" t="inlineStr">
        <is>
          <t>Grid-Gen</t>
        </is>
      </c>
      <c r="F524" t="inlineStr">
        <is>
          <t>EXTREME-NORD</t>
        </is>
      </c>
      <c r="G524" t="inlineStr">
        <is>
          <t>Koza</t>
        </is>
      </c>
      <c r="H524" t="inlineStr">
        <is>
          <t>NOKIA</t>
        </is>
      </c>
      <c r="I524" t="n">
        <v>0</v>
      </c>
      <c r="J524" t="n">
        <v>1.173351967423159</v>
      </c>
      <c r="K524" t="n">
        <v>6.258057380343662</v>
      </c>
      <c r="L524" t="n">
        <v>2.079186790138923</v>
      </c>
      <c r="M524" t="n">
        <v>2.59029196430835</v>
      </c>
      <c r="N524" t="n">
        <v>4.392078222605901</v>
      </c>
      <c r="O524" t="n">
        <v>0.9634994068939919</v>
      </c>
      <c r="P524" t="n">
        <v>0</v>
      </c>
      <c r="Q524" t="n">
        <v>0.9506462280219031</v>
      </c>
      <c r="R524" t="inlineStr">
        <is>
          <t>Insecurity</t>
        </is>
      </c>
      <c r="S524" t="inlineStr"/>
      <c r="T524" t="inlineStr"/>
      <c r="U524" t="inlineStr"/>
      <c r="V524" t="inlineStr"/>
      <c r="W524" t="inlineStr"/>
      <c r="X524" t="inlineStr">
        <is>
          <t>{None hourly IHS}: 25/05/2026 13:16..4:03:45..Fme is informed and managing     ;    {05-25-2026 ticket}: INC-20260525-00012434..Auto TT closure RCA..Others Transmission equipement fault</t>
        </is>
      </c>
      <c r="Y524" t="inlineStr">
        <is>
          <t>25/05/2026 13 16.4 03 45.Fme is informed and managing .Auto TT closure RCA.</t>
        </is>
      </c>
      <c r="Z524" t="inlineStr"/>
      <c r="AA524" t="inlineStr"/>
      <c r="AB524" t="inlineStr"/>
      <c r="AC524" t="inlineStr"/>
      <c r="AD524" t="inlineStr"/>
      <c r="AE524" t="inlineStr">
        <is>
          <t>{None hourly IHS}: 25/05/2026 13:16..4:03:45..Fme is informed and managing</t>
        </is>
      </c>
      <c r="AF524" t="inlineStr"/>
      <c r="AG524" t="inlineStr"/>
      <c r="AH524" t="inlineStr"/>
      <c r="AI524" t="inlineStr"/>
      <c r="AJ524" t="inlineStr"/>
      <c r="AK524" t="inlineStr"/>
      <c r="AL524" t="inlineStr"/>
      <c r="AM524" t="inlineStr"/>
      <c r="AN524" t="inlineStr"/>
      <c r="AO524" t="inlineStr"/>
      <c r="AP524" t="inlineStr"/>
      <c r="AQ524" t="inlineStr">
        <is>
          <t>{05-25-2026 ticket}: INC-20260525-00012434..Auto TT closure RCA..Others Transmission equipement fault</t>
        </is>
      </c>
      <c r="AR524" t="inlineStr"/>
    </row>
    <row r="525">
      <c r="A525" t="inlineStr">
        <is>
          <t>Garoua-Ouro-Lawan-II</t>
        </is>
      </c>
      <c r="B525" t="inlineStr">
        <is>
          <t>NRD_146</t>
        </is>
      </c>
      <c r="C525" t="inlineStr">
        <is>
          <t>Garoua</t>
        </is>
      </c>
      <c r="D525" t="inlineStr">
        <is>
          <t>CAMUSAT</t>
        </is>
      </c>
      <c r="E525" t="inlineStr">
        <is>
          <t>Hybrid Solar - S3</t>
        </is>
      </c>
      <c r="F525" t="inlineStr">
        <is>
          <t>NORD</t>
        </is>
      </c>
      <c r="G525" t="inlineStr">
        <is>
          <t>Garoua</t>
        </is>
      </c>
      <c r="H525" t="inlineStr">
        <is>
          <t>Huawei</t>
        </is>
      </c>
      <c r="I525" t="n">
        <v>0.01952941075754852</v>
      </c>
      <c r="J525" t="n">
        <v>0</v>
      </c>
      <c r="K525" t="n">
        <v>0</v>
      </c>
      <c r="L525" t="n">
        <v>8.067340975307692</v>
      </c>
      <c r="M525" t="n">
        <v>13.38849009653771</v>
      </c>
      <c r="N525" t="n">
        <v>1.480012709374962</v>
      </c>
      <c r="O525" t="n">
        <v>1.96131307567551</v>
      </c>
      <c r="P525" t="n">
        <v>0.1369723026613872</v>
      </c>
      <c r="Q525" t="n">
        <v>0.9412105880439341</v>
      </c>
      <c r="R525" t="inlineStr">
        <is>
          <t>Operationnel</t>
        </is>
      </c>
      <c r="S525" t="inlineStr"/>
      <c r="T525" t="inlineStr"/>
      <c r="U525" t="inlineStr"/>
      <c r="V525" t="inlineStr"/>
      <c r="W525" t="inlineStr"/>
      <c r="X525" t="inlineStr">
        <is>
          <t xml:space="preserve">{05-25-2026 retour CAMUSAT}: No power issue </t>
        </is>
      </c>
      <c r="Y525" t="inlineStr">
        <is>
          <t>No power issue</t>
        </is>
      </c>
      <c r="Z525" t="inlineStr"/>
      <c r="AA525" t="inlineStr"/>
      <c r="AB525" t="inlineStr"/>
      <c r="AC525" t="inlineStr">
        <is>
          <t xml:space="preserve">{05-25-2026 retour CAMUSAT}: No power issue </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row>
    <row r="526">
      <c r="A526" t="inlineStr">
        <is>
          <t>Nkolndongo</t>
        </is>
      </c>
      <c r="B526" t="inlineStr">
        <is>
          <t>CTR_109</t>
        </is>
      </c>
      <c r="C526" t="inlineStr">
        <is>
          <t>Yaounde</t>
        </is>
      </c>
      <c r="D526" t="inlineStr">
        <is>
          <t>IHS</t>
        </is>
      </c>
      <c r="E526" t="inlineStr">
        <is>
          <t>Grid-Gen</t>
        </is>
      </c>
      <c r="F526" t="inlineStr">
        <is>
          <t>CENTRE</t>
        </is>
      </c>
      <c r="G526" t="inlineStr">
        <is>
          <t>Yaounde</t>
        </is>
      </c>
      <c r="H526" t="inlineStr">
        <is>
          <t>ZTE</t>
        </is>
      </c>
      <c r="I526" t="n">
        <v>0</v>
      </c>
      <c r="J526" t="n">
        <v>0</v>
      </c>
      <c r="K526" t="n">
        <v>0</v>
      </c>
      <c r="L526" t="n">
        <v>0</v>
      </c>
      <c r="M526" t="n">
        <v>0.00151598165697849</v>
      </c>
      <c r="N526" t="n">
        <v>0.8070752850616885</v>
      </c>
      <c r="O526" t="n">
        <v>0.6853279884125393</v>
      </c>
      <c r="P526" t="n">
        <v>1.132714772570573</v>
      </c>
      <c r="Q526" t="n">
        <v>0.9360205802535724</v>
      </c>
      <c r="R526" t="inlineStr">
        <is>
          <t>Operationnel</t>
        </is>
      </c>
      <c r="S526" t="inlineStr"/>
      <c r="T526" t="inlineStr"/>
      <c r="U526" t="inlineStr"/>
      <c r="V526" t="inlineStr"/>
      <c r="W526" t="inlineStr"/>
      <c r="X526" t="inlineStr">
        <is>
          <t>{05-25-2026 ticket}: INC-20260525-00022092..Grid Outage</t>
        </is>
      </c>
      <c r="Y526" t="inlineStr">
        <is>
          <t>.Grid Outage</t>
        </is>
      </c>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{05-25-2026 ticket}: INC-20260525-00022092..Grid Outage</t>
        </is>
      </c>
      <c r="AR526" t="inlineStr"/>
    </row>
    <row r="527">
      <c r="A527" t="inlineStr">
        <is>
          <t>Makepe-III-MTN</t>
        </is>
      </c>
      <c r="B527" t="inlineStr">
        <is>
          <t>LIT_677</t>
        </is>
      </c>
      <c r="C527" t="inlineStr">
        <is>
          <t>Douala</t>
        </is>
      </c>
      <c r="D527" t="inlineStr">
        <is>
          <t>MTN</t>
        </is>
      </c>
      <c r="E527" t="inlineStr">
        <is>
          <t>MTN</t>
        </is>
      </c>
      <c r="F527" t="inlineStr">
        <is>
          <t>LITTORAL</t>
        </is>
      </c>
      <c r="G527" t="inlineStr">
        <is>
          <t>Douala</t>
        </is>
      </c>
      <c r="H527" t="inlineStr">
        <is>
          <t>ZTE</t>
        </is>
      </c>
      <c r="I527" t="n">
        <v>0</v>
      </c>
      <c r="J527" t="n">
        <v>0</v>
      </c>
      <c r="K527" t="n">
        <v>0</v>
      </c>
      <c r="L527" t="n">
        <v>0.7104068395385131</v>
      </c>
      <c r="M527" t="n">
        <v>1.612094894031099</v>
      </c>
      <c r="N527" t="n">
        <v>0.3057443976835366</v>
      </c>
      <c r="O527" t="n">
        <v>0.4663417893244392</v>
      </c>
      <c r="P527" t="n">
        <v>1.40854039578258</v>
      </c>
      <c r="Q527" t="n">
        <v>0.9347542896930372</v>
      </c>
      <c r="R527" t="inlineStr">
        <is>
          <t>Operationnel</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row>
    <row r="528">
      <c r="A528" t="inlineStr">
        <is>
          <t>Maroua-Stade</t>
        </is>
      </c>
      <c r="B528" t="inlineStr">
        <is>
          <t>EXN_066</t>
        </is>
      </c>
      <c r="C528" t="inlineStr">
        <is>
          <t>Maroua</t>
        </is>
      </c>
      <c r="D528" t="inlineStr">
        <is>
          <t>IHS</t>
        </is>
      </c>
      <c r="E528" t="inlineStr">
        <is>
          <t>Grid-Gen</t>
        </is>
      </c>
      <c r="F528" t="inlineStr">
        <is>
          <t>EXTREME-NORD</t>
        </is>
      </c>
      <c r="G528" t="inlineStr">
        <is>
          <t>Maroua</t>
        </is>
      </c>
      <c r="H528" t="inlineStr">
        <is>
          <t>Huawei</t>
        </is>
      </c>
      <c r="I528" t="n">
        <v>0.2686141145382998</v>
      </c>
      <c r="J528" t="n">
        <v>0</v>
      </c>
      <c r="K528" t="n">
        <v>0</v>
      </c>
      <c r="L528" t="n">
        <v>0</v>
      </c>
      <c r="M528" t="n">
        <v>1.737136628114362</v>
      </c>
      <c r="N528" t="n">
        <v>1.592418737935086</v>
      </c>
      <c r="O528" t="n">
        <v>2.029686495914808</v>
      </c>
      <c r="P528" t="n">
        <v>0.04907746674633973</v>
      </c>
      <c r="Q528" t="n">
        <v>0.9343797530483716</v>
      </c>
      <c r="R528" t="inlineStr">
        <is>
          <t>Operationnel</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row>
    <row r="529">
      <c r="A529" t="inlineStr">
        <is>
          <t>H-Princes</t>
        </is>
      </c>
      <c r="B529" t="inlineStr">
        <is>
          <t>CTR_044</t>
        </is>
      </c>
      <c r="C529" t="inlineStr">
        <is>
          <t>Yaounde</t>
        </is>
      </c>
      <c r="D529" t="inlineStr">
        <is>
          <t>IHS</t>
        </is>
      </c>
      <c r="E529" t="inlineStr">
        <is>
          <t>Grid-Gen</t>
        </is>
      </c>
      <c r="F529" t="inlineStr">
        <is>
          <t>CENTRE</t>
        </is>
      </c>
      <c r="G529" t="inlineStr">
        <is>
          <t>Yaounde</t>
        </is>
      </c>
      <c r="H529" t="inlineStr">
        <is>
          <t>ZTE</t>
        </is>
      </c>
      <c r="I529" t="n">
        <v>0</v>
      </c>
      <c r="J529" t="n">
        <v>0</v>
      </c>
      <c r="K529" t="n">
        <v>0</v>
      </c>
      <c r="L529" t="n">
        <v>0</v>
      </c>
      <c r="M529" t="n">
        <v>0</v>
      </c>
      <c r="N529" t="n">
        <v>0.5118221167104301</v>
      </c>
      <c r="O529" t="n">
        <v>0.5380621602048201</v>
      </c>
      <c r="P529" t="n">
        <v>1.296226527632768</v>
      </c>
      <c r="Q529" t="n">
        <v>0.9296891274508964</v>
      </c>
      <c r="R529" t="inlineStr">
        <is>
          <t>Operationnel</t>
        </is>
      </c>
      <c r="S529" t="inlineStr"/>
      <c r="T529" t="inlineStr"/>
      <c r="U529" t="inlineStr"/>
      <c r="V529" t="inlineStr"/>
      <c r="W529" t="inlineStr"/>
      <c r="X529" t="inlineStr">
        <is>
          <t>{05-25-2026 ticket}: INC-20260525-00021880..Grid Outage</t>
        </is>
      </c>
      <c r="Y529" t="inlineStr">
        <is>
          <t>.Grid Outage</t>
        </is>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is>
          <t>{05-25-2026 ticket}: INC-20260525-00021880..Grid Outage</t>
        </is>
      </c>
      <c r="AR529" t="inlineStr"/>
    </row>
    <row r="530">
      <c r="A530" t="inlineStr">
        <is>
          <t>IHS-Bamenda-Bujong</t>
        </is>
      </c>
      <c r="B530" t="inlineStr">
        <is>
          <t>NRO_133</t>
        </is>
      </c>
      <c r="C530" t="inlineStr">
        <is>
          <t>NORD-OUEST</t>
        </is>
      </c>
      <c r="D530" t="inlineStr">
        <is>
          <t>IHS</t>
        </is>
      </c>
      <c r="E530" t="inlineStr">
        <is>
          <t>Grid-Gen</t>
        </is>
      </c>
      <c r="F530" t="inlineStr">
        <is>
          <t>NORD-OUEST</t>
        </is>
      </c>
      <c r="G530" t="inlineStr">
        <is>
          <t>Bamenda</t>
        </is>
      </c>
      <c r="H530" t="inlineStr">
        <is>
          <t>Huawei</t>
        </is>
      </c>
      <c r="I530" t="n">
        <v>1.387390742310228</v>
      </c>
      <c r="J530" t="n">
        <v>0</v>
      </c>
      <c r="K530" t="n">
        <v>1.536991379236544</v>
      </c>
      <c r="L530" t="n">
        <v>2.460313383728131</v>
      </c>
      <c r="M530" t="n">
        <v>0</v>
      </c>
      <c r="N530" t="n">
        <v>0.5526629737539417</v>
      </c>
      <c r="O530" t="n">
        <v>0.9047391971058546</v>
      </c>
      <c r="P530" t="n">
        <v>1.042596915513706</v>
      </c>
      <c r="Q530" t="n">
        <v>0.9263539678055437</v>
      </c>
      <c r="R530" t="inlineStr">
        <is>
          <t>Operationnel</t>
        </is>
      </c>
      <c r="S530" t="inlineStr"/>
      <c r="T530" t="inlineStr"/>
      <c r="U530" t="inlineStr"/>
      <c r="V530" t="inlineStr"/>
      <c r="W530" t="inlineStr"/>
      <c r="X530" t="inlineStr">
        <is>
          <t>{None hourly IHS}: 25/05/2026 16:44..5:40:57..Fme is managing with level 0</t>
        </is>
      </c>
      <c r="Y530" t="inlineStr">
        <is>
          <t>25/05/2026 16 44.5 40 57.Fme is managing with level 0</t>
        </is>
      </c>
      <c r="Z530" t="inlineStr"/>
      <c r="AA530" t="inlineStr"/>
      <c r="AB530" t="inlineStr"/>
      <c r="AC530" t="inlineStr"/>
      <c r="AD530" t="inlineStr"/>
      <c r="AE530" t="inlineStr">
        <is>
          <t>{None hourly IHS}: 25/05/2026 16:44..5:40:57..Fme is managing with level 0</t>
        </is>
      </c>
      <c r="AF530" t="inlineStr"/>
      <c r="AG530" t="inlineStr"/>
      <c r="AH530" t="inlineStr"/>
      <c r="AI530" t="inlineStr"/>
      <c r="AJ530" t="inlineStr"/>
      <c r="AK530" t="inlineStr"/>
      <c r="AL530" t="inlineStr"/>
      <c r="AM530" t="inlineStr"/>
      <c r="AN530" t="inlineStr"/>
      <c r="AO530" t="inlineStr"/>
      <c r="AP530" t="inlineStr"/>
      <c r="AQ530" t="inlineStr"/>
      <c r="AR530" t="inlineStr"/>
    </row>
    <row r="531">
      <c r="A531" t="inlineStr">
        <is>
          <t>Odza-III</t>
        </is>
      </c>
      <c r="B531" t="inlineStr">
        <is>
          <t>CTR_628</t>
        </is>
      </c>
      <c r="C531" t="inlineStr">
        <is>
          <t>Yaounde</t>
        </is>
      </c>
      <c r="D531" t="inlineStr">
        <is>
          <t>CAMUSAT</t>
        </is>
      </c>
      <c r="E531" t="inlineStr">
        <is>
          <t>Bad Grid + GE</t>
        </is>
      </c>
      <c r="F531" t="inlineStr">
        <is>
          <t>CENTRE</t>
        </is>
      </c>
      <c r="G531" t="inlineStr">
        <is>
          <t>Yaounde</t>
        </is>
      </c>
      <c r="H531" t="inlineStr">
        <is>
          <t>ZTE</t>
        </is>
      </c>
      <c r="I531" t="n">
        <v>0</v>
      </c>
      <c r="J531" t="n">
        <v>0</v>
      </c>
      <c r="K531" t="n">
        <v>0</v>
      </c>
      <c r="L531" t="n">
        <v>0</v>
      </c>
      <c r="M531" t="n">
        <v>0</v>
      </c>
      <c r="N531" t="n">
        <v>1.452036097822221</v>
      </c>
      <c r="O531" t="n">
        <v>0.06821404163734147</v>
      </c>
      <c r="P531" t="n">
        <v>1.332889276310173</v>
      </c>
      <c r="Q531" t="n">
        <v>0.9253373683414517</v>
      </c>
      <c r="R531" t="inlineStr">
        <is>
          <t>Operationnel</t>
        </is>
      </c>
      <c r="S531" t="inlineStr"/>
      <c r="T531" t="inlineStr"/>
      <c r="U531" t="inlineStr"/>
      <c r="V531" t="inlineStr"/>
      <c r="W531" t="inlineStr"/>
      <c r="X531" t="inlineStr">
        <is>
          <t>{05-25-2026 ticket}: INC-20260525-00023188..Grid Outage</t>
        </is>
      </c>
      <c r="Y531" t="inlineStr">
        <is>
          <t>.Grid Outage</t>
        </is>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is>
          <t>{05-25-2026 ticket}: INC-20260525-00023188..Grid Outage</t>
        </is>
      </c>
      <c r="AR531" t="inlineStr"/>
    </row>
    <row r="532">
      <c r="A532" t="inlineStr">
        <is>
          <t>Mankouotmbou</t>
        </is>
      </c>
      <c r="B532" t="inlineStr">
        <is>
          <t>OST_245</t>
        </is>
      </c>
      <c r="C532" t="inlineStr">
        <is>
          <t>OUEST</t>
        </is>
      </c>
      <c r="D532" t="inlineStr">
        <is>
          <t>CAMUSAT</t>
        </is>
      </c>
      <c r="E532" t="inlineStr">
        <is>
          <t>Hybrid Solar - S3</t>
        </is>
      </c>
      <c r="F532" t="inlineStr">
        <is>
          <t>OUEST</t>
        </is>
      </c>
      <c r="G532" t="inlineStr">
        <is>
          <t>Mankouotmbou</t>
        </is>
      </c>
      <c r="H532" t="inlineStr">
        <is>
          <t>NOKIA</t>
        </is>
      </c>
      <c r="I532" t="n">
        <v>0.157448071385971</v>
      </c>
      <c r="J532" t="n">
        <v>0</v>
      </c>
      <c r="K532" t="n">
        <v>0</v>
      </c>
      <c r="L532" t="n">
        <v>0</v>
      </c>
      <c r="M532" t="n">
        <v>0</v>
      </c>
      <c r="N532" t="n">
        <v>3.221931465295013</v>
      </c>
      <c r="O532" t="n">
        <v>1.374640441873986</v>
      </c>
      <c r="P532" t="n">
        <v>0</v>
      </c>
      <c r="Q532" t="n">
        <v>0.921574166816481</v>
      </c>
      <c r="R532" t="inlineStr">
        <is>
          <t>Operationnel</t>
        </is>
      </c>
      <c r="S532" t="inlineStr"/>
      <c r="T532" t="inlineStr"/>
      <c r="U532" t="inlineStr"/>
      <c r="V532" t="inlineStr"/>
      <c r="W532" t="inlineStr"/>
      <c r="X532" t="inlineStr">
        <is>
          <t>{05-25-2026 ocm ran 22H}: Power status check Ongoing     ;    {05-25-2026 ticket}: INC-20260525-00024961</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{05-25-2026 ocm ran 22H}: Power status check Ongoing</t>
        </is>
      </c>
      <c r="AP532" t="inlineStr"/>
      <c r="AQ532" t="inlineStr">
        <is>
          <t>{05-25-2026 ticket}: INC-20260525-00024961</t>
        </is>
      </c>
      <c r="AR532" t="inlineStr"/>
    </row>
    <row r="533">
      <c r="A533" t="inlineStr">
        <is>
          <t>Bekoko-IHS</t>
        </is>
      </c>
      <c r="B533" t="inlineStr">
        <is>
          <t>LIT_477</t>
        </is>
      </c>
      <c r="C533" t="inlineStr">
        <is>
          <t>LITTORAL</t>
        </is>
      </c>
      <c r="D533" t="inlineStr">
        <is>
          <t>IHS</t>
        </is>
      </c>
      <c r="E533" t="inlineStr">
        <is>
          <t>Grid-Gen</t>
        </is>
      </c>
      <c r="F533" t="inlineStr">
        <is>
          <t>LITTORAL</t>
        </is>
      </c>
      <c r="G533" t="inlineStr">
        <is>
          <t>Bekoko</t>
        </is>
      </c>
      <c r="H533" t="inlineStr">
        <is>
          <t>ZTE</t>
        </is>
      </c>
      <c r="I533" t="n">
        <v>0</v>
      </c>
      <c r="J533" t="n">
        <v>0</v>
      </c>
      <c r="K533" t="n">
        <v>0</v>
      </c>
      <c r="L533" t="n">
        <v>0.05273832658453983</v>
      </c>
      <c r="M533" t="n">
        <v>8.511684116507295</v>
      </c>
      <c r="N533" t="n">
        <v>0.3577009619957715</v>
      </c>
      <c r="O533" t="n">
        <v>0.5728066954313161</v>
      </c>
      <c r="P533" t="n">
        <v>1.284085412165904</v>
      </c>
      <c r="Q533" t="n">
        <v>0.9130133292241309</v>
      </c>
      <c r="R533" t="inlineStr">
        <is>
          <t>Operationnel</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row>
    <row r="534">
      <c r="A534" t="inlineStr">
        <is>
          <t>Bafia</t>
        </is>
      </c>
      <c r="B534" t="inlineStr">
        <is>
          <t>CTR_022</t>
        </is>
      </c>
      <c r="C534" t="inlineStr">
        <is>
          <t>CENTRE</t>
        </is>
      </c>
      <c r="D534" t="inlineStr">
        <is>
          <t>IHS</t>
        </is>
      </c>
      <c r="E534" t="inlineStr">
        <is>
          <t>Grid-Gen</t>
        </is>
      </c>
      <c r="F534" t="inlineStr">
        <is>
          <t>CENTRE</t>
        </is>
      </c>
      <c r="G534" t="inlineStr">
        <is>
          <t>Bafia</t>
        </is>
      </c>
      <c r="H534" t="inlineStr">
        <is>
          <t>ZTE</t>
        </is>
      </c>
      <c r="I534" t="n">
        <v>0.1011962343729049</v>
      </c>
      <c r="J534" t="n">
        <v>0</v>
      </c>
      <c r="K534" t="n">
        <v>0</v>
      </c>
      <c r="L534" t="n">
        <v>0</v>
      </c>
      <c r="M534" t="n">
        <v>0</v>
      </c>
      <c r="N534" t="n">
        <v>0.5386746679775707</v>
      </c>
      <c r="O534" t="n">
        <v>1.000791367884913</v>
      </c>
      <c r="P534" t="n">
        <v>0.9234087819868819</v>
      </c>
      <c r="Q534" t="n">
        <v>0.8944470126957227</v>
      </c>
      <c r="R534" t="inlineStr">
        <is>
          <t>Operationnel</t>
        </is>
      </c>
      <c r="S534" t="inlineStr"/>
      <c r="T534" t="inlineStr"/>
      <c r="U534" t="inlineStr"/>
      <c r="V534" t="inlineStr"/>
      <c r="W534" t="inlineStr"/>
      <c r="X534" t="inlineStr">
        <is>
          <t>{05-25-2026 ticket}: INC-20260525-00007563..Grid Outage</t>
        </is>
      </c>
      <c r="Y534" t="inlineStr">
        <is>
          <t>.Grid Outage</t>
        </is>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is>
          <t>{05-25-2026 ticket}: INC-20260525-00007563..Grid Outage</t>
        </is>
      </c>
      <c r="AR534" t="inlineStr"/>
    </row>
    <row r="535">
      <c r="A535" t="inlineStr">
        <is>
          <t>Garoua-Sonayo</t>
        </is>
      </c>
      <c r="B535" t="inlineStr">
        <is>
          <t>NRD_162</t>
        </is>
      </c>
      <c r="C535" t="inlineStr">
        <is>
          <t>Garoua</t>
        </is>
      </c>
      <c r="D535" t="inlineStr">
        <is>
          <t>CAMUSAT</t>
        </is>
      </c>
      <c r="E535" t="inlineStr">
        <is>
          <t>Medium Grid + GE</t>
        </is>
      </c>
      <c r="F535" t="inlineStr">
        <is>
          <t>NORD</t>
        </is>
      </c>
      <c r="G535" t="inlineStr">
        <is>
          <t>Garoua</t>
        </is>
      </c>
      <c r="H535" t="inlineStr">
        <is>
          <t>Huawei</t>
        </is>
      </c>
      <c r="I535" t="n">
        <v>0.01988611232389643</v>
      </c>
      <c r="J535" t="n">
        <v>0</v>
      </c>
      <c r="K535" t="n">
        <v>0</v>
      </c>
      <c r="L535" t="n">
        <v>11.3746957335639</v>
      </c>
      <c r="M535" t="n">
        <v>2.407699902691812</v>
      </c>
      <c r="N535" t="n">
        <v>0.89924822848099</v>
      </c>
      <c r="O535" t="n">
        <v>1.17116709337631</v>
      </c>
      <c r="P535" t="n">
        <v>0.7127347783928364</v>
      </c>
      <c r="Q535" t="n">
        <v>0.893269897526774</v>
      </c>
      <c r="R535" t="inlineStr">
        <is>
          <t>Operationnel</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row>
    <row r="536">
      <c r="A536" t="inlineStr">
        <is>
          <t>Kumba-Market</t>
        </is>
      </c>
      <c r="B536" t="inlineStr">
        <is>
          <t>SUO_112</t>
        </is>
      </c>
      <c r="C536" t="inlineStr">
        <is>
          <t>SUD-OUEST</t>
        </is>
      </c>
      <c r="D536" t="inlineStr">
        <is>
          <t>IHS</t>
        </is>
      </c>
      <c r="E536" t="inlineStr">
        <is>
          <t>Grid-Gen</t>
        </is>
      </c>
      <c r="F536" t="inlineStr">
        <is>
          <t>SUD-OUEST</t>
        </is>
      </c>
      <c r="G536" t="inlineStr">
        <is>
          <t>Kumba</t>
        </is>
      </c>
      <c r="H536" t="inlineStr">
        <is>
          <t>Huawei</t>
        </is>
      </c>
      <c r="I536" t="n">
        <v>38.24152905120237</v>
      </c>
      <c r="J536" t="n">
        <v>12.55420080300656</v>
      </c>
      <c r="K536" t="n">
        <v>23.11426149934509</v>
      </c>
      <c r="L536" t="n">
        <v>34.29052415154965</v>
      </c>
      <c r="M536" t="n">
        <v>0.0008025785242828158</v>
      </c>
      <c r="N536" t="n">
        <v>1.112819682745225</v>
      </c>
      <c r="O536" t="n">
        <v>1.903139885961423</v>
      </c>
      <c r="P536" t="n">
        <v>0.1482584099967825</v>
      </c>
      <c r="Q536" t="n">
        <v>0.8751316228779824</v>
      </c>
      <c r="R536" t="inlineStr">
        <is>
          <t>Operationnel</t>
        </is>
      </c>
      <c r="S536" t="inlineStr"/>
      <c r="T536" t="inlineStr"/>
      <c r="U536" t="inlineStr"/>
      <c r="V536" t="inlineStr"/>
      <c r="W536" t="inlineStr"/>
      <c r="X536" t="inlineStr">
        <is>
          <t>{None hourly IHS}: 25/05/2026 21:26..1:33:31..FME Marcel is managing with level 0</t>
        </is>
      </c>
      <c r="Y536" t="inlineStr">
        <is>
          <t>25/05/2026 21 26.1 33 31.FME Marcel is managing with level 0</t>
        </is>
      </c>
      <c r="Z536" t="inlineStr"/>
      <c r="AA536" t="inlineStr"/>
      <c r="AB536" t="inlineStr"/>
      <c r="AC536" t="inlineStr"/>
      <c r="AD536" t="inlineStr"/>
      <c r="AE536" t="inlineStr">
        <is>
          <t>{None hourly IHS}: 25/05/2026 21:26..1:33:31..FME Marcel is managing with level 0</t>
        </is>
      </c>
      <c r="AF536" t="inlineStr"/>
      <c r="AG536" t="inlineStr"/>
      <c r="AH536" t="inlineStr"/>
      <c r="AI536" t="inlineStr"/>
      <c r="AJ536" t="inlineStr"/>
      <c r="AK536" t="inlineStr"/>
      <c r="AL536" t="inlineStr"/>
      <c r="AM536" t="inlineStr"/>
      <c r="AN536" t="inlineStr"/>
      <c r="AO536" t="inlineStr"/>
      <c r="AP536" t="inlineStr"/>
      <c r="AQ536" t="inlineStr"/>
      <c r="AR536" t="inlineStr"/>
    </row>
    <row r="537">
      <c r="A537" t="inlineStr">
        <is>
          <t>Ngd-Stade</t>
        </is>
      </c>
      <c r="B537" t="inlineStr">
        <is>
          <t>ADM_057</t>
        </is>
      </c>
      <c r="C537" t="inlineStr">
        <is>
          <t>Ngaoundere</t>
        </is>
      </c>
      <c r="D537" t="inlineStr">
        <is>
          <t>IHS</t>
        </is>
      </c>
      <c r="E537" t="inlineStr">
        <is>
          <t>Grid-Gen</t>
        </is>
      </c>
      <c r="F537" t="inlineStr">
        <is>
          <t>ADAMAOUA</t>
        </is>
      </c>
      <c r="G537" t="inlineStr">
        <is>
          <t>Ngaoundere</t>
        </is>
      </c>
      <c r="H537" t="inlineStr">
        <is>
          <t>Huawei</t>
        </is>
      </c>
      <c r="I537" t="n">
        <v>0</v>
      </c>
      <c r="J537" t="n">
        <v>0</v>
      </c>
      <c r="K537" t="n">
        <v>0.336512257692626</v>
      </c>
      <c r="L537" t="n">
        <v>2.945498854274569</v>
      </c>
      <c r="M537" t="n">
        <v>3.565606692292107</v>
      </c>
      <c r="N537" t="n">
        <v>1.751660611728595</v>
      </c>
      <c r="O537" t="n">
        <v>1.496565072370636</v>
      </c>
      <c r="P537" t="n">
        <v>0.2341012263963035</v>
      </c>
      <c r="Q537" t="n">
        <v>0.8746322406850953</v>
      </c>
      <c r="R537" t="inlineStr">
        <is>
          <t>Operationnel</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row>
    <row r="538">
      <c r="A538" t="inlineStr">
        <is>
          <t>Kousseri-Arazai-MTN-IHS</t>
        </is>
      </c>
      <c r="B538" t="inlineStr">
        <is>
          <t>EXN_181</t>
        </is>
      </c>
      <c r="C538" t="inlineStr">
        <is>
          <t>EXTREME-NORD</t>
        </is>
      </c>
      <c r="D538" t="inlineStr">
        <is>
          <t>IHS</t>
        </is>
      </c>
      <c r="E538" t="inlineStr">
        <is>
          <t>Grid-Gen</t>
        </is>
      </c>
      <c r="F538" t="inlineStr">
        <is>
          <t>EXTREME-NORD</t>
        </is>
      </c>
      <c r="G538" t="inlineStr">
        <is>
          <t>Kousseri</t>
        </is>
      </c>
      <c r="H538" t="inlineStr">
        <is>
          <t>Huawei</t>
        </is>
      </c>
      <c r="I538" t="n">
        <v>3.958531302702656</v>
      </c>
      <c r="J538" t="n">
        <v>5.368180222752994</v>
      </c>
      <c r="K538" t="n">
        <v>5.606920581109656</v>
      </c>
      <c r="L538" t="n">
        <v>1.963713463058559</v>
      </c>
      <c r="M538" t="n">
        <v>1.214836359589422</v>
      </c>
      <c r="N538" t="n">
        <v>0.9054930078454412</v>
      </c>
      <c r="O538" t="n">
        <v>1.139928887392855</v>
      </c>
      <c r="P538" t="n">
        <v>0.694266602753099</v>
      </c>
      <c r="Q538" t="n">
        <v>0.8740436831006213</v>
      </c>
      <c r="R538" t="inlineStr">
        <is>
          <t>Insecurity</t>
        </is>
      </c>
      <c r="S538" t="inlineStr"/>
      <c r="T538" t="inlineStr"/>
      <c r="U538" t="inlineStr"/>
      <c r="V538" t="inlineStr"/>
      <c r="W538" t="inlineStr"/>
      <c r="X53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538"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538" t="inlineStr"/>
      <c r="AA53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row>
    <row r="539">
      <c r="A539" t="inlineStr">
        <is>
          <t>Titi-Garage</t>
        </is>
      </c>
      <c r="B539" t="inlineStr">
        <is>
          <t>CTR_542</t>
        </is>
      </c>
      <c r="C539" t="inlineStr">
        <is>
          <t>Yaounde</t>
        </is>
      </c>
      <c r="D539" t="inlineStr">
        <is>
          <t>IHS</t>
        </is>
      </c>
      <c r="E539" t="inlineStr">
        <is>
          <t>Grid-Gen</t>
        </is>
      </c>
      <c r="F539" t="inlineStr">
        <is>
          <t>CENTRE</t>
        </is>
      </c>
      <c r="G539" t="inlineStr">
        <is>
          <t>Yaounde</t>
        </is>
      </c>
      <c r="H539" t="inlineStr">
        <is>
          <t>ZTE</t>
        </is>
      </c>
      <c r="I539" t="n">
        <v>0</v>
      </c>
      <c r="J539" t="n">
        <v>0</v>
      </c>
      <c r="K539" t="n">
        <v>0</v>
      </c>
      <c r="L539" t="n">
        <v>0.0008560837592350035</v>
      </c>
      <c r="M539" t="n">
        <v>0</v>
      </c>
      <c r="N539" t="n">
        <v>0.4482502627803157</v>
      </c>
      <c r="O539" t="n">
        <v>0.3782585486431997</v>
      </c>
      <c r="P539" t="n">
        <v>1.305152812525307</v>
      </c>
      <c r="Q539" t="n">
        <v>0.8716181124494551</v>
      </c>
      <c r="R539" t="inlineStr">
        <is>
          <t>Operationnel</t>
        </is>
      </c>
      <c r="S539" t="inlineStr"/>
      <c r="T539" t="inlineStr"/>
      <c r="U539" t="inlineStr"/>
      <c r="V539" t="inlineStr"/>
      <c r="W539" t="inlineStr"/>
      <c r="X539" t="inlineStr">
        <is>
          <t>{05-25-2026 ticket}: INC-20260525-00016754..Others</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is>
          <t>{05-25-2026 ticket}: INC-20260525-00016754..Others</t>
        </is>
      </c>
      <c r="AR539" t="inlineStr"/>
    </row>
    <row r="540">
      <c r="A540" t="inlineStr">
        <is>
          <t>Ebonji-IHS</t>
        </is>
      </c>
      <c r="B540" t="inlineStr">
        <is>
          <t>SUO_101</t>
        </is>
      </c>
      <c r="C540" t="inlineStr">
        <is>
          <t>SUD-OUEST</t>
        </is>
      </c>
      <c r="D540" t="inlineStr">
        <is>
          <t>IHS</t>
        </is>
      </c>
      <c r="E540" t="inlineStr">
        <is>
          <t>Grid-Gen</t>
        </is>
      </c>
      <c r="F540" t="inlineStr">
        <is>
          <t>SUD-OUEST</t>
        </is>
      </c>
      <c r="G540" t="inlineStr">
        <is>
          <t>Ebonji</t>
        </is>
      </c>
      <c r="H540" t="inlineStr">
        <is>
          <t>NOKIA</t>
        </is>
      </c>
      <c r="I540" t="n">
        <v>0</v>
      </c>
      <c r="J540" t="n">
        <v>0</v>
      </c>
      <c r="K540" t="n">
        <v>0</v>
      </c>
      <c r="L540" t="n">
        <v>0</v>
      </c>
      <c r="M540" t="n">
        <v>0</v>
      </c>
      <c r="N540" t="n">
        <v>2.956778133480411</v>
      </c>
      <c r="O540" t="n">
        <v>1.290701044843613</v>
      </c>
      <c r="P540" t="n">
        <v>0</v>
      </c>
      <c r="Q540" t="n">
        <v>0.8555308718071641</v>
      </c>
      <c r="R540" t="inlineStr">
        <is>
          <t>Insecurity</t>
        </is>
      </c>
      <c r="S540" t="inlineStr"/>
      <c r="T540" t="inlineStr"/>
      <c r="U540" t="inlineStr"/>
      <c r="V540" t="inlineStr"/>
      <c r="W540" t="inlineStr"/>
      <c r="X540" t="inlineStr">
        <is>
          <t>{None hourly IHS}: 25/05/2026 09:13..0:47:00..30 v..Kelvin is informed and will manage in the morning, Insecurity area.     ;    {05-25-2026 ticket}: INC-20260525-00007734..power issue..Grid Outage</t>
        </is>
      </c>
      <c r="Y540" t="inlineStr">
        <is>
          <t>25/05/2026 09 13.0 47 00.30 v.Kelvin is informed and will manage in the morning, Insecurity area. .power issue.Grid Outage</t>
        </is>
      </c>
      <c r="Z540" t="inlineStr"/>
      <c r="AA540" t="inlineStr"/>
      <c r="AB540" t="inlineStr"/>
      <c r="AC540" t="inlineStr"/>
      <c r="AD540" t="inlineStr"/>
      <c r="AE540" t="inlineStr">
        <is>
          <t>{None hourly IHS}: 25/05/2026 09:13..0:47:00..30 v..Kelvin is informed and will manage in the morning, Insecurity area.</t>
        </is>
      </c>
      <c r="AF540" t="inlineStr"/>
      <c r="AG540" t="inlineStr"/>
      <c r="AH540" t="inlineStr"/>
      <c r="AI540" t="inlineStr"/>
      <c r="AJ540" t="inlineStr"/>
      <c r="AK540" t="inlineStr"/>
      <c r="AL540" t="inlineStr"/>
      <c r="AM540" t="inlineStr"/>
      <c r="AN540" t="inlineStr"/>
      <c r="AO540" t="inlineStr"/>
      <c r="AP540" t="inlineStr"/>
      <c r="AQ540" t="inlineStr">
        <is>
          <t>{05-25-2026 ticket}: INC-20260525-00007734..power issue..Grid Outage</t>
        </is>
      </c>
      <c r="AR540" t="inlineStr"/>
    </row>
    <row r="541">
      <c r="A541" t="inlineStr">
        <is>
          <t>Yagoua-Quinf</t>
        </is>
      </c>
      <c r="B541" t="inlineStr">
        <is>
          <t>EXN_069</t>
        </is>
      </c>
      <c r="C541" t="inlineStr">
        <is>
          <t>EXTREME-NORD</t>
        </is>
      </c>
      <c r="D541" t="inlineStr">
        <is>
          <t>IHS</t>
        </is>
      </c>
      <c r="E541" t="inlineStr">
        <is>
          <t>Grid-Gen</t>
        </is>
      </c>
      <c r="F541" t="inlineStr">
        <is>
          <t>EXTREME-NORD</t>
        </is>
      </c>
      <c r="G541" t="inlineStr">
        <is>
          <t>Yagoua</t>
        </is>
      </c>
      <c r="H541" t="inlineStr">
        <is>
          <t>Huawei</t>
        </is>
      </c>
      <c r="I541" t="n">
        <v>0.5443087551686058</v>
      </c>
      <c r="J541" t="n">
        <v>0</v>
      </c>
      <c r="K541" t="n">
        <v>0.5425252473368661</v>
      </c>
      <c r="L541" t="n">
        <v>0.1660445791349559</v>
      </c>
      <c r="M541" t="n">
        <v>0</v>
      </c>
      <c r="N541" t="n">
        <v>1.163402395597281</v>
      </c>
      <c r="O541" t="n">
        <v>1.973372723223545</v>
      </c>
      <c r="P541" t="n">
        <v>0.03471333013765494</v>
      </c>
      <c r="Q541" t="n">
        <v>0.8467203431183705</v>
      </c>
      <c r="R541" t="inlineStr">
        <is>
          <t>Insecurity</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row>
    <row r="542">
      <c r="A542" t="inlineStr">
        <is>
          <t>Douche</t>
        </is>
      </c>
      <c r="B542" t="inlineStr">
        <is>
          <t>LIT_580</t>
        </is>
      </c>
      <c r="C542" t="inlineStr">
        <is>
          <t>Douala</t>
        </is>
      </c>
      <c r="D542" t="inlineStr">
        <is>
          <t>IHS</t>
        </is>
      </c>
      <c r="E542" t="inlineStr">
        <is>
          <t>Grid-Gen</t>
        </is>
      </c>
      <c r="F542" t="inlineStr">
        <is>
          <t>LITTORAL</t>
        </is>
      </c>
      <c r="G542" t="inlineStr">
        <is>
          <t>Douala</t>
        </is>
      </c>
      <c r="H542" t="inlineStr">
        <is>
          <t>ZTE</t>
        </is>
      </c>
      <c r="I542" t="n">
        <v>0</v>
      </c>
      <c r="J542" t="n">
        <v>0</v>
      </c>
      <c r="K542" t="n">
        <v>0</v>
      </c>
      <c r="L542" t="n">
        <v>0</v>
      </c>
      <c r="M542" t="n">
        <v>0</v>
      </c>
      <c r="N542" t="n">
        <v>0.4656107494134903</v>
      </c>
      <c r="O542" t="n">
        <v>0.3987652620949235</v>
      </c>
      <c r="P542" t="n">
        <v>1.233639932409212</v>
      </c>
      <c r="Q542" t="n">
        <v>0.8436883798044131</v>
      </c>
      <c r="R542" t="inlineStr">
        <is>
          <t>Operationnel</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row>
    <row r="543">
      <c r="A543" t="inlineStr">
        <is>
          <t>Maroua-Ouro-Bah</t>
        </is>
      </c>
      <c r="B543" t="inlineStr">
        <is>
          <t>EXN_083</t>
        </is>
      </c>
      <c r="C543" t="inlineStr">
        <is>
          <t>Maroua</t>
        </is>
      </c>
      <c r="D543" t="inlineStr">
        <is>
          <t>IHS</t>
        </is>
      </c>
      <c r="E543" t="inlineStr">
        <is>
          <t>Grid-Gen</t>
        </is>
      </c>
      <c r="F543" t="inlineStr">
        <is>
          <t>EXTREME-NORD</t>
        </is>
      </c>
      <c r="G543" t="inlineStr">
        <is>
          <t>Maroua</t>
        </is>
      </c>
      <c r="H543" t="inlineStr">
        <is>
          <t>Huawei</t>
        </is>
      </c>
      <c r="I543" t="n">
        <v>0</v>
      </c>
      <c r="J543" t="n">
        <v>0</v>
      </c>
      <c r="K543" t="n">
        <v>1.505548136162976</v>
      </c>
      <c r="L543" t="n">
        <v>0</v>
      </c>
      <c r="M543" t="n">
        <v>1.299374630813879</v>
      </c>
      <c r="N543" t="n">
        <v>0.8343025230906962</v>
      </c>
      <c r="O543" t="n">
        <v>1.081915076280724</v>
      </c>
      <c r="P543" t="n">
        <v>0.6588692661102683</v>
      </c>
      <c r="Q543" t="n">
        <v>0.8259424768786044</v>
      </c>
      <c r="R543" t="inlineStr">
        <is>
          <t>Operationnel</t>
        </is>
      </c>
      <c r="S543" t="inlineStr"/>
      <c r="T543" t="inlineStr"/>
      <c r="U543" t="inlineStr"/>
      <c r="V543" t="inlineStr"/>
      <c r="W543" t="inlineStr"/>
      <c r="X543" t="inlineStr">
        <is>
          <t>{None hourly IHS}: 25/05/2026 21:39..1:20:53..FME Alban is managing with level 0</t>
        </is>
      </c>
      <c r="Y543" t="inlineStr">
        <is>
          <t>25/05/2026 21 39.1 20 53.FME Alban is managing with level 0</t>
        </is>
      </c>
      <c r="Z543" t="inlineStr"/>
      <c r="AA543" t="inlineStr"/>
      <c r="AB543" t="inlineStr"/>
      <c r="AC543" t="inlineStr"/>
      <c r="AD543" t="inlineStr"/>
      <c r="AE543" t="inlineStr">
        <is>
          <t>{None hourly IHS}: 25/05/2026 21:39..1:20:53..FME Alban is managing with level 0</t>
        </is>
      </c>
      <c r="AF543" t="inlineStr"/>
      <c r="AG543" t="inlineStr"/>
      <c r="AH543" t="inlineStr"/>
      <c r="AI543" t="inlineStr"/>
      <c r="AJ543" t="inlineStr"/>
      <c r="AK543" t="inlineStr"/>
      <c r="AL543" t="inlineStr"/>
      <c r="AM543" t="inlineStr"/>
      <c r="AN543" t="inlineStr"/>
      <c r="AO543" t="inlineStr"/>
      <c r="AP543" t="inlineStr"/>
      <c r="AQ543" t="inlineStr"/>
      <c r="AR543" t="inlineStr"/>
    </row>
    <row r="544">
      <c r="A544" t="inlineStr">
        <is>
          <t>CTR_547_N_Elig-Mfomo-New</t>
        </is>
      </c>
      <c r="B544" t="inlineStr">
        <is>
          <t>CTR_547</t>
        </is>
      </c>
      <c r="C544" t="inlineStr">
        <is>
          <t>CENTRE</t>
        </is>
      </c>
      <c r="D544" t="inlineStr">
        <is>
          <t>IHS</t>
        </is>
      </c>
      <c r="E544" t="inlineStr">
        <is>
          <t>Grid-Gen</t>
        </is>
      </c>
      <c r="F544" t="inlineStr">
        <is>
          <t>CENTRE</t>
        </is>
      </c>
      <c r="G544" t="inlineStr">
        <is>
          <t>Elig-Mfomo</t>
        </is>
      </c>
      <c r="H544" t="inlineStr">
        <is>
          <t>NOKIA</t>
        </is>
      </c>
      <c r="I544" t="n">
        <v>0.002800107295830894</v>
      </c>
      <c r="J544" t="n">
        <v>0.0002853612530784755</v>
      </c>
      <c r="K544" t="n">
        <v>0.007232234279425306</v>
      </c>
      <c r="L544" t="n">
        <v>12.11880674650627</v>
      </c>
      <c r="M544" t="n">
        <v>0.09408003812426381</v>
      </c>
      <c r="N544" t="n">
        <v>1.032262028943803</v>
      </c>
      <c r="O544" t="n">
        <v>1.071289836150298</v>
      </c>
      <c r="P544" t="n">
        <v>0.6082869850525425</v>
      </c>
      <c r="Q544" t="n">
        <v>0.8242659795167694</v>
      </c>
      <c r="R544" t="inlineStr">
        <is>
          <t>Operationnel</t>
        </is>
      </c>
      <c r="S544" t="inlineStr"/>
      <c r="T544" t="inlineStr"/>
      <c r="U544" t="inlineStr"/>
      <c r="V544" t="inlineStr"/>
      <c r="W544" t="inlineStr"/>
      <c r="X544" t="inlineStr">
        <is>
          <t>{05-25-2026 ticket}: INC-20260525-00014739..Others</t>
        </is>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is>
          <t>{05-25-2026 ticket}: INC-20260525-00014739..Others</t>
        </is>
      </c>
      <c r="AR544" t="inlineStr"/>
    </row>
    <row r="545">
      <c r="A545" t="inlineStr">
        <is>
          <t>C-Supreme</t>
        </is>
      </c>
      <c r="B545" t="inlineStr">
        <is>
          <t>CTR_240</t>
        </is>
      </c>
      <c r="C545" t="inlineStr">
        <is>
          <t>Yaounde</t>
        </is>
      </c>
      <c r="D545" t="inlineStr">
        <is>
          <t>IHS</t>
        </is>
      </c>
      <c r="E545" t="inlineStr">
        <is>
          <t>GridOnly</t>
        </is>
      </c>
      <c r="F545" t="inlineStr">
        <is>
          <t>CENTRE</t>
        </is>
      </c>
      <c r="G545" t="inlineStr">
        <is>
          <t>Yaounde</t>
        </is>
      </c>
      <c r="H545" t="inlineStr">
        <is>
          <t>ZTE</t>
        </is>
      </c>
      <c r="I545" t="n">
        <v>0</v>
      </c>
      <c r="J545" t="n">
        <v>0</v>
      </c>
      <c r="K545" t="n">
        <v>0.1079735641335147</v>
      </c>
      <c r="L545" t="n">
        <v>0</v>
      </c>
      <c r="M545" t="n">
        <v>0</v>
      </c>
      <c r="N545" t="n">
        <v>0.8073250762362665</v>
      </c>
      <c r="O545" t="n">
        <v>0.6856467456164512</v>
      </c>
      <c r="P545" t="n">
        <v>0.902888586831616</v>
      </c>
      <c r="Q545" t="n">
        <v>0.8163115345872106</v>
      </c>
      <c r="R545" t="inlineStr">
        <is>
          <t>Operationnel</t>
        </is>
      </c>
      <c r="S545" t="inlineStr"/>
      <c r="T545" t="inlineStr"/>
      <c r="U545" t="inlineStr"/>
      <c r="V545" t="inlineStr"/>
      <c r="W545" t="inlineStr"/>
      <c r="X545" t="inlineStr">
        <is>
          <t>{05-25-2026 ticket}: INC-20260525-00022081..Grid Outage</t>
        </is>
      </c>
      <c r="Y545" t="inlineStr">
        <is>
          <t>.Grid Outage</t>
        </is>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is>
          <t>{05-25-2026 ticket}: INC-20260525-00022081..Grid Outage</t>
        </is>
      </c>
      <c r="AR545" t="inlineStr"/>
    </row>
    <row r="546">
      <c r="A546" t="inlineStr">
        <is>
          <t>Acropole-IHS</t>
        </is>
      </c>
      <c r="B546" t="inlineStr">
        <is>
          <t>CTR_129</t>
        </is>
      </c>
      <c r="C546" t="inlineStr">
        <is>
          <t>Yaounde</t>
        </is>
      </c>
      <c r="D546" t="inlineStr">
        <is>
          <t>IHS</t>
        </is>
      </c>
      <c r="E546" t="inlineStr">
        <is>
          <t>Grid-Gen</t>
        </is>
      </c>
      <c r="F546" t="inlineStr">
        <is>
          <t>CENTRE</t>
        </is>
      </c>
      <c r="G546" t="inlineStr">
        <is>
          <t>Yaounde</t>
        </is>
      </c>
      <c r="H546" t="inlineStr">
        <is>
          <t>ZTE</t>
        </is>
      </c>
      <c r="I546" t="n">
        <v>0</v>
      </c>
      <c r="J546" t="n">
        <v>0</v>
      </c>
      <c r="K546" t="n">
        <v>0.1090436688325585</v>
      </c>
      <c r="L546" t="n">
        <v>0</v>
      </c>
      <c r="M546" t="n">
        <v>0.00133763087380456</v>
      </c>
      <c r="N546" t="n">
        <v>0.8067005982998212</v>
      </c>
      <c r="O546" t="n">
        <v>0.6856467456164512</v>
      </c>
      <c r="P546" t="n">
        <v>0.9020677790254059</v>
      </c>
      <c r="Q546" t="n">
        <v>0.8157943173160065</v>
      </c>
      <c r="R546" t="inlineStr">
        <is>
          <t>Operationnel</t>
        </is>
      </c>
      <c r="S546" t="inlineStr"/>
      <c r="T546" t="inlineStr"/>
      <c r="U546" t="inlineStr"/>
      <c r="V546" t="inlineStr"/>
      <c r="W546" t="inlineStr"/>
      <c r="X546" t="inlineStr">
        <is>
          <t>{05-25-2026 ticket}: INC-20260525-00022102..Others</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is>
          <t>{05-25-2026 ticket}: INC-20260525-00022102..Others</t>
        </is>
      </c>
      <c r="AR546" t="inlineStr"/>
    </row>
    <row r="547">
      <c r="A547" t="inlineStr">
        <is>
          <t>Olezoa</t>
        </is>
      </c>
      <c r="B547" t="inlineStr">
        <is>
          <t>CTR_035</t>
        </is>
      </c>
      <c r="C547" t="inlineStr">
        <is>
          <t>Yaounde</t>
        </is>
      </c>
      <c r="D547" t="inlineStr">
        <is>
          <t>IHS</t>
        </is>
      </c>
      <c r="E547" t="inlineStr">
        <is>
          <t>GridOnly</t>
        </is>
      </c>
      <c r="F547" t="inlineStr">
        <is>
          <t>CENTRE</t>
        </is>
      </c>
      <c r="G547" t="inlineStr">
        <is>
          <t>Yaounde</t>
        </is>
      </c>
      <c r="H547" t="inlineStr">
        <is>
          <t>ZTE</t>
        </is>
      </c>
      <c r="I547" t="n">
        <v>0</v>
      </c>
      <c r="J547" t="n">
        <v>0</v>
      </c>
      <c r="K547" t="n">
        <v>0</v>
      </c>
      <c r="L547" t="n">
        <v>0</v>
      </c>
      <c r="M547" t="n">
        <v>0</v>
      </c>
      <c r="N547" t="n">
        <v>0.8069503894743995</v>
      </c>
      <c r="O547" t="n">
        <v>0.6856467456164512</v>
      </c>
      <c r="P547" t="n">
        <v>0.9017599760980762</v>
      </c>
      <c r="Q547" t="n">
        <v>0.8156694717677844</v>
      </c>
      <c r="R547" t="inlineStr">
        <is>
          <t>Operationnel</t>
        </is>
      </c>
      <c r="S547" t="inlineStr"/>
      <c r="T547" t="inlineStr"/>
      <c r="U547" t="inlineStr"/>
      <c r="V547" t="inlineStr"/>
      <c r="W547" t="inlineStr"/>
      <c r="X547" t="inlineStr">
        <is>
          <t>{05-25-2026 ticket}: INC-20260525-00022088..Grid Outage</t>
        </is>
      </c>
      <c r="Y547" t="inlineStr">
        <is>
          <t>.Grid Outage</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is>
          <t>{05-25-2026 ticket}: INC-20260525-00022088..Grid Outage</t>
        </is>
      </c>
      <c r="AR547" t="inlineStr"/>
    </row>
    <row r="548">
      <c r="A548" t="inlineStr">
        <is>
          <t>Nkolmessing-Abom-MTN</t>
        </is>
      </c>
      <c r="B548" t="inlineStr">
        <is>
          <t>CTR_832</t>
        </is>
      </c>
      <c r="C548" t="inlineStr">
        <is>
          <t>Yaounde</t>
        </is>
      </c>
      <c r="D548" t="inlineStr">
        <is>
          <t>MTN</t>
        </is>
      </c>
      <c r="E548" t="inlineStr"/>
      <c r="F548" t="inlineStr">
        <is>
          <t>CENTRE</t>
        </is>
      </c>
      <c r="G548" t="inlineStr">
        <is>
          <t>Yaounde</t>
        </is>
      </c>
      <c r="H548" t="inlineStr">
        <is>
          <t>ZTE</t>
        </is>
      </c>
      <c r="I548" t="n">
        <v>0.4846682532752349</v>
      </c>
      <c r="J548" t="n">
        <v>0.651586751247742</v>
      </c>
      <c r="K548" t="n">
        <v>0.7853855087848459</v>
      </c>
      <c r="L548" t="n">
        <v>0.0008025785242828159</v>
      </c>
      <c r="M548" t="n">
        <v>0.4793712350149678</v>
      </c>
      <c r="N548" t="n">
        <v>0.4000405660867515</v>
      </c>
      <c r="O548" t="n">
        <v>0.4270815270425113</v>
      </c>
      <c r="P548" t="n">
        <v>1.148788925442197</v>
      </c>
      <c r="Q548" t="n">
        <v>0.7995822311254934</v>
      </c>
      <c r="R548" t="inlineStr">
        <is>
          <t>Operationnel</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row>
    <row r="549">
      <c r="A549" t="inlineStr">
        <is>
          <t>Pangari-MTN</t>
        </is>
      </c>
      <c r="B549" t="inlineStr">
        <is>
          <t>OST_115</t>
        </is>
      </c>
      <c r="C549" t="inlineStr">
        <is>
          <t>OUEST</t>
        </is>
      </c>
      <c r="D549" t="inlineStr">
        <is>
          <t>IHS</t>
        </is>
      </c>
      <c r="E549" t="inlineStr">
        <is>
          <t>Solar-Gen</t>
        </is>
      </c>
      <c r="F549" t="inlineStr">
        <is>
          <t>OUEST</t>
        </is>
      </c>
      <c r="G549" t="inlineStr">
        <is>
          <t>Pangari</t>
        </is>
      </c>
      <c r="H549" t="inlineStr">
        <is>
          <t>NOKIA</t>
        </is>
      </c>
      <c r="I549" t="n">
        <v>0</v>
      </c>
      <c r="J549" t="n">
        <v>0</v>
      </c>
      <c r="K549" t="n">
        <v>0</v>
      </c>
      <c r="L549" t="n">
        <v>0</v>
      </c>
      <c r="M549" t="n">
        <v>1.167428098342893</v>
      </c>
      <c r="N549" t="n">
        <v>1.361486797037676</v>
      </c>
      <c r="O549" t="n">
        <v>0.5993329105911015</v>
      </c>
      <c r="P549" t="n">
        <v>0.7708753313327511</v>
      </c>
      <c r="Q549" t="n">
        <v>0.7976258248131419</v>
      </c>
      <c r="R549" t="inlineStr">
        <is>
          <t>Operationnel</t>
        </is>
      </c>
      <c r="S549" t="inlineStr"/>
      <c r="T549" t="inlineStr"/>
      <c r="U549" t="inlineStr"/>
      <c r="V549" t="inlineStr"/>
      <c r="W549" t="inlineStr"/>
      <c r="X549" t="inlineStr">
        <is>
          <t>{05-25-2026 ticket}: INC-20260525-00019994..Others</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is>
          <t>{05-25-2026 ticket}: INC-20260525-00019994..Others</t>
        </is>
      </c>
      <c r="AR549" t="inlineStr"/>
    </row>
    <row r="550">
      <c r="A550" t="inlineStr">
        <is>
          <t>GOUZOUGOUI-IHS</t>
        </is>
      </c>
      <c r="B550" t="inlineStr">
        <is>
          <t>EXN_100</t>
        </is>
      </c>
      <c r="C550" t="inlineStr">
        <is>
          <t>EXTREME-NORD</t>
        </is>
      </c>
      <c r="D550" t="inlineStr">
        <is>
          <t>IHS</t>
        </is>
      </c>
      <c r="E550" t="inlineStr">
        <is>
          <t>Grid-Gen</t>
        </is>
      </c>
      <c r="F550" t="inlineStr">
        <is>
          <t>EXTREME-NORD</t>
        </is>
      </c>
      <c r="G550" t="inlineStr">
        <is>
          <t>Kaele</t>
        </is>
      </c>
      <c r="H550" t="inlineStr">
        <is>
          <t>NOKIA</t>
        </is>
      </c>
      <c r="I550" t="n">
        <v>1.321811159337163</v>
      </c>
      <c r="J550" t="n">
        <v>3.567015663476602e-05</v>
      </c>
      <c r="K550" t="n">
        <v>8.9175391586944e-05</v>
      </c>
      <c r="L550" t="n">
        <v>1.235591177928467</v>
      </c>
      <c r="M550" t="n">
        <v>1.783507831729616e-05</v>
      </c>
      <c r="N550" t="n">
        <v>0</v>
      </c>
      <c r="O550" t="n">
        <v>2.037372481875743</v>
      </c>
      <c r="P550" t="n">
        <v>0.2077691640182114</v>
      </c>
      <c r="Q550" t="n">
        <v>0.7923186830857423</v>
      </c>
      <c r="R550" t="inlineStr">
        <is>
          <t>Insecurity</t>
        </is>
      </c>
      <c r="S550" t="inlineStr"/>
      <c r="T550" t="inlineStr"/>
      <c r="U550" t="inlineStr"/>
      <c r="V550" t="inlineStr"/>
      <c r="W550" t="inlineStr"/>
      <c r="X550" t="inlineStr">
        <is>
          <t>{None hourly IHS}: 25/05/2026 11:51..1:09:00..0 V..Our THEO is managing with level zero     ;    {05-25-2026 ticket}: INC-20260525-00011020..Chute de tension sur le site a 45.9V..Gen starter faulty // Gen starter replaced and Gen manually started..GE start system..Gen starter faulty // Gen starter replaced and Gen manually started..user:ABANDA	Jean Roland</t>
        </is>
      </c>
      <c r="Y550" t="inlineStr">
        <is>
          <t>25/05/2026 11 51.1 09 00.0 V.Our THEO is managing with level zero .Chute de tension sur le site a 45.9V.Gen starter faulty // Gen starter replaced and Gen manually started.GE start system.Gen starter faulty // Gen starter replaced and Gen manually started.user ABANDA Jean Roland</t>
        </is>
      </c>
      <c r="Z550" t="inlineStr"/>
      <c r="AA550" t="inlineStr"/>
      <c r="AB550" t="inlineStr"/>
      <c r="AC550" t="inlineStr"/>
      <c r="AD550" t="inlineStr"/>
      <c r="AE550" t="inlineStr">
        <is>
          <t>{None hourly IHS}: 25/05/2026 11:51..1:09:00..0 V..Our THEO is managing with level zero</t>
        </is>
      </c>
      <c r="AF550" t="inlineStr"/>
      <c r="AG550" t="inlineStr"/>
      <c r="AH550" t="inlineStr"/>
      <c r="AI550" t="inlineStr"/>
      <c r="AJ550" t="inlineStr"/>
      <c r="AK550" t="inlineStr"/>
      <c r="AL550" t="inlineStr"/>
      <c r="AM550" t="inlineStr"/>
      <c r="AN550" t="inlineStr"/>
      <c r="AO550" t="inlineStr"/>
      <c r="AP550" t="inlineStr"/>
      <c r="AQ550" t="inlineStr">
        <is>
          <t>{05-25-2026 ticket}: INC-20260525-00011020..Chute de tension sur le site a 45.9V..Gen starter faulty // Gen starter replaced and Gen manually started..GE start system..Gen starter faulty // Gen starter replaced and Gen manually started..user:ABANDA	Jean Roland</t>
        </is>
      </c>
      <c r="AR550" t="inlineStr"/>
    </row>
    <row r="551">
      <c r="A551" t="inlineStr">
        <is>
          <t>DEENA-IHS</t>
        </is>
      </c>
      <c r="B551" t="inlineStr">
        <is>
          <t>ADM_082</t>
        </is>
      </c>
      <c r="C551" t="inlineStr">
        <is>
          <t>ADAMAOUA</t>
        </is>
      </c>
      <c r="D551" t="inlineStr">
        <is>
          <t>IHS</t>
        </is>
      </c>
      <c r="E551" t="inlineStr">
        <is>
          <t>Solar-Gen</t>
        </is>
      </c>
      <c r="F551" t="inlineStr">
        <is>
          <t>ADAMAOUA</t>
        </is>
      </c>
      <c r="G551" t="inlineStr">
        <is>
          <t>Deena</t>
        </is>
      </c>
      <c r="H551" t="inlineStr">
        <is>
          <t>NOKIA</t>
        </is>
      </c>
      <c r="I551" t="n">
        <v>0</v>
      </c>
      <c r="J551" t="n">
        <v>0</v>
      </c>
      <c r="K551" t="n">
        <v>0.06342664839060409</v>
      </c>
      <c r="L551" t="n">
        <v>0</v>
      </c>
      <c r="M551" t="n">
        <v>0.06356761519957727</v>
      </c>
      <c r="N551" t="n">
        <v>1.469646375629973</v>
      </c>
      <c r="O551" t="n">
        <v>1.085062566128182</v>
      </c>
      <c r="P551" t="n">
        <v>0.4168335642539291</v>
      </c>
      <c r="Q551" t="n">
        <v>0.791507319671978</v>
      </c>
      <c r="R551" t="inlineStr">
        <is>
          <t>Operationnel</t>
        </is>
      </c>
      <c r="S551" t="inlineStr"/>
      <c r="T551" t="inlineStr"/>
      <c r="U551" t="inlineStr"/>
      <c r="V551" t="inlineStr"/>
      <c r="W551" t="inlineStr"/>
      <c r="X551" t="inlineStr">
        <is>
          <t>{None hourly IHS}: 25/05/2026 09:23..0:37:00..44..Our FME YANICK is managing with level zero     ;    {05-25-2026 ticket}: INC-20260525-00007851..Grid Outage</t>
        </is>
      </c>
      <c r="Y551" t="inlineStr">
        <is>
          <t>25/05/2026 09 23.0 37 00.44.Our FME YANICK is managing with level zero .Grid Outage</t>
        </is>
      </c>
      <c r="Z551" t="inlineStr"/>
      <c r="AA551" t="inlineStr"/>
      <c r="AB551" t="inlineStr"/>
      <c r="AC551" t="inlineStr"/>
      <c r="AD551" t="inlineStr"/>
      <c r="AE551" t="inlineStr">
        <is>
          <t>{None hourly IHS}: 25/05/2026 09:23..0:37:00..44..Our FME YANICK is managing with level zero</t>
        </is>
      </c>
      <c r="AF551" t="inlineStr"/>
      <c r="AG551" t="inlineStr"/>
      <c r="AH551" t="inlineStr"/>
      <c r="AI551" t="inlineStr"/>
      <c r="AJ551" t="inlineStr"/>
      <c r="AK551" t="inlineStr"/>
      <c r="AL551" t="inlineStr"/>
      <c r="AM551" t="inlineStr"/>
      <c r="AN551" t="inlineStr"/>
      <c r="AO551" t="inlineStr"/>
      <c r="AP551" t="inlineStr"/>
      <c r="AQ551" t="inlineStr">
        <is>
          <t>{05-25-2026 ticket}: INC-20260525-00007851..Grid Outage</t>
        </is>
      </c>
      <c r="AR551" t="inlineStr"/>
    </row>
    <row r="552">
      <c r="A552" t="inlineStr">
        <is>
          <t>Chapelle-Essos</t>
        </is>
      </c>
      <c r="B552" t="inlineStr">
        <is>
          <t>CTR_207</t>
        </is>
      </c>
      <c r="C552" t="inlineStr">
        <is>
          <t>Yaounde</t>
        </is>
      </c>
      <c r="D552" t="inlineStr">
        <is>
          <t>IHS</t>
        </is>
      </c>
      <c r="E552" t="inlineStr">
        <is>
          <t>Grid-Gen</t>
        </is>
      </c>
      <c r="F552" t="inlineStr">
        <is>
          <t>CENTRE</t>
        </is>
      </c>
      <c r="G552" t="inlineStr">
        <is>
          <t>Yaounde</t>
        </is>
      </c>
      <c r="H552" t="inlineStr">
        <is>
          <t>ZTE</t>
        </is>
      </c>
      <c r="I552" t="n">
        <v>0</v>
      </c>
      <c r="J552" t="n">
        <v>0</v>
      </c>
      <c r="K552" t="n">
        <v>0</v>
      </c>
      <c r="L552" t="n">
        <v>0</v>
      </c>
      <c r="M552" t="n">
        <v>0</v>
      </c>
      <c r="N552" t="n">
        <v>0.5871341558457129</v>
      </c>
      <c r="O552" t="n">
        <v>0.5029988677744108</v>
      </c>
      <c r="P552" t="n">
        <v>1.028061777278727</v>
      </c>
      <c r="Q552" t="n">
        <v>0.7888276789001033</v>
      </c>
      <c r="R552" t="inlineStr">
        <is>
          <t>Operationnel</t>
        </is>
      </c>
      <c r="S552" t="inlineStr"/>
      <c r="T552" t="inlineStr"/>
      <c r="U552" t="inlineStr"/>
      <c r="V552" t="inlineStr"/>
      <c r="W552" t="inlineStr"/>
      <c r="X552" t="inlineStr">
        <is>
          <t xml:space="preserve">{05/25/2026 cell zte}: 25/05/2026 : Need BO RAN analysis || Cell was down due to power </t>
        </is>
      </c>
      <c r="Y552" t="inlineStr">
        <is>
          <t>25/05/2026 Need BO RAN analysis || Cell was down due to power</t>
        </is>
      </c>
      <c r="Z552" t="inlineStr"/>
      <c r="AA552" t="inlineStr"/>
      <c r="AB552" t="inlineStr"/>
      <c r="AC552" t="inlineStr"/>
      <c r="AD552" t="inlineStr"/>
      <c r="AE552" t="inlineStr"/>
      <c r="AF552" t="inlineStr"/>
      <c r="AG552" t="inlineStr"/>
      <c r="AH552" t="inlineStr"/>
      <c r="AI552" t="inlineStr"/>
      <c r="AJ552" t="inlineStr"/>
      <c r="AK552" t="inlineStr">
        <is>
          <t xml:space="preserve">{05/25/2026 cell zte}: 25/05/2026 : Need BO RAN analysis || Cell was down due to power </t>
        </is>
      </c>
      <c r="AL552" t="inlineStr"/>
      <c r="AM552" t="inlineStr"/>
      <c r="AN552" t="inlineStr"/>
      <c r="AO552" t="inlineStr"/>
      <c r="AP552" t="inlineStr"/>
      <c r="AQ552" t="inlineStr"/>
      <c r="AR552" t="inlineStr"/>
    </row>
    <row r="553">
      <c r="A553" t="inlineStr">
        <is>
          <t>Mvog-Manga</t>
        </is>
      </c>
      <c r="B553" t="inlineStr">
        <is>
          <t>CTR_378</t>
        </is>
      </c>
      <c r="C553" t="inlineStr">
        <is>
          <t>Yaounde</t>
        </is>
      </c>
      <c r="D553" t="inlineStr">
        <is>
          <t>IHS</t>
        </is>
      </c>
      <c r="E553" t="inlineStr">
        <is>
          <t>Grid-Gen</t>
        </is>
      </c>
      <c r="F553" t="inlineStr">
        <is>
          <t>CENTRE</t>
        </is>
      </c>
      <c r="G553" t="inlineStr">
        <is>
          <t>Yaounde</t>
        </is>
      </c>
      <c r="H553" t="inlineStr">
        <is>
          <t>ZTE</t>
        </is>
      </c>
      <c r="I553" t="n">
        <v>0</v>
      </c>
      <c r="J553" t="n">
        <v>0</v>
      </c>
      <c r="K553" t="n">
        <v>0</v>
      </c>
      <c r="L553" t="n">
        <v>0.1324254565066646</v>
      </c>
      <c r="M553" t="n">
        <v>1.46613261308153</v>
      </c>
      <c r="N553" t="n">
        <v>0.6167344100332123</v>
      </c>
      <c r="O553" t="n">
        <v>0.5326432877383036</v>
      </c>
      <c r="P553" t="n">
        <v>0.984969367452674</v>
      </c>
      <c r="Q553" t="n">
        <v>0.7805343674825157</v>
      </c>
      <c r="R553" t="inlineStr">
        <is>
          <t>Operationnel</t>
        </is>
      </c>
      <c r="S553" t="inlineStr"/>
      <c r="T553" t="inlineStr"/>
      <c r="U553" t="inlineStr"/>
      <c r="V553" t="inlineStr"/>
      <c r="W553" t="inlineStr"/>
      <c r="X553" t="inlineStr">
        <is>
          <t>{05-25-2026 ticket}: INC-20260525-00027040..Site is impacted by Odza..Site is impacted by Odza..Others..Site is impacted by Odza..user:OCM_NOC.IHS</t>
        </is>
      </c>
      <c r="Y553" t="inlineStr">
        <is>
          <t>.Site is impacted by Odza.Site is impacted by Odza.Site is impacted by Odza.user OCM_NOC.IHS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is>
          <t>{05-25-2026 ticket}: INC-20260525-00027040..Site is impacted by Odza..Site is impacted by Odza..Others..Site is impacted by Odza..user:OCM_NOC.IHS</t>
        </is>
      </c>
      <c r="AR553" t="inlineStr"/>
    </row>
    <row r="554">
      <c r="A554" t="inlineStr">
        <is>
          <t>TCHEVI-IHS</t>
        </is>
      </c>
      <c r="B554" t="inlineStr">
        <is>
          <t>EXN_227</t>
        </is>
      </c>
      <c r="C554" t="inlineStr">
        <is>
          <t>EXTREME-NORD</t>
        </is>
      </c>
      <c r="D554" t="inlineStr">
        <is>
          <t>IHS</t>
        </is>
      </c>
      <c r="E554" t="inlineStr">
        <is>
          <t>Grid-Gen</t>
        </is>
      </c>
      <c r="F554" t="inlineStr">
        <is>
          <t>EXTREME-NORD</t>
        </is>
      </c>
      <c r="G554" t="inlineStr">
        <is>
          <t>Tchevi</t>
        </is>
      </c>
      <c r="H554" t="inlineStr">
        <is>
          <t>NOKIA</t>
        </is>
      </c>
      <c r="I554" t="n">
        <v>0.6390665262689301</v>
      </c>
      <c r="J554" t="n">
        <v>0.3030001455342392</v>
      </c>
      <c r="K554" t="n">
        <v>0.4453909992730898</v>
      </c>
      <c r="L554" t="n">
        <v>1.213854788227404</v>
      </c>
      <c r="M554" t="n">
        <v>3.478986842721919</v>
      </c>
      <c r="N554" t="n">
        <v>2.426221678676626</v>
      </c>
      <c r="O554" t="n">
        <v>1.224629794811498</v>
      </c>
      <c r="P554" t="n">
        <v>0</v>
      </c>
      <c r="Q554" t="n">
        <v>0.7575865784121981</v>
      </c>
      <c r="R554" t="inlineStr">
        <is>
          <t>EXCLU</t>
        </is>
      </c>
      <c r="S554" t="inlineStr">
        <is>
          <t>site vandalise</t>
        </is>
      </c>
      <c r="T554" t="inlineStr"/>
      <c r="U554" t="inlineStr"/>
      <c r="V554" t="inlineStr"/>
      <c r="W554" t="inlineStr"/>
      <c r="X554" t="inlineStr">
        <is>
          <t>{05-25-2026 ticket}: INC-20260525-00002004..Others Transmission equipement fault</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is>
          <t>{05-25-2026 ticket}: INC-20260525-00002004..Others Transmission equipement fault</t>
        </is>
      </c>
      <c r="AR554" t="inlineStr"/>
    </row>
    <row r="555">
      <c r="A555" t="inlineStr">
        <is>
          <t>Laore-MTN-IHS</t>
        </is>
      </c>
      <c r="B555" t="inlineStr">
        <is>
          <t>ADM_093</t>
        </is>
      </c>
      <c r="C555" t="inlineStr">
        <is>
          <t>ADAMAOUA</t>
        </is>
      </c>
      <c r="D555" t="inlineStr">
        <is>
          <t>IHS</t>
        </is>
      </c>
      <c r="E555" t="inlineStr">
        <is>
          <t>Solar-Gen</t>
        </is>
      </c>
      <c r="F555" t="inlineStr">
        <is>
          <t>ADAMAOUA</t>
        </is>
      </c>
      <c r="G555" t="inlineStr">
        <is>
          <t>Laore</t>
        </is>
      </c>
      <c r="H555" t="inlineStr">
        <is>
          <t>NOKIA</t>
        </is>
      </c>
      <c r="I555" t="n">
        <v>0.0005350523495219609</v>
      </c>
      <c r="J555" t="n">
        <v>0</v>
      </c>
      <c r="K555" t="n">
        <v>0.1389447226157665</v>
      </c>
      <c r="L555" t="n">
        <v>2.690049597475058</v>
      </c>
      <c r="M555" t="n">
        <v>0.8965941443655908</v>
      </c>
      <c r="N555" t="n">
        <v>1.962234571897894</v>
      </c>
      <c r="O555" t="n">
        <v>1.271343560242565</v>
      </c>
      <c r="P555" t="n">
        <v>0.05242083724442951</v>
      </c>
      <c r="Q555" t="n">
        <v>0.7343484791624669</v>
      </c>
      <c r="R555" t="inlineStr">
        <is>
          <t>Operationnel</t>
        </is>
      </c>
      <c r="S555" t="inlineStr"/>
      <c r="T555" t="inlineStr"/>
      <c r="U555" t="inlineStr"/>
      <c r="V555" t="inlineStr"/>
      <c r="W555" t="inlineStr"/>
      <c r="X555" t="inlineStr">
        <is>
          <t>{None hourly IHS}: 25/05/2026 12:01..1:59:00..1.7 V..Fme is on site     ;    {05-25-2026 ticket}: INC-20260525-00010150..Auto TT closure RCA..Others Transmission equipement fault</t>
        </is>
      </c>
      <c r="Y555" t="inlineStr">
        <is>
          <t>25/05/2026 12 01.1 59 00.1.7 V.Fme is on site .Auto TT closure RCA.</t>
        </is>
      </c>
      <c r="Z555" t="inlineStr"/>
      <c r="AA555" t="inlineStr"/>
      <c r="AB555" t="inlineStr"/>
      <c r="AC555" t="inlineStr"/>
      <c r="AD555" t="inlineStr"/>
      <c r="AE555" t="inlineStr">
        <is>
          <t>{None hourly IHS}: 25/05/2026 12:01..1:59:00..1.7 V..Fme is on site</t>
        </is>
      </c>
      <c r="AF555" t="inlineStr"/>
      <c r="AG555" t="inlineStr"/>
      <c r="AH555" t="inlineStr"/>
      <c r="AI555" t="inlineStr"/>
      <c r="AJ555" t="inlineStr"/>
      <c r="AK555" t="inlineStr"/>
      <c r="AL555" t="inlineStr"/>
      <c r="AM555" t="inlineStr"/>
      <c r="AN555" t="inlineStr"/>
      <c r="AO555" t="inlineStr"/>
      <c r="AP555" t="inlineStr"/>
      <c r="AQ555" t="inlineStr">
        <is>
          <t>{05-25-2026 ticket}: INC-20260525-00010150..Auto TT closure RCA..Others Transmission equipement fault</t>
        </is>
      </c>
      <c r="AR555" t="inlineStr"/>
    </row>
    <row r="556">
      <c r="A556" t="inlineStr">
        <is>
          <t>MUTENGUENE BAGDAD-MTN</t>
        </is>
      </c>
      <c r="B556" t="inlineStr">
        <is>
          <t>SUO_225</t>
        </is>
      </c>
      <c r="C556" t="inlineStr">
        <is>
          <t>SUD-OUEST</t>
        </is>
      </c>
      <c r="D556" t="inlineStr">
        <is>
          <t>MTN sharing</t>
        </is>
      </c>
      <c r="E556" t="inlineStr"/>
      <c r="F556" t="inlineStr">
        <is>
          <t>SUD-OUEST</t>
        </is>
      </c>
      <c r="G556" t="inlineStr">
        <is>
          <t>Mutengene</t>
        </is>
      </c>
      <c r="H556" t="inlineStr">
        <is>
          <t>Huawei</t>
        </is>
      </c>
      <c r="I556" t="n">
        <v>0</v>
      </c>
      <c r="J556" t="n">
        <v>0</v>
      </c>
      <c r="K556" t="n">
        <v>0</v>
      </c>
      <c r="L556" t="n">
        <v>0</v>
      </c>
      <c r="M556" t="n">
        <v>0</v>
      </c>
      <c r="N556" t="n">
        <v>1.592418737935086</v>
      </c>
      <c r="O556" t="n">
        <v>1.358330698273781</v>
      </c>
      <c r="P556" t="n">
        <v>0.082080780621056</v>
      </c>
      <c r="Q556" t="n">
        <v>0.7262087189277266</v>
      </c>
      <c r="R556" t="inlineStr">
        <is>
          <t>Insecurity</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row>
    <row r="557">
      <c r="A557" t="inlineStr">
        <is>
          <t>H-Franco</t>
        </is>
      </c>
      <c r="B557" t="inlineStr">
        <is>
          <t>CTR_102</t>
        </is>
      </c>
      <c r="C557" t="inlineStr">
        <is>
          <t>Yaounde</t>
        </is>
      </c>
      <c r="D557" t="inlineStr">
        <is>
          <t>IHS</t>
        </is>
      </c>
      <c r="E557" t="inlineStr">
        <is>
          <t>Grid-Gen</t>
        </is>
      </c>
      <c r="F557" t="inlineStr">
        <is>
          <t>CENTRE</t>
        </is>
      </c>
      <c r="G557" t="inlineStr">
        <is>
          <t>Yaounde</t>
        </is>
      </c>
      <c r="H557" t="inlineStr">
        <is>
          <t>ZTE</t>
        </is>
      </c>
      <c r="I557" t="n">
        <v>0</v>
      </c>
      <c r="J557" t="n">
        <v>0</v>
      </c>
      <c r="K557" t="n">
        <v>0</v>
      </c>
      <c r="L557" t="n">
        <v>0</v>
      </c>
      <c r="M557" t="n">
        <v>0</v>
      </c>
      <c r="N557" t="n">
        <v>0.3462105679651811</v>
      </c>
      <c r="O557" t="n">
        <v>0.294850413619347</v>
      </c>
      <c r="P557" t="n">
        <v>1.105320312038294</v>
      </c>
      <c r="Q557" t="n">
        <v>0.7248354178972861</v>
      </c>
      <c r="R557" t="inlineStr">
        <is>
          <t>Operationnel</t>
        </is>
      </c>
      <c r="S557" t="inlineStr"/>
      <c r="T557" t="inlineStr"/>
      <c r="U557" t="inlineStr"/>
      <c r="V557" t="inlineStr"/>
      <c r="W557" t="inlineStr"/>
      <c r="X557" t="inlineStr">
        <is>
          <t>{05-25-2026 retour IHS}: IHS</t>
        </is>
      </c>
      <c r="Y557" t="inlineStr">
        <is>
          <t>IHS</t>
        </is>
      </c>
      <c r="Z557" t="inlineStr">
        <is>
          <t>CTR_102</t>
        </is>
      </c>
      <c r="AA557" t="inlineStr"/>
      <c r="AB557" t="inlineStr"/>
      <c r="AC557" t="inlineStr"/>
      <c r="AD557" t="inlineStr">
        <is>
          <t>{05-25-2026 retour IHS}: IHS</t>
        </is>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row>
    <row r="558">
      <c r="A558" t="inlineStr">
        <is>
          <t>Oku</t>
        </is>
      </c>
      <c r="B558" t="inlineStr">
        <is>
          <t>NRO_013</t>
        </is>
      </c>
      <c r="C558" t="inlineStr">
        <is>
          <t>NORD-OUEST</t>
        </is>
      </c>
      <c r="D558" t="inlineStr">
        <is>
          <t>IHS</t>
        </is>
      </c>
      <c r="E558" t="inlineStr">
        <is>
          <t>Grid-Gen</t>
        </is>
      </c>
      <c r="F558" t="inlineStr">
        <is>
          <t>NORD-OUEST</t>
        </is>
      </c>
      <c r="G558" t="inlineStr">
        <is>
          <t>Oku</t>
        </is>
      </c>
      <c r="H558" t="inlineStr">
        <is>
          <t>NOKIA</t>
        </is>
      </c>
      <c r="I558" t="n">
        <v>0.5267412030259708</v>
      </c>
      <c r="J558" t="n">
        <v>1.035433306794737</v>
      </c>
      <c r="K558" t="n">
        <v>0.3672064274768641</v>
      </c>
      <c r="L558" t="n">
        <v>3.667052617761455</v>
      </c>
      <c r="M558" t="n">
        <v>6.27377301611588</v>
      </c>
      <c r="N558" t="n">
        <v>1.888671070984657</v>
      </c>
      <c r="O558" t="n">
        <v>0.9010203630602052</v>
      </c>
      <c r="P558" t="n">
        <v>0.286667126319038</v>
      </c>
      <c r="Q558" t="n">
        <v>0.7216786090351079</v>
      </c>
      <c r="R558" t="inlineStr">
        <is>
          <t>Insecurity</t>
        </is>
      </c>
      <c r="S558" t="inlineStr"/>
      <c r="T558" t="inlineStr"/>
      <c r="U558" t="inlineStr"/>
      <c r="V558" t="inlineStr"/>
      <c r="W558" t="inlineStr"/>
      <c r="X558" t="inlineStr">
        <is>
          <t>{05-25-2026 ticket}: INC-20260525-00023471..Others Transmission equipement fault</t>
        </is>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is>
          <t>{05-25-2026 ticket}: INC-20260525-00023471..Others Transmission equipement fault</t>
        </is>
      </c>
      <c r="AR558" t="inlineStr"/>
    </row>
    <row r="559">
      <c r="A559" t="inlineStr">
        <is>
          <t>Mbangue-III-MTN</t>
        </is>
      </c>
      <c r="B559" t="inlineStr">
        <is>
          <t>LIT_678</t>
        </is>
      </c>
      <c r="C559" t="inlineStr">
        <is>
          <t>Douala</t>
        </is>
      </c>
      <c r="D559" t="inlineStr">
        <is>
          <t>MTN</t>
        </is>
      </c>
      <c r="E559" t="inlineStr"/>
      <c r="F559" t="inlineStr">
        <is>
          <t>LITTORAL</t>
        </is>
      </c>
      <c r="G559" t="inlineStr">
        <is>
          <t>Douala</t>
        </is>
      </c>
      <c r="H559" t="inlineStr">
        <is>
          <t>ZTE</t>
        </is>
      </c>
      <c r="I559" t="n">
        <v>3.268385112132703</v>
      </c>
      <c r="J559" t="n">
        <v>1.643538137104668</v>
      </c>
      <c r="K559" t="n">
        <v>36.49016003059072</v>
      </c>
      <c r="L559" t="n">
        <v>15.93207546092977</v>
      </c>
      <c r="M559" t="n">
        <v>1.583844129976343</v>
      </c>
      <c r="N559" t="n">
        <v>0.2589085524501517</v>
      </c>
      <c r="O559" t="n">
        <v>0.4453038138661937</v>
      </c>
      <c r="P559" t="n">
        <v>1.01961429693981</v>
      </c>
      <c r="Q559" t="n">
        <v>0.7181829336848986</v>
      </c>
      <c r="R559" t="inlineStr">
        <is>
          <t>Operationnel</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row>
    <row r="560">
      <c r="A560" t="inlineStr">
        <is>
          <t>Boadibo</t>
        </is>
      </c>
      <c r="B560" t="inlineStr">
        <is>
          <t>LIT_682</t>
        </is>
      </c>
      <c r="C560" t="inlineStr">
        <is>
          <t>Douala</t>
        </is>
      </c>
      <c r="D560" t="inlineStr">
        <is>
          <t>CAMUSAT</t>
        </is>
      </c>
      <c r="E560" t="inlineStr">
        <is>
          <t>Good Grid + GE</t>
        </is>
      </c>
      <c r="F560" t="inlineStr">
        <is>
          <t>LITTORAL</t>
        </is>
      </c>
      <c r="G560" t="inlineStr">
        <is>
          <t>Douala</t>
        </is>
      </c>
      <c r="H560" t="inlineStr">
        <is>
          <t>ZTE</t>
        </is>
      </c>
      <c r="I560" t="n">
        <v>0</v>
      </c>
      <c r="J560" t="n">
        <v>0</v>
      </c>
      <c r="K560" t="n">
        <v>0</v>
      </c>
      <c r="L560" t="n">
        <v>0</v>
      </c>
      <c r="M560" t="n">
        <v>0</v>
      </c>
      <c r="N560" t="n">
        <v>0.5516638090556295</v>
      </c>
      <c r="O560" t="n">
        <v>0.4682543325479164</v>
      </c>
      <c r="P560" t="n">
        <v>0.9200229497862618</v>
      </c>
      <c r="Q560" t="n">
        <v>0.7157573630337328</v>
      </c>
      <c r="R560" t="inlineStr">
        <is>
          <t>Operationnel</t>
        </is>
      </c>
      <c r="S560" t="inlineStr"/>
      <c r="T560" t="inlineStr"/>
      <c r="U560" t="inlineStr"/>
      <c r="V560" t="inlineStr"/>
      <c r="W560" t="inlineStr"/>
      <c r="X560" t="inlineStr">
        <is>
          <t>{05-25-2026 ticket}: INC-20260525-00016478..Grid Outage</t>
        </is>
      </c>
      <c r="Y560" t="inlineStr">
        <is>
          <t>.Grid Outage</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is>
          <t>{05-25-2026 ticket}: INC-20260525-00016478..Grid Outage</t>
        </is>
      </c>
      <c r="AR560" t="inlineStr"/>
    </row>
    <row r="561">
      <c r="A561" t="inlineStr">
        <is>
          <t>Ngona</t>
        </is>
      </c>
      <c r="B561" t="inlineStr">
        <is>
          <t>CTR_590</t>
        </is>
      </c>
      <c r="C561" t="inlineStr">
        <is>
          <t>Yaounde</t>
        </is>
      </c>
      <c r="D561" t="inlineStr">
        <is>
          <t>IHS</t>
        </is>
      </c>
      <c r="E561" t="inlineStr">
        <is>
          <t>Grid-Gen</t>
        </is>
      </c>
      <c r="F561" t="inlineStr">
        <is>
          <t>CENTRE</t>
        </is>
      </c>
      <c r="G561" t="inlineStr">
        <is>
          <t>Yaounde</t>
        </is>
      </c>
      <c r="H561" t="inlineStr">
        <is>
          <t>ZTE</t>
        </is>
      </c>
      <c r="I561" t="n">
        <v>0</v>
      </c>
      <c r="J561" t="n">
        <v>5.348650811995444</v>
      </c>
      <c r="K561" t="n">
        <v>0</v>
      </c>
      <c r="L561" t="n">
        <v>0</v>
      </c>
      <c r="M561" t="n">
        <v>0</v>
      </c>
      <c r="N561" t="n">
        <v>0.4516224436371193</v>
      </c>
      <c r="O561" t="n">
        <v>0.4854672215592076</v>
      </c>
      <c r="P561" t="n">
        <v>0.9234087819868819</v>
      </c>
      <c r="Q561" t="n">
        <v>0.7090157034297581</v>
      </c>
      <c r="R561" t="inlineStr">
        <is>
          <t>EXCLU</t>
        </is>
      </c>
      <c r="S561" t="inlineStr"/>
      <c r="T561" t="inlineStr"/>
      <c r="U561" t="inlineStr"/>
      <c r="V561" t="inlineStr"/>
      <c r="W561" t="inlineStr"/>
      <c r="X561" t="inlineStr">
        <is>
          <t>{05-25-2026 ticket}: INC-20260525-00021677..Grid Outage</t>
        </is>
      </c>
      <c r="Y561" t="inlineStr">
        <is>
          <t>.Grid Outage</t>
        </is>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is>
          <t>{05-25-2026 ticket}: INC-20260525-00021677..Grid Outage</t>
        </is>
      </c>
      <c r="AR561" t="inlineStr"/>
    </row>
    <row r="562">
      <c r="A562" t="inlineStr">
        <is>
          <t>Mabanda-New</t>
        </is>
      </c>
      <c r="B562" t="inlineStr">
        <is>
          <t>LIT_791</t>
        </is>
      </c>
      <c r="C562" t="inlineStr">
        <is>
          <t>Douala</t>
        </is>
      </c>
      <c r="D562" t="inlineStr">
        <is>
          <t>CAMUSAT</t>
        </is>
      </c>
      <c r="E562" t="inlineStr">
        <is>
          <t>Good Grid no GE - 8h</t>
        </is>
      </c>
      <c r="F562" t="inlineStr">
        <is>
          <t>LITTORAL</t>
        </is>
      </c>
      <c r="G562" t="inlineStr">
        <is>
          <t>Douala</t>
        </is>
      </c>
      <c r="H562" t="inlineStr">
        <is>
          <t>ZTE</t>
        </is>
      </c>
      <c r="I562" t="n">
        <v>13.86855689960706</v>
      </c>
      <c r="J562" t="n">
        <v>13.86855689960706</v>
      </c>
      <c r="K562" t="n">
        <v>8.544268804593175</v>
      </c>
      <c r="L562" t="n">
        <v>3.054506852950492</v>
      </c>
      <c r="M562" t="n">
        <v>0.7617540300142969</v>
      </c>
      <c r="N562" t="n">
        <v>0.506826293218869</v>
      </c>
      <c r="O562" t="n">
        <v>0.4885485411970303</v>
      </c>
      <c r="P562" t="n">
        <v>0.8750153217457156</v>
      </c>
      <c r="Q562" t="n">
        <v>0.6926966067693392</v>
      </c>
      <c r="R562" t="inlineStr">
        <is>
          <t>Operationnel</t>
        </is>
      </c>
      <c r="S562" t="inlineStr"/>
      <c r="T562" t="inlineStr"/>
      <c r="U562" t="inlineStr"/>
      <c r="V562" t="inlineStr"/>
      <c r="W562" t="inlineStr"/>
      <c r="X562" t="inlineStr">
        <is>
          <t>{05-25-2026 retour CAMUSAT}: Grid outage Grid only site</t>
        </is>
      </c>
      <c r="Y562" t="inlineStr">
        <is>
          <t>Grid outage Grid only site</t>
        </is>
      </c>
      <c r="Z562" t="inlineStr"/>
      <c r="AA562" t="inlineStr"/>
      <c r="AB562" t="inlineStr"/>
      <c r="AC562" t="inlineStr">
        <is>
          <t>{05-25-2026 retour CAMUSAT}: Grid outage Grid only site</t>
        </is>
      </c>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row>
    <row r="563">
      <c r="A563" t="inlineStr">
        <is>
          <t>Banguem-VSAT</t>
        </is>
      </c>
      <c r="B563" t="inlineStr">
        <is>
          <t>SUO_013</t>
        </is>
      </c>
      <c r="C563" t="inlineStr">
        <is>
          <t>SUD-OUEST</t>
        </is>
      </c>
      <c r="D563" t="inlineStr">
        <is>
          <t>IHS</t>
        </is>
      </c>
      <c r="E563" t="inlineStr">
        <is>
          <t>Grid-Gen</t>
        </is>
      </c>
      <c r="F563" t="inlineStr">
        <is>
          <t>SUD-OUEST</t>
        </is>
      </c>
      <c r="G563" t="inlineStr">
        <is>
          <t>Banguem</t>
        </is>
      </c>
      <c r="H563" t="inlineStr">
        <is>
          <t>NOKIA</t>
        </is>
      </c>
      <c r="I563" t="n">
        <v>0.107081810217645</v>
      </c>
      <c r="J563" t="n">
        <v>0.725869852439696</v>
      </c>
      <c r="K563" t="n">
        <v>0.5052320985751914</v>
      </c>
      <c r="L563" t="n">
        <v>0.5487496896696374</v>
      </c>
      <c r="M563" t="n">
        <v>0.761415163526266</v>
      </c>
      <c r="N563" t="n">
        <v>1.022894859897126</v>
      </c>
      <c r="O563" t="n">
        <v>1.624067953935759</v>
      </c>
      <c r="P563" t="n">
        <v>0</v>
      </c>
      <c r="Q563" t="n">
        <v>0.6912876355822655</v>
      </c>
      <c r="R563" t="inlineStr">
        <is>
          <t>Insecurity</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row>
    <row r="564">
      <c r="A564" t="inlineStr">
        <is>
          <t>Minisite-Dubai</t>
        </is>
      </c>
      <c r="B564" t="inlineStr">
        <is>
          <t>LIT_662</t>
        </is>
      </c>
      <c r="C564" t="inlineStr">
        <is>
          <t>Douala</t>
        </is>
      </c>
      <c r="D564" t="inlineStr">
        <is>
          <t>CAMUSAT</t>
        </is>
      </c>
      <c r="E564" t="inlineStr">
        <is>
          <t>Good Grid no GE - 8h</t>
        </is>
      </c>
      <c r="F564" t="inlineStr">
        <is>
          <t>LITTORAL</t>
        </is>
      </c>
      <c r="G564" t="inlineStr">
        <is>
          <t>Douala</t>
        </is>
      </c>
      <c r="H564" t="inlineStr">
        <is>
          <t>ZTE</t>
        </is>
      </c>
      <c r="I564" t="n">
        <v>0.01826312019701347</v>
      </c>
      <c r="J564" t="n">
        <v>0.009309910881680579</v>
      </c>
      <c r="K564" t="n">
        <v>0</v>
      </c>
      <c r="L564" t="n">
        <v>0.9949833491708827</v>
      </c>
      <c r="M564" t="n">
        <v>0.2764972191545888</v>
      </c>
      <c r="N564" t="n">
        <v>0</v>
      </c>
      <c r="O564" t="n">
        <v>1.342180333275532</v>
      </c>
      <c r="P564" t="n">
        <v>0.4443648260872419</v>
      </c>
      <c r="Q564" t="n">
        <v>0.6823165911886152</v>
      </c>
      <c r="R564" t="inlineStr">
        <is>
          <t>Operationnel</t>
        </is>
      </c>
      <c r="S564" t="inlineStr"/>
      <c r="T564" t="inlineStr"/>
      <c r="U564" t="inlineStr"/>
      <c r="V564" t="inlineStr"/>
      <c r="W564" t="inlineStr"/>
      <c r="X564" t="inlineStr">
        <is>
          <t>{05-25-2026 ticket}: INC-20260525-00020990..Grid Outage</t>
        </is>
      </c>
      <c r="Y564" t="inlineStr">
        <is>
          <t>.Grid Outage</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is>
          <t>{05-25-2026 ticket}: INC-20260525-00020990..Grid Outage</t>
        </is>
      </c>
      <c r="AR564" t="inlineStr"/>
    </row>
    <row r="565">
      <c r="A565" t="inlineStr">
        <is>
          <t>Ebogo</t>
        </is>
      </c>
      <c r="B565" t="inlineStr">
        <is>
          <t>CTR_313</t>
        </is>
      </c>
      <c r="C565" t="inlineStr">
        <is>
          <t>Yaounde</t>
        </is>
      </c>
      <c r="D565" t="inlineStr">
        <is>
          <t>IHS</t>
        </is>
      </c>
      <c r="E565" t="inlineStr">
        <is>
          <t>Grid-Gen</t>
        </is>
      </c>
      <c r="F565" t="inlineStr">
        <is>
          <t>CENTRE</t>
        </is>
      </c>
      <c r="G565" t="inlineStr">
        <is>
          <t>Yaounde</t>
        </is>
      </c>
      <c r="H565" t="inlineStr">
        <is>
          <t>ZTE</t>
        </is>
      </c>
      <c r="I565" t="n">
        <v>0.3867180031560948</v>
      </c>
      <c r="J565" t="n">
        <v>0</v>
      </c>
      <c r="K565" t="n">
        <v>0</v>
      </c>
      <c r="L565" t="n">
        <v>0</v>
      </c>
      <c r="M565" t="n">
        <v>0.4728792665074357</v>
      </c>
      <c r="N565" t="n">
        <v>0.1789753765851748</v>
      </c>
      <c r="O565" t="n">
        <v>0.2280707793996149</v>
      </c>
      <c r="P565" t="n">
        <v>1.108090538384258</v>
      </c>
      <c r="Q565" t="n">
        <v>0.6799801959290377</v>
      </c>
      <c r="R565" t="inlineStr">
        <is>
          <t>Operationnel</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row>
    <row r="566">
      <c r="A566" t="inlineStr">
        <is>
          <t>LIT_838_Z_Logpom-Bagam</t>
        </is>
      </c>
      <c r="B566" t="inlineStr">
        <is>
          <t>LIT_838</t>
        </is>
      </c>
      <c r="C566" t="inlineStr">
        <is>
          <t>Douala</t>
        </is>
      </c>
      <c r="D566" t="inlineStr">
        <is>
          <t>ESCO</t>
        </is>
      </c>
      <c r="E566" t="inlineStr">
        <is>
          <t>Good Grid + Solar + GE</t>
        </is>
      </c>
      <c r="F566" t="inlineStr">
        <is>
          <t>LIT</t>
        </is>
      </c>
      <c r="G566" t="inlineStr">
        <is>
          <t>Douala</t>
        </is>
      </c>
      <c r="H566" t="inlineStr">
        <is>
          <t>ZTE</t>
        </is>
      </c>
      <c r="I566" t="n">
        <v>0</v>
      </c>
      <c r="J566" t="n">
        <v>0</v>
      </c>
      <c r="K566" t="n">
        <v>0</v>
      </c>
      <c r="L566" t="n">
        <v>0</v>
      </c>
      <c r="M566" t="n">
        <v>0.1904964715081053</v>
      </c>
      <c r="N566" t="n">
        <v>0.5818885411795738</v>
      </c>
      <c r="O566" t="n">
        <v>0.4889735508022471</v>
      </c>
      <c r="P566" t="n">
        <v>0.828434478743266</v>
      </c>
      <c r="Q566" t="n">
        <v>0.6792667927963398</v>
      </c>
      <c r="R566" t="inlineStr">
        <is>
          <t>Operationnel</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row>
    <row r="567">
      <c r="A567" t="inlineStr">
        <is>
          <t>Nassarao</t>
        </is>
      </c>
      <c r="B567" t="inlineStr">
        <is>
          <t>NRD_037</t>
        </is>
      </c>
      <c r="C567" t="inlineStr">
        <is>
          <t>Garoua</t>
        </is>
      </c>
      <c r="D567" t="inlineStr">
        <is>
          <t>IHS</t>
        </is>
      </c>
      <c r="E567" t="inlineStr">
        <is>
          <t>Grid-Gen</t>
        </is>
      </c>
      <c r="F567" t="inlineStr">
        <is>
          <t>NORD</t>
        </is>
      </c>
      <c r="G567" t="inlineStr">
        <is>
          <t>Garoua</t>
        </is>
      </c>
      <c r="H567" t="inlineStr">
        <is>
          <t>Huawei</t>
        </is>
      </c>
      <c r="I567" t="n">
        <v>0.01926188458278758</v>
      </c>
      <c r="J567" t="n">
        <v>0</v>
      </c>
      <c r="K567" t="n">
        <v>0</v>
      </c>
      <c r="L567" t="n">
        <v>8.999312992783214</v>
      </c>
      <c r="M567" t="n">
        <v>0.894179486520961</v>
      </c>
      <c r="N567" t="n">
        <v>0.7037866343736636</v>
      </c>
      <c r="O567" t="n">
        <v>0.911167467384763</v>
      </c>
      <c r="P567" t="n">
        <v>0.5164249114074776</v>
      </c>
      <c r="Q567" t="n">
        <v>0.6756997771328614</v>
      </c>
      <c r="R567" t="inlineStr">
        <is>
          <t>Operationnel</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row>
    <row r="568">
      <c r="A568" t="inlineStr">
        <is>
          <t>Garoua-Bockle-II</t>
        </is>
      </c>
      <c r="B568" t="inlineStr">
        <is>
          <t>NRD_186</t>
        </is>
      </c>
      <c r="C568" t="inlineStr">
        <is>
          <t>Garoua</t>
        </is>
      </c>
      <c r="D568" t="inlineStr">
        <is>
          <t>CAMUSAT</t>
        </is>
      </c>
      <c r="E568" t="inlineStr">
        <is>
          <t>Medium Grid + GE</t>
        </is>
      </c>
      <c r="F568" t="inlineStr">
        <is>
          <t>NORD</t>
        </is>
      </c>
      <c r="G568" t="inlineStr">
        <is>
          <t>Garoua</t>
        </is>
      </c>
      <c r="H568" t="inlineStr">
        <is>
          <t>Huawei</t>
        </is>
      </c>
      <c r="I568" t="n">
        <v>0.2687924653214737</v>
      </c>
      <c r="J568" t="n">
        <v>1.041746924519095</v>
      </c>
      <c r="K568" t="n">
        <v>1.073100992201077</v>
      </c>
      <c r="L568" t="n">
        <v>1.932930117882733</v>
      </c>
      <c r="M568" t="n">
        <v>0.5170389204213074</v>
      </c>
      <c r="N568" t="n">
        <v>0.6944194653269866</v>
      </c>
      <c r="O568" t="n">
        <v>1.189973768407166</v>
      </c>
      <c r="P568" t="n">
        <v>0.332427161515277</v>
      </c>
      <c r="Q568" t="n">
        <v>0.6720079159211606</v>
      </c>
      <c r="R568" t="inlineStr">
        <is>
          <t>Operationnel</t>
        </is>
      </c>
      <c r="S568" t="inlineStr"/>
      <c r="T568" t="inlineStr"/>
      <c r="U568" t="inlineStr"/>
      <c r="V568" t="inlineStr"/>
      <c r="W568" t="inlineStr"/>
      <c r="X568" t="inlineStr">
        <is>
          <t xml:space="preserve">{05-25-2026 retour CAMUSAT}: Défaut radiateur </t>
        </is>
      </c>
      <c r="Y568" t="inlineStr">
        <is>
          <t>Défaut radiateur</t>
        </is>
      </c>
      <c r="Z568" t="inlineStr"/>
      <c r="AA568" t="inlineStr"/>
      <c r="AB568" t="inlineStr"/>
      <c r="AC568" t="inlineStr">
        <is>
          <t xml:space="preserve">{05-25-2026 retour CAMUSAT}: Défaut radiateur </t>
        </is>
      </c>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row>
    <row r="569">
      <c r="A569" t="inlineStr">
        <is>
          <t>Messondo</t>
        </is>
      </c>
      <c r="B569" t="inlineStr">
        <is>
          <t>LIT_134</t>
        </is>
      </c>
      <c r="C569" t="inlineStr">
        <is>
          <t>LITTORAL</t>
        </is>
      </c>
      <c r="D569" t="inlineStr">
        <is>
          <t>CAMUSAT</t>
        </is>
      </c>
      <c r="E569" t="inlineStr">
        <is>
          <t>HGB</t>
        </is>
      </c>
      <c r="F569" t="inlineStr">
        <is>
          <t>LITTORAL</t>
        </is>
      </c>
      <c r="G569" t="inlineStr">
        <is>
          <t>Messondo</t>
        </is>
      </c>
      <c r="H569" t="inlineStr">
        <is>
          <t>NOKIA</t>
        </is>
      </c>
      <c r="I569" t="n">
        <v>0</v>
      </c>
      <c r="J569" t="n">
        <v>0.03638355976748779</v>
      </c>
      <c r="K569" t="n">
        <v>0</v>
      </c>
      <c r="L569" t="n">
        <v>0</v>
      </c>
      <c r="M569" t="n">
        <v>0.2063875262889054</v>
      </c>
      <c r="N569" t="n">
        <v>2.268603447517875</v>
      </c>
      <c r="O569" t="n">
        <v>0.9910692731655734</v>
      </c>
      <c r="P569" t="n">
        <v>0</v>
      </c>
      <c r="Q569" t="n">
        <v>0.6566697485681998</v>
      </c>
      <c r="R569" t="inlineStr">
        <is>
          <t>Operationnel</t>
        </is>
      </c>
      <c r="S569" t="inlineStr"/>
      <c r="T569" t="inlineStr"/>
      <c r="U569" t="inlineStr"/>
      <c r="V569" t="inlineStr"/>
      <c r="W569" t="inlineStr"/>
      <c r="X569" t="inlineStr">
        <is>
          <t>{05-25-2026 retour CAMUSAT}: No power issue      ;    {05-25-2026 ticket}: INC-20260525-00025656..investigation ongoing, loss com / fme  is informed..Auto TT closure RCA..Others..user:OCM_NOC.CAMUSAT</t>
        </is>
      </c>
      <c r="Y569" t="inlineStr">
        <is>
          <t>No power issue .investigation ongoing, loss com / fme is informed.Auto TT closure RCA.user OCM_NOC.CAMUSAT</t>
        </is>
      </c>
      <c r="Z569" t="inlineStr"/>
      <c r="AA569" t="inlineStr"/>
      <c r="AB569" t="inlineStr"/>
      <c r="AC569" t="inlineStr">
        <is>
          <t xml:space="preserve">{05-25-2026 retour CAMUSAT}: No power issue </t>
        </is>
      </c>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is>
          <t>{05-25-2026 ticket}: INC-20260525-00025656..investigation ongoing, loss com / fme  is informed..Auto TT closure RCA..Others..user:OCM_NOC.CAMUSAT</t>
        </is>
      </c>
      <c r="AR569" t="inlineStr"/>
    </row>
    <row r="570">
      <c r="A570" t="inlineStr">
        <is>
          <t>Mbalam</t>
        </is>
      </c>
      <c r="B570" t="inlineStr">
        <is>
          <t>SUD_222</t>
        </is>
      </c>
      <c r="C570" t="inlineStr">
        <is>
          <t>CENTRE</t>
        </is>
      </c>
      <c r="D570" t="inlineStr">
        <is>
          <t>IHS</t>
        </is>
      </c>
      <c r="E570" t="inlineStr">
        <is>
          <t>Solar-Gen</t>
        </is>
      </c>
      <c r="F570" t="inlineStr">
        <is>
          <t>SUD</t>
        </is>
      </c>
      <c r="G570" t="inlineStr">
        <is>
          <t>Mbalam</t>
        </is>
      </c>
      <c r="H570" t="inlineStr">
        <is>
          <t>NOKIA</t>
        </is>
      </c>
      <c r="I570" t="n">
        <v>0.01319795795487297</v>
      </c>
      <c r="J570" t="n">
        <v>0.0984674673903428</v>
      </c>
      <c r="K570" t="n">
        <v>0.5006841536042553</v>
      </c>
      <c r="L570" t="n">
        <v>0.8186657649251069</v>
      </c>
      <c r="M570" t="n">
        <v>1.806836114178745</v>
      </c>
      <c r="N570" t="n">
        <v>4.540579075892554</v>
      </c>
      <c r="O570" t="n">
        <v>0</v>
      </c>
      <c r="P570" t="n">
        <v>0</v>
      </c>
      <c r="Q570" t="n">
        <v>0.6483942722289281</v>
      </c>
      <c r="R570" t="inlineStr">
        <is>
          <t>Operationnel</t>
        </is>
      </c>
      <c r="S570" t="inlineStr"/>
      <c r="T570" t="inlineStr"/>
      <c r="U570" t="inlineStr"/>
      <c r="V570" t="inlineStr"/>
      <c r="W570" t="inlineStr"/>
      <c r="X570" t="inlineStr">
        <is>
          <t>{05-25-2026 ticket}: INC-20260525-00005957..le problème est à Mintom travaux en cours..Grid Outage</t>
        </is>
      </c>
      <c r="Y570" t="inlineStr">
        <is>
          <t>.le problème est à Mintom travaux en cours.Grid Outage</t>
        </is>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is>
          <t>{05-25-2026 ticket}: INC-20260525-00005957..le problème est à Mintom travaux en cours..Grid Outage</t>
        </is>
      </c>
      <c r="AR570" t="inlineStr"/>
    </row>
    <row r="571">
      <c r="A571" t="inlineStr">
        <is>
          <t>Kambolepi-IHS</t>
        </is>
      </c>
      <c r="B571" t="inlineStr">
        <is>
          <t>EST_028</t>
        </is>
      </c>
      <c r="C571" t="inlineStr">
        <is>
          <t>CENTRE</t>
        </is>
      </c>
      <c r="D571" t="inlineStr">
        <is>
          <t>IHS</t>
        </is>
      </c>
      <c r="E571" t="inlineStr">
        <is>
          <t>Solar-Gen</t>
        </is>
      </c>
      <c r="F571" t="inlineStr">
        <is>
          <t>EST</t>
        </is>
      </c>
      <c r="G571" t="inlineStr">
        <is>
          <t>Kambolepi</t>
        </is>
      </c>
      <c r="H571" t="inlineStr">
        <is>
          <t>NOKIA</t>
        </is>
      </c>
      <c r="I571" t="n">
        <v>0</v>
      </c>
      <c r="J571" t="n">
        <v>0.7669797079612936</v>
      </c>
      <c r="K571" t="n">
        <v>0</v>
      </c>
      <c r="L571" t="n">
        <v>0.2522757721107396</v>
      </c>
      <c r="M571" t="n">
        <v>0</v>
      </c>
      <c r="N571" t="n">
        <v>1.130055273791111</v>
      </c>
      <c r="O571" t="n">
        <v>0.4829171639279048</v>
      </c>
      <c r="P571" t="n">
        <v>0.6211121070245826</v>
      </c>
      <c r="Q571" t="n">
        <v>0.647395507843154</v>
      </c>
      <c r="R571" t="inlineStr">
        <is>
          <t>Operationnel</t>
        </is>
      </c>
      <c r="S571" t="inlineStr"/>
      <c r="T571" t="inlineStr"/>
      <c r="U571" t="inlineStr"/>
      <c r="V571" t="inlineStr"/>
      <c r="W571" t="inlineStr"/>
      <c r="X571" t="inlineStr">
        <is>
          <t xml:space="preserve">{05-25-2026 incident}: {05-18-2026 groupe whatsapp incident}: impacted by  Kenzou_U_EST_016 , Travaux planifier || Action : fin des travaux     ;    {05/25/2026 cell nokia}: 25/05/2026 : Check breaker and  interconnection (sfp, optical fiber) between system and radio module, swap its if needed </t>
        </is>
      </c>
      <c r="Y571" t="inlineStr">
        <is>
          <t>{05-25-2026 incident} {05-18-2026 groupe whatsapp incident} impacted by Kenzou_U_EST_016 , Travaux planifier || Action fin des travaux 25/05/2026 Check breaker and interconnection (sfp, optical fiber) between system and radio module, swap its if needed</t>
        </is>
      </c>
      <c r="Z571" t="inlineStr"/>
      <c r="AA571" t="inlineStr">
        <is>
          <t>{05-25-2026 incident}: {05-18-2026 groupe whatsapp incident}: impacted by  Kenzou_U_EST_016 , Travaux planifier || Action : fin des travaux</t>
        </is>
      </c>
      <c r="AB571" t="inlineStr"/>
      <c r="AC571" t="inlineStr"/>
      <c r="AD571" t="inlineStr"/>
      <c r="AE571" t="inlineStr"/>
      <c r="AF571" t="inlineStr"/>
      <c r="AG571" t="inlineStr">
        <is>
          <t xml:space="preserve">{05/25/2026 cell nokia}: 25/05/2026 : Check breaker and  interconnection (sfp, optical fiber) between system and radio module, swap its if needed </t>
        </is>
      </c>
      <c r="AH571" t="inlineStr"/>
      <c r="AI571" t="inlineStr"/>
      <c r="AJ571" t="inlineStr"/>
      <c r="AK571" t="inlineStr"/>
      <c r="AL571" t="inlineStr"/>
      <c r="AM571" t="inlineStr"/>
      <c r="AN571" t="inlineStr"/>
      <c r="AO571" t="inlineStr"/>
      <c r="AP571" t="inlineStr"/>
      <c r="AQ571" t="inlineStr"/>
      <c r="AR571" t="inlineStr"/>
    </row>
    <row r="572">
      <c r="A572" t="inlineStr">
        <is>
          <t>Bamenda-Blue-moon-IHS</t>
        </is>
      </c>
      <c r="B572" t="inlineStr">
        <is>
          <t>NRO_128</t>
        </is>
      </c>
      <c r="C572" t="inlineStr">
        <is>
          <t>NORD-OUEST</t>
        </is>
      </c>
      <c r="D572" t="inlineStr">
        <is>
          <t>IHS</t>
        </is>
      </c>
      <c r="E572" t="inlineStr">
        <is>
          <t>Grid-Gen</t>
        </is>
      </c>
      <c r="F572" t="inlineStr">
        <is>
          <t>NORD-OUEST</t>
        </is>
      </c>
      <c r="G572" t="inlineStr">
        <is>
          <t>Bamenda</t>
        </is>
      </c>
      <c r="H572" t="inlineStr">
        <is>
          <t>Huawei</t>
        </is>
      </c>
      <c r="I572" t="n">
        <v>0.1054766531690794</v>
      </c>
      <c r="J572" t="n">
        <v>0</v>
      </c>
      <c r="K572" t="n">
        <v>0</v>
      </c>
      <c r="L572" t="n">
        <v>0</v>
      </c>
      <c r="M572" t="n">
        <v>0</v>
      </c>
      <c r="N572" t="n">
        <v>0.4327632099564764</v>
      </c>
      <c r="O572" t="n">
        <v>0.7652829203940008</v>
      </c>
      <c r="P572" t="n">
        <v>0.6186838839312098</v>
      </c>
      <c r="Q572" t="n">
        <v>0.6413494162935568</v>
      </c>
      <c r="R572" t="inlineStr">
        <is>
          <t>Operationnel</t>
        </is>
      </c>
      <c r="S572" t="inlineStr"/>
      <c r="T572" t="inlineStr"/>
      <c r="U572" t="inlineStr"/>
      <c r="V572" t="inlineStr"/>
      <c r="W572" t="inlineStr"/>
      <c r="X572" t="inlineStr">
        <is>
          <t>{None hourly IHS}: 25/05/2026 09:47..1:13:00..30 v..FME is informed and managing</t>
        </is>
      </c>
      <c r="Y572" t="inlineStr">
        <is>
          <t>25/05/2026 09 47.1 13 00.30 v.FME is informed and managing</t>
        </is>
      </c>
      <c r="Z572" t="inlineStr"/>
      <c r="AA572" t="inlineStr"/>
      <c r="AB572" t="inlineStr"/>
      <c r="AC572" t="inlineStr"/>
      <c r="AD572" t="inlineStr"/>
      <c r="AE572" t="inlineStr">
        <is>
          <t>{None hourly IHS}: 25/05/2026 09:47..1:13:00..30 v..FME is informed and managing</t>
        </is>
      </c>
      <c r="AF572" t="inlineStr"/>
      <c r="AG572" t="inlineStr"/>
      <c r="AH572" t="inlineStr"/>
      <c r="AI572" t="inlineStr"/>
      <c r="AJ572" t="inlineStr"/>
      <c r="AK572" t="inlineStr"/>
      <c r="AL572" t="inlineStr"/>
      <c r="AM572" t="inlineStr"/>
      <c r="AN572" t="inlineStr"/>
      <c r="AO572" t="inlineStr"/>
      <c r="AP572" t="inlineStr"/>
      <c r="AQ572" t="inlineStr"/>
      <c r="AR572" t="inlineStr"/>
    </row>
    <row r="573">
      <c r="A573" t="inlineStr">
        <is>
          <t>Mbatu-IHS</t>
        </is>
      </c>
      <c r="B573" t="inlineStr">
        <is>
          <t>NRO_065</t>
        </is>
      </c>
      <c r="C573" t="inlineStr">
        <is>
          <t>NORD-OUEST</t>
        </is>
      </c>
      <c r="D573" t="inlineStr">
        <is>
          <t>IHS</t>
        </is>
      </c>
      <c r="E573" t="inlineStr">
        <is>
          <t>Grid-Gen</t>
        </is>
      </c>
      <c r="F573" t="inlineStr">
        <is>
          <t>NORD-OUEST</t>
        </is>
      </c>
      <c r="G573" t="inlineStr">
        <is>
          <t>Bamenda</t>
        </is>
      </c>
      <c r="H573" t="inlineStr">
        <is>
          <t>Huawei</t>
        </is>
      </c>
      <c r="I573" t="n">
        <v>0.1079022238202452</v>
      </c>
      <c r="J573" t="n">
        <v>0</v>
      </c>
      <c r="K573" t="n">
        <v>0</v>
      </c>
      <c r="L573" t="n">
        <v>0</v>
      </c>
      <c r="M573" t="n">
        <v>0</v>
      </c>
      <c r="N573" t="n">
        <v>0.4327632099564764</v>
      </c>
      <c r="O573" t="n">
        <v>0.7583765143092234</v>
      </c>
      <c r="P573" t="n">
        <v>0.6173158709208588</v>
      </c>
      <c r="Q573" t="n">
        <v>0.6383174529795995</v>
      </c>
      <c r="R573" t="inlineStr">
        <is>
          <t>Insecurity</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row>
    <row r="574">
      <c r="A574" t="inlineStr">
        <is>
          <t>Mabanda3</t>
        </is>
      </c>
      <c r="B574" t="inlineStr">
        <is>
          <t>LIT_488</t>
        </is>
      </c>
      <c r="C574" t="inlineStr">
        <is>
          <t>Douala</t>
        </is>
      </c>
      <c r="D574" t="inlineStr">
        <is>
          <t>IHS</t>
        </is>
      </c>
      <c r="E574" t="inlineStr">
        <is>
          <t>Grid-Gen</t>
        </is>
      </c>
      <c r="F574" t="inlineStr">
        <is>
          <t>LITTORAL</t>
        </is>
      </c>
      <c r="G574" t="inlineStr">
        <is>
          <t>Douala</t>
        </is>
      </c>
      <c r="H574" t="inlineStr">
        <is>
          <t>ZTE</t>
        </is>
      </c>
      <c r="I574" t="n">
        <v>8.5954554793641</v>
      </c>
      <c r="J574" t="n">
        <v>15.96801314373932</v>
      </c>
      <c r="K574" t="n">
        <v>31.95906920866471</v>
      </c>
      <c r="L574" t="n">
        <v>6.967540870865473</v>
      </c>
      <c r="M574" t="n">
        <v>0</v>
      </c>
      <c r="N574" t="n">
        <v>0.3091165785403402</v>
      </c>
      <c r="O574" t="n">
        <v>0.2709436233258857</v>
      </c>
      <c r="P574" t="n">
        <v>0.9450575878756837</v>
      </c>
      <c r="Q574" t="n">
        <v>0.6279374373988745</v>
      </c>
      <c r="R574" t="inlineStr">
        <is>
          <t>Operationnel</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row>
    <row r="575">
      <c r="A575" t="inlineStr">
        <is>
          <t>Madison</t>
        </is>
      </c>
      <c r="B575" t="inlineStr">
        <is>
          <t>CTR_071</t>
        </is>
      </c>
      <c r="C575" t="inlineStr">
        <is>
          <t>Yaounde</t>
        </is>
      </c>
      <c r="D575" t="inlineStr">
        <is>
          <t>IHS</t>
        </is>
      </c>
      <c r="E575" t="inlineStr">
        <is>
          <t>Grid-Gen</t>
        </is>
      </c>
      <c r="F575" t="inlineStr">
        <is>
          <t>CENTRE</t>
        </is>
      </c>
      <c r="G575" t="inlineStr">
        <is>
          <t>Yaounde</t>
        </is>
      </c>
      <c r="H575" t="inlineStr">
        <is>
          <t>ZTE</t>
        </is>
      </c>
      <c r="I575" t="n">
        <v>0</v>
      </c>
      <c r="J575" t="n">
        <v>0</v>
      </c>
      <c r="K575" t="n">
        <v>0</v>
      </c>
      <c r="L575" t="n">
        <v>0</v>
      </c>
      <c r="M575" t="n">
        <v>0</v>
      </c>
      <c r="N575" t="n">
        <v>0.2607819862594871</v>
      </c>
      <c r="O575" t="n">
        <v>0.4036528725549203</v>
      </c>
      <c r="P575" t="n">
        <v>0.8676280514898209</v>
      </c>
      <c r="Q575" t="n">
        <v>0.6252086704163137</v>
      </c>
      <c r="R575" t="inlineStr">
        <is>
          <t>Operationnel</t>
        </is>
      </c>
      <c r="S575" t="inlineStr"/>
      <c r="T575" t="inlineStr"/>
      <c r="U575" t="inlineStr"/>
      <c r="V575" t="inlineStr"/>
      <c r="W575" t="inlineStr"/>
      <c r="X575" t="inlineStr">
        <is>
          <t>{05-25-2026 ticket}: INC-20260525-00019098..power issues responsabilité ihs..Grid Outage</t>
        </is>
      </c>
      <c r="Y575" t="inlineStr">
        <is>
          <t>.power issues responsabilité ihs.Grid Outage</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is>
          <t>{05-25-2026 ticket}: INC-20260525-00019098..power issues responsabilité ihs..Grid Outage</t>
        </is>
      </c>
      <c r="AR575" t="inlineStr"/>
    </row>
    <row r="576">
      <c r="A576" t="inlineStr">
        <is>
          <t>Mobil-Essos</t>
        </is>
      </c>
      <c r="B576" t="inlineStr">
        <is>
          <t>CTR_068</t>
        </is>
      </c>
      <c r="C576" t="inlineStr">
        <is>
          <t>Yaounde</t>
        </is>
      </c>
      <c r="D576" t="inlineStr">
        <is>
          <t>IHS</t>
        </is>
      </c>
      <c r="E576" t="inlineStr">
        <is>
          <t>Grid-Gen</t>
        </is>
      </c>
      <c r="F576" t="inlineStr">
        <is>
          <t>CENTRE</t>
        </is>
      </c>
      <c r="G576" t="inlineStr">
        <is>
          <t>Yaounde</t>
        </is>
      </c>
      <c r="H576" t="inlineStr">
        <is>
          <t>ZTE</t>
        </is>
      </c>
      <c r="I576" t="n">
        <v>0</v>
      </c>
      <c r="J576" t="n">
        <v>0</v>
      </c>
      <c r="K576" t="n">
        <v>0</v>
      </c>
      <c r="L576" t="n">
        <v>0</v>
      </c>
      <c r="M576" t="n">
        <v>0</v>
      </c>
      <c r="N576" t="n">
        <v>0.2634047935925566</v>
      </c>
      <c r="O576" t="n">
        <v>0.3850587023266726</v>
      </c>
      <c r="P576" t="n">
        <v>0.8709796833651811</v>
      </c>
      <c r="Q576" t="n">
        <v>0.6210887673249953</v>
      </c>
      <c r="R576" t="inlineStr">
        <is>
          <t>Operationnel</t>
        </is>
      </c>
      <c r="S576" t="inlineStr"/>
      <c r="T576" t="inlineStr"/>
      <c r="U576" t="inlineStr"/>
      <c r="V576" t="inlineStr"/>
      <c r="W576" t="inlineStr"/>
      <c r="X576" t="inlineStr">
        <is>
          <t>{05-25-2026 ticket}: INC-20260525-00019084..power issues responsabilité ihs..Grid Outage</t>
        </is>
      </c>
      <c r="Y576" t="inlineStr">
        <is>
          <t>.power issues responsabilité ihs.Grid Outage</t>
        </is>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{05-25-2026 ticket}: INC-20260525-00019084..power issues responsabilité ihs..Grid Outage</t>
        </is>
      </c>
      <c r="AR576" t="inlineStr"/>
    </row>
    <row r="577">
      <c r="A577" t="inlineStr">
        <is>
          <t>ZI-Bassa</t>
        </is>
      </c>
      <c r="B577" t="inlineStr">
        <is>
          <t>LIT_083</t>
        </is>
      </c>
      <c r="C577" t="inlineStr">
        <is>
          <t>Douala</t>
        </is>
      </c>
      <c r="D577" t="inlineStr">
        <is>
          <t>IHS</t>
        </is>
      </c>
      <c r="E577" t="inlineStr">
        <is>
          <t>Grid-Gen</t>
        </is>
      </c>
      <c r="F577" t="inlineStr">
        <is>
          <t>LITTORAL</t>
        </is>
      </c>
      <c r="G577" t="inlineStr">
        <is>
          <t>Douala</t>
        </is>
      </c>
      <c r="H577" t="inlineStr">
        <is>
          <t>ZTE</t>
        </is>
      </c>
      <c r="I577" t="n">
        <v>2.076680849120945</v>
      </c>
      <c r="J577" t="n">
        <v>8.591282071037829</v>
      </c>
      <c r="K577" t="n">
        <v>0</v>
      </c>
      <c r="L577" t="n">
        <v>0</v>
      </c>
      <c r="M577" t="n">
        <v>0</v>
      </c>
      <c r="N577" t="n">
        <v>0.08168171408702324</v>
      </c>
      <c r="O577" t="n">
        <v>0.07267664249211946</v>
      </c>
      <c r="P577" t="n">
        <v>1.108090538384252</v>
      </c>
      <c r="Q577" t="n">
        <v>0.6139190658413993</v>
      </c>
      <c r="R577" t="inlineStr">
        <is>
          <t>Operationnel</t>
        </is>
      </c>
      <c r="S577" t="inlineStr"/>
      <c r="T577" t="inlineStr"/>
      <c r="U577" t="inlineStr"/>
      <c r="V577" t="inlineStr"/>
      <c r="W577" t="inlineStr"/>
      <c r="X577" t="inlineStr">
        <is>
          <t>{05-25-2026 ticket}: INC-20260525-00027521..ACTIVE// No power issue SITE on Gen with Ubaie = 53.9 V ,The fme TX Bruno (698756768) from Huawei is informed..ACTIVE// No power issue SITE on Gen with Ubaie = 53.9 V ,The fme TX Bruno (698756768) from Huawei is informed..Others Transmission equipement fault..ACTIVE// No power issue SITE on Gen with Ubaie = 53.9 V ,The fme TX Bruno (698756768) from Huawei is informed..user:OCM_NOC.IHS</t>
        </is>
      </c>
      <c r="Y577" t="inlineStr">
        <is>
          <t>.ACTIVE// No power issue SITE on Gen with Ubaie = 53.9 V ,The fme TX Bruno (698756768) from Huawei is informed.ACTIVE// No power issue SITE on Gen with Ubaie = 53.9 V ,The fme TX Bruno (698756768) from Huawei is informed.ACTIVE// No power issue SITE on Gen with Ubaie = 53.9 V ,The fme TX Bruno (698756768) from Huawei is informed.user OCM_NOC.IHS</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is>
          <t>{05-25-2026 ticket}: INC-20260525-00027521..ACTIVE// No power issue SITE on Gen with Ubaie = 53.9 V ,The fme TX Bruno (698756768) from Huawei is informed..ACTIVE// No power issue SITE on Gen with Ubaie = 53.9 V ,The fme TX Bruno (698756768) from Huawei is informed..Others Transmission equipement fault..ACTIVE// No power issue SITE on Gen with Ubaie = 53.9 V ,The fme TX Bruno (698756768) from Huawei is informed..user:OCM_NOC.IHS</t>
        </is>
      </c>
      <c r="AR577" t="inlineStr"/>
    </row>
    <row r="578">
      <c r="A578" t="inlineStr">
        <is>
          <t>Nomayos</t>
        </is>
      </c>
      <c r="B578" t="inlineStr">
        <is>
          <t>CTR_062</t>
        </is>
      </c>
      <c r="C578" t="inlineStr">
        <is>
          <t>CENTRE</t>
        </is>
      </c>
      <c r="D578" t="inlineStr">
        <is>
          <t>IHS</t>
        </is>
      </c>
      <c r="E578" t="inlineStr">
        <is>
          <t>Grid-Gen</t>
        </is>
      </c>
      <c r="F578" t="inlineStr">
        <is>
          <t>CENTRE</t>
        </is>
      </c>
      <c r="G578" t="inlineStr">
        <is>
          <t>Nomayos</t>
        </is>
      </c>
      <c r="H578" t="inlineStr">
        <is>
          <t>ZTE</t>
        </is>
      </c>
      <c r="I578" t="n">
        <v>0</v>
      </c>
      <c r="J578" t="n">
        <v>0</v>
      </c>
      <c r="K578" t="n">
        <v>0</v>
      </c>
      <c r="L578" t="n">
        <v>0</v>
      </c>
      <c r="M578" t="n">
        <v>1.162597415197769</v>
      </c>
      <c r="N578" t="n">
        <v>2.244498599171093</v>
      </c>
      <c r="O578" t="n">
        <v>0.8695696522741423</v>
      </c>
      <c r="P578" t="n">
        <v>0</v>
      </c>
      <c r="Q578" t="n">
        <v>0.6124387543410583</v>
      </c>
      <c r="R578" t="inlineStr">
        <is>
          <t>Operationnel</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row>
    <row r="579">
      <c r="A579" t="inlineStr">
        <is>
          <t>PK14-Market-IHS</t>
        </is>
      </c>
      <c r="B579" t="inlineStr">
        <is>
          <t>LIT_578</t>
        </is>
      </c>
      <c r="C579" t="inlineStr">
        <is>
          <t>Douala</t>
        </is>
      </c>
      <c r="D579" t="inlineStr">
        <is>
          <t>IHS</t>
        </is>
      </c>
      <c r="E579" t="inlineStr">
        <is>
          <t>Grid-Gen</t>
        </is>
      </c>
      <c r="F579" t="inlineStr">
        <is>
          <t>LITTORAL</t>
        </is>
      </c>
      <c r="G579" t="inlineStr">
        <is>
          <t>Douala</t>
        </is>
      </c>
      <c r="H579" t="inlineStr">
        <is>
          <t>ZTE</t>
        </is>
      </c>
      <c r="I579" t="n">
        <v>0</v>
      </c>
      <c r="J579" t="n">
        <v>0</v>
      </c>
      <c r="K579" t="n">
        <v>0</v>
      </c>
      <c r="L579" t="n">
        <v>0</v>
      </c>
      <c r="M579" t="n">
        <v>0.1937424557618714</v>
      </c>
      <c r="N579" t="n">
        <v>0.6058684939390669</v>
      </c>
      <c r="O579" t="n">
        <v>0.5034238773796296</v>
      </c>
      <c r="P579" t="n">
        <v>0.6813388798052828</v>
      </c>
      <c r="Q579" t="n">
        <v>0.6108335972924928</v>
      </c>
      <c r="R579" t="inlineStr">
        <is>
          <t>Operationnel</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row>
    <row r="580">
      <c r="A580" t="inlineStr">
        <is>
          <t>Bamenda-Abangoh-IHS</t>
        </is>
      </c>
      <c r="B580" t="inlineStr">
        <is>
          <t>NRO_064</t>
        </is>
      </c>
      <c r="C580" t="inlineStr">
        <is>
          <t>NORD-OUEST</t>
        </is>
      </c>
      <c r="D580" t="inlineStr">
        <is>
          <t>IHS</t>
        </is>
      </c>
      <c r="E580" t="inlineStr">
        <is>
          <t>Grid-Gen</t>
        </is>
      </c>
      <c r="F580" t="inlineStr">
        <is>
          <t>NORD-OUEST</t>
        </is>
      </c>
      <c r="G580" t="inlineStr">
        <is>
          <t>Bamenda</t>
        </is>
      </c>
      <c r="H580" t="inlineStr">
        <is>
          <t>Huawei</t>
        </is>
      </c>
      <c r="I580" t="n">
        <v>2.11472307117195</v>
      </c>
      <c r="J580" t="n">
        <v>0</v>
      </c>
      <c r="K580" t="n">
        <v>0</v>
      </c>
      <c r="L580" t="n">
        <v>0</v>
      </c>
      <c r="M580" t="n">
        <v>0</v>
      </c>
      <c r="N580" t="n">
        <v>0.4302652982106959</v>
      </c>
      <c r="O580" t="n">
        <v>0.7257039009081605</v>
      </c>
      <c r="P580" t="n">
        <v>0.5861935749353751</v>
      </c>
      <c r="Q580" t="n">
        <v>0.6107622569792229</v>
      </c>
      <c r="R580" t="inlineStr">
        <is>
          <t>Operationnel</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row>
    <row r="581">
      <c r="A581" t="inlineStr">
        <is>
          <t>Ngd-Bamyanga2-IHS</t>
        </is>
      </c>
      <c r="B581" t="inlineStr">
        <is>
          <t>ADM_136</t>
        </is>
      </c>
      <c r="C581" t="inlineStr">
        <is>
          <t>Ngaoundere</t>
        </is>
      </c>
      <c r="D581" t="inlineStr">
        <is>
          <t>IHS</t>
        </is>
      </c>
      <c r="E581" t="inlineStr">
        <is>
          <t>Grid-Gen</t>
        </is>
      </c>
      <c r="F581" t="inlineStr">
        <is>
          <t>ADAMAOUA</t>
        </is>
      </c>
      <c r="G581" t="inlineStr">
        <is>
          <t>Ngaoundere</t>
        </is>
      </c>
      <c r="H581" t="inlineStr">
        <is>
          <t>Huawei</t>
        </is>
      </c>
      <c r="I581" t="n">
        <v>0</v>
      </c>
      <c r="J581" t="n">
        <v>0</v>
      </c>
      <c r="K581" t="n">
        <v>0.01622992126883028</v>
      </c>
      <c r="L581" t="n">
        <v>1.096447109718548</v>
      </c>
      <c r="M581" t="n">
        <v>0</v>
      </c>
      <c r="N581" t="n">
        <v>0.7593651707172804</v>
      </c>
      <c r="O581" t="n">
        <v>0.9775220919992792</v>
      </c>
      <c r="P581" t="n">
        <v>0.3170370151488288</v>
      </c>
      <c r="Q581" t="n">
        <v>0.6019338932121119</v>
      </c>
      <c r="R581" t="inlineStr">
        <is>
          <t>Operationnel</t>
        </is>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row>
    <row r="582">
      <c r="A582" t="inlineStr">
        <is>
          <t>Garoua-Djalingo-IHS</t>
        </is>
      </c>
      <c r="B582" t="inlineStr">
        <is>
          <t>NRD_095</t>
        </is>
      </c>
      <c r="C582" t="inlineStr">
        <is>
          <t>Garoua</t>
        </is>
      </c>
      <c r="D582" t="inlineStr">
        <is>
          <t>IHS</t>
        </is>
      </c>
      <c r="E582" t="inlineStr">
        <is>
          <t>Grid-Gen</t>
        </is>
      </c>
      <c r="F582" t="inlineStr">
        <is>
          <t>NORD</t>
        </is>
      </c>
      <c r="G582" t="inlineStr">
        <is>
          <t>Garoua</t>
        </is>
      </c>
      <c r="H582" t="inlineStr">
        <is>
          <t>Huawei</t>
        </is>
      </c>
      <c r="I582" t="n">
        <v>0.1788858355234809</v>
      </c>
      <c r="J582" t="n">
        <v>0</v>
      </c>
      <c r="K582" t="n">
        <v>0</v>
      </c>
      <c r="L582" t="n">
        <v>0</v>
      </c>
      <c r="M582" t="n">
        <v>0.1539702311140788</v>
      </c>
      <c r="N582" t="n">
        <v>0.4852193566178674</v>
      </c>
      <c r="O582" t="n">
        <v>0.84066899911938</v>
      </c>
      <c r="P582" t="n">
        <v>0.4186119811673857</v>
      </c>
      <c r="Q582" t="n">
        <v>0.5698129171624818</v>
      </c>
      <c r="R582" t="inlineStr">
        <is>
          <t>Operationnel</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row>
    <row r="583">
      <c r="A583" t="inlineStr">
        <is>
          <t>Kousseri-MTN-IHS</t>
        </is>
      </c>
      <c r="B583" t="inlineStr">
        <is>
          <t>EXN_138</t>
        </is>
      </c>
      <c r="C583" t="inlineStr">
        <is>
          <t>EXTREME-NORD</t>
        </is>
      </c>
      <c r="D583" t="inlineStr">
        <is>
          <t>IHS</t>
        </is>
      </c>
      <c r="E583" t="inlineStr">
        <is>
          <t>Grid-Gen</t>
        </is>
      </c>
      <c r="F583" t="inlineStr">
        <is>
          <t>EXTREME-NORD</t>
        </is>
      </c>
      <c r="G583" t="inlineStr">
        <is>
          <t>Kousseri</t>
        </is>
      </c>
      <c r="H583" t="inlineStr">
        <is>
          <t>Huawei</t>
        </is>
      </c>
      <c r="I583" t="n">
        <v>1.753045517973479</v>
      </c>
      <c r="J583" t="n">
        <v>7.120030790479206</v>
      </c>
      <c r="K583" t="n">
        <v>0.6068207046710783</v>
      </c>
      <c r="L583" t="n">
        <v>0</v>
      </c>
      <c r="M583" t="n">
        <v>0</v>
      </c>
      <c r="N583" t="n">
        <v>0.9248518238752403</v>
      </c>
      <c r="O583" t="n">
        <v>1.199695863126507</v>
      </c>
      <c r="P583" t="n">
        <v>0.05130048788815998</v>
      </c>
      <c r="Q583" t="n">
        <v>0.561573110979845</v>
      </c>
      <c r="R583" t="inlineStr">
        <is>
          <t>Insecurity</t>
        </is>
      </c>
      <c r="S583" t="inlineStr"/>
      <c r="T583" t="inlineStr"/>
      <c r="U583" t="inlineStr"/>
      <c r="V583" t="inlineStr"/>
      <c r="W583" t="inlineStr"/>
      <c r="X583"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583"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583" t="inlineStr"/>
      <c r="AA583"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row>
    <row r="584">
      <c r="A584" t="inlineStr">
        <is>
          <t>Crf-Cornier</t>
        </is>
      </c>
      <c r="B584" t="inlineStr">
        <is>
          <t>CTR_477</t>
        </is>
      </c>
      <c r="C584" t="inlineStr">
        <is>
          <t>Yaounde</t>
        </is>
      </c>
      <c r="D584" t="inlineStr">
        <is>
          <t>IHS</t>
        </is>
      </c>
      <c r="E584" t="inlineStr">
        <is>
          <t>Grid-Gen</t>
        </is>
      </c>
      <c r="F584" t="inlineStr">
        <is>
          <t>CENTRE</t>
        </is>
      </c>
      <c r="G584" t="inlineStr">
        <is>
          <t>Yaounde</t>
        </is>
      </c>
      <c r="H584" t="inlineStr">
        <is>
          <t>ZTE</t>
        </is>
      </c>
      <c r="I584" t="n">
        <v>0</v>
      </c>
      <c r="J584" t="n">
        <v>0</v>
      </c>
      <c r="K584" t="n">
        <v>0</v>
      </c>
      <c r="L584" t="n">
        <v>0</v>
      </c>
      <c r="M584" t="n">
        <v>0</v>
      </c>
      <c r="N584" t="n">
        <v>0.274645396448569</v>
      </c>
      <c r="O584" t="n">
        <v>0.3474453522649625</v>
      </c>
      <c r="P584" t="n">
        <v>0.7774417937824358</v>
      </c>
      <c r="Q584" t="n">
        <v>0.5612877497267672</v>
      </c>
      <c r="R584" t="inlineStr">
        <is>
          <t>Operationnel</t>
        </is>
      </c>
      <c r="S584" t="inlineStr"/>
      <c r="T584" t="inlineStr"/>
      <c r="U584" t="inlineStr"/>
      <c r="V584" t="inlineStr"/>
      <c r="W584" t="inlineStr"/>
      <c r="X584" t="inlineStr">
        <is>
          <t>{05-25-2026 ticket}: INC-20260525-00019106..power..Grid Outage</t>
        </is>
      </c>
      <c r="Y584" t="inlineStr">
        <is>
          <t>.power.Grid Outage</t>
        </is>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is>
          <t>{05-25-2026 ticket}: INC-20260525-00019106..power..Grid Outage</t>
        </is>
      </c>
      <c r="AR584" t="inlineStr"/>
    </row>
    <row r="585">
      <c r="A585" t="inlineStr">
        <is>
          <t>CTR_943_Z_Mimboman</t>
        </is>
      </c>
      <c r="B585" t="inlineStr">
        <is>
          <t>CTR_943</t>
        </is>
      </c>
      <c r="C585" t="inlineStr">
        <is>
          <t>Yaounde</t>
        </is>
      </c>
      <c r="D585" t="inlineStr">
        <is>
          <t>ESCO</t>
        </is>
      </c>
      <c r="E585" t="inlineStr">
        <is>
          <t>Good Grid + GE</t>
        </is>
      </c>
      <c r="F585" t="inlineStr">
        <is>
          <t>CENTRE</t>
        </is>
      </c>
      <c r="G585" t="inlineStr">
        <is>
          <t>Yaoundé</t>
        </is>
      </c>
      <c r="H585" t="inlineStr">
        <is>
          <t>ZTE</t>
        </is>
      </c>
      <c r="I585" t="n">
        <v>13.86855689960706</v>
      </c>
      <c r="J585" t="n">
        <v>13.86855689960706</v>
      </c>
      <c r="K585" t="n">
        <v>48.10664592090357</v>
      </c>
      <c r="L585" t="n">
        <v>0</v>
      </c>
      <c r="M585" t="n">
        <v>0</v>
      </c>
      <c r="N585" t="n">
        <v>0.4726049023016758</v>
      </c>
      <c r="O585" t="n">
        <v>0.04111967930475259</v>
      </c>
      <c r="P585" t="n">
        <v>0.9168423195371946</v>
      </c>
      <c r="Q585" t="n">
        <v>0.5594150665034396</v>
      </c>
      <c r="R585" t="inlineStr">
        <is>
          <t>Operationnel</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row>
    <row r="586">
      <c r="A586" t="inlineStr">
        <is>
          <t>Djerkoka-MTN-IHS</t>
        </is>
      </c>
      <c r="B586" t="inlineStr">
        <is>
          <t>ADM_095</t>
        </is>
      </c>
      <c r="C586" t="inlineStr">
        <is>
          <t>ADAMAOUA</t>
        </is>
      </c>
      <c r="D586" t="inlineStr">
        <is>
          <t>IHS</t>
        </is>
      </c>
      <c r="E586" t="inlineStr">
        <is>
          <t>Hybrid-Gen</t>
        </is>
      </c>
      <c r="F586" t="inlineStr">
        <is>
          <t>ADAMAOUA</t>
        </is>
      </c>
      <c r="G586" t="inlineStr">
        <is>
          <t>Djerkoka</t>
        </is>
      </c>
      <c r="H586" t="inlineStr">
        <is>
          <t>NOKIA</t>
        </is>
      </c>
      <c r="I586" t="n">
        <v>0</v>
      </c>
      <c r="J586" t="n">
        <v>0</v>
      </c>
      <c r="K586" t="n">
        <v>0</v>
      </c>
      <c r="L586" t="n">
        <v>0</v>
      </c>
      <c r="M586" t="n">
        <v>0</v>
      </c>
      <c r="N586" t="n">
        <v>1.640378643454072</v>
      </c>
      <c r="O586" t="n">
        <v>0.9615967353246562</v>
      </c>
      <c r="P586" t="n">
        <v>0</v>
      </c>
      <c r="Q586" t="n">
        <v>0.5570650337417651</v>
      </c>
      <c r="R586" t="inlineStr">
        <is>
          <t>Operationnel</t>
        </is>
      </c>
      <c r="S586" t="inlineStr"/>
      <c r="T586" t="inlineStr"/>
      <c r="U586" t="inlineStr"/>
      <c r="V586" t="inlineStr"/>
      <c r="W586" t="inlineStr"/>
      <c r="X586" t="inlineStr">
        <is>
          <t>{None hourly IHS}: 25/05/2026 12:54..1:06:00..44..Ourt FME BASSIROU is managing with level zero     ;    {05-25-2026 ticket}: INC-20260525-00012091..Auto TT closure RCA..Others Transmission equipement fault</t>
        </is>
      </c>
      <c r="Y586" t="inlineStr">
        <is>
          <t>25/05/2026 12 54.1 06 00.44.Ourt FME BASSIROU is managing with level zero .Auto TT closure RCA.</t>
        </is>
      </c>
      <c r="Z586" t="inlineStr"/>
      <c r="AA586" t="inlineStr"/>
      <c r="AB586" t="inlineStr"/>
      <c r="AC586" t="inlineStr"/>
      <c r="AD586" t="inlineStr"/>
      <c r="AE586" t="inlineStr">
        <is>
          <t>{None hourly IHS}: 25/05/2026 12:54..1:06:00..44..Ourt FME BASSIROU is managing with level zero</t>
        </is>
      </c>
      <c r="AF586" t="inlineStr"/>
      <c r="AG586" t="inlineStr"/>
      <c r="AH586" t="inlineStr"/>
      <c r="AI586" t="inlineStr"/>
      <c r="AJ586" t="inlineStr"/>
      <c r="AK586" t="inlineStr"/>
      <c r="AL586" t="inlineStr"/>
      <c r="AM586" t="inlineStr"/>
      <c r="AN586" t="inlineStr"/>
      <c r="AO586" t="inlineStr"/>
      <c r="AP586" t="inlineStr"/>
      <c r="AQ586" t="inlineStr">
        <is>
          <t>{05-25-2026 ticket}: INC-20260525-00012091..Auto TT closure RCA..Others Transmission equipement fault</t>
        </is>
      </c>
      <c r="AR586" t="inlineStr"/>
    </row>
    <row r="587">
      <c r="A587" t="inlineStr">
        <is>
          <t>CNPS-Indoor</t>
        </is>
      </c>
      <c r="B587" t="inlineStr">
        <is>
          <t>LIT_708</t>
        </is>
      </c>
      <c r="C587" t="inlineStr">
        <is>
          <t>Douala</t>
        </is>
      </c>
      <c r="D587" t="inlineStr">
        <is>
          <t>CAMUSAT</t>
        </is>
      </c>
      <c r="E587" t="inlineStr">
        <is>
          <t>Good Grid no GE - 8h</t>
        </is>
      </c>
      <c r="F587" t="inlineStr">
        <is>
          <t>LITTORAL</t>
        </is>
      </c>
      <c r="G587" t="inlineStr">
        <is>
          <t>Douala</t>
        </is>
      </c>
      <c r="H587" t="inlineStr">
        <is>
          <t>ZTE</t>
        </is>
      </c>
      <c r="I587" t="n">
        <v>0</v>
      </c>
      <c r="J587" t="n">
        <v>0</v>
      </c>
      <c r="K587" t="n">
        <v>0</v>
      </c>
      <c r="L587" t="n">
        <v>0.042215630377276</v>
      </c>
      <c r="M587" t="n">
        <v>0.08987095964135809</v>
      </c>
      <c r="N587" t="n">
        <v>1.394334336494691</v>
      </c>
      <c r="O587" t="n">
        <v>0</v>
      </c>
      <c r="P587" t="n">
        <v>0.6771664401237124</v>
      </c>
      <c r="Q587" t="n">
        <v>0.552245365019847</v>
      </c>
      <c r="R587" t="inlineStr">
        <is>
          <t>Operationnel</t>
        </is>
      </c>
      <c r="S587" t="inlineStr"/>
      <c r="T587" t="inlineStr"/>
      <c r="U587" t="inlineStr"/>
      <c r="V587" t="inlineStr"/>
      <c r="W587" t="inlineStr"/>
      <c r="X587" t="inlineStr">
        <is>
          <t>{05-25-2026 ticket}: INC-20260525-00018068..Grid Outage</t>
        </is>
      </c>
      <c r="Y587" t="inlineStr">
        <is>
          <t>.Grid Outage</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is>
          <t>{05-25-2026 ticket}: INC-20260525-00018068..Grid Outage</t>
        </is>
      </c>
      <c r="AR587" t="inlineStr"/>
    </row>
    <row r="588">
      <c r="A588" t="inlineStr">
        <is>
          <t>Mabanda-CIMAF</t>
        </is>
      </c>
      <c r="B588" t="inlineStr">
        <is>
          <t>LIT_695</t>
        </is>
      </c>
      <c r="C588" t="inlineStr">
        <is>
          <t>Douala</t>
        </is>
      </c>
      <c r="D588" t="inlineStr">
        <is>
          <t>CAMUSAT</t>
        </is>
      </c>
      <c r="E588" t="inlineStr">
        <is>
          <t>Good Grid no GE - 8h</t>
        </is>
      </c>
      <c r="F588" t="inlineStr">
        <is>
          <t>LITTORAL</t>
        </is>
      </c>
      <c r="G588" t="inlineStr">
        <is>
          <t>Douala</t>
        </is>
      </c>
      <c r="H588" t="inlineStr">
        <is>
          <t>ZTE</t>
        </is>
      </c>
      <c r="I588" t="n">
        <v>13.86855689960706</v>
      </c>
      <c r="J588" t="n">
        <v>13.86855689960706</v>
      </c>
      <c r="K588" t="n">
        <v>8.189172395293822</v>
      </c>
      <c r="L588" t="n">
        <v>3.203251406117574</v>
      </c>
      <c r="M588" t="n">
        <v>0.9758284750579996</v>
      </c>
      <c r="N588" t="n">
        <v>0.3203571813963527</v>
      </c>
      <c r="O588" t="n">
        <v>0.330551220457583</v>
      </c>
      <c r="P588" t="n">
        <v>0.7387270255895055</v>
      </c>
      <c r="Q588" t="n">
        <v>0.5419545248307104</v>
      </c>
      <c r="R588" t="inlineStr">
        <is>
          <t>Operationnel</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row>
    <row r="589">
      <c r="A589" t="inlineStr">
        <is>
          <t>CTR_944_Z_Mimboman-Camtel</t>
        </is>
      </c>
      <c r="B589" t="inlineStr">
        <is>
          <t>CTR_944</t>
        </is>
      </c>
      <c r="C589" t="inlineStr">
        <is>
          <t>Yaounde</t>
        </is>
      </c>
      <c r="D589" t="inlineStr">
        <is>
          <t>ESCO</t>
        </is>
      </c>
      <c r="E589" t="inlineStr">
        <is>
          <t>Bad Grid + GE</t>
        </is>
      </c>
      <c r="F589" t="inlineStr">
        <is>
          <t>CTR</t>
        </is>
      </c>
      <c r="G589" t="inlineStr">
        <is>
          <t>Yaoundé</t>
        </is>
      </c>
      <c r="H589" t="inlineStr">
        <is>
          <t>ZTE</t>
        </is>
      </c>
      <c r="I589" t="n">
        <v>0</v>
      </c>
      <c r="J589" t="n">
        <v>0</v>
      </c>
      <c r="K589" t="n">
        <v>0</v>
      </c>
      <c r="L589" t="n">
        <v>0</v>
      </c>
      <c r="M589" t="n">
        <v>0</v>
      </c>
      <c r="N589" t="n">
        <v>0.4420054834158643</v>
      </c>
      <c r="O589" t="n">
        <v>0.004462600854777977</v>
      </c>
      <c r="P589" t="n">
        <v>0.9071294271637035</v>
      </c>
      <c r="Q589" t="n">
        <v>0.5376741060345337</v>
      </c>
      <c r="R589" t="inlineStr">
        <is>
          <t>Operationnel</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row>
    <row r="590">
      <c r="A590" t="inlineStr">
        <is>
          <t>Gueme</t>
        </is>
      </c>
      <c r="B590" t="inlineStr">
        <is>
          <t>EXN_049</t>
        </is>
      </c>
      <c r="C590" t="inlineStr">
        <is>
          <t>EXTREME-NORD</t>
        </is>
      </c>
      <c r="D590" t="inlineStr">
        <is>
          <t>IHS</t>
        </is>
      </c>
      <c r="E590" t="inlineStr">
        <is>
          <t>Solar-Gen</t>
        </is>
      </c>
      <c r="F590" t="inlineStr">
        <is>
          <t>EXTREME-NORD</t>
        </is>
      </c>
      <c r="G590" t="inlineStr">
        <is>
          <t>Gueme</t>
        </is>
      </c>
      <c r="H590" t="inlineStr">
        <is>
          <t>NOKIA</t>
        </is>
      </c>
      <c r="I590" t="n">
        <v>1.359104308098838</v>
      </c>
      <c r="J590" t="n">
        <v>0</v>
      </c>
      <c r="K590" t="n">
        <v>6.602453375380338</v>
      </c>
      <c r="L590" t="n">
        <v>1.037383463913655</v>
      </c>
      <c r="M590" t="n">
        <v>0</v>
      </c>
      <c r="N590" t="n">
        <v>0</v>
      </c>
      <c r="O590" t="n">
        <v>1.595811019753492</v>
      </c>
      <c r="P590" t="n">
        <v>0</v>
      </c>
      <c r="Q590" t="n">
        <v>0.5357321654418612</v>
      </c>
      <c r="R590" t="inlineStr">
        <is>
          <t>Insecurity</t>
        </is>
      </c>
      <c r="S590" t="inlineStr"/>
      <c r="T590" t="inlineStr"/>
      <c r="U590" t="inlineStr"/>
      <c r="V590" t="inlineStr"/>
      <c r="W590" t="inlineStr"/>
      <c r="X590" t="inlineStr">
        <is>
          <t>{05-25-2026 ticket}: INC-20260525-00010590..Grid Outage</t>
        </is>
      </c>
      <c r="Y590" t="inlineStr">
        <is>
          <t>.Grid Outage</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is>
          <t>{05-25-2026 ticket}: INC-20260525-00010590..Grid Outage</t>
        </is>
      </c>
      <c r="AR590" t="inlineStr"/>
    </row>
    <row r="591">
      <c r="A591" t="inlineStr">
        <is>
          <t>Maroua-Titouare-II</t>
        </is>
      </c>
      <c r="B591" t="inlineStr">
        <is>
          <t>EXN_086</t>
        </is>
      </c>
      <c r="C591" t="inlineStr">
        <is>
          <t>Maroua</t>
        </is>
      </c>
      <c r="D591" t="inlineStr">
        <is>
          <t>IHS</t>
        </is>
      </c>
      <c r="E591" t="inlineStr">
        <is>
          <t>Grid-Gen</t>
        </is>
      </c>
      <c r="F591" t="inlineStr">
        <is>
          <t>EXTREME-NORD</t>
        </is>
      </c>
      <c r="G591" t="inlineStr">
        <is>
          <t>Maroua</t>
        </is>
      </c>
      <c r="H591" t="inlineStr">
        <is>
          <t>Huawei</t>
        </is>
      </c>
      <c r="I591" t="n">
        <v>0.02924952844052929</v>
      </c>
      <c r="J591" t="n">
        <v>0</v>
      </c>
      <c r="K591" t="n">
        <v>0</v>
      </c>
      <c r="L591" t="n">
        <v>0.3024829282630346</v>
      </c>
      <c r="M591" t="n">
        <v>0</v>
      </c>
      <c r="N591" t="n">
        <v>0.8823873241969713</v>
      </c>
      <c r="O591" t="n">
        <v>1.133978752919816</v>
      </c>
      <c r="P591" t="n">
        <v>0.05027447813039681</v>
      </c>
      <c r="Q591" t="n">
        <v>0.5329121401237896</v>
      </c>
      <c r="R591" t="inlineStr">
        <is>
          <t>Operationnel</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row>
    <row r="592">
      <c r="A592" t="inlineStr">
        <is>
          <t>Akonolinga-Town-IHS</t>
        </is>
      </c>
      <c r="B592" t="inlineStr">
        <is>
          <t>CTR_784</t>
        </is>
      </c>
      <c r="C592" t="inlineStr">
        <is>
          <t>CENTRE</t>
        </is>
      </c>
      <c r="D592" t="inlineStr"/>
      <c r="E592" t="inlineStr"/>
      <c r="F592" t="inlineStr">
        <is>
          <t>CENTRE</t>
        </is>
      </c>
      <c r="G592" t="inlineStr">
        <is>
          <t>Akonolinga</t>
        </is>
      </c>
      <c r="H592" t="inlineStr">
        <is>
          <t>NOKIA</t>
        </is>
      </c>
      <c r="I592" t="n">
        <v>0.0002853612530783018</v>
      </c>
      <c r="J592" t="n">
        <v>0.0004637120362524214</v>
      </c>
      <c r="K592" t="n">
        <v>0.02749000438304622</v>
      </c>
      <c r="L592" t="n">
        <v>0.0003108316795038227</v>
      </c>
      <c r="M592" t="n">
        <v>1.540950766623006</v>
      </c>
      <c r="N592" t="n">
        <v>0</v>
      </c>
      <c r="O592" t="n">
        <v>0.05073552162278828</v>
      </c>
      <c r="P592" t="n">
        <v>0.969023455359652</v>
      </c>
      <c r="Q592" t="n">
        <v>0.522367144623706</v>
      </c>
      <c r="R592" t="inlineStr">
        <is>
          <t>Operationnel</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row>
    <row r="593">
      <c r="A593" t="inlineStr">
        <is>
          <t>Logpom-Sodikombo</t>
        </is>
      </c>
      <c r="B593" t="inlineStr">
        <is>
          <t>LIT_275</t>
        </is>
      </c>
      <c r="C593" t="inlineStr">
        <is>
          <t>Douala</t>
        </is>
      </c>
      <c r="D593" t="inlineStr">
        <is>
          <t>IHS</t>
        </is>
      </c>
      <c r="E593" t="inlineStr">
        <is>
          <t>Grid-Gen</t>
        </is>
      </c>
      <c r="F593" t="inlineStr">
        <is>
          <t>LITTORAL</t>
        </is>
      </c>
      <c r="G593" t="inlineStr">
        <is>
          <t>Douala</t>
        </is>
      </c>
      <c r="H593" t="inlineStr">
        <is>
          <t>ZTE</t>
        </is>
      </c>
      <c r="I593" t="n">
        <v>0</v>
      </c>
      <c r="J593" t="n">
        <v>0</v>
      </c>
      <c r="K593" t="n">
        <v>0</v>
      </c>
      <c r="L593" t="n">
        <v>0</v>
      </c>
      <c r="M593" t="n">
        <v>1.298197515644933</v>
      </c>
      <c r="N593" t="n">
        <v>0.2154448880735705</v>
      </c>
      <c r="O593" t="n">
        <v>0.4503508029281469</v>
      </c>
      <c r="P593" t="n">
        <v>0.645599539909865</v>
      </c>
      <c r="Q593" t="n">
        <v>0.5186262423915562</v>
      </c>
      <c r="R593" t="inlineStr">
        <is>
          <t>Operationnel</t>
        </is>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row>
    <row r="594">
      <c r="A594" t="inlineStr">
        <is>
          <t>NRD_255_H_Garoua-Universite</t>
        </is>
      </c>
      <c r="B594" t="inlineStr">
        <is>
          <t>NRD_255</t>
        </is>
      </c>
      <c r="C594" t="inlineStr"/>
      <c r="D594" t="inlineStr">
        <is>
          <t>ESCO</t>
        </is>
      </c>
      <c r="E594" t="inlineStr">
        <is>
          <t>Hybrid Solar - S1</t>
        </is>
      </c>
      <c r="F594" t="inlineStr">
        <is>
          <t>NRD</t>
        </is>
      </c>
      <c r="G594" t="inlineStr">
        <is>
          <t>Garoua</t>
        </is>
      </c>
      <c r="H594" t="inlineStr">
        <is>
          <t>Huawei</t>
        </is>
      </c>
      <c r="I594" t="n">
        <v>0.02209766203525353</v>
      </c>
      <c r="J594" t="n">
        <v>0.5141674728122065</v>
      </c>
      <c r="K594" t="n">
        <v>0</v>
      </c>
      <c r="L594" t="n">
        <v>0.5128476770167193</v>
      </c>
      <c r="M594" t="n">
        <v>0.5099048890943489</v>
      </c>
      <c r="N594" t="n">
        <v>0.3990414013884392</v>
      </c>
      <c r="O594" t="n">
        <v>0.5309963755180866</v>
      </c>
      <c r="P594" t="n">
        <v>0.5431011651093206</v>
      </c>
      <c r="Q594" t="n">
        <v>0.518465726686699</v>
      </c>
      <c r="R594" t="inlineStr">
        <is>
          <t>EXCLU</t>
        </is>
      </c>
      <c r="S594" t="inlineStr">
        <is>
          <t xml:space="preserve"> not accepted</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row>
    <row r="595">
      <c r="A595" t="inlineStr">
        <is>
          <t>Ngog-Mapubi-NEW</t>
        </is>
      </c>
      <c r="B595" t="inlineStr">
        <is>
          <t>CTR_546</t>
        </is>
      </c>
      <c r="C595" t="inlineStr">
        <is>
          <t>CENTRE</t>
        </is>
      </c>
      <c r="D595" t="inlineStr">
        <is>
          <t>IHS</t>
        </is>
      </c>
      <c r="E595" t="inlineStr"/>
      <c r="F595" t="inlineStr">
        <is>
          <t>CENTRE</t>
        </is>
      </c>
      <c r="G595" t="inlineStr">
        <is>
          <t>Ngog-Mapubi</t>
        </is>
      </c>
      <c r="H595" t="inlineStr">
        <is>
          <t>NOKIA</t>
        </is>
      </c>
      <c r="I595" t="n">
        <v>0.000142680626539122</v>
      </c>
      <c r="J595" t="n">
        <v>0.0001605157048565339</v>
      </c>
      <c r="K595" t="n">
        <v>0.0001961858614912421</v>
      </c>
      <c r="L595" t="n">
        <v>0.000160515704856476</v>
      </c>
      <c r="M595" t="n">
        <v>0.02702014365085477</v>
      </c>
      <c r="N595" t="n">
        <v>0.6244779364451318</v>
      </c>
      <c r="O595" t="n">
        <v>0.8239873721146096</v>
      </c>
      <c r="P595" t="n">
        <v>0.2870775302221439</v>
      </c>
      <c r="Q595" t="n">
        <v>0.5155051036860114</v>
      </c>
      <c r="R595" t="inlineStr">
        <is>
          <t>Operationnel</t>
        </is>
      </c>
      <c r="S595" t="inlineStr"/>
      <c r="T595" t="inlineStr"/>
      <c r="U595" t="inlineStr"/>
      <c r="V595" t="inlineStr"/>
      <c r="W595" t="inlineStr"/>
      <c r="X595" t="inlineStr">
        <is>
          <t>{05-25-2026 ticket}: INC-20260525-00000033..Grid Outage</t>
        </is>
      </c>
      <c r="Y595" t="inlineStr">
        <is>
          <t>.Grid Outage</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is>
          <t>{05-25-2026 ticket}: INC-20260525-00000033..Grid Outage</t>
        </is>
      </c>
      <c r="AR595" t="inlineStr"/>
    </row>
    <row r="596">
      <c r="A596" t="inlineStr">
        <is>
          <t>Foubarka</t>
        </is>
      </c>
      <c r="B596" t="inlineStr">
        <is>
          <t>NRD_153</t>
        </is>
      </c>
      <c r="C596" t="inlineStr">
        <is>
          <t>NORD</t>
        </is>
      </c>
      <c r="D596" t="inlineStr">
        <is>
          <t>CAMUSAT</t>
        </is>
      </c>
      <c r="E596" t="inlineStr">
        <is>
          <t>Hybrid Solar - S3</t>
        </is>
      </c>
      <c r="F596" t="inlineStr">
        <is>
          <t>NORD</t>
        </is>
      </c>
      <c r="G596" t="inlineStr">
        <is>
          <t>Foubarka</t>
        </is>
      </c>
      <c r="H596" t="inlineStr">
        <is>
          <t>NOKIA</t>
        </is>
      </c>
      <c r="I596" t="n">
        <v>0.8529091152945071</v>
      </c>
      <c r="J596" t="n">
        <v>0.06823700964235674</v>
      </c>
      <c r="K596" t="n">
        <v>3.092014022651976</v>
      </c>
      <c r="L596" t="n">
        <v>2.603297206598694</v>
      </c>
      <c r="M596" t="n">
        <v>0.1217779147511793</v>
      </c>
      <c r="N596" t="n">
        <v>3.547534261357506</v>
      </c>
      <c r="O596" t="n">
        <v>0</v>
      </c>
      <c r="P596" t="n">
        <v>0</v>
      </c>
      <c r="Q596" t="n">
        <v>0.5065875645273135</v>
      </c>
      <c r="R596" t="inlineStr">
        <is>
          <t>Operationnel</t>
        </is>
      </c>
      <c r="S596" t="inlineStr"/>
      <c r="T596" t="inlineStr"/>
      <c r="U596" t="inlineStr"/>
      <c r="V596" t="inlineStr"/>
      <c r="W596" t="inlineStr"/>
      <c r="X596" t="inlineStr">
        <is>
          <t>{05-25-2026 retour CAMUSAT}: No power issue      ;    {05-25-2026 ticket}: INC-20260525-00018534..Others Transmission equipement fault</t>
        </is>
      </c>
      <c r="Y596" t="inlineStr">
        <is>
          <t>No power issue .</t>
        </is>
      </c>
      <c r="Z596" t="inlineStr"/>
      <c r="AA596" t="inlineStr"/>
      <c r="AB596" t="inlineStr"/>
      <c r="AC596" t="inlineStr">
        <is>
          <t xml:space="preserve">{05-25-2026 retour CAMUSAT}: No power issue </t>
        </is>
      </c>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is>
          <t>{05-25-2026 ticket}: INC-20260525-00018534..Others Transmission equipement fault</t>
        </is>
      </c>
      <c r="AR596" t="inlineStr"/>
    </row>
    <row r="597">
      <c r="A597" t="inlineStr">
        <is>
          <t>Nkong-CRTV</t>
        </is>
      </c>
      <c r="B597" t="inlineStr">
        <is>
          <t>LIT_116</t>
        </is>
      </c>
      <c r="C597" t="inlineStr">
        <is>
          <t>LITTORAL</t>
        </is>
      </c>
      <c r="D597" t="inlineStr">
        <is>
          <t>CAMUSAT</t>
        </is>
      </c>
      <c r="E597" t="inlineStr">
        <is>
          <t>Good Grid + GE</t>
        </is>
      </c>
      <c r="F597" t="inlineStr">
        <is>
          <t>LITTORAL</t>
        </is>
      </c>
      <c r="G597" t="inlineStr">
        <is>
          <t>Nkongsamba</t>
        </is>
      </c>
      <c r="H597" t="inlineStr">
        <is>
          <t>ZTE</t>
        </is>
      </c>
      <c r="I597" t="n">
        <v>0</v>
      </c>
      <c r="J597" t="n">
        <v>0</v>
      </c>
      <c r="K597" t="n">
        <v>0</v>
      </c>
      <c r="L597" t="n">
        <v>0</v>
      </c>
      <c r="M597" t="n">
        <v>7.176389637962179</v>
      </c>
      <c r="N597" t="n">
        <v>0.2268103865168719</v>
      </c>
      <c r="O597" t="n">
        <v>0.5282869392848286</v>
      </c>
      <c r="P597" t="n">
        <v>0.5601671274134475</v>
      </c>
      <c r="Q597" t="n">
        <v>0.5018612687732031</v>
      </c>
      <c r="R597" t="inlineStr">
        <is>
          <t>Operationnel</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row>
    <row r="598">
      <c r="A598" t="inlineStr">
        <is>
          <t>Kontcha</t>
        </is>
      </c>
      <c r="B598" t="inlineStr">
        <is>
          <t>ADM_130</t>
        </is>
      </c>
      <c r="C598" t="inlineStr">
        <is>
          <t>NGAOUNDERE</t>
        </is>
      </c>
      <c r="D598" t="inlineStr">
        <is>
          <t>CAMUSAT</t>
        </is>
      </c>
      <c r="E598" t="inlineStr">
        <is>
          <t>Hybrid Solar - S3</t>
        </is>
      </c>
      <c r="F598" t="inlineStr">
        <is>
          <t>ADAMAOUA</t>
        </is>
      </c>
      <c r="G598" t="inlineStr">
        <is>
          <t>Kontcha</t>
        </is>
      </c>
      <c r="H598" t="inlineStr">
        <is>
          <t>NOKIA</t>
        </is>
      </c>
      <c r="I598" t="n">
        <v>3.107084663830176</v>
      </c>
      <c r="J598" t="n">
        <v>0.1101494436882371</v>
      </c>
      <c r="K598" t="n">
        <v>0.6466464345538233</v>
      </c>
      <c r="L598" t="n">
        <v>0.1129138808274335</v>
      </c>
      <c r="M598" t="n">
        <v>0.1864657438083742</v>
      </c>
      <c r="N598" t="n">
        <v>3.506568508726704</v>
      </c>
      <c r="O598" t="n">
        <v>0</v>
      </c>
      <c r="P598" t="n">
        <v>0</v>
      </c>
      <c r="Q598" t="n">
        <v>0.5007376588392074</v>
      </c>
      <c r="R598" t="inlineStr">
        <is>
          <t>Operationnel</t>
        </is>
      </c>
      <c r="S598" t="inlineStr"/>
      <c r="T598" t="inlineStr"/>
      <c r="U598" t="inlineStr"/>
      <c r="V598" t="inlineStr"/>
      <c r="W598" t="inlineStr"/>
      <c r="X598" t="inlineStr">
        <is>
          <t>{05-25-2026 retour CAMUSAT}: No power issue      ;    {05-25-2026 ocm ran 17H}: Power status check Ongoing     ;    {05-25-2026 ticket}: INC-20260525-00018274..The technician is managing with the level 0..Grid Outage..user:OCM_NOC.CAMUSAT</t>
        </is>
      </c>
      <c r="Y598" t="inlineStr">
        <is>
          <t>No power issue .The technician is managing with the level 0.Grid Outage.user OCM_NOC.CAMUSAT</t>
        </is>
      </c>
      <c r="Z598" t="inlineStr"/>
      <c r="AA598" t="inlineStr"/>
      <c r="AB598" t="inlineStr"/>
      <c r="AC598" t="inlineStr">
        <is>
          <t xml:space="preserve">{05-25-2026 retour CAMUSAT}: No power issue </t>
        </is>
      </c>
      <c r="AD598" t="inlineStr"/>
      <c r="AE598" t="inlineStr"/>
      <c r="AF598" t="inlineStr"/>
      <c r="AG598" t="inlineStr"/>
      <c r="AH598" t="inlineStr"/>
      <c r="AI598" t="inlineStr"/>
      <c r="AJ598" t="inlineStr"/>
      <c r="AK598" t="inlineStr"/>
      <c r="AL598" t="inlineStr"/>
      <c r="AM598" t="inlineStr"/>
      <c r="AN598" t="inlineStr"/>
      <c r="AO598" t="inlineStr"/>
      <c r="AP598" t="inlineStr">
        <is>
          <t>{05-25-2026 ocm ran 17H}: Power status check Ongoing</t>
        </is>
      </c>
      <c r="AQ598" t="inlineStr">
        <is>
          <t>{05-25-2026 ticket}: INC-20260525-00018274..The technician is managing with the level 0..Grid Outage..user:OCM_NOC.CAMUSAT</t>
        </is>
      </c>
      <c r="AR598" t="inlineStr"/>
    </row>
    <row r="599">
      <c r="A599" t="inlineStr">
        <is>
          <t>Mimboman3-IHS</t>
        </is>
      </c>
      <c r="B599" t="inlineStr">
        <is>
          <t>CTR_625</t>
        </is>
      </c>
      <c r="C599" t="inlineStr">
        <is>
          <t>Yaounde</t>
        </is>
      </c>
      <c r="D599" t="inlineStr">
        <is>
          <t>IHS</t>
        </is>
      </c>
      <c r="E599" t="inlineStr">
        <is>
          <t>Grid-Gen</t>
        </is>
      </c>
      <c r="F599" t="inlineStr">
        <is>
          <t>CENTRE</t>
        </is>
      </c>
      <c r="G599" t="inlineStr">
        <is>
          <t>Yaounde</t>
        </is>
      </c>
      <c r="H599" t="inlineStr">
        <is>
          <t>ZTE</t>
        </is>
      </c>
      <c r="I599" t="n">
        <v>3.743368917881592</v>
      </c>
      <c r="J599" t="n">
        <v>0</v>
      </c>
      <c r="K599" t="n">
        <v>0</v>
      </c>
      <c r="L599" t="n">
        <v>0</v>
      </c>
      <c r="M599" t="n">
        <v>0</v>
      </c>
      <c r="N599" t="n">
        <v>0.05170677313765693</v>
      </c>
      <c r="O599" t="n">
        <v>0.1727132783200907</v>
      </c>
      <c r="P599" t="n">
        <v>0.8207394055600425</v>
      </c>
      <c r="Q599" t="n">
        <v>0.4933717714941232</v>
      </c>
      <c r="R599" t="inlineStr">
        <is>
          <t>Operationnel</t>
        </is>
      </c>
      <c r="S599" t="inlineStr"/>
      <c r="T599" t="inlineStr"/>
      <c r="U599" t="inlineStr"/>
      <c r="V599" t="inlineStr"/>
      <c r="W599" t="inlineStr"/>
      <c r="X599" t="inlineStr">
        <is>
          <t>{05-25-2026 ticket}: INC-20260525-00019066..Grid Outage</t>
        </is>
      </c>
      <c r="Y599" t="inlineStr">
        <is>
          <t>.Grid Outage</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is>
          <t>{05-25-2026 ticket}: INC-20260525-00019066..Grid Outage</t>
        </is>
      </c>
      <c r="AR599" t="inlineStr"/>
    </row>
    <row r="600">
      <c r="A600" t="inlineStr">
        <is>
          <t>Makalingai-MTN</t>
        </is>
      </c>
      <c r="B600" t="inlineStr">
        <is>
          <t>EXN_029</t>
        </is>
      </c>
      <c r="C600" t="inlineStr">
        <is>
          <t>EXTREME-NORD</t>
        </is>
      </c>
      <c r="D600" t="inlineStr">
        <is>
          <t>IHS</t>
        </is>
      </c>
      <c r="E600" t="inlineStr">
        <is>
          <t>Grid-Gen</t>
        </is>
      </c>
      <c r="F600" t="inlineStr">
        <is>
          <t>EXTREME-NORD</t>
        </is>
      </c>
      <c r="G600" t="inlineStr">
        <is>
          <t>Makalingai</t>
        </is>
      </c>
      <c r="H600" t="inlineStr">
        <is>
          <t>NOKIA</t>
        </is>
      </c>
      <c r="I600" t="n">
        <v>0</v>
      </c>
      <c r="J600" t="n">
        <v>0</v>
      </c>
      <c r="K600" t="n">
        <v>0</v>
      </c>
      <c r="L600" t="n">
        <v>0</v>
      </c>
      <c r="M600" t="n">
        <v>0</v>
      </c>
      <c r="N600" t="n">
        <v>1.693833954813776</v>
      </c>
      <c r="O600" t="n">
        <v>0.7307931812421762</v>
      </c>
      <c r="P600" t="n">
        <v>0.01072453792568735</v>
      </c>
      <c r="Q600" t="n">
        <v>0.4928077558869315</v>
      </c>
      <c r="R600" t="inlineStr">
        <is>
          <t>Insecurity</t>
        </is>
      </c>
      <c r="S600" t="inlineStr"/>
      <c r="T600" t="inlineStr"/>
      <c r="U600" t="inlineStr"/>
      <c r="V600" t="inlineStr"/>
      <c r="W600" t="inlineStr"/>
      <c r="X600" t="inlineStr">
        <is>
          <t>{05-25-2026 ticket}: INC-20260525-00010790..Grid Outage</t>
        </is>
      </c>
      <c r="Y600" t="inlineStr">
        <is>
          <t>.Grid Outage</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is>
          <t>{05-25-2026 ticket}: INC-20260525-00010790..Grid Outage</t>
        </is>
      </c>
      <c r="AR600" t="inlineStr"/>
    </row>
    <row r="601">
      <c r="A601" t="inlineStr">
        <is>
          <t>Salack</t>
        </is>
      </c>
      <c r="B601" t="inlineStr">
        <is>
          <t>EXN_008</t>
        </is>
      </c>
      <c r="C601" t="inlineStr">
        <is>
          <t>EXTREME-NORD</t>
        </is>
      </c>
      <c r="D601" t="inlineStr">
        <is>
          <t>IHS</t>
        </is>
      </c>
      <c r="E601" t="inlineStr">
        <is>
          <t>Grid-Gen</t>
        </is>
      </c>
      <c r="F601" t="inlineStr">
        <is>
          <t>EXTREME-NORD</t>
        </is>
      </c>
      <c r="G601" t="inlineStr">
        <is>
          <t>Salak</t>
        </is>
      </c>
      <c r="H601" t="inlineStr">
        <is>
          <t>NOKIA</t>
        </is>
      </c>
      <c r="I601" t="n">
        <v>0.002051034006500622</v>
      </c>
      <c r="J601" t="n">
        <v>0.001515981656978832</v>
      </c>
      <c r="K601" t="n">
        <v>0</v>
      </c>
      <c r="L601" t="n">
        <v>0</v>
      </c>
      <c r="M601" t="n">
        <v>1.513392226351911</v>
      </c>
      <c r="N601" t="n">
        <v>0</v>
      </c>
      <c r="O601" t="n">
        <v>0.8311642578639369</v>
      </c>
      <c r="P601" t="n">
        <v>0.4058894601711218</v>
      </c>
      <c r="Q601" t="n">
        <v>0.4906981374980328</v>
      </c>
      <c r="R601" t="inlineStr">
        <is>
          <t>Insecurity</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row>
    <row r="602">
      <c r="A602" t="inlineStr">
        <is>
          <t>Kye-Ossi-MTN-IHS</t>
        </is>
      </c>
      <c r="B602" t="inlineStr">
        <is>
          <t>SUD_026</t>
        </is>
      </c>
      <c r="C602" t="inlineStr">
        <is>
          <t>CENTRE</t>
        </is>
      </c>
      <c r="D602" t="inlineStr">
        <is>
          <t>IHS</t>
        </is>
      </c>
      <c r="E602" t="inlineStr">
        <is>
          <t>Grid-Gen-Lithium</t>
        </is>
      </c>
      <c r="F602" t="inlineStr">
        <is>
          <t>SUD</t>
        </is>
      </c>
      <c r="G602" t="inlineStr">
        <is>
          <t>Kye-Ossi</t>
        </is>
      </c>
      <c r="H602" t="inlineStr">
        <is>
          <t>ZTE</t>
        </is>
      </c>
      <c r="I602" t="n">
        <v>0</v>
      </c>
      <c r="J602" t="n">
        <v>0</v>
      </c>
      <c r="K602" t="n">
        <v>0.9368944990911245</v>
      </c>
      <c r="L602" t="n">
        <v>1.027710717883305</v>
      </c>
      <c r="M602" t="n">
        <v>1.132188606666609</v>
      </c>
      <c r="N602" t="n">
        <v>0.2040793896302691</v>
      </c>
      <c r="O602" t="n">
        <v>0.4497132885203196</v>
      </c>
      <c r="P602" t="n">
        <v>0.5872537850183972</v>
      </c>
      <c r="Q602" t="n">
        <v>0.4863625857153862</v>
      </c>
      <c r="R602" t="inlineStr">
        <is>
          <t>Operationnel</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row>
    <row r="603">
      <c r="A603" t="inlineStr">
        <is>
          <t>Baikwa-Bere</t>
        </is>
      </c>
      <c r="B603" t="inlineStr">
        <is>
          <t>NRD_056</t>
        </is>
      </c>
      <c r="C603" t="inlineStr">
        <is>
          <t>NORD</t>
        </is>
      </c>
      <c r="D603" t="inlineStr">
        <is>
          <t>IHS</t>
        </is>
      </c>
      <c r="E603" t="inlineStr">
        <is>
          <t>Solar-Gen</t>
        </is>
      </c>
      <c r="F603" t="inlineStr">
        <is>
          <t>NORD</t>
        </is>
      </c>
      <c r="G603" t="inlineStr">
        <is>
          <t>Baikwa-Bere</t>
        </is>
      </c>
      <c r="H603" t="inlineStr">
        <is>
          <t>NOKIA</t>
        </is>
      </c>
      <c r="I603" t="n">
        <v>0.8295451626987185</v>
      </c>
      <c r="J603" t="n">
        <v>1.081590489480157</v>
      </c>
      <c r="K603" t="n">
        <v>1.555825221939715</v>
      </c>
      <c r="L603" t="n">
        <v>1.823797273658588</v>
      </c>
      <c r="M603" t="n">
        <v>2.171991507649109</v>
      </c>
      <c r="N603" t="n">
        <v>3.40577776978446</v>
      </c>
      <c r="O603" t="n">
        <v>0</v>
      </c>
      <c r="P603" t="n">
        <v>0</v>
      </c>
      <c r="Q603" t="n">
        <v>0.486344750637069</v>
      </c>
      <c r="R603" t="inlineStr">
        <is>
          <t>Operationnel</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row>
    <row r="604">
      <c r="A604" t="inlineStr">
        <is>
          <t>Nkolfon-Cimencam-IHS</t>
        </is>
      </c>
      <c r="B604" t="inlineStr">
        <is>
          <t>CTR_911</t>
        </is>
      </c>
      <c r="C604" t="inlineStr">
        <is>
          <t>CENTRE</t>
        </is>
      </c>
      <c r="D604" t="inlineStr">
        <is>
          <t>IHS</t>
        </is>
      </c>
      <c r="E604" t="inlineStr">
        <is>
          <t>Gen-Lithium</t>
        </is>
      </c>
      <c r="F604" t="inlineStr">
        <is>
          <t>CENTRE</t>
        </is>
      </c>
      <c r="G604" t="inlineStr">
        <is>
          <t>Mbankomo</t>
        </is>
      </c>
      <c r="H604" t="inlineStr">
        <is>
          <t>ZTE</t>
        </is>
      </c>
      <c r="I604" t="n">
        <v>0</v>
      </c>
      <c r="J604" t="n">
        <v>0</v>
      </c>
      <c r="K604" t="n">
        <v>1.054713026455842</v>
      </c>
      <c r="L604" t="n">
        <v>10.97296059446456</v>
      </c>
      <c r="M604" t="n">
        <v>0.001480311500343751</v>
      </c>
      <c r="N604" t="n">
        <v>0.2049536587412923</v>
      </c>
      <c r="O604" t="n">
        <v>0.209954744977236</v>
      </c>
      <c r="P604" t="n">
        <v>0.7387270255895052</v>
      </c>
      <c r="Q604" t="n">
        <v>0.4849892846849473</v>
      </c>
      <c r="R604" t="inlineStr">
        <is>
          <t>Operationnel</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row>
    <row r="605">
      <c r="A605" t="inlineStr">
        <is>
          <t>Biteng-Maetur</t>
        </is>
      </c>
      <c r="B605" t="inlineStr">
        <is>
          <t>CTR_395</t>
        </is>
      </c>
      <c r="C605" t="inlineStr">
        <is>
          <t>Yaounde</t>
        </is>
      </c>
      <c r="D605" t="inlineStr">
        <is>
          <t>IHS</t>
        </is>
      </c>
      <c r="E605" t="inlineStr">
        <is>
          <t>Grid-Gen</t>
        </is>
      </c>
      <c r="F605" t="inlineStr">
        <is>
          <t>CENTRE</t>
        </is>
      </c>
      <c r="G605" t="inlineStr">
        <is>
          <t>Yaounde</t>
        </is>
      </c>
      <c r="H605" t="inlineStr">
        <is>
          <t>ZTE</t>
        </is>
      </c>
      <c r="I605" t="n">
        <v>0.038470263930623</v>
      </c>
      <c r="J605" t="n">
        <v>0.0408423293468368</v>
      </c>
      <c r="K605" t="n">
        <v>0</v>
      </c>
      <c r="L605" t="n">
        <v>0.2341745783074081</v>
      </c>
      <c r="M605" t="n">
        <v>0.3040167449983305</v>
      </c>
      <c r="N605" t="n">
        <v>0.132639113700946</v>
      </c>
      <c r="O605" t="n">
        <v>0.1106087497577445</v>
      </c>
      <c r="P605" t="n">
        <v>0.8079484839132616</v>
      </c>
      <c r="Q605" t="n">
        <v>0.4774093764000537</v>
      </c>
      <c r="R605" t="inlineStr">
        <is>
          <t>Operationnel</t>
        </is>
      </c>
      <c r="S605" t="inlineStr"/>
      <c r="T605" t="inlineStr"/>
      <c r="U605" t="inlineStr"/>
      <c r="V605" t="inlineStr"/>
      <c r="W605" t="inlineStr"/>
      <c r="X605" t="inlineStr">
        <is>
          <t>{05-25-2026 ticket}: INC-20260525-00023769..Others</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is>
          <t>{05-25-2026 ticket}: INC-20260525-00023769..Others</t>
        </is>
      </c>
      <c r="AR605" t="inlineStr"/>
    </row>
    <row r="606">
      <c r="A606" t="inlineStr">
        <is>
          <t>Dschang-Lycee-Technique-IHS</t>
        </is>
      </c>
      <c r="B606" t="inlineStr">
        <is>
          <t>OST_267</t>
        </is>
      </c>
      <c r="C606" t="inlineStr">
        <is>
          <t>OUEST</t>
        </is>
      </c>
      <c r="D606" t="inlineStr">
        <is>
          <t>IHS</t>
        </is>
      </c>
      <c r="E606" t="inlineStr">
        <is>
          <t>Grid-Gen</t>
        </is>
      </c>
      <c r="F606" t="inlineStr">
        <is>
          <t>OUEST</t>
        </is>
      </c>
      <c r="G606" t="inlineStr">
        <is>
          <t>Dschang</t>
        </is>
      </c>
      <c r="H606" t="inlineStr">
        <is>
          <t>Huawei</t>
        </is>
      </c>
      <c r="I606" t="n">
        <v>0</v>
      </c>
      <c r="J606" t="n">
        <v>0</v>
      </c>
      <c r="K606" t="n">
        <v>0</v>
      </c>
      <c r="L606" t="n">
        <v>0</v>
      </c>
      <c r="M606" t="n">
        <v>0</v>
      </c>
      <c r="N606" t="n">
        <v>0.1217731976068007</v>
      </c>
      <c r="O606" t="n">
        <v>0.9207301835021471</v>
      </c>
      <c r="P606" t="n">
        <v>0.2812976752534108</v>
      </c>
      <c r="Q606" t="n">
        <v>0.4731824628388308</v>
      </c>
      <c r="R606" t="inlineStr">
        <is>
          <t>Operationnel</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row>
    <row r="607">
      <c r="A607" t="inlineStr">
        <is>
          <t>Zouvoul-IHS</t>
        </is>
      </c>
      <c r="B607" t="inlineStr">
        <is>
          <t>EXN_172</t>
        </is>
      </c>
      <c r="C607" t="inlineStr">
        <is>
          <t>EXTREME-NORD</t>
        </is>
      </c>
      <c r="D607" t="inlineStr">
        <is>
          <t>IHS</t>
        </is>
      </c>
      <c r="E607" t="inlineStr">
        <is>
          <t>Hybrid-Gen</t>
        </is>
      </c>
      <c r="F607" t="inlineStr">
        <is>
          <t>EXTREME-NORD</t>
        </is>
      </c>
      <c r="G607" t="inlineStr">
        <is>
          <t>Zouvoul</t>
        </is>
      </c>
      <c r="H607" t="inlineStr">
        <is>
          <t>NOKIA</t>
        </is>
      </c>
      <c r="I607" t="n">
        <v>0.7548696897837817</v>
      </c>
      <c r="J607" t="n">
        <v>0</v>
      </c>
      <c r="K607" t="n">
        <v>0</v>
      </c>
      <c r="L607" t="n">
        <v>0.008079290477780346</v>
      </c>
      <c r="M607" t="n">
        <v>0</v>
      </c>
      <c r="N607" t="n">
        <v>2.015440092083018</v>
      </c>
      <c r="O607" t="n">
        <v>0.5384652047902179</v>
      </c>
      <c r="P607" t="n">
        <v>0</v>
      </c>
      <c r="Q607" t="n">
        <v>0.4685736387224442</v>
      </c>
      <c r="R607" t="inlineStr">
        <is>
          <t>Insecurity</t>
        </is>
      </c>
      <c r="S607" t="inlineStr"/>
      <c r="T607" t="inlineStr"/>
      <c r="U607" t="inlineStr"/>
      <c r="V607" t="inlineStr"/>
      <c r="W607" t="inlineStr"/>
      <c r="X607" t="inlineStr">
        <is>
          <t>{05-25-2026 ticket}: INC-20260525-00007306..Others</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is>
          <t>{05-25-2026 ticket}: INC-20260525-00007306..Others</t>
        </is>
      </c>
      <c r="AR607" t="inlineStr"/>
    </row>
    <row r="608">
      <c r="A608" t="inlineStr">
        <is>
          <t>LIMBE-MOTOWOH-MTN</t>
        </is>
      </c>
      <c r="B608" t="inlineStr">
        <is>
          <t>SUO_224</t>
        </is>
      </c>
      <c r="C608" t="inlineStr">
        <is>
          <t>SUD-OUEST</t>
        </is>
      </c>
      <c r="D608" t="inlineStr">
        <is>
          <t>MTN sharing</t>
        </is>
      </c>
      <c r="E608" t="inlineStr"/>
      <c r="F608" t="inlineStr">
        <is>
          <t>SUD-OUEST</t>
        </is>
      </c>
      <c r="G608" t="inlineStr">
        <is>
          <t>Limbe</t>
        </is>
      </c>
      <c r="H608" t="inlineStr">
        <is>
          <t>Huawei</t>
        </is>
      </c>
      <c r="I608" t="n">
        <v>0.3900531628014485</v>
      </c>
      <c r="J608" t="n">
        <v>1.951496434411143</v>
      </c>
      <c r="K608" t="n">
        <v>5.963069260029735</v>
      </c>
      <c r="L608" t="n">
        <v>0.7142235462984367</v>
      </c>
      <c r="M608" t="n">
        <v>2.97398147434745</v>
      </c>
      <c r="N608" t="n">
        <v>0.5183166872494595</v>
      </c>
      <c r="O608" t="n">
        <v>0.4594885094403133</v>
      </c>
      <c r="P608" t="n">
        <v>0.451273291789514</v>
      </c>
      <c r="Q608" t="n">
        <v>0.463605025782389</v>
      </c>
      <c r="R608" t="inlineStr">
        <is>
          <t>Operationnel</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row>
    <row r="609">
      <c r="A609" t="inlineStr">
        <is>
          <t>Mayo-Darle-MTN</t>
        </is>
      </c>
      <c r="B609" t="inlineStr">
        <is>
          <t>ADM_068</t>
        </is>
      </c>
      <c r="C609" t="inlineStr">
        <is>
          <t>ADAMAOUA</t>
        </is>
      </c>
      <c r="D609" t="inlineStr">
        <is>
          <t>IHS</t>
        </is>
      </c>
      <c r="E609" t="inlineStr">
        <is>
          <t>Hybrid-Gen</t>
        </is>
      </c>
      <c r="F609" t="inlineStr">
        <is>
          <t>ADAMAOUA</t>
        </is>
      </c>
      <c r="G609" t="inlineStr">
        <is>
          <t>Mayo-Darle</t>
        </is>
      </c>
      <c r="H609" t="inlineStr">
        <is>
          <t>NOKIA</t>
        </is>
      </c>
      <c r="I609" t="n">
        <v>0.489180528089535</v>
      </c>
      <c r="J609" t="n">
        <v>0.6660995012354702</v>
      </c>
      <c r="K609" t="n">
        <v>15.40873187180263</v>
      </c>
      <c r="L609" t="n">
        <v>4.311312255758298</v>
      </c>
      <c r="M609" t="n">
        <v>1.166984570737719</v>
      </c>
      <c r="N609" t="n">
        <v>0.05420468488343744</v>
      </c>
      <c r="O609" t="n">
        <v>0.02709828282443858</v>
      </c>
      <c r="P609" t="n">
        <v>0.8305631575370209</v>
      </c>
      <c r="Q609" t="n">
        <v>0.4499668138037737</v>
      </c>
      <c r="R609" t="inlineStr">
        <is>
          <t>Operationnel</t>
        </is>
      </c>
      <c r="S609" t="inlineStr"/>
      <c r="T609" t="inlineStr"/>
      <c r="U609" t="inlineStr"/>
      <c r="V609" t="inlineStr"/>
      <c r="W609" t="inlineStr"/>
      <c r="X609" t="inlineStr">
        <is>
          <t>{05-25-2026 ticket}: INC-20260525-00017755..Auto TT closure RCA..Others</t>
        </is>
      </c>
      <c r="Y609" t="inlineStr">
        <is>
          <t>.Auto TT closure RCA.</t>
        </is>
      </c>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is>
          <t>{05-25-2026 ticket}: INC-20260525-00017755..Auto TT closure RCA..Others</t>
        </is>
      </c>
      <c r="AR609" t="inlineStr"/>
    </row>
    <row r="610">
      <c r="A610" t="inlineStr">
        <is>
          <t>Garoua-H-Plateau</t>
        </is>
      </c>
      <c r="B610" t="inlineStr">
        <is>
          <t>NRD_175</t>
        </is>
      </c>
      <c r="C610" t="inlineStr">
        <is>
          <t>Garoua</t>
        </is>
      </c>
      <c r="D610" t="inlineStr">
        <is>
          <t>CAMUSAT</t>
        </is>
      </c>
      <c r="E610" t="inlineStr">
        <is>
          <t>Good Grid + GE</t>
        </is>
      </c>
      <c r="F610" t="inlineStr">
        <is>
          <t>NORD</t>
        </is>
      </c>
      <c r="G610" t="inlineStr">
        <is>
          <t>Garoua</t>
        </is>
      </c>
      <c r="H610" t="inlineStr">
        <is>
          <t>Huawei</t>
        </is>
      </c>
      <c r="I610" t="n">
        <v>0</v>
      </c>
      <c r="J610" t="n">
        <v>0</v>
      </c>
      <c r="K610" t="n">
        <v>0</v>
      </c>
      <c r="L610" t="n">
        <v>0</v>
      </c>
      <c r="M610" t="n">
        <v>1.314088570425731</v>
      </c>
      <c r="N610" t="n">
        <v>0.4477506804311596</v>
      </c>
      <c r="O610" t="n">
        <v>0.510649040668319</v>
      </c>
      <c r="P610" t="n">
        <v>0.4028798315483501</v>
      </c>
      <c r="Q610" t="n">
        <v>0.4454667511335976</v>
      </c>
      <c r="R610" t="inlineStr">
        <is>
          <t>Operationnel</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row>
    <row r="611">
      <c r="A611" t="inlineStr">
        <is>
          <t>Mvangan-IHS</t>
        </is>
      </c>
      <c r="B611" t="inlineStr">
        <is>
          <t>SUD_066</t>
        </is>
      </c>
      <c r="C611" t="inlineStr">
        <is>
          <t>CENTRE</t>
        </is>
      </c>
      <c r="D611" t="inlineStr">
        <is>
          <t>IHS</t>
        </is>
      </c>
      <c r="E611" t="inlineStr">
        <is>
          <t>Grid-Hybrid-Gen</t>
        </is>
      </c>
      <c r="F611" t="inlineStr">
        <is>
          <t>SUD</t>
        </is>
      </c>
      <c r="G611" t="inlineStr">
        <is>
          <t>Mvangan</t>
        </is>
      </c>
      <c r="H611" t="inlineStr">
        <is>
          <t>NOKIA</t>
        </is>
      </c>
      <c r="I611" t="n">
        <v>0.6996344522348066</v>
      </c>
      <c r="J611" t="n">
        <v>0.5186619125481904</v>
      </c>
      <c r="K611" t="n">
        <v>0.2554161565834268</v>
      </c>
      <c r="L611" t="n">
        <v>0.7862415925440812</v>
      </c>
      <c r="M611" t="n">
        <v>0.1370982470258224</v>
      </c>
      <c r="N611" t="n">
        <v>3.104779404417906</v>
      </c>
      <c r="O611" t="n">
        <v>0</v>
      </c>
      <c r="P611" t="n">
        <v>0</v>
      </c>
      <c r="Q611" t="n">
        <v>0.4433622118921449</v>
      </c>
      <c r="R611" t="inlineStr">
        <is>
          <t>Operationnel</t>
        </is>
      </c>
      <c r="S611" t="inlineStr"/>
      <c r="T611" t="inlineStr"/>
      <c r="U611" t="inlineStr"/>
      <c r="V611" t="inlineStr"/>
      <c r="W611" t="inlineStr"/>
      <c r="X611" t="inlineStr">
        <is>
          <t>{05-25-2026 ticket}: INC-20260525-00006281..Grid Outage</t>
        </is>
      </c>
      <c r="Y611" t="inlineStr">
        <is>
          <t>.Grid Outage</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is>
          <t>{05-25-2026 ticket}: INC-20260525-00006281..Grid Outage</t>
        </is>
      </c>
      <c r="AR611" t="inlineStr"/>
    </row>
    <row r="612">
      <c r="A612" t="inlineStr">
        <is>
          <t>NRD_190_H_Garoua-Military</t>
        </is>
      </c>
      <c r="B612" t="inlineStr">
        <is>
          <t>NRD_190</t>
        </is>
      </c>
      <c r="C612" t="inlineStr">
        <is>
          <t>Garoua</t>
        </is>
      </c>
      <c r="D612" t="inlineStr">
        <is>
          <t>CAMUSAT</t>
        </is>
      </c>
      <c r="E612" t="inlineStr">
        <is>
          <t>Medium Grid + GE</t>
        </is>
      </c>
      <c r="F612" t="inlineStr">
        <is>
          <t>NORD</t>
        </is>
      </c>
      <c r="G612" t="inlineStr">
        <is>
          <t>Garoua</t>
        </is>
      </c>
      <c r="H612" t="inlineStr">
        <is>
          <t>Huawei</t>
        </is>
      </c>
      <c r="I612" t="n">
        <v>0</v>
      </c>
      <c r="J612" t="n">
        <v>0</v>
      </c>
      <c r="K612" t="n">
        <v>0</v>
      </c>
      <c r="L612" t="n">
        <v>0</v>
      </c>
      <c r="M612" t="n">
        <v>0.04913564076442573</v>
      </c>
      <c r="N612" t="n">
        <v>0.4390079893209277</v>
      </c>
      <c r="O612" t="n">
        <v>0.5052301682018013</v>
      </c>
      <c r="P612" t="n">
        <v>0.4021958250431746</v>
      </c>
      <c r="Q612" t="n">
        <v>0.4420424160966576</v>
      </c>
      <c r="R612" t="inlineStr">
        <is>
          <t>Operationnel</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row>
    <row r="613">
      <c r="A613" t="inlineStr">
        <is>
          <t>Ngd-Universite</t>
        </is>
      </c>
      <c r="B613" t="inlineStr">
        <is>
          <t>ADM_003</t>
        </is>
      </c>
      <c r="C613" t="inlineStr">
        <is>
          <t>Ngaoundere</t>
        </is>
      </c>
      <c r="D613" t="inlineStr">
        <is>
          <t>IHS</t>
        </is>
      </c>
      <c r="E613" t="inlineStr">
        <is>
          <t>Grid-Gen</t>
        </is>
      </c>
      <c r="F613" t="inlineStr">
        <is>
          <t>ADAMAOUA</t>
        </is>
      </c>
      <c r="G613" t="inlineStr">
        <is>
          <t>Ngaoundere</t>
        </is>
      </c>
      <c r="H613" t="inlineStr">
        <is>
          <t>Huawei</t>
        </is>
      </c>
      <c r="I613" t="n">
        <v>0.005618049669979711</v>
      </c>
      <c r="J613" t="n">
        <v>0.003388664880305222</v>
      </c>
      <c r="K613" t="n">
        <v>0.003816706759922724</v>
      </c>
      <c r="L613" t="n">
        <v>0.005154337633727417</v>
      </c>
      <c r="M613" t="n">
        <v>0.001070104699043754</v>
      </c>
      <c r="N613" t="n">
        <v>0.719398582784792</v>
      </c>
      <c r="O613" t="n">
        <v>0.9316210546358348</v>
      </c>
      <c r="P613" t="n">
        <v>0.04856446186745813</v>
      </c>
      <c r="Q613" t="n">
        <v>0.4408117956927572</v>
      </c>
      <c r="R613" t="inlineStr">
        <is>
          <t>Operationnel</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row>
    <row r="614">
      <c r="A614" t="inlineStr">
        <is>
          <t>Djangane</t>
        </is>
      </c>
      <c r="B614" t="inlineStr">
        <is>
          <t>EST_008</t>
        </is>
      </c>
      <c r="C614" t="inlineStr">
        <is>
          <t>CENTRE</t>
        </is>
      </c>
      <c r="D614" t="inlineStr">
        <is>
          <t>IHS</t>
        </is>
      </c>
      <c r="E614" t="inlineStr">
        <is>
          <t>Grid-Gen</t>
        </is>
      </c>
      <c r="F614" t="inlineStr">
        <is>
          <t>EST</t>
        </is>
      </c>
      <c r="G614" t="inlineStr">
        <is>
          <t>Djangane</t>
        </is>
      </c>
      <c r="H614" t="inlineStr">
        <is>
          <t>NOKIA</t>
        </is>
      </c>
      <c r="I614" t="n">
        <v>0</v>
      </c>
      <c r="J614" t="n">
        <v>0</v>
      </c>
      <c r="K614" t="n">
        <v>1.383324344453861</v>
      </c>
      <c r="L614" t="n">
        <v>0.1827025422834035</v>
      </c>
      <c r="M614" t="n">
        <v>2.177377701300962</v>
      </c>
      <c r="N614" t="n">
        <v>1.498622151881027</v>
      </c>
      <c r="O614" t="n">
        <v>0.6672650801908123</v>
      </c>
      <c r="P614" t="n">
        <v>0</v>
      </c>
      <c r="Q614" t="n">
        <v>0.4380116883969261</v>
      </c>
      <c r="R614" t="inlineStr">
        <is>
          <t>Operationnel</t>
        </is>
      </c>
      <c r="S614" t="inlineStr"/>
      <c r="T614" t="inlineStr"/>
      <c r="U614" t="inlineStr"/>
      <c r="V614" t="inlineStr"/>
      <c r="W614" t="inlineStr"/>
      <c r="X614" t="inlineStr">
        <is>
          <t>{None hourly IHS}: 25/05/2026 08:06..1:54:00..55..Magloire is on his way, ETA 11 AM     ;    {05-25-2026 ticket}: INC-20260525-00006256..Auto TT closure RCA..Others Transmission equipement fault..user:OCM_NOC.IHS</t>
        </is>
      </c>
      <c r="Y614" t="inlineStr">
        <is>
          <t>25/05/2026 08 06.1 54 00.55.Magloire is on his way, ETA 11 AM .Auto TT closure RCA.user OCM_NOC.IHS</t>
        </is>
      </c>
      <c r="Z614" t="inlineStr"/>
      <c r="AA614" t="inlineStr"/>
      <c r="AB614" t="inlineStr"/>
      <c r="AC614" t="inlineStr"/>
      <c r="AD614" t="inlineStr"/>
      <c r="AE614" t="inlineStr">
        <is>
          <t>{None hourly IHS}: 25/05/2026 08:06..1:54:00..55..Magloire is on his way, ETA 11 AM</t>
        </is>
      </c>
      <c r="AF614" t="inlineStr"/>
      <c r="AG614" t="inlineStr"/>
      <c r="AH614" t="inlineStr"/>
      <c r="AI614" t="inlineStr"/>
      <c r="AJ614" t="inlineStr"/>
      <c r="AK614" t="inlineStr"/>
      <c r="AL614" t="inlineStr"/>
      <c r="AM614" t="inlineStr"/>
      <c r="AN614" t="inlineStr"/>
      <c r="AO614" t="inlineStr"/>
      <c r="AP614" t="inlineStr"/>
      <c r="AQ614" t="inlineStr">
        <is>
          <t>{05-25-2026 ticket}: INC-20260525-00006256..Auto TT closure RCA..Others Transmission equipement fault..user:OCM_NOC.IHS</t>
        </is>
      </c>
      <c r="AR614" t="inlineStr"/>
    </row>
    <row r="615">
      <c r="A615" t="inlineStr">
        <is>
          <t>Nkor</t>
        </is>
      </c>
      <c r="B615" t="inlineStr">
        <is>
          <t>NRO_238</t>
        </is>
      </c>
      <c r="C615" t="inlineStr">
        <is>
          <t>NORD-OUEST</t>
        </is>
      </c>
      <c r="D615" t="inlineStr">
        <is>
          <t>IHS</t>
        </is>
      </c>
      <c r="E615" t="inlineStr">
        <is>
          <t>Solar-Gen</t>
        </is>
      </c>
      <c r="F615" t="inlineStr">
        <is>
          <t>NORD-OUEST</t>
        </is>
      </c>
      <c r="G615" t="inlineStr">
        <is>
          <t>Nkor</t>
        </is>
      </c>
      <c r="H615" t="inlineStr">
        <is>
          <t>NOKIA</t>
        </is>
      </c>
      <c r="I615" t="n">
        <v>0.2063518561322706</v>
      </c>
      <c r="J615" t="n">
        <v>0.5555270194302478</v>
      </c>
      <c r="K615" t="n">
        <v>1.241642482300468</v>
      </c>
      <c r="L615" t="n">
        <v>1.754507994395505</v>
      </c>
      <c r="M615" t="n">
        <v>3.153919579491657</v>
      </c>
      <c r="N615" t="n">
        <v>1.973225383579328</v>
      </c>
      <c r="O615" t="n">
        <v>0.4582134806246619</v>
      </c>
      <c r="P615" t="n">
        <v>0</v>
      </c>
      <c r="Q615" t="n">
        <v>0.4356039528240775</v>
      </c>
      <c r="R615" t="inlineStr">
        <is>
          <t>Insecurity</t>
        </is>
      </c>
      <c r="S615" t="inlineStr"/>
      <c r="T615" t="inlineStr"/>
      <c r="U615" t="inlineStr"/>
      <c r="V615" t="inlineStr"/>
      <c r="W615" t="inlineStr"/>
      <c r="X615" t="inlineStr">
        <is>
          <t>{05-25-2026 ticket}: INC-20260525-00007822..Others</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is>
          <t>{05-25-2026 ticket}: INC-20260525-00007822..Others</t>
        </is>
      </c>
      <c r="AR615" t="inlineStr"/>
    </row>
    <row r="616">
      <c r="A616" t="inlineStr">
        <is>
          <t>Bibemire</t>
        </is>
      </c>
      <c r="B616" t="inlineStr">
        <is>
          <t>NRD_039</t>
        </is>
      </c>
      <c r="C616" t="inlineStr">
        <is>
          <t>Garoua</t>
        </is>
      </c>
      <c r="D616" t="inlineStr">
        <is>
          <t>IHS</t>
        </is>
      </c>
      <c r="E616" t="inlineStr">
        <is>
          <t>Grid-Gen</t>
        </is>
      </c>
      <c r="F616" t="inlineStr">
        <is>
          <t>NORD</t>
        </is>
      </c>
      <c r="G616" t="inlineStr">
        <is>
          <t>Garoua</t>
        </is>
      </c>
      <c r="H616" t="inlineStr">
        <is>
          <t>Huawei</t>
        </is>
      </c>
      <c r="I616" t="n">
        <v>0</v>
      </c>
      <c r="J616" t="n">
        <v>0</v>
      </c>
      <c r="K616" t="n">
        <v>0</v>
      </c>
      <c r="L616" t="n">
        <v>0.5577742392982397</v>
      </c>
      <c r="M616" t="n">
        <v>7.103087466077681</v>
      </c>
      <c r="N616" t="n">
        <v>0.6950439432634318</v>
      </c>
      <c r="O616" t="n">
        <v>0.8853481338678255</v>
      </c>
      <c r="P616" t="n">
        <v>0.0707946732856608</v>
      </c>
      <c r="Q616" t="n">
        <v>0.4333924031127205</v>
      </c>
      <c r="R616" t="inlineStr">
        <is>
          <t>Operationnel</t>
        </is>
      </c>
      <c r="S616" t="inlineStr"/>
      <c r="T616" t="inlineStr"/>
      <c r="U616" t="inlineStr"/>
      <c r="V616" t="inlineStr"/>
      <c r="W616" t="inlineStr"/>
      <c r="X616" t="inlineStr">
        <is>
          <t>{05-25-2026 dashboard_cell}: 01/04/2026 : Demande d'acces a IHS en cours || Remplavcement de SFP ce jour || ETA 13h
31/03/2026 : SFP faulty || Acces site bloque par HIS pour remplacement de la SPARE
2703/2026 : En aattente de spare
26/03/2026 : Besoin d'analyse BO RAN || Restauration action ongoing because site was vandalised</t>
        </is>
      </c>
      <c r="Y616" t="inlineStr">
        <is>
          <t>{05-25-2026 dashboard_cell} 01/04/2026 Demande d'acces a IHS en cours || Remplavcement de SFP ce jour || ETA 13h
31/03/2026 SFP faulty || Acces site bloque par HIS pour remplacement de la SPARE
2703/2026 En aattente de spare
26/03/2026 Besoin d'analyse BO RAN || Restauration action ongoing because site was vandalised</t>
        </is>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is>
          <t>{05-25-2026 dashboard_cell}: 01/04/2026 : Demande d'acces a IHS en cours || Remplavcement de SFP ce jour || ETA 13h
31/03/2026 : SFP faulty || Acces site bloque par HIS pour remplacement de la SPARE
2703/2026 : En aattente de spare
26/03/2026 : Besoin d'analyse BO RAN || Restauration action ongoing because site was vandalised</t>
        </is>
      </c>
    </row>
    <row r="617">
      <c r="A617" t="inlineStr">
        <is>
          <t>Oku-Marche</t>
        </is>
      </c>
      <c r="B617" t="inlineStr">
        <is>
          <t>NRO_110</t>
        </is>
      </c>
      <c r="C617" t="inlineStr">
        <is>
          <t>NORD-OUEST</t>
        </is>
      </c>
      <c r="D617" t="inlineStr">
        <is>
          <t>IHS</t>
        </is>
      </c>
      <c r="E617" t="inlineStr">
        <is>
          <t>Grid-Gen</t>
        </is>
      </c>
      <c r="F617" t="inlineStr">
        <is>
          <t>NORD-OUEST</t>
        </is>
      </c>
      <c r="G617" t="inlineStr">
        <is>
          <t>Oku</t>
        </is>
      </c>
      <c r="H617" t="inlineStr">
        <is>
          <t>NOKIA</t>
        </is>
      </c>
      <c r="I617" t="n">
        <v>9.243457379870046</v>
      </c>
      <c r="J617" t="n">
        <v>13.86609565879926</v>
      </c>
      <c r="K617" t="n">
        <v>13.86620266926916</v>
      </c>
      <c r="L617" t="n">
        <v>13.86598864832935</v>
      </c>
      <c r="M617" t="n">
        <v>3.404395419381166</v>
      </c>
      <c r="N617" t="n">
        <v>1.865440491748898</v>
      </c>
      <c r="O617" t="n">
        <v>0.4964643450941993</v>
      </c>
      <c r="P617" t="n">
        <v>0</v>
      </c>
      <c r="Q617" t="n">
        <v>0.4330535366246901</v>
      </c>
      <c r="R617" t="inlineStr">
        <is>
          <t>Insecurity</t>
        </is>
      </c>
      <c r="S617" t="inlineStr"/>
      <c r="T617" t="inlineStr"/>
      <c r="U617" t="inlineStr"/>
      <c r="V617" t="inlineStr"/>
      <c r="W617" t="inlineStr"/>
      <c r="X617" t="inlineStr">
        <is>
          <t>{05-25-2026 ticket}: INC-20260525-00007725..Others</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is>
          <t>{05-25-2026 ticket}: INC-20260525-00007725..Others</t>
        </is>
      </c>
      <c r="AR617" t="inlineStr"/>
    </row>
    <row r="618">
      <c r="A618" t="inlineStr">
        <is>
          <t>Ntam</t>
        </is>
      </c>
      <c r="B618" t="inlineStr">
        <is>
          <t>SUD_120</t>
        </is>
      </c>
      <c r="C618" t="inlineStr">
        <is>
          <t>CENTRE</t>
        </is>
      </c>
      <c r="D618" t="inlineStr">
        <is>
          <t>ESCO</t>
        </is>
      </c>
      <c r="E618" t="inlineStr">
        <is>
          <t>Hybrid Solar - S3</t>
        </is>
      </c>
      <c r="F618" t="inlineStr">
        <is>
          <t>SUD</t>
        </is>
      </c>
      <c r="G618" t="inlineStr">
        <is>
          <t>Ntam</t>
        </is>
      </c>
      <c r="H618" t="inlineStr">
        <is>
          <t>NOKIA</t>
        </is>
      </c>
      <c r="I618" t="n">
        <v>0.01169981137621172</v>
      </c>
      <c r="J618" t="n">
        <v>0.08307483328815596</v>
      </c>
      <c r="K618" t="n">
        <v>0.3401862838260097</v>
      </c>
      <c r="L618" t="n">
        <v>0.5549791203418291</v>
      </c>
      <c r="M618" t="n">
        <v>1.264828084113083</v>
      </c>
      <c r="N618" t="n">
        <v>0</v>
      </c>
      <c r="O618" t="n">
        <v>0</v>
      </c>
      <c r="P618" t="n">
        <v>0.8286184404928166</v>
      </c>
      <c r="Q618" t="n">
        <v>0.4321150360298621</v>
      </c>
      <c r="R618" t="inlineStr">
        <is>
          <t>Operationnel</t>
        </is>
      </c>
      <c r="S618" t="inlineStr"/>
      <c r="T618" t="inlineStr"/>
      <c r="U618" t="inlineStr"/>
      <c r="V618" t="inlineStr"/>
      <c r="W618" t="inlineStr"/>
      <c r="X618" t="inlineStr">
        <is>
          <t>{05-25-2026 retour CAMUSAT}: No power issue      ;    {05-25-2026 ticket}: INC-20260525-00006037..Grid Outage</t>
        </is>
      </c>
      <c r="Y618" t="inlineStr">
        <is>
          <t>No power issue .Grid Outage</t>
        </is>
      </c>
      <c r="Z618" t="inlineStr"/>
      <c r="AA618" t="inlineStr"/>
      <c r="AB618" t="inlineStr"/>
      <c r="AC618" t="inlineStr">
        <is>
          <t xml:space="preserve">{05-25-2026 retour CAMUSAT}: No power issue </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is>
          <t>{05-25-2026 ticket}: INC-20260525-00006037..Grid Outage</t>
        </is>
      </c>
      <c r="AR618" t="inlineStr"/>
    </row>
    <row r="619">
      <c r="A619" t="inlineStr">
        <is>
          <t>Mayo-Djinga-FH</t>
        </is>
      </c>
      <c r="B619" t="inlineStr">
        <is>
          <t>OST_093</t>
        </is>
      </c>
      <c r="C619" t="inlineStr">
        <is>
          <t>OUEST</t>
        </is>
      </c>
      <c r="D619" t="inlineStr">
        <is>
          <t>IHS</t>
        </is>
      </c>
      <c r="E619" t="inlineStr">
        <is>
          <t>Solar-Gen</t>
        </is>
      </c>
      <c r="F619" t="inlineStr">
        <is>
          <t>OUEST</t>
        </is>
      </c>
      <c r="G619" t="inlineStr">
        <is>
          <t>Mayo-Djinga</t>
        </is>
      </c>
      <c r="H619" t="inlineStr">
        <is>
          <t>NOKIA</t>
        </is>
      </c>
      <c r="I619" t="n">
        <v>8.91753915870505e-05</v>
      </c>
      <c r="J619" t="n">
        <v>0</v>
      </c>
      <c r="K619" t="n">
        <v>0</v>
      </c>
      <c r="L619" t="n">
        <v>0</v>
      </c>
      <c r="M619" t="n">
        <v>1.166519299165697</v>
      </c>
      <c r="N619" t="n">
        <v>1.39820609970065</v>
      </c>
      <c r="O619" t="n">
        <v>0.6025557257642643</v>
      </c>
      <c r="P619" t="n">
        <v>0.05050421515437351</v>
      </c>
      <c r="Q619" t="n">
        <v>0.4282859791460127</v>
      </c>
      <c r="R619" t="inlineStr">
        <is>
          <t>Operationnel</t>
        </is>
      </c>
      <c r="S619" t="inlineStr"/>
      <c r="T619" t="inlineStr"/>
      <c r="U619" t="inlineStr"/>
      <c r="V619" t="inlineStr"/>
      <c r="W619" t="inlineStr"/>
      <c r="X619" t="inlineStr">
        <is>
          <t>{05-25-2026 ticket}: INC-20260525-00020003..Others</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is>
          <t>{05-25-2026 ticket}: INC-20260525-00020003..Others</t>
        </is>
      </c>
      <c r="AR619" t="inlineStr"/>
    </row>
    <row r="620">
      <c r="A620" t="inlineStr">
        <is>
          <t>Bokova-IHS</t>
        </is>
      </c>
      <c r="B620" t="inlineStr">
        <is>
          <t>SUO_254</t>
        </is>
      </c>
      <c r="C620" t="inlineStr">
        <is>
          <t>SUD-OUEST</t>
        </is>
      </c>
      <c r="D620" t="inlineStr">
        <is>
          <t>IHS</t>
        </is>
      </c>
      <c r="E620" t="inlineStr">
        <is>
          <t>Grid-Gen</t>
        </is>
      </c>
      <c r="F620" t="inlineStr">
        <is>
          <t>SUD-OUEST</t>
        </is>
      </c>
      <c r="G620" t="inlineStr">
        <is>
          <t>Buea</t>
        </is>
      </c>
      <c r="H620" t="inlineStr">
        <is>
          <t>Huawei</t>
        </is>
      </c>
      <c r="I620" t="n">
        <v>0</v>
      </c>
      <c r="J620" t="n">
        <v>0</v>
      </c>
      <c r="K620" t="n">
        <v>0.05958699665841972</v>
      </c>
      <c r="L620" t="n">
        <v>0.01168197629789432</v>
      </c>
      <c r="M620" t="n">
        <v>0</v>
      </c>
      <c r="N620" t="n">
        <v>0.2885088066376509</v>
      </c>
      <c r="O620" t="n">
        <v>0.6183889755908484</v>
      </c>
      <c r="P620" t="n">
        <v>0.338583220061856</v>
      </c>
      <c r="Q620" t="n">
        <v>0.4253666178698923</v>
      </c>
      <c r="R620" t="inlineStr">
        <is>
          <t>Operationnel</t>
        </is>
      </c>
      <c r="S620" t="inlineStr"/>
      <c r="T620" t="inlineStr"/>
      <c r="U620" t="inlineStr"/>
      <c r="V620" t="inlineStr"/>
      <c r="W620" t="inlineStr"/>
      <c r="X620" t="inlineStr">
        <is>
          <t>{05-25-2026 retour IHS}: IHS</t>
        </is>
      </c>
      <c r="Y620" t="inlineStr">
        <is>
          <t>IHS</t>
        </is>
      </c>
      <c r="Z620" t="inlineStr"/>
      <c r="AA620" t="inlineStr"/>
      <c r="AB620" t="inlineStr"/>
      <c r="AC620" t="inlineStr"/>
      <c r="AD620" t="inlineStr">
        <is>
          <t>{05-25-2026 retour IHS}: IHS</t>
        </is>
      </c>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row>
    <row r="621">
      <c r="A621" t="inlineStr">
        <is>
          <t>Song-Bong</t>
        </is>
      </c>
      <c r="B621" t="inlineStr">
        <is>
          <t>CTR_311</t>
        </is>
      </c>
      <c r="C621" t="inlineStr">
        <is>
          <t>CENTRE</t>
        </is>
      </c>
      <c r="D621" t="inlineStr">
        <is>
          <t>IHS</t>
        </is>
      </c>
      <c r="E621" t="inlineStr">
        <is>
          <t>Solar-Gen</t>
        </is>
      </c>
      <c r="F621" t="inlineStr">
        <is>
          <t>CENTRE</t>
        </is>
      </c>
      <c r="G621" t="inlineStr">
        <is>
          <t>Song-Bong</t>
        </is>
      </c>
      <c r="H621" t="inlineStr">
        <is>
          <t>NOKIA</t>
        </is>
      </c>
      <c r="I621" t="n">
        <v>0</v>
      </c>
      <c r="J621" t="n">
        <v>0</v>
      </c>
      <c r="K621" t="n">
        <v>0</v>
      </c>
      <c r="L621" t="n">
        <v>0.1548441499516313</v>
      </c>
      <c r="M621" t="n">
        <v>0.05236378993987462</v>
      </c>
      <c r="N621" t="n">
        <v>1.453909531631556</v>
      </c>
      <c r="O621" t="n">
        <v>0.6462802309332192</v>
      </c>
      <c r="P621" t="n">
        <v>0</v>
      </c>
      <c r="Q621" t="n">
        <v>0.424581874423927</v>
      </c>
      <c r="R621" t="inlineStr">
        <is>
          <t>Operationnel</t>
        </is>
      </c>
      <c r="S621" t="inlineStr"/>
      <c r="T621" t="inlineStr"/>
      <c r="U621" t="inlineStr"/>
      <c r="V621" t="inlineStr"/>
      <c r="W621" t="inlineStr"/>
      <c r="X621" t="inlineStr">
        <is>
          <t>{05/25/2026 cell nokia}: 24/05/2026 : Need BO RAN analysis      ;    {05/25/2026 cell nokia}: 24/05/2026 : Need BO RAN analysis || Check power     ;    {05/25/2026 cell nokia}: 24/05/2026 : Need BO RAN analysis || Check power     ;    {05-25-2026 ticket}: INC-20260525-00000034..Others Transmission equipement fault</t>
        </is>
      </c>
      <c r="Y621" t="inlineStr">
        <is>
          <t>24/05/2026 Need BO RAN analysis 24/05/2026 Need BO RAN analysis || Check power 24/05/2026 Need BO RAN analysis || Check power .</t>
        </is>
      </c>
      <c r="Z621" t="inlineStr"/>
      <c r="AA621" t="inlineStr"/>
      <c r="AB621" t="inlineStr"/>
      <c r="AC621" t="inlineStr"/>
      <c r="AD621" t="inlineStr"/>
      <c r="AE621" t="inlineStr"/>
      <c r="AF621" t="inlineStr">
        <is>
          <t xml:space="preserve">{05/25/2026 cell nokia}: 24/05/2026 : Need BO RAN analysis </t>
        </is>
      </c>
      <c r="AG621" t="inlineStr">
        <is>
          <t>{05/25/2026 cell nokia}: 24/05/2026 : Need BO RAN analysis || Check power</t>
        </is>
      </c>
      <c r="AH621" t="inlineStr">
        <is>
          <t>{05/25/2026 cell nokia}: 24/05/2026 : Need BO RAN analysis || Check power</t>
        </is>
      </c>
      <c r="AI621" t="inlineStr"/>
      <c r="AJ621" t="inlineStr"/>
      <c r="AK621" t="inlineStr"/>
      <c r="AL621" t="inlineStr"/>
      <c r="AM621" t="inlineStr"/>
      <c r="AN621" t="inlineStr"/>
      <c r="AO621" t="inlineStr"/>
      <c r="AP621" t="inlineStr"/>
      <c r="AQ621" t="inlineStr">
        <is>
          <t>{05-25-2026 ticket}: INC-20260525-00000034..Others Transmission equipement fault</t>
        </is>
      </c>
      <c r="AR621" t="inlineStr"/>
    </row>
    <row r="622">
      <c r="A622" t="inlineStr">
        <is>
          <t>Djaba-IHS</t>
        </is>
      </c>
      <c r="B622" t="inlineStr">
        <is>
          <t>NRD_128</t>
        </is>
      </c>
      <c r="C622" t="inlineStr">
        <is>
          <t>NORD</t>
        </is>
      </c>
      <c r="D622" t="inlineStr">
        <is>
          <t>IHS</t>
        </is>
      </c>
      <c r="E622" t="inlineStr">
        <is>
          <t>Hybrid-Gen</t>
        </is>
      </c>
      <c r="F622" t="inlineStr">
        <is>
          <t>NORD</t>
        </is>
      </c>
      <c r="G622" t="inlineStr">
        <is>
          <t>Djaba</t>
        </is>
      </c>
      <c r="H622" t="inlineStr">
        <is>
          <t>NOKIA</t>
        </is>
      </c>
      <c r="I622" t="n">
        <v>0.06516937617176463</v>
      </c>
      <c r="J622" t="n">
        <v>3.689480794110442</v>
      </c>
      <c r="K622" t="n">
        <v>11.25175809370936</v>
      </c>
      <c r="L622" t="n">
        <v>0</v>
      </c>
      <c r="M622" t="n">
        <v>0.08760590469504846</v>
      </c>
      <c r="N622" t="n">
        <v>2.877844122313745</v>
      </c>
      <c r="O622" t="n">
        <v>0.02786291050506454</v>
      </c>
      <c r="P622" t="n">
        <v>0.00769152106450581</v>
      </c>
      <c r="Q622" t="n">
        <v>0.4243208152494001</v>
      </c>
      <c r="R622" t="inlineStr">
        <is>
          <t>Operationnel</t>
        </is>
      </c>
      <c r="S622" t="inlineStr"/>
      <c r="T622" t="inlineStr"/>
      <c r="U622" t="inlineStr"/>
      <c r="V622" t="inlineStr"/>
      <c r="W622" t="inlineStr"/>
      <c r="X622" t="inlineStr">
        <is>
          <t>{None hourly IHS}: 25/05/2026 06:57..0:03:00..53 V..Our FME PARFAIT is managing with level zero     ;    {05-25-2026 ticket}: INC-20260525-00005018..Others Transmission equipement fault</t>
        </is>
      </c>
      <c r="Y622" t="inlineStr">
        <is>
          <t>25/05/2026 06 57.0 03 00.53 V.Our FME PARFAIT is managing with level zero .</t>
        </is>
      </c>
      <c r="Z622" t="inlineStr"/>
      <c r="AA622" t="inlineStr"/>
      <c r="AB622" t="inlineStr"/>
      <c r="AC622" t="inlineStr"/>
      <c r="AD622" t="inlineStr"/>
      <c r="AE622" t="inlineStr">
        <is>
          <t>{None hourly IHS}: 25/05/2026 06:57..0:03:00..53 V..Our FME PARFAIT is managing with level zero</t>
        </is>
      </c>
      <c r="AF622" t="inlineStr"/>
      <c r="AG622" t="inlineStr"/>
      <c r="AH622" t="inlineStr"/>
      <c r="AI622" t="inlineStr"/>
      <c r="AJ622" t="inlineStr"/>
      <c r="AK622" t="inlineStr"/>
      <c r="AL622" t="inlineStr"/>
      <c r="AM622" t="inlineStr"/>
      <c r="AN622" t="inlineStr"/>
      <c r="AO622" t="inlineStr"/>
      <c r="AP622" t="inlineStr"/>
      <c r="AQ622" t="inlineStr">
        <is>
          <t>{05-25-2026 ticket}: INC-20260525-00005018..Others Transmission equipement fault</t>
        </is>
      </c>
      <c r="AR622" t="inlineStr"/>
    </row>
    <row r="623">
      <c r="A623" t="inlineStr">
        <is>
          <t>Djoungolo</t>
        </is>
      </c>
      <c r="B623" t="inlineStr">
        <is>
          <t>CTR_029</t>
        </is>
      </c>
      <c r="C623" t="inlineStr">
        <is>
          <t>Yaounde</t>
        </is>
      </c>
      <c r="D623" t="inlineStr">
        <is>
          <t>IHS</t>
        </is>
      </c>
      <c r="E623" t="inlineStr">
        <is>
          <t>Grid-Gen</t>
        </is>
      </c>
      <c r="F623" t="inlineStr">
        <is>
          <t>CENTRE</t>
        </is>
      </c>
      <c r="G623" t="inlineStr">
        <is>
          <t>Yaounde</t>
        </is>
      </c>
      <c r="H623" t="inlineStr">
        <is>
          <t>ZTE</t>
        </is>
      </c>
      <c r="I623" t="n">
        <v>0</v>
      </c>
      <c r="J623" t="n">
        <v>0</v>
      </c>
      <c r="K623" t="n">
        <v>0</v>
      </c>
      <c r="L623" t="n">
        <v>2.341121555332974</v>
      </c>
      <c r="M623" t="n">
        <v>0</v>
      </c>
      <c r="N623" t="n">
        <v>0.3469599414889153</v>
      </c>
      <c r="O623" t="n">
        <v>0.2945316564154352</v>
      </c>
      <c r="P623" t="n">
        <v>0.5176903234420521</v>
      </c>
      <c r="Q623" t="n">
        <v>0.4183931022477907</v>
      </c>
      <c r="R623" t="inlineStr">
        <is>
          <t>Operationnel</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row>
    <row r="624">
      <c r="A624" t="inlineStr">
        <is>
          <t>ODING-IHS</t>
        </is>
      </c>
      <c r="B624" t="inlineStr">
        <is>
          <t>SUD_204</t>
        </is>
      </c>
      <c r="C624" t="inlineStr">
        <is>
          <t>CENTRE</t>
        </is>
      </c>
      <c r="D624" t="inlineStr">
        <is>
          <t>IHS</t>
        </is>
      </c>
      <c r="E624" t="inlineStr"/>
      <c r="F624" t="inlineStr">
        <is>
          <t>SUD</t>
        </is>
      </c>
      <c r="G624" t="inlineStr">
        <is>
          <t>Meyomessi</t>
        </is>
      </c>
      <c r="H624" t="inlineStr">
        <is>
          <t>NOKIA</t>
        </is>
      </c>
      <c r="I624" t="n">
        <v>0.4492477877368855</v>
      </c>
      <c r="J624" t="n">
        <v>0.4269182696835058</v>
      </c>
      <c r="K624" t="n">
        <v>0.4284877565754367</v>
      </c>
      <c r="L624" t="n">
        <v>0.4006115291653469</v>
      </c>
      <c r="M624" t="n">
        <v>0.3032320015523652</v>
      </c>
      <c r="N624" t="n">
        <v>2.77468036721301</v>
      </c>
      <c r="O624" t="n">
        <v>0.04090717450214369</v>
      </c>
      <c r="P624" t="n">
        <v>0.004924846837262819</v>
      </c>
      <c r="Q624" t="n">
        <v>0.412525361481367</v>
      </c>
      <c r="R624" t="inlineStr">
        <is>
          <t>Operationnel</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row>
    <row r="625">
      <c r="A625" t="inlineStr">
        <is>
          <t>Bomkoul</t>
        </is>
      </c>
      <c r="B625" t="inlineStr">
        <is>
          <t>LIT_392</t>
        </is>
      </c>
      <c r="C625" t="inlineStr">
        <is>
          <t>Douala</t>
        </is>
      </c>
      <c r="D625" t="inlineStr">
        <is>
          <t>IHS</t>
        </is>
      </c>
      <c r="E625" t="inlineStr">
        <is>
          <t>Grid-Gen</t>
        </is>
      </c>
      <c r="F625" t="inlineStr">
        <is>
          <t>LITTORAL</t>
        </is>
      </c>
      <c r="G625" t="inlineStr">
        <is>
          <t>Douala</t>
        </is>
      </c>
      <c r="H625" t="inlineStr">
        <is>
          <t>ZTE</t>
        </is>
      </c>
      <c r="I625" t="n">
        <v>0</v>
      </c>
      <c r="J625" t="n">
        <v>0</v>
      </c>
      <c r="K625" t="n">
        <v>0</v>
      </c>
      <c r="L625" t="n">
        <v>0</v>
      </c>
      <c r="M625" t="n">
        <v>0.09074487847891076</v>
      </c>
      <c r="N625" t="n">
        <v>0.1558696929367049</v>
      </c>
      <c r="O625" t="n">
        <v>0.1297341819925129</v>
      </c>
      <c r="P625" t="n">
        <v>0.6569540478957768</v>
      </c>
      <c r="Q625" t="n">
        <v>0.4084054583900487</v>
      </c>
      <c r="R625" t="inlineStr">
        <is>
          <t>Operationnel</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row>
    <row r="626">
      <c r="A626" t="inlineStr">
        <is>
          <t>Baba-MTN</t>
        </is>
      </c>
      <c r="B626" t="inlineStr">
        <is>
          <t>NRO_259</t>
        </is>
      </c>
      <c r="C626" t="inlineStr">
        <is>
          <t>NORD-OUEST</t>
        </is>
      </c>
      <c r="D626" t="inlineStr">
        <is>
          <t>IHS</t>
        </is>
      </c>
      <c r="E626" t="inlineStr">
        <is>
          <t>Grid-Gen</t>
        </is>
      </c>
      <c r="F626" t="inlineStr">
        <is>
          <t>NORD-OUEST</t>
        </is>
      </c>
      <c r="G626" t="inlineStr">
        <is>
          <t>Baba</t>
        </is>
      </c>
      <c r="H626" t="inlineStr">
        <is>
          <t>NOKIA</t>
        </is>
      </c>
      <c r="I626" t="n">
        <v>0.007241041796862738</v>
      </c>
      <c r="J626" t="n">
        <v>0.5542607288697127</v>
      </c>
      <c r="K626" t="n">
        <v>0.0195472458358659</v>
      </c>
      <c r="L626" t="n">
        <v>0.01043352081567657</v>
      </c>
      <c r="M626" t="n">
        <v>0.02616405989161978</v>
      </c>
      <c r="N626" t="n">
        <v>1.32764009288235</v>
      </c>
      <c r="O626" t="n">
        <v>0.6441551829071337</v>
      </c>
      <c r="P626" t="n">
        <v>0</v>
      </c>
      <c r="Q626" t="n">
        <v>0.4058372071123438</v>
      </c>
      <c r="R626" t="inlineStr">
        <is>
          <t>Insecurity</t>
        </is>
      </c>
      <c r="S626" t="inlineStr"/>
      <c r="T626" t="inlineStr"/>
      <c r="U626" t="inlineStr"/>
      <c r="V626" t="inlineStr"/>
      <c r="W626" t="inlineStr"/>
      <c r="X626" t="inlineStr">
        <is>
          <t>{None hourly IHS}: 25/05/2026 18:46..3:38:57..Fme is managing with level 0     ;    {05-25-2026 ticket}: INC-20260525-00006770..Others</t>
        </is>
      </c>
      <c r="Y626" t="inlineStr">
        <is>
          <t>25/05/2026 18 46.3 38 57.Fme is managing with level 0 .</t>
        </is>
      </c>
      <c r="Z626" t="inlineStr"/>
      <c r="AA626" t="inlineStr"/>
      <c r="AB626" t="inlineStr"/>
      <c r="AC626" t="inlineStr"/>
      <c r="AD626" t="inlineStr"/>
      <c r="AE626" t="inlineStr">
        <is>
          <t>{None hourly IHS}: 25/05/2026 18:46..3:38:57..Fme is managing with level 0</t>
        </is>
      </c>
      <c r="AF626" t="inlineStr"/>
      <c r="AG626" t="inlineStr"/>
      <c r="AH626" t="inlineStr"/>
      <c r="AI626" t="inlineStr"/>
      <c r="AJ626" t="inlineStr"/>
      <c r="AK626" t="inlineStr"/>
      <c r="AL626" t="inlineStr"/>
      <c r="AM626" t="inlineStr"/>
      <c r="AN626" t="inlineStr"/>
      <c r="AO626" t="inlineStr"/>
      <c r="AP626" t="inlineStr"/>
      <c r="AQ626" t="inlineStr">
        <is>
          <t>{05-25-2026 ticket}: INC-20260525-00006770..Others</t>
        </is>
      </c>
      <c r="AR626" t="inlineStr"/>
    </row>
    <row r="627">
      <c r="A627" t="inlineStr">
        <is>
          <t>Kousseri</t>
        </is>
      </c>
      <c r="B627" t="inlineStr">
        <is>
          <t>EXN_003</t>
        </is>
      </c>
      <c r="C627" t="inlineStr">
        <is>
          <t>EXTREME-NORD</t>
        </is>
      </c>
      <c r="D627" t="inlineStr">
        <is>
          <t>IHS</t>
        </is>
      </c>
      <c r="E627" t="inlineStr">
        <is>
          <t>Grid-Gen</t>
        </is>
      </c>
      <c r="F627" t="inlineStr">
        <is>
          <t>EXTREME-NORD</t>
        </is>
      </c>
      <c r="G627" t="inlineStr">
        <is>
          <t>Kousseri</t>
        </is>
      </c>
      <c r="H627" t="inlineStr">
        <is>
          <t>Huawei</t>
        </is>
      </c>
      <c r="I627" t="n">
        <v>1.559089041271798</v>
      </c>
      <c r="J627" t="n">
        <v>5.750635642191232</v>
      </c>
      <c r="K627" t="n">
        <v>0.1521867232823393</v>
      </c>
      <c r="L627" t="n">
        <v>0</v>
      </c>
      <c r="M627" t="n">
        <v>0</v>
      </c>
      <c r="N627" t="n">
        <v>0.7075335019923344</v>
      </c>
      <c r="O627" t="n">
        <v>0.9042610612999855</v>
      </c>
      <c r="P627" t="n">
        <v>0</v>
      </c>
      <c r="Q627" t="n">
        <v>0.4046065867084436</v>
      </c>
      <c r="R627" t="inlineStr">
        <is>
          <t>Insecurity</t>
        </is>
      </c>
      <c r="S627" t="inlineStr"/>
      <c r="T627" t="inlineStr"/>
      <c r="U627" t="inlineStr"/>
      <c r="V627" t="inlineStr"/>
      <c r="W627" t="inlineStr"/>
      <c r="X62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627"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627" t="inlineStr"/>
      <c r="AA62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row>
    <row r="628">
      <c r="A628" t="inlineStr">
        <is>
          <t>Soulede</t>
        </is>
      </c>
      <c r="B628" t="inlineStr">
        <is>
          <t>EXN_052</t>
        </is>
      </c>
      <c r="C628" t="inlineStr">
        <is>
          <t>EXTREME-NORD</t>
        </is>
      </c>
      <c r="D628" t="inlineStr">
        <is>
          <t>IHS</t>
        </is>
      </c>
      <c r="E628" t="inlineStr">
        <is>
          <t>Solar-Grid-Gen</t>
        </is>
      </c>
      <c r="F628" t="inlineStr">
        <is>
          <t>EXTREME-NORD</t>
        </is>
      </c>
      <c r="G628" t="inlineStr">
        <is>
          <t>Soulede</t>
        </is>
      </c>
      <c r="H628" t="inlineStr">
        <is>
          <t>NOKIA</t>
        </is>
      </c>
      <c r="I628" t="n">
        <v>0.9069315675178997</v>
      </c>
      <c r="J628" t="n">
        <v>0</v>
      </c>
      <c r="K628" t="n">
        <v>0</v>
      </c>
      <c r="L628" t="n">
        <v>0</v>
      </c>
      <c r="M628" t="n">
        <v>0</v>
      </c>
      <c r="N628" t="n">
        <v>1.524725329624434</v>
      </c>
      <c r="O628" t="n">
        <v>0.5565291583796292</v>
      </c>
      <c r="P628" t="n">
        <v>0</v>
      </c>
      <c r="Q628" t="n">
        <v>0.4045638935832996</v>
      </c>
      <c r="R628" t="inlineStr">
        <is>
          <t>Insecurity</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row>
    <row r="629">
      <c r="A629" t="inlineStr">
        <is>
          <t>Nkoabang-Nord</t>
        </is>
      </c>
      <c r="B629" t="inlineStr">
        <is>
          <t>CTR_708</t>
        </is>
      </c>
      <c r="C629" t="inlineStr">
        <is>
          <t>Yaounde</t>
        </is>
      </c>
      <c r="D629" t="inlineStr">
        <is>
          <t>CAMUSAT</t>
        </is>
      </c>
      <c r="E629" t="inlineStr">
        <is>
          <t>Good Grid + GE</t>
        </is>
      </c>
      <c r="F629" t="inlineStr">
        <is>
          <t>CENTRE</t>
        </is>
      </c>
      <c r="G629" t="inlineStr">
        <is>
          <t>Yaounde</t>
        </is>
      </c>
      <c r="H629" t="inlineStr">
        <is>
          <t>ZTE</t>
        </is>
      </c>
      <c r="I629" t="n">
        <v>0</v>
      </c>
      <c r="J629" t="n">
        <v>0</v>
      </c>
      <c r="K629" t="n">
        <v>0</v>
      </c>
      <c r="L629" t="n">
        <v>0</v>
      </c>
      <c r="M629" t="n">
        <v>0</v>
      </c>
      <c r="N629" t="n">
        <v>0.04820969669356418</v>
      </c>
      <c r="O629" t="n">
        <v>0.01020023052520943</v>
      </c>
      <c r="P629" t="n">
        <v>0.7507997404058515</v>
      </c>
      <c r="Q629" t="n">
        <v>0.4018421495692472</v>
      </c>
      <c r="R629" t="inlineStr">
        <is>
          <t>Operationnel</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row>
    <row r="630">
      <c r="A630" t="inlineStr">
        <is>
          <t>Nkong-Q3</t>
        </is>
      </c>
      <c r="B630" t="inlineStr">
        <is>
          <t>LIT_169</t>
        </is>
      </c>
      <c r="C630" t="inlineStr">
        <is>
          <t>LITTORAL</t>
        </is>
      </c>
      <c r="D630" t="inlineStr">
        <is>
          <t>IHS</t>
        </is>
      </c>
      <c r="E630" t="inlineStr">
        <is>
          <t>Grid-Gen</t>
        </is>
      </c>
      <c r="F630" t="inlineStr">
        <is>
          <t>LITTORAL</t>
        </is>
      </c>
      <c r="G630" t="inlineStr">
        <is>
          <t>Nkongsamba</t>
        </is>
      </c>
      <c r="H630" t="inlineStr">
        <is>
          <t>ZTE</t>
        </is>
      </c>
      <c r="I630" t="n">
        <v>0</v>
      </c>
      <c r="J630" t="n">
        <v>0.1252200848664372</v>
      </c>
      <c r="K630" t="n">
        <v>0.2420041776887451</v>
      </c>
      <c r="L630" t="n">
        <v>0</v>
      </c>
      <c r="M630" t="n">
        <v>7.179029229553154</v>
      </c>
      <c r="N630" t="n">
        <v>0.2480426363560064</v>
      </c>
      <c r="O630" t="n">
        <v>0.4252221100196878</v>
      </c>
      <c r="P630" t="n">
        <v>0.4273330641083728</v>
      </c>
      <c r="Q630" t="n">
        <v>0.4010217359666474</v>
      </c>
      <c r="R630" t="inlineStr">
        <is>
          <t>Operationnel</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row>
    <row r="631">
      <c r="A631" t="inlineStr">
        <is>
          <t>Bda-Nitop-II</t>
        </is>
      </c>
      <c r="B631" t="inlineStr">
        <is>
          <t>NRO_226</t>
        </is>
      </c>
      <c r="C631" t="inlineStr">
        <is>
          <t>NORD-OUEST</t>
        </is>
      </c>
      <c r="D631" t="inlineStr">
        <is>
          <t>IHS</t>
        </is>
      </c>
      <c r="E631" t="inlineStr">
        <is>
          <t>Grid-Gen</t>
        </is>
      </c>
      <c r="F631" t="inlineStr">
        <is>
          <t>NORD-OUEST</t>
        </is>
      </c>
      <c r="G631" t="inlineStr">
        <is>
          <t>Bamenda</t>
        </is>
      </c>
      <c r="H631" t="inlineStr">
        <is>
          <t>Huawei</t>
        </is>
      </c>
      <c r="I631" t="n">
        <v>0.1072066557658668</v>
      </c>
      <c r="J631" t="n">
        <v>0</v>
      </c>
      <c r="K631" t="n">
        <v>0</v>
      </c>
      <c r="L631" t="n">
        <v>0</v>
      </c>
      <c r="M631" t="n">
        <v>0</v>
      </c>
      <c r="N631" t="n">
        <v>0.4159023056724578</v>
      </c>
      <c r="O631" t="n">
        <v>0.7133786223568653</v>
      </c>
      <c r="P631" t="n">
        <v>0.1954548588538896</v>
      </c>
      <c r="Q631" t="n">
        <v>0.4008077150268383</v>
      </c>
      <c r="R631" t="inlineStr">
        <is>
          <t>Operationnel</t>
        </is>
      </c>
      <c r="S631" t="inlineStr"/>
      <c r="T631" t="inlineStr"/>
      <c r="U631" t="inlineStr"/>
      <c r="V631" t="inlineStr"/>
      <c r="W631" t="inlineStr"/>
      <c r="X631" t="inlineStr">
        <is>
          <t>{None hourly IHS}: 25/05/2026 08:50..3:10:00..36v..FME Roland is managing with level 0.</t>
        </is>
      </c>
      <c r="Y631" t="inlineStr">
        <is>
          <t>25/05/2026 08 50.3 10 00.36v.FME Roland is managing with level 0.</t>
        </is>
      </c>
      <c r="Z631" t="inlineStr"/>
      <c r="AA631" t="inlineStr"/>
      <c r="AB631" t="inlineStr"/>
      <c r="AC631" t="inlineStr"/>
      <c r="AD631" t="inlineStr"/>
      <c r="AE631" t="inlineStr">
        <is>
          <t>{None hourly IHS}: 25/05/2026 08:50..3:10:00..36v..FME Roland is managing with level 0.</t>
        </is>
      </c>
      <c r="AF631" t="inlineStr"/>
      <c r="AG631" t="inlineStr"/>
      <c r="AH631" t="inlineStr"/>
      <c r="AI631" t="inlineStr"/>
      <c r="AJ631" t="inlineStr"/>
      <c r="AK631" t="inlineStr"/>
      <c r="AL631" t="inlineStr"/>
      <c r="AM631" t="inlineStr"/>
      <c r="AN631" t="inlineStr"/>
      <c r="AO631" t="inlineStr"/>
      <c r="AP631" t="inlineStr"/>
      <c r="AQ631" t="inlineStr"/>
      <c r="AR631" t="inlineStr"/>
    </row>
    <row r="632">
      <c r="A632" t="inlineStr">
        <is>
          <t>Kotto-Village</t>
        </is>
      </c>
      <c r="B632" t="inlineStr">
        <is>
          <t>LIT_726</t>
        </is>
      </c>
      <c r="C632" t="inlineStr">
        <is>
          <t>Douala</t>
        </is>
      </c>
      <c r="D632" t="inlineStr">
        <is>
          <t>CAMUSAT</t>
        </is>
      </c>
      <c r="E632" t="inlineStr">
        <is>
          <t>Good Grid no GE - 8h</t>
        </is>
      </c>
      <c r="F632" t="inlineStr">
        <is>
          <t>LITTORAL</t>
        </is>
      </c>
      <c r="G632" t="inlineStr">
        <is>
          <t>Douala</t>
        </is>
      </c>
      <c r="H632" t="inlineStr">
        <is>
          <t>ZTE</t>
        </is>
      </c>
      <c r="I632" t="n">
        <v>0</v>
      </c>
      <c r="J632" t="n">
        <v>0</v>
      </c>
      <c r="K632" t="n">
        <v>0</v>
      </c>
      <c r="L632" t="n">
        <v>0</v>
      </c>
      <c r="M632" t="n">
        <v>0.668084198691334</v>
      </c>
      <c r="N632" t="n">
        <v>0.1833467221402907</v>
      </c>
      <c r="O632" t="n">
        <v>0.195451292199204</v>
      </c>
      <c r="P632" t="n">
        <v>0.5907080178695321</v>
      </c>
      <c r="Q632" t="n">
        <v>0.3998446207976983</v>
      </c>
      <c r="R632" t="inlineStr">
        <is>
          <t>Operationnel</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row>
    <row r="633">
      <c r="A633" t="inlineStr">
        <is>
          <t>Sodecoton</t>
        </is>
      </c>
      <c r="B633" t="inlineStr">
        <is>
          <t>EXN_001</t>
        </is>
      </c>
      <c r="C633" t="inlineStr">
        <is>
          <t>Maroua</t>
        </is>
      </c>
      <c r="D633" t="inlineStr">
        <is>
          <t>IHS</t>
        </is>
      </c>
      <c r="E633" t="inlineStr">
        <is>
          <t>Grid-Gen</t>
        </is>
      </c>
      <c r="F633" t="inlineStr">
        <is>
          <t>EXTREME-NORD</t>
        </is>
      </c>
      <c r="G633" t="inlineStr">
        <is>
          <t>Maroua</t>
        </is>
      </c>
      <c r="H633" t="inlineStr">
        <is>
          <t>Huawei</t>
        </is>
      </c>
      <c r="I633" t="n">
        <v>0</v>
      </c>
      <c r="J633" t="n">
        <v>0</v>
      </c>
      <c r="K633" t="n">
        <v>0</v>
      </c>
      <c r="L633" t="n">
        <v>0</v>
      </c>
      <c r="M633" t="n">
        <v>1.855026495792348</v>
      </c>
      <c r="N633" t="n">
        <v>0.653203921521608</v>
      </c>
      <c r="O633" t="n">
        <v>0.8319563022124301</v>
      </c>
      <c r="P633" t="n">
        <v>0.04839346024116428</v>
      </c>
      <c r="Q633" t="n">
        <v>0.3978114218695158</v>
      </c>
      <c r="R633" t="inlineStr">
        <is>
          <t>Operationnel</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row>
    <row r="634">
      <c r="A634" t="inlineStr">
        <is>
          <t>Nkoabang-South-MTN</t>
        </is>
      </c>
      <c r="B634" t="inlineStr">
        <is>
          <t>CTR_698</t>
        </is>
      </c>
      <c r="C634" t="inlineStr">
        <is>
          <t>Yaounde</t>
        </is>
      </c>
      <c r="D634" t="inlineStr">
        <is>
          <t>MTN sharing</t>
        </is>
      </c>
      <c r="E634" t="inlineStr"/>
      <c r="F634" t="inlineStr">
        <is>
          <t>CENTRE</t>
        </is>
      </c>
      <c r="G634" t="inlineStr">
        <is>
          <t>Yaounde</t>
        </is>
      </c>
      <c r="H634" t="inlineStr">
        <is>
          <t>ZTE</t>
        </is>
      </c>
      <c r="I634" t="n">
        <v>4.174282245108196</v>
      </c>
      <c r="J634" t="n">
        <v>2.252909257975134</v>
      </c>
      <c r="K634" t="n">
        <v>0.3511726920695245</v>
      </c>
      <c r="L634" t="n">
        <v>0</v>
      </c>
      <c r="M634" t="n">
        <v>0</v>
      </c>
      <c r="N634" t="n">
        <v>0.1203993461466214</v>
      </c>
      <c r="O634" t="n">
        <v>0.265843508063281</v>
      </c>
      <c r="P634" t="n">
        <v>0.5521300509776367</v>
      </c>
      <c r="Q634" t="n">
        <v>0.3943692517542578</v>
      </c>
      <c r="R634" t="inlineStr">
        <is>
          <t>Operationnel</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row>
    <row r="635">
      <c r="A635" t="inlineStr">
        <is>
          <t>Bata</t>
        </is>
      </c>
      <c r="B635" t="inlineStr">
        <is>
          <t>ADM_027</t>
        </is>
      </c>
      <c r="C635" t="inlineStr">
        <is>
          <t>ADAMAOUA</t>
        </is>
      </c>
      <c r="D635" t="inlineStr">
        <is>
          <t>IHS</t>
        </is>
      </c>
      <c r="E635" t="inlineStr">
        <is>
          <t>Solar-Grid-Gen</t>
        </is>
      </c>
      <c r="F635" t="inlineStr">
        <is>
          <t>ADAMAOUA</t>
        </is>
      </c>
      <c r="G635" t="inlineStr">
        <is>
          <t>Bata</t>
        </is>
      </c>
      <c r="H635" t="inlineStr">
        <is>
          <t>NOKIA</t>
        </is>
      </c>
      <c r="I635" t="n">
        <v>0</v>
      </c>
      <c r="J635" t="n">
        <v>0</v>
      </c>
      <c r="K635" t="n">
        <v>0</v>
      </c>
      <c r="L635" t="n">
        <v>0</v>
      </c>
      <c r="M635" t="n">
        <v>0</v>
      </c>
      <c r="N635" t="n">
        <v>1.352244523578289</v>
      </c>
      <c r="O635" t="n">
        <v>0.5836926496931607</v>
      </c>
      <c r="P635" t="n">
        <v>0</v>
      </c>
      <c r="Q635" t="n">
        <v>0.3890527477650851</v>
      </c>
      <c r="R635" t="inlineStr">
        <is>
          <t>Operationnel</t>
        </is>
      </c>
      <c r="S635" t="inlineStr"/>
      <c r="T635" t="inlineStr"/>
      <c r="U635" t="inlineStr"/>
      <c r="V635" t="inlineStr"/>
      <c r="W635" t="inlineStr"/>
      <c r="X635" t="inlineStr">
        <is>
          <t>{05-25-2026 ticket}: INC-20260525-00021659..Others</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is>
          <t>{05-25-2026 ticket}: INC-20260525-00021659..Others</t>
        </is>
      </c>
      <c r="AR635" t="inlineStr"/>
    </row>
    <row r="636">
      <c r="A636" t="inlineStr">
        <is>
          <t>Djamboutou</t>
        </is>
      </c>
      <c r="B636" t="inlineStr">
        <is>
          <t>NRD_003</t>
        </is>
      </c>
      <c r="C636" t="inlineStr">
        <is>
          <t>Garoua</t>
        </is>
      </c>
      <c r="D636" t="inlineStr">
        <is>
          <t>IHS</t>
        </is>
      </c>
      <c r="E636" t="inlineStr">
        <is>
          <t>Grid-Gen</t>
        </is>
      </c>
      <c r="F636" t="inlineStr">
        <is>
          <t>NORD</t>
        </is>
      </c>
      <c r="G636" t="inlineStr">
        <is>
          <t>Garoua</t>
        </is>
      </c>
      <c r="H636" t="inlineStr">
        <is>
          <t>Huawei</t>
        </is>
      </c>
      <c r="I636" t="n">
        <v>0</v>
      </c>
      <c r="J636" t="n">
        <v>0</v>
      </c>
      <c r="K636" t="n">
        <v>0</v>
      </c>
      <c r="L636" t="n">
        <v>1.559517083151416</v>
      </c>
      <c r="M636" t="n">
        <v>0</v>
      </c>
      <c r="N636" t="n">
        <v>0.4952110036009896</v>
      </c>
      <c r="O636" t="n">
        <v>0.6235422170541055</v>
      </c>
      <c r="P636" t="n">
        <v>0.2089639873311051</v>
      </c>
      <c r="Q636" t="n">
        <v>0.3890187282590395</v>
      </c>
      <c r="R636" t="inlineStr">
        <is>
          <t>Operationnel</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row>
    <row r="637">
      <c r="A637" t="inlineStr">
        <is>
          <t>Ngola-MTN</t>
        </is>
      </c>
      <c r="B637" t="inlineStr">
        <is>
          <t>EST_043</t>
        </is>
      </c>
      <c r="C637" t="inlineStr">
        <is>
          <t>CENTRE</t>
        </is>
      </c>
      <c r="D637" t="inlineStr">
        <is>
          <t>IHS</t>
        </is>
      </c>
      <c r="E637" t="inlineStr">
        <is>
          <t>Solar-Gen</t>
        </is>
      </c>
      <c r="F637" t="inlineStr">
        <is>
          <t>EST</t>
        </is>
      </c>
      <c r="G637" t="inlineStr">
        <is>
          <t>Ngola</t>
        </is>
      </c>
      <c r="H637" t="inlineStr">
        <is>
          <t>NOKIA</t>
        </is>
      </c>
      <c r="I637" t="n">
        <v>0.3667962206755642</v>
      </c>
      <c r="J637" t="n">
        <v>0.3041415905465524</v>
      </c>
      <c r="K637" t="n">
        <v>0.3547040375763698</v>
      </c>
      <c r="L637" t="n">
        <v>0.219745999948635</v>
      </c>
      <c r="M637" t="n">
        <v>0.1349402025494174</v>
      </c>
      <c r="N637" t="n">
        <v>2.71173299121934</v>
      </c>
      <c r="O637" t="n">
        <v>0</v>
      </c>
      <c r="P637" t="n">
        <v>0</v>
      </c>
      <c r="Q637" t="n">
        <v>0.3872352204272999</v>
      </c>
      <c r="R637" t="inlineStr">
        <is>
          <t>Operationnel</t>
        </is>
      </c>
      <c r="S637" t="inlineStr"/>
      <c r="T637" t="inlineStr"/>
      <c r="U637" t="inlineStr"/>
      <c r="V637" t="inlineStr"/>
      <c r="W637" t="inlineStr"/>
      <c r="X637" t="inlineStr">
        <is>
          <t>{05-25-2026 ticket}: INC-20260525-00001317..Grid Outage</t>
        </is>
      </c>
      <c r="Y637" t="inlineStr">
        <is>
          <t>.Grid Outage</t>
        </is>
      </c>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is>
          <t>{05-25-2026 ticket}: INC-20260525-00001317..Grid Outage</t>
        </is>
      </c>
      <c r="AR637" t="inlineStr"/>
    </row>
    <row r="638">
      <c r="A638" t="inlineStr">
        <is>
          <t>Sapeur-Mimboman-IHS</t>
        </is>
      </c>
      <c r="B638" t="inlineStr">
        <is>
          <t>CTR_133</t>
        </is>
      </c>
      <c r="C638" t="inlineStr">
        <is>
          <t>Yaounde</t>
        </is>
      </c>
      <c r="D638" t="inlineStr">
        <is>
          <t>IHS</t>
        </is>
      </c>
      <c r="E638" t="inlineStr">
        <is>
          <t>Grid-Gen</t>
        </is>
      </c>
      <c r="F638" t="inlineStr">
        <is>
          <t>CENTRE</t>
        </is>
      </c>
      <c r="G638" t="inlineStr">
        <is>
          <t>Yaounde</t>
        </is>
      </c>
      <c r="H638" t="inlineStr">
        <is>
          <t>ZTE</t>
        </is>
      </c>
      <c r="I638" t="n">
        <v>0</v>
      </c>
      <c r="J638" t="n">
        <v>0</v>
      </c>
      <c r="K638" t="n">
        <v>0</v>
      </c>
      <c r="L638" t="n">
        <v>10.20130809598411</v>
      </c>
      <c r="M638" t="n">
        <v>0</v>
      </c>
      <c r="N638" t="n">
        <v>0.1237715270034251</v>
      </c>
      <c r="O638" t="n">
        <v>0.1256965907429507</v>
      </c>
      <c r="P638" t="n">
        <v>0.604866952526665</v>
      </c>
      <c r="Q638" t="n">
        <v>0.3753035530329619</v>
      </c>
      <c r="R638" t="inlineStr">
        <is>
          <t>Operationnel</t>
        </is>
      </c>
      <c r="S638" t="inlineStr"/>
      <c r="T638" t="inlineStr"/>
      <c r="U638" t="inlineStr"/>
      <c r="V638" t="inlineStr"/>
      <c r="W638" t="inlineStr"/>
      <c r="X638" t="inlineStr">
        <is>
          <t>{05-25-2026 retour IHS}: IHS</t>
        </is>
      </c>
      <c r="Y638" t="inlineStr">
        <is>
          <t>IHS</t>
        </is>
      </c>
      <c r="Z638" t="inlineStr"/>
      <c r="AA638" t="inlineStr"/>
      <c r="AB638" t="inlineStr"/>
      <c r="AC638" t="inlineStr"/>
      <c r="AD638" t="inlineStr">
        <is>
          <t>{05-25-2026 retour IHS}: IHS</t>
        </is>
      </c>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row>
    <row r="639">
      <c r="A639" t="inlineStr">
        <is>
          <t>Cite-Berges-IHS</t>
        </is>
      </c>
      <c r="B639" t="inlineStr">
        <is>
          <t>LIT_157</t>
        </is>
      </c>
      <c r="C639" t="inlineStr">
        <is>
          <t>Douala</t>
        </is>
      </c>
      <c r="D639" t="inlineStr">
        <is>
          <t>IHS</t>
        </is>
      </c>
      <c r="E639" t="inlineStr">
        <is>
          <t>Grid-Gen</t>
        </is>
      </c>
      <c r="F639" t="inlineStr">
        <is>
          <t>LITTORAL</t>
        </is>
      </c>
      <c r="G639" t="inlineStr">
        <is>
          <t>Douala</t>
        </is>
      </c>
      <c r="H639" t="inlineStr">
        <is>
          <t>ZTE</t>
        </is>
      </c>
      <c r="I639" t="n">
        <v>0</v>
      </c>
      <c r="J639" t="n">
        <v>0</v>
      </c>
      <c r="K639" t="n">
        <v>0</v>
      </c>
      <c r="L639" t="n">
        <v>0</v>
      </c>
      <c r="M639" t="n">
        <v>0</v>
      </c>
      <c r="N639" t="n">
        <v>0.0843045214200928</v>
      </c>
      <c r="O639" t="n">
        <v>0.07522670012342333</v>
      </c>
      <c r="P639" t="n">
        <v>0.6463861473908136</v>
      </c>
      <c r="Q639" t="n">
        <v>0.3743761289604564</v>
      </c>
      <c r="R639" t="inlineStr">
        <is>
          <t>Operationnel</t>
        </is>
      </c>
      <c r="S639" t="inlineStr"/>
      <c r="T639" t="inlineStr"/>
      <c r="U639" t="inlineStr"/>
      <c r="V639" t="inlineStr"/>
      <c r="W639" t="inlineStr"/>
      <c r="X639" t="inlineStr">
        <is>
          <t>{05-25-2026 ticket}: INC-20260525-00027516..Grid Outage</t>
        </is>
      </c>
      <c r="Y639" t="inlineStr">
        <is>
          <t>.Grid Outage</t>
        </is>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is>
          <t>{05-25-2026 ticket}: INC-20260525-00027516..Grid Outage</t>
        </is>
      </c>
      <c r="AR639" t="inlineStr"/>
    </row>
    <row r="640">
      <c r="A640" t="inlineStr">
        <is>
          <t>Ngd-Crf-Texaco</t>
        </is>
      </c>
      <c r="B640" t="inlineStr">
        <is>
          <t>ADM_071</t>
        </is>
      </c>
      <c r="C640" t="inlineStr">
        <is>
          <t>Ngaoundere</t>
        </is>
      </c>
      <c r="D640" t="inlineStr">
        <is>
          <t>IHS</t>
        </is>
      </c>
      <c r="E640" t="inlineStr">
        <is>
          <t>Grid-Gen</t>
        </is>
      </c>
      <c r="F640" t="inlineStr">
        <is>
          <t>ADAMAOUA</t>
        </is>
      </c>
      <c r="G640" t="inlineStr">
        <is>
          <t>Ngaoundere</t>
        </is>
      </c>
      <c r="H640" t="inlineStr">
        <is>
          <t>Huawei</t>
        </is>
      </c>
      <c r="I640" t="n">
        <v>0</v>
      </c>
      <c r="J640" t="n">
        <v>0</v>
      </c>
      <c r="K640" t="n">
        <v>0</v>
      </c>
      <c r="L640" t="n">
        <v>2.608398038997469</v>
      </c>
      <c r="M640" t="n">
        <v>1.906748222912797</v>
      </c>
      <c r="N640" t="n">
        <v>0.4839704007449772</v>
      </c>
      <c r="O640" t="n">
        <v>0.6144045105419382</v>
      </c>
      <c r="P640" t="n">
        <v>0.1657005758787568</v>
      </c>
      <c r="Q640" t="n">
        <v>0.3617845636683759</v>
      </c>
      <c r="R640" t="inlineStr">
        <is>
          <t>Operationnel</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row>
    <row r="641">
      <c r="A641" t="inlineStr">
        <is>
          <t>Garoua-Djamboutou-Village</t>
        </is>
      </c>
      <c r="B641" t="inlineStr">
        <is>
          <t>NRD_060</t>
        </is>
      </c>
      <c r="C641" t="inlineStr">
        <is>
          <t>Garoua</t>
        </is>
      </c>
      <c r="D641" t="inlineStr">
        <is>
          <t>IHS</t>
        </is>
      </c>
      <c r="E641" t="inlineStr">
        <is>
          <t>Grid-Gen</t>
        </is>
      </c>
      <c r="F641" t="inlineStr">
        <is>
          <t>NORD</t>
        </is>
      </c>
      <c r="G641" t="inlineStr">
        <is>
          <t>Garoua</t>
        </is>
      </c>
      <c r="H641" t="inlineStr">
        <is>
          <t>Huawei</t>
        </is>
      </c>
      <c r="I641" t="n">
        <v>1.359532349978455</v>
      </c>
      <c r="J641" t="n">
        <v>10.33986881943196</v>
      </c>
      <c r="K641" t="n">
        <v>11.50626510631133</v>
      </c>
      <c r="L641" t="n">
        <v>3.157557935468406</v>
      </c>
      <c r="M641" t="n">
        <v>0</v>
      </c>
      <c r="N641" t="n">
        <v>0.350332122345719</v>
      </c>
      <c r="O641" t="n">
        <v>0.4225657999870797</v>
      </c>
      <c r="P641" t="n">
        <v>0.3067769175711968</v>
      </c>
      <c r="Q641" t="n">
        <v>0.3518682601239038</v>
      </c>
      <c r="R641" t="inlineStr">
        <is>
          <t>Operationnel</t>
        </is>
      </c>
      <c r="S641" t="inlineStr"/>
      <c r="T641" t="inlineStr"/>
      <c r="U641" t="inlineStr"/>
      <c r="V641" t="inlineStr"/>
      <c r="W641" t="inlineStr"/>
      <c r="X641" t="inlineStr">
        <is>
          <t>{05-25-2026 retour IHS}: IHS</t>
        </is>
      </c>
      <c r="Y641" t="inlineStr">
        <is>
          <t>IHS</t>
        </is>
      </c>
      <c r="Z641" t="inlineStr"/>
      <c r="AA641" t="inlineStr"/>
      <c r="AB641" t="inlineStr"/>
      <c r="AC641" t="inlineStr"/>
      <c r="AD641" t="inlineStr">
        <is>
          <t>{05-25-2026 retour IHS}: IHS</t>
        </is>
      </c>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row>
    <row r="642">
      <c r="A642" t="inlineStr">
        <is>
          <t>Hikoa-Malep-Camrail</t>
        </is>
      </c>
      <c r="B642" t="inlineStr">
        <is>
          <t>LIT_402</t>
        </is>
      </c>
      <c r="C642" t="inlineStr">
        <is>
          <t>CENTRE</t>
        </is>
      </c>
      <c r="D642" t="inlineStr">
        <is>
          <t>CAMUSAT</t>
        </is>
      </c>
      <c r="E642" t="inlineStr">
        <is>
          <t>Hybrid Solar - S3</t>
        </is>
      </c>
      <c r="F642" t="inlineStr">
        <is>
          <t>LITTORAL</t>
        </is>
      </c>
      <c r="G642" t="inlineStr">
        <is>
          <t>Messondo</t>
        </is>
      </c>
      <c r="H642" t="inlineStr">
        <is>
          <t>NOKIA</t>
        </is>
      </c>
      <c r="I642" t="n">
        <v>0.007490732893306254</v>
      </c>
      <c r="J642" t="n">
        <v>0.003031963313957151</v>
      </c>
      <c r="K642" t="n">
        <v>0</v>
      </c>
      <c r="L642" t="n">
        <v>0</v>
      </c>
      <c r="M642" t="n">
        <v>0.02131291858928811</v>
      </c>
      <c r="N642" t="n">
        <v>1.194751188006826</v>
      </c>
      <c r="O642" t="n">
        <v>0.5299338515050438</v>
      </c>
      <c r="P642" t="n">
        <v>0</v>
      </c>
      <c r="Q642" t="n">
        <v>0.3485152654002333</v>
      </c>
      <c r="R642" t="inlineStr">
        <is>
          <t>Operationnel</t>
        </is>
      </c>
      <c r="S642" t="inlineStr"/>
      <c r="T642" t="inlineStr"/>
      <c r="U642" t="inlineStr"/>
      <c r="V642" t="inlineStr"/>
      <c r="W642" t="inlineStr"/>
      <c r="X642" t="inlineStr">
        <is>
          <t>{05-25-2026 retour CAMUSAT}: No power issue      ;    {05-25-2026 ticket}: INC-20260525-00000320..Grid Outage</t>
        </is>
      </c>
      <c r="Y642" t="inlineStr">
        <is>
          <t>No power issue .Grid Outage</t>
        </is>
      </c>
      <c r="Z642" t="inlineStr"/>
      <c r="AA642" t="inlineStr"/>
      <c r="AB642" t="inlineStr"/>
      <c r="AC642" t="inlineStr">
        <is>
          <t xml:space="preserve">{05-25-2026 retour CAMUSAT}: No power issue </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is>
          <t>{05-25-2026 ticket}: INC-20260525-00000320..Grid Outage</t>
        </is>
      </c>
      <c r="AR642" t="inlineStr"/>
    </row>
    <row r="643">
      <c r="A643" t="inlineStr">
        <is>
          <t>Garoua-Djamboutou-II</t>
        </is>
      </c>
      <c r="B643" t="inlineStr">
        <is>
          <t>NRD_149</t>
        </is>
      </c>
      <c r="C643" t="inlineStr">
        <is>
          <t>Garoua</t>
        </is>
      </c>
      <c r="D643" t="inlineStr">
        <is>
          <t>CAMUSAT</t>
        </is>
      </c>
      <c r="E643" t="inlineStr">
        <is>
          <t>Good Grid + GE</t>
        </is>
      </c>
      <c r="F643" t="inlineStr">
        <is>
          <t>NORD</t>
        </is>
      </c>
      <c r="G643" t="inlineStr">
        <is>
          <t>Garoua</t>
        </is>
      </c>
      <c r="H643" t="inlineStr">
        <is>
          <t>Huawei</t>
        </is>
      </c>
      <c r="I643" t="n">
        <v>0</v>
      </c>
      <c r="J643" t="n">
        <v>1.251309094748497</v>
      </c>
      <c r="K643" t="n">
        <v>0.0002675261747609386</v>
      </c>
      <c r="L643" t="n">
        <v>0</v>
      </c>
      <c r="M643" t="n">
        <v>1.701841008124235</v>
      </c>
      <c r="N643" t="n">
        <v>0.3434628650448225</v>
      </c>
      <c r="O643" t="n">
        <v>0.4191657231453431</v>
      </c>
      <c r="P643" t="n">
        <v>0.2879667386788716</v>
      </c>
      <c r="Q643" t="n">
        <v>0.339936592729566</v>
      </c>
      <c r="R643" t="inlineStr">
        <is>
          <t>Operationnel</t>
        </is>
      </c>
      <c r="S643" t="inlineStr"/>
      <c r="T643" t="inlineStr"/>
      <c r="U643" t="inlineStr"/>
      <c r="V643" t="inlineStr"/>
      <c r="W643" t="inlineStr"/>
      <c r="X643" t="inlineStr">
        <is>
          <t xml:space="preserve">{05-25-2026 retour CAMUSAT}: No power issue </t>
        </is>
      </c>
      <c r="Y643" t="inlineStr">
        <is>
          <t>No power issue</t>
        </is>
      </c>
      <c r="Z643" t="inlineStr"/>
      <c r="AA643" t="inlineStr"/>
      <c r="AB643" t="inlineStr"/>
      <c r="AC643" t="inlineStr">
        <is>
          <t xml:space="preserve">{05-25-2026 retour CAMUSAT}: No power issue </t>
        </is>
      </c>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row>
    <row r="644">
      <c r="A644" t="inlineStr">
        <is>
          <t>Mindourou</t>
        </is>
      </c>
      <c r="B644" t="inlineStr">
        <is>
          <t>EST_012</t>
        </is>
      </c>
      <c r="C644" t="inlineStr">
        <is>
          <t>CENTRE</t>
        </is>
      </c>
      <c r="D644" t="inlineStr">
        <is>
          <t>IHS</t>
        </is>
      </c>
      <c r="E644" t="inlineStr">
        <is>
          <t>Solar-Gen</t>
        </is>
      </c>
      <c r="F644" t="inlineStr">
        <is>
          <t>EST</t>
        </is>
      </c>
      <c r="G644" t="inlineStr">
        <is>
          <t>Mindourou</t>
        </is>
      </c>
      <c r="H644" t="inlineStr">
        <is>
          <t>NOKIA</t>
        </is>
      </c>
      <c r="I644" t="n">
        <v>0.2439660363036586</v>
      </c>
      <c r="J644" t="n">
        <v>0.2418614970622059</v>
      </c>
      <c r="K644" t="n">
        <v>0.2032663875833611</v>
      </c>
      <c r="L644" t="n">
        <v>1.297751638686996</v>
      </c>
      <c r="M644" t="n">
        <v>1.310450214448982</v>
      </c>
      <c r="N644" t="n">
        <v>0.7804725249691258</v>
      </c>
      <c r="O644" t="n">
        <v>0.6651400321647267</v>
      </c>
      <c r="P644" t="n">
        <v>0</v>
      </c>
      <c r="Q644" t="n">
        <v>0.3347465849392037</v>
      </c>
      <c r="R644" t="inlineStr">
        <is>
          <t>Operationnel</t>
        </is>
      </c>
      <c r="S644" t="inlineStr"/>
      <c r="T644" t="inlineStr"/>
      <c r="U644" t="inlineStr"/>
      <c r="V644" t="inlineStr"/>
      <c r="W644" t="inlineStr"/>
      <c r="X644" t="inlineStr">
        <is>
          <t>{05-25-2026 ticket}: INC-20260525-00003590..Grid Outage</t>
        </is>
      </c>
      <c r="Y644" t="inlineStr">
        <is>
          <t>.Grid Outage</t>
        </is>
      </c>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is>
          <t>{05-25-2026 ticket}: INC-20260525-00003590..Grid Outage</t>
        </is>
      </c>
      <c r="AR644" t="inlineStr"/>
    </row>
    <row r="645">
      <c r="A645" t="inlineStr">
        <is>
          <t>Limbe-Coconut-Island-MTN</t>
        </is>
      </c>
      <c r="B645" t="inlineStr">
        <is>
          <t>SUO_219</t>
        </is>
      </c>
      <c r="C645" t="inlineStr">
        <is>
          <t>SUD-OUEST</t>
        </is>
      </c>
      <c r="D645" t="inlineStr">
        <is>
          <t>MTN sharing</t>
        </is>
      </c>
      <c r="E645" t="inlineStr"/>
      <c r="F645" t="inlineStr">
        <is>
          <t>SUD-OUEST</t>
        </is>
      </c>
      <c r="G645" t="inlineStr">
        <is>
          <t>Limbe</t>
        </is>
      </c>
      <c r="H645" t="inlineStr">
        <is>
          <t>Huawei</t>
        </is>
      </c>
      <c r="I645" t="n">
        <v>0.4946558971329756</v>
      </c>
      <c r="J645" t="n">
        <v>0.2865918734822348</v>
      </c>
      <c r="K645" t="n">
        <v>0.18717914694107</v>
      </c>
      <c r="L645" t="n">
        <v>1.316567646311849</v>
      </c>
      <c r="M645" t="n">
        <v>1.096340099248644</v>
      </c>
      <c r="N645" t="n">
        <v>0.4009148351977747</v>
      </c>
      <c r="O645" t="n">
        <v>0.3455328090414843</v>
      </c>
      <c r="P645" t="n">
        <v>0.3054089045608459</v>
      </c>
      <c r="Q645" t="n">
        <v>0.3325172001495292</v>
      </c>
      <c r="R645" t="inlineStr">
        <is>
          <t>Operationnel</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row>
    <row r="646">
      <c r="A646" t="inlineStr">
        <is>
          <t>Badjonre-IHS</t>
        </is>
      </c>
      <c r="B646" t="inlineStr">
        <is>
          <t>EXN_152</t>
        </is>
      </c>
      <c r="C646" t="inlineStr">
        <is>
          <t>EXTREME-NORD</t>
        </is>
      </c>
      <c r="D646" t="inlineStr">
        <is>
          <t>IHS</t>
        </is>
      </c>
      <c r="E646" t="inlineStr">
        <is>
          <t>Solar-Gen</t>
        </is>
      </c>
      <c r="F646" t="inlineStr">
        <is>
          <t>EXTREME-NORD</t>
        </is>
      </c>
      <c r="G646" t="inlineStr">
        <is>
          <t>Badjonre</t>
        </is>
      </c>
      <c r="H646" t="inlineStr">
        <is>
          <t>NOKIA</t>
        </is>
      </c>
      <c r="I646" t="n">
        <v>9.24452748456909</v>
      </c>
      <c r="J646" t="n">
        <v>9.244634495038994</v>
      </c>
      <c r="K646" t="n">
        <v>9.244688000273946</v>
      </c>
      <c r="L646" t="n">
        <v>9.24447397933414</v>
      </c>
      <c r="M646" t="n">
        <v>5.398410990155676</v>
      </c>
      <c r="N646" t="n">
        <v>0</v>
      </c>
      <c r="O646" t="n">
        <v>0.9807664213544578</v>
      </c>
      <c r="P646" t="n">
        <v>0</v>
      </c>
      <c r="Q646" t="n">
        <v>0.3292545998247665</v>
      </c>
      <c r="R646" t="inlineStr">
        <is>
          <t>Insecurity</t>
        </is>
      </c>
      <c r="S646" t="inlineStr"/>
      <c r="T646" t="inlineStr"/>
      <c r="U646" t="inlineStr"/>
      <c r="V646" t="inlineStr"/>
      <c r="W646" t="inlineStr"/>
      <c r="X646" t="inlineStr">
        <is>
          <t>{05/25/2026 cell nokia}: 25/05/2026 : Closed afted reset || check statut of carte ABIA
24/05/2026 : Need BO RAN analysis      ;    {05/25/2026 cell nokia}: 25/05/2026 : Closed afted reset || check statut of carte ABIA||Escalade faite au RM || En attente du feedback du RM 
24/05/2026 : Need BO RAN analysis      ;    {05-25-2026 ocm ran 17H}: 24/05/2026 FME herman sur site travaux en cours 
23/05/2026 FME activé escalade RM sayaka : Remplacement système module avec le soft SRAN24 après intervention sur Guidiguis, ETA 15h
22.05.26: Soft reçu, FME sera sur le site ce 23.05.26
22.05.26: Nouvelle copie du soft SRAN24 ce jour à Garoua et expédition vers Kaélé, ETD ce jour 14H
21.05.26: Nouvelle copie du soft SRAN24 ce jour à Garoua et expédition vers Kaélé, ETD 18H
20.05.26: Software arrivé et en attente de l'ETA du FME, escalade faite à M. Mickael et M. Théo
19.05.2026: FSMF en défaut et problématique de SRAN24 mis à disposition par Nokia  et expédié vers Garoua, ETD 17/05/2026 dépassé, soft pas encore reçu, Point en escalade au niveau du SPM
18.05.2026: FSMF en défaut et problématique de SRAN24 mis à disposition par Nokia  et expédié vers Garoua, ETD 17/05/2026 dépassé, soft pas encore reçu, Point en escalade au niveau du SPM
16.05.26: FSMF en défaut et problématique de SRAN24 mis à disposition par Nokia  et expédié vers Maroua, nouvel ETD 17/05/26
15/05/2026 SRAN24 mis à disposition par Nokia  et expédié vers Maroua, nouvel ETD 15/05/2025
13.05.2026: SRAN24 mis à disposition par Nokia  et expédié vers Maroua, ETD 15/05/2025
12.05.2026: SRAN24 mis à disposition par Nokia  et expédié vers Maroua, ETD 14/05/2025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     ;    {05-25-2026 ticket}: INC-20260525-00006671..Others</t>
        </is>
      </c>
      <c r="Y646" t="inlineStr">
        <is>
          <t>25/05/2026 Closed afted reset || check statut of carte ABIA
24/05/2026 Need BO RAN analysis 25/05/2026 Closed afted reset || check statut of carte ABIA || Escalade faite au RM || En attente du feedback du RM
24/05/2026 Need BO RAN analysis 24/05/2026 FME herman sur site travaux en cours
23/05/2026 FME activé escalade RM sayaka Remplacement système module avec le soft SRAN24 après intervention sur Guidiguis, ETA 15h
22.05.26 Soft reçu, FME sera sur le site ce 23.05.26
22.05.26 Nouvelle copie du soft SRAN24 ce jour à Garoua et expédition vers Kaélé, ETD ce jour 14H
21.05.26 Nouvelle copie du soft SRAN24 ce jour à Garoua et expédition vers Kaélé, ETD 18H
20.05.26 Software arrivé et en attente de l'ETA du FME, escalade faite à M. Mickael et M. Théo
19.05.2026 FSMF en défaut et problématique de SRAN24 mis à disposition par Nokia et expédié vers Garoua, ETD 17/05/2026 dépassé, soft pas encore reçu, Point en escalade au niveau du SPM
18.05.2026 FSMF en défaut et problématique de SRAN24 mis à disposition par Nokia et expédié vers Garoua, ETD 17/05/2026 dépassé, soft pas encore reçu, Point en escalade au niveau du SPM
16.05.26 FSMF en défaut et problématique de SRAN24 mis à disposition par Nokia et expédié vers Maroua, nouvel ETD 17/05/26
15/05/2026 SRAN24 mis à disposition par Nokia et expédié vers Maroua, nouvel ETD 15/05/2025
13.05.2026 SRAN24 mis à disposition par Nokia et expédié vers Maroua, ETD 15/05/2025
12.05.2026 SRAN24 mis à disposition par Nokia et expédié vers Maroua, ETD 14/05/2025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FME Herman activé pour investigations, update ASAP .</t>
        </is>
      </c>
      <c r="Z646" t="inlineStr"/>
      <c r="AA646" t="inlineStr"/>
      <c r="AB646" t="inlineStr"/>
      <c r="AC646" t="inlineStr"/>
      <c r="AD646" t="inlineStr"/>
      <c r="AE646" t="inlineStr"/>
      <c r="AF646" t="inlineStr"/>
      <c r="AG646" t="inlineStr">
        <is>
          <t xml:space="preserve">{05/25/2026 cell nokia}: 25/05/2026 : Closed afted reset || check statut of carte ABIA
24/05/2026 : Need BO RAN analysis </t>
        </is>
      </c>
      <c r="AH646" t="inlineStr">
        <is>
          <t xml:space="preserve">{05/25/2026 cell nokia}: 25/05/2026 : Closed afted reset || check statut of carte ABIA||Escalade faite au RM || En attente du feedback du RM 
24/05/2026 : Need BO RAN analysis </t>
        </is>
      </c>
      <c r="AI646" t="inlineStr"/>
      <c r="AJ646" t="inlineStr"/>
      <c r="AK646" t="inlineStr"/>
      <c r="AL646" t="inlineStr"/>
      <c r="AM646" t="inlineStr"/>
      <c r="AN646" t="inlineStr"/>
      <c r="AO646" t="inlineStr"/>
      <c r="AP646" t="inlineStr">
        <is>
          <t>{05-25-2026 ocm ran 17H}: 24/05/2026 FME herman sur site travaux en cours 
23/05/2026 FME activé escalade RM sayaka : Remplacement système module avec le soft SRAN24 après intervention sur Guidiguis, ETA 15h
22.05.26: Soft reçu, FME sera sur le site ce 23.05.26
22.05.26: Nouvelle copie du soft SRAN24 ce jour à Garoua et expédition vers Kaélé, ETD ce jour 14H
21.05.26: Nouvelle copie du soft SRAN24 ce jour à Garoua et expédition vers Kaélé, ETD 18H
20.05.26: Software arrivé et en attente de l'ETA du FME, escalade faite à M. Mickael et M. Théo
19.05.2026: FSMF en défaut et problématique de SRAN24 mis à disposition par Nokia  et expédié vers Garoua, ETD 17/05/2026 dépassé, soft pas encore reçu, Point en escalade au niveau du SPM
18.05.2026: FSMF en défaut et problématique de SRAN24 mis à disposition par Nokia  et expédié vers Garoua, ETD 17/05/2026 dépassé, soft pas encore reçu, Point en escalade au niveau du SPM
16.05.26: FSMF en défaut et problématique de SRAN24 mis à disposition par Nokia  et expédié vers Maroua, nouvel ETD 17/05/26
15/05/2026 SRAN24 mis à disposition par Nokia  et expédié vers Maroua, nouvel ETD 15/05/2025
13.05.2026: SRAN24 mis à disposition par Nokia  et expédié vers Maroua, ETD 15/05/2025
12.05.2026: SRAN24 mis à disposition par Nokia  et expédié vers Maroua, ETD 14/05/2025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is>
      </c>
      <c r="AQ646" t="inlineStr">
        <is>
          <t>{05-25-2026 ticket}: INC-20260525-00006671..Others</t>
        </is>
      </c>
      <c r="AR646" t="inlineStr"/>
    </row>
    <row r="647">
      <c r="A647" t="inlineStr">
        <is>
          <t>Guider-Djamboutou</t>
        </is>
      </c>
      <c r="B647" t="inlineStr">
        <is>
          <t>NRD_178</t>
        </is>
      </c>
      <c r="C647" t="inlineStr">
        <is>
          <t>NORD</t>
        </is>
      </c>
      <c r="D647" t="inlineStr">
        <is>
          <t>CAMUSAT</t>
        </is>
      </c>
      <c r="E647" t="inlineStr">
        <is>
          <t>Hybrid Solar - S3</t>
        </is>
      </c>
      <c r="F647" t="inlineStr">
        <is>
          <t>NORD</t>
        </is>
      </c>
      <c r="G647" t="inlineStr">
        <is>
          <t>Guider</t>
        </is>
      </c>
      <c r="H647" t="inlineStr">
        <is>
          <t>NOKIA</t>
        </is>
      </c>
      <c r="I647" t="n">
        <v>1.057584474064942</v>
      </c>
      <c r="J647" t="n">
        <v>0</v>
      </c>
      <c r="K647" t="n">
        <v>0.4577444532358507</v>
      </c>
      <c r="L647" t="n">
        <v>0</v>
      </c>
      <c r="M647" t="n">
        <v>1.992816844739842</v>
      </c>
      <c r="N647" t="n">
        <v>0</v>
      </c>
      <c r="O647" t="n">
        <v>0.4941022599456371</v>
      </c>
      <c r="P647" t="n">
        <v>0.3112067691805733</v>
      </c>
      <c r="Q647" t="n">
        <v>0.328166597084284</v>
      </c>
      <c r="R647" t="inlineStr">
        <is>
          <t>Operationnel</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row>
    <row r="648">
      <c r="A648" t="inlineStr">
        <is>
          <t>PK13-II</t>
        </is>
      </c>
      <c r="B648" t="inlineStr">
        <is>
          <t>LIT_448</t>
        </is>
      </c>
      <c r="C648" t="inlineStr">
        <is>
          <t>Douala</t>
        </is>
      </c>
      <c r="D648" t="inlineStr">
        <is>
          <t>IHS</t>
        </is>
      </c>
      <c r="E648" t="inlineStr">
        <is>
          <t>Grid-Gen</t>
        </is>
      </c>
      <c r="F648" t="inlineStr">
        <is>
          <t>LITTORAL</t>
        </is>
      </c>
      <c r="G648" t="inlineStr">
        <is>
          <t>Douala</t>
        </is>
      </c>
      <c r="H648" t="inlineStr">
        <is>
          <t>ZTE</t>
        </is>
      </c>
      <c r="I648" t="n">
        <v>0</v>
      </c>
      <c r="J648" t="n">
        <v>5.722474053528064</v>
      </c>
      <c r="K648" t="n">
        <v>0</v>
      </c>
      <c r="L648" t="n">
        <v>0</v>
      </c>
      <c r="M648" t="n">
        <v>7.967375361338688</v>
      </c>
      <c r="N648" t="n">
        <v>0.1288922460822752</v>
      </c>
      <c r="O648" t="n">
        <v>0.1080586921264406</v>
      </c>
      <c r="P648" t="n">
        <v>0.5217943624731047</v>
      </c>
      <c r="Q648" t="n">
        <v>0.3267921400096447</v>
      </c>
      <c r="R648" t="inlineStr">
        <is>
          <t>Operationnel</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row>
    <row r="649">
      <c r="A649" t="inlineStr">
        <is>
          <t>Mfou-EPC-MTN-IHS</t>
        </is>
      </c>
      <c r="B649" t="inlineStr">
        <is>
          <t>CTR_464</t>
        </is>
      </c>
      <c r="C649" t="inlineStr">
        <is>
          <t>CENTRE</t>
        </is>
      </c>
      <c r="D649" t="inlineStr">
        <is>
          <t>IHS</t>
        </is>
      </c>
      <c r="E649" t="inlineStr">
        <is>
          <t>Grid-Gen</t>
        </is>
      </c>
      <c r="F649" t="inlineStr">
        <is>
          <t>CENTRE</t>
        </is>
      </c>
      <c r="G649" t="inlineStr">
        <is>
          <t>Mfou</t>
        </is>
      </c>
      <c r="H649" t="inlineStr">
        <is>
          <t>ZTE</t>
        </is>
      </c>
      <c r="I649" t="n">
        <v>0</v>
      </c>
      <c r="J649" t="n">
        <v>0</v>
      </c>
      <c r="K649" t="n">
        <v>0</v>
      </c>
      <c r="L649" t="n">
        <v>0.4732181329954656</v>
      </c>
      <c r="M649" t="n">
        <v>0</v>
      </c>
      <c r="N649" t="n">
        <v>2.270351985739921</v>
      </c>
      <c r="O649" t="n">
        <v>0</v>
      </c>
      <c r="P649" t="n">
        <v>0</v>
      </c>
      <c r="Q649" t="n">
        <v>0.3242060536536228</v>
      </c>
      <c r="R649" t="inlineStr">
        <is>
          <t>Operationnel</t>
        </is>
      </c>
      <c r="S649" t="inlineStr"/>
      <c r="T649" t="inlineStr"/>
      <c r="U649" t="inlineStr"/>
      <c r="V649" t="inlineStr"/>
      <c r="W649" t="inlineStr"/>
      <c r="X649" t="inlineStr">
        <is>
          <t>{None hourly IHS}: 25/05/2026 20:12..2:47:12..Fme ANtoine is informed ETA 10:25 PM</t>
        </is>
      </c>
      <c r="Y649" t="inlineStr">
        <is>
          <t>25/05/2026 20 12.2 47 12.Fme ANtoine is informed ETA 10 25 PM</t>
        </is>
      </c>
      <c r="Z649" t="inlineStr"/>
      <c r="AA649" t="inlineStr"/>
      <c r="AB649" t="inlineStr"/>
      <c r="AC649" t="inlineStr"/>
      <c r="AD649" t="inlineStr"/>
      <c r="AE649" t="inlineStr">
        <is>
          <t>{None hourly IHS}: 25/05/2026 20:12..2:47:12..Fme ANtoine is informed ETA 10:25 PM</t>
        </is>
      </c>
      <c r="AF649" t="inlineStr"/>
      <c r="AG649" t="inlineStr"/>
      <c r="AH649" t="inlineStr"/>
      <c r="AI649" t="inlineStr"/>
      <c r="AJ649" t="inlineStr"/>
      <c r="AK649" t="inlineStr"/>
      <c r="AL649" t="inlineStr"/>
      <c r="AM649" t="inlineStr"/>
      <c r="AN649" t="inlineStr"/>
      <c r="AO649" t="inlineStr"/>
      <c r="AP649" t="inlineStr"/>
      <c r="AQ649" t="inlineStr"/>
      <c r="AR649" t="inlineStr"/>
    </row>
    <row r="650">
      <c r="A650" t="inlineStr">
        <is>
          <t>Emombo-2eme-Crf</t>
        </is>
      </c>
      <c r="B650" t="inlineStr">
        <is>
          <t>CTR_558</t>
        </is>
      </c>
      <c r="C650" t="inlineStr">
        <is>
          <t>Yaounde</t>
        </is>
      </c>
      <c r="D650" t="inlineStr">
        <is>
          <t>CAMUSAT</t>
        </is>
      </c>
      <c r="E650" t="inlineStr">
        <is>
          <t>Good Grid no GE - 8h</t>
        </is>
      </c>
      <c r="F650" t="inlineStr">
        <is>
          <t>CENTRE</t>
        </is>
      </c>
      <c r="G650" t="inlineStr">
        <is>
          <t>Yaounde</t>
        </is>
      </c>
      <c r="H650" t="inlineStr">
        <is>
          <t>ZTE</t>
        </is>
      </c>
      <c r="I650" t="n">
        <v>0</v>
      </c>
      <c r="J650" t="n">
        <v>0</v>
      </c>
      <c r="K650" t="n">
        <v>0</v>
      </c>
      <c r="L650" t="n">
        <v>0</v>
      </c>
      <c r="M650" t="n">
        <v>0</v>
      </c>
      <c r="N650" t="n">
        <v>0</v>
      </c>
      <c r="O650" t="n">
        <v>0</v>
      </c>
      <c r="P650" t="n">
        <v>0.6131434312392885</v>
      </c>
      <c r="Q650" t="n">
        <v>0.3197472840742738</v>
      </c>
      <c r="R650" t="inlineStr">
        <is>
          <t>Operationnel</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row>
    <row r="651">
      <c r="A651" t="inlineStr">
        <is>
          <t>ADM_098_N_Maakola-MTN-IHS</t>
        </is>
      </c>
      <c r="B651" t="inlineStr">
        <is>
          <t>ADM_098</t>
        </is>
      </c>
      <c r="C651" t="inlineStr">
        <is>
          <t>ADAMAOUA</t>
        </is>
      </c>
      <c r="D651" t="inlineStr">
        <is>
          <t>IHS</t>
        </is>
      </c>
      <c r="E651" t="inlineStr">
        <is>
          <t>Solar-Gen</t>
        </is>
      </c>
      <c r="F651" t="inlineStr">
        <is>
          <t>ADAMAOUA</t>
        </is>
      </c>
      <c r="G651" t="inlineStr">
        <is>
          <t>Maakola</t>
        </is>
      </c>
      <c r="H651" t="inlineStr">
        <is>
          <t>NOKIA</t>
        </is>
      </c>
      <c r="I651" t="n">
        <v>0.01027300511081984</v>
      </c>
      <c r="J651" t="n">
        <v>0</v>
      </c>
      <c r="K651" t="n">
        <v>0.08878578613278237</v>
      </c>
      <c r="L651" t="n">
        <v>0.4490072114122317</v>
      </c>
      <c r="M651" t="n">
        <v>0.04837094147185981</v>
      </c>
      <c r="N651" t="n">
        <v>0.8908802241326251</v>
      </c>
      <c r="O651" t="n">
        <v>0.3878773816047083</v>
      </c>
      <c r="P651" t="n">
        <v>0.114913092869478</v>
      </c>
      <c r="Q651" t="n">
        <v>0.3173583875732504</v>
      </c>
      <c r="R651" t="inlineStr">
        <is>
          <t>Operationnel</t>
        </is>
      </c>
      <c r="S651" t="inlineStr"/>
      <c r="T651" t="inlineStr"/>
      <c r="U651" t="inlineStr"/>
      <c r="V651" t="inlineStr"/>
      <c r="W651" t="inlineStr"/>
      <c r="X651" t="inlineStr">
        <is>
          <t>{05-25-2026 ticket}: INC-20260525-00018094..Grid Outage</t>
        </is>
      </c>
      <c r="Y651" t="inlineStr">
        <is>
          <t>.Grid Outage</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is>
          <t>{05-25-2026 ticket}: INC-20260525-00018094..Grid Outage</t>
        </is>
      </c>
      <c r="AR651" t="inlineStr"/>
    </row>
    <row r="652">
      <c r="A652" t="inlineStr">
        <is>
          <t>Ngousso-IHS</t>
        </is>
      </c>
      <c r="B652" t="inlineStr">
        <is>
          <t>CTR_130</t>
        </is>
      </c>
      <c r="C652" t="inlineStr">
        <is>
          <t>Yaounde</t>
        </is>
      </c>
      <c r="D652" t="inlineStr">
        <is>
          <t>IHS</t>
        </is>
      </c>
      <c r="E652" t="inlineStr">
        <is>
          <t>Grid-Gen</t>
        </is>
      </c>
      <c r="F652" t="inlineStr">
        <is>
          <t>CENTRE</t>
        </is>
      </c>
      <c r="G652" t="inlineStr">
        <is>
          <t>Yaounde</t>
        </is>
      </c>
      <c r="H652" t="inlineStr">
        <is>
          <t>ZTE</t>
        </is>
      </c>
      <c r="I652" t="n">
        <v>0</v>
      </c>
      <c r="J652" t="n">
        <v>5.586945293394173</v>
      </c>
      <c r="K652" t="n">
        <v>8.160814620769161</v>
      </c>
      <c r="L652" t="n">
        <v>50.62363918352438</v>
      </c>
      <c r="M652" t="n">
        <v>0.4677070937953903</v>
      </c>
      <c r="N652" t="n">
        <v>0.08642774640400624</v>
      </c>
      <c r="O652" t="n">
        <v>0.3111070310188997</v>
      </c>
      <c r="P652" t="n">
        <v>0.3611212344073874</v>
      </c>
      <c r="Q652" t="n">
        <v>0.3051046847756912</v>
      </c>
      <c r="R652" t="inlineStr">
        <is>
          <t>Operationnel</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row>
    <row r="653">
      <c r="A653" t="inlineStr">
        <is>
          <t>Bonabappe-II</t>
        </is>
      </c>
      <c r="B653" t="inlineStr">
        <is>
          <t>LIT_362</t>
        </is>
      </c>
      <c r="C653" t="inlineStr">
        <is>
          <t>Douala</t>
        </is>
      </c>
      <c r="D653" t="inlineStr">
        <is>
          <t>IHS</t>
        </is>
      </c>
      <c r="E653" t="inlineStr">
        <is>
          <t>Grid-Gen</t>
        </is>
      </c>
      <c r="F653" t="inlineStr">
        <is>
          <t>LITTORAL</t>
        </is>
      </c>
      <c r="G653" t="inlineStr">
        <is>
          <t>Douala</t>
        </is>
      </c>
      <c r="H653" t="inlineStr">
        <is>
          <t>ZTE</t>
        </is>
      </c>
      <c r="I653" t="n">
        <v>7.94262027263414</v>
      </c>
      <c r="J653" t="n">
        <v>3.540316551238039</v>
      </c>
      <c r="K653" t="n">
        <v>5.605208413591185</v>
      </c>
      <c r="L653" t="n">
        <v>1.29368524083063</v>
      </c>
      <c r="M653" t="n">
        <v>1.195360454066826</v>
      </c>
      <c r="N653" t="n">
        <v>0.1870935897589615</v>
      </c>
      <c r="O653" t="n">
        <v>0.1867917214929064</v>
      </c>
      <c r="P653" t="n">
        <v>0.4116009144893373</v>
      </c>
      <c r="Q653" t="n">
        <v>0.304070250233283</v>
      </c>
      <c r="R653" t="inlineStr">
        <is>
          <t>Operationnel</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row>
    <row r="654">
      <c r="A654" t="inlineStr">
        <is>
          <t>SongLoulou-IHS</t>
        </is>
      </c>
      <c r="B654" t="inlineStr">
        <is>
          <t>LIT_200</t>
        </is>
      </c>
      <c r="C654" t="inlineStr">
        <is>
          <t>LITTORAL</t>
        </is>
      </c>
      <c r="D654" t="inlineStr">
        <is>
          <t>IHS</t>
        </is>
      </c>
      <c r="E654" t="inlineStr">
        <is>
          <t>Grid-Gen</t>
        </is>
      </c>
      <c r="F654" t="inlineStr">
        <is>
          <t>LITTORAL</t>
        </is>
      </c>
      <c r="G654" t="inlineStr">
        <is>
          <t>Songloulou</t>
        </is>
      </c>
      <c r="H654" t="inlineStr">
        <is>
          <t>NOKIA</t>
        </is>
      </c>
      <c r="I654" t="n">
        <v>0</v>
      </c>
      <c r="J654" t="n">
        <v>0</v>
      </c>
      <c r="K654" t="n">
        <v>0</v>
      </c>
      <c r="L654" t="n">
        <v>0.001961972154968843</v>
      </c>
      <c r="M654" t="n">
        <v>0</v>
      </c>
      <c r="N654" t="n">
        <v>0.4457523510345351</v>
      </c>
      <c r="O654" t="n">
        <v>0.7156513377922288</v>
      </c>
      <c r="P654" t="n">
        <v>0</v>
      </c>
      <c r="Q654" t="n">
        <v>0.3039058029459671</v>
      </c>
      <c r="R654" t="inlineStr">
        <is>
          <t>Operationnel</t>
        </is>
      </c>
      <c r="S654" t="inlineStr"/>
      <c r="T654" t="inlineStr"/>
      <c r="U654" t="inlineStr"/>
      <c r="V654" t="inlineStr"/>
      <c r="W654" t="inlineStr"/>
      <c r="X654" t="inlineStr">
        <is>
          <t>{05-25-2026 retour IHS}: IHS     ;    {05-25-2026 ticket}: INC-20260525-00020511..Grid Outage</t>
        </is>
      </c>
      <c r="Y654" t="inlineStr">
        <is>
          <t>IHS .Grid Outage</t>
        </is>
      </c>
      <c r="Z654" t="inlineStr"/>
      <c r="AA654" t="inlineStr"/>
      <c r="AB654" t="inlineStr"/>
      <c r="AC654" t="inlineStr"/>
      <c r="AD654" t="inlineStr">
        <is>
          <t>{05-25-2026 retour IHS}: IHS</t>
        </is>
      </c>
      <c r="AE654" t="inlineStr"/>
      <c r="AF654" t="inlineStr"/>
      <c r="AG654" t="inlineStr"/>
      <c r="AH654" t="inlineStr"/>
      <c r="AI654" t="inlineStr"/>
      <c r="AJ654" t="inlineStr"/>
      <c r="AK654" t="inlineStr"/>
      <c r="AL654" t="inlineStr"/>
      <c r="AM654" t="inlineStr"/>
      <c r="AN654" t="inlineStr"/>
      <c r="AO654" t="inlineStr"/>
      <c r="AP654" t="inlineStr"/>
      <c r="AQ654" t="inlineStr">
        <is>
          <t>{05-25-2026 ticket}: INC-20260525-00020511..Grid Outage</t>
        </is>
      </c>
      <c r="AR654" t="inlineStr"/>
    </row>
    <row r="655">
      <c r="A655" t="inlineStr">
        <is>
          <t>Bassamba-IHS</t>
        </is>
      </c>
      <c r="B655" t="inlineStr">
        <is>
          <t>OST_143</t>
        </is>
      </c>
      <c r="C655" t="inlineStr">
        <is>
          <t>OUEST</t>
        </is>
      </c>
      <c r="D655" t="inlineStr">
        <is>
          <t>IHS</t>
        </is>
      </c>
      <c r="E655" t="inlineStr">
        <is>
          <t>Grid-Gen</t>
        </is>
      </c>
      <c r="F655" t="inlineStr">
        <is>
          <t>OUEST</t>
        </is>
      </c>
      <c r="G655" t="inlineStr">
        <is>
          <t>Bassamba</t>
        </is>
      </c>
      <c r="H655" t="inlineStr">
        <is>
          <t>NOKIA</t>
        </is>
      </c>
      <c r="I655" t="n">
        <v>0.0001248455482216521</v>
      </c>
      <c r="J655" t="n">
        <v>0.03533129014676112</v>
      </c>
      <c r="K655" t="n">
        <v>0.06254761965910761</v>
      </c>
      <c r="L655" t="n">
        <v>0.003477840271892038</v>
      </c>
      <c r="M655" t="n">
        <v>3.567015663476602e-05</v>
      </c>
      <c r="N655" t="n">
        <v>0.6261015790798892</v>
      </c>
      <c r="O655" t="n">
        <v>0.2560682871432894</v>
      </c>
      <c r="P655" t="n">
        <v>0.2464548767576019</v>
      </c>
      <c r="Q655" t="n">
        <v>0.3038957234959211</v>
      </c>
      <c r="R655" t="inlineStr">
        <is>
          <t>Operationnel</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row>
    <row r="656">
      <c r="A656" t="inlineStr">
        <is>
          <t>Garoua-Camp-Chinois-II</t>
        </is>
      </c>
      <c r="B656" t="inlineStr">
        <is>
          <t>NRD_163</t>
        </is>
      </c>
      <c r="C656" t="inlineStr">
        <is>
          <t>Garoua</t>
        </is>
      </c>
      <c r="D656" t="inlineStr">
        <is>
          <t>CAMUSAT</t>
        </is>
      </c>
      <c r="E656" t="inlineStr">
        <is>
          <t>Medium Grid + GE</t>
        </is>
      </c>
      <c r="F656" t="inlineStr">
        <is>
          <t>NORD</t>
        </is>
      </c>
      <c r="G656" t="inlineStr">
        <is>
          <t>Garoua</t>
        </is>
      </c>
      <c r="H656" t="inlineStr">
        <is>
          <t>Huawei</t>
        </is>
      </c>
      <c r="I656" t="n">
        <v>0</v>
      </c>
      <c r="J656" t="n">
        <v>0</v>
      </c>
      <c r="K656" t="n">
        <v>0</v>
      </c>
      <c r="L656" t="n">
        <v>0</v>
      </c>
      <c r="M656" t="n">
        <v>0</v>
      </c>
      <c r="N656" t="n">
        <v>0.241672961404266</v>
      </c>
      <c r="O656" t="n">
        <v>0.3275230270204106</v>
      </c>
      <c r="P656" t="n">
        <v>0.2958328134883893</v>
      </c>
      <c r="Q656" t="n">
        <v>0.2987375618163814</v>
      </c>
      <c r="R656" t="inlineStr">
        <is>
          <t>Operationnel</t>
        </is>
      </c>
      <c r="S656" t="inlineStr"/>
      <c r="T656" t="inlineStr"/>
      <c r="U656" t="inlineStr"/>
      <c r="V656" t="inlineStr"/>
      <c r="W656" t="inlineStr"/>
      <c r="X656" t="inlineStr">
        <is>
          <t xml:space="preserve">{05-25-2026 retour CAMUSAT}: No power issue </t>
        </is>
      </c>
      <c r="Y656" t="inlineStr">
        <is>
          <t>No power issue</t>
        </is>
      </c>
      <c r="Z656" t="inlineStr"/>
      <c r="AA656" t="inlineStr"/>
      <c r="AB656" t="inlineStr"/>
      <c r="AC656" t="inlineStr">
        <is>
          <t xml:space="preserve">{05-25-2026 retour CAMUSAT}: No power issue </t>
        </is>
      </c>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row>
    <row r="657">
      <c r="A657" t="inlineStr">
        <is>
          <t>Ngouetou</t>
        </is>
      </c>
      <c r="B657" t="inlineStr">
        <is>
          <t>CTR_300</t>
        </is>
      </c>
      <c r="C657" t="inlineStr">
        <is>
          <t>CENTRE</t>
        </is>
      </c>
      <c r="D657" t="inlineStr">
        <is>
          <t>IHS</t>
        </is>
      </c>
      <c r="E657" t="inlineStr">
        <is>
          <t>Hybrid-Gen</t>
        </is>
      </c>
      <c r="F657" t="inlineStr">
        <is>
          <t>CENTRE</t>
        </is>
      </c>
      <c r="G657" t="inlineStr">
        <is>
          <t>Ngouetou</t>
        </is>
      </c>
      <c r="H657" t="inlineStr">
        <is>
          <t>NOKIA</t>
        </is>
      </c>
      <c r="I657" t="n">
        <v>0.07021637140880548</v>
      </c>
      <c r="J657" t="n">
        <v>3.706022263884965</v>
      </c>
      <c r="K657" t="n">
        <v>0</v>
      </c>
      <c r="L657" t="n">
        <v>0.003317324567035302</v>
      </c>
      <c r="M657" t="n">
        <v>0.1100621128591031</v>
      </c>
      <c r="N657" t="n">
        <v>0.463987106778733</v>
      </c>
      <c r="O657" t="n">
        <v>0.2271145077878763</v>
      </c>
      <c r="P657" t="n">
        <v>0.2507567847973253</v>
      </c>
      <c r="Q657" t="n">
        <v>0.2732690699791398</v>
      </c>
      <c r="R657" t="inlineStr">
        <is>
          <t>Operationnel</t>
        </is>
      </c>
      <c r="S657" t="inlineStr"/>
      <c r="T657" t="inlineStr"/>
      <c r="U657" t="inlineStr"/>
      <c r="V657" t="inlineStr"/>
      <c r="W657" t="inlineStr"/>
      <c r="X657" t="inlineStr">
        <is>
          <t>{05-25-2026 retour IHS}: IHS     ;    {05-25-2026 ticket}: INC-20260525-00012735..Others</t>
        </is>
      </c>
      <c r="Y657" t="inlineStr">
        <is>
          <t>IHS .</t>
        </is>
      </c>
      <c r="Z657" t="inlineStr"/>
      <c r="AA657" t="inlineStr"/>
      <c r="AB657" t="inlineStr"/>
      <c r="AC657" t="inlineStr"/>
      <c r="AD657" t="inlineStr">
        <is>
          <t>{05-25-2026 retour IHS}: IHS</t>
        </is>
      </c>
      <c r="AE657" t="inlineStr"/>
      <c r="AF657" t="inlineStr"/>
      <c r="AG657" t="inlineStr"/>
      <c r="AH657" t="inlineStr"/>
      <c r="AI657" t="inlineStr"/>
      <c r="AJ657" t="inlineStr"/>
      <c r="AK657" t="inlineStr"/>
      <c r="AL657" t="inlineStr"/>
      <c r="AM657" t="inlineStr"/>
      <c r="AN657" t="inlineStr"/>
      <c r="AO657" t="inlineStr"/>
      <c r="AP657" t="inlineStr"/>
      <c r="AQ657" t="inlineStr">
        <is>
          <t>{05-25-2026 ticket}: INC-20260525-00012735..Others</t>
        </is>
      </c>
      <c r="AR657" t="inlineStr"/>
    </row>
    <row r="658">
      <c r="A658" t="inlineStr">
        <is>
          <t>Maroua-Marche-Abattoir</t>
        </is>
      </c>
      <c r="B658" t="inlineStr">
        <is>
          <t>EXN_085</t>
        </is>
      </c>
      <c r="C658" t="inlineStr">
        <is>
          <t>Maroua</t>
        </is>
      </c>
      <c r="D658" t="inlineStr">
        <is>
          <t>IHS</t>
        </is>
      </c>
      <c r="E658" t="inlineStr">
        <is>
          <t>Grid-Gen</t>
        </is>
      </c>
      <c r="F658" t="inlineStr">
        <is>
          <t>EXTREME-NORD</t>
        </is>
      </c>
      <c r="G658" t="inlineStr">
        <is>
          <t>Maroua</t>
        </is>
      </c>
      <c r="H658" t="inlineStr">
        <is>
          <t>Huawei</t>
        </is>
      </c>
      <c r="I658" t="n">
        <v>0.7982089300950538</v>
      </c>
      <c r="J658" t="n">
        <v>0.5165930434633725</v>
      </c>
      <c r="K658" t="n">
        <v>4.274622395721864</v>
      </c>
      <c r="L658" t="n">
        <v>4.01233973398624</v>
      </c>
      <c r="M658" t="n">
        <v>0</v>
      </c>
      <c r="N658" t="n">
        <v>0.2728968582265227</v>
      </c>
      <c r="O658" t="n">
        <v>0.243264872786125</v>
      </c>
      <c r="P658" t="n">
        <v>0.2807846703745291</v>
      </c>
      <c r="Q658" t="n">
        <v>0.2670624627246863</v>
      </c>
      <c r="R658" t="inlineStr">
        <is>
          <t>Operationnel</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row>
    <row r="659">
      <c r="A659" t="inlineStr">
        <is>
          <t>Darassalam-IHS</t>
        </is>
      </c>
      <c r="B659" t="inlineStr">
        <is>
          <t>ADM_153</t>
        </is>
      </c>
      <c r="C659" t="inlineStr">
        <is>
          <t>ADAMAOUA</t>
        </is>
      </c>
      <c r="D659" t="inlineStr">
        <is>
          <t>IHS</t>
        </is>
      </c>
      <c r="E659" t="inlineStr">
        <is>
          <t>Hybrid-Gen</t>
        </is>
      </c>
      <c r="F659" t="inlineStr">
        <is>
          <t>ADAMAOUA</t>
        </is>
      </c>
      <c r="G659" t="inlineStr">
        <is>
          <t>Darra Salam</t>
        </is>
      </c>
      <c r="H659" t="inlineStr">
        <is>
          <t>NOKIA</t>
        </is>
      </c>
      <c r="I659" t="n">
        <v>0.4246353796588792</v>
      </c>
      <c r="J659" t="n">
        <v>0</v>
      </c>
      <c r="K659" t="n">
        <v>0.03453029104424292</v>
      </c>
      <c r="L659" t="n">
        <v>0</v>
      </c>
      <c r="M659" t="n">
        <v>0.0832410278535019</v>
      </c>
      <c r="N659" t="n">
        <v>0.5219386592808413</v>
      </c>
      <c r="O659" t="n">
        <v>0.2547843655237788</v>
      </c>
      <c r="P659" t="n">
        <v>0.1970964744663107</v>
      </c>
      <c r="Q659" t="n">
        <v>0.2628503988249555</v>
      </c>
      <c r="R659" t="inlineStr">
        <is>
          <t>Operationnel</t>
        </is>
      </c>
      <c r="S659" t="inlineStr"/>
      <c r="T659" t="inlineStr"/>
      <c r="U659" t="inlineStr"/>
      <c r="V659" t="inlineStr"/>
      <c r="W659" t="inlineStr"/>
      <c r="X659" t="inlineStr">
        <is>
          <t>{05-25-2026 retour IHS}: IHS     ;    {05-25-2026 ticket}: INC-20260525-00017984..Others</t>
        </is>
      </c>
      <c r="Y659" t="inlineStr">
        <is>
          <t>IHS .</t>
        </is>
      </c>
      <c r="Z659" t="inlineStr"/>
      <c r="AA659" t="inlineStr"/>
      <c r="AB659" t="inlineStr"/>
      <c r="AC659" t="inlineStr"/>
      <c r="AD659" t="inlineStr">
        <is>
          <t>{05-25-2026 retour IHS}: IHS</t>
        </is>
      </c>
      <c r="AE659" t="inlineStr"/>
      <c r="AF659" t="inlineStr"/>
      <c r="AG659" t="inlineStr"/>
      <c r="AH659" t="inlineStr"/>
      <c r="AI659" t="inlineStr"/>
      <c r="AJ659" t="inlineStr"/>
      <c r="AK659" t="inlineStr"/>
      <c r="AL659" t="inlineStr"/>
      <c r="AM659" t="inlineStr"/>
      <c r="AN659" t="inlineStr"/>
      <c r="AO659" t="inlineStr"/>
      <c r="AP659" t="inlineStr"/>
      <c r="AQ659" t="inlineStr">
        <is>
          <t>{05-25-2026 ticket}: INC-20260525-00017984..Others</t>
        </is>
      </c>
      <c r="AR659" t="inlineStr"/>
    </row>
    <row r="660">
      <c r="A660" t="inlineStr">
        <is>
          <t>Mvengue</t>
        </is>
      </c>
      <c r="B660" t="inlineStr">
        <is>
          <t>SUD_226</t>
        </is>
      </c>
      <c r="C660" t="inlineStr">
        <is>
          <t>CENTRE</t>
        </is>
      </c>
      <c r="D660" t="inlineStr">
        <is>
          <t>IHS</t>
        </is>
      </c>
      <c r="E660" t="inlineStr">
        <is>
          <t>Grid-Gen</t>
        </is>
      </c>
      <c r="F660" t="inlineStr">
        <is>
          <t>SUD</t>
        </is>
      </c>
      <c r="G660" t="inlineStr">
        <is>
          <t>Mvengue</t>
        </is>
      </c>
      <c r="H660" t="inlineStr">
        <is>
          <t>NOKIA</t>
        </is>
      </c>
      <c r="I660" t="n">
        <v>0</v>
      </c>
      <c r="J660" t="n">
        <v>0.01289476162347735</v>
      </c>
      <c r="K660" t="n">
        <v>0.0227397248546798</v>
      </c>
      <c r="L660" t="n">
        <v>0</v>
      </c>
      <c r="M660" t="n">
        <v>0.0319069551098214</v>
      </c>
      <c r="N660" t="n">
        <v>0.8629036125798832</v>
      </c>
      <c r="O660" t="n">
        <v>0.4122593170605655</v>
      </c>
      <c r="P660" t="n">
        <v>0</v>
      </c>
      <c r="Q660" t="n">
        <v>0.2616227638378805</v>
      </c>
      <c r="R660" t="inlineStr">
        <is>
          <t>Operationnel</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row>
    <row r="661">
      <c r="A661" t="inlineStr">
        <is>
          <t>Kousseri-Crtv</t>
        </is>
      </c>
      <c r="B661" t="inlineStr">
        <is>
          <t>EXN_031</t>
        </is>
      </c>
      <c r="C661" t="inlineStr">
        <is>
          <t>EXTREME-NORD</t>
        </is>
      </c>
      <c r="D661" t="inlineStr">
        <is>
          <t>CAMUSAT</t>
        </is>
      </c>
      <c r="E661" t="inlineStr">
        <is>
          <t>Bad Grid + Solar + GE</t>
        </is>
      </c>
      <c r="F661" t="inlineStr">
        <is>
          <t>EXTREME-NORD</t>
        </is>
      </c>
      <c r="G661" t="inlineStr">
        <is>
          <t>Kousseri</t>
        </is>
      </c>
      <c r="H661" t="inlineStr">
        <is>
          <t>Huawei</t>
        </is>
      </c>
      <c r="I661" t="n">
        <v>1.610525407139168</v>
      </c>
      <c r="J661" t="n">
        <v>6.311673700821554</v>
      </c>
      <c r="K661" t="n">
        <v>0.1522758986739263</v>
      </c>
      <c r="L661" t="n">
        <v>0.8903271096044036</v>
      </c>
      <c r="M661" t="n">
        <v>0</v>
      </c>
      <c r="N661" t="n">
        <v>0.4365100775751471</v>
      </c>
      <c r="O661" t="n">
        <v>0.5657409107445829</v>
      </c>
      <c r="P661" t="n">
        <v>0.0159031512453296</v>
      </c>
      <c r="Q661" t="n">
        <v>0.2605526591388368</v>
      </c>
      <c r="R661" t="inlineStr">
        <is>
          <t>Insecurity</t>
        </is>
      </c>
      <c r="S661" t="inlineStr"/>
      <c r="T661" t="inlineStr"/>
      <c r="U661" t="inlineStr"/>
      <c r="V661" t="inlineStr"/>
      <c r="W661" t="inlineStr"/>
      <c r="X66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661"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661" t="inlineStr"/>
      <c r="AA66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row>
    <row r="662">
      <c r="A662" t="inlineStr">
        <is>
          <t>Kumba-Pulletin-IHS</t>
        </is>
      </c>
      <c r="B662" t="inlineStr">
        <is>
          <t>SUO_115</t>
        </is>
      </c>
      <c r="C662" t="inlineStr">
        <is>
          <t>SUD-OUEST</t>
        </is>
      </c>
      <c r="D662" t="inlineStr">
        <is>
          <t>IHS</t>
        </is>
      </c>
      <c r="E662" t="inlineStr">
        <is>
          <t>Grid-Gen</t>
        </is>
      </c>
      <c r="F662" t="inlineStr">
        <is>
          <t>SUD-OUEST</t>
        </is>
      </c>
      <c r="G662" t="inlineStr">
        <is>
          <t>Kumba</t>
        </is>
      </c>
      <c r="H662" t="inlineStr">
        <is>
          <t>Huawei</t>
        </is>
      </c>
      <c r="I662" t="n">
        <v>0</v>
      </c>
      <c r="J662" t="n">
        <v>0</v>
      </c>
      <c r="K662" t="n">
        <v>0</v>
      </c>
      <c r="L662" t="n">
        <v>0</v>
      </c>
      <c r="M662" t="n">
        <v>0</v>
      </c>
      <c r="N662" t="n">
        <v>0.3578258575830605</v>
      </c>
      <c r="O662" t="n">
        <v>0.6177514611830226</v>
      </c>
      <c r="P662" t="n">
        <v>0</v>
      </c>
      <c r="Q662" t="n">
        <v>0.2584837900540188</v>
      </c>
      <c r="R662" t="inlineStr">
        <is>
          <t>Operationnel</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row>
    <row r="663">
      <c r="A663" t="inlineStr">
        <is>
          <t>New-Town-Aeroport-IHS</t>
        </is>
      </c>
      <c r="B663" t="inlineStr">
        <is>
          <t>LIT_428</t>
        </is>
      </c>
      <c r="C663" t="inlineStr">
        <is>
          <t>Douala</t>
        </is>
      </c>
      <c r="D663" t="inlineStr">
        <is>
          <t>IHS</t>
        </is>
      </c>
      <c r="E663" t="inlineStr">
        <is>
          <t>Grid-Gen</t>
        </is>
      </c>
      <c r="F663" t="inlineStr">
        <is>
          <t>LITTORAL</t>
        </is>
      </c>
      <c r="G663" t="inlineStr">
        <is>
          <t>Douala</t>
        </is>
      </c>
      <c r="H663" t="inlineStr">
        <is>
          <t>ZTE</t>
        </is>
      </c>
      <c r="I663" t="n">
        <v>0.8228213381730596</v>
      </c>
      <c r="J663" t="n">
        <v>0.000535052349522303</v>
      </c>
      <c r="K663" t="n">
        <v>0.7672472341360549</v>
      </c>
      <c r="L663" t="n">
        <v>1.452667128951897</v>
      </c>
      <c r="M663" t="n">
        <v>0.09233220044915857</v>
      </c>
      <c r="N663" t="n">
        <v>0.06057435983517778</v>
      </c>
      <c r="O663" t="n">
        <v>0.004781358058692874</v>
      </c>
      <c r="P663" t="n">
        <v>0.4728878973530585</v>
      </c>
      <c r="Q663" t="n">
        <v>0.2568607979271358</v>
      </c>
      <c r="R663" t="inlineStr">
        <is>
          <t>Operationnel</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row>
    <row r="664">
      <c r="A664" t="inlineStr">
        <is>
          <t>Garoua-Roum-Adja-Camp-Sic</t>
        </is>
      </c>
      <c r="B664" t="inlineStr">
        <is>
          <t>NRD_084</t>
        </is>
      </c>
      <c r="C664" t="inlineStr">
        <is>
          <t>Garoua</t>
        </is>
      </c>
      <c r="D664" t="inlineStr">
        <is>
          <t>IHS</t>
        </is>
      </c>
      <c r="E664" t="inlineStr">
        <is>
          <t>Grid-Gen</t>
        </is>
      </c>
      <c r="F664" t="inlineStr">
        <is>
          <t>NORD</t>
        </is>
      </c>
      <c r="G664" t="inlineStr">
        <is>
          <t>Garoua</t>
        </is>
      </c>
      <c r="H664" t="inlineStr">
        <is>
          <t>Huawei</t>
        </is>
      </c>
      <c r="I664" t="n">
        <v>0</v>
      </c>
      <c r="J664" t="n">
        <v>4.087318403232572</v>
      </c>
      <c r="K664" t="n">
        <v>1.136647376245959</v>
      </c>
      <c r="L664" t="n">
        <v>0.05716142600725389</v>
      </c>
      <c r="M664" t="n">
        <v>0.2473903713405986</v>
      </c>
      <c r="N664" t="n">
        <v>0.2772682037816386</v>
      </c>
      <c r="O664" t="n">
        <v>0.5249399886437432</v>
      </c>
      <c r="P664" t="n">
        <v>0.06583562612313866</v>
      </c>
      <c r="Q664" t="n">
        <v>0.250154808479795</v>
      </c>
      <c r="R664" t="inlineStr">
        <is>
          <t>Operationnel</t>
        </is>
      </c>
      <c r="S664" t="inlineStr"/>
      <c r="T664" t="inlineStr"/>
      <c r="U664" t="inlineStr"/>
      <c r="V664" t="inlineStr"/>
      <c r="W664" t="inlineStr"/>
      <c r="X664" t="inlineStr">
        <is>
          <t>{None hourly IHS}: 25/05/2026 10:11..0:49:00..32..FME is informed and managing</t>
        </is>
      </c>
      <c r="Y664" t="inlineStr">
        <is>
          <t>25/05/2026 10 11.0 49 00.32.FME is informed and managing</t>
        </is>
      </c>
      <c r="Z664" t="inlineStr"/>
      <c r="AA664" t="inlineStr"/>
      <c r="AB664" t="inlineStr"/>
      <c r="AC664" t="inlineStr"/>
      <c r="AD664" t="inlineStr"/>
      <c r="AE664" t="inlineStr">
        <is>
          <t>{None hourly IHS}: 25/05/2026 10:11..0:49:00..32..FME is informed and managing</t>
        </is>
      </c>
      <c r="AF664" t="inlineStr"/>
      <c r="AG664" t="inlineStr"/>
      <c r="AH664" t="inlineStr"/>
      <c r="AI664" t="inlineStr"/>
      <c r="AJ664" t="inlineStr"/>
      <c r="AK664" t="inlineStr"/>
      <c r="AL664" t="inlineStr"/>
      <c r="AM664" t="inlineStr"/>
      <c r="AN664" t="inlineStr"/>
      <c r="AO664" t="inlineStr"/>
      <c r="AP664" t="inlineStr"/>
      <c r="AQ664" t="inlineStr"/>
      <c r="AR664" t="inlineStr"/>
    </row>
    <row r="665">
      <c r="A665" t="inlineStr">
        <is>
          <t>Mbong</t>
        </is>
      </c>
      <c r="B665" t="inlineStr">
        <is>
          <t>ADM_042</t>
        </is>
      </c>
      <c r="C665" t="inlineStr">
        <is>
          <t>ADAMAOUA</t>
        </is>
      </c>
      <c r="D665" t="inlineStr">
        <is>
          <t>IHS</t>
        </is>
      </c>
      <c r="E665" t="inlineStr">
        <is>
          <t>Hybrid-Gen</t>
        </is>
      </c>
      <c r="F665" t="inlineStr">
        <is>
          <t>ADAMAOUA</t>
        </is>
      </c>
      <c r="G665" t="inlineStr">
        <is>
          <t>Mbong</t>
        </is>
      </c>
      <c r="H665" t="inlineStr">
        <is>
          <t>NOKIA</t>
        </is>
      </c>
      <c r="I665" t="n">
        <v>0.0002140209398091265</v>
      </c>
      <c r="J665" t="n">
        <v>0</v>
      </c>
      <c r="K665" t="n">
        <v>0</v>
      </c>
      <c r="L665" t="n">
        <v>0.001070290513369213</v>
      </c>
      <c r="M665" t="n">
        <v>0.1053755517293656</v>
      </c>
      <c r="N665" t="n">
        <v>0.4467515157328473</v>
      </c>
      <c r="O665" t="n">
        <v>0.2236871944670692</v>
      </c>
      <c r="P665" t="n">
        <v>0.2077498122150406</v>
      </c>
      <c r="Q665" t="n">
        <v>0.2472295964240276</v>
      </c>
      <c r="R665" t="inlineStr">
        <is>
          <t>Operationnel</t>
        </is>
      </c>
      <c r="S665" t="inlineStr"/>
      <c r="T665" t="inlineStr"/>
      <c r="U665" t="inlineStr"/>
      <c r="V665" t="inlineStr"/>
      <c r="W665" t="inlineStr"/>
      <c r="X665" t="inlineStr">
        <is>
          <t>{05-25-2026 ticket}: INC-20260525-00018046..Others</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is>
          <t>{05-25-2026 ticket}: INC-20260525-00018046..Others</t>
        </is>
      </c>
      <c r="AR665" t="inlineStr"/>
    </row>
    <row r="666">
      <c r="A666" t="inlineStr">
        <is>
          <t>Wadjiri-IHS</t>
        </is>
      </c>
      <c r="B666" t="inlineStr">
        <is>
          <t>ADM_103</t>
        </is>
      </c>
      <c r="C666" t="inlineStr">
        <is>
          <t>ADAMAOUA</t>
        </is>
      </c>
      <c r="D666" t="inlineStr">
        <is>
          <t>IHS</t>
        </is>
      </c>
      <c r="E666" t="inlineStr">
        <is>
          <t>Hybrid-Gen</t>
        </is>
      </c>
      <c r="F666" t="inlineStr">
        <is>
          <t>ADAMAOUA</t>
        </is>
      </c>
      <c r="G666" t="inlineStr">
        <is>
          <t>Wadjiri</t>
        </is>
      </c>
      <c r="H666" t="inlineStr">
        <is>
          <t>NOKIA</t>
        </is>
      </c>
      <c r="I666" t="n">
        <v>0.009880633387837536</v>
      </c>
      <c r="J666" t="n">
        <v>0</v>
      </c>
      <c r="K666" t="n">
        <v>0.0008027178850268243</v>
      </c>
      <c r="L666" t="n">
        <v>0.02775294579910569</v>
      </c>
      <c r="M666" t="n">
        <v>0.03768747153507219</v>
      </c>
      <c r="N666" t="n">
        <v>0.6213555467629062</v>
      </c>
      <c r="O666" t="n">
        <v>0.1636476387074993</v>
      </c>
      <c r="P666" t="n">
        <v>0.1783888965497612</v>
      </c>
      <c r="Q666" t="n">
        <v>0.236695682961252</v>
      </c>
      <c r="R666" t="inlineStr">
        <is>
          <t>Operationnel</t>
        </is>
      </c>
      <c r="S666" t="inlineStr"/>
      <c r="T666" t="inlineStr"/>
      <c r="U666" t="inlineStr"/>
      <c r="V666" t="inlineStr"/>
      <c r="W666" t="inlineStr"/>
      <c r="X666" t="inlineStr">
        <is>
          <t>{05-25-2026 ticket}: INC-20260525-00011115..Others</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is>
          <t>{05-25-2026 ticket}: INC-20260525-00011115..Others</t>
        </is>
      </c>
      <c r="AR666" t="inlineStr"/>
    </row>
    <row r="667">
      <c r="A667" t="inlineStr">
        <is>
          <t>Matafal</t>
        </is>
      </c>
      <c r="B667" t="inlineStr">
        <is>
          <t>EXN_207</t>
        </is>
      </c>
      <c r="C667" t="inlineStr">
        <is>
          <t>EXTREME-NORD</t>
        </is>
      </c>
      <c r="D667" t="inlineStr">
        <is>
          <t>IHS</t>
        </is>
      </c>
      <c r="E667" t="inlineStr">
        <is>
          <t>Hybrid-Gen</t>
        </is>
      </c>
      <c r="F667" t="inlineStr">
        <is>
          <t>EXTREME-NORD</t>
        </is>
      </c>
      <c r="G667" t="inlineStr">
        <is>
          <t>Matafal</t>
        </is>
      </c>
      <c r="H667" t="inlineStr">
        <is>
          <t>NOKIA</t>
        </is>
      </c>
      <c r="I667" t="n">
        <v>0.7497866924633239</v>
      </c>
      <c r="J667" t="n">
        <v>1.122076117260646</v>
      </c>
      <c r="K667" t="n">
        <v>3.161578877047556</v>
      </c>
      <c r="L667" t="n">
        <v>9.763370113799256</v>
      </c>
      <c r="M667" t="n">
        <v>1.736851279247471</v>
      </c>
      <c r="N667" t="n">
        <v>0</v>
      </c>
      <c r="O667" t="n">
        <v>0.6784608451081492</v>
      </c>
      <c r="P667" t="n">
        <v>0</v>
      </c>
      <c r="Q667" t="n">
        <v>0.2277671310813797</v>
      </c>
      <c r="R667" t="inlineStr">
        <is>
          <t>Insecurity</t>
        </is>
      </c>
      <c r="S667" t="inlineStr"/>
      <c r="T667" t="inlineStr"/>
      <c r="U667" t="inlineStr"/>
      <c r="V667" t="inlineStr"/>
      <c r="W667" t="inlineStr"/>
      <c r="X667" t="inlineStr">
        <is>
          <t>{05-25-2026 incident}:  {05-18-2026 groupe whatsapp incident}: impacted by    Kaele-MTN-IHS_EXN_160) ,Power issue || Action retour IHS attendu      ;    {05-25-2026 ticket}: INC-20260525-00028185</t>
        </is>
      </c>
      <c r="Y667" t="inlineStr">
        <is>
          <t>{05-25-2026 incident} {05-18-2026 groupe whatsapp incident} impacted by Kaele-MTN-IHS_EXN_160) ,Power issue || Action retour IHS attendu</t>
        </is>
      </c>
      <c r="Z667" t="inlineStr"/>
      <c r="AA667" t="inlineStr">
        <is>
          <t xml:space="preserve">{05-25-2026 incident}:  {05-18-2026 groupe whatsapp incident}: impacted by    Kaele-MTN-IHS_EXN_160) ,Power issue || Action retour IHS attendu </t>
        </is>
      </c>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is>
          <t>{05-25-2026 ticket}: INC-20260525-00028185</t>
        </is>
      </c>
      <c r="AR667" t="inlineStr"/>
    </row>
    <row r="668">
      <c r="A668" t="inlineStr">
        <is>
          <t>Danfili-MTN-IHS</t>
        </is>
      </c>
      <c r="B668" t="inlineStr">
        <is>
          <t>ADM_122</t>
        </is>
      </c>
      <c r="C668" t="inlineStr">
        <is>
          <t>ADAMAOUA</t>
        </is>
      </c>
      <c r="D668" t="inlineStr">
        <is>
          <t>IHS</t>
        </is>
      </c>
      <c r="E668" t="inlineStr">
        <is>
          <t>Gen-Solar AER</t>
        </is>
      </c>
      <c r="F668" t="inlineStr">
        <is>
          <t>ADAMAOUA</t>
        </is>
      </c>
      <c r="G668" t="inlineStr">
        <is>
          <t>Danfili</t>
        </is>
      </c>
      <c r="H668" t="inlineStr">
        <is>
          <t>NOKIA</t>
        </is>
      </c>
      <c r="I668" t="n">
        <v>0.0293743739887509</v>
      </c>
      <c r="J668" t="n">
        <v>0.05096264405342782</v>
      </c>
      <c r="K668" t="n">
        <v>0.2177522977910755</v>
      </c>
      <c r="L668" t="n">
        <v>0.004620013056979551</v>
      </c>
      <c r="M668" t="n">
        <v>0.2478541989879613</v>
      </c>
      <c r="N668" t="n">
        <v>0.4212728159258859</v>
      </c>
      <c r="O668" t="n">
        <v>0.3666344363115897</v>
      </c>
      <c r="P668" t="n">
        <v>0.08495360794279347</v>
      </c>
      <c r="Q668" t="n">
        <v>0.2275434627424223</v>
      </c>
      <c r="R668" t="inlineStr">
        <is>
          <t>Operationnel</t>
        </is>
      </c>
      <c r="S668" t="inlineStr"/>
      <c r="T668" t="inlineStr"/>
      <c r="U668" t="inlineStr"/>
      <c r="V668" t="inlineStr"/>
      <c r="W668" t="inlineStr"/>
      <c r="X668" t="inlineStr">
        <is>
          <t>{05-25-2026 retour IHS}: IHS     ;    {05-25-2026 ticket}: INC-20260525-00018079..Grid Outage</t>
        </is>
      </c>
      <c r="Y668" t="inlineStr">
        <is>
          <t>IHS .Grid Outage</t>
        </is>
      </c>
      <c r="Z668" t="inlineStr"/>
      <c r="AA668" t="inlineStr"/>
      <c r="AB668" t="inlineStr"/>
      <c r="AC668" t="inlineStr"/>
      <c r="AD668" t="inlineStr">
        <is>
          <t>{05-25-2026 retour IHS}: IHS</t>
        </is>
      </c>
      <c r="AE668" t="inlineStr"/>
      <c r="AF668" t="inlineStr"/>
      <c r="AG668" t="inlineStr"/>
      <c r="AH668" t="inlineStr"/>
      <c r="AI668" t="inlineStr"/>
      <c r="AJ668" t="inlineStr"/>
      <c r="AK668" t="inlineStr"/>
      <c r="AL668" t="inlineStr"/>
      <c r="AM668" t="inlineStr"/>
      <c r="AN668" t="inlineStr"/>
      <c r="AO668" t="inlineStr"/>
      <c r="AP668" t="inlineStr"/>
      <c r="AQ668" t="inlineStr">
        <is>
          <t>{05-25-2026 ticket}: INC-20260525-00018079..Grid Outage</t>
        </is>
      </c>
      <c r="AR668" t="inlineStr"/>
    </row>
    <row r="669">
      <c r="A669" t="inlineStr">
        <is>
          <t>Towe-South-IHS</t>
        </is>
      </c>
      <c r="B669" t="inlineStr">
        <is>
          <t>SUO_193</t>
        </is>
      </c>
      <c r="C669" t="inlineStr">
        <is>
          <t>SUD-OUEST</t>
        </is>
      </c>
      <c r="D669" t="inlineStr">
        <is>
          <t>IHS</t>
        </is>
      </c>
      <c r="E669" t="inlineStr">
        <is>
          <t>Grid-Gen</t>
        </is>
      </c>
      <c r="F669" t="inlineStr">
        <is>
          <t>SUD-OUEST</t>
        </is>
      </c>
      <c r="G669" t="inlineStr">
        <is>
          <t>Limbe</t>
        </is>
      </c>
      <c r="H669" t="inlineStr">
        <is>
          <t>Huawei</t>
        </is>
      </c>
      <c r="I669" t="n">
        <v>0</v>
      </c>
      <c r="J669" t="n">
        <v>0</v>
      </c>
      <c r="K669" t="n">
        <v>1.151182965074636</v>
      </c>
      <c r="L669" t="n">
        <v>1.077862958111822</v>
      </c>
      <c r="M669" t="n">
        <v>2.23676851209789</v>
      </c>
      <c r="N669" t="n">
        <v>0.4159023056724578</v>
      </c>
      <c r="O669" t="n">
        <v>0.3538204963432174</v>
      </c>
      <c r="P669" t="n">
        <v>0.09405089446162671</v>
      </c>
      <c r="Q669" t="n">
        <v>0.2272188977636239</v>
      </c>
      <c r="R669" t="inlineStr">
        <is>
          <t>Operationnel</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row>
    <row r="670">
      <c r="A670" t="inlineStr">
        <is>
          <t>Kuruda</t>
        </is>
      </c>
      <c r="B670" t="inlineStr">
        <is>
          <t>EXN_208</t>
        </is>
      </c>
      <c r="C670" t="inlineStr">
        <is>
          <t>EXTREME-NORD</t>
        </is>
      </c>
      <c r="D670" t="inlineStr">
        <is>
          <t>IHS</t>
        </is>
      </c>
      <c r="E670" t="inlineStr">
        <is>
          <t>Hybrid-Gen</t>
        </is>
      </c>
      <c r="F670" t="inlineStr">
        <is>
          <t>EXTREME-NORD</t>
        </is>
      </c>
      <c r="G670" t="inlineStr">
        <is>
          <t>Kuruda</t>
        </is>
      </c>
      <c r="H670" t="inlineStr">
        <is>
          <t>NOKIA</t>
        </is>
      </c>
      <c r="I670" t="n">
        <v>0.8359836259712985</v>
      </c>
      <c r="J670" t="n">
        <v>0</v>
      </c>
      <c r="K670" t="n">
        <v>19.75181932030567</v>
      </c>
      <c r="L670" t="n">
        <v>0.03620939988707843</v>
      </c>
      <c r="M670" t="n">
        <v>1.432126833923766</v>
      </c>
      <c r="N670" t="n">
        <v>0</v>
      </c>
      <c r="O670" t="n">
        <v>0.660662537895053</v>
      </c>
      <c r="P670" t="n">
        <v>0</v>
      </c>
      <c r="Q670" t="n">
        <v>0.2217920340639745</v>
      </c>
      <c r="R670" t="inlineStr">
        <is>
          <t>Insecurity</t>
        </is>
      </c>
      <c r="S670" t="inlineStr"/>
      <c r="T670" t="inlineStr"/>
      <c r="U670" t="inlineStr"/>
      <c r="V670" t="inlineStr"/>
      <c r="W670" t="inlineStr"/>
      <c r="X670" t="inlineStr">
        <is>
          <t>{05/25/2026 cell nokia}: 25/05/2026 ;Check and clean jumper, port 5 of ARGA
23/05/2026 : Need BO RAN analysis      ;    {05/25/2026 cell nokia}: 25/05/2026 ;Check and clean jumper, port 5 of ARGA
23/05/2026 : Need BO RAN analysis      ;    {05-25-2026 ticket}: INC-20260525-00013507..Grid Outage</t>
        </is>
      </c>
      <c r="Y670" t="inlineStr">
        <is>
          <t>25/05/2026 Check and clean jumper, port 5 of ARGA
23/05/2026 Need BO RAN analysis 25/05/2026 Check and clean jumper, port 5 of ARGA
23/05/2026 Need BO RAN analysis .Grid Outage</t>
        </is>
      </c>
      <c r="Z670" t="inlineStr"/>
      <c r="AA670" t="inlineStr"/>
      <c r="AB670" t="inlineStr"/>
      <c r="AC670" t="inlineStr"/>
      <c r="AD670" t="inlineStr"/>
      <c r="AE670" t="inlineStr"/>
      <c r="AF670" t="inlineStr">
        <is>
          <t xml:space="preserve">{05/25/2026 cell nokia}: 25/05/2026 ;Check and clean jumper, port 5 of ARGA
23/05/2026 : Need BO RAN analysis </t>
        </is>
      </c>
      <c r="AG670" t="inlineStr">
        <is>
          <t xml:space="preserve">{05/25/2026 cell nokia}: 25/05/2026 ;Check and clean jumper, port 5 of ARGA
23/05/2026 : Need BO RAN analysis </t>
        </is>
      </c>
      <c r="AH670" t="inlineStr"/>
      <c r="AI670" t="inlineStr"/>
      <c r="AJ670" t="inlineStr"/>
      <c r="AK670" t="inlineStr"/>
      <c r="AL670" t="inlineStr"/>
      <c r="AM670" t="inlineStr"/>
      <c r="AN670" t="inlineStr"/>
      <c r="AO670" t="inlineStr"/>
      <c r="AP670" t="inlineStr"/>
      <c r="AQ670" t="inlineStr">
        <is>
          <t>{05-25-2026 ticket}: INC-20260525-00013507..Grid Outage</t>
        </is>
      </c>
      <c r="AR670" t="inlineStr"/>
    </row>
    <row r="671">
      <c r="A671" t="inlineStr">
        <is>
          <t>Elobi-Mokolo-MTN-IHS</t>
        </is>
      </c>
      <c r="B671" t="inlineStr">
        <is>
          <t>CTR_470</t>
        </is>
      </c>
      <c r="C671" t="inlineStr">
        <is>
          <t>Yaounde</t>
        </is>
      </c>
      <c r="D671" t="inlineStr">
        <is>
          <t>IHS</t>
        </is>
      </c>
      <c r="E671" t="inlineStr">
        <is>
          <t>Grid-Gen</t>
        </is>
      </c>
      <c r="F671" t="inlineStr">
        <is>
          <t>CENTRE</t>
        </is>
      </c>
      <c r="G671" t="inlineStr">
        <is>
          <t>Yaounde</t>
        </is>
      </c>
      <c r="H671" t="inlineStr">
        <is>
          <t>ZTE</t>
        </is>
      </c>
      <c r="I671" t="n">
        <v>0.06513370601512995</v>
      </c>
      <c r="J671" t="n">
        <v>0.1595347755491061</v>
      </c>
      <c r="K671" t="n">
        <v>0.1388995899358791</v>
      </c>
      <c r="L671" t="n">
        <v>0.02687746302431567</v>
      </c>
      <c r="M671" t="n">
        <v>0.03627654929758344</v>
      </c>
      <c r="N671" t="n">
        <v>0.1498747047468316</v>
      </c>
      <c r="O671" t="n">
        <v>0.07937054377428947</v>
      </c>
      <c r="P671" t="n">
        <v>0.3319825572869133</v>
      </c>
      <c r="Q671" t="n">
        <v>0.221172806214027</v>
      </c>
      <c r="R671" t="inlineStr">
        <is>
          <t>Operationnel</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row>
    <row r="672">
      <c r="A672" t="inlineStr">
        <is>
          <t>Bourha</t>
        </is>
      </c>
      <c r="B672" t="inlineStr">
        <is>
          <t>EXN_019</t>
        </is>
      </c>
      <c r="C672" t="inlineStr">
        <is>
          <t>EXTREME-NORD</t>
        </is>
      </c>
      <c r="D672" t="inlineStr">
        <is>
          <t>IHS</t>
        </is>
      </c>
      <c r="E672" t="inlineStr">
        <is>
          <t>Grid-Gen</t>
        </is>
      </c>
      <c r="F672" t="inlineStr">
        <is>
          <t>EXTREME-NORD</t>
        </is>
      </c>
      <c r="G672" t="inlineStr">
        <is>
          <t>Bourrah</t>
        </is>
      </c>
      <c r="H672" t="inlineStr">
        <is>
          <t>NOKIA</t>
        </is>
      </c>
      <c r="I672" t="n">
        <v>0.5382626636190084</v>
      </c>
      <c r="J672" t="n">
        <v>0</v>
      </c>
      <c r="K672" t="n">
        <v>0.307985133014628</v>
      </c>
      <c r="L672" t="n">
        <v>0.1747935118755289</v>
      </c>
      <c r="M672" t="n">
        <v>0.01632004110724034</v>
      </c>
      <c r="N672" t="n">
        <v>0.7418797884968167</v>
      </c>
      <c r="O672" t="n">
        <v>0.3410899471882787</v>
      </c>
      <c r="P672" t="n">
        <v>0</v>
      </c>
      <c r="Q672" t="n">
        <v>0.2204481946135117</v>
      </c>
      <c r="R672" t="inlineStr">
        <is>
          <t>Insecurity</t>
        </is>
      </c>
      <c r="S672" t="inlineStr"/>
      <c r="T672" t="inlineStr"/>
      <c r="U672" t="inlineStr"/>
      <c r="V672" t="inlineStr"/>
      <c r="W672" t="inlineStr"/>
      <c r="X672" t="inlineStr">
        <is>
          <t>{05-25-2026 ticket}: INC-20260525-00010585..Grid Outage</t>
        </is>
      </c>
      <c r="Y672" t="inlineStr">
        <is>
          <t>.Grid Outage</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is>
          <t>{05-25-2026 ticket}: INC-20260525-00010585..Grid Outage</t>
        </is>
      </c>
      <c r="AR672" t="inlineStr"/>
    </row>
    <row r="673">
      <c r="A673" t="inlineStr">
        <is>
          <t>Garoua-Katasko-MTN-IHS</t>
        </is>
      </c>
      <c r="B673" t="inlineStr">
        <is>
          <t>NRD_116</t>
        </is>
      </c>
      <c r="C673" t="inlineStr">
        <is>
          <t>Garoua</t>
        </is>
      </c>
      <c r="D673" t="inlineStr">
        <is>
          <t>IHS</t>
        </is>
      </c>
      <c r="E673" t="inlineStr">
        <is>
          <t>Grid-Gen</t>
        </is>
      </c>
      <c r="F673" t="inlineStr">
        <is>
          <t>NORD</t>
        </is>
      </c>
      <c r="G673" t="inlineStr">
        <is>
          <t>Garoua</t>
        </is>
      </c>
      <c r="H673" t="inlineStr">
        <is>
          <t>Huawei</t>
        </is>
      </c>
      <c r="I673" t="n">
        <v>0.01908353379961362</v>
      </c>
      <c r="J673" t="n">
        <v>0.4785151512557322</v>
      </c>
      <c r="K673" t="n">
        <v>0</v>
      </c>
      <c r="L673" t="n">
        <v>0.2090271178798801</v>
      </c>
      <c r="M673" t="n">
        <v>0.2085812409219451</v>
      </c>
      <c r="N673" t="n">
        <v>0.3353446518710358</v>
      </c>
      <c r="O673" t="n">
        <v>0.4231501881942531</v>
      </c>
      <c r="P673" t="n">
        <v>0.03505533339024266</v>
      </c>
      <c r="Q673" t="n">
        <v>0.2082245393555972</v>
      </c>
      <c r="R673" t="inlineStr">
        <is>
          <t>Operationnel</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row>
    <row r="674">
      <c r="A674" t="inlineStr">
        <is>
          <t>Mberem-Ngop</t>
        </is>
      </c>
      <c r="B674" t="inlineStr">
        <is>
          <t>ADM_133</t>
        </is>
      </c>
      <c r="C674" t="inlineStr">
        <is>
          <t>ADAMAOUA</t>
        </is>
      </c>
      <c r="D674" t="inlineStr">
        <is>
          <t>CAMUSAT</t>
        </is>
      </c>
      <c r="E674" t="inlineStr">
        <is>
          <t>Hybrid Solar - S3</t>
        </is>
      </c>
      <c r="F674" t="inlineStr">
        <is>
          <t>ADAMAOUA</t>
        </is>
      </c>
      <c r="G674" t="inlineStr">
        <is>
          <t>Nganha</t>
        </is>
      </c>
      <c r="H674" t="inlineStr">
        <is>
          <t>NOKIA</t>
        </is>
      </c>
      <c r="I674" t="n">
        <v>0</v>
      </c>
      <c r="J674" t="n">
        <v>0.02818250017893548</v>
      </c>
      <c r="K674" t="n">
        <v>0.02111922573666033</v>
      </c>
      <c r="L674" t="n">
        <v>0</v>
      </c>
      <c r="M674" t="n">
        <v>0.0215643025627103</v>
      </c>
      <c r="N674" t="n">
        <v>0.648582784791914</v>
      </c>
      <c r="O674" t="n">
        <v>0.3342218267246224</v>
      </c>
      <c r="P674" t="n">
        <v>0</v>
      </c>
      <c r="Q674" t="n">
        <v>0.2048196838537528</v>
      </c>
      <c r="R674" t="inlineStr">
        <is>
          <t>Operationnel</t>
        </is>
      </c>
      <c r="S674" t="inlineStr"/>
      <c r="T674" t="inlineStr"/>
      <c r="U674" t="inlineStr"/>
      <c r="V674" t="inlineStr"/>
      <c r="W674" t="inlineStr"/>
      <c r="X674" t="inlineStr">
        <is>
          <t xml:space="preserve">{05-25-2026 retour CAMUSAT}: No power issue </t>
        </is>
      </c>
      <c r="Y674" t="inlineStr">
        <is>
          <t>No power issue</t>
        </is>
      </c>
      <c r="Z674" t="inlineStr"/>
      <c r="AA674" t="inlineStr"/>
      <c r="AB674" t="inlineStr"/>
      <c r="AC674" t="inlineStr">
        <is>
          <t xml:space="preserve">{05-25-2026 retour CAMUSAT}: No power issue </t>
        </is>
      </c>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row>
    <row r="675">
      <c r="A675" t="inlineStr">
        <is>
          <t>Hile-Alifa-IHS</t>
        </is>
      </c>
      <c r="B675" t="inlineStr">
        <is>
          <t>EXN_224</t>
        </is>
      </c>
      <c r="C675" t="inlineStr">
        <is>
          <t>EXTREME-NORD</t>
        </is>
      </c>
      <c r="D675" t="inlineStr">
        <is>
          <t>IHS</t>
        </is>
      </c>
      <c r="E675" t="inlineStr">
        <is>
          <t>Hybrid-Gen</t>
        </is>
      </c>
      <c r="F675" t="inlineStr">
        <is>
          <t>EXTREME-NORD</t>
        </is>
      </c>
      <c r="G675" t="inlineStr">
        <is>
          <t>Hile-Alifa</t>
        </is>
      </c>
      <c r="H675" t="inlineStr">
        <is>
          <t>NOKIA</t>
        </is>
      </c>
      <c r="I675" t="n">
        <v>3.710124331897966</v>
      </c>
      <c r="J675" t="n">
        <v>8.48512768489269</v>
      </c>
      <c r="K675" t="n">
        <v>0.2502700918909987</v>
      </c>
      <c r="L675" t="n">
        <v>3.627375621572691</v>
      </c>
      <c r="M675" t="n">
        <v>7.506590694269259</v>
      </c>
      <c r="N675" t="n">
        <v>0.6378417642850577</v>
      </c>
      <c r="O675" t="n">
        <v>0.3296671530067394</v>
      </c>
      <c r="P675" t="n">
        <v>0</v>
      </c>
      <c r="Q675" t="n">
        <v>0.2017568106176817</v>
      </c>
      <c r="R675" t="inlineStr">
        <is>
          <t>Insecurity</t>
        </is>
      </c>
      <c r="S675" t="inlineStr"/>
      <c r="T675" t="inlineStr"/>
      <c r="U675" t="inlineStr"/>
      <c r="V675" t="inlineStr"/>
      <c r="W675" t="inlineStr"/>
      <c r="X675"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ticket}: INC-20260525-00009566..Others</t>
        </is>
      </c>
      <c r="Y675"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t>
        </is>
      </c>
      <c r="Z675" t="inlineStr"/>
      <c r="AA675"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is>
          <t>{05-25-2026 ticket}: INC-20260525-00009566..Others</t>
        </is>
      </c>
      <c r="AR675" t="inlineStr"/>
    </row>
    <row r="676">
      <c r="A676" t="inlineStr">
        <is>
          <t>Buea-Bakwere-Town-MTN</t>
        </is>
      </c>
      <c r="B676" t="inlineStr">
        <is>
          <t>SUO_222</t>
        </is>
      </c>
      <c r="C676" t="inlineStr">
        <is>
          <t>SUD-OUEST</t>
        </is>
      </c>
      <c r="D676" t="inlineStr">
        <is>
          <t>MTN sharing</t>
        </is>
      </c>
      <c r="E676" t="inlineStr">
        <is>
          <t>MTN</t>
        </is>
      </c>
      <c r="F676" t="inlineStr">
        <is>
          <t>SUD-OUEST</t>
        </is>
      </c>
      <c r="G676" t="inlineStr">
        <is>
          <t>Buea</t>
        </is>
      </c>
      <c r="H676" t="inlineStr">
        <is>
          <t>Huawei</t>
        </is>
      </c>
      <c r="I676" t="n">
        <v>0.578783961556132</v>
      </c>
      <c r="J676" t="n">
        <v>0.8723315155821511</v>
      </c>
      <c r="K676" t="n">
        <v>0.1116475902668984</v>
      </c>
      <c r="L676" t="n">
        <v>1.067001395416527</v>
      </c>
      <c r="M676" t="n">
        <v>0</v>
      </c>
      <c r="N676" t="n">
        <v>0</v>
      </c>
      <c r="O676" t="n">
        <v>0.3904775747931903</v>
      </c>
      <c r="P676" t="n">
        <v>0.1320132554988651</v>
      </c>
      <c r="Q676" t="n">
        <v>0.1999312279380081</v>
      </c>
      <c r="R676" t="inlineStr">
        <is>
          <t>Operationnel</t>
        </is>
      </c>
      <c r="S676" t="inlineStr"/>
      <c r="T676" t="inlineStr"/>
      <c r="U676" t="inlineStr"/>
      <c r="V676" t="inlineStr"/>
      <c r="W676" t="inlineStr"/>
      <c r="X676" t="inlineStr">
        <is>
          <t>{05-25-2026 dashboard_cell}: 01/04/2026 : Check Connectivite entre BBU &amp; RRU/Check FO ou SFP</t>
        </is>
      </c>
      <c r="Y676" t="inlineStr">
        <is>
          <t>{05-25-2026 dashboard_cell} 01/04/2026 Check Connectivite entre BBU &amp; RRU/Check FO ou SFP</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{05-25-2026 dashboard_cell}: 01/04/2026 : Check Connectivite entre BBU &amp; RRU/Check FO ou SFP</t>
        </is>
      </c>
    </row>
    <row r="677">
      <c r="A677" t="inlineStr">
        <is>
          <t>Ngousso-Savana</t>
        </is>
      </c>
      <c r="B677" t="inlineStr">
        <is>
          <t>CTR_272</t>
        </is>
      </c>
      <c r="C677" t="inlineStr">
        <is>
          <t>Yaounde</t>
        </is>
      </c>
      <c r="D677" t="inlineStr">
        <is>
          <t>IHS</t>
        </is>
      </c>
      <c r="E677" t="inlineStr">
        <is>
          <t>Grid-Gen</t>
        </is>
      </c>
      <c r="F677" t="inlineStr">
        <is>
          <t>CENTRE</t>
        </is>
      </c>
      <c r="G677" t="inlineStr">
        <is>
          <t>Yaounde</t>
        </is>
      </c>
      <c r="H677" t="inlineStr">
        <is>
          <t>ZTE</t>
        </is>
      </c>
      <c r="I677" t="n">
        <v>0</v>
      </c>
      <c r="J677" t="n">
        <v>0</v>
      </c>
      <c r="K677" t="n">
        <v>0</v>
      </c>
      <c r="L677" t="n">
        <v>0.0008560837592350035</v>
      </c>
      <c r="M677" t="n">
        <v>0</v>
      </c>
      <c r="N677" t="n">
        <v>0.08318046113449157</v>
      </c>
      <c r="O677" t="n">
        <v>0.08144246559972101</v>
      </c>
      <c r="P677" t="n">
        <v>0.3037330886231658</v>
      </c>
      <c r="Q677" t="n">
        <v>0.197612667756746</v>
      </c>
      <c r="R677" t="inlineStr">
        <is>
          <t>Operationnel</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row>
    <row r="678">
      <c r="A678" t="inlineStr">
        <is>
          <t>Kousseri-Ngueli-MTN-IHS</t>
        </is>
      </c>
      <c r="B678" t="inlineStr">
        <is>
          <t>EXN_141</t>
        </is>
      </c>
      <c r="C678" t="inlineStr">
        <is>
          <t>EXTREME-NORD</t>
        </is>
      </c>
      <c r="D678" t="inlineStr">
        <is>
          <t>IHS</t>
        </is>
      </c>
      <c r="E678" t="inlineStr">
        <is>
          <t>Grid-Gen</t>
        </is>
      </c>
      <c r="F678" t="inlineStr">
        <is>
          <t>EXTREME-NORD</t>
        </is>
      </c>
      <c r="G678" t="inlineStr">
        <is>
          <t>Kousseri</t>
        </is>
      </c>
      <c r="H678" t="inlineStr">
        <is>
          <t>Huawei</t>
        </is>
      </c>
      <c r="I678" t="n">
        <v>1.264560557938322</v>
      </c>
      <c r="J678" t="n">
        <v>6.302292449626605</v>
      </c>
      <c r="K678" t="n">
        <v>0.1502070295891083</v>
      </c>
      <c r="L678" t="n">
        <v>7.056448736277692</v>
      </c>
      <c r="M678" t="n">
        <v>0</v>
      </c>
      <c r="N678" t="n">
        <v>0.4177757394817933</v>
      </c>
      <c r="O678" t="n">
        <v>0.3825617708960223</v>
      </c>
      <c r="P678" t="n">
        <v>0.008208078062105601</v>
      </c>
      <c r="Q678" t="n">
        <v>0.1923691547314322</v>
      </c>
      <c r="R678" t="inlineStr">
        <is>
          <t>Insecurity</t>
        </is>
      </c>
      <c r="S678" t="inlineStr"/>
      <c r="T678" t="inlineStr"/>
      <c r="U678" t="inlineStr"/>
      <c r="V678" t="inlineStr"/>
      <c r="W678" t="inlineStr"/>
      <c r="X67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678"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678" t="inlineStr"/>
      <c r="AA67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row>
    <row r="679">
      <c r="A679" t="inlineStr">
        <is>
          <t>Ngd-Lamidat-IHS</t>
        </is>
      </c>
      <c r="B679" t="inlineStr">
        <is>
          <t>ADM_072</t>
        </is>
      </c>
      <c r="C679" t="inlineStr">
        <is>
          <t>Ngaoundere</t>
        </is>
      </c>
      <c r="D679" t="inlineStr">
        <is>
          <t>IHS</t>
        </is>
      </c>
      <c r="E679" t="inlineStr">
        <is>
          <t>Grid-Gen</t>
        </is>
      </c>
      <c r="F679" t="inlineStr">
        <is>
          <t>ADAMAOUA</t>
        </is>
      </c>
      <c r="G679" t="inlineStr">
        <is>
          <t>Ngaoundere</t>
        </is>
      </c>
      <c r="H679" t="inlineStr">
        <is>
          <t>Huawei</t>
        </is>
      </c>
      <c r="I679" t="n">
        <v>0</v>
      </c>
      <c r="J679" t="n">
        <v>0</v>
      </c>
      <c r="K679" t="n">
        <v>0</v>
      </c>
      <c r="L679" t="n">
        <v>0</v>
      </c>
      <c r="M679" t="n">
        <v>0</v>
      </c>
      <c r="N679" t="n">
        <v>0.2885088066376509</v>
      </c>
      <c r="O679" t="n">
        <v>0.3703427447460313</v>
      </c>
      <c r="P679" t="n">
        <v>0.04856446186745814</v>
      </c>
      <c r="Q679" t="n">
        <v>0.1908531730744536</v>
      </c>
      <c r="R679" t="inlineStr">
        <is>
          <t>Operationnel</t>
        </is>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row>
    <row r="680">
      <c r="A680" t="inlineStr">
        <is>
          <t>Simbock-II</t>
        </is>
      </c>
      <c r="B680" t="inlineStr">
        <is>
          <t>CTR_716</t>
        </is>
      </c>
      <c r="C680" t="inlineStr">
        <is>
          <t>Yaounde</t>
        </is>
      </c>
      <c r="D680" t="inlineStr">
        <is>
          <t>CAMUSAT</t>
        </is>
      </c>
      <c r="E680" t="inlineStr">
        <is>
          <t>Good Grid + GE</t>
        </is>
      </c>
      <c r="F680" t="inlineStr">
        <is>
          <t>CENTRE</t>
        </is>
      </c>
      <c r="G680" t="inlineStr">
        <is>
          <t>Yaounde</t>
        </is>
      </c>
      <c r="H680" t="inlineStr">
        <is>
          <t>ZTE</t>
        </is>
      </c>
      <c r="I680" t="n">
        <v>0</v>
      </c>
      <c r="J680" t="n">
        <v>0</v>
      </c>
      <c r="K680" t="n">
        <v>0</v>
      </c>
      <c r="L680" t="n">
        <v>0</v>
      </c>
      <c r="M680" t="n">
        <v>0.03930851261154052</v>
      </c>
      <c r="N680" t="n">
        <v>0.1111570726872335</v>
      </c>
      <c r="O680" t="n">
        <v>0.05307307445148325</v>
      </c>
      <c r="P680" t="n">
        <v>0.2995606489415954</v>
      </c>
      <c r="Q680" t="n">
        <v>0.1899079139236317</v>
      </c>
      <c r="R680" t="inlineStr">
        <is>
          <t>Operationnel</t>
        </is>
      </c>
      <c r="S680" t="inlineStr"/>
      <c r="T680" t="inlineStr"/>
      <c r="U680" t="inlineStr"/>
      <c r="V680" t="inlineStr"/>
      <c r="W680" t="inlineStr"/>
      <c r="X680" t="inlineStr">
        <is>
          <t xml:space="preserve">{05-25-2026 retour CAMUSAT}: No power issue </t>
        </is>
      </c>
      <c r="Y680" t="inlineStr">
        <is>
          <t>No power issue</t>
        </is>
      </c>
      <c r="Z680" t="inlineStr"/>
      <c r="AA680" t="inlineStr"/>
      <c r="AB680" t="inlineStr"/>
      <c r="AC680" t="inlineStr">
        <is>
          <t xml:space="preserve">{05-25-2026 retour CAMUSAT}: No power issue </t>
        </is>
      </c>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row>
    <row r="681">
      <c r="A681" t="inlineStr">
        <is>
          <t>Sofavinc</t>
        </is>
      </c>
      <c r="B681" t="inlineStr">
        <is>
          <t>CTR_261</t>
        </is>
      </c>
      <c r="C681" t="inlineStr">
        <is>
          <t>Yaounde</t>
        </is>
      </c>
      <c r="D681" t="inlineStr">
        <is>
          <t>IHS</t>
        </is>
      </c>
      <c r="E681" t="inlineStr">
        <is>
          <t>Grid-Gen</t>
        </is>
      </c>
      <c r="F681" t="inlineStr">
        <is>
          <t>CENTRE</t>
        </is>
      </c>
      <c r="G681" t="inlineStr">
        <is>
          <t>Yaounde</t>
        </is>
      </c>
      <c r="H681" t="inlineStr">
        <is>
          <t>ZTE</t>
        </is>
      </c>
      <c r="I681" t="n">
        <v>0</v>
      </c>
      <c r="J681" t="n">
        <v>0</v>
      </c>
      <c r="K681" t="n">
        <v>0</v>
      </c>
      <c r="L681" t="n">
        <v>0</v>
      </c>
      <c r="M681" t="n">
        <v>0</v>
      </c>
      <c r="N681" t="n">
        <v>0.09179825665743438</v>
      </c>
      <c r="O681" t="n">
        <v>0.07044534206473048</v>
      </c>
      <c r="P681" t="n">
        <v>0.2918655757583719</v>
      </c>
      <c r="Q681" t="n">
        <v>0.1889626547728097</v>
      </c>
      <c r="R681" t="inlineStr">
        <is>
          <t>Operationnel</t>
        </is>
      </c>
      <c r="S681" t="inlineStr"/>
      <c r="T681" t="inlineStr"/>
      <c r="U681" t="inlineStr"/>
      <c r="V681" t="inlineStr"/>
      <c r="W681" t="inlineStr"/>
      <c r="X681" t="inlineStr">
        <is>
          <t>{05-25-2026 ticket}: INC-20260525-00024972..Others</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is>
          <t>{05-25-2026 ticket}: INC-20260525-00024972..Others</t>
        </is>
      </c>
      <c r="AR681" t="inlineStr"/>
    </row>
    <row r="682">
      <c r="A682" t="inlineStr">
        <is>
          <t>Mbakaou-MTN-IHS</t>
        </is>
      </c>
      <c r="B682" t="inlineStr">
        <is>
          <t>ADM_109</t>
        </is>
      </c>
      <c r="C682" t="inlineStr">
        <is>
          <t>ADAMAOUA</t>
        </is>
      </c>
      <c r="D682" t="inlineStr">
        <is>
          <t>IHS</t>
        </is>
      </c>
      <c r="E682" t="inlineStr">
        <is>
          <t>Grid-Gen</t>
        </is>
      </c>
      <c r="F682" t="inlineStr">
        <is>
          <t>ADAMAOUA</t>
        </is>
      </c>
      <c r="G682" t="inlineStr">
        <is>
          <t>Mbakaou</t>
        </is>
      </c>
      <c r="H682" t="inlineStr">
        <is>
          <t>NOKIA</t>
        </is>
      </c>
      <c r="I682" t="n">
        <v>0.01079022238202413</v>
      </c>
      <c r="J682" t="n">
        <v>0</v>
      </c>
      <c r="K682" t="n">
        <v>0.001694626646167493</v>
      </c>
      <c r="L682" t="n">
        <v>0</v>
      </c>
      <c r="M682" t="n">
        <v>0.02529223139890734</v>
      </c>
      <c r="N682" t="n">
        <v>0.3368433989185041</v>
      </c>
      <c r="O682" t="n">
        <v>0.1495733013734562</v>
      </c>
      <c r="P682" t="n">
        <v>0.173806052965087</v>
      </c>
      <c r="Q682" t="n">
        <v>0.1889525566830167</v>
      </c>
      <c r="R682" t="inlineStr">
        <is>
          <t>Operationnel</t>
        </is>
      </c>
      <c r="S682" t="inlineStr"/>
      <c r="T682" t="inlineStr"/>
      <c r="U682" t="inlineStr"/>
      <c r="V682" t="inlineStr"/>
      <c r="W682" t="inlineStr"/>
      <c r="X682" t="inlineStr">
        <is>
          <t>{05-25-2026 retour IHS}: IHS     ;    {05-25-2026 ticket}: INC-20260525-00017973..Others</t>
        </is>
      </c>
      <c r="Y682" t="inlineStr">
        <is>
          <t>IHS .</t>
        </is>
      </c>
      <c r="Z682" t="inlineStr"/>
      <c r="AA682" t="inlineStr"/>
      <c r="AB682" t="inlineStr"/>
      <c r="AC682" t="inlineStr"/>
      <c r="AD682" t="inlineStr">
        <is>
          <t>{05-25-2026 retour IHS}: IHS</t>
        </is>
      </c>
      <c r="AE682" t="inlineStr"/>
      <c r="AF682" t="inlineStr"/>
      <c r="AG682" t="inlineStr"/>
      <c r="AH682" t="inlineStr"/>
      <c r="AI682" t="inlineStr"/>
      <c r="AJ682" t="inlineStr"/>
      <c r="AK682" t="inlineStr"/>
      <c r="AL682" t="inlineStr"/>
      <c r="AM682" t="inlineStr"/>
      <c r="AN682" t="inlineStr"/>
      <c r="AO682" t="inlineStr"/>
      <c r="AP682" t="inlineStr"/>
      <c r="AQ682" t="inlineStr">
        <is>
          <t>{05-25-2026 ticket}: INC-20260525-00017973..Others</t>
        </is>
      </c>
      <c r="AR682" t="inlineStr"/>
    </row>
    <row r="683">
      <c r="A683" t="inlineStr">
        <is>
          <t>Nkolafeme</t>
        </is>
      </c>
      <c r="B683" t="inlineStr">
        <is>
          <t>CTR_246</t>
        </is>
      </c>
      <c r="C683" t="inlineStr">
        <is>
          <t>Yaounde</t>
        </is>
      </c>
      <c r="D683" t="inlineStr">
        <is>
          <t>IHS</t>
        </is>
      </c>
      <c r="E683" t="inlineStr">
        <is>
          <t>Grid-Gen</t>
        </is>
      </c>
      <c r="F683" t="inlineStr">
        <is>
          <t>CENTRE</t>
        </is>
      </c>
      <c r="G683" t="inlineStr">
        <is>
          <t>Yaounde</t>
        </is>
      </c>
      <c r="H683" t="inlineStr">
        <is>
          <t>ZTE</t>
        </is>
      </c>
      <c r="I683" t="n">
        <v>0</v>
      </c>
      <c r="J683" t="n">
        <v>0</v>
      </c>
      <c r="K683" t="n">
        <v>0.01016599464091555</v>
      </c>
      <c r="L683" t="n">
        <v>0</v>
      </c>
      <c r="M683" t="n">
        <v>0</v>
      </c>
      <c r="N683" t="n">
        <v>0.09104888313370023</v>
      </c>
      <c r="O683" t="n">
        <v>0.07777675775472417</v>
      </c>
      <c r="P683" t="n">
        <v>0.28718013119792</v>
      </c>
      <c r="Q683" t="n">
        <v>0.1888734793812224</v>
      </c>
      <c r="R683" t="inlineStr">
        <is>
          <t>Operationnel</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row>
    <row r="684">
      <c r="A684" t="inlineStr">
        <is>
          <t>Mokolo-Djimeta-IHS</t>
        </is>
      </c>
      <c r="B684" t="inlineStr">
        <is>
          <t>EXN_140</t>
        </is>
      </c>
      <c r="C684" t="inlineStr">
        <is>
          <t>EXTREME-NORD</t>
        </is>
      </c>
      <c r="D684" t="inlineStr"/>
      <c r="E684" t="inlineStr"/>
      <c r="F684" t="inlineStr">
        <is>
          <t>EXTREME-NORD</t>
        </is>
      </c>
      <c r="G684" t="inlineStr">
        <is>
          <t>Mokolo</t>
        </is>
      </c>
      <c r="H684" t="inlineStr">
        <is>
          <t>NOKIA</t>
        </is>
      </c>
      <c r="I684" t="n">
        <v>0.8240876287335951</v>
      </c>
      <c r="J684" t="n">
        <v>0</v>
      </c>
      <c r="K684" t="n">
        <v>0.4810486004421334</v>
      </c>
      <c r="L684" t="n">
        <v>0.03544111863749007</v>
      </c>
      <c r="M684" t="n">
        <v>0</v>
      </c>
      <c r="N684" t="n">
        <v>0</v>
      </c>
      <c r="O684" t="n">
        <v>0.5599825612717222</v>
      </c>
      <c r="P684" t="n">
        <v>0</v>
      </c>
      <c r="Q684" t="n">
        <v>0.1879926046670119</v>
      </c>
      <c r="R684" t="inlineStr">
        <is>
          <t>Insecurity</t>
        </is>
      </c>
      <c r="S684" t="inlineStr"/>
      <c r="T684" t="inlineStr"/>
      <c r="U684" t="inlineStr"/>
      <c r="V684" t="inlineStr"/>
      <c r="W684" t="inlineStr"/>
      <c r="X684" t="inlineStr">
        <is>
          <t>{05-25-2026 ticket}: INC-20260525-00020909..Grid Outage</t>
        </is>
      </c>
      <c r="Y684" t="inlineStr">
        <is>
          <t>.Grid Outage</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is>
          <t>{05-25-2026 ticket}: INC-20260525-00020909..Grid Outage</t>
        </is>
      </c>
      <c r="AR684" t="inlineStr"/>
    </row>
    <row r="685">
      <c r="A685" t="inlineStr">
        <is>
          <t>Bamenkombo</t>
        </is>
      </c>
      <c r="B685" t="inlineStr">
        <is>
          <t>OST_155</t>
        </is>
      </c>
      <c r="C685" t="inlineStr">
        <is>
          <t>OUEST</t>
        </is>
      </c>
      <c r="D685" t="inlineStr">
        <is>
          <t>IHS</t>
        </is>
      </c>
      <c r="E685" t="inlineStr">
        <is>
          <t>Grid-Gen</t>
        </is>
      </c>
      <c r="F685" t="inlineStr">
        <is>
          <t>OUEST</t>
        </is>
      </c>
      <c r="G685" t="inlineStr">
        <is>
          <t>Bamenkombo</t>
        </is>
      </c>
      <c r="H685" t="inlineStr">
        <is>
          <t>NOKIA</t>
        </is>
      </c>
      <c r="I685" t="n">
        <v>0.0003031963313957717</v>
      </c>
      <c r="J685" t="n">
        <v>0.0002496910964434779</v>
      </c>
      <c r="K685" t="n">
        <v>0.0002185318825809571</v>
      </c>
      <c r="L685" t="n">
        <v>0.0002765549741591343</v>
      </c>
      <c r="M685" t="n">
        <v>0.05400461714507482</v>
      </c>
      <c r="N685" t="n">
        <v>0.2008321043607544</v>
      </c>
      <c r="O685" t="n">
        <v>0.3376170051443158</v>
      </c>
      <c r="P685" t="n">
        <v>0.08710822843409584</v>
      </c>
      <c r="Q685" t="n">
        <v>0.1874466731158309</v>
      </c>
      <c r="R685" t="inlineStr">
        <is>
          <t>Operationnel</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row>
    <row r="686">
      <c r="A686" t="inlineStr">
        <is>
          <t>Bariki-IHS</t>
        </is>
      </c>
      <c r="B686" t="inlineStr">
        <is>
          <t>EXN_167</t>
        </is>
      </c>
      <c r="C686" t="inlineStr">
        <is>
          <t>EXTREME-NORD</t>
        </is>
      </c>
      <c r="D686" t="inlineStr">
        <is>
          <t>IHS</t>
        </is>
      </c>
      <c r="E686" t="inlineStr">
        <is>
          <t>Solar-Gen</t>
        </is>
      </c>
      <c r="F686" t="inlineStr">
        <is>
          <t>EXTREME-NORD</t>
        </is>
      </c>
      <c r="G686" t="inlineStr">
        <is>
          <t>Bariki</t>
        </is>
      </c>
      <c r="H686" t="inlineStr">
        <is>
          <t>NOKIA</t>
        </is>
      </c>
      <c r="I686" t="n">
        <v>0.672614308583952</v>
      </c>
      <c r="J686" t="n">
        <v>1.230816589761809</v>
      </c>
      <c r="K686" t="n">
        <v>0.8267254821295423</v>
      </c>
      <c r="L686" t="n">
        <v>2.922033622216795</v>
      </c>
      <c r="M686" t="n">
        <v>2.092523184896212</v>
      </c>
      <c r="N686" t="n">
        <v>0.8707720345790918</v>
      </c>
      <c r="O686" t="n">
        <v>0.1875463416782904</v>
      </c>
      <c r="P686" t="n">
        <v>0</v>
      </c>
      <c r="Q686" t="n">
        <v>0.1873076360928836</v>
      </c>
      <c r="R686" t="inlineStr">
        <is>
          <t>Insecurity</t>
        </is>
      </c>
      <c r="S686" t="inlineStr"/>
      <c r="T686" t="inlineStr"/>
      <c r="U686" t="inlineStr"/>
      <c r="V686" t="inlineStr"/>
      <c r="W686" t="inlineStr"/>
      <c r="X686" t="inlineStr">
        <is>
          <t>{05-25-2026 incident}: {05-18-2026 groupe whatsapp incident}: impacted by   Bariki-IHS_GD_EXN_167 , Travaux planifier || Action : fin des travauxProbleme d'energie || Action RCA attendu de HIS</t>
        </is>
      </c>
      <c r="Y686" t="inlineStr">
        <is>
          <t>{05-25-2026 incident} {05-18-2026 groupe whatsapp incident} impacted by Bariki-IHS_GD_EXN_167 , Travaux planifier || Action fin des travauxProbleme d'energie || Action RCA attendu de HIS</t>
        </is>
      </c>
      <c r="Z686" t="inlineStr"/>
      <c r="AA686" t="inlineStr">
        <is>
          <t>{05-25-2026 incident}: {05-18-2026 groupe whatsapp incident}: impacted by   Bariki-IHS_GD_EXN_167 , Travaux planifier || Action : fin des travauxProbleme d'energie || Action RCA attendu de HIS</t>
        </is>
      </c>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row>
    <row r="687">
      <c r="A687" t="inlineStr">
        <is>
          <t>Nsimalen</t>
        </is>
      </c>
      <c r="B687" t="inlineStr">
        <is>
          <t>CTR_010</t>
        </is>
      </c>
      <c r="C687" t="inlineStr">
        <is>
          <t>Yaounde</t>
        </is>
      </c>
      <c r="D687" t="inlineStr">
        <is>
          <t>IHS</t>
        </is>
      </c>
      <c r="E687" t="inlineStr">
        <is>
          <t>Grid-Gen</t>
        </is>
      </c>
      <c r="F687" t="inlineStr">
        <is>
          <t>CENTRE</t>
        </is>
      </c>
      <c r="G687" t="inlineStr">
        <is>
          <t>Yaounde</t>
        </is>
      </c>
      <c r="H687" t="inlineStr">
        <is>
          <t>ZTE</t>
        </is>
      </c>
      <c r="I687" t="n">
        <v>0</v>
      </c>
      <c r="J687" t="n">
        <v>0</v>
      </c>
      <c r="K687" t="n">
        <v>0</v>
      </c>
      <c r="L687" t="n">
        <v>0</v>
      </c>
      <c r="M687" t="n">
        <v>0</v>
      </c>
      <c r="N687" t="n">
        <v>1.096957943159519</v>
      </c>
      <c r="O687" t="n">
        <v>0.05068239542213528</v>
      </c>
      <c r="P687" t="n">
        <v>0.02578704524511476</v>
      </c>
      <c r="Q687" t="n">
        <v>0.1871078066277999</v>
      </c>
      <c r="R687" t="inlineStr">
        <is>
          <t>Operationnel</t>
        </is>
      </c>
      <c r="S687" t="inlineStr"/>
      <c r="T687" t="inlineStr"/>
      <c r="U687" t="inlineStr"/>
      <c r="V687" t="inlineStr"/>
      <c r="W687" t="inlineStr"/>
      <c r="X687" t="inlineStr">
        <is>
          <t>{05-25-2026 retour IHS}: IHS     ;    {05-25-2026 ticket}: INC-20260525-00021848..Grid Outage</t>
        </is>
      </c>
      <c r="Y687" t="inlineStr">
        <is>
          <t>IHS .Grid Outage</t>
        </is>
      </c>
      <c r="Z687" t="inlineStr"/>
      <c r="AA687" t="inlineStr"/>
      <c r="AB687" t="inlineStr"/>
      <c r="AC687" t="inlineStr"/>
      <c r="AD687" t="inlineStr">
        <is>
          <t>{05-25-2026 retour IHS}: IHS</t>
        </is>
      </c>
      <c r="AE687" t="inlineStr"/>
      <c r="AF687" t="inlineStr"/>
      <c r="AG687" t="inlineStr"/>
      <c r="AH687" t="inlineStr"/>
      <c r="AI687" t="inlineStr"/>
      <c r="AJ687" t="inlineStr"/>
      <c r="AK687" t="inlineStr"/>
      <c r="AL687" t="inlineStr"/>
      <c r="AM687" t="inlineStr"/>
      <c r="AN687" t="inlineStr"/>
      <c r="AO687" t="inlineStr"/>
      <c r="AP687" t="inlineStr"/>
      <c r="AQ687" t="inlineStr">
        <is>
          <t>{05-25-2026 ticket}: INC-20260525-00021848..Grid Outage</t>
        </is>
      </c>
      <c r="AR687" t="inlineStr"/>
    </row>
    <row r="688">
      <c r="A688" t="inlineStr">
        <is>
          <t>Mansouen</t>
        </is>
      </c>
      <c r="B688" t="inlineStr">
        <is>
          <t>OST_293</t>
        </is>
      </c>
      <c r="C688" t="inlineStr">
        <is>
          <t>OUEST</t>
        </is>
      </c>
      <c r="D688" t="inlineStr">
        <is>
          <t>CAMUSAT</t>
        </is>
      </c>
      <c r="E688" t="inlineStr">
        <is>
          <t>Hybrid Solar - S3</t>
        </is>
      </c>
      <c r="F688" t="inlineStr">
        <is>
          <t>OUEST</t>
        </is>
      </c>
      <c r="G688" t="inlineStr">
        <is>
          <t>Mansouen</t>
        </is>
      </c>
      <c r="H688" t="inlineStr">
        <is>
          <t>NOKIA</t>
        </is>
      </c>
      <c r="I688" t="n">
        <v>4.621300648055405</v>
      </c>
      <c r="J688" t="n">
        <v>2.552128366906084</v>
      </c>
      <c r="K688" t="n">
        <v>0.02004662802875307</v>
      </c>
      <c r="L688" t="n">
        <v>0</v>
      </c>
      <c r="M688" t="n">
        <v>0.02249003375823627</v>
      </c>
      <c r="N688" t="n">
        <v>0.5912557102262509</v>
      </c>
      <c r="O688" t="n">
        <v>0.2988348786682578</v>
      </c>
      <c r="P688" t="n">
        <v>0</v>
      </c>
      <c r="Q688" t="n">
        <v>0.1847535762899042</v>
      </c>
      <c r="R688" t="inlineStr">
        <is>
          <t>Operationnel</t>
        </is>
      </c>
      <c r="S688" t="inlineStr"/>
      <c r="T688" t="inlineStr"/>
      <c r="U688" t="inlineStr"/>
      <c r="V688" t="inlineStr"/>
      <c r="W688" t="inlineStr"/>
      <c r="X688" t="inlineStr">
        <is>
          <t>{05-25-2026 retour CAMUSAT}: No power issue      ;    {05-25-2026 ticket}: INC-20260525-00018519..Grid Outage</t>
        </is>
      </c>
      <c r="Y688" t="inlineStr">
        <is>
          <t>No power issue .Grid Outage</t>
        </is>
      </c>
      <c r="Z688" t="inlineStr"/>
      <c r="AA688" t="inlineStr"/>
      <c r="AB688" t="inlineStr"/>
      <c r="AC688" t="inlineStr">
        <is>
          <t xml:space="preserve">{05-25-2026 retour CAMUSAT}: No power issue </t>
        </is>
      </c>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is>
          <t>{05-25-2026 ticket}: INC-20260525-00018519..Grid Outage</t>
        </is>
      </c>
      <c r="AR688" t="inlineStr"/>
    </row>
    <row r="689">
      <c r="A689" t="inlineStr">
        <is>
          <t>Ebal-IHS</t>
        </is>
      </c>
      <c r="B689" t="inlineStr">
        <is>
          <t>NRO_101</t>
        </is>
      </c>
      <c r="C689" t="inlineStr">
        <is>
          <t>NORD-OUEST</t>
        </is>
      </c>
      <c r="D689" t="inlineStr">
        <is>
          <t>IHS</t>
        </is>
      </c>
      <c r="E689" t="inlineStr">
        <is>
          <t>Gen Only</t>
        </is>
      </c>
      <c r="F689" t="inlineStr">
        <is>
          <t>NORD-OUEST</t>
        </is>
      </c>
      <c r="G689" t="inlineStr">
        <is>
          <t>Ebal</t>
        </is>
      </c>
      <c r="H689" t="inlineStr">
        <is>
          <t>NOKIA</t>
        </is>
      </c>
      <c r="I689" t="n">
        <v>0.06780896776273924</v>
      </c>
      <c r="J689" t="n">
        <v>0.04308954921482848</v>
      </c>
      <c r="K689" t="n">
        <v>0.01628342650378246</v>
      </c>
      <c r="L689" t="n">
        <v>0.2060129896442401</v>
      </c>
      <c r="M689" t="n">
        <v>2.45230543356362</v>
      </c>
      <c r="N689" t="n">
        <v>0.4974591241721921</v>
      </c>
      <c r="O689" t="n">
        <v>0.3296480750464959</v>
      </c>
      <c r="P689" t="n">
        <v>0</v>
      </c>
      <c r="Q689" t="n">
        <v>0.1817037778976295</v>
      </c>
      <c r="R689" t="inlineStr">
        <is>
          <t>Insecurity</t>
        </is>
      </c>
      <c r="S689" t="inlineStr"/>
      <c r="T689" t="inlineStr"/>
      <c r="U689" t="inlineStr"/>
      <c r="V689" t="inlineStr"/>
      <c r="W689" t="inlineStr"/>
      <c r="X689" t="inlineStr">
        <is>
          <t>{05-25-2026 ticket}: INC-20260525-00006648..Others</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is>
          <t>{05-25-2026 ticket}: INC-20260525-00006648..Others</t>
        </is>
      </c>
      <c r="AR689" t="inlineStr"/>
    </row>
    <row r="690">
      <c r="A690" t="inlineStr">
        <is>
          <t>Sibongo</t>
        </is>
      </c>
      <c r="B690" t="inlineStr">
        <is>
          <t>LIT_507</t>
        </is>
      </c>
      <c r="C690" t="inlineStr">
        <is>
          <t>LITTORAL</t>
        </is>
      </c>
      <c r="D690" t="inlineStr">
        <is>
          <t>IHS</t>
        </is>
      </c>
      <c r="E690" t="inlineStr">
        <is>
          <t>Grid-Gen</t>
        </is>
      </c>
      <c r="F690" t="inlineStr">
        <is>
          <t>LITTORAL</t>
        </is>
      </c>
      <c r="G690" t="inlineStr">
        <is>
          <t>Sibongo</t>
        </is>
      </c>
      <c r="H690" t="inlineStr">
        <is>
          <t>NOKIA</t>
        </is>
      </c>
      <c r="I690" t="n">
        <v>0</v>
      </c>
      <c r="J690" t="n">
        <v>0</v>
      </c>
      <c r="K690" t="n">
        <v>0</v>
      </c>
      <c r="L690" t="n">
        <v>0.01239595229177799</v>
      </c>
      <c r="M690" t="n">
        <v>0.5306470851774805</v>
      </c>
      <c r="N690" t="n">
        <v>0.6238534585086868</v>
      </c>
      <c r="O690" t="n">
        <v>0.2725531820990444</v>
      </c>
      <c r="P690" t="n">
        <v>0</v>
      </c>
      <c r="Q690" t="n">
        <v>0.180585463058938</v>
      </c>
      <c r="R690" t="inlineStr">
        <is>
          <t>Operationnel</t>
        </is>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row>
    <row r="691">
      <c r="A691" t="inlineStr">
        <is>
          <t>Activa-Akwa</t>
        </is>
      </c>
      <c r="B691" t="inlineStr">
        <is>
          <t>LIT_367</t>
        </is>
      </c>
      <c r="C691" t="inlineStr">
        <is>
          <t>Douala</t>
        </is>
      </c>
      <c r="D691" t="inlineStr">
        <is>
          <t>IHS</t>
        </is>
      </c>
      <c r="E691" t="inlineStr">
        <is>
          <t>Grid-Gen (LL)</t>
        </is>
      </c>
      <c r="F691" t="inlineStr">
        <is>
          <t>LITTORAL</t>
        </is>
      </c>
      <c r="G691" t="inlineStr">
        <is>
          <t>Douala</t>
        </is>
      </c>
      <c r="H691" t="inlineStr">
        <is>
          <t>ZTE</t>
        </is>
      </c>
      <c r="I691" t="n">
        <v>0.1129673860623856</v>
      </c>
      <c r="J691" t="n">
        <v>0</v>
      </c>
      <c r="K691" t="n">
        <v>0</v>
      </c>
      <c r="L691" t="n">
        <v>0.9403366692063824</v>
      </c>
      <c r="M691" t="n">
        <v>0.6793916383445621</v>
      </c>
      <c r="N691" t="n">
        <v>0.08293066995991351</v>
      </c>
      <c r="O691" t="n">
        <v>0.1647974744229223</v>
      </c>
      <c r="P691" t="n">
        <v>0.2169326631163989</v>
      </c>
      <c r="Q691" t="n">
        <v>0.1802948067105551</v>
      </c>
      <c r="R691" t="inlineStr">
        <is>
          <t>Operationnel</t>
        </is>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row>
    <row r="692">
      <c r="A692" t="inlineStr">
        <is>
          <t>Ngd-Mbiassoro</t>
        </is>
      </c>
      <c r="B692" t="inlineStr">
        <is>
          <t>ADM_166</t>
        </is>
      </c>
      <c r="C692" t="inlineStr">
        <is>
          <t>Ngaoundere</t>
        </is>
      </c>
      <c r="D692" t="inlineStr">
        <is>
          <t>CAMUSAT</t>
        </is>
      </c>
      <c r="E692" t="inlineStr">
        <is>
          <t>Hybrid Solar - S3</t>
        </is>
      </c>
      <c r="F692" t="inlineStr">
        <is>
          <t>ADAMAOUA</t>
        </is>
      </c>
      <c r="G692" t="inlineStr">
        <is>
          <t>Ngaoundere</t>
        </is>
      </c>
      <c r="H692" t="inlineStr">
        <is>
          <t>Huawei</t>
        </is>
      </c>
      <c r="I692" t="n">
        <v>7.726494793583938</v>
      </c>
      <c r="J692" t="n">
        <v>0.5484999985731938</v>
      </c>
      <c r="K692" t="n">
        <v>0.1853064637177435</v>
      </c>
      <c r="L692" t="n">
        <v>0.2238837381182708</v>
      </c>
      <c r="M692" t="n">
        <v>0</v>
      </c>
      <c r="N692" t="n">
        <v>0.184845469187759</v>
      </c>
      <c r="O692" t="n">
        <v>0.2367303501059124</v>
      </c>
      <c r="P692" t="n">
        <v>0.1402213335609707</v>
      </c>
      <c r="Q692" t="n">
        <v>0.1789928459933853</v>
      </c>
      <c r="R692" t="inlineStr">
        <is>
          <t>Operationnel</t>
        </is>
      </c>
      <c r="S692" t="inlineStr"/>
      <c r="T692" t="inlineStr"/>
      <c r="U692" t="inlineStr"/>
      <c r="V692" t="inlineStr"/>
      <c r="W692" t="inlineStr"/>
      <c r="X692" t="inlineStr">
        <is>
          <t>{05-25-2026 retour CAMUSAT}: défaut powercore</t>
        </is>
      </c>
      <c r="Y692" t="inlineStr">
        <is>
          <t>défaut powercore</t>
        </is>
      </c>
      <c r="Z692" t="inlineStr"/>
      <c r="AA692" t="inlineStr"/>
      <c r="AB692" t="inlineStr"/>
      <c r="AC692" t="inlineStr">
        <is>
          <t>{05-25-2026 retour CAMUSAT}: défaut powercore</t>
        </is>
      </c>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row>
    <row r="693">
      <c r="A693" t="inlineStr">
        <is>
          <t>Bfsam-Tougang-II</t>
        </is>
      </c>
      <c r="B693" t="inlineStr">
        <is>
          <t>OST_231</t>
        </is>
      </c>
      <c r="C693" t="inlineStr">
        <is>
          <t>Bafoussam</t>
        </is>
      </c>
      <c r="D693" t="inlineStr">
        <is>
          <t>CAMUSAT</t>
        </is>
      </c>
      <c r="E693" t="inlineStr">
        <is>
          <t>Good Grid + GE</t>
        </is>
      </c>
      <c r="F693" t="inlineStr">
        <is>
          <t>OUEST</t>
        </is>
      </c>
      <c r="G693" t="inlineStr">
        <is>
          <t>Bafoussam</t>
        </is>
      </c>
      <c r="H693" t="inlineStr">
        <is>
          <t>Huawei</t>
        </is>
      </c>
      <c r="I693" t="n">
        <v>1.475264173180037</v>
      </c>
      <c r="J693" t="n">
        <v>0.2791011405889286</v>
      </c>
      <c r="K693" t="n">
        <v>0</v>
      </c>
      <c r="L693" t="n">
        <v>0.2171064083576604</v>
      </c>
      <c r="M693" t="n">
        <v>0.07740423989749823</v>
      </c>
      <c r="N693" t="n">
        <v>0.170482476649521</v>
      </c>
      <c r="O693" t="n">
        <v>0.2172861606672311</v>
      </c>
      <c r="P693" t="n">
        <v>0.1532174571593046</v>
      </c>
      <c r="Q693" t="n">
        <v>0.1771915030833283</v>
      </c>
      <c r="R693" t="inlineStr">
        <is>
          <t>Operationnel</t>
        </is>
      </c>
      <c r="S693" t="inlineStr"/>
      <c r="T693" t="inlineStr"/>
      <c r="U693" t="inlineStr"/>
      <c r="V693" t="inlineStr"/>
      <c r="W693" t="inlineStr"/>
      <c r="X693" t="inlineStr">
        <is>
          <t xml:space="preserve">{05-25-2026 retour CAMUSAT}: No power issue </t>
        </is>
      </c>
      <c r="Y693" t="inlineStr">
        <is>
          <t>No power issue</t>
        </is>
      </c>
      <c r="Z693" t="inlineStr"/>
      <c r="AA693" t="inlineStr"/>
      <c r="AB693" t="inlineStr"/>
      <c r="AC693" t="inlineStr">
        <is>
          <t xml:space="preserve">{05-25-2026 retour CAMUSAT}: No power issue </t>
        </is>
      </c>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row>
    <row r="694">
      <c r="A694" t="inlineStr">
        <is>
          <t>Ako</t>
        </is>
      </c>
      <c r="B694" t="inlineStr">
        <is>
          <t>NRO_231</t>
        </is>
      </c>
      <c r="C694" t="inlineStr">
        <is>
          <t>NORD-OUEST</t>
        </is>
      </c>
      <c r="D694" t="inlineStr">
        <is>
          <t>IHS</t>
        </is>
      </c>
      <c r="E694" t="inlineStr">
        <is>
          <t>Grid-Gen</t>
        </is>
      </c>
      <c r="F694" t="inlineStr">
        <is>
          <t>NORD-OUEST</t>
        </is>
      </c>
      <c r="G694" t="inlineStr">
        <is>
          <t>Ako</t>
        </is>
      </c>
      <c r="H694" t="inlineStr">
        <is>
          <t>NOKIA</t>
        </is>
      </c>
      <c r="I694" t="n">
        <v>0</v>
      </c>
      <c r="J694" t="n">
        <v>0.002229384789674489</v>
      </c>
      <c r="K694" t="n">
        <v>0.05892709876067609</v>
      </c>
      <c r="L694" t="n">
        <v>0.2763367034497322</v>
      </c>
      <c r="M694" t="n">
        <v>2.064749181726607</v>
      </c>
      <c r="N694" t="n">
        <v>1.231970073018956</v>
      </c>
      <c r="O694" t="n">
        <v>0</v>
      </c>
      <c r="P694" t="n">
        <v>0</v>
      </c>
      <c r="Q694" t="n">
        <v>0.1759252125227933</v>
      </c>
      <c r="R694" t="inlineStr">
        <is>
          <t>Insecurity</t>
        </is>
      </c>
      <c r="S694" t="inlineStr"/>
      <c r="T694" t="inlineStr"/>
      <c r="U694" t="inlineStr"/>
      <c r="V694" t="inlineStr"/>
      <c r="W694" t="inlineStr"/>
      <c r="X694" t="inlineStr">
        <is>
          <t>{05-25-2026 ticket}: INC-20260525-00013563..Auto TT closure RCA..Others Transmission equipement fault</t>
        </is>
      </c>
      <c r="Y694" t="inlineStr">
        <is>
          <t>.Auto TT closure RCA.</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is>
          <t>{05-25-2026 ticket}: INC-20260525-00013563..Auto TT closure RCA..Others Transmission equipement fault</t>
        </is>
      </c>
      <c r="AR694" t="inlineStr"/>
    </row>
    <row r="695">
      <c r="A695" t="inlineStr">
        <is>
          <t>Kanje-I</t>
        </is>
      </c>
      <c r="B695" t="inlineStr">
        <is>
          <t>ADM_041</t>
        </is>
      </c>
      <c r="C695" t="inlineStr">
        <is>
          <t>ADAMAOUA</t>
        </is>
      </c>
      <c r="D695" t="inlineStr">
        <is>
          <t>IHS</t>
        </is>
      </c>
      <c r="E695" t="inlineStr">
        <is>
          <t>Hybrid-Gen</t>
        </is>
      </c>
      <c r="F695" t="inlineStr">
        <is>
          <t>ADAMAOUA</t>
        </is>
      </c>
      <c r="G695" t="inlineStr">
        <is>
          <t>Kanje-I</t>
        </is>
      </c>
      <c r="H695" t="inlineStr">
        <is>
          <t>NOKIA</t>
        </is>
      </c>
      <c r="I695" t="n">
        <v>0</v>
      </c>
      <c r="J695" t="n">
        <v>0</v>
      </c>
      <c r="K695" t="n">
        <v>0</v>
      </c>
      <c r="L695" t="n">
        <v>0.0005351452566846066</v>
      </c>
      <c r="M695" t="n">
        <v>0.02880559209766737</v>
      </c>
      <c r="N695" t="n">
        <v>0.3119891770479879</v>
      </c>
      <c r="O695" t="n">
        <v>0.1349639809031066</v>
      </c>
      <c r="P695" t="n">
        <v>0.1639563592905588</v>
      </c>
      <c r="Q695" t="n">
        <v>0.1753623561564046</v>
      </c>
      <c r="R695" t="inlineStr">
        <is>
          <t>Operationnel</t>
        </is>
      </c>
      <c r="S695" t="inlineStr"/>
      <c r="T695" t="inlineStr"/>
      <c r="U695" t="inlineStr"/>
      <c r="V695" t="inlineStr"/>
      <c r="W695" t="inlineStr"/>
      <c r="X695" t="inlineStr">
        <is>
          <t>{05-25-2026 ticket}: INC-20260525-00017972..Others</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is>
          <t>{05-25-2026 ticket}: INC-20260525-00017972..Others</t>
        </is>
      </c>
      <c r="AR695" t="inlineStr"/>
    </row>
    <row r="696">
      <c r="A696" t="inlineStr">
        <is>
          <t>Makor</t>
        </is>
      </c>
      <c r="B696" t="inlineStr">
        <is>
          <t>ADM_015</t>
        </is>
      </c>
      <c r="C696" t="inlineStr">
        <is>
          <t>ADAMAOUA</t>
        </is>
      </c>
      <c r="D696" t="inlineStr">
        <is>
          <t>CAMUSAT</t>
        </is>
      </c>
      <c r="E696" t="inlineStr">
        <is>
          <t>Hybrid Solar - S3</t>
        </is>
      </c>
      <c r="F696" t="inlineStr">
        <is>
          <t>ADAMAOUA</t>
        </is>
      </c>
      <c r="G696" t="inlineStr">
        <is>
          <t>Makor</t>
        </is>
      </c>
      <c r="H696" t="inlineStr">
        <is>
          <t>NOKIA</t>
        </is>
      </c>
      <c r="I696" t="n">
        <v>0.009185065333458892</v>
      </c>
      <c r="J696" t="n">
        <v>0.0214563218689195</v>
      </c>
      <c r="K696" t="n">
        <v>0.00330006241622097</v>
      </c>
      <c r="L696" t="n">
        <v>0.009220735490093685</v>
      </c>
      <c r="M696" t="n">
        <v>0.2048497027495643</v>
      </c>
      <c r="N696" t="n">
        <v>0.2669018700366493</v>
      </c>
      <c r="O696" t="n">
        <v>0.1368237207974409</v>
      </c>
      <c r="P696" t="n">
        <v>0.1658031768545329</v>
      </c>
      <c r="Q696" t="n">
        <v>0.1705113232457628</v>
      </c>
      <c r="R696" t="inlineStr">
        <is>
          <t>Operationnel</t>
        </is>
      </c>
      <c r="S696" t="inlineStr"/>
      <c r="T696" t="inlineStr"/>
      <c r="U696" t="inlineStr"/>
      <c r="V696" t="inlineStr"/>
      <c r="W696" t="inlineStr"/>
      <c r="X696" t="inlineStr">
        <is>
          <t>{05-25-2026 retour CAMUSAT}: No power issue      ;    {05-25-2026 ticket}: INC-20260525-00017995..Others</t>
        </is>
      </c>
      <c r="Y696" t="inlineStr">
        <is>
          <t>No power issue .</t>
        </is>
      </c>
      <c r="Z696" t="inlineStr"/>
      <c r="AA696" t="inlineStr"/>
      <c r="AB696" t="inlineStr"/>
      <c r="AC696" t="inlineStr">
        <is>
          <t xml:space="preserve">{05-25-2026 retour CAMUSAT}: No power issue </t>
        </is>
      </c>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is>
          <t>{05-25-2026 ticket}: INC-20260525-00017995..Others</t>
        </is>
      </c>
      <c r="AR696" t="inlineStr"/>
    </row>
    <row r="697">
      <c r="A697" t="inlineStr">
        <is>
          <t>Koweit-City-II-HIS</t>
        </is>
      </c>
      <c r="B697" t="inlineStr">
        <is>
          <t>CTR_604</t>
        </is>
      </c>
      <c r="C697" t="inlineStr">
        <is>
          <t>Yaounde</t>
        </is>
      </c>
      <c r="D697" t="inlineStr">
        <is>
          <t>IHS</t>
        </is>
      </c>
      <c r="E697" t="inlineStr">
        <is>
          <t>Grid-Gen</t>
        </is>
      </c>
      <c r="F697" t="inlineStr">
        <is>
          <t>CENTRE</t>
        </is>
      </c>
      <c r="G697" t="inlineStr">
        <is>
          <t>Yaounde</t>
        </is>
      </c>
      <c r="H697" t="inlineStr">
        <is>
          <t>ZTE</t>
        </is>
      </c>
      <c r="I697" t="n">
        <v>0</v>
      </c>
      <c r="J697" t="n">
        <v>1.019203385525907</v>
      </c>
      <c r="K697" t="n">
        <v>0</v>
      </c>
      <c r="L697" t="n">
        <v>0.5948355320417883</v>
      </c>
      <c r="M697" t="n">
        <v>0</v>
      </c>
      <c r="N697" t="n">
        <v>0.06469591421571566</v>
      </c>
      <c r="O697" t="n">
        <v>0.05195742423778877</v>
      </c>
      <c r="P697" t="n">
        <v>0.2723029897103523</v>
      </c>
      <c r="Q697" t="n">
        <v>0.1686841707259303</v>
      </c>
      <c r="R697" t="inlineStr">
        <is>
          <t>Operationnel</t>
        </is>
      </c>
      <c r="S697" t="inlineStr"/>
      <c r="T697" t="inlineStr"/>
      <c r="U697" t="inlineStr"/>
      <c r="V697" t="inlineStr"/>
      <c r="W697" t="inlineStr"/>
      <c r="X697" t="inlineStr">
        <is>
          <t>{05-25-2026 retour IHS}: IHS     ;    {05-25-2026 ticket}: INC-20260525-00022732..Auto TT closure RCA..Others</t>
        </is>
      </c>
      <c r="Y697" t="inlineStr">
        <is>
          <t>IHS .Auto TT closure RCA.</t>
        </is>
      </c>
      <c r="Z697" t="inlineStr"/>
      <c r="AA697" t="inlineStr"/>
      <c r="AB697" t="inlineStr"/>
      <c r="AC697" t="inlineStr"/>
      <c r="AD697" t="inlineStr">
        <is>
          <t>{05-25-2026 retour IHS}: IHS</t>
        </is>
      </c>
      <c r="AE697" t="inlineStr"/>
      <c r="AF697" t="inlineStr"/>
      <c r="AG697" t="inlineStr"/>
      <c r="AH697" t="inlineStr"/>
      <c r="AI697" t="inlineStr"/>
      <c r="AJ697" t="inlineStr"/>
      <c r="AK697" t="inlineStr"/>
      <c r="AL697" t="inlineStr"/>
      <c r="AM697" t="inlineStr"/>
      <c r="AN697" t="inlineStr"/>
      <c r="AO697" t="inlineStr"/>
      <c r="AP697" t="inlineStr"/>
      <c r="AQ697" t="inlineStr">
        <is>
          <t>{05-25-2026 ticket}: INC-20260525-00022732..Auto TT closure RCA..Others</t>
        </is>
      </c>
      <c r="AR697" t="inlineStr"/>
    </row>
    <row r="698">
      <c r="A698" t="inlineStr">
        <is>
          <t>Mbantinbang-FH</t>
        </is>
      </c>
      <c r="B698" t="inlineStr">
        <is>
          <t>ADM_055</t>
        </is>
      </c>
      <c r="C698" t="inlineStr">
        <is>
          <t>ADAMAOUA</t>
        </is>
      </c>
      <c r="D698" t="inlineStr">
        <is>
          <t>IHS</t>
        </is>
      </c>
      <c r="E698" t="inlineStr">
        <is>
          <t>Solar-Gen</t>
        </is>
      </c>
      <c r="F698" t="inlineStr">
        <is>
          <t>ADAMAOUA</t>
        </is>
      </c>
      <c r="G698" t="inlineStr">
        <is>
          <t>Mbantinbang</t>
        </is>
      </c>
      <c r="H698" t="inlineStr">
        <is>
          <t>NOKIA</t>
        </is>
      </c>
      <c r="I698" t="n">
        <v>0</v>
      </c>
      <c r="J698" t="n">
        <v>0</v>
      </c>
      <c r="K698" t="n">
        <v>0</v>
      </c>
      <c r="L698" t="n">
        <v>0</v>
      </c>
      <c r="M698" t="n">
        <v>0.01908534542834358</v>
      </c>
      <c r="N698" t="n">
        <v>0.2661524965129152</v>
      </c>
      <c r="O698" t="n">
        <v>0.1299135937110173</v>
      </c>
      <c r="P698" t="n">
        <v>0.1649823690483228</v>
      </c>
      <c r="Q698" t="n">
        <v>0.1676564615318091</v>
      </c>
      <c r="R698" t="inlineStr">
        <is>
          <t>Operationnel</t>
        </is>
      </c>
      <c r="S698" t="inlineStr"/>
      <c r="T698" t="inlineStr"/>
      <c r="U698" t="inlineStr"/>
      <c r="V698" t="inlineStr"/>
      <c r="W698" t="inlineStr"/>
      <c r="X698" t="inlineStr">
        <is>
          <t>{05-25-2026 ticket}: INC-20260525-00017985..Others</t>
        </is>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is>
          <t>{05-25-2026 ticket}: INC-20260525-00017985..Others</t>
        </is>
      </c>
      <c r="AR698" t="inlineStr"/>
    </row>
    <row r="699">
      <c r="A699" t="inlineStr">
        <is>
          <t>Ngoum-II-MTN</t>
        </is>
      </c>
      <c r="B699" t="inlineStr">
        <is>
          <t>CTR_367</t>
        </is>
      </c>
      <c r="C699" t="inlineStr">
        <is>
          <t>CENTRE</t>
        </is>
      </c>
      <c r="D699" t="inlineStr">
        <is>
          <t>IHS</t>
        </is>
      </c>
      <c r="E699" t="inlineStr">
        <is>
          <t>Solar-Gen</t>
        </is>
      </c>
      <c r="F699" t="inlineStr">
        <is>
          <t>CENTRE</t>
        </is>
      </c>
      <c r="G699" t="inlineStr">
        <is>
          <t>Ngoum-II</t>
        </is>
      </c>
      <c r="H699" t="inlineStr">
        <is>
          <t>NOKIA</t>
        </is>
      </c>
      <c r="I699" t="n">
        <v>0.006331452802675454</v>
      </c>
      <c r="J699" t="n">
        <v>0.2832210436802474</v>
      </c>
      <c r="K699" t="n">
        <v>0</v>
      </c>
      <c r="L699" t="n">
        <v>0</v>
      </c>
      <c r="M699" t="n">
        <v>0.02850045515119913</v>
      </c>
      <c r="N699" t="n">
        <v>0.2241875791838023</v>
      </c>
      <c r="O699" t="n">
        <v>0.1333467636368583</v>
      </c>
      <c r="P699" t="n">
        <v>0.1699072158855869</v>
      </c>
      <c r="Q699" t="n">
        <v>0.1653846812372128</v>
      </c>
      <c r="R699" t="inlineStr">
        <is>
          <t>Operationnel</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row>
    <row r="700">
      <c r="A700" t="inlineStr">
        <is>
          <t>Stade-Omnisport-Roumde-Adja</t>
        </is>
      </c>
      <c r="B700" t="inlineStr">
        <is>
          <t>NRD_174</t>
        </is>
      </c>
      <c r="C700" t="inlineStr">
        <is>
          <t>Garoua</t>
        </is>
      </c>
      <c r="D700" t="inlineStr">
        <is>
          <t>CAMUSAT</t>
        </is>
      </c>
      <c r="E700" t="inlineStr">
        <is>
          <t>Medium Grid + GE</t>
        </is>
      </c>
      <c r="F700" t="inlineStr">
        <is>
          <t>NORD</t>
        </is>
      </c>
      <c r="G700" t="inlineStr">
        <is>
          <t>Garoua</t>
        </is>
      </c>
      <c r="H700" t="inlineStr">
        <is>
          <t>Huawei</t>
        </is>
      </c>
      <c r="I700" t="n">
        <v>0</v>
      </c>
      <c r="J700" t="n">
        <v>0</v>
      </c>
      <c r="K700" t="n">
        <v>0</v>
      </c>
      <c r="L700" t="n">
        <v>0.6299171310921061</v>
      </c>
      <c r="M700" t="n">
        <v>0</v>
      </c>
      <c r="N700" t="n">
        <v>0.2285589247389183</v>
      </c>
      <c r="O700" t="n">
        <v>0.2770531364008827</v>
      </c>
      <c r="P700" t="n">
        <v>0.07592472207447684</v>
      </c>
      <c r="Q700" t="n">
        <v>0.1652420006106731</v>
      </c>
      <c r="R700" t="inlineStr">
        <is>
          <t>Operationnel</t>
        </is>
      </c>
      <c r="S700" t="inlineStr"/>
      <c r="T700" t="inlineStr"/>
      <c r="U700" t="inlineStr"/>
      <c r="V700" t="inlineStr"/>
      <c r="W700" t="inlineStr"/>
      <c r="X700" t="inlineStr">
        <is>
          <t xml:space="preserve">{05-25-2026 retour CAMUSAT}: No power issue </t>
        </is>
      </c>
      <c r="Y700" t="inlineStr">
        <is>
          <t>No power issue</t>
        </is>
      </c>
      <c r="Z700" t="inlineStr"/>
      <c r="AA700" t="inlineStr"/>
      <c r="AB700" t="inlineStr"/>
      <c r="AC700" t="inlineStr">
        <is>
          <t xml:space="preserve">{05-25-2026 retour CAMUSAT}: No power issue </t>
        </is>
      </c>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row>
    <row r="701">
      <c r="A701" t="inlineStr">
        <is>
          <t>Minkwele-II</t>
        </is>
      </c>
      <c r="B701" t="inlineStr">
        <is>
          <t>LIT_621</t>
        </is>
      </c>
      <c r="C701" t="inlineStr">
        <is>
          <t>Douala</t>
        </is>
      </c>
      <c r="D701" t="inlineStr">
        <is>
          <t>IHS</t>
        </is>
      </c>
      <c r="E701" t="inlineStr">
        <is>
          <t>Grid-Gen</t>
        </is>
      </c>
      <c r="F701" t="inlineStr">
        <is>
          <t>LITTORAL</t>
        </is>
      </c>
      <c r="G701" t="inlineStr">
        <is>
          <t>Douala</t>
        </is>
      </c>
      <c r="H701" t="inlineStr">
        <is>
          <t>ZTE</t>
        </is>
      </c>
      <c r="I701" t="n">
        <v>0</v>
      </c>
      <c r="J701" t="n">
        <v>0</v>
      </c>
      <c r="K701" t="n">
        <v>3.082989473023374</v>
      </c>
      <c r="L701" t="n">
        <v>7.8558347815417</v>
      </c>
      <c r="M701" t="n">
        <v>0</v>
      </c>
      <c r="N701" t="n">
        <v>0.07980828027768785</v>
      </c>
      <c r="O701" t="n">
        <v>0.06731089622625487</v>
      </c>
      <c r="P701" t="n">
        <v>0.2451821317801465</v>
      </c>
      <c r="Q701" t="n">
        <v>0.1618533357303681</v>
      </c>
      <c r="R701" t="inlineStr">
        <is>
          <t>Operationnel</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row>
    <row r="702">
      <c r="A702" t="inlineStr">
        <is>
          <t>Pang-Camtel</t>
        </is>
      </c>
      <c r="B702" t="inlineStr">
        <is>
          <t>ADM_038</t>
        </is>
      </c>
      <c r="C702" t="inlineStr">
        <is>
          <t>ADAMAOUA</t>
        </is>
      </c>
      <c r="D702" t="inlineStr">
        <is>
          <t>CAMUSAT</t>
        </is>
      </c>
      <c r="E702" t="inlineStr">
        <is>
          <t>Hybrid Solar - S3</t>
        </is>
      </c>
      <c r="F702" t="inlineStr">
        <is>
          <t>ADAMAOUA</t>
        </is>
      </c>
      <c r="G702" t="inlineStr">
        <is>
          <t>Pang</t>
        </is>
      </c>
      <c r="H702" t="inlineStr">
        <is>
          <t>NOKIA</t>
        </is>
      </c>
      <c r="I702" t="n">
        <v>0.003638355976748765</v>
      </c>
      <c r="J702" t="n">
        <v>0</v>
      </c>
      <c r="K702" t="n">
        <v>0.001427054017825275</v>
      </c>
      <c r="L702" t="n">
        <v>0.01995974434717727</v>
      </c>
      <c r="M702" t="n">
        <v>0.03396204076767879</v>
      </c>
      <c r="N702" t="n">
        <v>0.5271842739469803</v>
      </c>
      <c r="O702" t="n">
        <v>0.2550451067586122</v>
      </c>
      <c r="P702" t="n">
        <v>0</v>
      </c>
      <c r="Q702" t="n">
        <v>0.1609034496110608</v>
      </c>
      <c r="R702" t="inlineStr">
        <is>
          <t>Operationnel</t>
        </is>
      </c>
      <c r="S702" t="inlineStr"/>
      <c r="T702" t="inlineStr"/>
      <c r="U702" t="inlineStr"/>
      <c r="V702" t="inlineStr"/>
      <c r="W702" t="inlineStr"/>
      <c r="X702" t="inlineStr">
        <is>
          <t xml:space="preserve">{05/25/2026 cell nokia}: 
25/05/2026; Relance faite au PM 
22/05/2026 : Check breaker and  interconnection (sfp, optical fiber) between system and radio module, swap its if needed || FME activer || En attente d'un ETA pour intervention      ;    {05/25/2026 cell nokia}: 
25/05/2026; Relance faite au PM 
22/05/2026 : Check breaker and  interconnection (sfp, optical fiber) between system and radio module, swap its if needed || FME activer || En attente d'un ETA pour intervention </t>
        </is>
      </c>
      <c r="Y702" t="inlineStr">
        <is>
          <t>25/05/2026; Relance faite au PM
22/05/2026 Check breaker and interconnection (sfp, optical fiber) between system and radio module, swap its if needed || FME activer || En attente d'un ETA pour intervention 25/05/2026; Relance faite au PM
22/05/2026 Check breaker and interconnection (sfp, optical fiber) between system and radio module, swap its if needed || FME activer || En attente d'un ETA pour intervention</t>
        </is>
      </c>
      <c r="Z702" t="inlineStr"/>
      <c r="AA702" t="inlineStr"/>
      <c r="AB702" t="inlineStr"/>
      <c r="AC702" t="inlineStr"/>
      <c r="AD702" t="inlineStr"/>
      <c r="AE702" t="inlineStr"/>
      <c r="AF702" t="inlineStr">
        <is>
          <t xml:space="preserve">{05/25/2026 cell nokia}: 
25/05/2026; Relance faite au PM 
22/05/2026 : Check breaker and  interconnection (sfp, optical fiber) between system and radio module, swap its if needed || FME activer || En attente d'un ETA pour intervention </t>
        </is>
      </c>
      <c r="AG702" t="inlineStr"/>
      <c r="AH702" t="inlineStr">
        <is>
          <t xml:space="preserve">{05/25/2026 cell nokia}: 
25/05/2026; Relance faite au PM 
22/05/2026 : Check breaker and  interconnection (sfp, optical fiber) between system and radio module, swap its if needed || FME activer || En attente d'un ETA pour intervention </t>
        </is>
      </c>
      <c r="AI702" t="inlineStr"/>
      <c r="AJ702" t="inlineStr"/>
      <c r="AK702" t="inlineStr"/>
      <c r="AL702" t="inlineStr"/>
      <c r="AM702" t="inlineStr"/>
      <c r="AN702" t="inlineStr"/>
      <c r="AO702" t="inlineStr"/>
      <c r="AP702" t="inlineStr"/>
      <c r="AQ702" t="inlineStr"/>
      <c r="AR702" t="inlineStr"/>
    </row>
    <row r="703">
      <c r="A703" t="inlineStr">
        <is>
          <t>Fougerole-MTN-IHS</t>
        </is>
      </c>
      <c r="B703" t="inlineStr">
        <is>
          <t>CTR_473</t>
        </is>
      </c>
      <c r="C703" t="inlineStr">
        <is>
          <t>Yaounde</t>
        </is>
      </c>
      <c r="D703" t="inlineStr">
        <is>
          <t>IHS</t>
        </is>
      </c>
      <c r="E703" t="inlineStr">
        <is>
          <t>Grid-Gen</t>
        </is>
      </c>
      <c r="F703" t="inlineStr">
        <is>
          <t>CENTRE</t>
        </is>
      </c>
      <c r="G703" t="inlineStr">
        <is>
          <t>Yaounde</t>
        </is>
      </c>
      <c r="H703" t="inlineStr">
        <is>
          <t>ZTE</t>
        </is>
      </c>
      <c r="I703" t="n">
        <v>0</v>
      </c>
      <c r="J703" t="n">
        <v>0</v>
      </c>
      <c r="K703" t="n">
        <v>0</v>
      </c>
      <c r="L703" t="n">
        <v>0.001551651813613444</v>
      </c>
      <c r="M703" t="n">
        <v>0</v>
      </c>
      <c r="N703" t="n">
        <v>0.08205640084889032</v>
      </c>
      <c r="O703" t="n">
        <v>0.06980782765690373</v>
      </c>
      <c r="P703" t="n">
        <v>0.2311257980987907</v>
      </c>
      <c r="Q703" t="n">
        <v>0.1556823986325487</v>
      </c>
      <c r="R703" t="inlineStr">
        <is>
          <t>Operationnel</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row>
    <row r="704">
      <c r="A704" t="inlineStr">
        <is>
          <t>Gor-IHS</t>
        </is>
      </c>
      <c r="B704" t="inlineStr">
        <is>
          <t>NRD_091</t>
        </is>
      </c>
      <c r="C704" t="inlineStr">
        <is>
          <t>NORD</t>
        </is>
      </c>
      <c r="D704" t="inlineStr">
        <is>
          <t>IHS</t>
        </is>
      </c>
      <c r="E704" t="inlineStr">
        <is>
          <t>Hybrid-Gen</t>
        </is>
      </c>
      <c r="F704" t="inlineStr">
        <is>
          <t>NORD</t>
        </is>
      </c>
      <c r="G704" t="inlineStr">
        <is>
          <t>Gor</t>
        </is>
      </c>
      <c r="H704" t="inlineStr">
        <is>
          <t>NOKIA</t>
        </is>
      </c>
      <c r="I704" t="n">
        <v>0.10793789397688</v>
      </c>
      <c r="J704" t="n">
        <v>0</v>
      </c>
      <c r="K704" t="n">
        <v>0</v>
      </c>
      <c r="L704" t="n">
        <v>0.8426326273989756</v>
      </c>
      <c r="M704" t="n">
        <v>0.6808745003674205</v>
      </c>
      <c r="N704" t="n">
        <v>0.4475008892565815</v>
      </c>
      <c r="O704" t="n">
        <v>0.27335012122799</v>
      </c>
      <c r="P704" t="n">
        <v>0</v>
      </c>
      <c r="Q704" t="n">
        <v>0.1556698741322711</v>
      </c>
      <c r="R704" t="inlineStr">
        <is>
          <t>Operationnel</t>
        </is>
      </c>
      <c r="S704" t="inlineStr"/>
      <c r="T704" t="inlineStr"/>
      <c r="U704" t="inlineStr"/>
      <c r="V704" t="inlineStr"/>
      <c r="W704" t="inlineStr"/>
      <c r="X704" t="inlineStr">
        <is>
          <t>{05-25-2026 ticket}: INC-20260525-00007680..Grid Outage</t>
        </is>
      </c>
      <c r="Y704" t="inlineStr">
        <is>
          <t>.Grid Outage</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{05-25-2026 ticket}: INC-20260525-00007680..Grid Outage</t>
        </is>
      </c>
      <c r="AR704" t="inlineStr"/>
    </row>
    <row r="705">
      <c r="A705" t="inlineStr">
        <is>
          <t>Memve-ele-CAMTEL</t>
        </is>
      </c>
      <c r="B705" t="inlineStr">
        <is>
          <t>SUD_257</t>
        </is>
      </c>
      <c r="C705" t="inlineStr">
        <is>
          <t>CENTRE</t>
        </is>
      </c>
      <c r="D705" t="inlineStr">
        <is>
          <t>CAMUSAT</t>
        </is>
      </c>
      <c r="E705" t="inlineStr">
        <is>
          <t>Hybrid Solar - S3</t>
        </is>
      </c>
      <c r="F705" t="inlineStr">
        <is>
          <t>SUD</t>
        </is>
      </c>
      <c r="G705" t="inlineStr">
        <is>
          <t>Memve-ele</t>
        </is>
      </c>
      <c r="H705" t="inlineStr">
        <is>
          <t>NOKIA</t>
        </is>
      </c>
      <c r="I705" t="n">
        <v>0.08439559059791743</v>
      </c>
      <c r="J705" t="n">
        <v>0.06065710135746348</v>
      </c>
      <c r="K705" t="n">
        <v>0.03900531628014485</v>
      </c>
      <c r="L705" t="n">
        <v>0.05785699406163232</v>
      </c>
      <c r="M705" t="n">
        <v>0.06449164319570361</v>
      </c>
      <c r="N705" t="n">
        <v>1.070979661003401</v>
      </c>
      <c r="O705" t="n">
        <v>0</v>
      </c>
      <c r="P705" t="n">
        <v>0</v>
      </c>
      <c r="Q705" t="n">
        <v>0.1529357965716699</v>
      </c>
      <c r="R705" t="inlineStr">
        <is>
          <t>Operationnel</t>
        </is>
      </c>
      <c r="S705" t="inlineStr"/>
      <c r="T705" t="inlineStr"/>
      <c r="U705" t="inlineStr"/>
      <c r="V705" t="inlineStr"/>
      <c r="W705" t="inlineStr"/>
      <c r="X705" t="inlineStr">
        <is>
          <t xml:space="preserve">{05-25-2026 retour CAMUSAT}: No power issue </t>
        </is>
      </c>
      <c r="Y705" t="inlineStr">
        <is>
          <t>No power issue</t>
        </is>
      </c>
      <c r="Z705" t="inlineStr"/>
      <c r="AA705" t="inlineStr"/>
      <c r="AB705" t="inlineStr"/>
      <c r="AC705" t="inlineStr">
        <is>
          <t xml:space="preserve">{05-25-2026 retour CAMUSAT}: No power issue </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row>
    <row r="706">
      <c r="A706" t="inlineStr">
        <is>
          <t>Bomono-ba-mbengue-IHS</t>
        </is>
      </c>
      <c r="B706" t="inlineStr">
        <is>
          <t>LIT_790</t>
        </is>
      </c>
      <c r="C706" t="inlineStr">
        <is>
          <t>douala</t>
        </is>
      </c>
      <c r="D706" t="inlineStr">
        <is>
          <t>IHS</t>
        </is>
      </c>
      <c r="E706" t="inlineStr">
        <is>
          <t>Grid-Gen</t>
        </is>
      </c>
      <c r="F706" t="inlineStr">
        <is>
          <t>LITTORAL</t>
        </is>
      </c>
      <c r="G706" t="inlineStr">
        <is>
          <t>Dibombari</t>
        </is>
      </c>
      <c r="H706" t="inlineStr">
        <is>
          <t>ZTE</t>
        </is>
      </c>
      <c r="I706" t="n">
        <v>0</v>
      </c>
      <c r="J706" t="n">
        <v>0</v>
      </c>
      <c r="K706" t="n">
        <v>0</v>
      </c>
      <c r="L706" t="n">
        <v>0.03518860952022221</v>
      </c>
      <c r="M706" t="n">
        <v>0</v>
      </c>
      <c r="N706" t="n">
        <v>0.1181512255754189</v>
      </c>
      <c r="O706" t="n">
        <v>0.1022148100547062</v>
      </c>
      <c r="P706" t="n">
        <v>0.1872125804665248</v>
      </c>
      <c r="Q706" t="n">
        <v>0.1488158934803508</v>
      </c>
      <c r="R706" t="inlineStr">
        <is>
          <t>Operationnel</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row>
    <row r="707">
      <c r="A707" t="inlineStr">
        <is>
          <t>Sangmelima-Akon-MTN</t>
        </is>
      </c>
      <c r="B707" t="inlineStr">
        <is>
          <t>SUD_258</t>
        </is>
      </c>
      <c r="C707" t="inlineStr">
        <is>
          <t>CENTRE</t>
        </is>
      </c>
      <c r="D707" t="inlineStr">
        <is>
          <t>IHS</t>
        </is>
      </c>
      <c r="E707" t="inlineStr">
        <is>
          <t>Grid-Gen</t>
        </is>
      </c>
      <c r="F707" t="inlineStr">
        <is>
          <t>SUD</t>
        </is>
      </c>
      <c r="G707" t="inlineStr">
        <is>
          <t>Sangmelima</t>
        </is>
      </c>
      <c r="H707" t="inlineStr">
        <is>
          <t>ZTE</t>
        </is>
      </c>
      <c r="I707" t="n">
        <v>0</v>
      </c>
      <c r="J707" t="n">
        <v>0</v>
      </c>
      <c r="K707" t="n">
        <v>0</v>
      </c>
      <c r="L707" t="n">
        <v>0</v>
      </c>
      <c r="M707" t="n">
        <v>0.03456438177911278</v>
      </c>
      <c r="N707" t="n">
        <v>0.02185672777557962</v>
      </c>
      <c r="O707" t="n">
        <v>0.03952589328519035</v>
      </c>
      <c r="P707" t="n">
        <v>0.2494229721122336</v>
      </c>
      <c r="Q707" t="n">
        <v>0.1464616631424557</v>
      </c>
      <c r="R707" t="inlineStr">
        <is>
          <t>Operationnel</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row>
    <row r="708">
      <c r="A708" t="inlineStr">
        <is>
          <t>SUD_172_Z_Ebolowa-EPC-ELAT</t>
        </is>
      </c>
      <c r="B708" t="inlineStr">
        <is>
          <t>SUD_172</t>
        </is>
      </c>
      <c r="C708" t="inlineStr">
        <is>
          <t>CENTRE</t>
        </is>
      </c>
      <c r="D708" t="inlineStr">
        <is>
          <t>ESCO</t>
        </is>
      </c>
      <c r="E708" t="inlineStr">
        <is>
          <t>Hybrid Solar - S1</t>
        </is>
      </c>
      <c r="F708" t="inlineStr">
        <is>
          <t>SUD</t>
        </is>
      </c>
      <c r="G708" t="inlineStr">
        <is>
          <t>Ebolowa</t>
        </is>
      </c>
      <c r="H708" t="inlineStr">
        <is>
          <t>ZTE</t>
        </is>
      </c>
      <c r="I708" t="n">
        <v>13.7471000162656</v>
      </c>
      <c r="J708" t="n">
        <v>0</v>
      </c>
      <c r="K708" t="n">
        <v>0</v>
      </c>
      <c r="L708" t="n">
        <v>0</v>
      </c>
      <c r="M708" t="n">
        <v>0</v>
      </c>
      <c r="N708" t="n">
        <v>0.0007493735237341583</v>
      </c>
      <c r="O708" t="n">
        <v>0.006003260673691314</v>
      </c>
      <c r="P708" t="n">
        <v>0.2732605988175986</v>
      </c>
      <c r="Q708" t="n">
        <v>0.1446246500757633</v>
      </c>
      <c r="R708" t="inlineStr">
        <is>
          <t>Operationnel</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row>
    <row r="709">
      <c r="A709" t="inlineStr">
        <is>
          <t>Yingui-IHS</t>
        </is>
      </c>
      <c r="B709" t="inlineStr">
        <is>
          <t>LIT_180</t>
        </is>
      </c>
      <c r="C709" t="inlineStr">
        <is>
          <t>LITTORAL</t>
        </is>
      </c>
      <c r="D709" t="inlineStr">
        <is>
          <t>IHS</t>
        </is>
      </c>
      <c r="E709" t="inlineStr">
        <is>
          <t>Solar-Gen</t>
        </is>
      </c>
      <c r="F709" t="inlineStr">
        <is>
          <t>LITTORAL</t>
        </is>
      </c>
      <c r="G709" t="inlineStr">
        <is>
          <t>Yingui</t>
        </is>
      </c>
      <c r="H709" t="inlineStr">
        <is>
          <t>NOKIA</t>
        </is>
      </c>
      <c r="I709" t="n">
        <v>0</v>
      </c>
      <c r="J709" t="n">
        <v>0.004868976380649083</v>
      </c>
      <c r="K709" t="n">
        <v>0.0170146647147957</v>
      </c>
      <c r="L709" t="n">
        <v>0</v>
      </c>
      <c r="M709" t="n">
        <v>0.01075455222538973</v>
      </c>
      <c r="N709" t="n">
        <v>1.011404465866536</v>
      </c>
      <c r="O709" t="n">
        <v>0</v>
      </c>
      <c r="P709" t="n">
        <v>0</v>
      </c>
      <c r="Q709" t="n">
        <v>0.1444284642142721</v>
      </c>
      <c r="R709" t="inlineStr">
        <is>
          <t>Operationnel</t>
        </is>
      </c>
      <c r="S709" t="inlineStr"/>
      <c r="T709" t="inlineStr"/>
      <c r="U709" t="inlineStr"/>
      <c r="V709" t="inlineStr"/>
      <c r="W709" t="inlineStr"/>
      <c r="X709" t="inlineStr">
        <is>
          <t>{05-25-2026 ticket}: INC-20260525-00016773..Others</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is>
          <t>{05-25-2026 ticket}: INC-20260525-00016773..Others</t>
        </is>
      </c>
      <c r="AR709" t="inlineStr"/>
    </row>
    <row r="710">
      <c r="A710" t="inlineStr">
        <is>
          <t>Garoua-Kolbives</t>
        </is>
      </c>
      <c r="B710" t="inlineStr">
        <is>
          <t>NRD_049</t>
        </is>
      </c>
      <c r="C710" t="inlineStr">
        <is>
          <t>Garoua</t>
        </is>
      </c>
      <c r="D710" t="inlineStr">
        <is>
          <t>IHS</t>
        </is>
      </c>
      <c r="E710" t="inlineStr">
        <is>
          <t>Grid-Gen</t>
        </is>
      </c>
      <c r="F710" t="inlineStr">
        <is>
          <t>NORD</t>
        </is>
      </c>
      <c r="G710" t="inlineStr">
        <is>
          <t>Garoua</t>
        </is>
      </c>
      <c r="H710" t="inlineStr">
        <is>
          <t>Huawei</t>
        </is>
      </c>
      <c r="I710" t="n">
        <v>1.181752289310653</v>
      </c>
      <c r="J710" t="n">
        <v>0</v>
      </c>
      <c r="K710" t="n">
        <v>12.14401183678478</v>
      </c>
      <c r="L710" t="n">
        <v>9.002041759765776</v>
      </c>
      <c r="M710" t="n">
        <v>4.9220000684867</v>
      </c>
      <c r="N710" t="n">
        <v>0.1217731976068007</v>
      </c>
      <c r="O710" t="n">
        <v>0.1561910299172761</v>
      </c>
      <c r="P710" t="n">
        <v>0.1368013010350934</v>
      </c>
      <c r="Q710" t="n">
        <v>0.1411646448821886</v>
      </c>
      <c r="R710" t="inlineStr">
        <is>
          <t>Operationnel</t>
        </is>
      </c>
      <c r="S710" t="inlineStr"/>
      <c r="T710" t="inlineStr"/>
      <c r="U710" t="inlineStr"/>
      <c r="V710" t="inlineStr"/>
      <c r="W710" t="inlineStr"/>
      <c r="X710" t="inlineStr">
        <is>
          <t>{05-25-2026 retour IHS}: IHS</t>
        </is>
      </c>
      <c r="Y710" t="inlineStr">
        <is>
          <t>IHS</t>
        </is>
      </c>
      <c r="Z710" t="inlineStr"/>
      <c r="AA710" t="inlineStr"/>
      <c r="AB710" t="inlineStr"/>
      <c r="AC710" t="inlineStr"/>
      <c r="AD710" t="inlineStr">
        <is>
          <t>{05-25-2026 retour IHS}: IHS</t>
        </is>
      </c>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row>
    <row r="711">
      <c r="A711" t="inlineStr">
        <is>
          <t>Deng-Deng-IHS</t>
        </is>
      </c>
      <c r="B711" t="inlineStr">
        <is>
          <t>EST_093</t>
        </is>
      </c>
      <c r="C711" t="inlineStr">
        <is>
          <t>CENTRE</t>
        </is>
      </c>
      <c r="D711" t="inlineStr">
        <is>
          <t>IHS</t>
        </is>
      </c>
      <c r="E711" t="inlineStr">
        <is>
          <t>Hybrid-Gen</t>
        </is>
      </c>
      <c r="F711" t="inlineStr">
        <is>
          <t>EST</t>
        </is>
      </c>
      <c r="G711" t="inlineStr">
        <is>
          <t>Deng-Deng</t>
        </is>
      </c>
      <c r="H711" t="inlineStr">
        <is>
          <t>NOKIA</t>
        </is>
      </c>
      <c r="I711" t="n">
        <v>0.00115928009063063</v>
      </c>
      <c r="J711" t="n">
        <v>0</v>
      </c>
      <c r="K711" t="n">
        <v>0</v>
      </c>
      <c r="L711" t="n">
        <v>0</v>
      </c>
      <c r="M711" t="n">
        <v>0.8518746807520983</v>
      </c>
      <c r="N711" t="n">
        <v>0.4706065729050514</v>
      </c>
      <c r="O711" t="n">
        <v>0.2191455776900564</v>
      </c>
      <c r="P711" t="n">
        <v>0</v>
      </c>
      <c r="Q711" t="n">
        <v>0.1407722731592061</v>
      </c>
      <c r="R711" t="inlineStr">
        <is>
          <t>Operationnel</t>
        </is>
      </c>
      <c r="S711" t="inlineStr"/>
      <c r="T711" t="inlineStr"/>
      <c r="U711" t="inlineStr"/>
      <c r="V711" t="inlineStr"/>
      <c r="W711" t="inlineStr"/>
      <c r="X711" t="inlineStr">
        <is>
          <t>{05-25-2026 ticket}: INC-20260525-00019857..Grid Outage</t>
        </is>
      </c>
      <c r="Y711" t="inlineStr">
        <is>
          <t>.Grid Outage</t>
        </is>
      </c>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is>
          <t>{05-25-2026 ticket}: INC-20260525-00019857..Grid Outage</t>
        </is>
      </c>
      <c r="AR711" t="inlineStr"/>
    </row>
    <row r="712">
      <c r="A712" t="inlineStr">
        <is>
          <t>Dschang-Foto-II</t>
        </is>
      </c>
      <c r="B712" t="inlineStr">
        <is>
          <t>OST_123</t>
        </is>
      </c>
      <c r="C712" t="inlineStr">
        <is>
          <t>OUEST</t>
        </is>
      </c>
      <c r="D712" t="inlineStr">
        <is>
          <t>IHS</t>
        </is>
      </c>
      <c r="E712" t="inlineStr">
        <is>
          <t>Grid-Gen</t>
        </is>
      </c>
      <c r="F712" t="inlineStr">
        <is>
          <t>OUEST</t>
        </is>
      </c>
      <c r="G712" t="inlineStr">
        <is>
          <t>Dschang</t>
        </is>
      </c>
      <c r="H712" t="inlineStr">
        <is>
          <t>Huawei</t>
        </is>
      </c>
      <c r="I712" t="n">
        <v>0.7933934589493571</v>
      </c>
      <c r="J712" t="n">
        <v>0.002407735572848446</v>
      </c>
      <c r="K712" t="n">
        <v>0</v>
      </c>
      <c r="L712" t="n">
        <v>0</v>
      </c>
      <c r="M712" t="n">
        <v>3.117964061603787</v>
      </c>
      <c r="N712" t="n">
        <v>0.1311403666534777</v>
      </c>
      <c r="O712" t="n">
        <v>0.1710132398992217</v>
      </c>
      <c r="P712" t="n">
        <v>0.1234631741841718</v>
      </c>
      <c r="Q712" t="n">
        <v>0.1405225820627624</v>
      </c>
      <c r="R712" t="inlineStr">
        <is>
          <t>Operationnel</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row>
    <row r="713">
      <c r="A713" t="inlineStr">
        <is>
          <t>Ebolowa-Elat</t>
        </is>
      </c>
      <c r="B713" t="inlineStr">
        <is>
          <t>SUD_217</t>
        </is>
      </c>
      <c r="C713" t="inlineStr">
        <is>
          <t>CENTRE</t>
        </is>
      </c>
      <c r="D713" t="inlineStr">
        <is>
          <t>IHS</t>
        </is>
      </c>
      <c r="E713" t="inlineStr">
        <is>
          <t>Grid-Gen</t>
        </is>
      </c>
      <c r="F713" t="inlineStr">
        <is>
          <t>SUD</t>
        </is>
      </c>
      <c r="G713" t="inlineStr">
        <is>
          <t>Ebolowa</t>
        </is>
      </c>
      <c r="H713" t="inlineStr">
        <is>
          <t>ZTE</t>
        </is>
      </c>
      <c r="I713" t="n">
        <v>0</v>
      </c>
      <c r="J713" t="n">
        <v>0</v>
      </c>
      <c r="K713" t="n">
        <v>0</v>
      </c>
      <c r="L713" t="n">
        <v>0</v>
      </c>
      <c r="M713" t="n">
        <v>0</v>
      </c>
      <c r="N713" t="n">
        <v>0.001498747047468317</v>
      </c>
      <c r="O713" t="n">
        <v>0.005737629670431448</v>
      </c>
      <c r="P713" t="n">
        <v>0.2648473188039407</v>
      </c>
      <c r="Q713" t="n">
        <v>0.1402550558880017</v>
      </c>
      <c r="R713" t="inlineStr">
        <is>
          <t>Operationnel</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row>
    <row r="714">
      <c r="A714" t="inlineStr">
        <is>
          <t>Mbamti-New</t>
        </is>
      </c>
      <c r="B714" t="inlineStr">
        <is>
          <t>ADM_154</t>
        </is>
      </c>
      <c r="C714" t="inlineStr">
        <is>
          <t>ADAMAOUA</t>
        </is>
      </c>
      <c r="D714" t="inlineStr">
        <is>
          <t>IHS</t>
        </is>
      </c>
      <c r="E714" t="inlineStr">
        <is>
          <t>Solar-Gen</t>
        </is>
      </c>
      <c r="F714" t="inlineStr">
        <is>
          <t>ADAMAOUA</t>
        </is>
      </c>
      <c r="G714" t="inlineStr">
        <is>
          <t>Mbamti</t>
        </is>
      </c>
      <c r="H714" t="inlineStr">
        <is>
          <t>NOKIA</t>
        </is>
      </c>
      <c r="I714" t="n">
        <v>0.423868471291231</v>
      </c>
      <c r="J714" t="n">
        <v>0</v>
      </c>
      <c r="K714" t="n">
        <v>0.06952424767115724</v>
      </c>
      <c r="L714" t="n">
        <v>0</v>
      </c>
      <c r="M714" t="n">
        <v>0.02741513726867049</v>
      </c>
      <c r="N714" t="n">
        <v>0.3218559284438209</v>
      </c>
      <c r="O714" t="n">
        <v>0.1458567431413494</v>
      </c>
      <c r="P714" t="n">
        <v>0.07982355915397732</v>
      </c>
      <c r="Q714" t="n">
        <v>0.1365538606033628</v>
      </c>
      <c r="R714" t="inlineStr">
        <is>
          <t>Operationnel</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row>
    <row r="715">
      <c r="A715" t="inlineStr">
        <is>
          <t>Feu-Rouge-Bessengue</t>
        </is>
      </c>
      <c r="B715" t="inlineStr">
        <is>
          <t>LIT_417</t>
        </is>
      </c>
      <c r="C715" t="inlineStr">
        <is>
          <t>Douala</t>
        </is>
      </c>
      <c r="D715" t="inlineStr">
        <is>
          <t>IHS</t>
        </is>
      </c>
      <c r="E715" t="inlineStr">
        <is>
          <t>Grid-Gen</t>
        </is>
      </c>
      <c r="F715" t="inlineStr">
        <is>
          <t>LITTORAL</t>
        </is>
      </c>
      <c r="G715" t="inlineStr">
        <is>
          <t>Douala</t>
        </is>
      </c>
      <c r="H715" t="inlineStr">
        <is>
          <t>ZTE</t>
        </is>
      </c>
      <c r="I715" t="n">
        <v>0</v>
      </c>
      <c r="J715" t="n">
        <v>0</v>
      </c>
      <c r="K715" t="n">
        <v>0</v>
      </c>
      <c r="L715" t="n">
        <v>0.4816362899612764</v>
      </c>
      <c r="M715" t="n">
        <v>0.2686497846949349</v>
      </c>
      <c r="N715" t="n">
        <v>0.0497084437410325</v>
      </c>
      <c r="O715" t="n">
        <v>0.04335097973214159</v>
      </c>
      <c r="P715" t="n">
        <v>0.2182664758014914</v>
      </c>
      <c r="Q715" t="n">
        <v>0.1354752548989392</v>
      </c>
      <c r="R715" t="inlineStr">
        <is>
          <t>Operationnel</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row>
    <row r="716">
      <c r="A716" t="inlineStr">
        <is>
          <t>Garoua-Rte-Gashiga</t>
        </is>
      </c>
      <c r="B716" t="inlineStr">
        <is>
          <t>NRD_159</t>
        </is>
      </c>
      <c r="C716" t="inlineStr">
        <is>
          <t>Garoua</t>
        </is>
      </c>
      <c r="D716" t="inlineStr">
        <is>
          <t>CAMUSAT</t>
        </is>
      </c>
      <c r="E716" t="inlineStr">
        <is>
          <t>Medium Grid + Solar + GE</t>
        </is>
      </c>
      <c r="F716" t="inlineStr">
        <is>
          <t>NORD</t>
        </is>
      </c>
      <c r="G716" t="inlineStr">
        <is>
          <t>Garoua</t>
        </is>
      </c>
      <c r="H716" t="inlineStr">
        <is>
          <t>Huawei</t>
        </is>
      </c>
      <c r="I716" t="n">
        <v>0</v>
      </c>
      <c r="J716" t="n">
        <v>0.2466056278946332</v>
      </c>
      <c r="K716" t="n">
        <v>0</v>
      </c>
      <c r="L716" t="n">
        <v>0.08790910102644443</v>
      </c>
      <c r="M716" t="n">
        <v>8.917539158697954e-05</v>
      </c>
      <c r="N716" t="n">
        <v>0.1711069545859661</v>
      </c>
      <c r="O716" t="n">
        <v>0.2938941420076094</v>
      </c>
      <c r="P716" t="n">
        <v>0.01710016262938667</v>
      </c>
      <c r="Q716" t="n">
        <v>0.1320152497053645</v>
      </c>
      <c r="R716" t="inlineStr">
        <is>
          <t>Operationnel</t>
        </is>
      </c>
      <c r="S716" t="inlineStr"/>
      <c r="T716" t="inlineStr"/>
      <c r="U716" t="inlineStr"/>
      <c r="V716" t="inlineStr"/>
      <c r="W716" t="inlineStr"/>
      <c r="X716" t="inlineStr">
        <is>
          <t>{05-25-2026 retour CAMUSAT}: Batterie GE faulty</t>
        </is>
      </c>
      <c r="Y716" t="inlineStr">
        <is>
          <t>Batterie GE faulty</t>
        </is>
      </c>
      <c r="Z716" t="inlineStr"/>
      <c r="AA716" t="inlineStr"/>
      <c r="AB716" t="inlineStr"/>
      <c r="AC716" t="inlineStr">
        <is>
          <t>{05-25-2026 retour CAMUSAT}: Batterie GE faulty</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row>
    <row r="717">
      <c r="A717" t="inlineStr">
        <is>
          <t>Gashiga</t>
        </is>
      </c>
      <c r="B717" t="inlineStr">
        <is>
          <t>NRD_022</t>
        </is>
      </c>
      <c r="C717" t="inlineStr">
        <is>
          <t>NORD</t>
        </is>
      </c>
      <c r="D717" t="inlineStr">
        <is>
          <t>IHS</t>
        </is>
      </c>
      <c r="E717" t="inlineStr">
        <is>
          <t>Grid-Gen</t>
        </is>
      </c>
      <c r="F717" t="inlineStr">
        <is>
          <t>NORD</t>
        </is>
      </c>
      <c r="G717" t="inlineStr">
        <is>
          <t>Garoua</t>
        </is>
      </c>
      <c r="H717" t="inlineStr">
        <is>
          <t>Huawei</t>
        </is>
      </c>
      <c r="I717" t="n">
        <v>0</v>
      </c>
      <c r="J717" t="n">
        <v>0.2466591331295854</v>
      </c>
      <c r="K717" t="n">
        <v>0</v>
      </c>
      <c r="L717" t="n">
        <v>0.08728487328533557</v>
      </c>
      <c r="M717" t="n">
        <v>2.720116969577636</v>
      </c>
      <c r="N717" t="n">
        <v>0.1673600869672953</v>
      </c>
      <c r="O717" t="n">
        <v>0.2916628415802197</v>
      </c>
      <c r="P717" t="n">
        <v>0.0164161561242112</v>
      </c>
      <c r="Q717" t="n">
        <v>0.1303744225001641</v>
      </c>
      <c r="R717" t="inlineStr">
        <is>
          <t>Operationnel</t>
        </is>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row>
    <row r="718">
      <c r="A718" t="inlineStr">
        <is>
          <t>Mombal-MTN</t>
        </is>
      </c>
      <c r="B718" t="inlineStr">
        <is>
          <t>EST_061</t>
        </is>
      </c>
      <c r="C718" t="inlineStr">
        <is>
          <t>CENTRE</t>
        </is>
      </c>
      <c r="D718" t="inlineStr">
        <is>
          <t>IHS</t>
        </is>
      </c>
      <c r="E718" t="inlineStr"/>
      <c r="F718" t="inlineStr">
        <is>
          <t>EST</t>
        </is>
      </c>
      <c r="G718" t="inlineStr">
        <is>
          <t>Mombal</t>
        </is>
      </c>
      <c r="H718" t="inlineStr">
        <is>
          <t>NOKIA</t>
        </is>
      </c>
      <c r="I718" t="n">
        <v>0</v>
      </c>
      <c r="J718" t="n">
        <v>0</v>
      </c>
      <c r="K718" t="n">
        <v>0</v>
      </c>
      <c r="L718" t="n">
        <v>0</v>
      </c>
      <c r="M718" t="n">
        <v>0</v>
      </c>
      <c r="N718" t="n">
        <v>0.9078660240039327</v>
      </c>
      <c r="O718" t="n">
        <v>0</v>
      </c>
      <c r="P718" t="n">
        <v>0</v>
      </c>
      <c r="Q718" t="n">
        <v>0.1296431842891508</v>
      </c>
      <c r="R718" t="inlineStr">
        <is>
          <t>Operationnel</t>
        </is>
      </c>
      <c r="S718" t="inlineStr"/>
      <c r="T718" t="inlineStr"/>
      <c r="U718" t="inlineStr"/>
      <c r="V718" t="inlineStr"/>
      <c r="W718" t="inlineStr"/>
      <c r="X718" t="inlineStr">
        <is>
          <t>{05-25-2026 ticket}: INC-20260525-00021568..Others Transmission equipement fault</t>
        </is>
      </c>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is>
          <t>{05-25-2026 ticket}: INC-20260525-00021568..Others Transmission equipement fault</t>
        </is>
      </c>
      <c r="AR718" t="inlineStr"/>
    </row>
    <row r="719">
      <c r="A719" t="inlineStr">
        <is>
          <t>Moude-IHS</t>
        </is>
      </c>
      <c r="B719" t="inlineStr">
        <is>
          <t>EXN_185</t>
        </is>
      </c>
      <c r="C719" t="inlineStr">
        <is>
          <t>EXTREME-NORD</t>
        </is>
      </c>
      <c r="D719" t="inlineStr">
        <is>
          <t>IHS</t>
        </is>
      </c>
      <c r="E719" t="inlineStr">
        <is>
          <t>Solar Gen</t>
        </is>
      </c>
      <c r="F719" t="inlineStr">
        <is>
          <t>EXTREME-NORD</t>
        </is>
      </c>
      <c r="G719" t="inlineStr">
        <is>
          <t>Moude</t>
        </is>
      </c>
      <c r="H719" t="inlineStr">
        <is>
          <t>NOKIA</t>
        </is>
      </c>
      <c r="I719" t="n">
        <v>0.5976178042593023</v>
      </c>
      <c r="J719" t="n">
        <v>0</v>
      </c>
      <c r="K719" t="n">
        <v>0</v>
      </c>
      <c r="L719" t="n">
        <v>0.1662682721828693</v>
      </c>
      <c r="M719" t="n">
        <v>0.003834763757439172</v>
      </c>
      <c r="N719" t="n">
        <v>0.4422552745904424</v>
      </c>
      <c r="O719" t="n">
        <v>0.1979065503545701</v>
      </c>
      <c r="P719" t="n">
        <v>0</v>
      </c>
      <c r="Q719" t="n">
        <v>0.129593523933343</v>
      </c>
      <c r="R719" t="inlineStr">
        <is>
          <t>Insecurity</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row>
    <row r="720">
      <c r="A720" t="inlineStr">
        <is>
          <t>Wakwa-IHS</t>
        </is>
      </c>
      <c r="B720" t="inlineStr">
        <is>
          <t>ADM_078</t>
        </is>
      </c>
      <c r="C720" t="inlineStr">
        <is>
          <t>ADAMAOUA</t>
        </is>
      </c>
      <c r="D720" t="inlineStr">
        <is>
          <t>IHS</t>
        </is>
      </c>
      <c r="E720" t="inlineStr">
        <is>
          <t>Grid-Gen</t>
        </is>
      </c>
      <c r="F720" t="inlineStr">
        <is>
          <t>ADAMAOUA</t>
        </is>
      </c>
      <c r="G720" t="inlineStr">
        <is>
          <t>Wakwa</t>
        </is>
      </c>
      <c r="H720" t="inlineStr">
        <is>
          <t>NOKIA</t>
        </is>
      </c>
      <c r="I720" t="n">
        <v>0.07797404475250196</v>
      </c>
      <c r="J720" t="n">
        <v>0.1096797313729845</v>
      </c>
      <c r="K720" t="n">
        <v>0.3233796270397565</v>
      </c>
      <c r="L720" t="n">
        <v>0.7907852856974724</v>
      </c>
      <c r="M720" t="n">
        <v>0.177241483173695</v>
      </c>
      <c r="N720" t="n">
        <v>0.2957527507004145</v>
      </c>
      <c r="O720" t="n">
        <v>0.1365580436696791</v>
      </c>
      <c r="P720" t="n">
        <v>0.0790454524306637</v>
      </c>
      <c r="Q720" t="n">
        <v>0.1292988748175806</v>
      </c>
      <c r="R720" t="inlineStr">
        <is>
          <t>Operationnel</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row>
    <row r="721">
      <c r="A721" t="inlineStr">
        <is>
          <t>Dabanga</t>
        </is>
      </c>
      <c r="B721" t="inlineStr">
        <is>
          <t>EXN_807</t>
        </is>
      </c>
      <c r="C721" t="inlineStr">
        <is>
          <t>EXTREME-NORD</t>
        </is>
      </c>
      <c r="D721" t="inlineStr">
        <is>
          <t>IHS</t>
        </is>
      </c>
      <c r="E721" t="inlineStr">
        <is>
          <t>Solar-Grid-Gen</t>
        </is>
      </c>
      <c r="F721" t="inlineStr">
        <is>
          <t>EXTREME-NORD</t>
        </is>
      </c>
      <c r="G721" t="inlineStr">
        <is>
          <t>Dabanga</t>
        </is>
      </c>
      <c r="H721" t="inlineStr">
        <is>
          <t>NOKIA</t>
        </is>
      </c>
      <c r="I721" t="n">
        <v>1.944861785277071</v>
      </c>
      <c r="J721" t="n">
        <v>8.960129325719896</v>
      </c>
      <c r="K721" t="n">
        <v>5.155327246784737</v>
      </c>
      <c r="L721" t="n">
        <v>6.721627842297051</v>
      </c>
      <c r="M721" t="n">
        <v>0.009899041327342557</v>
      </c>
      <c r="N721" t="n">
        <v>0.4156525144978798</v>
      </c>
      <c r="O721" t="n">
        <v>0.2050790025150708</v>
      </c>
      <c r="P721" t="n">
        <v>0</v>
      </c>
      <c r="Q721" t="n">
        <v>0.1282025271691992</v>
      </c>
      <c r="R721" t="inlineStr">
        <is>
          <t>Insecurity</t>
        </is>
      </c>
      <c r="S721" t="inlineStr"/>
      <c r="T721" t="inlineStr"/>
      <c r="U721" t="inlineStr"/>
      <c r="V721" t="inlineStr"/>
      <c r="W721" t="inlineStr"/>
      <c r="X72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ticket}: INC-20260525-00011414..Others</t>
        </is>
      </c>
      <c r="Y721"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t>
        </is>
      </c>
      <c r="Z721" t="inlineStr"/>
      <c r="AA72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is>
          <t>{05-25-2026 ticket}: INC-20260525-00011414..Others</t>
        </is>
      </c>
      <c r="AR721" t="inlineStr"/>
    </row>
    <row r="722">
      <c r="A722" t="inlineStr">
        <is>
          <t>Ebolowa-Si</t>
        </is>
      </c>
      <c r="B722" t="inlineStr">
        <is>
          <t>SUD_227</t>
        </is>
      </c>
      <c r="C722" t="inlineStr">
        <is>
          <t>CENTRE</t>
        </is>
      </c>
      <c r="D722" t="inlineStr">
        <is>
          <t>IHS</t>
        </is>
      </c>
      <c r="E722" t="inlineStr">
        <is>
          <t>Grid-Gen</t>
        </is>
      </c>
      <c r="F722" t="inlineStr">
        <is>
          <t>SUD</t>
        </is>
      </c>
      <c r="G722" t="inlineStr">
        <is>
          <t>Ebolowa</t>
        </is>
      </c>
      <c r="H722" t="inlineStr">
        <is>
          <t>ZTE</t>
        </is>
      </c>
      <c r="I722" t="n">
        <v>0</v>
      </c>
      <c r="J722" t="n">
        <v>0</v>
      </c>
      <c r="K722" t="n">
        <v>13.84701212499964</v>
      </c>
      <c r="L722" t="n">
        <v>0</v>
      </c>
      <c r="M722" t="n">
        <v>0</v>
      </c>
      <c r="N722" t="n">
        <v>0</v>
      </c>
      <c r="O722" t="n">
        <v>0.004462600854777976</v>
      </c>
      <c r="P722" t="n">
        <v>0.2412490943753874</v>
      </c>
      <c r="Q722" t="n">
        <v>0.1273067890295716</v>
      </c>
      <c r="R722" t="inlineStr">
        <is>
          <t>Operationnel</t>
        </is>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row>
    <row r="723">
      <c r="A723" t="inlineStr">
        <is>
          <t>Mbalmayo-mbokoulo-IHS</t>
        </is>
      </c>
      <c r="B723" t="inlineStr">
        <is>
          <t>CTR_136</t>
        </is>
      </c>
      <c r="C723" t="inlineStr">
        <is>
          <t>CENTRE</t>
        </is>
      </c>
      <c r="D723" t="inlineStr">
        <is>
          <t>IHS</t>
        </is>
      </c>
      <c r="E723" t="inlineStr">
        <is>
          <t>Grid-Gen</t>
        </is>
      </c>
      <c r="F723" t="inlineStr">
        <is>
          <t>CENTRE</t>
        </is>
      </c>
      <c r="G723" t="inlineStr">
        <is>
          <t>Mbalmayo</t>
        </is>
      </c>
      <c r="H723" t="inlineStr">
        <is>
          <t>ZTE</t>
        </is>
      </c>
      <c r="I723" t="n">
        <v>0</v>
      </c>
      <c r="J723" t="n">
        <v>0</v>
      </c>
      <c r="K723" t="n">
        <v>0</v>
      </c>
      <c r="L723" t="n">
        <v>0</v>
      </c>
      <c r="M723" t="n">
        <v>0</v>
      </c>
      <c r="N723" t="n">
        <v>0.002997494094936633</v>
      </c>
      <c r="O723" t="n">
        <v>0.001912543223477149</v>
      </c>
      <c r="P723" t="n">
        <v>0.2381026644515799</v>
      </c>
      <c r="Q723" t="n">
        <v>0.1252379199447541</v>
      </c>
      <c r="R723" t="inlineStr">
        <is>
          <t>Operationnel</t>
        </is>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row>
    <row r="724">
      <c r="A724" t="inlineStr">
        <is>
          <t>Leboudi</t>
        </is>
      </c>
      <c r="B724" t="inlineStr">
        <is>
          <t>CTR_593</t>
        </is>
      </c>
      <c r="C724" t="inlineStr">
        <is>
          <t>CENTRE</t>
        </is>
      </c>
      <c r="D724" t="inlineStr">
        <is>
          <t>IHS</t>
        </is>
      </c>
      <c r="E724" t="inlineStr">
        <is>
          <t>Grid-Gen</t>
        </is>
      </c>
      <c r="F724" t="inlineStr">
        <is>
          <t>CENTRE</t>
        </is>
      </c>
      <c r="G724" t="inlineStr">
        <is>
          <t>Leboudi</t>
        </is>
      </c>
      <c r="H724" t="inlineStr">
        <is>
          <t>ZTE</t>
        </is>
      </c>
      <c r="I724" t="n">
        <v>0</v>
      </c>
      <c r="J724" t="n">
        <v>0</v>
      </c>
      <c r="K724" t="n">
        <v>0.0004280418796172265</v>
      </c>
      <c r="L724" t="n">
        <v>0</v>
      </c>
      <c r="M724" t="n">
        <v>0</v>
      </c>
      <c r="N724" t="n">
        <v>0.09092398754641121</v>
      </c>
      <c r="O724" t="n">
        <v>0.07724549574820443</v>
      </c>
      <c r="P724" t="n">
        <v>0.1631013511590898</v>
      </c>
      <c r="Q724" t="n">
        <v>0.123971629384219</v>
      </c>
      <c r="R724" t="inlineStr">
        <is>
          <t>Operationnel</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row>
    <row r="725">
      <c r="A725" t="inlineStr">
        <is>
          <t>Mfou</t>
        </is>
      </c>
      <c r="B725" t="inlineStr">
        <is>
          <t>CTR_036</t>
        </is>
      </c>
      <c r="C725" t="inlineStr">
        <is>
          <t>CENTRE</t>
        </is>
      </c>
      <c r="D725" t="inlineStr">
        <is>
          <t>IHS</t>
        </is>
      </c>
      <c r="E725" t="inlineStr">
        <is>
          <t>Grid-Gen</t>
        </is>
      </c>
      <c r="F725" t="inlineStr">
        <is>
          <t>CENTRE</t>
        </is>
      </c>
      <c r="G725" t="inlineStr">
        <is>
          <t>Mfou</t>
        </is>
      </c>
      <c r="H725" t="inlineStr">
        <is>
          <t>ZTE</t>
        </is>
      </c>
      <c r="I725" t="n">
        <v>0</v>
      </c>
      <c r="J725" t="n">
        <v>0.1942775081113936</v>
      </c>
      <c r="K725" t="n">
        <v>0.1093468651639543</v>
      </c>
      <c r="L725" t="n">
        <v>0.4310738429314591</v>
      </c>
      <c r="M725" t="n">
        <v>0</v>
      </c>
      <c r="N725" t="n">
        <v>0.8582824758501892</v>
      </c>
      <c r="O725" t="n">
        <v>0</v>
      </c>
      <c r="P725" t="n">
        <v>0</v>
      </c>
      <c r="Q725" t="n">
        <v>0.1225626581971447</v>
      </c>
      <c r="R725" t="inlineStr">
        <is>
          <t>Operationnel</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row>
    <row r="726">
      <c r="A726" t="inlineStr">
        <is>
          <t>Mayo-Tolere-I</t>
        </is>
      </c>
      <c r="B726" t="inlineStr">
        <is>
          <t>ADM_043</t>
        </is>
      </c>
      <c r="C726" t="inlineStr">
        <is>
          <t>ADAMAOUA</t>
        </is>
      </c>
      <c r="D726" t="inlineStr">
        <is>
          <t>IHS</t>
        </is>
      </c>
      <c r="E726" t="inlineStr">
        <is>
          <t>Solar-Gen</t>
        </is>
      </c>
      <c r="F726" t="inlineStr">
        <is>
          <t>ADAMAOUA</t>
        </is>
      </c>
      <c r="G726" t="inlineStr">
        <is>
          <t>Mayo-Tolere</t>
        </is>
      </c>
      <c r="H726" t="inlineStr">
        <is>
          <t>NOKIA</t>
        </is>
      </c>
      <c r="I726" t="n">
        <v>0.2203767703697262</v>
      </c>
      <c r="J726" t="n">
        <v>0</v>
      </c>
      <c r="K726" t="n">
        <v>0</v>
      </c>
      <c r="L726" t="n">
        <v>0</v>
      </c>
      <c r="M726" t="n">
        <v>0.03083904908636623</v>
      </c>
      <c r="N726" t="n">
        <v>0.2631550024179786</v>
      </c>
      <c r="O726" t="n">
        <v>0.1285877298368183</v>
      </c>
      <c r="P726" t="n">
        <v>0.08002876110552933</v>
      </c>
      <c r="Q726" t="n">
        <v>0.1224809773166755</v>
      </c>
      <c r="R726" t="inlineStr">
        <is>
          <t>Operationnel</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row>
    <row r="727">
      <c r="A727" t="inlineStr">
        <is>
          <t>CTR_302_N_Doume-Centre</t>
        </is>
      </c>
      <c r="B727" t="inlineStr">
        <is>
          <t>CTR_302</t>
        </is>
      </c>
      <c r="C727" t="inlineStr">
        <is>
          <t>CENTRE</t>
        </is>
      </c>
      <c r="D727" t="inlineStr">
        <is>
          <t>IHS</t>
        </is>
      </c>
      <c r="E727" t="inlineStr">
        <is>
          <t>Hybrid-Gen</t>
        </is>
      </c>
      <c r="F727" t="inlineStr">
        <is>
          <t>CENTRE</t>
        </is>
      </c>
      <c r="G727" t="inlineStr">
        <is>
          <t>Doume</t>
        </is>
      </c>
      <c r="H727" t="inlineStr">
        <is>
          <t>NOKIA</t>
        </is>
      </c>
      <c r="I727" t="n">
        <v>0.007758259068067234</v>
      </c>
      <c r="J727" t="n">
        <v>0</v>
      </c>
      <c r="K727" t="n">
        <v>0</v>
      </c>
      <c r="L727" t="n">
        <v>0</v>
      </c>
      <c r="M727" t="n">
        <v>0.026128389734985</v>
      </c>
      <c r="N727" t="n">
        <v>0.2246871615329585</v>
      </c>
      <c r="O727" t="n">
        <v>0.138393752698811</v>
      </c>
      <c r="P727" t="n">
        <v>0.08279898745149041</v>
      </c>
      <c r="Q727" t="n">
        <v>0.1217244095162272</v>
      </c>
      <c r="R727" t="inlineStr">
        <is>
          <t>Operationnel</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row>
    <row r="728">
      <c r="A728" t="inlineStr">
        <is>
          <t>Ebolowa-Ville</t>
        </is>
      </c>
      <c r="B728" t="inlineStr">
        <is>
          <t>CTR_392</t>
        </is>
      </c>
      <c r="C728" t="inlineStr">
        <is>
          <t>CENTRE</t>
        </is>
      </c>
      <c r="D728" t="inlineStr">
        <is>
          <t>IHS</t>
        </is>
      </c>
      <c r="E728" t="inlineStr">
        <is>
          <t>Grid-Gen</t>
        </is>
      </c>
      <c r="F728" t="inlineStr">
        <is>
          <t>CENTRE</t>
        </is>
      </c>
      <c r="G728" t="inlineStr">
        <is>
          <t>Ebolowa</t>
        </is>
      </c>
      <c r="H728" t="inlineStr">
        <is>
          <t>ZTE</t>
        </is>
      </c>
      <c r="I728" t="n">
        <v>0</v>
      </c>
      <c r="J728" t="n">
        <v>0</v>
      </c>
      <c r="K728" t="n">
        <v>0</v>
      </c>
      <c r="L728" t="n">
        <v>0</v>
      </c>
      <c r="M728" t="n">
        <v>0</v>
      </c>
      <c r="N728" t="n">
        <v>0.0007493735237341583</v>
      </c>
      <c r="O728" t="n">
        <v>0.00510011526260777</v>
      </c>
      <c r="P728" t="n">
        <v>0.229005377932746</v>
      </c>
      <c r="Q728" t="n">
        <v>0.1212428624016582</v>
      </c>
      <c r="R728" t="inlineStr">
        <is>
          <t>Operationnel</t>
        </is>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row>
    <row r="729">
      <c r="A729" t="inlineStr">
        <is>
          <t>Ebolowa-Agence-New</t>
        </is>
      </c>
      <c r="B729" t="inlineStr">
        <is>
          <t>SUD_083</t>
        </is>
      </c>
      <c r="C729" t="inlineStr">
        <is>
          <t>CENTRE</t>
        </is>
      </c>
      <c r="D729" t="inlineStr">
        <is>
          <t>CAMUSAT</t>
        </is>
      </c>
      <c r="E729" t="inlineStr">
        <is>
          <t>Good Grid + GE</t>
        </is>
      </c>
      <c r="F729" t="inlineStr">
        <is>
          <t>SUD</t>
        </is>
      </c>
      <c r="G729" t="inlineStr">
        <is>
          <t>Ebolowa</t>
        </is>
      </c>
      <c r="H729" t="inlineStr">
        <is>
          <t>ZTE</t>
        </is>
      </c>
      <c r="I729" t="n">
        <v>0</v>
      </c>
      <c r="J729" t="n">
        <v>0</v>
      </c>
      <c r="K729" t="n">
        <v>0</v>
      </c>
      <c r="L729" t="n">
        <v>0</v>
      </c>
      <c r="M729" t="n">
        <v>0</v>
      </c>
      <c r="N729" t="n">
        <v>0</v>
      </c>
      <c r="O729" t="n">
        <v>0.00510011526260777</v>
      </c>
      <c r="P729" t="n">
        <v>0.2284239724033469</v>
      </c>
      <c r="Q729" t="n">
        <v>0.1208326556003581</v>
      </c>
      <c r="R729" t="inlineStr">
        <is>
          <t>Operationnel</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row>
    <row r="730">
      <c r="A730" t="inlineStr">
        <is>
          <t>Mbam</t>
        </is>
      </c>
      <c r="B730" t="inlineStr">
        <is>
          <t>CTR_303</t>
        </is>
      </c>
      <c r="C730" t="inlineStr">
        <is>
          <t>CENTRE</t>
        </is>
      </c>
      <c r="D730" t="inlineStr">
        <is>
          <t>IHS</t>
        </is>
      </c>
      <c r="E730" t="inlineStr">
        <is>
          <t>Hybrid-Gen</t>
        </is>
      </c>
      <c r="F730" t="inlineStr">
        <is>
          <t>CENTRE</t>
        </is>
      </c>
      <c r="G730" t="inlineStr">
        <is>
          <t>Mbam</t>
        </is>
      </c>
      <c r="H730" t="inlineStr">
        <is>
          <t>NOKIA</t>
        </is>
      </c>
      <c r="I730" t="n">
        <v>0.005582379513344707</v>
      </c>
      <c r="J730" t="n">
        <v>0</v>
      </c>
      <c r="K730" t="n">
        <v>0</v>
      </c>
      <c r="L730" t="n">
        <v>0</v>
      </c>
      <c r="M730" t="n">
        <v>0.02512962534921099</v>
      </c>
      <c r="N730" t="n">
        <v>0.2248120571202475</v>
      </c>
      <c r="O730" t="n">
        <v>0.1328155016303371</v>
      </c>
      <c r="P730" t="n">
        <v>0.07992616012975333</v>
      </c>
      <c r="Q730" t="n">
        <v>0.1183714147925567</v>
      </c>
      <c r="R730" t="inlineStr">
        <is>
          <t>Operationnel</t>
        </is>
      </c>
      <c r="S730" t="inlineStr"/>
      <c r="T730" t="inlineStr"/>
      <c r="U730" t="inlineStr"/>
      <c r="V730" t="inlineStr"/>
      <c r="W730" t="inlineStr"/>
      <c r="X730" t="inlineStr">
        <is>
          <t>{05-25-2026 retour IHS}: IHS     ;    {05-25-2026 ticket}: INC-20260525-00017967..Others</t>
        </is>
      </c>
      <c r="Y730" t="inlineStr">
        <is>
          <t>IHS .</t>
        </is>
      </c>
      <c r="Z730" t="inlineStr"/>
      <c r="AA730" t="inlineStr"/>
      <c r="AB730" t="inlineStr"/>
      <c r="AC730" t="inlineStr"/>
      <c r="AD730" t="inlineStr">
        <is>
          <t>{05-25-2026 retour IHS}: IHS</t>
        </is>
      </c>
      <c r="AE730" t="inlineStr"/>
      <c r="AF730" t="inlineStr"/>
      <c r="AG730" t="inlineStr"/>
      <c r="AH730" t="inlineStr"/>
      <c r="AI730" t="inlineStr"/>
      <c r="AJ730" t="inlineStr"/>
      <c r="AK730" t="inlineStr"/>
      <c r="AL730" t="inlineStr"/>
      <c r="AM730" t="inlineStr"/>
      <c r="AN730" t="inlineStr"/>
      <c r="AO730" t="inlineStr"/>
      <c r="AP730" t="inlineStr"/>
      <c r="AQ730" t="inlineStr">
        <is>
          <t>{05-25-2026 ticket}: INC-20260525-00017967..Others</t>
        </is>
      </c>
      <c r="AR730" t="inlineStr"/>
    </row>
    <row r="731">
      <c r="A731" t="inlineStr">
        <is>
          <t>Febadi-MTN</t>
        </is>
      </c>
      <c r="B731" t="inlineStr">
        <is>
          <t>ADM_063</t>
        </is>
      </c>
      <c r="C731" t="inlineStr">
        <is>
          <t>ADAMAOUA</t>
        </is>
      </c>
      <c r="D731" t="inlineStr">
        <is>
          <t>IHS</t>
        </is>
      </c>
      <c r="E731" t="inlineStr">
        <is>
          <t>Solar-Gen</t>
        </is>
      </c>
      <c r="F731" t="inlineStr">
        <is>
          <t>ADAMAOUA</t>
        </is>
      </c>
      <c r="G731" t="inlineStr">
        <is>
          <t>Febadi</t>
        </is>
      </c>
      <c r="H731" t="inlineStr">
        <is>
          <t>NOKIA</t>
        </is>
      </c>
      <c r="I731" t="n">
        <v>0.05468252468891774</v>
      </c>
      <c r="J731" t="n">
        <v>0</v>
      </c>
      <c r="K731" t="n">
        <v>0.1093874008795522</v>
      </c>
      <c r="L731" t="n">
        <v>0.00178381752228168</v>
      </c>
      <c r="M731" t="n">
        <v>0.1124913564725185</v>
      </c>
      <c r="N731" t="n">
        <v>0.2043291808048471</v>
      </c>
      <c r="O731" t="n">
        <v>0.09112461004485402</v>
      </c>
      <c r="P731" t="n">
        <v>0.1108090538384259</v>
      </c>
      <c r="Q731" t="n">
        <v>0.1175554245004348</v>
      </c>
      <c r="R731" t="inlineStr">
        <is>
          <t>Operationnel</t>
        </is>
      </c>
      <c r="S731" t="inlineStr"/>
      <c r="T731" t="inlineStr"/>
      <c r="U731" t="inlineStr"/>
      <c r="V731" t="inlineStr"/>
      <c r="W731" t="inlineStr"/>
      <c r="X731" t="inlineStr">
        <is>
          <t>{05-25-2026 retour IHS}: IHS</t>
        </is>
      </c>
      <c r="Y731" t="inlineStr">
        <is>
          <t>IHS</t>
        </is>
      </c>
      <c r="Z731" t="inlineStr"/>
      <c r="AA731" t="inlineStr"/>
      <c r="AB731" t="inlineStr"/>
      <c r="AC731" t="inlineStr"/>
      <c r="AD731" t="inlineStr">
        <is>
          <t>{05-25-2026 retour IHS}: IHS</t>
        </is>
      </c>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row>
    <row r="732">
      <c r="A732" t="inlineStr">
        <is>
          <t>International-Airport-IHS</t>
        </is>
      </c>
      <c r="B732" t="inlineStr">
        <is>
          <t>LIT_125</t>
        </is>
      </c>
      <c r="C732" t="inlineStr">
        <is>
          <t>Douala</t>
        </is>
      </c>
      <c r="D732" t="inlineStr">
        <is>
          <t>IHS</t>
        </is>
      </c>
      <c r="E732" t="inlineStr">
        <is>
          <t>Grid-Gen (LL)</t>
        </is>
      </c>
      <c r="F732" t="inlineStr">
        <is>
          <t>LITTORAL</t>
        </is>
      </c>
      <c r="G732" t="inlineStr">
        <is>
          <t>Douala</t>
        </is>
      </c>
      <c r="H732" t="inlineStr">
        <is>
          <t>ZTE</t>
        </is>
      </c>
      <c r="I732" t="n">
        <v>0</v>
      </c>
      <c r="J732" t="n">
        <v>0.03806005712932311</v>
      </c>
      <c r="K732" t="n">
        <v>0</v>
      </c>
      <c r="L732" t="n">
        <v>0.03773902571960976</v>
      </c>
      <c r="M732" t="n">
        <v>0.07660166137321529</v>
      </c>
      <c r="N732" t="n">
        <v>0.006744361713607424</v>
      </c>
      <c r="O732" t="n">
        <v>0.005418872466516551</v>
      </c>
      <c r="P732" t="n">
        <v>0.2174114676700217</v>
      </c>
      <c r="Q732" t="n">
        <v>0.1161598650811989</v>
      </c>
      <c r="R732" t="inlineStr">
        <is>
          <t>Operationnel</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row>
    <row r="733">
      <c r="A733" t="inlineStr">
        <is>
          <t>Banguem-Street-II</t>
        </is>
      </c>
      <c r="B733" t="inlineStr">
        <is>
          <t>SUO_150</t>
        </is>
      </c>
      <c r="C733" t="inlineStr">
        <is>
          <t>SUD-OUEST</t>
        </is>
      </c>
      <c r="D733" t="inlineStr">
        <is>
          <t>IHS</t>
        </is>
      </c>
      <c r="E733" t="inlineStr">
        <is>
          <t>Grid-Gen</t>
        </is>
      </c>
      <c r="F733" t="inlineStr">
        <is>
          <t>SUD-OUEST</t>
        </is>
      </c>
      <c r="G733" t="inlineStr">
        <is>
          <t>Banguem</t>
        </is>
      </c>
      <c r="H733" t="inlineStr">
        <is>
          <t>NOKIA</t>
        </is>
      </c>
      <c r="I733" t="n">
        <v>0.08264775292281264</v>
      </c>
      <c r="J733" t="n">
        <v>0.07157216928770978</v>
      </c>
      <c r="K733" t="n">
        <v>0.06527638664166903</v>
      </c>
      <c r="L733" t="n">
        <v>0.05186440774698729</v>
      </c>
      <c r="M733" t="n">
        <v>0.07242825304694478</v>
      </c>
      <c r="N733" t="n">
        <v>0.8094483012201799</v>
      </c>
      <c r="O733" t="n">
        <v>0</v>
      </c>
      <c r="P733" t="n">
        <v>0</v>
      </c>
      <c r="Q733" t="n">
        <v>0.1155891425750429</v>
      </c>
      <c r="R733" t="inlineStr">
        <is>
          <t>Insecurity</t>
        </is>
      </c>
      <c r="S733" t="inlineStr"/>
      <c r="T733" t="inlineStr"/>
      <c r="U733" t="inlineStr"/>
      <c r="V733" t="inlineStr"/>
      <c r="W733" t="inlineStr"/>
      <c r="X733" t="inlineStr">
        <is>
          <t>{05-25-2026 ticket}: INC-20260525-00001947..Grid Outage</t>
        </is>
      </c>
      <c r="Y733" t="inlineStr">
        <is>
          <t>.Grid Outage</t>
        </is>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is>
          <t>{05-25-2026 ticket}: INC-20260525-00001947..Grid Outage</t>
        </is>
      </c>
      <c r="AR733" t="inlineStr"/>
    </row>
    <row r="734">
      <c r="A734" t="inlineStr">
        <is>
          <t>Ebolowa-Angale</t>
        </is>
      </c>
      <c r="B734" t="inlineStr">
        <is>
          <t>SUD_264</t>
        </is>
      </c>
      <c r="C734" t="inlineStr">
        <is>
          <t>CENTRE</t>
        </is>
      </c>
      <c r="D734" t="inlineStr">
        <is>
          <t>IHS</t>
        </is>
      </c>
      <c r="E734" t="inlineStr">
        <is>
          <t>Grid-Gen</t>
        </is>
      </c>
      <c r="F734" t="inlineStr">
        <is>
          <t>SUD</t>
        </is>
      </c>
      <c r="G734" t="inlineStr">
        <is>
          <t>Ebolowa</t>
        </is>
      </c>
      <c r="H734" t="inlineStr">
        <is>
          <t>ZTE</t>
        </is>
      </c>
      <c r="I734" t="n">
        <v>0.6874709288223422</v>
      </c>
      <c r="J734" t="n">
        <v>0</v>
      </c>
      <c r="K734" t="n">
        <v>1.897812848675781</v>
      </c>
      <c r="L734" t="n">
        <v>0</v>
      </c>
      <c r="M734" t="n">
        <v>0</v>
      </c>
      <c r="N734" t="n">
        <v>0</v>
      </c>
      <c r="O734" t="n">
        <v>0.005737629670431448</v>
      </c>
      <c r="P734" t="n">
        <v>0.2124182201822418</v>
      </c>
      <c r="Q734" t="n">
        <v>0.1126998598876253</v>
      </c>
      <c r="R734" t="inlineStr">
        <is>
          <t>Operationnel</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row>
    <row r="735">
      <c r="A735" t="inlineStr">
        <is>
          <t>Dibi-MTN</t>
        </is>
      </c>
      <c r="B735" t="inlineStr">
        <is>
          <t>ADM_032</t>
        </is>
      </c>
      <c r="C735" t="inlineStr">
        <is>
          <t>ADAMAOUA</t>
        </is>
      </c>
      <c r="D735" t="inlineStr">
        <is>
          <t>IHS</t>
        </is>
      </c>
      <c r="E735" t="inlineStr">
        <is>
          <t>Grid-Gen</t>
        </is>
      </c>
      <c r="F735" t="inlineStr">
        <is>
          <t>ADAMAOUA</t>
        </is>
      </c>
      <c r="G735" t="inlineStr">
        <is>
          <t>Dibi</t>
        </is>
      </c>
      <c r="H735" t="inlineStr">
        <is>
          <t>NOKIA</t>
        </is>
      </c>
      <c r="I735" t="n">
        <v>0</v>
      </c>
      <c r="J735" t="n">
        <v>0</v>
      </c>
      <c r="K735" t="n">
        <v>0</v>
      </c>
      <c r="L735" t="n">
        <v>0</v>
      </c>
      <c r="M735" t="n">
        <v>1.929007259431392</v>
      </c>
      <c r="N735" t="n">
        <v>0.3899240235163403</v>
      </c>
      <c r="O735" t="n">
        <v>0.1684392990011211</v>
      </c>
      <c r="P735" t="n">
        <v>0</v>
      </c>
      <c r="Q735" t="n">
        <v>0.1122281299632383</v>
      </c>
      <c r="R735" t="inlineStr">
        <is>
          <t>Operationnel</t>
        </is>
      </c>
      <c r="S735" t="inlineStr"/>
      <c r="T735" t="inlineStr"/>
      <c r="U735" t="inlineStr"/>
      <c r="V735" t="inlineStr"/>
      <c r="W735" t="inlineStr"/>
      <c r="X735" t="inlineStr">
        <is>
          <t>{05-25-2026 ticket}: INC-20260525-00027032..Gen only, low fuel. // Refuelling done...Gen only, low fuel. // Refuelling done...Grid Outage..Gen only, low fuel. // Refuelling done.</t>
        </is>
      </c>
      <c r="Y735" t="inlineStr">
        <is>
          <t>.Gen only, low fuel. // Refuelling done.Gen only, low fuel. // Refuelling done.Grid Outage.Gen only, low fuel. // Refuelling done.</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is>
          <t>{05-25-2026 ticket}: INC-20260525-00027032..Gen only, low fuel. // Refuelling done...Gen only, low fuel. // Refuelling done...Grid Outage..Gen only, low fuel. // Refuelling done.</t>
        </is>
      </c>
      <c r="AR735" t="inlineStr"/>
    </row>
    <row r="736">
      <c r="A736" t="inlineStr">
        <is>
          <t>CTR_922_Z_Ekong</t>
        </is>
      </c>
      <c r="B736" t="inlineStr">
        <is>
          <t>CTR_922</t>
        </is>
      </c>
      <c r="C736" t="inlineStr">
        <is>
          <t>CENTRE</t>
        </is>
      </c>
      <c r="D736" t="inlineStr">
        <is>
          <t>CAMUSAT</t>
        </is>
      </c>
      <c r="E736" t="inlineStr">
        <is>
          <t>Good Grid Solar + GE</t>
        </is>
      </c>
      <c r="F736" t="inlineStr">
        <is>
          <t>CENTRE</t>
        </is>
      </c>
      <c r="G736" t="inlineStr">
        <is>
          <t>Leboudi</t>
        </is>
      </c>
      <c r="H736" t="inlineStr">
        <is>
          <t>ZTE</t>
        </is>
      </c>
      <c r="I736" t="n">
        <v>0</v>
      </c>
      <c r="J736" t="n">
        <v>0</v>
      </c>
      <c r="K736" t="n">
        <v>0</v>
      </c>
      <c r="L736" t="n">
        <v>0</v>
      </c>
      <c r="M736" t="n">
        <v>0</v>
      </c>
      <c r="N736" t="n">
        <v>0.09117377872098925</v>
      </c>
      <c r="O736" t="n">
        <v>0.07873302936646273</v>
      </c>
      <c r="P736" t="n">
        <v>0.1383061153464797</v>
      </c>
      <c r="Q736" t="n">
        <v>0.1115762499536287</v>
      </c>
      <c r="R736" t="inlineStr">
        <is>
          <t>Operationnel</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row>
    <row r="737">
      <c r="A737" t="inlineStr">
        <is>
          <t>CTR_406_N_Mbimbim-MTN</t>
        </is>
      </c>
      <c r="B737" t="inlineStr">
        <is>
          <t>CTR_406</t>
        </is>
      </c>
      <c r="C737" t="inlineStr">
        <is>
          <t>CENTRE</t>
        </is>
      </c>
      <c r="D737" t="inlineStr">
        <is>
          <t>IHS</t>
        </is>
      </c>
      <c r="E737" t="inlineStr">
        <is>
          <t>Solar-Gen</t>
        </is>
      </c>
      <c r="F737" t="inlineStr">
        <is>
          <t>CENTRE</t>
        </is>
      </c>
      <c r="G737" t="inlineStr">
        <is>
          <t>Mbimbim</t>
        </is>
      </c>
      <c r="H737" t="inlineStr">
        <is>
          <t>NOKIA</t>
        </is>
      </c>
      <c r="I737" t="n">
        <v>0.006242277411088574</v>
      </c>
      <c r="J737" t="n">
        <v>2.313263163001201</v>
      </c>
      <c r="K737" t="n">
        <v>0</v>
      </c>
      <c r="L737" t="n">
        <v>0</v>
      </c>
      <c r="M737" t="n">
        <v>0.8157078389876735</v>
      </c>
      <c r="N737" t="n">
        <v>0.1499996003341207</v>
      </c>
      <c r="O737" t="n">
        <v>0.09243958913471412</v>
      </c>
      <c r="P737" t="n">
        <v>0.1116298616446366</v>
      </c>
      <c r="Q737" t="n">
        <v>0.1106666609594417</v>
      </c>
      <c r="R737" t="inlineStr">
        <is>
          <t>Operationnel</t>
        </is>
      </c>
      <c r="S737" t="inlineStr"/>
      <c r="T737" t="inlineStr"/>
      <c r="U737" t="inlineStr"/>
      <c r="V737" t="inlineStr"/>
      <c r="W737" t="inlineStr"/>
      <c r="X737" t="inlineStr">
        <is>
          <t>{05-25-2026 ticket}: INC-20260525-00017951..Grid Outage</t>
        </is>
      </c>
      <c r="Y737" t="inlineStr">
        <is>
          <t>.Grid Outage</t>
        </is>
      </c>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is>
          <t>{05-25-2026 ticket}: INC-20260525-00017951..Grid Outage</t>
        </is>
      </c>
      <c r="AR737" t="inlineStr"/>
    </row>
    <row r="738">
      <c r="A738" t="inlineStr">
        <is>
          <t>Bfsam-Djeleng</t>
        </is>
      </c>
      <c r="B738" t="inlineStr">
        <is>
          <t>OST_016</t>
        </is>
      </c>
      <c r="C738" t="inlineStr">
        <is>
          <t>Bafoussam</t>
        </is>
      </c>
      <c r="D738" t="inlineStr">
        <is>
          <t>IHS</t>
        </is>
      </c>
      <c r="E738" t="inlineStr">
        <is>
          <t>Grid-Gen</t>
        </is>
      </c>
      <c r="F738" t="inlineStr">
        <is>
          <t>OUEST</t>
        </is>
      </c>
      <c r="G738" t="inlineStr">
        <is>
          <t>Bafoussam</t>
        </is>
      </c>
      <c r="H738" t="inlineStr">
        <is>
          <t>Huawei</t>
        </is>
      </c>
      <c r="I738" t="n">
        <v>0.1189599723770307</v>
      </c>
      <c r="J738" t="n">
        <v>0.1433226893585935</v>
      </c>
      <c r="K738" t="n">
        <v>0</v>
      </c>
      <c r="L738" t="n">
        <v>0</v>
      </c>
      <c r="M738" t="n">
        <v>0.09408003812426341</v>
      </c>
      <c r="N738" t="n">
        <v>0.1592418737935086</v>
      </c>
      <c r="O738" t="n">
        <v>0.2069265515400648</v>
      </c>
      <c r="P738" t="n">
        <v>0.03300331387471626</v>
      </c>
      <c r="Q738" t="n">
        <v>0.1094182054772239</v>
      </c>
      <c r="R738" t="inlineStr">
        <is>
          <t>Operationnel</t>
        </is>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row>
    <row r="739">
      <c r="A739" t="inlineStr">
        <is>
          <t>Ebolowa-Mekalat</t>
        </is>
      </c>
      <c r="B739" t="inlineStr">
        <is>
          <t>SUD_223</t>
        </is>
      </c>
      <c r="C739" t="inlineStr">
        <is>
          <t>CENTRE</t>
        </is>
      </c>
      <c r="D739" t="inlineStr">
        <is>
          <t>IHS</t>
        </is>
      </c>
      <c r="E739" t="inlineStr">
        <is>
          <t>Grid-Gen</t>
        </is>
      </c>
      <c r="F739" t="inlineStr">
        <is>
          <t>SUD</t>
        </is>
      </c>
      <c r="G739" t="inlineStr">
        <is>
          <t>Ebolowa</t>
        </is>
      </c>
      <c r="H739" t="inlineStr">
        <is>
          <t>ZTE</t>
        </is>
      </c>
      <c r="I739" t="n">
        <v>0</v>
      </c>
      <c r="J739" t="n">
        <v>0</v>
      </c>
      <c r="K739" t="n">
        <v>0.6739341043794406</v>
      </c>
      <c r="L739" t="n">
        <v>0</v>
      </c>
      <c r="M739" t="n">
        <v>0.7396563679790437</v>
      </c>
      <c r="N739" t="n">
        <v>0</v>
      </c>
      <c r="O739" t="n">
        <v>0.004303222252823586</v>
      </c>
      <c r="P739" t="n">
        <v>0.2068093668398021</v>
      </c>
      <c r="Q739" t="n">
        <v>0.1092933599290022</v>
      </c>
      <c r="R739" t="inlineStr">
        <is>
          <t>Operationnel</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row>
    <row r="740">
      <c r="A740" t="inlineStr">
        <is>
          <t>Bagodo</t>
        </is>
      </c>
      <c r="B740" t="inlineStr">
        <is>
          <t>ADM_052</t>
        </is>
      </c>
      <c r="C740" t="inlineStr">
        <is>
          <t>ADAMAOUA</t>
        </is>
      </c>
      <c r="D740" t="inlineStr">
        <is>
          <t>IHS</t>
        </is>
      </c>
      <c r="E740" t="inlineStr">
        <is>
          <t>Gen-Solar AER</t>
        </is>
      </c>
      <c r="F740" t="inlineStr">
        <is>
          <t>ADAMAOUA</t>
        </is>
      </c>
      <c r="G740" t="inlineStr">
        <is>
          <t>Bagodo</t>
        </is>
      </c>
      <c r="H740" t="inlineStr">
        <is>
          <t>NOKIA</t>
        </is>
      </c>
      <c r="I740" t="n">
        <v>0.313005624470298</v>
      </c>
      <c r="J740" t="n">
        <v>0.03314026506090102</v>
      </c>
      <c r="K740" t="n">
        <v>0.1267110045981379</v>
      </c>
      <c r="L740" t="n">
        <v>0.1802851578480041</v>
      </c>
      <c r="M740" t="n">
        <v>0.2768111034643111</v>
      </c>
      <c r="N740" t="n">
        <v>0.1997080440751532</v>
      </c>
      <c r="O740" t="n">
        <v>0.1147725191931929</v>
      </c>
      <c r="P740" t="n">
        <v>0.07982263528088318</v>
      </c>
      <c r="Q740" t="n">
        <v>0.1086753397143539</v>
      </c>
      <c r="R740" t="inlineStr">
        <is>
          <t>Operationnel</t>
        </is>
      </c>
      <c r="S740" t="inlineStr"/>
      <c r="T740" t="inlineStr"/>
      <c r="U740" t="inlineStr"/>
      <c r="V740" t="inlineStr"/>
      <c r="W740" t="inlineStr"/>
      <c r="X740" t="inlineStr">
        <is>
          <t>{05-25-2026 ticket}: INC-20260525-00009343..Others</t>
        </is>
      </c>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is>
          <t>{05-25-2026 ticket}: INC-20260525-00009343..Others</t>
        </is>
      </c>
      <c r="AR740" t="inlineStr"/>
    </row>
    <row r="741">
      <c r="A741" t="inlineStr">
        <is>
          <t>Binka-IHS</t>
        </is>
      </c>
      <c r="B741" t="inlineStr">
        <is>
          <t>NRO_023</t>
        </is>
      </c>
      <c r="C741" t="inlineStr">
        <is>
          <t>NORD-OUEST</t>
        </is>
      </c>
      <c r="D741" t="inlineStr">
        <is>
          <t>IHS</t>
        </is>
      </c>
      <c r="E741" t="inlineStr">
        <is>
          <t>Gen Only</t>
        </is>
      </c>
      <c r="F741" t="inlineStr">
        <is>
          <t>NORD-OUEST</t>
        </is>
      </c>
      <c r="G741" t="inlineStr">
        <is>
          <t>Binka</t>
        </is>
      </c>
      <c r="H741" t="inlineStr">
        <is>
          <t>NOKIA</t>
        </is>
      </c>
      <c r="I741" t="n">
        <v>0.1090258337542411</v>
      </c>
      <c r="J741" t="n">
        <v>0.7612546478214096</v>
      </c>
      <c r="K741" t="n">
        <v>3.438014542009457</v>
      </c>
      <c r="L741" t="n">
        <v>5.163558369217511</v>
      </c>
      <c r="M741" t="n">
        <v>6.720846067579252</v>
      </c>
      <c r="N741" t="n">
        <v>0.3413396400609091</v>
      </c>
      <c r="O741" t="n">
        <v>0.1758477241585658</v>
      </c>
      <c r="P741" t="n">
        <v>0</v>
      </c>
      <c r="Q741" t="n">
        <v>0.1077773782720234</v>
      </c>
      <c r="R741" t="inlineStr">
        <is>
          <t>Insecurity</t>
        </is>
      </c>
      <c r="S741" t="inlineStr"/>
      <c r="T741" t="inlineStr"/>
      <c r="U741" t="inlineStr"/>
      <c r="V741" t="inlineStr"/>
      <c r="W741" t="inlineStr"/>
      <c r="X741" t="inlineStr">
        <is>
          <t>{05-25-2026 ticket}: INC-20260525-00012600..Others</t>
        </is>
      </c>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is>
          <t>{05-25-2026 ticket}: INC-20260525-00012600..Others</t>
        </is>
      </c>
      <c r="AR741" t="inlineStr"/>
    </row>
    <row r="742">
      <c r="A742" t="inlineStr">
        <is>
          <t>Ebolowa</t>
        </is>
      </c>
      <c r="B742" t="inlineStr">
        <is>
          <t>SUD_007</t>
        </is>
      </c>
      <c r="C742" t="inlineStr">
        <is>
          <t>CENTRE</t>
        </is>
      </c>
      <c r="D742" t="inlineStr"/>
      <c r="E742" t="inlineStr"/>
      <c r="F742" t="inlineStr">
        <is>
          <t>SUD</t>
        </is>
      </c>
      <c r="G742" t="inlineStr">
        <is>
          <t>Ebolowa</t>
        </is>
      </c>
      <c r="H742" t="inlineStr">
        <is>
          <t>ZTE</t>
        </is>
      </c>
      <c r="I742" t="n">
        <v>0</v>
      </c>
      <c r="J742" t="n">
        <v>0</v>
      </c>
      <c r="K742" t="n">
        <v>0</v>
      </c>
      <c r="L742" t="n">
        <v>0</v>
      </c>
      <c r="M742" t="n">
        <v>0</v>
      </c>
      <c r="N742" t="n">
        <v>0</v>
      </c>
      <c r="O742" t="n">
        <v>0.002550057631300827</v>
      </c>
      <c r="P742" t="n">
        <v>0.205030949926346</v>
      </c>
      <c r="Q742" t="n">
        <v>0.1077773782720228</v>
      </c>
      <c r="R742" t="inlineStr">
        <is>
          <t>Operationnel</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row>
    <row r="743">
      <c r="A743" t="inlineStr">
        <is>
          <t>Garoua-Sabongari-Lainde-IHS</t>
        </is>
      </c>
      <c r="B743" t="inlineStr">
        <is>
          <t>NRD_083</t>
        </is>
      </c>
      <c r="C743" t="inlineStr">
        <is>
          <t>Garoua</t>
        </is>
      </c>
      <c r="D743" t="inlineStr">
        <is>
          <t>IHS</t>
        </is>
      </c>
      <c r="E743" t="inlineStr">
        <is>
          <t>Grid-Gen</t>
        </is>
      </c>
      <c r="F743" t="inlineStr">
        <is>
          <t>NORD</t>
        </is>
      </c>
      <c r="G743" t="inlineStr">
        <is>
          <t>Garoua</t>
        </is>
      </c>
      <c r="H743" t="inlineStr">
        <is>
          <t>Huawei</t>
        </is>
      </c>
      <c r="I743" t="n">
        <v>0.01970776154072248</v>
      </c>
      <c r="J743" t="n">
        <v>0</v>
      </c>
      <c r="K743" t="n">
        <v>0</v>
      </c>
      <c r="L743" t="n">
        <v>7.758383913615443</v>
      </c>
      <c r="M743" t="n">
        <v>0</v>
      </c>
      <c r="N743" t="n">
        <v>0.1273934990348069</v>
      </c>
      <c r="O743" t="n">
        <v>0.164425591018357</v>
      </c>
      <c r="P743" t="n">
        <v>0.06258659522355522</v>
      </c>
      <c r="Q743" t="n">
        <v>0.1060295405969187</v>
      </c>
      <c r="R743" t="inlineStr">
        <is>
          <t>Operationnel</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row>
    <row r="744">
      <c r="A744" t="inlineStr">
        <is>
          <t>Minkwele-IHS</t>
        </is>
      </c>
      <c r="B744" t="inlineStr">
        <is>
          <t>LIT_479</t>
        </is>
      </c>
      <c r="C744" t="inlineStr">
        <is>
          <t>LITTORAL</t>
        </is>
      </c>
      <c r="D744" t="inlineStr">
        <is>
          <t>IHS</t>
        </is>
      </c>
      <c r="E744" t="inlineStr">
        <is>
          <t>Grid-Gen</t>
        </is>
      </c>
      <c r="F744" t="inlineStr">
        <is>
          <t>LITTORAL</t>
        </is>
      </c>
      <c r="G744" t="inlineStr">
        <is>
          <t>Minkwele</t>
        </is>
      </c>
      <c r="H744" t="inlineStr">
        <is>
          <t>ZTE</t>
        </is>
      </c>
      <c r="I744" t="n">
        <v>0</v>
      </c>
      <c r="J744" t="n">
        <v>5.350523495219609e-05</v>
      </c>
      <c r="K744" t="n">
        <v>0</v>
      </c>
      <c r="L744" t="n">
        <v>0</v>
      </c>
      <c r="M744" t="n">
        <v>0</v>
      </c>
      <c r="N744" t="n">
        <v>0.04845948786814223</v>
      </c>
      <c r="O744" t="n">
        <v>0.0449447657517069</v>
      </c>
      <c r="P744" t="n">
        <v>0.1603311248131294</v>
      </c>
      <c r="Q744" t="n">
        <v>0.1056193337956188</v>
      </c>
      <c r="R744" t="inlineStr">
        <is>
          <t>Operationnel</t>
        </is>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row>
    <row r="745">
      <c r="A745" t="inlineStr">
        <is>
          <t>Dobiri-MTN</t>
        </is>
      </c>
      <c r="B745" t="inlineStr">
        <is>
          <t>ADM_045</t>
        </is>
      </c>
      <c r="C745" t="inlineStr">
        <is>
          <t>ADAMAOUA</t>
        </is>
      </c>
      <c r="D745" t="inlineStr">
        <is>
          <t>IHS</t>
        </is>
      </c>
      <c r="E745" t="inlineStr">
        <is>
          <t>Solar-Gen</t>
        </is>
      </c>
      <c r="F745" t="inlineStr">
        <is>
          <t>ADAMAOUA</t>
        </is>
      </c>
      <c r="G745" t="inlineStr">
        <is>
          <t>Dobiri</t>
        </is>
      </c>
      <c r="H745" t="inlineStr">
        <is>
          <t>NOKIA</t>
        </is>
      </c>
      <c r="I745" t="n">
        <v>0.3142344097814769</v>
      </c>
      <c r="J745" t="n">
        <v>0.04461104368253939</v>
      </c>
      <c r="K745" t="n">
        <v>0.1976330278312091</v>
      </c>
      <c r="L745" t="n">
        <v>0.2372425107936219</v>
      </c>
      <c r="M745" t="n">
        <v>0.3487820587272614</v>
      </c>
      <c r="N745" t="n">
        <v>0.1475016885883401</v>
      </c>
      <c r="O745" t="n">
        <v>0.1679006562308064</v>
      </c>
      <c r="P745" t="n">
        <v>0.05273690154902821</v>
      </c>
      <c r="Q745" t="n">
        <v>0.104931105123888</v>
      </c>
      <c r="R745" t="inlineStr">
        <is>
          <t>Operationnel</t>
        </is>
      </c>
      <c r="S745" t="inlineStr"/>
      <c r="T745" t="inlineStr"/>
      <c r="U745" t="inlineStr"/>
      <c r="V745" t="inlineStr"/>
      <c r="W745" t="inlineStr"/>
      <c r="X745" t="inlineStr">
        <is>
          <t>{05-25-2026 ticket}: INC-20260525-00000023..Grid Outage</t>
        </is>
      </c>
      <c r="Y745" t="inlineStr">
        <is>
          <t>.Grid Outage</t>
        </is>
      </c>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is>
          <t>{05-25-2026 ticket}: INC-20260525-00000023..Grid Outage</t>
        </is>
      </c>
      <c r="AR745" t="inlineStr"/>
    </row>
    <row r="746">
      <c r="A746" t="inlineStr">
        <is>
          <t>Libong</t>
        </is>
      </c>
      <c r="B746" t="inlineStr">
        <is>
          <t>ADM_149</t>
        </is>
      </c>
      <c r="C746" t="inlineStr">
        <is>
          <t>ADAMAOUA</t>
        </is>
      </c>
      <c r="D746" t="inlineStr">
        <is>
          <t>CAMUSAT</t>
        </is>
      </c>
      <c r="E746" t="inlineStr">
        <is>
          <t>Hybrid Solar - S3</t>
        </is>
      </c>
      <c r="F746" t="inlineStr">
        <is>
          <t>ADAMAOUA</t>
        </is>
      </c>
      <c r="G746" t="inlineStr">
        <is>
          <t>Libong</t>
        </is>
      </c>
      <c r="H746" t="inlineStr">
        <is>
          <t>NOKIA</t>
        </is>
      </c>
      <c r="I746" t="n">
        <v>0</v>
      </c>
      <c r="J746" t="n">
        <v>0.01213066127927348</v>
      </c>
      <c r="K746" t="n">
        <v>0.01748141171836039</v>
      </c>
      <c r="L746" t="n">
        <v>0.7386164023635531</v>
      </c>
      <c r="M746" t="n">
        <v>0.204661366951745</v>
      </c>
      <c r="N746" t="n">
        <v>0.3137377152700342</v>
      </c>
      <c r="O746" t="n">
        <v>0.1771963880160749</v>
      </c>
      <c r="P746" t="n">
        <v>0</v>
      </c>
      <c r="Q746" t="n">
        <v>0.1042885879763559</v>
      </c>
      <c r="R746" t="inlineStr">
        <is>
          <t>Operationnel</t>
        </is>
      </c>
      <c r="S746" t="inlineStr"/>
      <c r="T746" t="inlineStr"/>
      <c r="U746" t="inlineStr"/>
      <c r="V746" t="inlineStr"/>
      <c r="W746" t="inlineStr"/>
      <c r="X746" t="inlineStr">
        <is>
          <t xml:space="preserve">{05-25-2026 retour CAMUSAT}: No power issue </t>
        </is>
      </c>
      <c r="Y746" t="inlineStr">
        <is>
          <t>No power issue</t>
        </is>
      </c>
      <c r="Z746" t="inlineStr"/>
      <c r="AA746" t="inlineStr"/>
      <c r="AB746" t="inlineStr"/>
      <c r="AC746" t="inlineStr">
        <is>
          <t xml:space="preserve">{05-25-2026 retour CAMUSAT}: No power issue </t>
        </is>
      </c>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row>
    <row r="747">
      <c r="A747" t="inlineStr">
        <is>
          <t>kalat-IHS</t>
        </is>
      </c>
      <c r="B747" t="inlineStr">
        <is>
          <t>SUD_082</t>
        </is>
      </c>
      <c r="C747" t="inlineStr">
        <is>
          <t>CENTRE</t>
        </is>
      </c>
      <c r="D747" t="inlineStr">
        <is>
          <t>IHS</t>
        </is>
      </c>
      <c r="E747" t="inlineStr">
        <is>
          <t>Grid-Gen</t>
        </is>
      </c>
      <c r="F747" t="inlineStr">
        <is>
          <t>SUD</t>
        </is>
      </c>
      <c r="G747" t="inlineStr">
        <is>
          <t>Ebolowa</t>
        </is>
      </c>
      <c r="H747" t="inlineStr">
        <is>
          <t>ZTE</t>
        </is>
      </c>
      <c r="I747" t="n">
        <v>0</v>
      </c>
      <c r="J747" t="n">
        <v>0</v>
      </c>
      <c r="K747" t="n">
        <v>0</v>
      </c>
      <c r="L747" t="n">
        <v>0</v>
      </c>
      <c r="M747" t="n">
        <v>0</v>
      </c>
      <c r="N747" t="n">
        <v>0.0003746867618670791</v>
      </c>
      <c r="O747" t="n">
        <v>0.00510011526260777</v>
      </c>
      <c r="P747" t="n">
        <v>0.1960704647085483</v>
      </c>
      <c r="Q747" t="n">
        <v>0.1040141767470543</v>
      </c>
      <c r="R747" t="inlineStr">
        <is>
          <t>Operationnel</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row>
    <row r="748">
      <c r="A748" t="inlineStr">
        <is>
          <t>Gra-Plateau-MTN</t>
        </is>
      </c>
      <c r="B748" t="inlineStr">
        <is>
          <t>NRD_035</t>
        </is>
      </c>
      <c r="C748" t="inlineStr">
        <is>
          <t>Garoua</t>
        </is>
      </c>
      <c r="D748" t="inlineStr">
        <is>
          <t>IHS</t>
        </is>
      </c>
      <c r="E748" t="inlineStr">
        <is>
          <t>Grid-Gen</t>
        </is>
      </c>
      <c r="F748" t="inlineStr">
        <is>
          <t>NORD</t>
        </is>
      </c>
      <c r="G748" t="inlineStr">
        <is>
          <t>Garoua</t>
        </is>
      </c>
      <c r="H748" t="inlineStr">
        <is>
          <t>Huawei</t>
        </is>
      </c>
      <c r="I748" t="n">
        <v>0.0531485333858398</v>
      </c>
      <c r="J748" t="n">
        <v>0</v>
      </c>
      <c r="K748" t="n">
        <v>5.101831163161002</v>
      </c>
      <c r="L748" t="n">
        <v>0</v>
      </c>
      <c r="M748" t="n">
        <v>6.299438837095821</v>
      </c>
      <c r="N748" t="n">
        <v>0.1636132193486246</v>
      </c>
      <c r="O748" t="n">
        <v>0.2111235213915834</v>
      </c>
      <c r="P748" t="n">
        <v>0.01863917726603147</v>
      </c>
      <c r="Q748" t="n">
        <v>0.1039606715121007</v>
      </c>
      <c r="R748" t="inlineStr">
        <is>
          <t>Operationnel</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row>
    <row r="749">
      <c r="A749" t="inlineStr">
        <is>
          <t>Sanguere-MTN-IHS</t>
        </is>
      </c>
      <c r="B749" t="inlineStr">
        <is>
          <t>NRD_087</t>
        </is>
      </c>
      <c r="C749" t="inlineStr">
        <is>
          <t>NORD</t>
        </is>
      </c>
      <c r="D749" t="inlineStr">
        <is>
          <t>IHS</t>
        </is>
      </c>
      <c r="E749" t="inlineStr">
        <is>
          <t>Solar-Grid-Gen</t>
        </is>
      </c>
      <c r="F749" t="inlineStr">
        <is>
          <t>NORD</t>
        </is>
      </c>
      <c r="G749" t="inlineStr">
        <is>
          <t>Sanguere</t>
        </is>
      </c>
      <c r="H749" t="inlineStr">
        <is>
          <t>NOKIA</t>
        </is>
      </c>
      <c r="I749" t="n">
        <v>0.0687363918352437</v>
      </c>
      <c r="J749" t="n">
        <v>0.01355465952122078</v>
      </c>
      <c r="K749" t="n">
        <v>4.2850729434171</v>
      </c>
      <c r="L749" t="n">
        <v>6.162982652889426</v>
      </c>
      <c r="M749" t="n">
        <v>0.02611130814976141</v>
      </c>
      <c r="N749" t="n">
        <v>0</v>
      </c>
      <c r="O749" t="n">
        <v>0.1511527881231543</v>
      </c>
      <c r="P749" t="n">
        <v>0.1006857575618289</v>
      </c>
      <c r="Q749" t="n">
        <v>0.103250204938107</v>
      </c>
      <c r="R749" t="inlineStr">
        <is>
          <t>Operationnel</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row>
    <row r="750">
      <c r="A750" t="inlineStr">
        <is>
          <t>Lokomo-MTN</t>
        </is>
      </c>
      <c r="B750" t="inlineStr">
        <is>
          <t>EST_042</t>
        </is>
      </c>
      <c r="C750" t="inlineStr">
        <is>
          <t>CENTRE</t>
        </is>
      </c>
      <c r="D750" t="inlineStr">
        <is>
          <t>IHS</t>
        </is>
      </c>
      <c r="E750" t="inlineStr">
        <is>
          <t>Grid-Gen</t>
        </is>
      </c>
      <c r="F750" t="inlineStr">
        <is>
          <t>EST</t>
        </is>
      </c>
      <c r="G750" t="inlineStr">
        <is>
          <t>Lokomo</t>
        </is>
      </c>
      <c r="H750" t="inlineStr">
        <is>
          <t>NOKIA</t>
        </is>
      </c>
      <c r="I750" t="n">
        <v>0</v>
      </c>
      <c r="J750" t="n">
        <v>0.002710931904244178</v>
      </c>
      <c r="K750" t="n">
        <v>0.01410754694906016</v>
      </c>
      <c r="L750" t="n">
        <v>0</v>
      </c>
      <c r="M750" t="n">
        <v>0.7770386921323049</v>
      </c>
      <c r="N750" t="n">
        <v>0.7221462857051505</v>
      </c>
      <c r="O750" t="n">
        <v>0</v>
      </c>
      <c r="P750" t="n">
        <v>0</v>
      </c>
      <c r="Q750" t="n">
        <v>0.1031224228311831</v>
      </c>
      <c r="R750" t="inlineStr">
        <is>
          <t>Operationnel</t>
        </is>
      </c>
      <c r="S750" t="inlineStr"/>
      <c r="T750" t="inlineStr"/>
      <c r="U750" t="inlineStr"/>
      <c r="V750" t="inlineStr"/>
      <c r="W750" t="inlineStr"/>
      <c r="X750" t="inlineStr">
        <is>
          <t>{05-25-2026 ticket}: INC-20260525-00018462..Others Transmission equipement fault</t>
        </is>
      </c>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is>
          <t>{05-25-2026 ticket}: INC-20260525-00018462..Others Transmission equipement fault</t>
        </is>
      </c>
      <c r="AR750" t="inlineStr"/>
    </row>
    <row r="751">
      <c r="A751" t="inlineStr">
        <is>
          <t>Ngd-Gadamadanga</t>
        </is>
      </c>
      <c r="B751" t="inlineStr">
        <is>
          <t>ADM_087</t>
        </is>
      </c>
      <c r="C751" t="inlineStr">
        <is>
          <t>Ngaoundere</t>
        </is>
      </c>
      <c r="D751" t="inlineStr">
        <is>
          <t>IHS</t>
        </is>
      </c>
      <c r="E751" t="inlineStr">
        <is>
          <t>Grid-Gen</t>
        </is>
      </c>
      <c r="F751" t="inlineStr">
        <is>
          <t>ADAMAOUA</t>
        </is>
      </c>
      <c r="G751" t="inlineStr">
        <is>
          <t>Ngaoundere</t>
        </is>
      </c>
      <c r="H751" t="inlineStr">
        <is>
          <t>Huawei</t>
        </is>
      </c>
      <c r="I751" t="n">
        <v>0</v>
      </c>
      <c r="J751" t="n">
        <v>0.4738423607365745</v>
      </c>
      <c r="K751" t="n">
        <v>1.297680298373726</v>
      </c>
      <c r="L751" t="n">
        <v>2.486673629481242</v>
      </c>
      <c r="M751" t="n">
        <v>0.1299463806205466</v>
      </c>
      <c r="N751" t="n">
        <v>0.07556183030986095</v>
      </c>
      <c r="O751" t="n">
        <v>0.1030117030644893</v>
      </c>
      <c r="P751" t="n">
        <v>0.1082440294440176</v>
      </c>
      <c r="Q751" t="n">
        <v>0.1018204621140132</v>
      </c>
      <c r="R751" t="inlineStr">
        <is>
          <t>Operationnel</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row>
    <row r="752">
      <c r="A752" t="inlineStr">
        <is>
          <t>Fochieya-IHS</t>
        </is>
      </c>
      <c r="B752" t="inlineStr">
        <is>
          <t>OST_195</t>
        </is>
      </c>
      <c r="C752" t="inlineStr">
        <is>
          <t>OUEST</t>
        </is>
      </c>
      <c r="D752" t="inlineStr">
        <is>
          <t>IHS</t>
        </is>
      </c>
      <c r="E752" t="inlineStr">
        <is>
          <t>Grid-Gen</t>
        </is>
      </c>
      <c r="F752" t="inlineStr">
        <is>
          <t>OUEST</t>
        </is>
      </c>
      <c r="G752" t="inlineStr">
        <is>
          <t xml:space="preserve"> Fochieya</t>
        </is>
      </c>
      <c r="H752" t="inlineStr">
        <is>
          <t>NOKIA</t>
        </is>
      </c>
      <c r="I752" t="n">
        <v>0.0002318560181261239</v>
      </c>
      <c r="J752" t="n">
        <v>0.0002675261747610057</v>
      </c>
      <c r="K752" t="n">
        <v>0.1560613960594093</v>
      </c>
      <c r="L752" t="n">
        <v>0.6633934659607732</v>
      </c>
      <c r="M752" t="n">
        <v>0.0003210314097131258</v>
      </c>
      <c r="N752" t="n">
        <v>0.2219394586125999</v>
      </c>
      <c r="O752" t="n">
        <v>0</v>
      </c>
      <c r="P752" t="n">
        <v>0.1327998629798169</v>
      </c>
      <c r="Q752" t="n">
        <v>0.1009465432764609</v>
      </c>
      <c r="R752" t="inlineStr">
        <is>
          <t>Operationnel</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row>
    <row r="753">
      <c r="A753" t="inlineStr">
        <is>
          <t>Nyazoro-MTN-IHS</t>
        </is>
      </c>
      <c r="B753" t="inlineStr">
        <is>
          <t>CTR_169</t>
        </is>
      </c>
      <c r="C753" t="inlineStr">
        <is>
          <t>CENTRE</t>
        </is>
      </c>
      <c r="D753" t="inlineStr">
        <is>
          <t>IHS</t>
        </is>
      </c>
      <c r="E753" t="inlineStr">
        <is>
          <t>Solar-Gen</t>
        </is>
      </c>
      <c r="F753" t="inlineStr">
        <is>
          <t>CENTRE</t>
        </is>
      </c>
      <c r="G753" t="inlineStr">
        <is>
          <t>Nyazoro</t>
        </is>
      </c>
      <c r="H753" t="inlineStr">
        <is>
          <t>NOKIA</t>
        </is>
      </c>
      <c r="I753" t="n">
        <v>0.002639591590974595</v>
      </c>
      <c r="J753" t="n">
        <v>0</v>
      </c>
      <c r="K753" t="n">
        <v>0.0008919087611408398</v>
      </c>
      <c r="L753" t="n">
        <v>0.01305685675009832</v>
      </c>
      <c r="M753" t="n">
        <v>0.02242094381152372</v>
      </c>
      <c r="N753" t="n">
        <v>0.3256027960624918</v>
      </c>
      <c r="O753" t="n">
        <v>0.1609956649332857</v>
      </c>
      <c r="P753" t="n">
        <v>0</v>
      </c>
      <c r="Q753" t="n">
        <v>0.100544150818209</v>
      </c>
      <c r="R753" t="inlineStr">
        <is>
          <t>Operationnel</t>
        </is>
      </c>
      <c r="S753" t="inlineStr"/>
      <c r="T753" t="inlineStr"/>
      <c r="U753" t="inlineStr"/>
      <c r="V753" t="inlineStr"/>
      <c r="W753" t="inlineStr"/>
      <c r="X753" t="inlineStr">
        <is>
          <t>{05-25-2026 ticket}: INC-20260525-00011058..Others</t>
        </is>
      </c>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is>
          <t>{05-25-2026 ticket}: INC-20260525-00011058..Others</t>
        </is>
      </c>
      <c r="AR753" t="inlineStr"/>
    </row>
    <row r="754">
      <c r="A754" t="inlineStr">
        <is>
          <t>Doualayel-MTN</t>
        </is>
      </c>
      <c r="B754" t="inlineStr">
        <is>
          <t>ADM_067</t>
        </is>
      </c>
      <c r="C754" t="inlineStr">
        <is>
          <t>ADAMAOUA</t>
        </is>
      </c>
      <c r="D754" t="inlineStr">
        <is>
          <t>IHS</t>
        </is>
      </c>
      <c r="E754" t="inlineStr">
        <is>
          <t>Hybrid-Gen</t>
        </is>
      </c>
      <c r="F754" t="inlineStr">
        <is>
          <t>ADAMAOUA</t>
        </is>
      </c>
      <c r="G754" t="inlineStr">
        <is>
          <t>Doualayel</t>
        </is>
      </c>
      <c r="H754" t="inlineStr">
        <is>
          <t>NOKIA</t>
        </is>
      </c>
      <c r="I754" t="n">
        <v>0.002764437139196366</v>
      </c>
      <c r="J754" t="n">
        <v>0.2023981715110682</v>
      </c>
      <c r="K754" t="n">
        <v>0.0008919087611408398</v>
      </c>
      <c r="L754" t="n">
        <v>0.1443343523554446</v>
      </c>
      <c r="M754" t="n">
        <v>0.228913078046744</v>
      </c>
      <c r="N754" t="n">
        <v>0.3227301975548441</v>
      </c>
      <c r="O754" t="n">
        <v>0.1615270345654237</v>
      </c>
      <c r="P754" t="n">
        <v>0</v>
      </c>
      <c r="Q754" t="n">
        <v>0.1003123309312437</v>
      </c>
      <c r="R754" t="inlineStr">
        <is>
          <t>Operationnel</t>
        </is>
      </c>
      <c r="S754" t="inlineStr"/>
      <c r="T754" t="inlineStr"/>
      <c r="U754" t="inlineStr"/>
      <c r="V754" t="inlineStr"/>
      <c r="W754" t="inlineStr"/>
      <c r="X754" t="inlineStr">
        <is>
          <t>{05-25-2026 ticket}: INC-20260525-00018064..Others</t>
        </is>
      </c>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is>
          <t>{05-25-2026 ticket}: INC-20260525-00018064..Others</t>
        </is>
      </c>
      <c r="AR754" t="inlineStr"/>
    </row>
    <row r="755">
      <c r="A755" t="inlineStr">
        <is>
          <t>Koba-MTN</t>
        </is>
      </c>
      <c r="B755" t="inlineStr">
        <is>
          <t>ADM_064</t>
        </is>
      </c>
      <c r="C755" t="inlineStr">
        <is>
          <t>ADAMAOUA</t>
        </is>
      </c>
      <c r="D755" t="inlineStr">
        <is>
          <t>IHS</t>
        </is>
      </c>
      <c r="E755" t="inlineStr">
        <is>
          <t>Hybrid-Gen</t>
        </is>
      </c>
      <c r="F755" t="inlineStr">
        <is>
          <t>ADAMAOUA</t>
        </is>
      </c>
      <c r="G755" t="inlineStr">
        <is>
          <t>Koba</t>
        </is>
      </c>
      <c r="H755" t="inlineStr">
        <is>
          <t>NOKIA</t>
        </is>
      </c>
      <c r="I755" t="n">
        <v>0.002425570651165843</v>
      </c>
      <c r="J755" t="n">
        <v>0</v>
      </c>
      <c r="K755" t="n">
        <v>0.0008919087611408398</v>
      </c>
      <c r="L755" t="n">
        <v>0.01360977514699166</v>
      </c>
      <c r="M755" t="n">
        <v>0.02370521396964168</v>
      </c>
      <c r="N755" t="n">
        <v>0.3236044666658673</v>
      </c>
      <c r="O755" t="n">
        <v>0.1607299878055239</v>
      </c>
      <c r="P755" t="n">
        <v>0</v>
      </c>
      <c r="Q755" t="n">
        <v>0.1001695986890167</v>
      </c>
      <c r="R755" t="inlineStr">
        <is>
          <t>Operationnel</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row>
    <row r="756">
      <c r="A756" t="inlineStr">
        <is>
          <t>Ndogpassi-III</t>
        </is>
      </c>
      <c r="B756" t="inlineStr">
        <is>
          <t>LIT_283</t>
        </is>
      </c>
      <c r="C756" t="inlineStr">
        <is>
          <t>Douala</t>
        </is>
      </c>
      <c r="D756" t="inlineStr">
        <is>
          <t>IHS</t>
        </is>
      </c>
      <c r="E756" t="inlineStr">
        <is>
          <t>Grid-Gen</t>
        </is>
      </c>
      <c r="F756" t="inlineStr">
        <is>
          <t>LITTORAL</t>
        </is>
      </c>
      <c r="G756" t="inlineStr">
        <is>
          <t>Douala</t>
        </is>
      </c>
      <c r="H756" t="inlineStr">
        <is>
          <t>ZTE</t>
        </is>
      </c>
      <c r="I756" t="n">
        <v>1.370162056655623</v>
      </c>
      <c r="J756" t="n">
        <v>5.264219551240893</v>
      </c>
      <c r="K756" t="n">
        <v>0</v>
      </c>
      <c r="L756" t="n">
        <v>9.008515893194987</v>
      </c>
      <c r="M756" t="n">
        <v>0</v>
      </c>
      <c r="N756" t="n">
        <v>0.01985839837895519</v>
      </c>
      <c r="O756" t="n">
        <v>0.01593786019564087</v>
      </c>
      <c r="P756" t="n">
        <v>0.1757896718300951</v>
      </c>
      <c r="Q756" t="n">
        <v>0.09985860349909992</v>
      </c>
      <c r="R756" t="inlineStr">
        <is>
          <t>Operationnel</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row>
    <row r="757">
      <c r="A757" t="inlineStr">
        <is>
          <t>Wada-MTN-IHS</t>
        </is>
      </c>
      <c r="B757" t="inlineStr">
        <is>
          <t>ADM_099</t>
        </is>
      </c>
      <c r="C757" t="inlineStr">
        <is>
          <t>ADAMAOUA</t>
        </is>
      </c>
      <c r="D757" t="inlineStr">
        <is>
          <t>IHS</t>
        </is>
      </c>
      <c r="E757" t="inlineStr">
        <is>
          <t>Solar-Gen</t>
        </is>
      </c>
      <c r="F757" t="inlineStr">
        <is>
          <t>ADAMAOUA</t>
        </is>
      </c>
      <c r="G757" t="inlineStr">
        <is>
          <t>Wada</t>
        </is>
      </c>
      <c r="H757" t="inlineStr">
        <is>
          <t>NOKIA</t>
        </is>
      </c>
      <c r="I757" t="n">
        <v>0</v>
      </c>
      <c r="J757" t="n">
        <v>0</v>
      </c>
      <c r="K757" t="n">
        <v>0</v>
      </c>
      <c r="L757" t="n">
        <v>0</v>
      </c>
      <c r="M757" t="n">
        <v>0.1026872148401445</v>
      </c>
      <c r="N757" t="n">
        <v>0.2013316867099105</v>
      </c>
      <c r="O757" t="n">
        <v>0.1102496267266433</v>
      </c>
      <c r="P757" t="n">
        <v>0.0651858199432219</v>
      </c>
      <c r="Q757" t="n">
        <v>0.0997558768337454</v>
      </c>
      <c r="R757" t="inlineStr">
        <is>
          <t>Operationnel</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row>
    <row r="758">
      <c r="A758" t="inlineStr">
        <is>
          <t>Ndogp-ZR</t>
        </is>
      </c>
      <c r="B758" t="inlineStr">
        <is>
          <t>LIT_251</t>
        </is>
      </c>
      <c r="C758" t="inlineStr">
        <is>
          <t>Douala</t>
        </is>
      </c>
      <c r="D758" t="inlineStr">
        <is>
          <t>IHS</t>
        </is>
      </c>
      <c r="E758" t="inlineStr">
        <is>
          <t>Grid-Gen</t>
        </is>
      </c>
      <c r="F758" t="inlineStr">
        <is>
          <t>LITTORAL</t>
        </is>
      </c>
      <c r="G758" t="inlineStr">
        <is>
          <t>Douala</t>
        </is>
      </c>
      <c r="H758" t="inlineStr">
        <is>
          <t>ZTE</t>
        </is>
      </c>
      <c r="I758" t="n">
        <v>0.8007950164510756</v>
      </c>
      <c r="J758" t="n">
        <v>2.980740969029744</v>
      </c>
      <c r="K758" t="n">
        <v>0</v>
      </c>
      <c r="L758" t="n">
        <v>1.298554217211281</v>
      </c>
      <c r="M758" t="n">
        <v>0</v>
      </c>
      <c r="N758" t="n">
        <v>0.01948371161708811</v>
      </c>
      <c r="O758" t="n">
        <v>0.01593786019564087</v>
      </c>
      <c r="P758" t="n">
        <v>0.1755160692280255</v>
      </c>
      <c r="Q758" t="n">
        <v>0.09966241763760883</v>
      </c>
      <c r="R758" t="inlineStr">
        <is>
          <t>Operationnel</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row>
    <row r="759">
      <c r="A759" t="inlineStr">
        <is>
          <t>Biteng-OKUI</t>
        </is>
      </c>
      <c r="B759" t="inlineStr">
        <is>
          <t>CTR_705</t>
        </is>
      </c>
      <c r="C759" t="inlineStr">
        <is>
          <t>Yaounde</t>
        </is>
      </c>
      <c r="D759" t="inlineStr">
        <is>
          <t>CAMUSAT</t>
        </is>
      </c>
      <c r="E759" t="inlineStr">
        <is>
          <t>Good Grid + GE</t>
        </is>
      </c>
      <c r="F759" t="inlineStr">
        <is>
          <t>CENTRE</t>
        </is>
      </c>
      <c r="G759" t="inlineStr">
        <is>
          <t>Yaounde</t>
        </is>
      </c>
      <c r="H759" t="inlineStr">
        <is>
          <t>ZTE</t>
        </is>
      </c>
      <c r="I759" t="n">
        <v>0</v>
      </c>
      <c r="J759" t="n">
        <v>0</v>
      </c>
      <c r="K759" t="n">
        <v>0</v>
      </c>
      <c r="L759" t="n">
        <v>6.458545570765305</v>
      </c>
      <c r="M759" t="n">
        <v>0.002033198928183109</v>
      </c>
      <c r="N759" t="n">
        <v>0</v>
      </c>
      <c r="O759" t="n">
        <v>0</v>
      </c>
      <c r="P759" t="n">
        <v>0.1886831944526531</v>
      </c>
      <c r="Q759" t="n">
        <v>0.09839612707707351</v>
      </c>
      <c r="R759" t="inlineStr">
        <is>
          <t>Operationnel</t>
        </is>
      </c>
      <c r="S759" t="inlineStr"/>
      <c r="T759" t="inlineStr"/>
      <c r="U759" t="inlineStr"/>
      <c r="V759" t="inlineStr"/>
      <c r="W759" t="inlineStr"/>
      <c r="X759" t="inlineStr">
        <is>
          <t>{05-25-2026 ticket}: INC-20260525-00023622..Grid Outage</t>
        </is>
      </c>
      <c r="Y759" t="inlineStr">
        <is>
          <t>.Grid Outage</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is>
          <t>{05-25-2026 ticket}: INC-20260525-00023622..Grid Outage</t>
        </is>
      </c>
      <c r="AR759" t="inlineStr"/>
    </row>
    <row r="760">
      <c r="A760" t="inlineStr">
        <is>
          <t>Ebolowa-SIM</t>
        </is>
      </c>
      <c r="B760" t="inlineStr">
        <is>
          <t>SUD_097</t>
        </is>
      </c>
      <c r="C760" t="inlineStr">
        <is>
          <t>CENTRE</t>
        </is>
      </c>
      <c r="D760" t="inlineStr">
        <is>
          <t>CAMUSAT</t>
        </is>
      </c>
      <c r="E760" t="inlineStr">
        <is>
          <t>Good Grid + GE</t>
        </is>
      </c>
      <c r="F760" t="inlineStr">
        <is>
          <t>SUD</t>
        </is>
      </c>
      <c r="G760" t="inlineStr">
        <is>
          <t>Ebolowa</t>
        </is>
      </c>
      <c r="H760" t="inlineStr">
        <is>
          <t>ZTE</t>
        </is>
      </c>
      <c r="I760" t="n">
        <v>0</v>
      </c>
      <c r="J760" t="n">
        <v>0</v>
      </c>
      <c r="K760" t="n">
        <v>0</v>
      </c>
      <c r="L760" t="n">
        <v>0</v>
      </c>
      <c r="M760" t="n">
        <v>0</v>
      </c>
      <c r="N760" t="n">
        <v>0.001124060285601237</v>
      </c>
      <c r="O760" t="n">
        <v>0.009562716117385748</v>
      </c>
      <c r="P760" t="n">
        <v>0.1792781050064899</v>
      </c>
      <c r="Q760" t="n">
        <v>0.09686231034177768</v>
      </c>
      <c r="R760" t="inlineStr">
        <is>
          <t>Operationnel</t>
        </is>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row>
    <row r="761">
      <c r="A761" t="inlineStr">
        <is>
          <t>Abome-II</t>
        </is>
      </c>
      <c r="B761" t="inlineStr">
        <is>
          <t>CTR_662</t>
        </is>
      </c>
      <c r="C761" t="inlineStr">
        <is>
          <t>Yaounde</t>
        </is>
      </c>
      <c r="D761" t="inlineStr">
        <is>
          <t>CAMUSAT</t>
        </is>
      </c>
      <c r="E761" t="inlineStr">
        <is>
          <t>Good Grid no GE - 12h</t>
        </is>
      </c>
      <c r="F761" t="inlineStr">
        <is>
          <t>CENTRE</t>
        </is>
      </c>
      <c r="G761" t="inlineStr">
        <is>
          <t>Yaounde</t>
        </is>
      </c>
      <c r="H761" t="inlineStr">
        <is>
          <t>ZTE</t>
        </is>
      </c>
      <c r="I761" t="n">
        <v>0</v>
      </c>
      <c r="J761" t="n">
        <v>0</v>
      </c>
      <c r="K761" t="n">
        <v>0</v>
      </c>
      <c r="L761" t="n">
        <v>0</v>
      </c>
      <c r="M761" t="n">
        <v>1.662800021687456</v>
      </c>
      <c r="N761" t="n">
        <v>0.01198997637974653</v>
      </c>
      <c r="O761" t="n">
        <v>0</v>
      </c>
      <c r="P761" t="n">
        <v>0.1819115300514156</v>
      </c>
      <c r="Q761" t="n">
        <v>0.09657694908869896</v>
      </c>
      <c r="R761" t="inlineStr">
        <is>
          <t>Operationnel</t>
        </is>
      </c>
      <c r="S761" t="inlineStr"/>
      <c r="T761" t="inlineStr"/>
      <c r="U761" t="inlineStr"/>
      <c r="V761" t="inlineStr"/>
      <c r="W761" t="inlineStr"/>
      <c r="X761" t="inlineStr">
        <is>
          <t>{05-25-2026 retour CAMUSAT}: Nuisance sonore     ;    {05-25-2026 ticket}: INC-20260525-00022983..Others</t>
        </is>
      </c>
      <c r="Y761" t="inlineStr">
        <is>
          <t>Nuisance sonore .</t>
        </is>
      </c>
      <c r="Z761" t="inlineStr"/>
      <c r="AA761" t="inlineStr"/>
      <c r="AB761" t="inlineStr"/>
      <c r="AC761" t="inlineStr">
        <is>
          <t>{05-25-2026 retour CAMUSAT}: Nuisance sonore</t>
        </is>
      </c>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is>
          <t>{05-25-2026 ticket}: INC-20260525-00022983..Others</t>
        </is>
      </c>
      <c r="AR761" t="inlineStr"/>
    </row>
    <row r="762">
      <c r="A762" t="inlineStr">
        <is>
          <t>Ebolowa-Si-MTN</t>
        </is>
      </c>
      <c r="B762" t="inlineStr">
        <is>
          <t>SUD_263</t>
        </is>
      </c>
      <c r="C762" t="inlineStr">
        <is>
          <t>CENTRE</t>
        </is>
      </c>
      <c r="D762" t="inlineStr">
        <is>
          <t>IHS</t>
        </is>
      </c>
      <c r="E762" t="inlineStr">
        <is>
          <t>Grid-Gen</t>
        </is>
      </c>
      <c r="F762" t="inlineStr">
        <is>
          <t>SUD</t>
        </is>
      </c>
      <c r="G762" t="inlineStr">
        <is>
          <t>Ebolowa</t>
        </is>
      </c>
      <c r="H762" t="inlineStr">
        <is>
          <t>ZTE</t>
        </is>
      </c>
      <c r="I762" t="n">
        <v>0</v>
      </c>
      <c r="J762" t="n">
        <v>0</v>
      </c>
      <c r="K762" t="n">
        <v>0</v>
      </c>
      <c r="L762" t="n">
        <v>0</v>
      </c>
      <c r="M762" t="n">
        <v>0</v>
      </c>
      <c r="N762" t="n">
        <v>0.0003746867618670791</v>
      </c>
      <c r="O762" t="n">
        <v>0.007012658486078804</v>
      </c>
      <c r="P762" t="n">
        <v>0.1803383150895123</v>
      </c>
      <c r="Q762" t="n">
        <v>0.0964521035404763</v>
      </c>
      <c r="R762" t="inlineStr">
        <is>
          <t>Operationnel</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row>
    <row r="763">
      <c r="A763" t="inlineStr">
        <is>
          <t>Ebolowa-Elat-II</t>
        </is>
      </c>
      <c r="B763" t="inlineStr">
        <is>
          <t>SUD_100</t>
        </is>
      </c>
      <c r="C763" t="inlineStr">
        <is>
          <t>CENTRE</t>
        </is>
      </c>
      <c r="D763" t="inlineStr">
        <is>
          <t>CAMUSAT</t>
        </is>
      </c>
      <c r="E763" t="inlineStr">
        <is>
          <t>Medium Grid + GE</t>
        </is>
      </c>
      <c r="F763" t="inlineStr">
        <is>
          <t>SUD</t>
        </is>
      </c>
      <c r="G763" t="inlineStr">
        <is>
          <t>Ebolowa</t>
        </is>
      </c>
      <c r="H763" t="inlineStr">
        <is>
          <t>ZTE</t>
        </is>
      </c>
      <c r="I763" t="n">
        <v>0</v>
      </c>
      <c r="J763" t="n">
        <v>0</v>
      </c>
      <c r="K763" t="n">
        <v>0</v>
      </c>
      <c r="L763" t="n">
        <v>0</v>
      </c>
      <c r="M763" t="n">
        <v>0</v>
      </c>
      <c r="N763" t="n">
        <v>0.0003746867618670791</v>
      </c>
      <c r="O763" t="n">
        <v>0.007012658486078804</v>
      </c>
      <c r="P763" t="n">
        <v>0.1782862955739852</v>
      </c>
      <c r="Q763" t="n">
        <v>0.0953819988414322</v>
      </c>
      <c r="R763" t="inlineStr">
        <is>
          <t>Operationnel</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row>
    <row r="764">
      <c r="A764" t="inlineStr">
        <is>
          <t>Mbalmayo-Oyack</t>
        </is>
      </c>
      <c r="B764" t="inlineStr">
        <is>
          <t>CTR_493</t>
        </is>
      </c>
      <c r="C764" t="inlineStr">
        <is>
          <t>CENTRE</t>
        </is>
      </c>
      <c r="D764" t="inlineStr">
        <is>
          <t>IHS</t>
        </is>
      </c>
      <c r="E764" t="inlineStr">
        <is>
          <t>Grid-Gen</t>
        </is>
      </c>
      <c r="F764" t="inlineStr">
        <is>
          <t>CENTRE</t>
        </is>
      </c>
      <c r="G764" t="inlineStr">
        <is>
          <t>Mbalmayo</t>
        </is>
      </c>
      <c r="H764" t="inlineStr">
        <is>
          <t>ZTE</t>
        </is>
      </c>
      <c r="I764" t="n">
        <v>0.1116475902668988</v>
      </c>
      <c r="J764" t="n">
        <v>0</v>
      </c>
      <c r="K764" t="n">
        <v>0</v>
      </c>
      <c r="L764" t="n">
        <v>0</v>
      </c>
      <c r="M764" t="n">
        <v>0</v>
      </c>
      <c r="N764" t="n">
        <v>0</v>
      </c>
      <c r="O764" t="n">
        <v>0.001275028815653472</v>
      </c>
      <c r="P764" t="n">
        <v>0.1798595105358892</v>
      </c>
      <c r="Q764" t="n">
        <v>0.09422271875080344</v>
      </c>
      <c r="R764" t="inlineStr">
        <is>
          <t>Operationnel</t>
        </is>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row>
    <row r="765">
      <c r="A765" t="inlineStr">
        <is>
          <t>Sole</t>
        </is>
      </c>
      <c r="B765" t="inlineStr">
        <is>
          <t>LIT_212</t>
        </is>
      </c>
      <c r="C765" t="inlineStr">
        <is>
          <t>LITTORAL</t>
        </is>
      </c>
      <c r="D765" t="inlineStr">
        <is>
          <t>IHS</t>
        </is>
      </c>
      <c r="E765" t="inlineStr">
        <is>
          <t>Grid-Gen</t>
        </is>
      </c>
      <c r="F765" t="inlineStr">
        <is>
          <t>LITTORAL</t>
        </is>
      </c>
      <c r="G765" t="inlineStr">
        <is>
          <t>Sole</t>
        </is>
      </c>
      <c r="H765" t="inlineStr">
        <is>
          <t>NOKIA</t>
        </is>
      </c>
      <c r="I765" t="n">
        <v>0</v>
      </c>
      <c r="J765" t="n">
        <v>0.03939891113917742</v>
      </c>
      <c r="K765" t="n">
        <v>0</v>
      </c>
      <c r="L765" t="n">
        <v>0</v>
      </c>
      <c r="M765" t="n">
        <v>0.01845930605850474</v>
      </c>
      <c r="N765" t="n">
        <v>0.2916311963198766</v>
      </c>
      <c r="O765" t="n">
        <v>0.1554031301441918</v>
      </c>
      <c r="P765" t="n">
        <v>0</v>
      </c>
      <c r="Q765" t="n">
        <v>0.09381553108279003</v>
      </c>
      <c r="R765" t="inlineStr">
        <is>
          <t>Operationnel</t>
        </is>
      </c>
      <c r="S765" t="inlineStr"/>
      <c r="T765" t="inlineStr"/>
      <c r="U765" t="inlineStr"/>
      <c r="V765" t="inlineStr"/>
      <c r="W765" t="inlineStr"/>
      <c r="X765" t="inlineStr">
        <is>
          <t>{05-25-2026 ticket}: INC-20260525-00018417..Others</t>
        </is>
      </c>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is>
          <t>{05-25-2026 ticket}: INC-20260525-00018417..Others</t>
        </is>
      </c>
      <c r="AR765" t="inlineStr"/>
    </row>
    <row r="766">
      <c r="A766" t="inlineStr">
        <is>
          <t>Mbalmayo</t>
        </is>
      </c>
      <c r="B766" t="inlineStr">
        <is>
          <t>CTR_021</t>
        </is>
      </c>
      <c r="C766" t="inlineStr">
        <is>
          <t>CENTRE</t>
        </is>
      </c>
      <c r="D766" t="inlineStr"/>
      <c r="E766" t="inlineStr"/>
      <c r="F766" t="inlineStr">
        <is>
          <t>CENTRE</t>
        </is>
      </c>
      <c r="G766" t="inlineStr">
        <is>
          <t>Mbalmayo</t>
        </is>
      </c>
      <c r="H766" t="inlineStr">
        <is>
          <t>ZTE</t>
        </is>
      </c>
      <c r="I766" t="n">
        <v>0</v>
      </c>
      <c r="J766" t="n">
        <v>0</v>
      </c>
      <c r="K766" t="n">
        <v>0</v>
      </c>
      <c r="L766" t="n">
        <v>0</v>
      </c>
      <c r="M766" t="n">
        <v>0</v>
      </c>
      <c r="N766" t="n">
        <v>0</v>
      </c>
      <c r="O766" t="n">
        <v>0</v>
      </c>
      <c r="P766" t="n">
        <v>0.1765762793110468</v>
      </c>
      <c r="Q766" t="n">
        <v>0.09208250935271509</v>
      </c>
      <c r="R766" t="inlineStr">
        <is>
          <t>Operationnel</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row>
    <row r="767">
      <c r="A767" t="inlineStr">
        <is>
          <t>CTR_984_Z_Mbalmayo-Ngalan-II</t>
        </is>
      </c>
      <c r="B767" t="inlineStr">
        <is>
          <t>CTR_984</t>
        </is>
      </c>
      <c r="C767" t="inlineStr">
        <is>
          <t>CENTRE</t>
        </is>
      </c>
      <c r="D767" t="inlineStr">
        <is>
          <t>ESCO</t>
        </is>
      </c>
      <c r="E767" t="inlineStr">
        <is>
          <t>Hybrid Solar - S1</t>
        </is>
      </c>
      <c r="F767" t="inlineStr">
        <is>
          <t>CTR</t>
        </is>
      </c>
      <c r="G767" t="inlineStr">
        <is>
          <t>Mbalmayo</t>
        </is>
      </c>
      <c r="H767" t="inlineStr">
        <is>
          <t>ZTE</t>
        </is>
      </c>
      <c r="I767" t="n">
        <v>0</v>
      </c>
      <c r="J767" t="n">
        <v>0</v>
      </c>
      <c r="K767" t="n">
        <v>0</v>
      </c>
      <c r="L767" t="n">
        <v>6.233342036851552</v>
      </c>
      <c r="M767" t="n">
        <v>0</v>
      </c>
      <c r="N767" t="n">
        <v>0.002622807333069554</v>
      </c>
      <c r="O767" t="n">
        <v>0</v>
      </c>
      <c r="P767" t="n">
        <v>0.1756186702038005</v>
      </c>
      <c r="Q767" t="n">
        <v>0.09195766380449297</v>
      </c>
      <c r="R767" t="inlineStr">
        <is>
          <t>Operationnel</t>
        </is>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row>
    <row r="768">
      <c r="A768" t="inlineStr">
        <is>
          <t>Doualare</t>
        </is>
      </c>
      <c r="B768" t="inlineStr">
        <is>
          <t>EXN_030</t>
        </is>
      </c>
      <c r="C768" t="inlineStr">
        <is>
          <t>Maroua</t>
        </is>
      </c>
      <c r="D768" t="inlineStr">
        <is>
          <t>IHS</t>
        </is>
      </c>
      <c r="E768" t="inlineStr">
        <is>
          <t>Solar-Grid-Gen</t>
        </is>
      </c>
      <c r="F768" t="inlineStr">
        <is>
          <t>EXTREME-NORD</t>
        </is>
      </c>
      <c r="G768" t="inlineStr">
        <is>
          <t>Maroua</t>
        </is>
      </c>
      <c r="H768" t="inlineStr">
        <is>
          <t>Huawei</t>
        </is>
      </c>
      <c r="I768" t="n">
        <v>0</v>
      </c>
      <c r="J768" t="n">
        <v>0</v>
      </c>
      <c r="K768" t="n">
        <v>1.388906723967206</v>
      </c>
      <c r="L768" t="n">
        <v>0</v>
      </c>
      <c r="M768" t="n">
        <v>0</v>
      </c>
      <c r="N768" t="n">
        <v>0.1336382783992582</v>
      </c>
      <c r="O768" t="n">
        <v>0.1141682052014376</v>
      </c>
      <c r="P768" t="n">
        <v>0.06600662774943251</v>
      </c>
      <c r="Q768" t="n">
        <v>0.09183281825627151</v>
      </c>
      <c r="R768" t="inlineStr">
        <is>
          <t>Operationnel</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row>
    <row r="769">
      <c r="A769" t="inlineStr">
        <is>
          <t>Garoua-Lainde-II</t>
        </is>
      </c>
      <c r="B769" t="inlineStr">
        <is>
          <t>NRD_145</t>
        </is>
      </c>
      <c r="C769" t="inlineStr">
        <is>
          <t>Garoua</t>
        </is>
      </c>
      <c r="D769" t="inlineStr">
        <is>
          <t>CAMUSAT</t>
        </is>
      </c>
      <c r="E769" t="inlineStr">
        <is>
          <t>Medium Grid + GE</t>
        </is>
      </c>
      <c r="F769" t="inlineStr">
        <is>
          <t>NORD</t>
        </is>
      </c>
      <c r="G769" t="inlineStr">
        <is>
          <t>Garoua</t>
        </is>
      </c>
      <c r="H769" t="inlineStr">
        <is>
          <t>Huawei</t>
        </is>
      </c>
      <c r="I769" t="n">
        <v>3.580570323000402</v>
      </c>
      <c r="J769" t="n">
        <v>0</v>
      </c>
      <c r="K769" t="n">
        <v>17.60821612119863</v>
      </c>
      <c r="L769" t="n">
        <v>12.67547933556486</v>
      </c>
      <c r="M769" t="n">
        <v>4.477942288540176</v>
      </c>
      <c r="N769" t="n">
        <v>0.1517481385561671</v>
      </c>
      <c r="O769" t="n">
        <v>0.1954512921992037</v>
      </c>
      <c r="P769" t="n">
        <v>0.004788045536228268</v>
      </c>
      <c r="Q769" t="n">
        <v>0.08978178424977101</v>
      </c>
      <c r="R769" t="inlineStr">
        <is>
          <t>Operationnel</t>
        </is>
      </c>
      <c r="S769" t="inlineStr"/>
      <c r="T769" t="inlineStr"/>
      <c r="U769" t="inlineStr"/>
      <c r="V769" t="inlineStr"/>
      <c r="W769" t="inlineStr"/>
      <c r="X769" t="inlineStr">
        <is>
          <t>{05-25-2026 retour CAMUSAT}: ATS faulty</t>
        </is>
      </c>
      <c r="Y769" t="inlineStr">
        <is>
          <t>ATS faulty</t>
        </is>
      </c>
      <c r="Z769" t="inlineStr"/>
      <c r="AA769" t="inlineStr"/>
      <c r="AB769" t="inlineStr"/>
      <c r="AC769" t="inlineStr">
        <is>
          <t>{05-25-2026 retour CAMUSAT}: ATS faulty</t>
        </is>
      </c>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row>
    <row r="770">
      <c r="A770" t="inlineStr">
        <is>
          <t>Poumpoumrey-II</t>
        </is>
      </c>
      <c r="B770" t="inlineStr">
        <is>
          <t>NRD_148</t>
        </is>
      </c>
      <c r="C770" t="inlineStr">
        <is>
          <t>Garoua</t>
        </is>
      </c>
      <c r="D770" t="inlineStr">
        <is>
          <t>CAMUSAT</t>
        </is>
      </c>
      <c r="E770" t="inlineStr">
        <is>
          <t>Good Grid + GE</t>
        </is>
      </c>
      <c r="F770" t="inlineStr">
        <is>
          <t>NORD</t>
        </is>
      </c>
      <c r="G770" t="inlineStr">
        <is>
          <t>Garoua</t>
        </is>
      </c>
      <c r="H770" t="inlineStr">
        <is>
          <t>Huawei</t>
        </is>
      </c>
      <c r="I770" t="n">
        <v>3.600706126420742</v>
      </c>
      <c r="J770" t="n">
        <v>0</v>
      </c>
      <c r="K770" t="n">
        <v>17.61258571538639</v>
      </c>
      <c r="L770" t="n">
        <v>9.232328290999991</v>
      </c>
      <c r="M770" t="n">
        <v>4.541988054777947</v>
      </c>
      <c r="N770" t="n">
        <v>0.1523726164926122</v>
      </c>
      <c r="O770" t="n">
        <v>0.1934324965744226</v>
      </c>
      <c r="P770" t="n">
        <v>0.004788045536228268</v>
      </c>
      <c r="Q770" t="n">
        <v>0.08919322666529694</v>
      </c>
      <c r="R770" t="inlineStr">
        <is>
          <t>Operationnel</t>
        </is>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row>
    <row r="771">
      <c r="A771" t="inlineStr">
        <is>
          <t>Ndogbessol-IHS</t>
        </is>
      </c>
      <c r="B771" t="inlineStr">
        <is>
          <t>LIT_499</t>
        </is>
      </c>
      <c r="C771" t="inlineStr">
        <is>
          <t>LITTORAL</t>
        </is>
      </c>
      <c r="D771" t="inlineStr">
        <is>
          <t>IHS</t>
        </is>
      </c>
      <c r="E771" t="inlineStr">
        <is>
          <t>Hybrid-Gen</t>
        </is>
      </c>
      <c r="F771" t="inlineStr">
        <is>
          <t>LITTORAL</t>
        </is>
      </c>
      <c r="G771" t="inlineStr">
        <is>
          <t>Ndogbessol</t>
        </is>
      </c>
      <c r="H771" t="inlineStr">
        <is>
          <t>NOKIA</t>
        </is>
      </c>
      <c r="I771" t="n">
        <v>0.305158190010644</v>
      </c>
      <c r="J771" t="n">
        <v>0.6241564007955872</v>
      </c>
      <c r="K771" t="n">
        <v>0</v>
      </c>
      <c r="L771" t="n">
        <v>0</v>
      </c>
      <c r="M771" t="n">
        <v>0.2088309320183887</v>
      </c>
      <c r="N771" t="n">
        <v>0.6231040849849525</v>
      </c>
      <c r="O771" t="n">
        <v>0</v>
      </c>
      <c r="P771" t="n">
        <v>0</v>
      </c>
      <c r="Q771" t="n">
        <v>0.08897920572548818</v>
      </c>
      <c r="R771" t="inlineStr">
        <is>
          <t>Operationnel</t>
        </is>
      </c>
      <c r="S771" t="inlineStr"/>
      <c r="T771" t="inlineStr"/>
      <c r="U771" t="inlineStr"/>
      <c r="V771" t="inlineStr"/>
      <c r="W771" t="inlineStr"/>
      <c r="X771" t="inlineStr">
        <is>
          <t>{05-25-2026 ticket}: INC-20260525-00000045..Others Transmission equipement fault</t>
        </is>
      </c>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is>
          <t>{05-25-2026 ticket}: INC-20260525-00000045..Others Transmission equipement fault</t>
        </is>
      </c>
      <c r="AR771" t="inlineStr"/>
    </row>
    <row r="772">
      <c r="A772" t="inlineStr">
        <is>
          <t>Meidjamba-MTN</t>
        </is>
      </c>
      <c r="B772" t="inlineStr">
        <is>
          <t>ADM_054</t>
        </is>
      </c>
      <c r="C772" t="inlineStr">
        <is>
          <t>ADAMAOUA</t>
        </is>
      </c>
      <c r="D772" t="inlineStr">
        <is>
          <t>IHS</t>
        </is>
      </c>
      <c r="E772" t="inlineStr">
        <is>
          <t>Hybrid-Gen</t>
        </is>
      </c>
      <c r="F772" t="inlineStr">
        <is>
          <t>ADAMAOUA</t>
        </is>
      </c>
      <c r="G772" t="inlineStr">
        <is>
          <t>Meidjamba</t>
        </is>
      </c>
      <c r="H772" t="inlineStr">
        <is>
          <t>NOKIA</t>
        </is>
      </c>
      <c r="I772" t="n">
        <v>0</v>
      </c>
      <c r="J772" t="n">
        <v>0</v>
      </c>
      <c r="K772" t="n">
        <v>0</v>
      </c>
      <c r="L772" t="n">
        <v>0</v>
      </c>
      <c r="M772" t="n">
        <v>0.0147160764765919</v>
      </c>
      <c r="N772" t="n">
        <v>0.198958670551419</v>
      </c>
      <c r="O772" t="n">
        <v>0.09218462764854279</v>
      </c>
      <c r="P772" t="n">
        <v>0.05519932496766027</v>
      </c>
      <c r="Q772" t="n">
        <v>0.0881445389245198</v>
      </c>
      <c r="R772" t="inlineStr">
        <is>
          <t>Operationnel</t>
        </is>
      </c>
      <c r="S772" t="inlineStr"/>
      <c r="T772" t="inlineStr"/>
      <c r="U772" t="inlineStr"/>
      <c r="V772" t="inlineStr"/>
      <c r="W772" t="inlineStr"/>
      <c r="X772" t="inlineStr">
        <is>
          <t>{05-25-2026 ticket}: INC-20260525-00017893..Others</t>
        </is>
      </c>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is>
          <t>{05-25-2026 ticket}: INC-20260525-00017893..Others</t>
        </is>
      </c>
      <c r="AR772" t="inlineStr"/>
    </row>
    <row r="773">
      <c r="A773" t="inlineStr">
        <is>
          <t>Poumpoumrey</t>
        </is>
      </c>
      <c r="B773" t="inlineStr">
        <is>
          <t>NRD_038</t>
        </is>
      </c>
      <c r="C773" t="inlineStr">
        <is>
          <t>Garoua</t>
        </is>
      </c>
      <c r="D773" t="inlineStr">
        <is>
          <t>IHS</t>
        </is>
      </c>
      <c r="E773" t="inlineStr">
        <is>
          <t>Grid-Gen</t>
        </is>
      </c>
      <c r="F773" t="inlineStr">
        <is>
          <t>NORD</t>
        </is>
      </c>
      <c r="G773" t="inlineStr">
        <is>
          <t>Garoua</t>
        </is>
      </c>
      <c r="H773" t="inlineStr">
        <is>
          <t>Huawei</t>
        </is>
      </c>
      <c r="I773" t="n">
        <v>1.554220064891149</v>
      </c>
      <c r="J773" t="n">
        <v>0</v>
      </c>
      <c r="K773" t="n">
        <v>8.521778770834938</v>
      </c>
      <c r="L773" t="n">
        <v>5.197694709117005</v>
      </c>
      <c r="M773" t="n">
        <v>0.7508567971623676</v>
      </c>
      <c r="N773" t="n">
        <v>0.1461278371281609</v>
      </c>
      <c r="O773" t="n">
        <v>0.192423098762032</v>
      </c>
      <c r="P773" t="n">
        <v>0.002907027646995733</v>
      </c>
      <c r="Q773" t="n">
        <v>0.08698167695393984</v>
      </c>
      <c r="R773" t="inlineStr">
        <is>
          <t>Operationnel</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row>
    <row r="774">
      <c r="A774" t="inlineStr">
        <is>
          <t>Ebolowa-NewBell</t>
        </is>
      </c>
      <c r="B774" t="inlineStr">
        <is>
          <t>SUD_262</t>
        </is>
      </c>
      <c r="C774" t="inlineStr">
        <is>
          <t>CENTRE</t>
        </is>
      </c>
      <c r="D774" t="inlineStr">
        <is>
          <t>IHS</t>
        </is>
      </c>
      <c r="E774" t="inlineStr">
        <is>
          <t>Grid-Gen</t>
        </is>
      </c>
      <c r="F774" t="inlineStr">
        <is>
          <t>SUD</t>
        </is>
      </c>
      <c r="G774" t="inlineStr">
        <is>
          <t>Ebolowa</t>
        </is>
      </c>
      <c r="H774" t="inlineStr">
        <is>
          <t>ZTE</t>
        </is>
      </c>
      <c r="I774" t="n">
        <v>0</v>
      </c>
      <c r="J774" t="n">
        <v>0</v>
      </c>
      <c r="K774" t="n">
        <v>0</v>
      </c>
      <c r="L774" t="n">
        <v>0</v>
      </c>
      <c r="M774" t="n">
        <v>0</v>
      </c>
      <c r="N774" t="n">
        <v>0.0003746867618670791</v>
      </c>
      <c r="O774" t="n">
        <v>0.00510011526260777</v>
      </c>
      <c r="P774" t="n">
        <v>0.1620069407508091</v>
      </c>
      <c r="Q774" t="n">
        <v>0.08625043874292743</v>
      </c>
      <c r="R774" t="inlineStr">
        <is>
          <t>Operationnel</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row>
    <row r="775">
      <c r="A775" t="inlineStr">
        <is>
          <t>Lewa-MTN</t>
        </is>
      </c>
      <c r="B775" t="inlineStr">
        <is>
          <t>ADM_066</t>
        </is>
      </c>
      <c r="C775" t="inlineStr">
        <is>
          <t>ADAMAOUA</t>
        </is>
      </c>
      <c r="D775" t="inlineStr">
        <is>
          <t>IHS</t>
        </is>
      </c>
      <c r="E775" t="inlineStr">
        <is>
          <t>Hybrid-Gen</t>
        </is>
      </c>
      <c r="F775" t="inlineStr">
        <is>
          <t>ADAMAOUA</t>
        </is>
      </c>
      <c r="G775" t="inlineStr">
        <is>
          <t>Lewa</t>
        </is>
      </c>
      <c r="H775" t="inlineStr">
        <is>
          <t>NOKIA</t>
        </is>
      </c>
      <c r="I775" t="n">
        <v>0</v>
      </c>
      <c r="J775" t="n">
        <v>0.005886938562000462</v>
      </c>
      <c r="K775" t="n">
        <v>0.007046079213012532</v>
      </c>
      <c r="L775" t="n">
        <v>0.01366296367878465</v>
      </c>
      <c r="M775" t="n">
        <v>0.1764698889028151</v>
      </c>
      <c r="N775" t="n">
        <v>0.1493751223976755</v>
      </c>
      <c r="O775" t="n">
        <v>0.1041424356430828</v>
      </c>
      <c r="P775" t="n">
        <v>0.05615693407490564</v>
      </c>
      <c r="Q775" t="n">
        <v>0.08557776909072222</v>
      </c>
      <c r="R775" t="inlineStr">
        <is>
          <t>Operationnel</t>
        </is>
      </c>
      <c r="S775" t="inlineStr"/>
      <c r="T775" t="inlineStr"/>
      <c r="U775" t="inlineStr"/>
      <c r="V775" t="inlineStr"/>
      <c r="W775" t="inlineStr"/>
      <c r="X775" t="inlineStr">
        <is>
          <t>{05-25-2026 ticket}: INC-20260525-00001231..Grid Outage</t>
        </is>
      </c>
      <c r="Y775" t="inlineStr">
        <is>
          <t>.Grid Outage</t>
        </is>
      </c>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is>
          <t>{05-25-2026 ticket}: INC-20260525-00001231..Grid Outage</t>
        </is>
      </c>
      <c r="AR775" t="inlineStr"/>
    </row>
    <row r="776">
      <c r="A776" t="inlineStr">
        <is>
          <t>Sangmelima-CRTV</t>
        </is>
      </c>
      <c r="B776" t="inlineStr">
        <is>
          <t>SUD_018</t>
        </is>
      </c>
      <c r="C776" t="inlineStr">
        <is>
          <t>CENTRE</t>
        </is>
      </c>
      <c r="D776" t="inlineStr">
        <is>
          <t>CAMUSAT</t>
        </is>
      </c>
      <c r="E776" t="inlineStr">
        <is>
          <t>Medium Grid + Solar + GE</t>
        </is>
      </c>
      <c r="F776" t="inlineStr">
        <is>
          <t>SUD</t>
        </is>
      </c>
      <c r="G776" t="inlineStr">
        <is>
          <t>Sangmelima</t>
        </is>
      </c>
      <c r="H776" t="inlineStr">
        <is>
          <t>ZTE</t>
        </is>
      </c>
      <c r="I776" t="n">
        <v>0</v>
      </c>
      <c r="J776" t="n">
        <v>0</v>
      </c>
      <c r="K776" t="n">
        <v>0</v>
      </c>
      <c r="L776" t="n">
        <v>0</v>
      </c>
      <c r="M776" t="n">
        <v>0</v>
      </c>
      <c r="N776" t="n">
        <v>0.001873433809335395</v>
      </c>
      <c r="O776" t="n">
        <v>0.004462600854777976</v>
      </c>
      <c r="P776" t="n">
        <v>0.160502126439423</v>
      </c>
      <c r="Q776" t="n">
        <v>0.0854656952969606</v>
      </c>
      <c r="R776" t="inlineStr">
        <is>
          <t>Operationnel</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row>
    <row r="777">
      <c r="A777" t="inlineStr">
        <is>
          <t>Mazavou</t>
        </is>
      </c>
      <c r="B777" t="inlineStr">
        <is>
          <t>EXN_215</t>
        </is>
      </c>
      <c r="C777" t="inlineStr">
        <is>
          <t>EXTREME-NORD</t>
        </is>
      </c>
      <c r="D777" t="inlineStr">
        <is>
          <t>CAMUSAT</t>
        </is>
      </c>
      <c r="E777" t="inlineStr">
        <is>
          <t>Hybrid Solar - S3</t>
        </is>
      </c>
      <c r="F777" t="inlineStr">
        <is>
          <t>EXTREME-NORD</t>
        </is>
      </c>
      <c r="G777" t="inlineStr">
        <is>
          <t>Kalfou</t>
        </is>
      </c>
      <c r="H777" t="inlineStr">
        <is>
          <t>NOKIA</t>
        </is>
      </c>
      <c r="I777" t="n">
        <v>0.5105826220704099</v>
      </c>
      <c r="J777" t="n">
        <v>0</v>
      </c>
      <c r="K777" t="n">
        <v>0.3098043574512067</v>
      </c>
      <c r="L777" t="n">
        <v>0.1719399199895868</v>
      </c>
      <c r="M777" t="n">
        <v>0.0200653094965733</v>
      </c>
      <c r="N777" t="n">
        <v>0.2847619390189801</v>
      </c>
      <c r="O777" t="n">
        <v>0.1330888345337441</v>
      </c>
      <c r="P777" t="n">
        <v>0</v>
      </c>
      <c r="Q777" t="n">
        <v>0.08534343536545246</v>
      </c>
      <c r="R777" t="inlineStr">
        <is>
          <t>Insecurity</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row>
    <row r="778">
      <c r="A778" t="inlineStr">
        <is>
          <t>Guili-Centre-IHS</t>
        </is>
      </c>
      <c r="B778" t="inlineStr">
        <is>
          <t>EXN_173</t>
        </is>
      </c>
      <c r="C778" t="inlineStr">
        <is>
          <t>EXTREME-NORD</t>
        </is>
      </c>
      <c r="D778" t="inlineStr">
        <is>
          <t>IHS</t>
        </is>
      </c>
      <c r="E778" t="inlineStr">
        <is>
          <t>Grid-Gen</t>
        </is>
      </c>
      <c r="F778" t="inlineStr">
        <is>
          <t>EXTREME-NORD</t>
        </is>
      </c>
      <c r="G778" t="inlineStr">
        <is>
          <t>Guili</t>
        </is>
      </c>
      <c r="H778" t="inlineStr">
        <is>
          <t>NOKIA</t>
        </is>
      </c>
      <c r="I778" t="n">
        <v>0.5126871613118628</v>
      </c>
      <c r="J778" t="n">
        <v>0</v>
      </c>
      <c r="K778" t="n">
        <v>0.3086272113167892</v>
      </c>
      <c r="L778" t="n">
        <v>0.1663752723303531</v>
      </c>
      <c r="M778" t="n">
        <v>0.017247403248806</v>
      </c>
      <c r="N778" t="n">
        <v>0.2932548389546339</v>
      </c>
      <c r="O778" t="n">
        <v>0.1267133215021873</v>
      </c>
      <c r="P778" t="n">
        <v>0</v>
      </c>
      <c r="Q778" t="n">
        <v>0.08441588743106933</v>
      </c>
      <c r="R778" t="inlineStr">
        <is>
          <t>Insecurity</t>
        </is>
      </c>
      <c r="S778" t="inlineStr"/>
      <c r="T778" t="inlineStr"/>
      <c r="U778" t="inlineStr"/>
      <c r="V778" t="inlineStr"/>
      <c r="W778" t="inlineStr"/>
      <c r="X778" t="inlineStr">
        <is>
          <t>{05-25-2026 ticket}: INC-20260525-00023414..Others</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is>
          <t>{05-25-2026 ticket}: INC-20260525-00023414..Others</t>
        </is>
      </c>
      <c r="AR778" t="inlineStr"/>
    </row>
    <row r="779">
      <c r="A779" t="inlineStr">
        <is>
          <t>Dogba-Ngd-IHS</t>
        </is>
      </c>
      <c r="B779" t="inlineStr">
        <is>
          <t>ADM_128</t>
        </is>
      </c>
      <c r="C779" t="inlineStr">
        <is>
          <t>NGAOUNDERE</t>
        </is>
      </c>
      <c r="D779" t="inlineStr">
        <is>
          <t>IHS</t>
        </is>
      </c>
      <c r="E779" t="inlineStr">
        <is>
          <t>Hybrid-Gen</t>
        </is>
      </c>
      <c r="F779" t="inlineStr">
        <is>
          <t>ADAMAOUA</t>
        </is>
      </c>
      <c r="G779" t="inlineStr">
        <is>
          <t>Dogba</t>
        </is>
      </c>
      <c r="H779" t="inlineStr">
        <is>
          <t>NOKIA</t>
        </is>
      </c>
      <c r="I779" t="n">
        <v>0</v>
      </c>
      <c r="J779" t="n">
        <v>0.004316088952809809</v>
      </c>
      <c r="K779" t="n">
        <v>1.544339431503311</v>
      </c>
      <c r="L779" t="n">
        <v>0.744739365299501</v>
      </c>
      <c r="M779" t="n">
        <v>0.007847434459654199</v>
      </c>
      <c r="N779" t="n">
        <v>0.5772674044498799</v>
      </c>
      <c r="O779" t="n">
        <v>0</v>
      </c>
      <c r="P779" t="n">
        <v>0</v>
      </c>
      <c r="Q779" t="n">
        <v>0.08243373198300388</v>
      </c>
      <c r="R779" t="inlineStr">
        <is>
          <t>Operationnel</t>
        </is>
      </c>
      <c r="S779" t="inlineStr"/>
      <c r="T779" t="inlineStr"/>
      <c r="U779" t="inlineStr"/>
      <c r="V779" t="inlineStr"/>
      <c r="W779" t="inlineStr"/>
      <c r="X779" t="inlineStr">
        <is>
          <t>{05-25-2026 ticket}: INC-20260525-00018482..Others Transmission equipement fault</t>
        </is>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is>
          <t>{05-25-2026 ticket}: INC-20260525-00018482..Others Transmission equipement fault</t>
        </is>
      </c>
      <c r="AR779" t="inlineStr"/>
    </row>
    <row r="780">
      <c r="A780" t="inlineStr">
        <is>
          <t>Sangmelima-Chateau</t>
        </is>
      </c>
      <c r="B780" t="inlineStr">
        <is>
          <t>SUD_260</t>
        </is>
      </c>
      <c r="C780" t="inlineStr">
        <is>
          <t>CENTRE</t>
        </is>
      </c>
      <c r="D780" t="inlineStr">
        <is>
          <t>CAMUSAT</t>
        </is>
      </c>
      <c r="E780" t="inlineStr">
        <is>
          <t>Good Grid + GE</t>
        </is>
      </c>
      <c r="F780" t="inlineStr">
        <is>
          <t>SUD</t>
        </is>
      </c>
      <c r="G780" t="inlineStr">
        <is>
          <t>Sangmelima</t>
        </is>
      </c>
      <c r="H780" t="inlineStr">
        <is>
          <t>ZTE</t>
        </is>
      </c>
      <c r="I780" t="n">
        <v>0</v>
      </c>
      <c r="J780" t="n">
        <v>0</v>
      </c>
      <c r="K780" t="n">
        <v>0.1039071662771487</v>
      </c>
      <c r="L780" t="n">
        <v>0</v>
      </c>
      <c r="M780" t="n">
        <v>0</v>
      </c>
      <c r="N780" t="n">
        <v>0.0003746867618670791</v>
      </c>
      <c r="O780" t="n">
        <v>0.003187572039130622</v>
      </c>
      <c r="P780" t="n">
        <v>0.1556114799274192</v>
      </c>
      <c r="Q780" t="n">
        <v>0.08227321627814843</v>
      </c>
      <c r="R780" t="inlineStr">
        <is>
          <t>Operationnel</t>
        </is>
      </c>
      <c r="S780" t="inlineStr"/>
      <c r="T780" t="inlineStr"/>
      <c r="U780" t="inlineStr"/>
      <c r="V780" t="inlineStr"/>
      <c r="W780" t="inlineStr"/>
      <c r="X780" t="inlineStr">
        <is>
          <t xml:space="preserve">{05-25-2026 retour CAMUSAT}: No power issue </t>
        </is>
      </c>
      <c r="Y780" t="inlineStr">
        <is>
          <t>No power issue</t>
        </is>
      </c>
      <c r="Z780" t="inlineStr"/>
      <c r="AA780" t="inlineStr"/>
      <c r="AB780" t="inlineStr"/>
      <c r="AC780" t="inlineStr">
        <is>
          <t xml:space="preserve">{05-25-2026 retour CAMUSAT}: No power issue </t>
        </is>
      </c>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row>
    <row r="781">
      <c r="A781" t="inlineStr">
        <is>
          <t>Boukoula-IHS</t>
        </is>
      </c>
      <c r="B781" t="inlineStr">
        <is>
          <t>NRD_014</t>
        </is>
      </c>
      <c r="C781" t="inlineStr">
        <is>
          <t>EXTREME-NORD</t>
        </is>
      </c>
      <c r="D781" t="inlineStr">
        <is>
          <t>IHS</t>
        </is>
      </c>
      <c r="E781" t="inlineStr">
        <is>
          <t>Grid-Gen</t>
        </is>
      </c>
      <c r="F781" t="inlineStr">
        <is>
          <t>NORD</t>
        </is>
      </c>
      <c r="G781" t="inlineStr">
        <is>
          <t>Boukoula</t>
        </is>
      </c>
      <c r="H781" t="inlineStr">
        <is>
          <t>NOKIA</t>
        </is>
      </c>
      <c r="I781" t="n">
        <v>0.5310572919787808</v>
      </c>
      <c r="J781" t="n">
        <v>0</v>
      </c>
      <c r="K781" t="n">
        <v>0.310500033884729</v>
      </c>
      <c r="L781" t="n">
        <v>0.1760956480738489</v>
      </c>
      <c r="M781" t="n">
        <v>0.02570127681945598</v>
      </c>
      <c r="N781" t="n">
        <v>0.2517895039746771</v>
      </c>
      <c r="O781" t="n">
        <v>0.1360109446732078</v>
      </c>
      <c r="P781" t="n">
        <v>0</v>
      </c>
      <c r="Q781" t="n">
        <v>0.08161596076714445</v>
      </c>
      <c r="R781" t="inlineStr">
        <is>
          <t>Operationnel</t>
        </is>
      </c>
      <c r="S781" t="inlineStr"/>
      <c r="T781" t="inlineStr"/>
      <c r="U781" t="inlineStr"/>
      <c r="V781" t="inlineStr"/>
      <c r="W781" t="inlineStr"/>
      <c r="X781" t="inlineStr">
        <is>
          <t>{05-25-2026 ticket}: INC-20260525-00023416..Others</t>
        </is>
      </c>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is>
          <t>{05-25-2026 ticket}: INC-20260525-00023416..Others</t>
        </is>
      </c>
      <c r="AR781" t="inlineStr"/>
    </row>
    <row r="782">
      <c r="A782" t="inlineStr">
        <is>
          <t>Odza-II-IHS</t>
        </is>
      </c>
      <c r="B782" t="inlineStr">
        <is>
          <t>CTR_158</t>
        </is>
      </c>
      <c r="C782" t="inlineStr">
        <is>
          <t>Yaounde</t>
        </is>
      </c>
      <c r="D782" t="inlineStr">
        <is>
          <t>IHS</t>
        </is>
      </c>
      <c r="E782" t="inlineStr">
        <is>
          <t>Grid-Gen</t>
        </is>
      </c>
      <c r="F782" t="inlineStr">
        <is>
          <t>CENTRE</t>
        </is>
      </c>
      <c r="G782" t="inlineStr">
        <is>
          <t>Yaounde</t>
        </is>
      </c>
      <c r="H782" t="inlineStr">
        <is>
          <t>ZTE</t>
        </is>
      </c>
      <c r="I782" t="n">
        <v>0</v>
      </c>
      <c r="J782" t="n">
        <v>0</v>
      </c>
      <c r="K782" t="n">
        <v>0</v>
      </c>
      <c r="L782" t="n">
        <v>0</v>
      </c>
      <c r="M782" t="n">
        <v>0</v>
      </c>
      <c r="N782" t="n">
        <v>0</v>
      </c>
      <c r="O782" t="n">
        <v>0</v>
      </c>
      <c r="P782" t="n">
        <v>0.1535252600866338</v>
      </c>
      <c r="Q782" t="n">
        <v>0.08006166656679037</v>
      </c>
      <c r="R782" t="inlineStr">
        <is>
          <t>Operationnel</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row>
    <row r="783">
      <c r="A783" t="inlineStr">
        <is>
          <t>Foreke</t>
        </is>
      </c>
      <c r="B783" t="inlineStr">
        <is>
          <t>OST_251</t>
        </is>
      </c>
      <c r="C783" t="inlineStr">
        <is>
          <t>OUEST</t>
        </is>
      </c>
      <c r="D783" t="inlineStr">
        <is>
          <t>CAMUSAT</t>
        </is>
      </c>
      <c r="E783" t="inlineStr">
        <is>
          <t>Medium Grid + GE</t>
        </is>
      </c>
      <c r="F783" t="inlineStr">
        <is>
          <t>OUEST</t>
        </is>
      </c>
      <c r="G783" t="inlineStr">
        <is>
          <t>Dschang</t>
        </is>
      </c>
      <c r="H783" t="inlineStr">
        <is>
          <t>NOKIA</t>
        </is>
      </c>
      <c r="I783" t="n">
        <v>2.220449415437473</v>
      </c>
      <c r="J783" t="n">
        <v>1.021254419532407</v>
      </c>
      <c r="K783" t="n">
        <v>0.07606611794545022</v>
      </c>
      <c r="L783" t="n">
        <v>0.05890926368235866</v>
      </c>
      <c r="M783" t="n">
        <v>0.00379887168160558</v>
      </c>
      <c r="N783" t="n">
        <v>0</v>
      </c>
      <c r="O783" t="n">
        <v>0</v>
      </c>
      <c r="P783" t="n">
        <v>0.1524992503288704</v>
      </c>
      <c r="Q783" t="n">
        <v>0.07952661421726841</v>
      </c>
      <c r="R783" t="inlineStr">
        <is>
          <t>Operationnel</t>
        </is>
      </c>
      <c r="S783" t="inlineStr"/>
      <c r="T783" t="inlineStr"/>
      <c r="U783" t="inlineStr"/>
      <c r="V783" t="inlineStr"/>
      <c r="W783" t="inlineStr"/>
      <c r="X783" t="inlineStr">
        <is>
          <t xml:space="preserve">{05-25-2026 retour CAMUSAT}: No power issue </t>
        </is>
      </c>
      <c r="Y783" t="inlineStr">
        <is>
          <t>No power issue</t>
        </is>
      </c>
      <c r="Z783" t="inlineStr"/>
      <c r="AA783" t="inlineStr"/>
      <c r="AB783" t="inlineStr"/>
      <c r="AC783" t="inlineStr">
        <is>
          <t xml:space="preserve">{05-25-2026 retour CAMUSAT}: No power issue </t>
        </is>
      </c>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row>
    <row r="784">
      <c r="A784" t="inlineStr">
        <is>
          <t>Canal-Olympia-1</t>
        </is>
      </c>
      <c r="B784" t="inlineStr">
        <is>
          <t>LIT_674</t>
        </is>
      </c>
      <c r="C784" t="inlineStr">
        <is>
          <t>Douala</t>
        </is>
      </c>
      <c r="D784" t="inlineStr">
        <is>
          <t>CAMUSAT</t>
        </is>
      </c>
      <c r="E784" t="inlineStr">
        <is>
          <t>Good Grid no GE - 8h</t>
        </is>
      </c>
      <c r="F784" t="inlineStr">
        <is>
          <t>LITTORAL</t>
        </is>
      </c>
      <c r="G784" t="inlineStr">
        <is>
          <t>Douala</t>
        </is>
      </c>
      <c r="H784" t="inlineStr">
        <is>
          <t>ZTE</t>
        </is>
      </c>
      <c r="I784" t="n">
        <v>3.135602954059693</v>
      </c>
      <c r="J784" t="n">
        <v>3.144895029863056</v>
      </c>
      <c r="K784" t="n">
        <v>3.560149158326984</v>
      </c>
      <c r="L784" t="n">
        <v>3.145109050802864</v>
      </c>
      <c r="M784" t="n">
        <v>0.009238570568411042</v>
      </c>
      <c r="N784" t="n">
        <v>0</v>
      </c>
      <c r="O784" t="n">
        <v>0.13961565531381</v>
      </c>
      <c r="P784" t="n">
        <v>0.06244979392251983</v>
      </c>
      <c r="Q784" t="n">
        <v>0.07943743882568119</v>
      </c>
      <c r="R784" t="inlineStr">
        <is>
          <t>Operationnel</t>
        </is>
      </c>
      <c r="S784" t="inlineStr"/>
      <c r="T784" t="inlineStr"/>
      <c r="U784" t="inlineStr"/>
      <c r="V784" t="inlineStr"/>
      <c r="W784" t="inlineStr"/>
      <c r="X784" t="inlineStr">
        <is>
          <t xml:space="preserve">{05-25-2026 retour CAMUSAT}: No power issue </t>
        </is>
      </c>
      <c r="Y784" t="inlineStr">
        <is>
          <t>No power issue</t>
        </is>
      </c>
      <c r="Z784" t="inlineStr"/>
      <c r="AA784" t="inlineStr"/>
      <c r="AB784" t="inlineStr"/>
      <c r="AC784" t="inlineStr">
        <is>
          <t xml:space="preserve">{05-25-2026 retour CAMUSAT}: No power issue </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row>
    <row r="785">
      <c r="A785" t="inlineStr">
        <is>
          <t>Mayo-Baleo-IHS</t>
        </is>
      </c>
      <c r="B785" t="inlineStr">
        <is>
          <t>ADM_075</t>
        </is>
      </c>
      <c r="C785" t="inlineStr">
        <is>
          <t>ADAMAOUA</t>
        </is>
      </c>
      <c r="D785" t="inlineStr">
        <is>
          <t>IHS</t>
        </is>
      </c>
      <c r="E785" t="inlineStr">
        <is>
          <t>Hybrid-Gen</t>
        </is>
      </c>
      <c r="F785" t="inlineStr">
        <is>
          <t>ADAMAOUA</t>
        </is>
      </c>
      <c r="G785" t="inlineStr">
        <is>
          <t>Mayo-Baleo</t>
        </is>
      </c>
      <c r="H785" t="inlineStr">
        <is>
          <t>NOKIA</t>
        </is>
      </c>
      <c r="I785" t="n">
        <v>0</v>
      </c>
      <c r="J785" t="n">
        <v>0.003192479018813868</v>
      </c>
      <c r="K785" t="n">
        <v>0.009506096743172017</v>
      </c>
      <c r="L785" t="n">
        <v>0</v>
      </c>
      <c r="M785" t="n">
        <v>0.005457533965123148</v>
      </c>
      <c r="N785" t="n">
        <v>0.5481667326115367</v>
      </c>
      <c r="O785" t="n">
        <v>0</v>
      </c>
      <c r="P785" t="n">
        <v>0</v>
      </c>
      <c r="Q785" t="n">
        <v>0.07827815873505063</v>
      </c>
      <c r="R785" t="inlineStr">
        <is>
          <t>Operationnel</t>
        </is>
      </c>
      <c r="S785" t="inlineStr"/>
      <c r="T785" t="inlineStr"/>
      <c r="U785" t="inlineStr"/>
      <c r="V785" t="inlineStr"/>
      <c r="W785" t="inlineStr"/>
      <c r="X785" t="inlineStr">
        <is>
          <t>{05-25-2026 ticket}: INC-20260525-00018473..Others Transmission equipement fault</t>
        </is>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is>
          <t>{05-25-2026 ticket}: INC-20260525-00018473..Others Transmission equipement fault</t>
        </is>
      </c>
      <c r="AR785" t="inlineStr"/>
    </row>
    <row r="786">
      <c r="A786" t="inlineStr">
        <is>
          <t>Malende-IHS</t>
        </is>
      </c>
      <c r="B786" t="inlineStr">
        <is>
          <t>LIT_462</t>
        </is>
      </c>
      <c r="C786" t="inlineStr">
        <is>
          <t>LITTORAL</t>
        </is>
      </c>
      <c r="D786" t="inlineStr">
        <is>
          <t>IHS</t>
        </is>
      </c>
      <c r="E786" t="inlineStr">
        <is>
          <t>Grid -Gen</t>
        </is>
      </c>
      <c r="F786" t="inlineStr">
        <is>
          <t>LITTORAL</t>
        </is>
      </c>
      <c r="G786" t="inlineStr">
        <is>
          <t>Malende</t>
        </is>
      </c>
      <c r="H786" t="inlineStr">
        <is>
          <t>NOKIA</t>
        </is>
      </c>
      <c r="I786" t="n">
        <v>0.03527778491180917</v>
      </c>
      <c r="J786" t="n">
        <v>0.01904786364297869</v>
      </c>
      <c r="K786" t="n">
        <v>0.04997388944534346</v>
      </c>
      <c r="L786" t="n">
        <v>0.01203867786424224</v>
      </c>
      <c r="M786" t="n">
        <v>0.2794043369203243</v>
      </c>
      <c r="N786" t="n">
        <v>0.1985839837895519</v>
      </c>
      <c r="O786" t="n">
        <v>0.1476908378129344</v>
      </c>
      <c r="P786" t="n">
        <v>0</v>
      </c>
      <c r="Q786" t="n">
        <v>0.07793929224702006</v>
      </c>
      <c r="R786" t="inlineStr">
        <is>
          <t>Operationnel</t>
        </is>
      </c>
      <c r="S786" t="inlineStr"/>
      <c r="T786" t="inlineStr"/>
      <c r="U786" t="inlineStr"/>
      <c r="V786" t="inlineStr"/>
      <c r="W786" t="inlineStr"/>
      <c r="X786" t="inlineStr">
        <is>
          <t>{05-25-2026 ticket}: INC-20260525-00003585..Others</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is>
          <t>{05-25-2026 ticket}: INC-20260525-00003585..Others</t>
        </is>
      </c>
      <c r="AR786" t="inlineStr"/>
    </row>
    <row r="787">
      <c r="A787" t="inlineStr">
        <is>
          <t>Batchenga-Nachtigal-IHS</t>
        </is>
      </c>
      <c r="B787" t="inlineStr">
        <is>
          <t>CTR_699</t>
        </is>
      </c>
      <c r="C787" t="inlineStr">
        <is>
          <t>CENTRE</t>
        </is>
      </c>
      <c r="D787" t="inlineStr">
        <is>
          <t>IHS</t>
        </is>
      </c>
      <c r="E787" t="inlineStr">
        <is>
          <t>Grid-Gen</t>
        </is>
      </c>
      <c r="F787" t="inlineStr">
        <is>
          <t>CENTRE</t>
        </is>
      </c>
      <c r="G787" t="inlineStr">
        <is>
          <t>Batchenga</t>
        </is>
      </c>
      <c r="H787" t="inlineStr">
        <is>
          <t>NOKIA</t>
        </is>
      </c>
      <c r="I787" t="n">
        <v>0.9047282990642184</v>
      </c>
      <c r="J787" t="n">
        <v>3.099279794512845</v>
      </c>
      <c r="K787" t="n">
        <v>5.350461568572049e-05</v>
      </c>
      <c r="L787" t="n">
        <v>1.20067530740541</v>
      </c>
      <c r="M787" t="n">
        <v>0.3444639555882936</v>
      </c>
      <c r="N787" t="n">
        <v>0</v>
      </c>
      <c r="O787" t="n">
        <v>0.1426438487509822</v>
      </c>
      <c r="P787" t="n">
        <v>0.05581428482365125</v>
      </c>
      <c r="Q787" t="n">
        <v>0.07699369621528473</v>
      </c>
      <c r="R787" t="inlineStr">
        <is>
          <t>Operationnel</t>
        </is>
      </c>
      <c r="S787" t="inlineStr"/>
      <c r="T787" t="inlineStr"/>
      <c r="U787" t="inlineStr"/>
      <c r="V787" t="inlineStr"/>
      <c r="W787" t="inlineStr"/>
      <c r="X78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    {05-25-2026 retour IHS}: IHS</t>
        </is>
      </c>
      <c r="Y78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IHS</t>
        </is>
      </c>
      <c r="Z787" t="inlineStr"/>
      <c r="AA78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787" t="inlineStr"/>
      <c r="AC787" t="inlineStr"/>
      <c r="AD787" t="inlineStr">
        <is>
          <t>{05-25-2026 retour IHS}: IHS</t>
        </is>
      </c>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row>
    <row r="788">
      <c r="A788" t="inlineStr">
        <is>
          <t>Sangmelima-Ville</t>
        </is>
      </c>
      <c r="B788" t="inlineStr">
        <is>
          <t>SUD_228</t>
        </is>
      </c>
      <c r="C788" t="inlineStr">
        <is>
          <t>CENTRE</t>
        </is>
      </c>
      <c r="D788" t="inlineStr">
        <is>
          <t>IHS</t>
        </is>
      </c>
      <c r="E788" t="inlineStr">
        <is>
          <t>Grid-Gen</t>
        </is>
      </c>
      <c r="F788" t="inlineStr">
        <is>
          <t>SUD</t>
        </is>
      </c>
      <c r="G788" t="inlineStr">
        <is>
          <t>Sangmelima</t>
        </is>
      </c>
      <c r="H788" t="inlineStr">
        <is>
          <t>ZTE</t>
        </is>
      </c>
      <c r="I788" t="n">
        <v>0</v>
      </c>
      <c r="J788" t="n">
        <v>0</v>
      </c>
      <c r="K788" t="n">
        <v>0</v>
      </c>
      <c r="L788" t="n">
        <v>0</v>
      </c>
      <c r="M788" t="n">
        <v>0</v>
      </c>
      <c r="N788" t="n">
        <v>0.001124060285601237</v>
      </c>
      <c r="O788" t="n">
        <v>0.003187572039130622</v>
      </c>
      <c r="P788" t="n">
        <v>0.1322868581009352</v>
      </c>
      <c r="Q788" t="n">
        <v>0.07021670333558849</v>
      </c>
      <c r="R788" t="inlineStr">
        <is>
          <t>Operationnel</t>
        </is>
      </c>
      <c r="S788" t="inlineStr"/>
      <c r="T788" t="inlineStr"/>
      <c r="U788" t="inlineStr"/>
      <c r="V788" t="inlineStr"/>
      <c r="W788" t="inlineStr"/>
      <c r="X788" t="inlineStr">
        <is>
          <t>{05-25-2026 retour IHS}: IHS</t>
        </is>
      </c>
      <c r="Y788" t="inlineStr">
        <is>
          <t>IHS</t>
        </is>
      </c>
      <c r="Z788" t="inlineStr"/>
      <c r="AA788" t="inlineStr"/>
      <c r="AB788" t="inlineStr"/>
      <c r="AC788" t="inlineStr"/>
      <c r="AD788" t="inlineStr">
        <is>
          <t>{05-25-2026 retour IHS}: IHS</t>
        </is>
      </c>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row>
    <row r="789">
      <c r="A789" t="inlineStr">
        <is>
          <t>Dourbeye</t>
        </is>
      </c>
      <c r="B789" t="inlineStr">
        <is>
          <t>NRD_057</t>
        </is>
      </c>
      <c r="C789" t="inlineStr">
        <is>
          <t>NORD</t>
        </is>
      </c>
      <c r="D789" t="inlineStr">
        <is>
          <t>IHS</t>
        </is>
      </c>
      <c r="E789" t="inlineStr">
        <is>
          <t>Grid-Gen</t>
        </is>
      </c>
      <c r="F789" t="inlineStr">
        <is>
          <t>NORD</t>
        </is>
      </c>
      <c r="G789" t="inlineStr">
        <is>
          <t>Dourbeye</t>
        </is>
      </c>
      <c r="H789" t="inlineStr">
        <is>
          <t>NOKIA</t>
        </is>
      </c>
      <c r="I789" t="n">
        <v>1.282609657195527</v>
      </c>
      <c r="J789" t="n">
        <v>0.07332000696281475</v>
      </c>
      <c r="K789" t="n">
        <v>0.7858021640032773</v>
      </c>
      <c r="L789" t="n">
        <v>0.1595507536754488</v>
      </c>
      <c r="M789" t="n">
        <v>0.01839790171222595</v>
      </c>
      <c r="N789" t="n">
        <v>0</v>
      </c>
      <c r="O789" t="n">
        <v>0</v>
      </c>
      <c r="P789" t="n">
        <v>0.1339531278497681</v>
      </c>
      <c r="Q789" t="n">
        <v>0.06985502354097932</v>
      </c>
      <c r="R789" t="inlineStr">
        <is>
          <t>Operationnel</t>
        </is>
      </c>
      <c r="S789" t="inlineStr"/>
      <c r="T789" t="inlineStr"/>
      <c r="U789" t="inlineStr"/>
      <c r="V789" t="inlineStr"/>
      <c r="W789" t="inlineStr"/>
      <c r="X789" t="inlineStr">
        <is>
          <t>{05-25-2026 top offenders}: 25.05.26: BO TRANS analysis ongoing     ;    {05-25-2026 ocm ran 17H}: 25.05.26: BO TRANS analysis ongoing     ;    {05-25-2026 ticket}: INC-20260525-00023419..Grid Outage</t>
        </is>
      </c>
      <c r="Y789" t="inlineStr">
        <is>
          <t>25.05.26 BO TRANS analysis ongoing 25.05.26 BO TRANS analysis ongoing .Grid Outage</t>
        </is>
      </c>
      <c r="Z789" t="inlineStr"/>
      <c r="AA789" t="inlineStr"/>
      <c r="AB789" t="inlineStr">
        <is>
          <t>{05-25-2026 top offenders}: 25.05.26: BO TRANS analysis ongoing</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{05-25-2026 ocm ran 17H}: 25.05.26: BO TRANS analysis ongoing</t>
        </is>
      </c>
      <c r="AQ789" t="inlineStr">
        <is>
          <t>{05-25-2026 ticket}: INC-20260525-00023419..Grid Outage</t>
        </is>
      </c>
      <c r="AR789" t="inlineStr"/>
    </row>
    <row r="790">
      <c r="A790" t="inlineStr">
        <is>
          <t>Mbalmayo-Ngalan</t>
        </is>
      </c>
      <c r="B790" t="inlineStr">
        <is>
          <t>CTR_252</t>
        </is>
      </c>
      <c r="C790" t="inlineStr">
        <is>
          <t>CENTRE</t>
        </is>
      </c>
      <c r="D790" t="inlineStr">
        <is>
          <t>IHS</t>
        </is>
      </c>
      <c r="E790" t="inlineStr">
        <is>
          <t>Grid-Gen</t>
        </is>
      </c>
      <c r="F790" t="inlineStr">
        <is>
          <t>CENTRE</t>
        </is>
      </c>
      <c r="G790" t="inlineStr">
        <is>
          <t>Mbalmayo</t>
        </is>
      </c>
      <c r="H790" t="inlineStr">
        <is>
          <t>ZTE</t>
        </is>
      </c>
      <c r="I790" t="n">
        <v>0</v>
      </c>
      <c r="J790" t="n">
        <v>0</v>
      </c>
      <c r="K790" t="n">
        <v>0</v>
      </c>
      <c r="L790" t="n">
        <v>0</v>
      </c>
      <c r="M790" t="n">
        <v>0</v>
      </c>
      <c r="N790" t="n">
        <v>0</v>
      </c>
      <c r="O790" t="n">
        <v>0.001912543223475621</v>
      </c>
      <c r="P790" t="n">
        <v>0.1287300242740228</v>
      </c>
      <c r="Q790" t="n">
        <v>0.067773297606104</v>
      </c>
      <c r="R790" t="inlineStr">
        <is>
          <t>Operationnel</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row>
    <row r="791">
      <c r="A791" t="inlineStr">
        <is>
          <t>Ndjeleng-II</t>
        </is>
      </c>
      <c r="B791" t="inlineStr">
        <is>
          <t>OST_165</t>
        </is>
      </c>
      <c r="C791" t="inlineStr">
        <is>
          <t>OUEST</t>
        </is>
      </c>
      <c r="D791" t="inlineStr">
        <is>
          <t>IHS</t>
        </is>
      </c>
      <c r="E791" t="inlineStr">
        <is>
          <t>Grid-Gen</t>
        </is>
      </c>
      <c r="F791" t="inlineStr">
        <is>
          <t>OUEST</t>
        </is>
      </c>
      <c r="G791" t="inlineStr">
        <is>
          <t>Bandjoun</t>
        </is>
      </c>
      <c r="H791" t="inlineStr">
        <is>
          <t>Huawei</t>
        </is>
      </c>
      <c r="I791" t="n">
        <v>0</v>
      </c>
      <c r="J791" t="n">
        <v>0</v>
      </c>
      <c r="K791" t="n">
        <v>0</v>
      </c>
      <c r="L791" t="n">
        <v>0</v>
      </c>
      <c r="M791" t="n">
        <v>1.770827091055922</v>
      </c>
      <c r="N791" t="n">
        <v>0.08118213173786715</v>
      </c>
      <c r="O791" t="n">
        <v>0.1407844317281571</v>
      </c>
      <c r="P791" t="n">
        <v>0.01316712522462773</v>
      </c>
      <c r="Q791" t="n">
        <v>0.06572226359960391</v>
      </c>
      <c r="R791" t="inlineStr">
        <is>
          <t>Operationnel</t>
        </is>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row>
    <row r="792">
      <c r="A792" t="inlineStr">
        <is>
          <t>Sambo-Labo-IHS</t>
        </is>
      </c>
      <c r="B792" t="inlineStr">
        <is>
          <t>ADM_144</t>
        </is>
      </c>
      <c r="C792" t="inlineStr">
        <is>
          <t>ADAMAOUA</t>
        </is>
      </c>
      <c r="D792" t="inlineStr">
        <is>
          <t>IHS</t>
        </is>
      </c>
      <c r="E792" t="inlineStr">
        <is>
          <t>Hybrid-Gen</t>
        </is>
      </c>
      <c r="F792" t="inlineStr">
        <is>
          <t>ADAMAOUA</t>
        </is>
      </c>
      <c r="G792" t="inlineStr">
        <is>
          <t>Sambo Lambo</t>
        </is>
      </c>
      <c r="H792" t="inlineStr">
        <is>
          <t>NOKIA</t>
        </is>
      </c>
      <c r="I792" t="n">
        <v>0.1381683517248661</v>
      </c>
      <c r="J792" t="n">
        <v>0.0008027643493636839</v>
      </c>
      <c r="K792" t="n">
        <v>0.02110103451421956</v>
      </c>
      <c r="L792" t="n">
        <v>0.001070290513368871</v>
      </c>
      <c r="M792" t="n">
        <v>0.01182596787185001</v>
      </c>
      <c r="N792" t="n">
        <v>0.2216896674380218</v>
      </c>
      <c r="O792" t="n">
        <v>0.09883189152747193</v>
      </c>
      <c r="P792" t="n">
        <v>0</v>
      </c>
      <c r="Q792" t="n">
        <v>0.06483626992781649</v>
      </c>
      <c r="R792" t="inlineStr">
        <is>
          <t>Operationnel</t>
        </is>
      </c>
      <c r="S792" t="inlineStr"/>
      <c r="T792" t="inlineStr"/>
      <c r="U792" t="inlineStr"/>
      <c r="V792" t="inlineStr"/>
      <c r="W792" t="inlineStr"/>
      <c r="X792" t="inlineStr">
        <is>
          <t>{05-25-2026 ticket}: INC-20260525-00018051..Others</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is>
          <t>{05-25-2026 ticket}: INC-20260525-00018051..Others</t>
        </is>
      </c>
      <c r="AR792" t="inlineStr"/>
    </row>
    <row r="793">
      <c r="A793" t="inlineStr">
        <is>
          <t>Awae-Yde</t>
        </is>
      </c>
      <c r="B793" t="inlineStr">
        <is>
          <t>CTR_236</t>
        </is>
      </c>
      <c r="C793" t="inlineStr">
        <is>
          <t>Yaounde</t>
        </is>
      </c>
      <c r="D793" t="inlineStr">
        <is>
          <t>IHS</t>
        </is>
      </c>
      <c r="E793" t="inlineStr">
        <is>
          <t>Grid-Gen</t>
        </is>
      </c>
      <c r="F793" t="inlineStr">
        <is>
          <t>CENTRE</t>
        </is>
      </c>
      <c r="G793" t="inlineStr">
        <is>
          <t>Yaounde</t>
        </is>
      </c>
      <c r="H793" t="inlineStr">
        <is>
          <t>ZTE</t>
        </is>
      </c>
      <c r="I793" t="n">
        <v>0</v>
      </c>
      <c r="J793" t="n">
        <v>0</v>
      </c>
      <c r="K793" t="n">
        <v>0</v>
      </c>
      <c r="L793" t="n">
        <v>0</v>
      </c>
      <c r="M793" t="n">
        <v>0.620000827547634</v>
      </c>
      <c r="N793" t="n">
        <v>0.02772682037816385</v>
      </c>
      <c r="O793" t="n">
        <v>0.02358803308954641</v>
      </c>
      <c r="P793" t="n">
        <v>0.1011645621154516</v>
      </c>
      <c r="Q793" t="n">
        <v>0.06463432382224234</v>
      </c>
      <c r="R793" t="inlineStr">
        <is>
          <t>Operationnel</t>
        </is>
      </c>
      <c r="S793" t="inlineStr"/>
      <c r="T793" t="inlineStr"/>
      <c r="U793" t="inlineStr"/>
      <c r="V793" t="inlineStr"/>
      <c r="W793" t="inlineStr"/>
      <c r="X793" t="inlineStr">
        <is>
          <t>{05-25-2026 retour IHS}: IHS</t>
        </is>
      </c>
      <c r="Y793" t="inlineStr">
        <is>
          <t>IHS</t>
        </is>
      </c>
      <c r="Z793" t="inlineStr"/>
      <c r="AA793" t="inlineStr"/>
      <c r="AB793" t="inlineStr"/>
      <c r="AC793" t="inlineStr"/>
      <c r="AD793" t="inlineStr">
        <is>
          <t>{05-25-2026 retour IHS}: IHS</t>
        </is>
      </c>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row>
    <row r="794">
      <c r="A794" t="inlineStr">
        <is>
          <t>Mimboman-Nodal</t>
        </is>
      </c>
      <c r="B794" t="inlineStr">
        <is>
          <t>CTR_351</t>
        </is>
      </c>
      <c r="C794" t="inlineStr">
        <is>
          <t>Yaounde</t>
        </is>
      </c>
      <c r="D794" t="inlineStr">
        <is>
          <t>IHS</t>
        </is>
      </c>
      <c r="E794" t="inlineStr">
        <is>
          <t>GridOnly</t>
        </is>
      </c>
      <c r="F794" t="inlineStr">
        <is>
          <t>CENTRE</t>
        </is>
      </c>
      <c r="G794" t="inlineStr">
        <is>
          <t>Yaounde</t>
        </is>
      </c>
      <c r="H794" t="inlineStr">
        <is>
          <t>ZTE</t>
        </is>
      </c>
      <c r="I794" t="n">
        <v>0</v>
      </c>
      <c r="J794" t="n">
        <v>0</v>
      </c>
      <c r="K794" t="n">
        <v>0</v>
      </c>
      <c r="L794" t="n">
        <v>0</v>
      </c>
      <c r="M794" t="n">
        <v>0</v>
      </c>
      <c r="N794" t="n">
        <v>0.07081579799287796</v>
      </c>
      <c r="O794" t="n">
        <v>0.12070272788165</v>
      </c>
      <c r="P794" t="n">
        <v>0.02010979125215859</v>
      </c>
      <c r="Q794" t="n">
        <v>0.06112081339371565</v>
      </c>
      <c r="R794" t="inlineStr">
        <is>
          <t>Operationnel</t>
        </is>
      </c>
      <c r="S794" t="inlineStr"/>
      <c r="T794" t="inlineStr"/>
      <c r="U794" t="inlineStr"/>
      <c r="V794" t="inlineStr"/>
      <c r="W794" t="inlineStr"/>
      <c r="X794" t="inlineStr">
        <is>
          <t>{05-25-2026 ticket}: INC-20260525-00019122..Le BO IP a detecté une boucle sur les VLAN 1304 à 1306 , Pont de troubleshooting en cours avec le BO IP et BO TX..Desactivation de la boucle..Others..Boucle ethernet..user:KOUAMEBOZOMABILEVICTORINE</t>
        </is>
      </c>
      <c r="Y794" t="inlineStr">
        <is>
          <t>.Le BO IP a detecté une boucle sur les VLAN 1304 à 1306 , Pont de troubleshooting en cours avec le BO IP et BO TX.Desactivation de la boucle.Boucle ethernet.user KOUAMEBOZOMABILEVICTORINE</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is>
          <t>{05-25-2026 ticket}: INC-20260525-00019122..Le BO IP a detecté une boucle sur les VLAN 1304 à 1306 , Pont de troubleshooting en cours avec le BO IP et BO TX..Desactivation de la boucle..Others..Boucle ethernet..user:KOUAMEBOZOMABILEVICTORINE</t>
        </is>
      </c>
      <c r="AR794" t="inlineStr"/>
    </row>
    <row r="795">
      <c r="A795" t="inlineStr">
        <is>
          <t>Japoma-Stade-Camtel</t>
        </is>
      </c>
      <c r="B795" t="inlineStr">
        <is>
          <t>LIT_733</t>
        </is>
      </c>
      <c r="C795" t="inlineStr">
        <is>
          <t>Douala</t>
        </is>
      </c>
      <c r="D795" t="inlineStr">
        <is>
          <t>CAMUSAT</t>
        </is>
      </c>
      <c r="E795" t="inlineStr">
        <is>
          <t>Good Grid no GE - 8h</t>
        </is>
      </c>
      <c r="F795" t="inlineStr">
        <is>
          <t>LITTORAL</t>
        </is>
      </c>
      <c r="G795" t="inlineStr">
        <is>
          <t>Douala</t>
        </is>
      </c>
      <c r="H795" t="inlineStr">
        <is>
          <t>ZTE</t>
        </is>
      </c>
      <c r="I795" t="n">
        <v>0.3477661921109023</v>
      </c>
      <c r="J795" t="n">
        <v>1.646570100418625</v>
      </c>
      <c r="K795" t="n">
        <v>0</v>
      </c>
      <c r="L795" t="n">
        <v>0.1075811924105317</v>
      </c>
      <c r="M795" t="n">
        <v>0</v>
      </c>
      <c r="N795" t="n">
        <v>0.01898412926793201</v>
      </c>
      <c r="O795" t="n">
        <v>0.01530034578781414</v>
      </c>
      <c r="P795" t="n">
        <v>0.09223827722291135</v>
      </c>
      <c r="Q795" t="n">
        <v>0.05594864068167055</v>
      </c>
      <c r="R795" t="inlineStr">
        <is>
          <t>Operationnel</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row>
    <row r="796">
      <c r="A796" t="inlineStr">
        <is>
          <t>Zamengoue</t>
        </is>
      </c>
      <c r="B796" t="inlineStr">
        <is>
          <t>CTR_100</t>
        </is>
      </c>
      <c r="C796" t="inlineStr">
        <is>
          <t>CENTRE</t>
        </is>
      </c>
      <c r="D796" t="inlineStr">
        <is>
          <t>CAMUSAT</t>
        </is>
      </c>
      <c r="E796" t="inlineStr">
        <is>
          <t>Good grid 100%</t>
        </is>
      </c>
      <c r="F796" t="inlineStr">
        <is>
          <t>CENTRE</t>
        </is>
      </c>
      <c r="G796" t="inlineStr">
        <is>
          <t>Zamengoue</t>
        </is>
      </c>
      <c r="H796" t="inlineStr">
        <is>
          <t>ZTE</t>
        </is>
      </c>
      <c r="I796" t="n">
        <v>0</v>
      </c>
      <c r="J796" t="n">
        <v>0</v>
      </c>
      <c r="K796" t="n">
        <v>0</v>
      </c>
      <c r="L796" t="n">
        <v>0</v>
      </c>
      <c r="M796" t="n">
        <v>0</v>
      </c>
      <c r="N796" t="n">
        <v>0.03871763205959818</v>
      </c>
      <c r="O796" t="n">
        <v>0.03155696318736685</v>
      </c>
      <c r="P796" t="n">
        <v>0.07599312272499423</v>
      </c>
      <c r="Q796" t="n">
        <v>0.05575245482017914</v>
      </c>
      <c r="R796" t="inlineStr">
        <is>
          <t>Operationnel</t>
        </is>
      </c>
      <c r="S796" t="inlineStr"/>
      <c r="T796" t="inlineStr"/>
      <c r="U796" t="inlineStr"/>
      <c r="V796" t="inlineStr"/>
      <c r="W796" t="inlineStr"/>
      <c r="X796" t="inlineStr">
        <is>
          <t xml:space="preserve">{05-25-2026 retour CAMUSAT}: No power issue </t>
        </is>
      </c>
      <c r="Y796" t="inlineStr">
        <is>
          <t>No power issue</t>
        </is>
      </c>
      <c r="Z796" t="inlineStr"/>
      <c r="AA796" t="inlineStr"/>
      <c r="AB796" t="inlineStr"/>
      <c r="AC796" t="inlineStr">
        <is>
          <t xml:space="preserve">{05-25-2026 retour CAMUSAT}: No power issue </t>
        </is>
      </c>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row>
    <row r="797">
      <c r="A797" t="inlineStr">
        <is>
          <t>Dschang-II</t>
        </is>
      </c>
      <c r="B797" t="inlineStr">
        <is>
          <t>OST_020</t>
        </is>
      </c>
      <c r="C797" t="inlineStr">
        <is>
          <t>OUEST</t>
        </is>
      </c>
      <c r="D797" t="inlineStr">
        <is>
          <t>IHS</t>
        </is>
      </c>
      <c r="E797" t="inlineStr">
        <is>
          <t>Grid-Gen</t>
        </is>
      </c>
      <c r="F797" t="inlineStr">
        <is>
          <t>OUEST</t>
        </is>
      </c>
      <c r="G797" t="inlineStr">
        <is>
          <t>Dschang</t>
        </is>
      </c>
      <c r="H797" t="inlineStr">
        <is>
          <t>Huawei</t>
        </is>
      </c>
      <c r="I797" t="n">
        <v>0</v>
      </c>
      <c r="J797" t="n">
        <v>0</v>
      </c>
      <c r="K797" t="n">
        <v>0</v>
      </c>
      <c r="L797" t="n">
        <v>0</v>
      </c>
      <c r="M797" t="n">
        <v>0</v>
      </c>
      <c r="N797" t="n">
        <v>0.04870927904272029</v>
      </c>
      <c r="O797" t="n">
        <v>0.05982010193430372</v>
      </c>
      <c r="P797" t="n">
        <v>0.04805145698857655</v>
      </c>
      <c r="Q797" t="n">
        <v>0.05209626376511345</v>
      </c>
      <c r="R797" t="inlineStr">
        <is>
          <t>Operationnel</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row>
    <row r="798">
      <c r="A798" t="inlineStr">
        <is>
          <t>Omeng</t>
        </is>
      </c>
      <c r="B798" t="inlineStr">
        <is>
          <t>LIT_136</t>
        </is>
      </c>
      <c r="C798" t="inlineStr">
        <is>
          <t>LITTORAL</t>
        </is>
      </c>
      <c r="D798" t="inlineStr">
        <is>
          <t>IHS</t>
        </is>
      </c>
      <c r="E798" t="inlineStr">
        <is>
          <t>Grid-Gen</t>
        </is>
      </c>
      <c r="F798" t="inlineStr">
        <is>
          <t>LITTORAL</t>
        </is>
      </c>
      <c r="G798" t="inlineStr">
        <is>
          <t>Omeng</t>
        </is>
      </c>
      <c r="H798" t="inlineStr">
        <is>
          <t>NOKIA</t>
        </is>
      </c>
      <c r="I798" t="n">
        <v>0</v>
      </c>
      <c r="J798" t="n">
        <v>1.59753422730076</v>
      </c>
      <c r="K798" t="n">
        <v>9.245116042153564</v>
      </c>
      <c r="L798" t="n">
        <v>9.245223052623469</v>
      </c>
      <c r="M798" t="n">
        <v>0.1365631946763004</v>
      </c>
      <c r="N798" t="n">
        <v>0.1431303430332242</v>
      </c>
      <c r="O798" t="n">
        <v>0.08952282881810769</v>
      </c>
      <c r="P798" t="n">
        <v>0</v>
      </c>
      <c r="Q798" t="n">
        <v>0.05049284594375812</v>
      </c>
      <c r="R798" t="inlineStr">
        <is>
          <t>Operationnel</t>
        </is>
      </c>
      <c r="S798" t="inlineStr"/>
      <c r="T798" t="inlineStr"/>
      <c r="U798" t="inlineStr"/>
      <c r="V798" t="inlineStr"/>
      <c r="W798" t="inlineStr"/>
      <c r="X798"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    {05-25-2026 ticket}: INC-20260525-00016038..Grid Outage</t>
        </is>
      </c>
      <c r="Y798"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.Grid Outage</t>
        </is>
      </c>
      <c r="Z798" t="inlineStr"/>
      <c r="AA798"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is>
          <t>{05-25-2026 ticket}: INC-20260525-00016038..Grid Outage</t>
        </is>
      </c>
      <c r="AR798" t="inlineStr"/>
    </row>
    <row r="799">
      <c r="A799" t="inlineStr">
        <is>
          <t>EXN_360_H_Maroua-Cge-Protestant</t>
        </is>
      </c>
      <c r="B799" t="inlineStr">
        <is>
          <t>EXN_360</t>
        </is>
      </c>
      <c r="C799" t="inlineStr">
        <is>
          <t>Maroua</t>
        </is>
      </c>
      <c r="D799" t="inlineStr">
        <is>
          <t>ESCO</t>
        </is>
      </c>
      <c r="E799" t="inlineStr">
        <is>
          <t>Hybrid Solar - S1</t>
        </is>
      </c>
      <c r="F799" t="inlineStr">
        <is>
          <t>EXN</t>
        </is>
      </c>
      <c r="G799" t="inlineStr">
        <is>
          <t>Maroua</t>
        </is>
      </c>
      <c r="H799" t="inlineStr">
        <is>
          <t>Huawei</t>
        </is>
      </c>
      <c r="I799" t="n">
        <v>0</v>
      </c>
      <c r="J799" t="n">
        <v>0</v>
      </c>
      <c r="K799" t="n">
        <v>0</v>
      </c>
      <c r="L799" t="n">
        <v>0.1016064411742045</v>
      </c>
      <c r="M799" t="n">
        <v>0</v>
      </c>
      <c r="N799" t="n">
        <v>0.07556183030986095</v>
      </c>
      <c r="O799" t="n">
        <v>0.1158682436223059</v>
      </c>
      <c r="P799" t="n">
        <v>0</v>
      </c>
      <c r="Q799" t="n">
        <v>0.04968852819226501</v>
      </c>
      <c r="R799" t="inlineStr">
        <is>
          <t>Operationnel</t>
        </is>
      </c>
      <c r="S799" t="inlineStr"/>
      <c r="T799" t="inlineStr"/>
      <c r="U799" t="inlineStr"/>
      <c r="V799" t="inlineStr"/>
      <c r="W799" t="inlineStr"/>
      <c r="X799" t="inlineStr">
        <is>
          <t xml:space="preserve">{05-25-2026 retour CAMUSAT}: No power issue </t>
        </is>
      </c>
      <c r="Y799" t="inlineStr">
        <is>
          <t>No power issue</t>
        </is>
      </c>
      <c r="Z799" t="inlineStr"/>
      <c r="AA799" t="inlineStr"/>
      <c r="AB799" t="inlineStr"/>
      <c r="AC799" t="inlineStr">
        <is>
          <t xml:space="preserve">{05-25-2026 retour CAMUSAT}: No power issue </t>
        </is>
      </c>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row>
    <row r="800">
      <c r="A800" t="inlineStr">
        <is>
          <t>Muyengue-IHS</t>
        </is>
      </c>
      <c r="B800" t="inlineStr">
        <is>
          <t>LIT_175</t>
        </is>
      </c>
      <c r="C800" t="inlineStr">
        <is>
          <t>LITTORAL</t>
        </is>
      </c>
      <c r="D800" t="inlineStr">
        <is>
          <t>IHS</t>
        </is>
      </c>
      <c r="E800" t="inlineStr">
        <is>
          <t>Gen only</t>
        </is>
      </c>
      <c r="F800" t="inlineStr">
        <is>
          <t>LITTORAL</t>
        </is>
      </c>
      <c r="G800" t="inlineStr">
        <is>
          <t>Muyengue</t>
        </is>
      </c>
      <c r="H800" t="inlineStr">
        <is>
          <t>NOKIA</t>
        </is>
      </c>
      <c r="I800" t="n">
        <v>0.02220467250515813</v>
      </c>
      <c r="J800" t="n">
        <v>0.0102551700325026</v>
      </c>
      <c r="K800" t="n">
        <v>0.01935105997437456</v>
      </c>
      <c r="L800" t="n">
        <v>0.004726295754110084</v>
      </c>
      <c r="M800" t="n">
        <v>0.1515981656978651</v>
      </c>
      <c r="N800" t="n">
        <v>0</v>
      </c>
      <c r="O800" t="n">
        <v>0.1362687046727255</v>
      </c>
      <c r="P800" t="n">
        <v>0</v>
      </c>
      <c r="Q800" t="n">
        <v>0.04574697588412047</v>
      </c>
      <c r="R800" t="inlineStr">
        <is>
          <t>Operationnel</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row>
    <row r="801">
      <c r="A801" t="inlineStr">
        <is>
          <t>Meyomessala</t>
        </is>
      </c>
      <c r="B801" t="inlineStr">
        <is>
          <t>SUD_003</t>
        </is>
      </c>
      <c r="C801" t="inlineStr">
        <is>
          <t>CENTRE</t>
        </is>
      </c>
      <c r="D801" t="inlineStr">
        <is>
          <t>CAMUSAT</t>
        </is>
      </c>
      <c r="E801" t="inlineStr">
        <is>
          <t>Good Grid + Solar + GE</t>
        </is>
      </c>
      <c r="F801" t="inlineStr">
        <is>
          <t>SUD</t>
        </is>
      </c>
      <c r="G801" t="inlineStr">
        <is>
          <t>Meyomessala</t>
        </is>
      </c>
      <c r="H801" t="inlineStr">
        <is>
          <t>NOKIA</t>
        </is>
      </c>
      <c r="I801" t="n">
        <v>3.214120708241833</v>
      </c>
      <c r="J801" t="n">
        <v>0.0001961858614912421</v>
      </c>
      <c r="K801" t="n">
        <v>0.0002327795400397705</v>
      </c>
      <c r="L801" t="n">
        <v>0.02879479473475264</v>
      </c>
      <c r="M801" t="n">
        <v>0.0002140209398088277</v>
      </c>
      <c r="N801" t="n">
        <v>0</v>
      </c>
      <c r="O801" t="n">
        <v>0.1208621064836059</v>
      </c>
      <c r="P801" t="n">
        <v>0.007011066678048176</v>
      </c>
      <c r="Q801" t="n">
        <v>0.04423099422714145</v>
      </c>
      <c r="R801" t="inlineStr">
        <is>
          <t>Operationnel</t>
        </is>
      </c>
      <c r="S801" t="inlineStr"/>
      <c r="T801" t="inlineStr"/>
      <c r="U801" t="inlineStr"/>
      <c r="V801" t="inlineStr"/>
      <c r="W801" t="inlineStr"/>
      <c r="X801" t="inlineStr">
        <is>
          <t xml:space="preserve">{05-25-2026 retour CAMUSAT}: No power issue </t>
        </is>
      </c>
      <c r="Y801" t="inlineStr">
        <is>
          <t>No power issue</t>
        </is>
      </c>
      <c r="Z801" t="inlineStr"/>
      <c r="AA801" t="inlineStr"/>
      <c r="AB801" t="inlineStr"/>
      <c r="AC801" t="inlineStr">
        <is>
          <t xml:space="preserve">{05-25-2026 retour CAMUSAT}: No power issue </t>
        </is>
      </c>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row>
    <row r="802">
      <c r="A802" t="inlineStr">
        <is>
          <t>Bonakanda</t>
        </is>
      </c>
      <c r="B802" t="inlineStr">
        <is>
          <t>SUO_132</t>
        </is>
      </c>
      <c r="C802" t="inlineStr">
        <is>
          <t>SUD-OUEST</t>
        </is>
      </c>
      <c r="D802" t="inlineStr">
        <is>
          <t>IHS</t>
        </is>
      </c>
      <c r="E802" t="inlineStr">
        <is>
          <t>Grid-Gen</t>
        </is>
      </c>
      <c r="F802" t="inlineStr">
        <is>
          <t>SUD-OUEST</t>
        </is>
      </c>
      <c r="G802" t="inlineStr">
        <is>
          <t>Buea</t>
        </is>
      </c>
      <c r="H802" t="inlineStr">
        <is>
          <t>Huawei</t>
        </is>
      </c>
      <c r="I802" t="n">
        <v>1.661337545265428</v>
      </c>
      <c r="J802" t="n">
        <v>0</v>
      </c>
      <c r="K802" t="n">
        <v>0</v>
      </c>
      <c r="L802" t="n">
        <v>0</v>
      </c>
      <c r="M802" t="n">
        <v>0</v>
      </c>
      <c r="N802" t="n">
        <v>0</v>
      </c>
      <c r="O802" t="n">
        <v>0.1265997361540371</v>
      </c>
      <c r="P802" t="n">
        <v>0</v>
      </c>
      <c r="Q802" t="n">
        <v>0.04250099163035444</v>
      </c>
      <c r="R802" t="inlineStr">
        <is>
          <t>Insecurity</t>
        </is>
      </c>
      <c r="S802" t="inlineStr"/>
      <c r="T802" t="inlineStr"/>
      <c r="U802" t="inlineStr"/>
      <c r="V802" t="inlineStr"/>
      <c r="W802" t="inlineStr"/>
      <c r="X802" t="inlineStr">
        <is>
          <t>{None hourly IHS}: 25/05/2026 16:15..6:09:57..Fme is managing with level 0</t>
        </is>
      </c>
      <c r="Y802" t="inlineStr">
        <is>
          <t>25/05/2026 16 15.6 09 57.Fme is managing with level 0</t>
        </is>
      </c>
      <c r="Z802" t="inlineStr"/>
      <c r="AA802" t="inlineStr"/>
      <c r="AB802" t="inlineStr"/>
      <c r="AC802" t="inlineStr"/>
      <c r="AD802" t="inlineStr"/>
      <c r="AE802" t="inlineStr">
        <is>
          <t>{None hourly IHS}: 25/05/2026 16:15..6:09:57..Fme is managing with level 0</t>
        </is>
      </c>
      <c r="AF802" t="inlineStr"/>
      <c r="AG802" t="inlineStr"/>
      <c r="AH802" t="inlineStr"/>
      <c r="AI802" t="inlineStr"/>
      <c r="AJ802" t="inlineStr"/>
      <c r="AK802" t="inlineStr"/>
      <c r="AL802" t="inlineStr"/>
      <c r="AM802" t="inlineStr"/>
      <c r="AN802" t="inlineStr"/>
      <c r="AO802" t="inlineStr"/>
      <c r="AP802" t="inlineStr"/>
      <c r="AQ802" t="inlineStr"/>
      <c r="AR802" t="inlineStr"/>
    </row>
    <row r="803">
      <c r="A803" t="inlineStr">
        <is>
          <t>Yde-University</t>
        </is>
      </c>
      <c r="B803" t="inlineStr">
        <is>
          <t>CTR_447</t>
        </is>
      </c>
      <c r="C803" t="inlineStr">
        <is>
          <t>Yaounde</t>
        </is>
      </c>
      <c r="D803" t="inlineStr">
        <is>
          <t>IHS</t>
        </is>
      </c>
      <c r="E803" t="inlineStr">
        <is>
          <t>Grid-Gen</t>
        </is>
      </c>
      <c r="F803" t="inlineStr">
        <is>
          <t>CENTRE</t>
        </is>
      </c>
      <c r="G803" t="inlineStr">
        <is>
          <t>Yaounde</t>
        </is>
      </c>
      <c r="H803" t="inlineStr">
        <is>
          <t>ZTE</t>
        </is>
      </c>
      <c r="I803" t="n">
        <v>3.510371454743133</v>
      </c>
      <c r="J803" t="n">
        <v>5.441535899872444</v>
      </c>
      <c r="K803" t="n">
        <v>0.2688281354781087</v>
      </c>
      <c r="L803" t="n">
        <v>0</v>
      </c>
      <c r="M803" t="n">
        <v>0</v>
      </c>
      <c r="N803" t="n">
        <v>0</v>
      </c>
      <c r="O803" t="n">
        <v>0.0006375144078267358</v>
      </c>
      <c r="P803" t="n">
        <v>0.07746373671112158</v>
      </c>
      <c r="Q803" t="n">
        <v>0.04061047332871084</v>
      </c>
      <c r="R803" t="inlineStr">
        <is>
          <t>Operationnel</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row>
    <row r="804">
      <c r="A804" t="inlineStr">
        <is>
          <t>H-Paradis</t>
        </is>
      </c>
      <c r="B804" t="inlineStr">
        <is>
          <t>CTR_093</t>
        </is>
      </c>
      <c r="C804" t="inlineStr">
        <is>
          <t>Yaounde</t>
        </is>
      </c>
      <c r="D804" t="inlineStr">
        <is>
          <t>IHS</t>
        </is>
      </c>
      <c r="E804" t="inlineStr">
        <is>
          <t>GridOnly</t>
        </is>
      </c>
      <c r="F804" t="inlineStr">
        <is>
          <t>CENTRE</t>
        </is>
      </c>
      <c r="G804" t="inlineStr">
        <is>
          <t>Yaounde</t>
        </is>
      </c>
      <c r="H804" t="inlineStr">
        <is>
          <t>ZTE</t>
        </is>
      </c>
      <c r="I804" t="n">
        <v>0</v>
      </c>
      <c r="J804" t="n">
        <v>0</v>
      </c>
      <c r="K804" t="n">
        <v>0</v>
      </c>
      <c r="L804" t="n">
        <v>0</v>
      </c>
      <c r="M804" t="n">
        <v>4.094024392679915</v>
      </c>
      <c r="N804" t="n">
        <v>0</v>
      </c>
      <c r="O804" t="n">
        <v>0</v>
      </c>
      <c r="P804" t="n">
        <v>0.07756633768689791</v>
      </c>
      <c r="Q804" t="n">
        <v>0.0404499576238539</v>
      </c>
      <c r="R804" t="inlineStr">
        <is>
          <t>Operationnel</t>
        </is>
      </c>
      <c r="S804" t="inlineStr"/>
      <c r="T804" t="inlineStr"/>
      <c r="U804" t="inlineStr"/>
      <c r="V804" t="inlineStr"/>
      <c r="W804" t="inlineStr"/>
      <c r="X804" t="inlineStr">
        <is>
          <t>{05-25-2026 retour IHS}: IHS</t>
        </is>
      </c>
      <c r="Y804" t="inlineStr">
        <is>
          <t>IHS</t>
        </is>
      </c>
      <c r="Z804" t="inlineStr"/>
      <c r="AA804" t="inlineStr"/>
      <c r="AB804" t="inlineStr"/>
      <c r="AC804" t="inlineStr"/>
      <c r="AD804" t="inlineStr">
        <is>
          <t>{05-25-2026 retour IHS}: IHS</t>
        </is>
      </c>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row>
    <row r="805">
      <c r="A805" t="inlineStr">
        <is>
          <t>Sangmelima-II</t>
        </is>
      </c>
      <c r="B805" t="inlineStr">
        <is>
          <t>SUD_224</t>
        </is>
      </c>
      <c r="C805" t="inlineStr">
        <is>
          <t>CENTRE</t>
        </is>
      </c>
      <c r="D805" t="inlineStr">
        <is>
          <t>IHS</t>
        </is>
      </c>
      <c r="E805" t="inlineStr">
        <is>
          <t>Grid-Gen</t>
        </is>
      </c>
      <c r="F805" t="inlineStr">
        <is>
          <t>SUD</t>
        </is>
      </c>
      <c r="G805" t="inlineStr">
        <is>
          <t>Sangmelima</t>
        </is>
      </c>
      <c r="H805" t="inlineStr">
        <is>
          <t>ZTE</t>
        </is>
      </c>
      <c r="I805" t="n">
        <v>0</v>
      </c>
      <c r="J805" t="n">
        <v>0</v>
      </c>
      <c r="K805" t="n">
        <v>0</v>
      </c>
      <c r="L805" t="n">
        <v>0</v>
      </c>
      <c r="M805" t="n">
        <v>0</v>
      </c>
      <c r="N805" t="n">
        <v>0.001124060285601237</v>
      </c>
      <c r="O805" t="n">
        <v>0.002390679029347966</v>
      </c>
      <c r="P805" t="n">
        <v>0.07407790451050374</v>
      </c>
      <c r="Q805" t="n">
        <v>0.03959387386461991</v>
      </c>
      <c r="R805" t="inlineStr">
        <is>
          <t>Operationnel</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row>
    <row r="806">
      <c r="A806" t="inlineStr">
        <is>
          <t>Mvolye-New</t>
        </is>
      </c>
      <c r="B806" t="inlineStr">
        <is>
          <t>CTR_310</t>
        </is>
      </c>
      <c r="C806" t="inlineStr">
        <is>
          <t>Yaounde</t>
        </is>
      </c>
      <c r="D806" t="inlineStr">
        <is>
          <t>IHS</t>
        </is>
      </c>
      <c r="E806" t="inlineStr">
        <is>
          <t>GridOnly</t>
        </is>
      </c>
      <c r="F806" t="inlineStr">
        <is>
          <t>CENTRE</t>
        </is>
      </c>
      <c r="G806" t="inlineStr">
        <is>
          <t>Yaounde</t>
        </is>
      </c>
      <c r="H806" t="inlineStr">
        <is>
          <t>ZTE</t>
        </is>
      </c>
      <c r="I806" t="n">
        <v>3.510264444273228</v>
      </c>
      <c r="J806" t="n">
        <v>9.056117717224119</v>
      </c>
      <c r="K806" t="n">
        <v>0</v>
      </c>
      <c r="L806" t="n">
        <v>0</v>
      </c>
      <c r="M806" t="n">
        <v>6.514030499410729</v>
      </c>
      <c r="N806" t="n">
        <v>0</v>
      </c>
      <c r="O806" t="n">
        <v>0</v>
      </c>
      <c r="P806" t="n">
        <v>0.07394110320946781</v>
      </c>
      <c r="Q806" t="n">
        <v>0.03855943932220987</v>
      </c>
      <c r="R806" t="inlineStr">
        <is>
          <t>Operationnel</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row>
    <row r="807">
      <c r="A807" t="inlineStr">
        <is>
          <t>Muea</t>
        </is>
      </c>
      <c r="B807" t="inlineStr">
        <is>
          <t>SUO_038</t>
        </is>
      </c>
      <c r="C807" t="inlineStr">
        <is>
          <t>SUD-OUEST</t>
        </is>
      </c>
      <c r="D807" t="inlineStr">
        <is>
          <t>IHS</t>
        </is>
      </c>
      <c r="E807" t="inlineStr">
        <is>
          <t>Grid-Gen</t>
        </is>
      </c>
      <c r="F807" t="inlineStr">
        <is>
          <t>SUD-OUEST</t>
        </is>
      </c>
      <c r="G807" t="inlineStr">
        <is>
          <t>Buea</t>
        </is>
      </c>
      <c r="H807" t="inlineStr">
        <is>
          <t>Huawei</t>
        </is>
      </c>
      <c r="I807" t="n">
        <v>1.132152936509975</v>
      </c>
      <c r="J807" t="n">
        <v>0</v>
      </c>
      <c r="K807" t="n">
        <v>8.917539158697954e-05</v>
      </c>
      <c r="L807" t="n">
        <v>0</v>
      </c>
      <c r="M807" t="n">
        <v>0</v>
      </c>
      <c r="N807" t="n">
        <v>0</v>
      </c>
      <c r="O807" t="n">
        <v>0.1141150790007854</v>
      </c>
      <c r="P807" t="n">
        <v>0</v>
      </c>
      <c r="Q807" t="n">
        <v>0.0383097482257664</v>
      </c>
      <c r="R807" t="inlineStr">
        <is>
          <t>Operationnel</t>
        </is>
      </c>
      <c r="S807" t="inlineStr"/>
      <c r="T807" t="inlineStr"/>
      <c r="U807" t="inlineStr"/>
      <c r="V807" t="inlineStr"/>
      <c r="W807" t="inlineStr"/>
      <c r="X807" t="inlineStr">
        <is>
          <t>{05-25-2026 retour IHS}: IHS     ;    {None hourly IHS}: 25/05/2026 21:28..0:57:29..Fme is managing with level 0</t>
        </is>
      </c>
      <c r="Y807" t="inlineStr">
        <is>
          <t>IHS 25/05/2026 21 28.0 57 29.Fme is managing with level 0</t>
        </is>
      </c>
      <c r="Z807" t="inlineStr"/>
      <c r="AA807" t="inlineStr"/>
      <c r="AB807" t="inlineStr"/>
      <c r="AC807" t="inlineStr"/>
      <c r="AD807" t="inlineStr">
        <is>
          <t>{05-25-2026 retour IHS}: IHS</t>
        </is>
      </c>
      <c r="AE807" t="inlineStr">
        <is>
          <t>{None hourly IHS}: 25/05/2026 21:28..0:57:29..Fme is managing with level 0</t>
        </is>
      </c>
      <c r="AF807" t="inlineStr"/>
      <c r="AG807" t="inlineStr"/>
      <c r="AH807" t="inlineStr"/>
      <c r="AI807" t="inlineStr"/>
      <c r="AJ807" t="inlineStr"/>
      <c r="AK807" t="inlineStr"/>
      <c r="AL807" t="inlineStr"/>
      <c r="AM807" t="inlineStr"/>
      <c r="AN807" t="inlineStr"/>
      <c r="AO807" t="inlineStr"/>
      <c r="AP807" t="inlineStr"/>
      <c r="AQ807" t="inlineStr"/>
      <c r="AR807" t="inlineStr"/>
    </row>
    <row r="808">
      <c r="A808" t="inlineStr">
        <is>
          <t>Garage-Japonais</t>
        </is>
      </c>
      <c r="B808" t="inlineStr">
        <is>
          <t>CTR_583</t>
        </is>
      </c>
      <c r="C808" t="inlineStr">
        <is>
          <t>Yaounde</t>
        </is>
      </c>
      <c r="D808" t="inlineStr">
        <is>
          <t>CAMUSAT</t>
        </is>
      </c>
      <c r="E808" t="inlineStr">
        <is>
          <t>Good Grid no GE - 8h</t>
        </is>
      </c>
      <c r="F808" t="inlineStr">
        <is>
          <t>CENTRE</t>
        </is>
      </c>
      <c r="G808" t="inlineStr">
        <is>
          <t>Yaounde</t>
        </is>
      </c>
      <c r="H808" t="inlineStr">
        <is>
          <t>ZTE</t>
        </is>
      </c>
      <c r="I808" t="n">
        <v>0</v>
      </c>
      <c r="J808" t="n">
        <v>0</v>
      </c>
      <c r="K808" t="n">
        <v>0</v>
      </c>
      <c r="L808" t="n">
        <v>0</v>
      </c>
      <c r="M808" t="n">
        <v>0</v>
      </c>
      <c r="N808" t="n">
        <v>0.2230635188982011</v>
      </c>
      <c r="O808" t="n">
        <v>0.0188066750308566</v>
      </c>
      <c r="P808" t="n">
        <v>0</v>
      </c>
      <c r="Q808" t="n">
        <v>0.03816706759922755</v>
      </c>
      <c r="R808" t="inlineStr">
        <is>
          <t>Operationnel</t>
        </is>
      </c>
      <c r="S808" t="inlineStr"/>
      <c r="T808" t="inlineStr"/>
      <c r="U808" t="inlineStr"/>
      <c r="V808" t="inlineStr"/>
      <c r="W808" t="inlineStr"/>
      <c r="X808" t="inlineStr">
        <is>
          <t xml:space="preserve">{05-25-2026 retour CAMUSAT}: No power issue </t>
        </is>
      </c>
      <c r="Y808" t="inlineStr">
        <is>
          <t>No power issue</t>
        </is>
      </c>
      <c r="Z808" t="inlineStr"/>
      <c r="AA808" t="inlineStr"/>
      <c r="AB808" t="inlineStr"/>
      <c r="AC808" t="inlineStr">
        <is>
          <t xml:space="preserve">{05-25-2026 retour CAMUSAT}: No power issue </t>
        </is>
      </c>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row>
    <row r="809">
      <c r="A809" t="inlineStr">
        <is>
          <t>Awae-Escalier-IHS</t>
        </is>
      </c>
      <c r="B809" t="inlineStr">
        <is>
          <t>CTR_168</t>
        </is>
      </c>
      <c r="C809" t="inlineStr">
        <is>
          <t>Yaounde</t>
        </is>
      </c>
      <c r="D809" t="inlineStr">
        <is>
          <t>IHS</t>
        </is>
      </c>
      <c r="E809" t="inlineStr">
        <is>
          <t>Grid-Gen</t>
        </is>
      </c>
      <c r="F809" t="inlineStr">
        <is>
          <t>CENTRE</t>
        </is>
      </c>
      <c r="G809" t="inlineStr">
        <is>
          <t>Yaounde</t>
        </is>
      </c>
      <c r="H809" t="inlineStr">
        <is>
          <t>ZTE</t>
        </is>
      </c>
      <c r="I809" t="n">
        <v>0</v>
      </c>
      <c r="J809" t="n">
        <v>0</v>
      </c>
      <c r="K809" t="n">
        <v>0</v>
      </c>
      <c r="L809" t="n">
        <v>0</v>
      </c>
      <c r="M809" t="n">
        <v>1.046152188863493</v>
      </c>
      <c r="N809" t="n">
        <v>0.0269774468544297</v>
      </c>
      <c r="O809" t="n">
        <v>0.02364115929019889</v>
      </c>
      <c r="P809" t="n">
        <v>0.04859866219271707</v>
      </c>
      <c r="Q809" t="n">
        <v>0.03713263305681801</v>
      </c>
      <c r="R809" t="inlineStr">
        <is>
          <t>Operationnel</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row>
    <row r="810">
      <c r="A810" t="inlineStr">
        <is>
          <t>Mini_SS_AFD</t>
        </is>
      </c>
      <c r="B810" t="inlineStr">
        <is>
          <t>CTR_737</t>
        </is>
      </c>
      <c r="C810" t="inlineStr">
        <is>
          <t>Yaounde</t>
        </is>
      </c>
      <c r="D810" t="inlineStr">
        <is>
          <t>CAMUSAT</t>
        </is>
      </c>
      <c r="E810" t="inlineStr">
        <is>
          <t>Good Grid no GE - 8h</t>
        </is>
      </c>
      <c r="F810" t="inlineStr">
        <is>
          <t>CENTRE</t>
        </is>
      </c>
      <c r="G810" t="inlineStr">
        <is>
          <t>Yaounde</t>
        </is>
      </c>
      <c r="H810" t="inlineStr">
        <is>
          <t>ZTE</t>
        </is>
      </c>
      <c r="I810" t="n">
        <v>0</v>
      </c>
      <c r="J810" t="n">
        <v>0</v>
      </c>
      <c r="K810" t="n">
        <v>0</v>
      </c>
      <c r="L810" t="n">
        <v>0</v>
      </c>
      <c r="M810" t="n">
        <v>0</v>
      </c>
      <c r="N810" t="n">
        <v>0</v>
      </c>
      <c r="O810" t="n">
        <v>0.04871672599800769</v>
      </c>
      <c r="P810" t="n">
        <v>0.03885156949396647</v>
      </c>
      <c r="Q810" t="n">
        <v>0.03661541578561382</v>
      </c>
      <c r="R810" t="inlineStr">
        <is>
          <t>Operationnel</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row>
    <row r="811">
      <c r="A811" t="inlineStr">
        <is>
          <t>Sangmelima-Stade</t>
        </is>
      </c>
      <c r="B811" t="inlineStr">
        <is>
          <t>SUD_103</t>
        </is>
      </c>
      <c r="C811" t="inlineStr">
        <is>
          <t>CENTRE</t>
        </is>
      </c>
      <c r="D811" t="inlineStr">
        <is>
          <t>CAMUSAT</t>
        </is>
      </c>
      <c r="E811" t="inlineStr">
        <is>
          <t>Bad Grid + GE</t>
        </is>
      </c>
      <c r="F811" t="inlineStr">
        <is>
          <t>SUD</t>
        </is>
      </c>
      <c r="G811" t="inlineStr">
        <is>
          <t>Sangmelima</t>
        </is>
      </c>
      <c r="H811" t="inlineStr">
        <is>
          <t>ZTE</t>
        </is>
      </c>
      <c r="I811" t="n">
        <v>0</v>
      </c>
      <c r="J811" t="n">
        <v>5.789686046592889e-17</v>
      </c>
      <c r="K811" t="n">
        <v>0</v>
      </c>
      <c r="L811" t="n">
        <v>0</v>
      </c>
      <c r="M811" t="n">
        <v>1.157937209318578e-16</v>
      </c>
      <c r="N811" t="n">
        <v>0.0003746867618670791</v>
      </c>
      <c r="O811" t="n">
        <v>0.001434407417607862</v>
      </c>
      <c r="P811" t="n">
        <v>0.06915305767323957</v>
      </c>
      <c r="Q811" t="n">
        <v>0.03659758070729641</v>
      </c>
      <c r="R811" t="inlineStr">
        <is>
          <t>Operationnel</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row>
    <row r="812">
      <c r="A812" t="inlineStr">
        <is>
          <t>Makak-Camrail</t>
        </is>
      </c>
      <c r="B812" t="inlineStr">
        <is>
          <t>CTR_144</t>
        </is>
      </c>
      <c r="C812" t="inlineStr">
        <is>
          <t>CENTRE</t>
        </is>
      </c>
      <c r="D812" t="inlineStr">
        <is>
          <t>CAMUSAT</t>
        </is>
      </c>
      <c r="E812" t="inlineStr">
        <is>
          <t>Good Grid + GE</t>
        </is>
      </c>
      <c r="F812" t="inlineStr">
        <is>
          <t>CENTRE</t>
        </is>
      </c>
      <c r="G812" t="inlineStr">
        <is>
          <t>Makak</t>
        </is>
      </c>
      <c r="H812" t="inlineStr">
        <is>
          <t>NOKIA</t>
        </is>
      </c>
      <c r="I812" t="n">
        <v>0</v>
      </c>
      <c r="J812" t="n">
        <v>0</v>
      </c>
      <c r="K812" t="n">
        <v>0</v>
      </c>
      <c r="L812" t="n">
        <v>6.918030693456382</v>
      </c>
      <c r="M812" t="n">
        <v>0.1132705823937813</v>
      </c>
      <c r="N812" t="n">
        <v>0</v>
      </c>
      <c r="O812" t="n">
        <v>0.107739934922529</v>
      </c>
      <c r="P812" t="n">
        <v>0</v>
      </c>
      <c r="Q812" t="n">
        <v>0.03616953882767884</v>
      </c>
      <c r="R812" t="inlineStr">
        <is>
          <t>Operationnel</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row>
    <row r="813">
      <c r="A813" t="inlineStr">
        <is>
          <t>Nkoulou</t>
        </is>
      </c>
      <c r="B813" t="inlineStr">
        <is>
          <t>CTR_659</t>
        </is>
      </c>
      <c r="C813" t="inlineStr">
        <is>
          <t>CENTRE</t>
        </is>
      </c>
      <c r="D813" t="inlineStr">
        <is>
          <t>CAMUSAT</t>
        </is>
      </c>
      <c r="E813" t="inlineStr">
        <is>
          <t>Good Grid + GE</t>
        </is>
      </c>
      <c r="F813" t="inlineStr">
        <is>
          <t>CENTRE</t>
        </is>
      </c>
      <c r="G813" t="inlineStr">
        <is>
          <t>Nkoulou</t>
        </is>
      </c>
      <c r="H813" t="inlineStr">
        <is>
          <t>ZTE</t>
        </is>
      </c>
      <c r="I813" t="n">
        <v>0</v>
      </c>
      <c r="J813" t="n">
        <v>0</v>
      </c>
      <c r="K813" t="n">
        <v>0</v>
      </c>
      <c r="L813" t="n">
        <v>0</v>
      </c>
      <c r="M813" t="n">
        <v>1.996208975752854</v>
      </c>
      <c r="N813" t="n">
        <v>0.02672765567985164</v>
      </c>
      <c r="O813" t="n">
        <v>0.02358803308954641</v>
      </c>
      <c r="P813" t="n">
        <v>0.04661504332770769</v>
      </c>
      <c r="Q813" t="n">
        <v>0.03604469327945645</v>
      </c>
      <c r="R813" t="inlineStr">
        <is>
          <t>Operationnel</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row>
    <row r="814">
      <c r="A814" t="inlineStr">
        <is>
          <t>Gaba</t>
        </is>
      </c>
      <c r="B814" t="inlineStr">
        <is>
          <t>NRD_155</t>
        </is>
      </c>
      <c r="C814" t="inlineStr">
        <is>
          <t>NORD</t>
        </is>
      </c>
      <c r="D814" t="inlineStr">
        <is>
          <t>CAMUSAT</t>
        </is>
      </c>
      <c r="E814" t="inlineStr">
        <is>
          <t>Hybrid Solar - S3</t>
        </is>
      </c>
      <c r="F814" t="inlineStr">
        <is>
          <t>NORD</t>
        </is>
      </c>
      <c r="G814" t="inlineStr">
        <is>
          <t>Gaba</t>
        </is>
      </c>
      <c r="H814" t="inlineStr">
        <is>
          <t>NOKIA</t>
        </is>
      </c>
      <c r="I814" t="n">
        <v>0</v>
      </c>
      <c r="J814" t="n">
        <v>0</v>
      </c>
      <c r="K814" t="n">
        <v>0</v>
      </c>
      <c r="L814" t="n">
        <v>0.394321240111551</v>
      </c>
      <c r="M814" t="n">
        <v>0.7462719258689128</v>
      </c>
      <c r="N814" t="n">
        <v>0.07893401116666467</v>
      </c>
      <c r="O814" t="n">
        <v>0.06747417958397409</v>
      </c>
      <c r="P814" t="n">
        <v>0</v>
      </c>
      <c r="Q814" t="n">
        <v>0.03392362983123415</v>
      </c>
      <c r="R814" t="inlineStr">
        <is>
          <t>Operationnel</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row>
    <row r="815">
      <c r="A815" t="inlineStr">
        <is>
          <t>Memve-Ele-IHS</t>
        </is>
      </c>
      <c r="B815" t="inlineStr">
        <is>
          <t>SUD_056</t>
        </is>
      </c>
      <c r="C815" t="inlineStr">
        <is>
          <t>CENTRE</t>
        </is>
      </c>
      <c r="D815" t="inlineStr">
        <is>
          <t>IHS</t>
        </is>
      </c>
      <c r="E815" t="inlineStr">
        <is>
          <t>Hybrid-Gen</t>
        </is>
      </c>
      <c r="F815" t="inlineStr">
        <is>
          <t>SUD</t>
        </is>
      </c>
      <c r="G815" t="inlineStr">
        <is>
          <t>Memve-Ele</t>
        </is>
      </c>
      <c r="H815" t="inlineStr">
        <is>
          <t>NOKIA</t>
        </is>
      </c>
      <c r="I815" t="n">
        <v>0</v>
      </c>
      <c r="J815" t="n">
        <v>0</v>
      </c>
      <c r="K815" t="n">
        <v>0</v>
      </c>
      <c r="L815" t="n">
        <v>0</v>
      </c>
      <c r="M815" t="n">
        <v>0</v>
      </c>
      <c r="N815" t="n">
        <v>0</v>
      </c>
      <c r="O815" t="n">
        <v>0.0998772572260138</v>
      </c>
      <c r="P815" t="n">
        <v>0</v>
      </c>
      <c r="Q815" t="n">
        <v>0.03352994723670447</v>
      </c>
      <c r="R815" t="inlineStr">
        <is>
          <t>Operationnel</t>
        </is>
      </c>
      <c r="S815" t="inlineStr"/>
      <c r="T815" t="inlineStr"/>
      <c r="U815" t="inlineStr"/>
      <c r="V815" t="inlineStr"/>
      <c r="W815" t="inlineStr"/>
      <c r="X815" t="inlineStr">
        <is>
          <t>{05-25-2026 ticket}: INC-20260525-00021766..Others</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is>
          <t>{05-25-2026 ticket}: INC-20260525-00021766..Others</t>
        </is>
      </c>
      <c r="AR815" t="inlineStr"/>
    </row>
    <row r="816">
      <c r="A816" t="inlineStr">
        <is>
          <t>Nkolmesseng-Crf-Safari</t>
        </is>
      </c>
      <c r="B816" t="inlineStr">
        <is>
          <t>CTR_559</t>
        </is>
      </c>
      <c r="C816" t="inlineStr">
        <is>
          <t>Yaounde</t>
        </is>
      </c>
      <c r="D816" t="inlineStr">
        <is>
          <t>CAMUSAT</t>
        </is>
      </c>
      <c r="E816" t="inlineStr">
        <is>
          <t>Good Grid no GE - 8h</t>
        </is>
      </c>
      <c r="F816" t="inlineStr">
        <is>
          <t>CENTRE</t>
        </is>
      </c>
      <c r="G816" t="inlineStr">
        <is>
          <t>Yaounde</t>
        </is>
      </c>
      <c r="H816" t="inlineStr">
        <is>
          <t>ZTE</t>
        </is>
      </c>
      <c r="I816" t="n">
        <v>20.87838474116307</v>
      </c>
      <c r="J816" t="n">
        <v>0</v>
      </c>
      <c r="K816" t="n">
        <v>24.1722205100547</v>
      </c>
      <c r="L816" t="n">
        <v>30.27818441756339</v>
      </c>
      <c r="M816" t="n">
        <v>0</v>
      </c>
      <c r="N816" t="n">
        <v>0</v>
      </c>
      <c r="O816" t="n">
        <v>0</v>
      </c>
      <c r="P816" t="n">
        <v>0.06405720920968253</v>
      </c>
      <c r="Q816" t="n">
        <v>0.03340510168848257</v>
      </c>
      <c r="R816" t="inlineStr">
        <is>
          <t>Operationnel</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row>
    <row r="817">
      <c r="A817" t="inlineStr">
        <is>
          <t>Indoor-Agence-Garoua</t>
        </is>
      </c>
      <c r="B817" t="inlineStr">
        <is>
          <t>NRD_188</t>
        </is>
      </c>
      <c r="C817" t="inlineStr">
        <is>
          <t>Garoua</t>
        </is>
      </c>
      <c r="D817" t="inlineStr"/>
      <c r="E817" t="inlineStr"/>
      <c r="F817" t="inlineStr">
        <is>
          <t>NORD</t>
        </is>
      </c>
      <c r="G817" t="inlineStr">
        <is>
          <t>Garoua</t>
        </is>
      </c>
      <c r="H817" t="inlineStr">
        <is>
          <t>Huawei</t>
        </is>
      </c>
      <c r="I817" t="n">
        <v>0.01977910185399206</v>
      </c>
      <c r="J817" t="n">
        <v>0.01944023536596154</v>
      </c>
      <c r="K817" t="n">
        <v>0.006598978977436486</v>
      </c>
      <c r="L817" t="n">
        <v>0.02837560960297689</v>
      </c>
      <c r="M817" t="n">
        <v>0.03682943672542256</v>
      </c>
      <c r="N817" t="n">
        <v>0</v>
      </c>
      <c r="O817" t="n">
        <v>0.08415190183298142</v>
      </c>
      <c r="P817" t="n">
        <v>0.008379079688399469</v>
      </c>
      <c r="Q817" t="n">
        <v>0.03262035824251712</v>
      </c>
      <c r="R817" t="inlineStr">
        <is>
          <t>Operationnel</t>
        </is>
      </c>
      <c r="S817" t="inlineStr"/>
      <c r="T817" t="inlineStr"/>
      <c r="U817" t="inlineStr"/>
      <c r="V817" t="inlineStr"/>
      <c r="W817" t="inlineStr"/>
      <c r="X817" t="inlineStr">
        <is>
          <t xml:space="preserve">{05/25/2026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Y817" t="inlineStr">
        <is>
          <t>27/10/2025 Feedback Ing.OCM attendu
09/10/2025 Feedback recu ce jour d'Athanase Etude de solution en cours
30/09/2025 Feedback recu ce jour de l'ING.OCM Analyse d'une probable solution en cours
29/09/2025 Mail de demande de creation de TT au TAC envoye au BORAN GNOC || Feedback creation du TT attendu du BO RAN GNOC
27/10/2025 Feedback Ing.OCM attendu
09/10/2025 Feedback recu ce jour d'Athanase Etude de solution en cours
30/09/2025 Feedback recu ce jour de l'ING.OCM Analyse d'une probable solution en cours
29/09/2025 Mail de demande de creation de TT au TAC envoye au BORAN GNOC || Feedback creation du TT attendu du BO RAN GNOC
27/10/2025 Feedback Ing.OCM attendu
09/10/2025 Feedback recu ce jour d'Athanase Etude de solution en cours
30/09/2025 Feedback recu ce jour de l'ING.OCM Analyse d'une probable solution en cours
29/09/2025 Mail de demande de creation de TT au TAC envoye au BORAN GNOC || Feedback creation du TT attendu du BO RAN GNOC</t>
        </is>
      </c>
      <c r="Z817" t="inlineStr"/>
      <c r="AA817" t="inlineStr"/>
      <c r="AB817" t="inlineStr"/>
      <c r="AC817" t="inlineStr"/>
      <c r="AD817" t="inlineStr"/>
      <c r="AE817" t="inlineStr"/>
      <c r="AF817" t="inlineStr"/>
      <c r="AG817" t="inlineStr"/>
      <c r="AH817" t="inlineStr"/>
      <c r="AI817" t="inlineStr"/>
      <c r="AJ817" t="inlineStr"/>
      <c r="AK817" t="inlineStr"/>
      <c r="AL817" t="inlineStr">
        <is>
          <t xml:space="preserve">{05/25/2026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M817" t="inlineStr">
        <is>
          <t xml:space="preserve">{05/25/2026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N817" t="inlineStr">
        <is>
          <t xml:space="preserve">{05/25/2026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O817" t="inlineStr"/>
      <c r="AP817" t="inlineStr"/>
      <c r="AQ817" t="inlineStr"/>
      <c r="AR817" t="inlineStr"/>
    </row>
    <row r="818">
      <c r="A818" t="inlineStr">
        <is>
          <t>Dschang-Foreke</t>
        </is>
      </c>
      <c r="B818" t="inlineStr">
        <is>
          <t>OST_122</t>
        </is>
      </c>
      <c r="C818" t="inlineStr">
        <is>
          <t>OUEST</t>
        </is>
      </c>
      <c r="D818" t="inlineStr">
        <is>
          <t>IHS</t>
        </is>
      </c>
      <c r="E818" t="inlineStr">
        <is>
          <t>GridOnly</t>
        </is>
      </c>
      <c r="F818" t="inlineStr">
        <is>
          <t>OUEST</t>
        </is>
      </c>
      <c r="G818" t="inlineStr">
        <is>
          <t>Dschang</t>
        </is>
      </c>
      <c r="H818" t="inlineStr">
        <is>
          <t>Huawei</t>
        </is>
      </c>
      <c r="I818" t="n">
        <v>0.5969222362049236</v>
      </c>
      <c r="J818" t="n">
        <v>0</v>
      </c>
      <c r="K818" t="n">
        <v>9.205040621174374</v>
      </c>
      <c r="L818" t="n">
        <v>18.49114167330132</v>
      </c>
      <c r="M818" t="n">
        <v>0</v>
      </c>
      <c r="N818" t="n">
        <v>0.02997494094936633</v>
      </c>
      <c r="O818" t="n">
        <v>0.01561910299172761</v>
      </c>
      <c r="P818" t="n">
        <v>0.0425794049471728</v>
      </c>
      <c r="Q818" t="n">
        <v>0.03172860432664731</v>
      </c>
      <c r="R818" t="inlineStr">
        <is>
          <t>Operationnel</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row>
    <row r="819">
      <c r="A819" t="inlineStr">
        <is>
          <t>Great-Soppo-IHS</t>
        </is>
      </c>
      <c r="B819" t="inlineStr">
        <is>
          <t>SUO_181</t>
        </is>
      </c>
      <c r="C819" t="inlineStr">
        <is>
          <t>SUD-OUEST</t>
        </is>
      </c>
      <c r="D819" t="inlineStr">
        <is>
          <t>IHS</t>
        </is>
      </c>
      <c r="E819" t="inlineStr">
        <is>
          <t>Grid-Gen</t>
        </is>
      </c>
      <c r="F819" t="inlineStr">
        <is>
          <t>SUD-OUEST</t>
        </is>
      </c>
      <c r="G819" t="inlineStr">
        <is>
          <t>Buea</t>
        </is>
      </c>
      <c r="H819" t="inlineStr">
        <is>
          <t>Huawei</t>
        </is>
      </c>
      <c r="I819" t="n">
        <v>0</v>
      </c>
      <c r="J819" t="n">
        <v>0</v>
      </c>
      <c r="K819" t="n">
        <v>0</v>
      </c>
      <c r="L819" t="n">
        <v>0</v>
      </c>
      <c r="M819" t="n">
        <v>4.809318043677394</v>
      </c>
      <c r="N819" t="n">
        <v>0.02060777190268935</v>
      </c>
      <c r="O819" t="n">
        <v>0.03506329243040893</v>
      </c>
      <c r="P819" t="n">
        <v>0.03249030899583467</v>
      </c>
      <c r="Q819" t="n">
        <v>0.03165726401337773</v>
      </c>
      <c r="R819" t="inlineStr">
        <is>
          <t>Operationnel</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row>
    <row r="820">
      <c r="A820" t="inlineStr">
        <is>
          <t>Mandama-IHS</t>
        </is>
      </c>
      <c r="B820" t="inlineStr">
        <is>
          <t>NRD_123</t>
        </is>
      </c>
      <c r="C820" t="inlineStr">
        <is>
          <t>NORD</t>
        </is>
      </c>
      <c r="D820" t="inlineStr">
        <is>
          <t>IHS</t>
        </is>
      </c>
      <c r="E820" t="inlineStr">
        <is>
          <t>Grid-Hybrid-Gen</t>
        </is>
      </c>
      <c r="F820" t="inlineStr">
        <is>
          <t>NORD</t>
        </is>
      </c>
      <c r="G820" t="inlineStr">
        <is>
          <t>Mandama</t>
        </is>
      </c>
      <c r="H820" t="inlineStr">
        <is>
          <t>NOKIA</t>
        </is>
      </c>
      <c r="I820" t="n">
        <v>0.7257093367348394</v>
      </c>
      <c r="J820" t="n">
        <v>5.847658468237866</v>
      </c>
      <c r="K820" t="n">
        <v>0</v>
      </c>
      <c r="L820" t="n">
        <v>0.08645219871154344</v>
      </c>
      <c r="M820" t="n">
        <v>2.377468742027666</v>
      </c>
      <c r="N820" t="n">
        <v>0</v>
      </c>
      <c r="O820" t="n">
        <v>0.09403881721546038</v>
      </c>
      <c r="P820" t="n">
        <v>0</v>
      </c>
      <c r="Q820" t="n">
        <v>0.03156991558449834</v>
      </c>
      <c r="R820" t="inlineStr">
        <is>
          <t>Operationnel</t>
        </is>
      </c>
      <c r="S820" t="inlineStr"/>
      <c r="T820" t="inlineStr"/>
      <c r="U820" t="inlineStr"/>
      <c r="V820" t="inlineStr"/>
      <c r="W820" t="inlineStr"/>
      <c r="X820" t="inlineStr">
        <is>
          <t>{05-25-2026 ticket}: INC-20260525-00021506..Grid Outage</t>
        </is>
      </c>
      <c r="Y820" t="inlineStr">
        <is>
          <t>.Grid Outage</t>
        </is>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is>
          <t>{05-25-2026 ticket}: INC-20260525-00021506..Grid Outage</t>
        </is>
      </c>
      <c r="AR820" t="inlineStr"/>
    </row>
    <row r="821">
      <c r="A821" t="inlineStr">
        <is>
          <t>Madingring</t>
        </is>
      </c>
      <c r="B821" t="inlineStr">
        <is>
          <t>NRD_036</t>
        </is>
      </c>
      <c r="C821" t="inlineStr">
        <is>
          <t>NORD</t>
        </is>
      </c>
      <c r="D821" t="inlineStr">
        <is>
          <t>IHS</t>
        </is>
      </c>
      <c r="E821" t="inlineStr">
        <is>
          <t>Solar-Gen</t>
        </is>
      </c>
      <c r="F821" t="inlineStr">
        <is>
          <t>NORD</t>
        </is>
      </c>
      <c r="G821" t="inlineStr">
        <is>
          <t>Madingring</t>
        </is>
      </c>
      <c r="H821" t="inlineStr">
        <is>
          <t>NOKIA</t>
        </is>
      </c>
      <c r="I821" t="n">
        <v>0</v>
      </c>
      <c r="J821" t="n">
        <v>0</v>
      </c>
      <c r="K821" t="n">
        <v>0</v>
      </c>
      <c r="L821" t="n">
        <v>0.7689329019363534</v>
      </c>
      <c r="M821" t="n">
        <v>0.6012025528150489</v>
      </c>
      <c r="N821" t="n">
        <v>0.07506224796070485</v>
      </c>
      <c r="O821" t="n">
        <v>0.06189560568136178</v>
      </c>
      <c r="P821" t="n">
        <v>0</v>
      </c>
      <c r="Q821" t="n">
        <v>0.03149795080092457</v>
      </c>
      <c r="R821" t="inlineStr">
        <is>
          <t>Operationnel</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row>
    <row r="822">
      <c r="A822" t="inlineStr">
        <is>
          <t>Bsadi-BlocJ</t>
        </is>
      </c>
      <c r="B822" t="inlineStr">
        <is>
          <t>LIT_247</t>
        </is>
      </c>
      <c r="C822" t="inlineStr">
        <is>
          <t>Douala</t>
        </is>
      </c>
      <c r="D822" t="inlineStr">
        <is>
          <t>IHS</t>
        </is>
      </c>
      <c r="E822" t="inlineStr">
        <is>
          <t>Grid-Gen</t>
        </is>
      </c>
      <c r="F822" t="inlineStr">
        <is>
          <t>LITTORAL</t>
        </is>
      </c>
      <c r="G822" t="inlineStr">
        <is>
          <t>Douala</t>
        </is>
      </c>
      <c r="H822" t="inlineStr">
        <is>
          <t>ZTE</t>
        </is>
      </c>
      <c r="I822" t="n">
        <v>0</v>
      </c>
      <c r="J822" t="n">
        <v>0</v>
      </c>
      <c r="K822" t="n">
        <v>0</v>
      </c>
      <c r="L822" t="n">
        <v>0</v>
      </c>
      <c r="M822" t="n">
        <v>0</v>
      </c>
      <c r="N822" t="n">
        <v>0.005745197015295214</v>
      </c>
      <c r="O822" t="n">
        <v>0.004781358058692874</v>
      </c>
      <c r="P822" t="n">
        <v>0.05174509211652385</v>
      </c>
      <c r="Q822" t="n">
        <v>0.02941004414538599</v>
      </c>
      <c r="R822" t="inlineStr">
        <is>
          <t>Operationnel</t>
        </is>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row>
    <row r="823">
      <c r="A823" t="inlineStr">
        <is>
          <t>Foyemtcha</t>
        </is>
      </c>
      <c r="B823" t="inlineStr">
        <is>
          <t>OST_156</t>
        </is>
      </c>
      <c r="C823" t="inlineStr">
        <is>
          <t>OUEST</t>
        </is>
      </c>
      <c r="D823" t="inlineStr">
        <is>
          <t>IHS</t>
        </is>
      </c>
      <c r="E823" t="inlineStr">
        <is>
          <t>Grid-Gen</t>
        </is>
      </c>
      <c r="F823" t="inlineStr">
        <is>
          <t>OUEST</t>
        </is>
      </c>
      <c r="G823" t="inlineStr">
        <is>
          <t>Foyemtcha</t>
        </is>
      </c>
      <c r="H823" t="inlineStr">
        <is>
          <t>NOKIA</t>
        </is>
      </c>
      <c r="I823" t="n">
        <v>0</v>
      </c>
      <c r="J823" t="n">
        <v>0</v>
      </c>
      <c r="K823" t="n">
        <v>0.4775520570265928</v>
      </c>
      <c r="L823" t="n">
        <v>0.7922163437804088</v>
      </c>
      <c r="M823" t="n">
        <v>0.08316497019401729</v>
      </c>
      <c r="N823" t="n">
        <v>0.08417962583280376</v>
      </c>
      <c r="O823" t="n">
        <v>0.05046989061952791</v>
      </c>
      <c r="P823" t="n">
        <v>0</v>
      </c>
      <c r="Q823" t="n">
        <v>0.02896416718745093</v>
      </c>
      <c r="R823" t="inlineStr">
        <is>
          <t>Operationnel</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row>
    <row r="824">
      <c r="A824" t="inlineStr">
        <is>
          <t>Mvog-Ebanda</t>
        </is>
      </c>
      <c r="B824" t="inlineStr">
        <is>
          <t>CTR_341</t>
        </is>
      </c>
      <c r="C824" t="inlineStr">
        <is>
          <t>Yaounde</t>
        </is>
      </c>
      <c r="D824" t="inlineStr">
        <is>
          <t>IHS</t>
        </is>
      </c>
      <c r="E824" t="inlineStr">
        <is>
          <t>Grid-Gen</t>
        </is>
      </c>
      <c r="F824" t="inlineStr">
        <is>
          <t>CENTRE</t>
        </is>
      </c>
      <c r="G824" t="inlineStr">
        <is>
          <t>Yaounde</t>
        </is>
      </c>
      <c r="H824" t="inlineStr">
        <is>
          <t>ZTE</t>
        </is>
      </c>
      <c r="I824" t="n">
        <v>0</v>
      </c>
      <c r="J824" t="n">
        <v>0</v>
      </c>
      <c r="K824" t="n">
        <v>0</v>
      </c>
      <c r="L824" t="n">
        <v>0</v>
      </c>
      <c r="M824" t="n">
        <v>0</v>
      </c>
      <c r="N824" t="n">
        <v>0</v>
      </c>
      <c r="O824" t="n">
        <v>0</v>
      </c>
      <c r="P824" t="n">
        <v>0.05495992269084828</v>
      </c>
      <c r="Q824" t="n">
        <v>0.02866097085605497</v>
      </c>
      <c r="R824" t="inlineStr">
        <is>
          <t>Operationnel</t>
        </is>
      </c>
      <c r="S824" t="inlineStr"/>
      <c r="T824" t="inlineStr"/>
      <c r="U824" t="inlineStr"/>
      <c r="V824" t="inlineStr"/>
      <c r="W824" t="inlineStr"/>
      <c r="X824" t="inlineStr"/>
      <c r="Y824" t="inlineStr"/>
      <c r="Z824" t="inlineStr">
        <is>
          <t>CTR_341</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row>
    <row r="825">
      <c r="A825" t="inlineStr">
        <is>
          <t>Muyengue-Bafia-IHS</t>
        </is>
      </c>
      <c r="B825" t="inlineStr">
        <is>
          <t>LIT_176</t>
        </is>
      </c>
      <c r="C825" t="inlineStr">
        <is>
          <t>LITTORAL</t>
        </is>
      </c>
      <c r="D825" t="inlineStr">
        <is>
          <t>IHS</t>
        </is>
      </c>
      <c r="E825" t="inlineStr"/>
      <c r="F825" t="inlineStr">
        <is>
          <t>LITTORAL</t>
        </is>
      </c>
      <c r="G825" t="inlineStr">
        <is>
          <t>Muyengue</t>
        </is>
      </c>
      <c r="H825" t="inlineStr">
        <is>
          <t>NOKIA</t>
        </is>
      </c>
      <c r="I825" t="n">
        <v>0.004102068013001059</v>
      </c>
      <c r="J825" t="n">
        <v>0</v>
      </c>
      <c r="K825" t="n">
        <v>0</v>
      </c>
      <c r="L825" t="n">
        <v>1.783507831739591e-05</v>
      </c>
      <c r="M825" t="n">
        <v>0.0727492844566579</v>
      </c>
      <c r="N825" t="n">
        <v>0.194337533821725</v>
      </c>
      <c r="O825" t="n">
        <v>0</v>
      </c>
      <c r="P825" t="n">
        <v>0</v>
      </c>
      <c r="Q825" t="n">
        <v>0.02775138186186803</v>
      </c>
      <c r="R825" t="inlineStr">
        <is>
          <t>Operationnel</t>
        </is>
      </c>
      <c r="S825" t="inlineStr"/>
      <c r="T825" t="inlineStr"/>
      <c r="U825" t="inlineStr"/>
      <c r="V825" t="inlineStr"/>
      <c r="W825" t="inlineStr"/>
      <c r="X825" t="inlineStr">
        <is>
          <t>{05-25-2026 ticket}: INC-20260525-00019645..Others</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is>
          <t>{05-25-2026 ticket}: INC-20260525-00019645..Others</t>
        </is>
      </c>
      <c r="AR825" t="inlineStr"/>
    </row>
    <row r="826">
      <c r="A826" t="inlineStr">
        <is>
          <t>Emombo-1er-Crf-MTN</t>
        </is>
      </c>
      <c r="B826" t="inlineStr">
        <is>
          <t>CTR_376</t>
        </is>
      </c>
      <c r="C826" t="inlineStr">
        <is>
          <t>Yaounde</t>
        </is>
      </c>
      <c r="D826" t="inlineStr">
        <is>
          <t>IHS</t>
        </is>
      </c>
      <c r="E826" t="inlineStr">
        <is>
          <t>Grid-Gen</t>
        </is>
      </c>
      <c r="F826" t="inlineStr">
        <is>
          <t>CENTRE</t>
        </is>
      </c>
      <c r="G826" t="inlineStr">
        <is>
          <t>Yaounde</t>
        </is>
      </c>
      <c r="H826" t="inlineStr">
        <is>
          <t>ZTE</t>
        </is>
      </c>
      <c r="I826" t="n">
        <v>0</v>
      </c>
      <c r="J826" t="n">
        <v>0</v>
      </c>
      <c r="K826" t="n">
        <v>0</v>
      </c>
      <c r="L826" t="n">
        <v>0</v>
      </c>
      <c r="M826" t="n">
        <v>0</v>
      </c>
      <c r="N826" t="n">
        <v>0.1634883237613355</v>
      </c>
      <c r="O826" t="n">
        <v>0.01179401654477473</v>
      </c>
      <c r="P826" t="n">
        <v>0</v>
      </c>
      <c r="Q826" t="n">
        <v>0.02730550490393341</v>
      </c>
      <c r="R826" t="inlineStr">
        <is>
          <t>Operationnel</t>
        </is>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row>
    <row r="827">
      <c r="A827" t="inlineStr">
        <is>
          <t>Bangoua-nouveau-Camtel</t>
        </is>
      </c>
      <c r="B827" t="inlineStr">
        <is>
          <t>OST_294</t>
        </is>
      </c>
      <c r="C827" t="inlineStr">
        <is>
          <t>OUEST</t>
        </is>
      </c>
      <c r="D827" t="inlineStr">
        <is>
          <t>CAMUSAT</t>
        </is>
      </c>
      <c r="E827" t="inlineStr">
        <is>
          <t>Hybrid Solar - S1</t>
        </is>
      </c>
      <c r="F827" t="inlineStr">
        <is>
          <t>OUEST</t>
        </is>
      </c>
      <c r="G827" t="inlineStr">
        <is>
          <t>Bangoua</t>
        </is>
      </c>
      <c r="H827" t="inlineStr">
        <is>
          <t>NOKIA</t>
        </is>
      </c>
      <c r="I827" t="n">
        <v>5.350523495223587e-05</v>
      </c>
      <c r="J827" t="n">
        <v>8.9175391586944e-05</v>
      </c>
      <c r="K827" t="n">
        <v>0.0008560837592351773</v>
      </c>
      <c r="L827" t="n">
        <v>0.008890882526400421</v>
      </c>
      <c r="M827" t="n">
        <v>0.006474133429214682</v>
      </c>
      <c r="N827" t="n">
        <v>0</v>
      </c>
      <c r="O827" t="n">
        <v>0.05365746265865598</v>
      </c>
      <c r="P827" t="n">
        <v>0.01706596230412751</v>
      </c>
      <c r="Q827" t="n">
        <v>0.02691313318095019</v>
      </c>
      <c r="R827" t="inlineStr">
        <is>
          <t>Operationnel</t>
        </is>
      </c>
      <c r="S827" t="inlineStr"/>
      <c r="T827" t="inlineStr"/>
      <c r="U827" t="inlineStr"/>
      <c r="V827" t="inlineStr"/>
      <c r="W827" t="inlineStr"/>
      <c r="X827" t="inlineStr">
        <is>
          <t xml:space="preserve">{05-25-2026 retour CAMUSAT}: No power issue </t>
        </is>
      </c>
      <c r="Y827" t="inlineStr">
        <is>
          <t>No power issue</t>
        </is>
      </c>
      <c r="Z827" t="inlineStr"/>
      <c r="AA827" t="inlineStr"/>
      <c r="AB827" t="inlineStr"/>
      <c r="AC827" t="inlineStr">
        <is>
          <t xml:space="preserve">{05-25-2026 retour CAMUSAT}: No power issue </t>
        </is>
      </c>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row>
    <row r="828">
      <c r="A828" t="inlineStr">
        <is>
          <t>Messan</t>
        </is>
      </c>
      <c r="B828" t="inlineStr">
        <is>
          <t>SUD_247</t>
        </is>
      </c>
      <c r="C828" t="inlineStr">
        <is>
          <t>CENTRE</t>
        </is>
      </c>
      <c r="D828" t="inlineStr">
        <is>
          <t>IHS</t>
        </is>
      </c>
      <c r="E828" t="inlineStr">
        <is>
          <t>Hybrid-Gen</t>
        </is>
      </c>
      <c r="F828" t="inlineStr">
        <is>
          <t>SUD</t>
        </is>
      </c>
      <c r="G828" t="inlineStr">
        <is>
          <t>Messam</t>
        </is>
      </c>
      <c r="H828" t="inlineStr">
        <is>
          <t>NOKIA</t>
        </is>
      </c>
      <c r="I828" t="n">
        <v>0</v>
      </c>
      <c r="J828" t="n">
        <v>0</v>
      </c>
      <c r="K828" t="n">
        <v>0.05724969480334551</v>
      </c>
      <c r="L828" t="n">
        <v>0</v>
      </c>
      <c r="M828" t="n">
        <v>0</v>
      </c>
      <c r="N828" t="n">
        <v>0</v>
      </c>
      <c r="O828" t="n">
        <v>0.05817318971408746</v>
      </c>
      <c r="P828" t="n">
        <v>0.01395373270558039</v>
      </c>
      <c r="Q828" t="n">
        <v>0.02680612271104647</v>
      </c>
      <c r="R828" t="inlineStr">
        <is>
          <t>Operationnel</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row>
    <row r="829">
      <c r="A829" t="inlineStr">
        <is>
          <t>Boulou_MTN</t>
        </is>
      </c>
      <c r="B829" t="inlineStr">
        <is>
          <t>SUD_233</t>
        </is>
      </c>
      <c r="C829" t="inlineStr">
        <is>
          <t>CENTRE</t>
        </is>
      </c>
      <c r="D829" t="inlineStr">
        <is>
          <t>IHS</t>
        </is>
      </c>
      <c r="E829" t="inlineStr">
        <is>
          <t>Hybrid-Gen</t>
        </is>
      </c>
      <c r="F829" t="inlineStr">
        <is>
          <t>SUD</t>
        </is>
      </c>
      <c r="G829" t="inlineStr">
        <is>
          <t>Boulou</t>
        </is>
      </c>
      <c r="H829" t="inlineStr">
        <is>
          <t>NOKIA</t>
        </is>
      </c>
      <c r="I829" t="n">
        <v>0</v>
      </c>
      <c r="J829" t="n">
        <v>0</v>
      </c>
      <c r="K829" t="n">
        <v>0</v>
      </c>
      <c r="L829" t="n">
        <v>0</v>
      </c>
      <c r="M829" t="n">
        <v>0</v>
      </c>
      <c r="N829" t="n">
        <v>0</v>
      </c>
      <c r="O829" t="n">
        <v>0.05817318971408746</v>
      </c>
      <c r="P829" t="n">
        <v>0.01026009757763229</v>
      </c>
      <c r="Q829" t="n">
        <v>0.02487993425276741</v>
      </c>
      <c r="R829" t="inlineStr">
        <is>
          <t>Operationnel</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row>
    <row r="830">
      <c r="A830" t="inlineStr">
        <is>
          <t>Maan-IHS</t>
        </is>
      </c>
      <c r="B830" t="inlineStr">
        <is>
          <t>SUD_037</t>
        </is>
      </c>
      <c r="C830" t="inlineStr">
        <is>
          <t>CENTRE</t>
        </is>
      </c>
      <c r="D830" t="inlineStr">
        <is>
          <t>IHS</t>
        </is>
      </c>
      <c r="E830" t="inlineStr">
        <is>
          <t>Gen Only</t>
        </is>
      </c>
      <c r="F830" t="inlineStr">
        <is>
          <t>SUD</t>
        </is>
      </c>
      <c r="G830" t="inlineStr">
        <is>
          <t>Maan</t>
        </is>
      </c>
      <c r="H830" t="inlineStr">
        <is>
          <t>NOKIA</t>
        </is>
      </c>
      <c r="I830" t="n">
        <v>0</v>
      </c>
      <c r="J830" t="n">
        <v>0</v>
      </c>
      <c r="K830" t="n">
        <v>0</v>
      </c>
      <c r="L830" t="n">
        <v>0</v>
      </c>
      <c r="M830" t="n">
        <v>0</v>
      </c>
      <c r="N830" t="n">
        <v>0</v>
      </c>
      <c r="O830" t="n">
        <v>0.0736329141038586</v>
      </c>
      <c r="P830" t="n">
        <v>0</v>
      </c>
      <c r="Q830" t="n">
        <v>0.02471941854791068</v>
      </c>
      <c r="R830" t="inlineStr">
        <is>
          <t>Operationnel</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row>
    <row r="831">
      <c r="A831" t="inlineStr">
        <is>
          <t>Mont-Febe</t>
        </is>
      </c>
      <c r="B831" t="inlineStr">
        <is>
          <t>CTR_729</t>
        </is>
      </c>
      <c r="C831" t="inlineStr">
        <is>
          <t>Yaounde</t>
        </is>
      </c>
      <c r="D831" t="inlineStr">
        <is>
          <t>CAMUSAT</t>
        </is>
      </c>
      <c r="E831" t="inlineStr">
        <is>
          <t>Good Grid no GE - 8h</t>
        </is>
      </c>
      <c r="F831" t="inlineStr">
        <is>
          <t>CENTRE</t>
        </is>
      </c>
      <c r="G831" t="inlineStr">
        <is>
          <t>Yaounde</t>
        </is>
      </c>
      <c r="H831" t="inlineStr">
        <is>
          <t>ZTE</t>
        </is>
      </c>
      <c r="I831" t="n">
        <v>0</v>
      </c>
      <c r="J831" t="n">
        <v>0.04676357534821254</v>
      </c>
      <c r="K831" t="n">
        <v>0</v>
      </c>
      <c r="L831" t="n">
        <v>0</v>
      </c>
      <c r="M831" t="n">
        <v>0</v>
      </c>
      <c r="N831" t="n">
        <v>0.01149039403059043</v>
      </c>
      <c r="O831" t="n">
        <v>0.001275028815650414</v>
      </c>
      <c r="P831" t="n">
        <v>0.03977497827595349</v>
      </c>
      <c r="Q831" t="n">
        <v>0.02281106516794914</v>
      </c>
      <c r="R831" t="inlineStr">
        <is>
          <t>Operationnel</t>
        </is>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row>
    <row r="832">
      <c r="A832" t="inlineStr">
        <is>
          <t>Mbile-IHS</t>
        </is>
      </c>
      <c r="B832" t="inlineStr">
        <is>
          <t>SUD_069</t>
        </is>
      </c>
      <c r="C832" t="inlineStr">
        <is>
          <t>CENTRE</t>
        </is>
      </c>
      <c r="D832" t="inlineStr">
        <is>
          <t>IHS</t>
        </is>
      </c>
      <c r="E832" t="inlineStr">
        <is>
          <t>Gen Only</t>
        </is>
      </c>
      <c r="F832" t="inlineStr">
        <is>
          <t>SUD</t>
        </is>
      </c>
      <c r="G832" t="inlineStr">
        <is>
          <t>Mbile</t>
        </is>
      </c>
      <c r="H832" t="inlineStr">
        <is>
          <t>NOKIA</t>
        </is>
      </c>
      <c r="I832" t="n">
        <v>0.0001961858614913579</v>
      </c>
      <c r="J832" t="n">
        <v>0.0001783507831741196</v>
      </c>
      <c r="K832" t="n">
        <v>0.0001873039301496605</v>
      </c>
      <c r="L832" t="n">
        <v>0.0001784189016880731</v>
      </c>
      <c r="M832" t="n">
        <v>0.0001783507831737722</v>
      </c>
      <c r="N832" t="n">
        <v>0</v>
      </c>
      <c r="O832" t="n">
        <v>0.05365746265865598</v>
      </c>
      <c r="P832" t="n">
        <v>0.007421470581153505</v>
      </c>
      <c r="Q832" t="n">
        <v>0.02188364109544458</v>
      </c>
      <c r="R832" t="inlineStr">
        <is>
          <t>Operationnel</t>
        </is>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row>
    <row r="833">
      <c r="A833" t="inlineStr">
        <is>
          <t>Dong-MTN-IHS</t>
        </is>
      </c>
      <c r="B833" t="inlineStr">
        <is>
          <t>CTR_167</t>
        </is>
      </c>
      <c r="C833" t="inlineStr">
        <is>
          <t>CENTRE</t>
        </is>
      </c>
      <c r="D833" t="inlineStr">
        <is>
          <t>IHS</t>
        </is>
      </c>
      <c r="E833" t="inlineStr">
        <is>
          <t>Hybrid-Gen</t>
        </is>
      </c>
      <c r="F833" t="inlineStr">
        <is>
          <t>CENTRE</t>
        </is>
      </c>
      <c r="G833" t="inlineStr">
        <is>
          <t>Dong</t>
        </is>
      </c>
      <c r="H833" t="inlineStr">
        <is>
          <t>NOKIA</t>
        </is>
      </c>
      <c r="I833" t="n">
        <v>0</v>
      </c>
      <c r="J833" t="n">
        <v>0.006260112489405916</v>
      </c>
      <c r="K833" t="n">
        <v>0.7922831031738048</v>
      </c>
      <c r="L833" t="n">
        <v>0</v>
      </c>
      <c r="M833" t="n">
        <v>0</v>
      </c>
      <c r="N833" t="n">
        <v>0.006994152888185477</v>
      </c>
      <c r="O833" t="n">
        <v>0.0366570784499731</v>
      </c>
      <c r="P833" t="n">
        <v>0.01497956908870116</v>
      </c>
      <c r="Q833" t="n">
        <v>0.0211166423149049</v>
      </c>
      <c r="R833" t="inlineStr">
        <is>
          <t>Operationnel</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row>
    <row r="834">
      <c r="A834" t="inlineStr">
        <is>
          <t>Ancienne-Mairie-Dla-V</t>
        </is>
      </c>
      <c r="B834" t="inlineStr">
        <is>
          <t>LIT_771</t>
        </is>
      </c>
      <c r="C834" t="inlineStr">
        <is>
          <t>Douala</t>
        </is>
      </c>
      <c r="D834" t="inlineStr">
        <is>
          <t>CAMUSAT</t>
        </is>
      </c>
      <c r="E834" t="inlineStr">
        <is>
          <t>Good Grid + GE</t>
        </is>
      </c>
      <c r="F834" t="inlineStr">
        <is>
          <t>LITTORAL</t>
        </is>
      </c>
      <c r="G834" t="inlineStr">
        <is>
          <t>Douala</t>
        </is>
      </c>
      <c r="H834" t="inlineStr">
        <is>
          <t>ZTE</t>
        </is>
      </c>
      <c r="I834" t="n">
        <v>0</v>
      </c>
      <c r="J834" t="n">
        <v>0</v>
      </c>
      <c r="K834" t="n">
        <v>0.1827025422834035</v>
      </c>
      <c r="L834" t="n">
        <v>0</v>
      </c>
      <c r="M834" t="n">
        <v>1.828291713394572</v>
      </c>
      <c r="N834" t="n">
        <v>0.005745197015295214</v>
      </c>
      <c r="O834" t="n">
        <v>0.004781358058692874</v>
      </c>
      <c r="P834" t="n">
        <v>0.03249030899583429</v>
      </c>
      <c r="Q834" t="n">
        <v>0.01936889505269201</v>
      </c>
      <c r="R834" t="inlineStr">
        <is>
          <t>Operationnel</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row>
    <row r="835">
      <c r="A835" t="inlineStr">
        <is>
          <t>Mekin-CAMTEL</t>
        </is>
      </c>
      <c r="B835" t="inlineStr">
        <is>
          <t>CTR_434</t>
        </is>
      </c>
      <c r="C835" t="inlineStr">
        <is>
          <t>CENTRE</t>
        </is>
      </c>
      <c r="D835" t="inlineStr">
        <is>
          <t>CAMUSAT</t>
        </is>
      </c>
      <c r="E835" t="inlineStr">
        <is>
          <t>Hybrid Solar - S3</t>
        </is>
      </c>
      <c r="F835" t="inlineStr">
        <is>
          <t>CENTRE</t>
        </is>
      </c>
      <c r="G835" t="inlineStr">
        <is>
          <t>Mekin</t>
        </is>
      </c>
      <c r="H835" t="inlineStr">
        <is>
          <t>NOKIA</t>
        </is>
      </c>
      <c r="I835" t="n">
        <v>0</v>
      </c>
      <c r="J835" t="n">
        <v>0</v>
      </c>
      <c r="K835" t="n">
        <v>0</v>
      </c>
      <c r="L835" t="n">
        <v>0</v>
      </c>
      <c r="M835" t="n">
        <v>0</v>
      </c>
      <c r="N835" t="n">
        <v>0</v>
      </c>
      <c r="O835" t="n">
        <v>0.0560481416880019</v>
      </c>
      <c r="P835" t="n">
        <v>0</v>
      </c>
      <c r="Q835" t="n">
        <v>0.0188160076248526</v>
      </c>
      <c r="R835" t="inlineStr">
        <is>
          <t>Operationnel</t>
        </is>
      </c>
      <c r="S835" t="inlineStr"/>
      <c r="T835" t="inlineStr"/>
      <c r="U835" t="inlineStr"/>
      <c r="V835" t="inlineStr"/>
      <c r="W835" t="inlineStr"/>
      <c r="X835" t="inlineStr">
        <is>
          <t xml:space="preserve">{05-25-2026 retour CAMUSAT}: No power issue </t>
        </is>
      </c>
      <c r="Y835" t="inlineStr">
        <is>
          <t>No power issue</t>
        </is>
      </c>
      <c r="Z835" t="inlineStr"/>
      <c r="AA835" t="inlineStr"/>
      <c r="AB835" t="inlineStr"/>
      <c r="AC835" t="inlineStr">
        <is>
          <t xml:space="preserve">{05-25-2026 retour CAMUSAT}: No power issue </t>
        </is>
      </c>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row>
    <row r="836">
      <c r="A836" t="inlineStr">
        <is>
          <t>Ndiam-badji</t>
        </is>
      </c>
      <c r="B836" t="inlineStr">
        <is>
          <t>NRD_154</t>
        </is>
      </c>
      <c r="C836" t="inlineStr">
        <is>
          <t>NORD</t>
        </is>
      </c>
      <c r="D836" t="inlineStr">
        <is>
          <t>CAMUSAT</t>
        </is>
      </c>
      <c r="E836" t="inlineStr">
        <is>
          <t>Hybrid Solar - S3</t>
        </is>
      </c>
      <c r="F836" t="inlineStr">
        <is>
          <t>NORD</t>
        </is>
      </c>
      <c r="G836" t="inlineStr">
        <is>
          <t>Ndiam-Badji</t>
        </is>
      </c>
      <c r="H836" t="inlineStr">
        <is>
          <t>NOKIA</t>
        </is>
      </c>
      <c r="I836" t="n">
        <v>0</v>
      </c>
      <c r="J836" t="n">
        <v>11.65518801026159</v>
      </c>
      <c r="K836" t="n">
        <v>0</v>
      </c>
      <c r="L836" t="n">
        <v>0.2978572657873806</v>
      </c>
      <c r="M836" t="n">
        <v>0</v>
      </c>
      <c r="N836" t="n">
        <v>0.08467920818195988</v>
      </c>
      <c r="O836" t="n">
        <v>0.01992347822361434</v>
      </c>
      <c r="P836" t="n">
        <v>0</v>
      </c>
      <c r="Q836" t="n">
        <v>0.01878072453658809</v>
      </c>
      <c r="R836" t="inlineStr">
        <is>
          <t>Operationnel</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row>
    <row r="837">
      <c r="A837" t="inlineStr">
        <is>
          <t>Azem-IHS</t>
        </is>
      </c>
      <c r="B837" t="inlineStr">
        <is>
          <t>SUD_060</t>
        </is>
      </c>
      <c r="C837" t="inlineStr">
        <is>
          <t>CENTRE</t>
        </is>
      </c>
      <c r="D837" t="inlineStr">
        <is>
          <t>IHS</t>
        </is>
      </c>
      <c r="E837" t="inlineStr">
        <is>
          <t>Grid-Gen</t>
        </is>
      </c>
      <c r="F837" t="inlineStr">
        <is>
          <t>SUD</t>
        </is>
      </c>
      <c r="G837" t="inlineStr">
        <is>
          <t>Azem</t>
        </is>
      </c>
      <c r="H837" t="inlineStr">
        <is>
          <t>ZTE</t>
        </is>
      </c>
      <c r="I837" t="n">
        <v>0</v>
      </c>
      <c r="J837" t="n">
        <v>0</v>
      </c>
      <c r="K837" t="n">
        <v>0</v>
      </c>
      <c r="L837" t="n">
        <v>0</v>
      </c>
      <c r="M837" t="n">
        <v>0</v>
      </c>
      <c r="N837" t="n">
        <v>0.0003746867618670791</v>
      </c>
      <c r="O837" t="n">
        <v>0.005737629670431448</v>
      </c>
      <c r="P837" t="n">
        <v>0.02924127809625151</v>
      </c>
      <c r="Q837" t="n">
        <v>0.0172286856546049</v>
      </c>
      <c r="R837" t="inlineStr">
        <is>
          <t>Operationnel</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row>
    <row r="838">
      <c r="A838" t="inlineStr">
        <is>
          <t>Nkolda</t>
        </is>
      </c>
      <c r="B838" t="inlineStr">
        <is>
          <t>CTR_215</t>
        </is>
      </c>
      <c r="C838" t="inlineStr">
        <is>
          <t>Yaounde</t>
        </is>
      </c>
      <c r="D838" t="inlineStr">
        <is>
          <t>IHS</t>
        </is>
      </c>
      <c r="E838" t="inlineStr">
        <is>
          <t>Grid-Gen</t>
        </is>
      </c>
      <c r="F838" t="inlineStr">
        <is>
          <t>CENTRE</t>
        </is>
      </c>
      <c r="G838" t="inlineStr">
        <is>
          <t>Yaounde</t>
        </is>
      </c>
      <c r="H838" t="inlineStr">
        <is>
          <t>ZTE</t>
        </is>
      </c>
      <c r="I838" t="n">
        <v>0</v>
      </c>
      <c r="J838" t="n">
        <v>0</v>
      </c>
      <c r="K838" t="n">
        <v>0</v>
      </c>
      <c r="L838" t="n">
        <v>0</v>
      </c>
      <c r="M838" t="n">
        <v>0</v>
      </c>
      <c r="N838" t="n">
        <v>0</v>
      </c>
      <c r="O838" t="n">
        <v>0</v>
      </c>
      <c r="P838" t="n">
        <v>0.03249030899583461</v>
      </c>
      <c r="Q838" t="n">
        <v>0.01694332440152608</v>
      </c>
      <c r="R838" t="inlineStr">
        <is>
          <t>Operationnel</t>
        </is>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row>
    <row r="839">
      <c r="A839" t="inlineStr">
        <is>
          <t>Elig-Edzoa-IHS</t>
        </is>
      </c>
      <c r="B839" t="inlineStr">
        <is>
          <t>CTR_131</t>
        </is>
      </c>
      <c r="C839" t="inlineStr">
        <is>
          <t>Yaounde</t>
        </is>
      </c>
      <c r="D839" t="inlineStr">
        <is>
          <t>IHS</t>
        </is>
      </c>
      <c r="E839" t="inlineStr">
        <is>
          <t>Grid-Gen</t>
        </is>
      </c>
      <c r="F839" t="inlineStr">
        <is>
          <t>CENTRE</t>
        </is>
      </c>
      <c r="G839" t="inlineStr">
        <is>
          <t>Yaounde</t>
        </is>
      </c>
      <c r="H839" t="inlineStr">
        <is>
          <t>ZTE</t>
        </is>
      </c>
      <c r="I839" t="n">
        <v>0</v>
      </c>
      <c r="J839" t="n">
        <v>0.4968674468443325</v>
      </c>
      <c r="K839" t="n">
        <v>0.5429176190598487</v>
      </c>
      <c r="L839" t="n">
        <v>0.1671325189123171</v>
      </c>
      <c r="M839" t="n">
        <v>0</v>
      </c>
      <c r="N839" t="n">
        <v>0.1174018520516848</v>
      </c>
      <c r="O839" t="n">
        <v>0</v>
      </c>
      <c r="P839" t="n">
        <v>0</v>
      </c>
      <c r="Q839" t="n">
        <v>0.01676497361835215</v>
      </c>
      <c r="R839" t="inlineStr">
        <is>
          <t>Operationnel</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row>
    <row r="840">
      <c r="A840" t="inlineStr">
        <is>
          <t>Bsadi-Hopital</t>
        </is>
      </c>
      <c r="B840" t="inlineStr">
        <is>
          <t>LIT_446</t>
        </is>
      </c>
      <c r="C840" t="inlineStr">
        <is>
          <t>Douala</t>
        </is>
      </c>
      <c r="D840" t="inlineStr">
        <is>
          <t>IHS</t>
        </is>
      </c>
      <c r="E840" t="inlineStr">
        <is>
          <t>Grid-Gen</t>
        </is>
      </c>
      <c r="F840" t="inlineStr">
        <is>
          <t>LITTORAL</t>
        </is>
      </c>
      <c r="G840" t="inlineStr">
        <is>
          <t>Douala</t>
        </is>
      </c>
      <c r="H840" t="inlineStr">
        <is>
          <t>ZTE</t>
        </is>
      </c>
      <c r="I840" t="n">
        <v>0</v>
      </c>
      <c r="J840" t="n">
        <v>0</v>
      </c>
      <c r="K840" t="n">
        <v>0.7124222033883796</v>
      </c>
      <c r="L840" t="n">
        <v>0</v>
      </c>
      <c r="M840" t="n">
        <v>1.557947596259485</v>
      </c>
      <c r="N840" t="n">
        <v>0.00587009260258424</v>
      </c>
      <c r="O840" t="n">
        <v>0.005100115262604713</v>
      </c>
      <c r="P840" t="n">
        <v>0.02677885467761912</v>
      </c>
      <c r="Q840" t="n">
        <v>0.01651528252190832</v>
      </c>
      <c r="R840" t="inlineStr">
        <is>
          <t>Operationnel</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row>
    <row r="841">
      <c r="A841" t="inlineStr">
        <is>
          <t>Sanglou-IHS</t>
        </is>
      </c>
      <c r="B841" t="inlineStr">
        <is>
          <t>SUD_206</t>
        </is>
      </c>
      <c r="C841" t="inlineStr">
        <is>
          <t>CENTRE</t>
        </is>
      </c>
      <c r="D841" t="inlineStr">
        <is>
          <t>IHS</t>
        </is>
      </c>
      <c r="E841" t="inlineStr"/>
      <c r="F841" t="inlineStr">
        <is>
          <t>SUD</t>
        </is>
      </c>
      <c r="G841" t="inlineStr">
        <is>
          <t>Sagmelima</t>
        </is>
      </c>
      <c r="H841" t="inlineStr">
        <is>
          <t>NOKIA</t>
        </is>
      </c>
      <c r="I841" t="n">
        <v>0</v>
      </c>
      <c r="J841" t="n">
        <v>0</v>
      </c>
      <c r="K841" t="n">
        <v>0.1746560093917337</v>
      </c>
      <c r="L841" t="n">
        <v>0</v>
      </c>
      <c r="M841" t="n">
        <v>0</v>
      </c>
      <c r="N841" t="n">
        <v>0</v>
      </c>
      <c r="O841" t="n">
        <v>0.03692270945323347</v>
      </c>
      <c r="P841" t="n">
        <v>0.006566462449684196</v>
      </c>
      <c r="Q841" t="n">
        <v>0.01581971446752996</v>
      </c>
      <c r="R841" t="inlineStr">
        <is>
          <t>Operationnel</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row>
    <row r="842">
      <c r="A842" t="inlineStr">
        <is>
          <t>Bsadi-IPPB-Santa-Lucia</t>
        </is>
      </c>
      <c r="B842" t="inlineStr">
        <is>
          <t>LIT_686</t>
        </is>
      </c>
      <c r="C842" t="inlineStr">
        <is>
          <t>Douala</t>
        </is>
      </c>
      <c r="D842" t="inlineStr">
        <is>
          <t>CAMUSAT</t>
        </is>
      </c>
      <c r="E842" t="inlineStr">
        <is>
          <t>Good Grid no GE - 8h</t>
        </is>
      </c>
      <c r="F842" t="inlineStr">
        <is>
          <t>LITTORAL</t>
        </is>
      </c>
      <c r="G842" t="inlineStr">
        <is>
          <t>Douala</t>
        </is>
      </c>
      <c r="H842" t="inlineStr">
        <is>
          <t>ZTE</t>
        </is>
      </c>
      <c r="I842" t="n">
        <v>0</v>
      </c>
      <c r="J842" t="n">
        <v>0</v>
      </c>
      <c r="K842" t="n">
        <v>0.155432707536105</v>
      </c>
      <c r="L842" t="n">
        <v>0</v>
      </c>
      <c r="M842" t="n">
        <v>4.058372071123438</v>
      </c>
      <c r="N842" t="n">
        <v>0.006244779364451319</v>
      </c>
      <c r="O842" t="n">
        <v>0.005100115262604713</v>
      </c>
      <c r="P842" t="n">
        <v>0.02274321629708432</v>
      </c>
      <c r="Q842" t="n">
        <v>0.01446424851540803</v>
      </c>
      <c r="R842" t="inlineStr">
        <is>
          <t>Operationnel</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row>
    <row r="843">
      <c r="A843" t="inlineStr">
        <is>
          <t>Nitoukou-IHS</t>
        </is>
      </c>
      <c r="B843" t="inlineStr">
        <is>
          <t>CTR_177</t>
        </is>
      </c>
      <c r="C843" t="inlineStr">
        <is>
          <t>CENTRE</t>
        </is>
      </c>
      <c r="D843" t="inlineStr">
        <is>
          <t>IHS</t>
        </is>
      </c>
      <c r="E843" t="inlineStr">
        <is>
          <t>Grid-Gen</t>
        </is>
      </c>
      <c r="F843" t="inlineStr">
        <is>
          <t>CENTRE</t>
        </is>
      </c>
      <c r="G843" t="inlineStr"/>
      <c r="H843" t="inlineStr">
        <is>
          <t>NOKIA</t>
        </is>
      </c>
      <c r="I843" t="n">
        <v>0.2072079398915059</v>
      </c>
      <c r="J843" t="n">
        <v>3.716149772304249</v>
      </c>
      <c r="K843" t="n">
        <v>23.11276335276643</v>
      </c>
      <c r="L843" t="n">
        <v>23.11287036323634</v>
      </c>
      <c r="M843" t="n">
        <v>0.1904251311948363</v>
      </c>
      <c r="N843" t="n">
        <v>0.002123224983913448</v>
      </c>
      <c r="O843" t="n">
        <v>0.04117280550540406</v>
      </c>
      <c r="P843" t="n">
        <v>0.000444604228364407</v>
      </c>
      <c r="Q843" t="n">
        <v>0.01435723804550377</v>
      </c>
      <c r="R843" t="inlineStr">
        <is>
          <t>Operationnel</t>
        </is>
      </c>
      <c r="S843" t="inlineStr"/>
      <c r="T843" t="inlineStr"/>
      <c r="U843" t="inlineStr"/>
      <c r="V843" t="inlineStr"/>
      <c r="W843" t="inlineStr"/>
      <c r="X84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84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843" t="inlineStr"/>
      <c r="AA84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row>
    <row r="844">
      <c r="A844" t="inlineStr">
        <is>
          <t>Mvog-Ebanda-II</t>
        </is>
      </c>
      <c r="B844" t="inlineStr">
        <is>
          <t>CTR_668</t>
        </is>
      </c>
      <c r="C844" t="inlineStr">
        <is>
          <t>Yaounde</t>
        </is>
      </c>
      <c r="D844" t="inlineStr">
        <is>
          <t>CAMUSAT</t>
        </is>
      </c>
      <c r="E844" t="inlineStr">
        <is>
          <t>Medium Grid + Solar + GE</t>
        </is>
      </c>
      <c r="F844" t="inlineStr">
        <is>
          <t>CENTRE</t>
        </is>
      </c>
      <c r="G844" t="inlineStr">
        <is>
          <t>Yaounde</t>
        </is>
      </c>
      <c r="H844" t="inlineStr">
        <is>
          <t>ZTE</t>
        </is>
      </c>
      <c r="I844" t="n">
        <v>0</v>
      </c>
      <c r="J844" t="n">
        <v>0</v>
      </c>
      <c r="K844" t="n">
        <v>0</v>
      </c>
      <c r="L844" t="n">
        <v>0.0008025785242828159</v>
      </c>
      <c r="M844" t="n">
        <v>0</v>
      </c>
      <c r="N844" t="n">
        <v>0</v>
      </c>
      <c r="O844" t="n">
        <v>0</v>
      </c>
      <c r="P844" t="n">
        <v>0.02688145565339611</v>
      </c>
      <c r="Q844" t="n">
        <v>0.01401837155747332</v>
      </c>
      <c r="R844" t="inlineStr">
        <is>
          <t>Operationnel</t>
        </is>
      </c>
      <c r="S844" t="inlineStr"/>
      <c r="T844" t="inlineStr"/>
      <c r="U844" t="inlineStr"/>
      <c r="V844" t="inlineStr"/>
      <c r="W844" t="inlineStr"/>
      <c r="X844" t="inlineStr"/>
      <c r="Y844" t="inlineStr"/>
      <c r="Z844" t="inlineStr">
        <is>
          <t>CTR_668</t>
        </is>
      </c>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row>
    <row r="845">
      <c r="A845" t="inlineStr">
        <is>
          <t>Ngd-Ville</t>
        </is>
      </c>
      <c r="B845" t="inlineStr">
        <is>
          <t>ADM_018</t>
        </is>
      </c>
      <c r="C845" t="inlineStr">
        <is>
          <t>Ngaoundere</t>
        </is>
      </c>
      <c r="D845" t="inlineStr">
        <is>
          <t>IHS</t>
        </is>
      </c>
      <c r="E845" t="inlineStr">
        <is>
          <t>Grid-Gen</t>
        </is>
      </c>
      <c r="F845" t="inlineStr">
        <is>
          <t>ADAMAOUA</t>
        </is>
      </c>
      <c r="G845" t="inlineStr">
        <is>
          <t>Ngaoundere</t>
        </is>
      </c>
      <c r="H845" t="inlineStr">
        <is>
          <t>Huawei</t>
        </is>
      </c>
      <c r="I845" t="n">
        <v>0</v>
      </c>
      <c r="J845" t="n">
        <v>0</v>
      </c>
      <c r="K845" t="n">
        <v>0</v>
      </c>
      <c r="L845" t="n">
        <v>0</v>
      </c>
      <c r="M845" t="n">
        <v>0</v>
      </c>
      <c r="N845" t="n">
        <v>0.02997494094936633</v>
      </c>
      <c r="O845" t="n">
        <v>0.02868814835215276</v>
      </c>
      <c r="P845" t="n">
        <v>0</v>
      </c>
      <c r="Q845" t="n">
        <v>0.01391136108756881</v>
      </c>
      <c r="R845" t="inlineStr">
        <is>
          <t>Operationnel</t>
        </is>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row>
    <row r="846">
      <c r="A846" t="inlineStr">
        <is>
          <t>Mvoula</t>
        </is>
      </c>
      <c r="B846" t="inlineStr">
        <is>
          <t>SUD_245</t>
        </is>
      </c>
      <c r="C846" t="inlineStr">
        <is>
          <t>CENTRE</t>
        </is>
      </c>
      <c r="D846" t="inlineStr">
        <is>
          <t>IHS</t>
        </is>
      </c>
      <c r="E846" t="inlineStr">
        <is>
          <t>Grid-Gen</t>
        </is>
      </c>
      <c r="F846" t="inlineStr">
        <is>
          <t>SUD</t>
        </is>
      </c>
      <c r="G846" t="inlineStr">
        <is>
          <t>Mvoula</t>
        </is>
      </c>
      <c r="H846" t="inlineStr">
        <is>
          <t>NOKIA</t>
        </is>
      </c>
      <c r="I846" t="n">
        <v>0</v>
      </c>
      <c r="J846" t="n">
        <v>0</v>
      </c>
      <c r="K846" t="n">
        <v>0</v>
      </c>
      <c r="L846" t="n">
        <v>0</v>
      </c>
      <c r="M846" t="n">
        <v>0</v>
      </c>
      <c r="N846" t="n">
        <v>0</v>
      </c>
      <c r="O846" t="n">
        <v>0.0393133884825794</v>
      </c>
      <c r="P846" t="n">
        <v>0</v>
      </c>
      <c r="Q846" t="n">
        <v>0.01319795795487287</v>
      </c>
      <c r="R846" t="inlineStr">
        <is>
          <t>Operationnel</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row>
    <row r="847">
      <c r="A847" t="inlineStr">
        <is>
          <t>Santchou</t>
        </is>
      </c>
      <c r="B847" t="inlineStr">
        <is>
          <t>OST_038</t>
        </is>
      </c>
      <c r="C847" t="inlineStr">
        <is>
          <t>OUEST</t>
        </is>
      </c>
      <c r="D847" t="inlineStr">
        <is>
          <t>IHS</t>
        </is>
      </c>
      <c r="E847" t="inlineStr">
        <is>
          <t>Grid-Gen</t>
        </is>
      </c>
      <c r="F847" t="inlineStr">
        <is>
          <t>OUEST</t>
        </is>
      </c>
      <c r="G847" t="inlineStr">
        <is>
          <t>Santchou</t>
        </is>
      </c>
      <c r="H847" t="inlineStr">
        <is>
          <t>NOKIA</t>
        </is>
      </c>
      <c r="I847" t="n">
        <v>0.0001783507831739459</v>
      </c>
      <c r="J847" t="n">
        <v>0.0001070104699042981</v>
      </c>
      <c r="K847" t="n">
        <v>6.684285254903056</v>
      </c>
      <c r="L847" t="n">
        <v>0.9703581825647986</v>
      </c>
      <c r="M847" t="n">
        <v>0.0001426806265390062</v>
      </c>
      <c r="N847" t="n">
        <v>0</v>
      </c>
      <c r="O847" t="n">
        <v>0</v>
      </c>
      <c r="P847" t="n">
        <v>0.02520563971571527</v>
      </c>
      <c r="Q847" t="n">
        <v>0.01314445271992043</v>
      </c>
      <c r="R847" t="inlineStr">
        <is>
          <t>Operationnel</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row>
    <row r="848">
      <c r="A848" t="inlineStr">
        <is>
          <t>Nyassosso-MTN</t>
        </is>
      </c>
      <c r="B848" t="inlineStr">
        <is>
          <t>SUO_039</t>
        </is>
      </c>
      <c r="C848" t="inlineStr">
        <is>
          <t>SUD-OUEST</t>
        </is>
      </c>
      <c r="D848" t="inlineStr"/>
      <c r="E848" t="inlineStr"/>
      <c r="F848" t="inlineStr">
        <is>
          <t>SUD-OUEST</t>
        </is>
      </c>
      <c r="G848" t="inlineStr">
        <is>
          <t>Nyassosso</t>
        </is>
      </c>
      <c r="H848" t="inlineStr">
        <is>
          <t>NOKIA</t>
        </is>
      </c>
      <c r="I848" t="n">
        <v>0</v>
      </c>
      <c r="J848" t="n">
        <v>0.8501090079986761</v>
      </c>
      <c r="K848" t="n">
        <v>0</v>
      </c>
      <c r="L848" t="n">
        <v>0</v>
      </c>
      <c r="M848" t="n">
        <v>0.02247219867991893</v>
      </c>
      <c r="N848" t="n">
        <v>0</v>
      </c>
      <c r="O848" t="n">
        <v>0.03878212647605864</v>
      </c>
      <c r="P848" t="n">
        <v>0</v>
      </c>
      <c r="Q848" t="n">
        <v>0.01301960717169911</v>
      </c>
      <c r="R848" t="inlineStr">
        <is>
          <t>Insecurity</t>
        </is>
      </c>
      <c r="S848" t="inlineStr"/>
      <c r="T848" t="inlineStr"/>
      <c r="U848" t="inlineStr"/>
      <c r="V848" t="inlineStr"/>
      <c r="W848" t="inlineStr"/>
      <c r="X848" t="inlineStr">
        <is>
          <t>{05-25-2026 ticket}: INC-20260525-00019062..Grid Outage</t>
        </is>
      </c>
      <c r="Y848" t="inlineStr">
        <is>
          <t>.Grid Outage</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is>
          <t>{05-25-2026 ticket}: INC-20260525-00019062..Grid Outage</t>
        </is>
      </c>
      <c r="AR848" t="inlineStr"/>
    </row>
    <row r="849">
      <c r="A849" t="inlineStr">
        <is>
          <t>EMVIENG1</t>
        </is>
      </c>
      <c r="B849" t="inlineStr">
        <is>
          <t>SUD_160</t>
        </is>
      </c>
      <c r="C849" t="inlineStr">
        <is>
          <t>CENTRE</t>
        </is>
      </c>
      <c r="D849" t="inlineStr">
        <is>
          <t>ESCO</t>
        </is>
      </c>
      <c r="E849" t="inlineStr">
        <is>
          <t>HGB</t>
        </is>
      </c>
      <c r="F849" t="inlineStr">
        <is>
          <t>SUD</t>
        </is>
      </c>
      <c r="G849" t="inlineStr">
        <is>
          <t>Emvieng</t>
        </is>
      </c>
      <c r="H849" t="inlineStr">
        <is>
          <t>NOKIA</t>
        </is>
      </c>
      <c r="I849" t="n">
        <v>0</v>
      </c>
      <c r="J849" t="n">
        <v>0</v>
      </c>
      <c r="K849" t="n">
        <v>0</v>
      </c>
      <c r="L849" t="n">
        <v>0</v>
      </c>
      <c r="M849" t="n">
        <v>0</v>
      </c>
      <c r="N849" t="n">
        <v>0</v>
      </c>
      <c r="O849" t="n">
        <v>0.03851649547279776</v>
      </c>
      <c r="P849" t="n">
        <v>0</v>
      </c>
      <c r="Q849" t="n">
        <v>0.01293043178011206</v>
      </c>
      <c r="R849" t="inlineStr">
        <is>
          <t>Operationnel</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row>
    <row r="850">
      <c r="A850" t="inlineStr">
        <is>
          <t>Essang-Mvout</t>
        </is>
      </c>
      <c r="B850" t="inlineStr">
        <is>
          <t>SUD_162</t>
        </is>
      </c>
      <c r="C850" t="inlineStr">
        <is>
          <t>CENTRE</t>
        </is>
      </c>
      <c r="D850" t="inlineStr"/>
      <c r="E850" t="inlineStr"/>
      <c r="F850" t="inlineStr">
        <is>
          <t>SUD</t>
        </is>
      </c>
      <c r="G850" t="inlineStr">
        <is>
          <t>Meyomessi</t>
        </is>
      </c>
      <c r="H850" t="inlineStr">
        <is>
          <t>NOKIA</t>
        </is>
      </c>
      <c r="I850" t="n">
        <v>0</v>
      </c>
      <c r="J850" t="n">
        <v>0</v>
      </c>
      <c r="K850" t="n">
        <v>0</v>
      </c>
      <c r="L850" t="n">
        <v>0</v>
      </c>
      <c r="M850" t="n">
        <v>0</v>
      </c>
      <c r="N850" t="n">
        <v>0</v>
      </c>
      <c r="O850" t="n">
        <v>0.03054756537497733</v>
      </c>
      <c r="P850" t="n">
        <v>0.004788045536228141</v>
      </c>
      <c r="Q850" t="n">
        <v>0.01275208099693796</v>
      </c>
      <c r="R850" t="inlineStr">
        <is>
          <t>Operationnel</t>
        </is>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row>
    <row r="851">
      <c r="A851" t="inlineStr">
        <is>
          <t>KYE-Ossi-II</t>
        </is>
      </c>
      <c r="B851" t="inlineStr">
        <is>
          <t>SUD_073</t>
        </is>
      </c>
      <c r="C851" t="inlineStr">
        <is>
          <t>CENTRE</t>
        </is>
      </c>
      <c r="D851" t="inlineStr">
        <is>
          <t>CAMUSAT</t>
        </is>
      </c>
      <c r="E851" t="inlineStr">
        <is>
          <t>HGB</t>
        </is>
      </c>
      <c r="F851" t="inlineStr">
        <is>
          <t>SUD</t>
        </is>
      </c>
      <c r="G851" t="inlineStr">
        <is>
          <t>Kye-Ossi</t>
        </is>
      </c>
      <c r="H851" t="inlineStr">
        <is>
          <t>ZTE</t>
        </is>
      </c>
      <c r="I851" t="n">
        <v>0.1341732941817694</v>
      </c>
      <c r="J851" t="n">
        <v>0</v>
      </c>
      <c r="K851" t="n">
        <v>0.6574009867792131</v>
      </c>
      <c r="L851" t="n">
        <v>0.7524797892892502</v>
      </c>
      <c r="M851" t="n">
        <v>0.200038238407912</v>
      </c>
      <c r="N851" t="n">
        <v>0</v>
      </c>
      <c r="O851" t="n">
        <v>0.003506329243039403</v>
      </c>
      <c r="P851" t="n">
        <v>0.02212761044242629</v>
      </c>
      <c r="Q851" t="n">
        <v>0.01271641084030275</v>
      </c>
      <c r="R851" t="inlineStr">
        <is>
          <t>Operationnel</t>
        </is>
      </c>
      <c r="S851" t="inlineStr"/>
      <c r="T851" t="inlineStr"/>
      <c r="U851" t="inlineStr"/>
      <c r="V851" t="inlineStr"/>
      <c r="W851" t="inlineStr"/>
      <c r="X851" t="inlineStr">
        <is>
          <t xml:space="preserve">{05-25-2026 retour CAMUSAT}: No power issue </t>
        </is>
      </c>
      <c r="Y851" t="inlineStr">
        <is>
          <t>No power issue</t>
        </is>
      </c>
      <c r="Z851" t="inlineStr"/>
      <c r="AA851" t="inlineStr"/>
      <c r="AB851" t="inlineStr"/>
      <c r="AC851" t="inlineStr">
        <is>
          <t xml:space="preserve">{05-25-2026 retour CAMUSAT}: No power issue </t>
        </is>
      </c>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row>
    <row r="852">
      <c r="A852" t="inlineStr">
        <is>
          <t>Balda</t>
        </is>
      </c>
      <c r="B852" t="inlineStr">
        <is>
          <t>EXN_229</t>
        </is>
      </c>
      <c r="C852" t="inlineStr">
        <is>
          <t>EXTREME-NORD</t>
        </is>
      </c>
      <c r="D852" t="inlineStr">
        <is>
          <t>CAMUSAT</t>
        </is>
      </c>
      <c r="E852" t="inlineStr">
        <is>
          <t>Hybrid Solar - S3</t>
        </is>
      </c>
      <c r="F852" t="inlineStr">
        <is>
          <t>EXTREME-NORD</t>
        </is>
      </c>
      <c r="G852" t="inlineStr">
        <is>
          <t>Balda</t>
        </is>
      </c>
      <c r="H852" t="inlineStr">
        <is>
          <t>NOKIA</t>
        </is>
      </c>
      <c r="I852" t="n">
        <v>0</v>
      </c>
      <c r="J852" t="n">
        <v>0.0007134031326958908</v>
      </c>
      <c r="K852" t="n">
        <v>3.077742727203032</v>
      </c>
      <c r="L852" t="n">
        <v>0.00142697142412146</v>
      </c>
      <c r="M852" t="n">
        <v>0</v>
      </c>
      <c r="N852" t="n">
        <v>0</v>
      </c>
      <c r="O852" t="n">
        <v>0.03612790717882097</v>
      </c>
      <c r="P852" t="n">
        <v>0</v>
      </c>
      <c r="Q852" t="n">
        <v>0.01212855513980728</v>
      </c>
      <c r="R852" t="inlineStr">
        <is>
          <t>Insecurity</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row>
    <row r="853">
      <c r="A853" t="inlineStr">
        <is>
          <t>Makong-II-IHS</t>
        </is>
      </c>
      <c r="B853" t="inlineStr">
        <is>
          <t>OST_256</t>
        </is>
      </c>
      <c r="C853" t="inlineStr">
        <is>
          <t>OUEST</t>
        </is>
      </c>
      <c r="D853" t="inlineStr">
        <is>
          <t>IHS</t>
        </is>
      </c>
      <c r="E853" t="inlineStr">
        <is>
          <t>Grid-Gen</t>
        </is>
      </c>
      <c r="F853" t="inlineStr">
        <is>
          <t>OUEST</t>
        </is>
      </c>
      <c r="G853" t="inlineStr">
        <is>
          <t>Dschang</t>
        </is>
      </c>
      <c r="H853" t="inlineStr">
        <is>
          <t>NOKIA</t>
        </is>
      </c>
      <c r="I853" t="n">
        <v>0</v>
      </c>
      <c r="J853" t="n">
        <v>0</v>
      </c>
      <c r="K853" t="n">
        <v>0.03402910587442654</v>
      </c>
      <c r="L853" t="n">
        <v>0</v>
      </c>
      <c r="M853" t="n">
        <v>0</v>
      </c>
      <c r="N853" t="n">
        <v>0.009492064633966004</v>
      </c>
      <c r="O853" t="n">
        <v>0.02125048026085399</v>
      </c>
      <c r="P853" t="n">
        <v>0.005027447813040139</v>
      </c>
      <c r="Q853" t="n">
        <v>0.01111125379173792</v>
      </c>
      <c r="R853" t="inlineStr">
        <is>
          <t>Operationnel</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row>
    <row r="854">
      <c r="A854" t="inlineStr">
        <is>
          <t>Mbeng</t>
        </is>
      </c>
      <c r="B854" t="inlineStr">
        <is>
          <t>CTR_385</t>
        </is>
      </c>
      <c r="C854" t="inlineStr">
        <is>
          <t>CENTRE</t>
        </is>
      </c>
      <c r="D854" t="inlineStr">
        <is>
          <t>IHS</t>
        </is>
      </c>
      <c r="E854" t="inlineStr">
        <is>
          <t>Grid-Gen</t>
        </is>
      </c>
      <c r="F854" t="inlineStr">
        <is>
          <t>CENTRE</t>
        </is>
      </c>
      <c r="G854" t="inlineStr">
        <is>
          <t>Mbeng</t>
        </is>
      </c>
      <c r="H854" t="inlineStr">
        <is>
          <t>NOKIA</t>
        </is>
      </c>
      <c r="I854" t="n">
        <v>0</v>
      </c>
      <c r="J854" t="n">
        <v>0.001872683223326521</v>
      </c>
      <c r="K854" t="n">
        <v>0</v>
      </c>
      <c r="L854" t="n">
        <v>2.760513421966539</v>
      </c>
      <c r="M854" t="n">
        <v>0.04494439735983764</v>
      </c>
      <c r="N854" t="n">
        <v>0</v>
      </c>
      <c r="O854" t="n">
        <v>0.0324069823978025</v>
      </c>
      <c r="P854" t="n">
        <v>0</v>
      </c>
      <c r="Q854" t="n">
        <v>0.01087939777361161</v>
      </c>
      <c r="R854" t="inlineStr">
        <is>
          <t>Operationnel</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row>
    <row r="855">
      <c r="A855" t="inlineStr">
        <is>
          <t>Gari-Gombo</t>
        </is>
      </c>
      <c r="B855" t="inlineStr">
        <is>
          <t>EST_048</t>
        </is>
      </c>
      <c r="C855" t="inlineStr">
        <is>
          <t>CENTRE</t>
        </is>
      </c>
      <c r="D855" t="inlineStr">
        <is>
          <t>IHS</t>
        </is>
      </c>
      <c r="E855" t="inlineStr">
        <is>
          <t>Gen-Solar AER</t>
        </is>
      </c>
      <c r="F855" t="inlineStr">
        <is>
          <t>EST</t>
        </is>
      </c>
      <c r="G855" t="inlineStr">
        <is>
          <t>Gari-Gombo</t>
        </is>
      </c>
      <c r="H855" t="inlineStr">
        <is>
          <t>NOKIA</t>
        </is>
      </c>
      <c r="I855" t="n">
        <v>0.0002675261747610057</v>
      </c>
      <c r="J855" t="n">
        <v>0.9028294995048982</v>
      </c>
      <c r="K855" t="n">
        <v>1.866249669541071</v>
      </c>
      <c r="L855" t="n">
        <v>7.762057939748825</v>
      </c>
      <c r="M855" t="n">
        <v>0.01879817254653529</v>
      </c>
      <c r="N855" t="n">
        <v>0</v>
      </c>
      <c r="O855" t="n">
        <v>0.02868814835215266</v>
      </c>
      <c r="P855" t="n">
        <v>0.001881017889232699</v>
      </c>
      <c r="Q855" t="n">
        <v>0.01061187159885062</v>
      </c>
      <c r="R855" t="inlineStr">
        <is>
          <t>Operationnel</t>
        </is>
      </c>
      <c r="S855" t="inlineStr"/>
      <c r="T855" t="inlineStr"/>
      <c r="U855" t="inlineStr"/>
      <c r="V855" t="inlineStr"/>
      <c r="W855" t="inlineStr"/>
      <c r="X855" t="inlineStr">
        <is>
          <t>{05-25-2026 incident}: {05-18-2026 groupe whatsapp incident}: impacted by  Kenzou_U_EST_016 , Travaux planifier || Action : fin des travaux</t>
        </is>
      </c>
      <c r="Y855" t="inlineStr">
        <is>
          <t>{05-25-2026 incident} {05-18-2026 groupe whatsapp incident} impacted by Kenzou_U_EST_016 , Travaux planifier || Action fin des travaux</t>
        </is>
      </c>
      <c r="Z855" t="inlineStr"/>
      <c r="AA855" t="inlineStr">
        <is>
          <t>{05-25-2026 incident}: {05-18-2026 groupe whatsapp incident}: impacted by  Kenzou_U_EST_016 , Travaux planifier || Action : fin des travaux</t>
        </is>
      </c>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row>
    <row r="856">
      <c r="A856" t="inlineStr">
        <is>
          <t>Santa-Barbara-Yde-IHS</t>
        </is>
      </c>
      <c r="B856" t="inlineStr">
        <is>
          <t>CTR_163</t>
        </is>
      </c>
      <c r="C856" t="inlineStr">
        <is>
          <t>Yaounde</t>
        </is>
      </c>
      <c r="D856" t="inlineStr">
        <is>
          <t>IHS</t>
        </is>
      </c>
      <c r="E856" t="inlineStr">
        <is>
          <t>Grid-Gen</t>
        </is>
      </c>
      <c r="F856" t="inlineStr">
        <is>
          <t>CENTRE</t>
        </is>
      </c>
      <c r="G856" t="inlineStr">
        <is>
          <t>Yaounde</t>
        </is>
      </c>
      <c r="H856" t="inlineStr">
        <is>
          <t>ZTE</t>
        </is>
      </c>
      <c r="I856" t="n">
        <v>0</v>
      </c>
      <c r="J856" t="n">
        <v>0</v>
      </c>
      <c r="K856" t="n">
        <v>0</v>
      </c>
      <c r="L856" t="n">
        <v>0</v>
      </c>
      <c r="M856" t="n">
        <v>0</v>
      </c>
      <c r="N856" t="n">
        <v>0</v>
      </c>
      <c r="O856" t="n">
        <v>0</v>
      </c>
      <c r="P856" t="n">
        <v>0.01792097043559719</v>
      </c>
      <c r="Q856" t="n">
        <v>0.009345581038315433</v>
      </c>
      <c r="R856" t="inlineStr">
        <is>
          <t>Operationnel</t>
        </is>
      </c>
      <c r="S856" t="inlineStr"/>
      <c r="T856" t="inlineStr"/>
      <c r="U856" t="inlineStr"/>
      <c r="V856" t="inlineStr"/>
      <c r="W856" t="inlineStr"/>
      <c r="X856" t="inlineStr"/>
      <c r="Y856" t="inlineStr"/>
      <c r="Z856" t="inlineStr">
        <is>
          <t>CTR_163</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row>
    <row r="857">
      <c r="A857" t="inlineStr">
        <is>
          <t>Ndelele-MTN</t>
        </is>
      </c>
      <c r="B857" t="inlineStr">
        <is>
          <t>EST_041</t>
        </is>
      </c>
      <c r="C857" t="inlineStr">
        <is>
          <t>CENTRE</t>
        </is>
      </c>
      <c r="D857" t="inlineStr">
        <is>
          <t>IHS</t>
        </is>
      </c>
      <c r="E857" t="inlineStr">
        <is>
          <t>Gen-Solar AER</t>
        </is>
      </c>
      <c r="F857" t="inlineStr">
        <is>
          <t>EST</t>
        </is>
      </c>
      <c r="G857" t="inlineStr">
        <is>
          <t>Ndelele</t>
        </is>
      </c>
      <c r="H857" t="inlineStr">
        <is>
          <t>NOKIA</t>
        </is>
      </c>
      <c r="I857" t="n">
        <v>1.893443254488019</v>
      </c>
      <c r="J857" t="n">
        <v>4.3439651802199</v>
      </c>
      <c r="K857" t="n">
        <v>1.861017085385745</v>
      </c>
      <c r="L857" t="n">
        <v>7.77880507828886</v>
      </c>
      <c r="M857" t="n">
        <v>0.00964877736971104</v>
      </c>
      <c r="N857" t="n">
        <v>0.02572849098153943</v>
      </c>
      <c r="O857" t="n">
        <v>0.01434407417607658</v>
      </c>
      <c r="P857" t="n">
        <v>0.0007524071556938138</v>
      </c>
      <c r="Q857" t="n">
        <v>0.008881869002063648</v>
      </c>
      <c r="R857" t="inlineStr">
        <is>
          <t>Operationnel</t>
        </is>
      </c>
      <c r="S857" t="inlineStr"/>
      <c r="T857" t="inlineStr"/>
      <c r="U857" t="inlineStr"/>
      <c r="V857" t="inlineStr"/>
      <c r="W857" t="inlineStr"/>
      <c r="X857" t="inlineStr">
        <is>
          <t>{05-25-2026 incident}: {05-18-2026 groupe whatsapp incident}: impacted by  Kenzou_U_EST_016 , Travaux planifier || Action : fin des travaux</t>
        </is>
      </c>
      <c r="Y857" t="inlineStr">
        <is>
          <t>{05-25-2026 incident} {05-18-2026 groupe whatsapp incident} impacted by Kenzou_U_EST_016 , Travaux planifier || Action fin des travaux</t>
        </is>
      </c>
      <c r="Z857" t="inlineStr"/>
      <c r="AA857" t="inlineStr">
        <is>
          <t>{05-25-2026 incident}: {05-18-2026 groupe whatsapp incident}: impacted by  Kenzou_U_EST_016 , Travaux planifier || Action : fin des travaux</t>
        </is>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row>
    <row r="858">
      <c r="A858" t="inlineStr">
        <is>
          <t>Banefo-Baleng</t>
        </is>
      </c>
      <c r="B858" t="inlineStr">
        <is>
          <t>OST_193</t>
        </is>
      </c>
      <c r="C858" t="inlineStr">
        <is>
          <t>OUEST</t>
        </is>
      </c>
      <c r="D858" t="inlineStr">
        <is>
          <t>IHS</t>
        </is>
      </c>
      <c r="E858" t="inlineStr">
        <is>
          <t>Gen Only</t>
        </is>
      </c>
      <c r="F858" t="inlineStr">
        <is>
          <t>OUEST</t>
        </is>
      </c>
      <c r="G858" t="inlineStr">
        <is>
          <t>Banefo-Baleng</t>
        </is>
      </c>
      <c r="H858" t="inlineStr">
        <is>
          <t>NOKIA</t>
        </is>
      </c>
      <c r="I858" t="n">
        <v>0.007669083676480355</v>
      </c>
      <c r="J858" t="n">
        <v>0.02051034006500536</v>
      </c>
      <c r="K858" t="n">
        <v>2.471995360026025</v>
      </c>
      <c r="L858" t="n">
        <v>1.527378272023467</v>
      </c>
      <c r="M858" t="n">
        <v>0.03212097604963007</v>
      </c>
      <c r="N858" t="n">
        <v>0.001124060285601237</v>
      </c>
      <c r="O858" t="n">
        <v>0.02496931430650282</v>
      </c>
      <c r="P858" t="n">
        <v>0</v>
      </c>
      <c r="Q858" t="n">
        <v>0.008543002514032469</v>
      </c>
      <c r="R858" t="inlineStr">
        <is>
          <t>Operationnel</t>
        </is>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row>
    <row r="859">
      <c r="A859" t="inlineStr">
        <is>
          <t>Tho-II</t>
        </is>
      </c>
      <c r="B859" t="inlineStr">
        <is>
          <t>SUD_164</t>
        </is>
      </c>
      <c r="C859" t="inlineStr">
        <is>
          <t>CENTRE</t>
        </is>
      </c>
      <c r="D859" t="inlineStr"/>
      <c r="E859" t="inlineStr"/>
      <c r="F859" t="inlineStr">
        <is>
          <t>SUD</t>
        </is>
      </c>
      <c r="G859" t="inlineStr">
        <is>
          <t>Ambam</t>
        </is>
      </c>
      <c r="H859" t="inlineStr">
        <is>
          <t>NOKIA</t>
        </is>
      </c>
      <c r="I859" t="n">
        <v>0</v>
      </c>
      <c r="J859" t="n">
        <v>0</v>
      </c>
      <c r="K859" t="n">
        <v>0.2219562760354593</v>
      </c>
      <c r="L859" t="n">
        <v>0</v>
      </c>
      <c r="M859" t="n">
        <v>0.3051046847756917</v>
      </c>
      <c r="N859" t="n">
        <v>0</v>
      </c>
      <c r="O859" t="n">
        <v>0.02178174226737525</v>
      </c>
      <c r="P859" t="n">
        <v>0.002188820816561399</v>
      </c>
      <c r="Q859" t="n">
        <v>0.008453827122445613</v>
      </c>
      <c r="R859" t="inlineStr">
        <is>
          <t>Operationnel</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row>
    <row r="860">
      <c r="A860" t="inlineStr">
        <is>
          <t>Yola-MTN-IHS</t>
        </is>
      </c>
      <c r="B860" t="inlineStr">
        <is>
          <t>EST_106</t>
        </is>
      </c>
      <c r="C860" t="inlineStr">
        <is>
          <t>CENTRE</t>
        </is>
      </c>
      <c r="D860" t="inlineStr">
        <is>
          <t>IHS</t>
        </is>
      </c>
      <c r="E860" t="inlineStr">
        <is>
          <t>Solar-Gen</t>
        </is>
      </c>
      <c r="F860" t="inlineStr">
        <is>
          <t>EST</t>
        </is>
      </c>
      <c r="G860" t="inlineStr">
        <is>
          <t>Yola</t>
        </is>
      </c>
      <c r="H860" t="inlineStr">
        <is>
          <t>NOKIA</t>
        </is>
      </c>
      <c r="I860" t="n">
        <v>0</v>
      </c>
      <c r="J860" t="n">
        <v>0.5563295979545307</v>
      </c>
      <c r="K860" t="n">
        <v>1.370500923143654</v>
      </c>
      <c r="L860" t="n">
        <v>5.860423641351876</v>
      </c>
      <c r="M860" t="n">
        <v>0.01168197629789416</v>
      </c>
      <c r="N860" t="n">
        <v>0.02397995275949306</v>
      </c>
      <c r="O860" t="n">
        <v>0.0127502881565128</v>
      </c>
      <c r="P860" t="n">
        <v>0.0007182068304340244</v>
      </c>
      <c r="Q860" t="n">
        <v>0.008079290477780389</v>
      </c>
      <c r="R860" t="inlineStr">
        <is>
          <t>Operationnel</t>
        </is>
      </c>
      <c r="S860" t="inlineStr"/>
      <c r="T860" t="inlineStr"/>
      <c r="U860" t="inlineStr"/>
      <c r="V860" t="inlineStr"/>
      <c r="W860" t="inlineStr"/>
      <c r="X860" t="inlineStr">
        <is>
          <t>{05-25-2026 incident}: {05-18-2026 groupe whatsapp incident}: impacted by  Kenzou_U_EST_016 , Travaux planifier || Action : fin des travaux</t>
        </is>
      </c>
      <c r="Y860" t="inlineStr">
        <is>
          <t>{05-25-2026 incident} {05-18-2026 groupe whatsapp incident} impacted by Kenzou_U_EST_016 , Travaux planifier || Action fin des travaux</t>
        </is>
      </c>
      <c r="Z860" t="inlineStr"/>
      <c r="AA860" t="inlineStr">
        <is>
          <t>{05-25-2026 incident}: {05-18-2026 groupe whatsapp incident}: impacted by  Kenzou_U_EST_016 , Travaux planifier || Action : fin des travaux</t>
        </is>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row>
    <row r="861">
      <c r="A861" t="inlineStr">
        <is>
          <t>White-Star-Hotel</t>
        </is>
      </c>
      <c r="B861" t="inlineStr">
        <is>
          <t>SUO_236</t>
        </is>
      </c>
      <c r="C861" t="inlineStr">
        <is>
          <t>SUD-OUEST</t>
        </is>
      </c>
      <c r="D861" t="inlineStr">
        <is>
          <t>CAMUSAT</t>
        </is>
      </c>
      <c r="E861" t="inlineStr">
        <is>
          <t>Medium Grid + GE</t>
        </is>
      </c>
      <c r="F861" t="inlineStr">
        <is>
          <t>SUD-OUEST</t>
        </is>
      </c>
      <c r="G861" t="inlineStr">
        <is>
          <t>Limbe</t>
        </is>
      </c>
      <c r="H861" t="inlineStr">
        <is>
          <t>Huawei</t>
        </is>
      </c>
      <c r="I861" t="n">
        <v>0.3424335036940014</v>
      </c>
      <c r="J861" t="n">
        <v>0</v>
      </c>
      <c r="K861" t="n">
        <v>0</v>
      </c>
      <c r="L861" t="n">
        <v>0</v>
      </c>
      <c r="M861" t="n">
        <v>0</v>
      </c>
      <c r="N861" t="n">
        <v>0.01498747047468317</v>
      </c>
      <c r="O861" t="n">
        <v>0.005843882071734821</v>
      </c>
      <c r="P861" t="n">
        <v>0.007524071556930135</v>
      </c>
      <c r="Q861" t="n">
        <v>0.008025785242828157</v>
      </c>
      <c r="R861" t="inlineStr">
        <is>
          <t>Operationnel</t>
        </is>
      </c>
      <c r="S861" t="inlineStr"/>
      <c r="T861" t="inlineStr"/>
      <c r="U861" t="inlineStr"/>
      <c r="V861" t="inlineStr"/>
      <c r="W861" t="inlineStr"/>
      <c r="X861" t="inlineStr">
        <is>
          <t>{05-25-2026 retour CAMUSAT}: Echec démarrage GE</t>
        </is>
      </c>
      <c r="Y861" t="inlineStr">
        <is>
          <t>Echec démarrage GE</t>
        </is>
      </c>
      <c r="Z861" t="inlineStr"/>
      <c r="AA861" t="inlineStr"/>
      <c r="AB861" t="inlineStr"/>
      <c r="AC861" t="inlineStr">
        <is>
          <t>{05-25-2026 retour CAMUSAT}: Echec démarrage GE</t>
        </is>
      </c>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row>
    <row r="862">
      <c r="A862" t="inlineStr">
        <is>
          <t>Nkoumadjap-IHS</t>
        </is>
      </c>
      <c r="B862" t="inlineStr">
        <is>
          <t>SUD_050</t>
        </is>
      </c>
      <c r="C862" t="inlineStr">
        <is>
          <t>CENTRE</t>
        </is>
      </c>
      <c r="D862" t="inlineStr">
        <is>
          <t>IHS</t>
        </is>
      </c>
      <c r="E862" t="inlineStr">
        <is>
          <t>Gird-Hybrid-Gen</t>
        </is>
      </c>
      <c r="F862" t="inlineStr">
        <is>
          <t>SUD</t>
        </is>
      </c>
      <c r="G862" t="inlineStr">
        <is>
          <t>Nkoumadjap</t>
        </is>
      </c>
      <c r="H862" t="inlineStr">
        <is>
          <t>NOKIA</t>
        </is>
      </c>
      <c r="I862" t="n">
        <v>0</v>
      </c>
      <c r="J862" t="n">
        <v>0</v>
      </c>
      <c r="K862" t="n">
        <v>0</v>
      </c>
      <c r="L862" t="n">
        <v>0</v>
      </c>
      <c r="M862" t="n">
        <v>0</v>
      </c>
      <c r="N862" t="n">
        <v>0</v>
      </c>
      <c r="O862" t="n">
        <v>0.02337552828693954</v>
      </c>
      <c r="P862" t="n">
        <v>0</v>
      </c>
      <c r="Q862" t="n">
        <v>0.007847434459654285</v>
      </c>
      <c r="R862" t="inlineStr">
        <is>
          <t>Operationnel</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row>
    <row r="863">
      <c r="A863" t="inlineStr">
        <is>
          <t>Buea-Entree</t>
        </is>
      </c>
      <c r="B863" t="inlineStr">
        <is>
          <t>SUO_033</t>
        </is>
      </c>
      <c r="C863" t="inlineStr">
        <is>
          <t>SUD-OUEST</t>
        </is>
      </c>
      <c r="D863" t="inlineStr">
        <is>
          <t>IHS</t>
        </is>
      </c>
      <c r="E863" t="inlineStr">
        <is>
          <t>Grid-Gen</t>
        </is>
      </c>
      <c r="F863" t="inlineStr">
        <is>
          <t>SUD-OUEST</t>
        </is>
      </c>
      <c r="G863" t="inlineStr">
        <is>
          <t>Buea</t>
        </is>
      </c>
      <c r="H863" t="inlineStr">
        <is>
          <t>Huawei</t>
        </is>
      </c>
      <c r="I863" t="n">
        <v>0</v>
      </c>
      <c r="J863" t="n">
        <v>0</v>
      </c>
      <c r="K863" t="n">
        <v>0</v>
      </c>
      <c r="L863" t="n">
        <v>0</v>
      </c>
      <c r="M863" t="n">
        <v>0</v>
      </c>
      <c r="N863" t="n">
        <v>0.01498747047468317</v>
      </c>
      <c r="O863" t="n">
        <v>0.005259493864561339</v>
      </c>
      <c r="P863" t="n">
        <v>0.007182068304342402</v>
      </c>
      <c r="Q863" t="n">
        <v>0.007651248598162845</v>
      </c>
      <c r="R863" t="inlineStr">
        <is>
          <t>Operationnel</t>
        </is>
      </c>
      <c r="S863" t="inlineStr"/>
      <c r="T863" t="inlineStr"/>
      <c r="U863" t="inlineStr"/>
      <c r="V863" t="inlineStr"/>
      <c r="W863" t="inlineStr"/>
      <c r="X863" t="inlineStr">
        <is>
          <t>{05/25/2026 cell huawei}: 25/05/2026 : Probleme de vswr sur site || Jumpers (huawei 6m) faulty || Comande passe au HW SPMS     ;    {05/25/2026 cell huawei}: 25/05/2026 : Probleme de vswr sur site || Jumpers (huawei 6m) faulty || Comande passe au HW SPMS     ;    {05/25/2026 cell huawei}: 25/05/2026 : Probleme de vswr sur site || Jumpers (huawei 6m) faulty || Comande passe au HW SPMS</t>
        </is>
      </c>
      <c r="Y863" t="inlineStr">
        <is>
          <t>25/05/2026 Probleme de vswr sur site || Jumpers (huawei 6m) faulty || Comande passe au HW SPMS 25/05/2026 Probleme de vswr sur site || Jumpers (huawei 6m) faulty || Comande passe au HW SPMS 25/05/2026 Probleme de vswr sur site || Jumpers (huawei 6m) faulty || Comande passe au HW SPMS</t>
        </is>
      </c>
      <c r="Z863" t="inlineStr"/>
      <c r="AA863" t="inlineStr"/>
      <c r="AB863" t="inlineStr"/>
      <c r="AC863" t="inlineStr"/>
      <c r="AD863" t="inlineStr"/>
      <c r="AE863" t="inlineStr"/>
      <c r="AF863" t="inlineStr"/>
      <c r="AG863" t="inlineStr"/>
      <c r="AH863" t="inlineStr"/>
      <c r="AI863" t="inlineStr"/>
      <c r="AJ863" t="inlineStr"/>
      <c r="AK863" t="inlineStr"/>
      <c r="AL863" t="inlineStr">
        <is>
          <t>{05/25/2026 cell huawei}: 25/05/2026 : Probleme de vswr sur site || Jumpers (huawei 6m) faulty || Comande passe au HW SPMS</t>
        </is>
      </c>
      <c r="AM863" t="inlineStr">
        <is>
          <t>{05/25/2026 cell huawei}: 25/05/2026 : Probleme de vswr sur site || Jumpers (huawei 6m) faulty || Comande passe au HW SPMS</t>
        </is>
      </c>
      <c r="AN863" t="inlineStr">
        <is>
          <t>{05/25/2026 cell huawei}: 25/05/2026 : Probleme de vswr sur site || Jumpers (huawei 6m) faulty || Comande passe au HW SPMS</t>
        </is>
      </c>
      <c r="AO863" t="inlineStr"/>
      <c r="AP863" t="inlineStr"/>
      <c r="AQ863" t="inlineStr"/>
      <c r="AR863" t="inlineStr"/>
    </row>
    <row r="864">
      <c r="A864" t="inlineStr">
        <is>
          <t>Indoor-K-Hotel</t>
        </is>
      </c>
      <c r="B864" t="inlineStr">
        <is>
          <t>LIT_778</t>
        </is>
      </c>
      <c r="C864" t="inlineStr">
        <is>
          <t>Douala</t>
        </is>
      </c>
      <c r="D864" t="inlineStr"/>
      <c r="E864" t="inlineStr"/>
      <c r="F864" t="inlineStr">
        <is>
          <t>LITTORAL</t>
        </is>
      </c>
      <c r="G864" t="inlineStr">
        <is>
          <t>Douala</t>
        </is>
      </c>
      <c r="H864" t="inlineStr">
        <is>
          <t>ZTE</t>
        </is>
      </c>
      <c r="I864" t="n">
        <v>0</v>
      </c>
      <c r="J864" t="n">
        <v>3.538550878484618</v>
      </c>
      <c r="K864" t="n">
        <v>0</v>
      </c>
      <c r="L864" t="n">
        <v>0.6987248632406196</v>
      </c>
      <c r="M864" t="n">
        <v>0</v>
      </c>
      <c r="N864" t="n">
        <v>0</v>
      </c>
      <c r="O864" t="n">
        <v>0.002337552828693954</v>
      </c>
      <c r="P864" t="n">
        <v>0.01292772294781638</v>
      </c>
      <c r="Q864" t="n">
        <v>0.007526403049941109</v>
      </c>
      <c r="R864" t="inlineStr">
        <is>
          <t>Operationnel</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row>
    <row r="865">
      <c r="A865" t="inlineStr">
        <is>
          <t>Buea-Sandpit-IHS</t>
        </is>
      </c>
      <c r="B865" t="inlineStr">
        <is>
          <t>SUO_180</t>
        </is>
      </c>
      <c r="C865" t="inlineStr">
        <is>
          <t>SUD-OUEST</t>
        </is>
      </c>
      <c r="D865" t="inlineStr">
        <is>
          <t>IHS</t>
        </is>
      </c>
      <c r="E865" t="inlineStr">
        <is>
          <t>Grid-Gen</t>
        </is>
      </c>
      <c r="F865" t="inlineStr">
        <is>
          <t>SUD-OUEST</t>
        </is>
      </c>
      <c r="G865" t="inlineStr">
        <is>
          <t>Buea</t>
        </is>
      </c>
      <c r="H865" t="inlineStr">
        <is>
          <t>Huawei</t>
        </is>
      </c>
      <c r="I865" t="n">
        <v>0</v>
      </c>
      <c r="J865" t="n">
        <v>0</v>
      </c>
      <c r="K865" t="n">
        <v>0.1589462179646323</v>
      </c>
      <c r="L865" t="n">
        <v>23.9933168394529</v>
      </c>
      <c r="M865" t="n">
        <v>8.229122970724788</v>
      </c>
      <c r="N865" t="n">
        <v>0.01436299253823803</v>
      </c>
      <c r="O865" t="n">
        <v>0.005259493864561339</v>
      </c>
      <c r="P865" t="n">
        <v>0.006840065051754668</v>
      </c>
      <c r="Q865" t="n">
        <v>0.007383722423401905</v>
      </c>
      <c r="R865" t="inlineStr">
        <is>
          <t>Operationnel</t>
        </is>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row>
    <row r="866">
      <c r="A866" t="inlineStr">
        <is>
          <t>Zigague</t>
        </is>
      </c>
      <c r="B866" t="inlineStr">
        <is>
          <t>EXN_034</t>
        </is>
      </c>
      <c r="C866" t="inlineStr">
        <is>
          <t>EXTREME-NORD</t>
        </is>
      </c>
      <c r="D866" t="inlineStr">
        <is>
          <t>IHS</t>
        </is>
      </c>
      <c r="E866" t="inlineStr">
        <is>
          <t>Solar-Grid-Gen</t>
        </is>
      </c>
      <c r="F866" t="inlineStr">
        <is>
          <t>EXTREME-NORD</t>
        </is>
      </c>
      <c r="G866" t="inlineStr">
        <is>
          <t>Zigague</t>
        </is>
      </c>
      <c r="H866" t="inlineStr">
        <is>
          <t>NOKIA</t>
        </is>
      </c>
      <c r="I866" t="n">
        <v>1.992731135480962</v>
      </c>
      <c r="J866" t="n">
        <v>8.888628496745454</v>
      </c>
      <c r="K866" t="n">
        <v>5.332454129061704</v>
      </c>
      <c r="L866" t="n">
        <v>6.721645728987473</v>
      </c>
      <c r="M866" t="n">
        <v>0.1089044976259094</v>
      </c>
      <c r="N866" t="n">
        <v>0</v>
      </c>
      <c r="O866" t="n">
        <v>0.02178300285781844</v>
      </c>
      <c r="P866" t="n">
        <v>0</v>
      </c>
      <c r="Q866" t="n">
        <v>0.007312805304883776</v>
      </c>
      <c r="R866" t="inlineStr">
        <is>
          <t>Insecurity</t>
        </is>
      </c>
      <c r="S866" t="inlineStr"/>
      <c r="T866" t="inlineStr"/>
      <c r="U866" t="inlineStr"/>
      <c r="V866" t="inlineStr"/>
      <c r="W866" t="inlineStr"/>
      <c r="X86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866"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866" t="inlineStr"/>
      <c r="AA86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row>
    <row r="867">
      <c r="A867" t="inlineStr">
        <is>
          <t>Mora-Kourgui</t>
        </is>
      </c>
      <c r="B867" t="inlineStr">
        <is>
          <t>EXN_238</t>
        </is>
      </c>
      <c r="C867" t="inlineStr">
        <is>
          <t>EXTREME-NORD</t>
        </is>
      </c>
      <c r="D867" t="inlineStr">
        <is>
          <t>CAMUSAT</t>
        </is>
      </c>
      <c r="E867" t="inlineStr">
        <is>
          <t>Bad Grid + Solar + GE</t>
        </is>
      </c>
      <c r="F867" t="inlineStr">
        <is>
          <t>EXTREME-NORD</t>
        </is>
      </c>
      <c r="G867" t="inlineStr">
        <is>
          <t>Mora</t>
        </is>
      </c>
      <c r="H867" t="inlineStr">
        <is>
          <t>Huawei</t>
        </is>
      </c>
      <c r="I867" t="n">
        <v>2.275827333612987</v>
      </c>
      <c r="J867" t="n">
        <v>0.008650012983937016</v>
      </c>
      <c r="K867" t="n">
        <v>0</v>
      </c>
      <c r="L867" t="n">
        <v>0</v>
      </c>
      <c r="M867" t="n">
        <v>0</v>
      </c>
      <c r="N867" t="n">
        <v>0</v>
      </c>
      <c r="O867" t="n">
        <v>0.02172861606672311</v>
      </c>
      <c r="P867" t="n">
        <v>0</v>
      </c>
      <c r="Q867" t="n">
        <v>0.007294547031814928</v>
      </c>
      <c r="R867" t="inlineStr">
        <is>
          <t>Insecurity</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row>
    <row r="868">
      <c r="A868" t="inlineStr">
        <is>
          <t>LAF-CAMTEL</t>
        </is>
      </c>
      <c r="B868" t="inlineStr">
        <is>
          <t>EXN_107</t>
        </is>
      </c>
      <c r="C868" t="inlineStr">
        <is>
          <t>EXTREME-NORD</t>
        </is>
      </c>
      <c r="D868" t="inlineStr">
        <is>
          <t>CAMUSAT</t>
        </is>
      </c>
      <c r="E868" t="inlineStr">
        <is>
          <t>Bad Grid + Solar + GE</t>
        </is>
      </c>
      <c r="F868" t="inlineStr">
        <is>
          <t>EXTREME-NORD</t>
        </is>
      </c>
      <c r="G868" t="inlineStr">
        <is>
          <t>Laf</t>
        </is>
      </c>
      <c r="H868" t="inlineStr">
        <is>
          <t>NOKIA</t>
        </is>
      </c>
      <c r="I868" t="n">
        <v>0.3410780377418793</v>
      </c>
      <c r="J868" t="n">
        <v>0</v>
      </c>
      <c r="K868" t="n">
        <v>0.0003567222099943973</v>
      </c>
      <c r="L868" t="n">
        <v>0</v>
      </c>
      <c r="M868" t="n">
        <v>0.02373977430744309</v>
      </c>
      <c r="N868" t="n">
        <v>0</v>
      </c>
      <c r="O868" t="n">
        <v>0.02125171010518863</v>
      </c>
      <c r="P868" t="n">
        <v>0</v>
      </c>
      <c r="Q868" t="n">
        <v>0.007134444199886577</v>
      </c>
      <c r="R868" t="inlineStr">
        <is>
          <t>Insecurity</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row>
    <row r="869">
      <c r="A869" t="inlineStr">
        <is>
          <t>Molyko-IHS</t>
        </is>
      </c>
      <c r="B869" t="inlineStr">
        <is>
          <t>SUO_183</t>
        </is>
      </c>
      <c r="C869" t="inlineStr">
        <is>
          <t>SUD-OUEST</t>
        </is>
      </c>
      <c r="D869" t="inlineStr">
        <is>
          <t>IHS</t>
        </is>
      </c>
      <c r="E869" t="inlineStr">
        <is>
          <t>Grid-Gen</t>
        </is>
      </c>
      <c r="F869" t="inlineStr">
        <is>
          <t>SUD-OUEST</t>
        </is>
      </c>
      <c r="G869" t="inlineStr">
        <is>
          <t>Buea</t>
        </is>
      </c>
      <c r="H869" t="inlineStr">
        <is>
          <t>Huawei</t>
        </is>
      </c>
      <c r="I869" t="n">
        <v>0.4493369631284724</v>
      </c>
      <c r="J869" t="n">
        <v>0.3723964352672265</v>
      </c>
      <c r="K869" t="n">
        <v>0.1447316605456678</v>
      </c>
      <c r="L869" t="n">
        <v>1.649441548027726</v>
      </c>
      <c r="M869" t="n">
        <v>0</v>
      </c>
      <c r="N869" t="n">
        <v>0.0137385146017929</v>
      </c>
      <c r="O869" t="n">
        <v>0.005259493864561339</v>
      </c>
      <c r="P869" t="n">
        <v>0.006498061799166935</v>
      </c>
      <c r="Q869" t="n">
        <v>0.007116196248640967</v>
      </c>
      <c r="R869" t="inlineStr">
        <is>
          <t>Operationnel</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row>
    <row r="870">
      <c r="A870" t="inlineStr">
        <is>
          <t>Blangoua</t>
        </is>
      </c>
      <c r="B870" t="inlineStr">
        <is>
          <t>EXN_041</t>
        </is>
      </c>
      <c r="C870" t="inlineStr">
        <is>
          <t>EXTREME-NORD</t>
        </is>
      </c>
      <c r="D870" t="inlineStr">
        <is>
          <t>IHS</t>
        </is>
      </c>
      <c r="E870" t="inlineStr">
        <is>
          <t>Solar-Gen</t>
        </is>
      </c>
      <c r="F870" t="inlineStr">
        <is>
          <t>EXTREME-NORD</t>
        </is>
      </c>
      <c r="G870" t="inlineStr">
        <is>
          <t>Blangoua</t>
        </is>
      </c>
      <c r="H870" t="inlineStr">
        <is>
          <t>NOKIA</t>
        </is>
      </c>
      <c r="I870" t="n">
        <v>4.428521286522673</v>
      </c>
      <c r="J870" t="n">
        <v>3.221478856157953</v>
      </c>
      <c r="K870" t="n">
        <v>0.08607493678295736</v>
      </c>
      <c r="L870" t="n">
        <v>1.993147275609624</v>
      </c>
      <c r="M870" t="n">
        <v>2.215124465291429</v>
      </c>
      <c r="N870" t="n">
        <v>0.0269774468544297</v>
      </c>
      <c r="O870" t="n">
        <v>0.008766330418390207</v>
      </c>
      <c r="P870" t="n">
        <v>0</v>
      </c>
      <c r="Q870" t="n">
        <v>0.006795335149010695</v>
      </c>
      <c r="R870" t="inlineStr">
        <is>
          <t>Insecurity</t>
        </is>
      </c>
      <c r="S870" t="inlineStr"/>
      <c r="T870" t="inlineStr"/>
      <c r="U870" t="inlineStr"/>
      <c r="V870" t="inlineStr"/>
      <c r="W870" t="inlineStr"/>
      <c r="X87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ticket}: INC-20260525-00021487..Grid Outage</t>
        </is>
      </c>
      <c r="Y870"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.Grid Outage</t>
        </is>
      </c>
      <c r="Z870" t="inlineStr"/>
      <c r="AA870"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is>
          <t>{05-25-2026 ticket}: INC-20260525-00021487..Grid Outage</t>
        </is>
      </c>
      <c r="AR870" t="inlineStr"/>
    </row>
    <row r="871">
      <c r="A871" t="inlineStr">
        <is>
          <t>EST_053_N_Mbele-Mbeke</t>
        </is>
      </c>
      <c r="B871" t="inlineStr">
        <is>
          <t>EST_053</t>
        </is>
      </c>
      <c r="C871" t="inlineStr">
        <is>
          <t>CENTRE</t>
        </is>
      </c>
      <c r="D871" t="inlineStr">
        <is>
          <t>IHS</t>
        </is>
      </c>
      <c r="E871" t="inlineStr">
        <is>
          <t>Solar-Gen</t>
        </is>
      </c>
      <c r="F871" t="inlineStr">
        <is>
          <t>EST</t>
        </is>
      </c>
      <c r="G871" t="inlineStr">
        <is>
          <t>Mbele-Mbeke</t>
        </is>
      </c>
      <c r="H871" t="inlineStr">
        <is>
          <t>NOKIA</t>
        </is>
      </c>
      <c r="I871" t="n">
        <v>0.006812999917245096</v>
      </c>
      <c r="J871" t="n">
        <v>0.2566086115693799</v>
      </c>
      <c r="K871" t="n">
        <v>0.006866505152197402</v>
      </c>
      <c r="L871" t="n">
        <v>0</v>
      </c>
      <c r="M871" t="n">
        <v>0.006688154369023471</v>
      </c>
      <c r="N871" t="n">
        <v>0.009367169046676978</v>
      </c>
      <c r="O871" t="n">
        <v>0.005312620065213625</v>
      </c>
      <c r="P871" t="n">
        <v>0.007045267003307206</v>
      </c>
      <c r="Q871" t="n">
        <v>0.006795164838927838</v>
      </c>
      <c r="R871" t="inlineStr">
        <is>
          <t>Operationnel</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row>
    <row r="872">
      <c r="A872" t="inlineStr">
        <is>
          <t>SONGKOLONG-IHS</t>
        </is>
      </c>
      <c r="B872" t="inlineStr">
        <is>
          <t>NRO_094</t>
        </is>
      </c>
      <c r="C872" t="inlineStr">
        <is>
          <t>NORD-OUEST</t>
        </is>
      </c>
      <c r="D872" t="inlineStr">
        <is>
          <t>IHS</t>
        </is>
      </c>
      <c r="E872" t="inlineStr">
        <is>
          <t>Gen Only</t>
        </is>
      </c>
      <c r="F872" t="inlineStr">
        <is>
          <t>NORD-OUEST</t>
        </is>
      </c>
      <c r="G872" t="inlineStr">
        <is>
          <t>Songkolong</t>
        </is>
      </c>
      <c r="H872" t="inlineStr">
        <is>
          <t>NOKIA</t>
        </is>
      </c>
      <c r="I872" t="n">
        <v>1.524239298239606</v>
      </c>
      <c r="J872" t="n">
        <v>0</v>
      </c>
      <c r="K872" t="n">
        <v>0</v>
      </c>
      <c r="L872" t="n">
        <v>0</v>
      </c>
      <c r="M872" t="n">
        <v>0.8320599087414713</v>
      </c>
      <c r="N872" t="n">
        <v>0</v>
      </c>
      <c r="O872" t="n">
        <v>0.0196566942412897</v>
      </c>
      <c r="P872" t="n">
        <v>0</v>
      </c>
      <c r="Q872" t="n">
        <v>0.006598978977436434</v>
      </c>
      <c r="R872" t="inlineStr">
        <is>
          <t>Insecurity</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row>
    <row r="873">
      <c r="A873" t="inlineStr">
        <is>
          <t>Endoum-Carrefour</t>
        </is>
      </c>
      <c r="B873" t="inlineStr">
        <is>
          <t>SUD_108</t>
        </is>
      </c>
      <c r="C873" t="inlineStr">
        <is>
          <t>CENTRE</t>
        </is>
      </c>
      <c r="D873" t="inlineStr"/>
      <c r="E873" t="inlineStr"/>
      <c r="F873" t="inlineStr">
        <is>
          <t>SUD</t>
        </is>
      </c>
      <c r="G873" t="inlineStr">
        <is>
          <t>Minton</t>
        </is>
      </c>
      <c r="H873" t="inlineStr">
        <is>
          <t>NOKIA</t>
        </is>
      </c>
      <c r="I873" t="n">
        <v>0</v>
      </c>
      <c r="J873" t="n">
        <v>0</v>
      </c>
      <c r="K873" t="n">
        <v>0</v>
      </c>
      <c r="L873" t="n">
        <v>0</v>
      </c>
      <c r="M873" t="n">
        <v>0</v>
      </c>
      <c r="N873" t="n">
        <v>0</v>
      </c>
      <c r="O873" t="n">
        <v>0.01460970517933696</v>
      </c>
      <c r="P873" t="n">
        <v>0</v>
      </c>
      <c r="Q873" t="n">
        <v>0.004904646537283843</v>
      </c>
      <c r="R873" t="inlineStr">
        <is>
          <t>Operationnel</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row>
    <row r="874">
      <c r="A874" t="inlineStr">
        <is>
          <t>Mantoum-Village</t>
        </is>
      </c>
      <c r="B874" t="inlineStr">
        <is>
          <t>OST_200</t>
        </is>
      </c>
      <c r="C874" t="inlineStr">
        <is>
          <t>OUEST</t>
        </is>
      </c>
      <c r="D874" t="inlineStr">
        <is>
          <t>IHS</t>
        </is>
      </c>
      <c r="E874" t="inlineStr">
        <is>
          <t>Hybrid-Gen</t>
        </is>
      </c>
      <c r="F874" t="inlineStr">
        <is>
          <t>OUEST</t>
        </is>
      </c>
      <c r="G874" t="inlineStr">
        <is>
          <t>Mantoum</t>
        </is>
      </c>
      <c r="H874" t="inlineStr">
        <is>
          <t>NOKIA</t>
        </is>
      </c>
      <c r="I874" t="n">
        <v>0.004458769579348933</v>
      </c>
      <c r="J874" t="n">
        <v>0</v>
      </c>
      <c r="K874" t="n">
        <v>0.01617641603387808</v>
      </c>
      <c r="L874" t="n">
        <v>0.008275476339271825</v>
      </c>
      <c r="M874" t="n">
        <v>0.8318102176450277</v>
      </c>
      <c r="N874" t="n">
        <v>0.007618630824630609</v>
      </c>
      <c r="O874" t="n">
        <v>0.01115650213694851</v>
      </c>
      <c r="P874" t="n">
        <v>0</v>
      </c>
      <c r="Q874" t="n">
        <v>0.004833306224014364</v>
      </c>
      <c r="R874" t="inlineStr">
        <is>
          <t>Operationnel</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row>
    <row r="875">
      <c r="A875" t="inlineStr">
        <is>
          <t>SFID-Ndeng-MTN-IHS</t>
        </is>
      </c>
      <c r="B875" t="inlineStr">
        <is>
          <t>EST_102</t>
        </is>
      </c>
      <c r="C875" t="inlineStr">
        <is>
          <t>CENTRE</t>
        </is>
      </c>
      <c r="D875" t="inlineStr">
        <is>
          <t>IHS</t>
        </is>
      </c>
      <c r="E875" t="inlineStr">
        <is>
          <t>Hybrid-Gen</t>
        </is>
      </c>
      <c r="F875" t="inlineStr">
        <is>
          <t>EST</t>
        </is>
      </c>
      <c r="G875" t="inlineStr">
        <is>
          <t>Deng</t>
        </is>
      </c>
      <c r="H875" t="inlineStr">
        <is>
          <t>NOKIA</t>
        </is>
      </c>
      <c r="I875" t="n">
        <v>0</v>
      </c>
      <c r="J875" t="n">
        <v>0.632485382369811</v>
      </c>
      <c r="K875" t="n">
        <v>2.76525222483741</v>
      </c>
      <c r="L875" t="n">
        <v>5.867463663611106</v>
      </c>
      <c r="M875" t="n">
        <v>0.01148579043640305</v>
      </c>
      <c r="N875" t="n">
        <v>0</v>
      </c>
      <c r="O875" t="n">
        <v>0.0140784431728157</v>
      </c>
      <c r="P875" t="n">
        <v>0</v>
      </c>
      <c r="Q875" t="n">
        <v>0.004726295754109913</v>
      </c>
      <c r="R875" t="inlineStr">
        <is>
          <t>Operationnel</t>
        </is>
      </c>
      <c r="S875" t="inlineStr"/>
      <c r="T875" t="inlineStr"/>
      <c r="U875" t="inlineStr"/>
      <c r="V875" t="inlineStr"/>
      <c r="W875" t="inlineStr"/>
      <c r="X875" t="inlineStr">
        <is>
          <t xml:space="preserve">{05-25-2026 incident}: {05-18-2026 groupe whatsapp incident}: impacted by  Kenzou_U_EST_016 , Travaux planifier || Action : fin des travaux     ;    {05/25/2026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    {05/25/2026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    {05/25/2026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t>
        </is>
      </c>
      <c r="Y875" t="inlineStr">
        <is>
          <t>{05-25-2026 incident} {05-18-2026 groupe whatsapp incident} impacted by Kenzou_U_EST_016 , Travaux planifier || Action fin des travaux 25/05/2026 Inflitration d'eau au niveau du jumpeur || Commannde d'une FO de 50m fait ce jour
23/05/2026 En attente du feedback du PM
22/05/2026 Escalade faite ce jour au PM || En attente du Feedback du PM
18/05/2026 Esclade faite || FeedCK RM. || ETA 20/05/2026
16/05/2026 Intervention prevue pour le 18052026
15/05/2026 Mail d'escade envoye au Chef du RM || Feedback attendu || On site intervention postponed on 16/05/20126 FME is in NKAN Site for CM
14/05/2026 Feedback RM Rigger actuelement sur d'autres sites donc intervention aapres ces sites
13/05/2026 Feedback RM 12/05/2026 en attente disponibilité de Rigger qui est mobilisé sur les point de Akonolinga New et Ayos Efoulan ETA ASAP || ETA 14/05/2026
12/05/2026 Feedback nouvel analyse BO RAN Remplacer les SFP des deux cotes ou aussi la FO. ETA attendu du RM.
11/05/2026 Check and replace SFP || Point envoyer chez l'expert Mohan BO du GNOC || En attente du feedback du BO RAN apres nouvelle analyse 25/05/2026 Inflitration d'eau au niveau du jumpeur || Commannde d'une FO de 50m fait ce jour
23/05/2026 En attente du feedback du PM
22/05/2026 Escalade faite ce jour au PM || En attente du Feedback du PM
18/05/2026 Esclade faite || FeedCK RM. || ETA 20/05/2026
16/05/2026 Intervention prevue pour le 18052026
15/05/2026 Mail d'escade envoye au Chef du RM || Feedback attendu || On site intervention postponed on 16/05/20126 FME is in NKAN Site for CM
14/05/2026 Feedback RM Rigger actuelement sur d'autres sites donc intervention aapres ces sites
13/05/2026 Feedback RM 12/05/2026 en attente disponibilité de Rigger qui est mobilisé sur les point de Akonolinga New et Ayos Efoulan ETA ASAP || ETA 14/05/2026
12/05/2026 Feedback nouvel analyse BO RAN Remplacer les SFP des deux cotes ou aussi la FO. ETA attendu du RM.
11/05/2026 Check and replace SFP || Point envoyer chez l'expert Mohan BO du GNOC || En attente du feedback du BO RAN apres nouvelle analyse 25/05/2026 Inflitration d'eau au niveau du jumpeur || Commannde d'une FO de 50m fait ce jour
23/05/2026 En attente du feedback du PM
22/05/2026 Escalade faite ce jour au PM || En attente du Feedback du PM
18/05/2026 Esclade faite || FeedCK RM. || ETA 20/05/2026
16/05/2026 Intervention prevue pour le 18052026
15/05/2026 Mail d'escade envoye au Chef du RM || Feedback attendu || On site intervention postponed on 16/05/20126 FME is in NKAN Site for CM
14/05/2026 Feedback RM Rigger actuelement sur d'autres sites donc intervention aapres ces sites
13/05/2026 Feedback RM 12/05/2026 en attente disponibilité de Rigger qui est mobilisé sur les point de Akonolinga New et Ayos Efoulan ETA ASAP || ETA 14/05/2026
12/05/2026 Feedback nouvel analyse BO RAN Remplacer les SFP des deux cotes ou aussi la FO. ETA attendu du RM.
11/05/2026 Check and replace SFP || Point envoyer chez l'expert Mohan BO du GNOC || En attente du feedback du BO RAN apres nouvelle analyse</t>
        </is>
      </c>
      <c r="Z875" t="inlineStr"/>
      <c r="AA875" t="inlineStr">
        <is>
          <t>{05-25-2026 incident}: {05-18-2026 groupe whatsapp incident}: impacted by  Kenzou_U_EST_016 , Travaux planifier || Action : fin des travaux</t>
        </is>
      </c>
      <c r="AB875" t="inlineStr"/>
      <c r="AC875" t="inlineStr"/>
      <c r="AD875" t="inlineStr"/>
      <c r="AE875" t="inlineStr"/>
      <c r="AF875" t="inlineStr">
        <is>
          <t xml:space="preserve">{05/25/2026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t>
        </is>
      </c>
      <c r="AG875" t="inlineStr">
        <is>
          <t xml:space="preserve">{05/25/2026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t>
        </is>
      </c>
      <c r="AH875" t="inlineStr">
        <is>
          <t xml:space="preserve">{05/25/2026 cell nokia}: 25/05/2026:Inflitration d'eau au niveau du jumpeur||  Commannde d'une FO de 50m fait ce jour
23/05/2026 : En attente du feedback du PM 
22/05/2026:Escalade faite ce jour au PM || En attente du Feedback du PM 
18/05/2026 ; Esclade faite ||FeedCK RM. ||ETA 20/05/2026 
16/05/2026 : Intervention prevue pour le 18052026
15/05/2026 : Mail d'escade envoye au Chef du RM || Feedback attendu|| On site intervention postponed on 16/05/20126 FME is in NKAN Site for CM
14/05/2026 : Feedback RM ; Rigger actuelement sur d'autres sites donc intervention aapres ces sites 
13/05/2026 : Feedback RM : 12/05/2026  en attente disponibilité de Rigger qui est mobilisé sur les point de Akonolinga New et Ayos Efoulan ETA ASAP  ||  ETA 14/05/2026
12/05/2026 : Feedback nouvel analyse BO RAN :  Remplacer les SFP des deux cotes ou aussi la FO. ETA attendu du RM.
11/05/2026: Check and replace SFP|| Point envoyer chez l'expert Mohan BO du GNOC || En attente du feedback du BO RAN apres nouvelle analyse </t>
        </is>
      </c>
      <c r="AI875" t="inlineStr"/>
      <c r="AJ875" t="inlineStr"/>
      <c r="AK875" t="inlineStr"/>
      <c r="AL875" t="inlineStr"/>
      <c r="AM875" t="inlineStr"/>
      <c r="AN875" t="inlineStr"/>
      <c r="AO875" t="inlineStr"/>
      <c r="AP875" t="inlineStr"/>
      <c r="AQ875" t="inlineStr"/>
      <c r="AR875" t="inlineStr"/>
    </row>
    <row r="876">
      <c r="A876" t="inlineStr">
        <is>
          <t>Goulfey</t>
        </is>
      </c>
      <c r="B876" t="inlineStr">
        <is>
          <t>EXN_021</t>
        </is>
      </c>
      <c r="C876" t="inlineStr">
        <is>
          <t>EXTREME-NORD</t>
        </is>
      </c>
      <c r="D876" t="inlineStr">
        <is>
          <t>IHS</t>
        </is>
      </c>
      <c r="E876" t="inlineStr">
        <is>
          <t>Solar-Gen</t>
        </is>
      </c>
      <c r="F876" t="inlineStr">
        <is>
          <t>EXTREME-NORD</t>
        </is>
      </c>
      <c r="G876" t="inlineStr">
        <is>
          <t>Goulfey</t>
        </is>
      </c>
      <c r="H876" t="inlineStr">
        <is>
          <t>NOKIA</t>
        </is>
      </c>
      <c r="I876" t="n">
        <v>3.870818387537704</v>
      </c>
      <c r="J876" t="n">
        <v>10.72796012361849</v>
      </c>
      <c r="K876" t="n">
        <v>0.06996993331511135</v>
      </c>
      <c r="L876" t="n">
        <v>0.004637657128394273</v>
      </c>
      <c r="M876" t="n">
        <v>0.009453138564849646</v>
      </c>
      <c r="N876" t="n">
        <v>0</v>
      </c>
      <c r="O876" t="n">
        <v>0.01381361156837271</v>
      </c>
      <c r="P876" t="n">
        <v>0</v>
      </c>
      <c r="Q876" t="n">
        <v>0.00463738872992631</v>
      </c>
      <c r="R876" t="inlineStr">
        <is>
          <t>Insecurity</t>
        </is>
      </c>
      <c r="S876" t="inlineStr"/>
      <c r="T876" t="inlineStr"/>
      <c r="U876" t="inlineStr"/>
      <c r="V876" t="inlineStr"/>
      <c r="W876" t="inlineStr"/>
      <c r="X87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876"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876" t="inlineStr"/>
      <c r="AA87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row>
    <row r="877">
      <c r="A877" t="inlineStr">
        <is>
          <t>Yokadouma</t>
        </is>
      </c>
      <c r="B877" t="inlineStr">
        <is>
          <t>EST_013</t>
        </is>
      </c>
      <c r="C877" t="inlineStr">
        <is>
          <t>CENTRE</t>
        </is>
      </c>
      <c r="D877" t="inlineStr">
        <is>
          <t>CAMUSAT</t>
        </is>
      </c>
      <c r="E877" t="inlineStr">
        <is>
          <t>Medium Grid + Solar + GE</t>
        </is>
      </c>
      <c r="F877" t="inlineStr">
        <is>
          <t>EST</t>
        </is>
      </c>
      <c r="G877" t="inlineStr">
        <is>
          <t>Yokadouma</t>
        </is>
      </c>
      <c r="H877" t="inlineStr">
        <is>
          <t>NOKIA</t>
        </is>
      </c>
      <c r="I877" t="n">
        <v>0.0001426806265392378</v>
      </c>
      <c r="J877" t="n">
        <v>0.2708970045629265</v>
      </c>
      <c r="K877" t="n">
        <v>1.381523001543804</v>
      </c>
      <c r="L877" t="n">
        <v>5.828664109829839</v>
      </c>
      <c r="M877" t="n">
        <v>0.00711619624864107</v>
      </c>
      <c r="N877" t="n">
        <v>0.0274770292035858</v>
      </c>
      <c r="O877" t="n">
        <v>0</v>
      </c>
      <c r="P877" t="n">
        <v>0.000718206830434498</v>
      </c>
      <c r="Q877" t="n">
        <v>0.004298253874492548</v>
      </c>
      <c r="R877" t="inlineStr">
        <is>
          <t>Operationnel</t>
        </is>
      </c>
      <c r="S877" t="inlineStr"/>
      <c r="T877" t="inlineStr"/>
      <c r="U877" t="inlineStr"/>
      <c r="V877" t="inlineStr"/>
      <c r="W877" t="inlineStr"/>
      <c r="X877" t="inlineStr">
        <is>
          <t xml:space="preserve">{05-25-2026 incident}: {05-18-2026 groupe whatsapp incident}: impacted by  Kenzou_U_EST_016 , Travaux planifier || Action : fin des travaux     ;    {05-25-2026 retour CAMUSAT}: No power issue </t>
        </is>
      </c>
      <c r="Y877" t="inlineStr">
        <is>
          <t>{05-25-2026 incident} {05-18-2026 groupe whatsapp incident} impacted by Kenzou_U_EST_016 , Travaux planifier || Action fin des travaux No power issue</t>
        </is>
      </c>
      <c r="Z877" t="inlineStr"/>
      <c r="AA877" t="inlineStr">
        <is>
          <t>{05-25-2026 incident}: {05-18-2026 groupe whatsapp incident}: impacted by  Kenzou_U_EST_016 , Travaux planifier || Action : fin des travaux</t>
        </is>
      </c>
      <c r="AB877" t="inlineStr"/>
      <c r="AC877" t="inlineStr">
        <is>
          <t xml:space="preserve">{05-25-2026 retour CAMUSAT}: No power issue </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row>
    <row r="878">
      <c r="A878" t="inlineStr">
        <is>
          <t>Ndu-Mbakfu-IHS</t>
        </is>
      </c>
      <c r="B878" t="inlineStr">
        <is>
          <t>NRO_089</t>
        </is>
      </c>
      <c r="C878" t="inlineStr">
        <is>
          <t>NORD-OUEST</t>
        </is>
      </c>
      <c r="D878" t="inlineStr">
        <is>
          <t>IHS</t>
        </is>
      </c>
      <c r="E878" t="inlineStr">
        <is>
          <t>Hybrid-Gen</t>
        </is>
      </c>
      <c r="F878" t="inlineStr">
        <is>
          <t>NORD-OUEST</t>
        </is>
      </c>
      <c r="G878" t="inlineStr">
        <is>
          <t>Ndu-Mbakfu</t>
        </is>
      </c>
      <c r="H878" t="inlineStr">
        <is>
          <t>NOKIA</t>
        </is>
      </c>
      <c r="I878" t="n">
        <v>0</v>
      </c>
      <c r="J878" t="n">
        <v>0.03215664620626482</v>
      </c>
      <c r="K878" t="n">
        <v>0.162085191748494</v>
      </c>
      <c r="L878" t="n">
        <v>0.9225907662805727</v>
      </c>
      <c r="M878" t="n">
        <v>0.00240773557284831</v>
      </c>
      <c r="N878" t="n">
        <v>0</v>
      </c>
      <c r="O878" t="n">
        <v>0.01115650213694851</v>
      </c>
      <c r="P878" t="n">
        <v>0</v>
      </c>
      <c r="Q878" t="n">
        <v>0.003745366446653213</v>
      </c>
      <c r="R878" t="inlineStr">
        <is>
          <t>Insecurity</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row>
    <row r="879">
      <c r="A879" t="inlineStr">
        <is>
          <t>CTR_1054_Z_AKOK-Ndoe-MTN-IHS</t>
        </is>
      </c>
      <c r="B879" t="inlineStr">
        <is>
          <t>CTR_1054</t>
        </is>
      </c>
      <c r="C879" t="inlineStr">
        <is>
          <t>Yaounde</t>
        </is>
      </c>
      <c r="D879" t="inlineStr">
        <is>
          <t>IHS</t>
        </is>
      </c>
      <c r="E879" t="inlineStr"/>
      <c r="F879" t="inlineStr">
        <is>
          <t>CTR</t>
        </is>
      </c>
      <c r="G879" t="inlineStr">
        <is>
          <t>Yaoundé</t>
        </is>
      </c>
      <c r="H879" t="inlineStr">
        <is>
          <t>ZTE</t>
        </is>
      </c>
      <c r="I879" t="n">
        <v>0</v>
      </c>
      <c r="J879" t="n">
        <v>0</v>
      </c>
      <c r="K879" t="n">
        <v>0</v>
      </c>
      <c r="L879" t="n">
        <v>0</v>
      </c>
      <c r="M879" t="n">
        <v>0</v>
      </c>
      <c r="N879" t="n">
        <v>0</v>
      </c>
      <c r="O879" t="n">
        <v>0</v>
      </c>
      <c r="P879" t="n">
        <v>0.007079467328566204</v>
      </c>
      <c r="Q879" t="n">
        <v>0.003691861211701016</v>
      </c>
      <c r="R879" t="inlineStr">
        <is>
          <t>Operationnel</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row>
    <row r="880">
      <c r="A880" t="inlineStr">
        <is>
          <t>Ngd-Dang-MTN-IHS</t>
        </is>
      </c>
      <c r="B880" t="inlineStr">
        <is>
          <t>ADM_083</t>
        </is>
      </c>
      <c r="C880" t="inlineStr">
        <is>
          <t>Ngaoundere</t>
        </is>
      </c>
      <c r="D880" t="inlineStr">
        <is>
          <t>IHS</t>
        </is>
      </c>
      <c r="E880" t="inlineStr">
        <is>
          <t>Grid-Gen</t>
        </is>
      </c>
      <c r="F880" t="inlineStr">
        <is>
          <t>ADAMAOUA</t>
        </is>
      </c>
      <c r="G880" t="inlineStr">
        <is>
          <t>Ngaoundere</t>
        </is>
      </c>
      <c r="H880" t="inlineStr">
        <is>
          <t>Huawei</t>
        </is>
      </c>
      <c r="I880" t="n">
        <v>0.003549180585161786</v>
      </c>
      <c r="J880" t="n">
        <v>0.9273170620346829</v>
      </c>
      <c r="K880" t="n">
        <v>0.00410206801300106</v>
      </c>
      <c r="L880" t="n">
        <v>3.94021467727069</v>
      </c>
      <c r="M880" t="n">
        <v>0.001515981656978652</v>
      </c>
      <c r="N880" t="n">
        <v>0</v>
      </c>
      <c r="O880" t="n">
        <v>0.01035960912716627</v>
      </c>
      <c r="P880" t="n">
        <v>0</v>
      </c>
      <c r="Q880" t="n">
        <v>0.003477840271892201</v>
      </c>
      <c r="R880" t="inlineStr">
        <is>
          <t>Operationnel</t>
        </is>
      </c>
      <c r="S880" t="inlineStr"/>
      <c r="T880" t="inlineStr"/>
      <c r="U880" t="inlineStr"/>
      <c r="V880" t="inlineStr"/>
      <c r="W880" t="inlineStr"/>
      <c r="X880" t="inlineStr">
        <is>
          <t>{05-25-2026 retour IHS}: IHS</t>
        </is>
      </c>
      <c r="Y880" t="inlineStr">
        <is>
          <t>IHS</t>
        </is>
      </c>
      <c r="Z880" t="inlineStr"/>
      <c r="AA880" t="inlineStr"/>
      <c r="AB880" t="inlineStr"/>
      <c r="AC880" t="inlineStr"/>
      <c r="AD880" t="inlineStr">
        <is>
          <t>{05-25-2026 retour IHS}: IHS</t>
        </is>
      </c>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row>
    <row r="881">
      <c r="A881" t="inlineStr">
        <is>
          <t>Mora-IHS</t>
        </is>
      </c>
      <c r="B881" t="inlineStr">
        <is>
          <t>EXN_106</t>
        </is>
      </c>
      <c r="C881" t="inlineStr">
        <is>
          <t>EXTREME-NORD</t>
        </is>
      </c>
      <c r="D881" t="inlineStr">
        <is>
          <t>IHS</t>
        </is>
      </c>
      <c r="E881" t="inlineStr">
        <is>
          <t>Grid-Gen</t>
        </is>
      </c>
      <c r="F881" t="inlineStr">
        <is>
          <t>EXTREME-NORD</t>
        </is>
      </c>
      <c r="G881" t="inlineStr">
        <is>
          <t>Mora</t>
        </is>
      </c>
      <c r="H881" t="inlineStr">
        <is>
          <t>Huawei</t>
        </is>
      </c>
      <c r="I881" t="n">
        <v>2.187490190706925</v>
      </c>
      <c r="J881" t="n">
        <v>0</v>
      </c>
      <c r="K881" t="n">
        <v>0</v>
      </c>
      <c r="L881" t="n">
        <v>0</v>
      </c>
      <c r="M881" t="n">
        <v>0</v>
      </c>
      <c r="N881" t="n">
        <v>0</v>
      </c>
      <c r="O881" t="n">
        <v>0.01035960912716627</v>
      </c>
      <c r="P881" t="n">
        <v>0</v>
      </c>
      <c r="Q881" t="n">
        <v>0.003477840271892201</v>
      </c>
      <c r="R881" t="inlineStr">
        <is>
          <t>Insecurity</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row>
    <row r="882">
      <c r="A882" t="inlineStr">
        <is>
          <t>Ngd-Dang</t>
        </is>
      </c>
      <c r="B882" t="inlineStr">
        <is>
          <t>ADM_017</t>
        </is>
      </c>
      <c r="C882" t="inlineStr">
        <is>
          <t>Ngaoundere</t>
        </is>
      </c>
      <c r="D882" t="inlineStr">
        <is>
          <t>IHS</t>
        </is>
      </c>
      <c r="E882" t="inlineStr">
        <is>
          <t>Grid-Gen</t>
        </is>
      </c>
      <c r="F882" t="inlineStr">
        <is>
          <t>ADAMAOUA</t>
        </is>
      </c>
      <c r="G882" t="inlineStr">
        <is>
          <t>Ngaoundere</t>
        </is>
      </c>
      <c r="H882" t="inlineStr">
        <is>
          <t>Huawei</t>
        </is>
      </c>
      <c r="I882" t="n">
        <v>0.003299489488718243</v>
      </c>
      <c r="J882" t="n">
        <v>0.4789431931353497</v>
      </c>
      <c r="K882" t="n">
        <v>0.00410206801300106</v>
      </c>
      <c r="L882" t="n">
        <v>1.719319384875283</v>
      </c>
      <c r="M882" t="n">
        <v>0.002051034006500529</v>
      </c>
      <c r="N882" t="n">
        <v>0</v>
      </c>
      <c r="O882" t="n">
        <v>0.009562716117384251</v>
      </c>
      <c r="P882" t="n">
        <v>0</v>
      </c>
      <c r="Q882" t="n">
        <v>0.003210314097131263</v>
      </c>
      <c r="R882" t="inlineStr">
        <is>
          <t>Operationnel</t>
        </is>
      </c>
      <c r="S882" t="inlineStr"/>
      <c r="T882" t="inlineStr"/>
      <c r="U882" t="inlineStr"/>
      <c r="V882" t="inlineStr"/>
      <c r="W882" t="inlineStr"/>
      <c r="X882" t="inlineStr">
        <is>
          <t>{05-25-2026 retour IHS}: IHS</t>
        </is>
      </c>
      <c r="Y882" t="inlineStr">
        <is>
          <t>IHS</t>
        </is>
      </c>
      <c r="Z882" t="inlineStr"/>
      <c r="AA882" t="inlineStr"/>
      <c r="AB882" t="inlineStr"/>
      <c r="AC882" t="inlineStr"/>
      <c r="AD882" t="inlineStr">
        <is>
          <t>{05-25-2026 retour IHS}: IHS</t>
        </is>
      </c>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row>
    <row r="883">
      <c r="A883" t="inlineStr">
        <is>
          <t>Babessi</t>
        </is>
      </c>
      <c r="B883" t="inlineStr">
        <is>
          <t>NRO_024</t>
        </is>
      </c>
      <c r="C883" t="inlineStr">
        <is>
          <t>NORD-OUEST</t>
        </is>
      </c>
      <c r="D883" t="inlineStr">
        <is>
          <t>IHS</t>
        </is>
      </c>
      <c r="E883" t="inlineStr">
        <is>
          <t>Grid-Gen</t>
        </is>
      </c>
      <c r="F883" t="inlineStr">
        <is>
          <t>NORD-OUEST</t>
        </is>
      </c>
      <c r="G883" t="inlineStr">
        <is>
          <t>Babessi</t>
        </is>
      </c>
      <c r="H883" t="inlineStr">
        <is>
          <t>NOKIA</t>
        </is>
      </c>
      <c r="I883" t="n">
        <v>0</v>
      </c>
      <c r="J883" t="n">
        <v>0</v>
      </c>
      <c r="K883" t="n">
        <v>0</v>
      </c>
      <c r="L883" t="n">
        <v>0</v>
      </c>
      <c r="M883" t="n">
        <v>0</v>
      </c>
      <c r="N883" t="n">
        <v>0</v>
      </c>
      <c r="O883" t="n">
        <v>0.009562716117384219</v>
      </c>
      <c r="P883" t="n">
        <v>0</v>
      </c>
      <c r="Q883" t="n">
        <v>0.003210314097131252</v>
      </c>
      <c r="R883" t="inlineStr">
        <is>
          <t>Insecurity</t>
        </is>
      </c>
      <c r="S883" t="inlineStr"/>
      <c r="T883" t="inlineStr"/>
      <c r="U883" t="inlineStr"/>
      <c r="V883" t="inlineStr"/>
      <c r="W883" t="inlineStr"/>
      <c r="X883" t="inlineStr">
        <is>
          <t>{05/25/2026 cell nokia}: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     ;    {05/25/2026 cell nokia}: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     ;    {05/25/2026 cell nokia}: 
25/05/2026 : FRMF recu ce jour || Intervention plan for tomorrow 26/05/2026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t>
        </is>
      </c>
      <c r="Y883" t="inlineStr">
        <is>
          <t>22/05/2026 Feedback PM || Intevenion planned 24.05.2025 while waiting acces to be granted by local resident
19/05/2026 AZHA power connector founded faulty. Spare part reauest to SPM awaiting feedback PM
18/05/2026 En attente du feedback du SPMS
16/05/2026 Intervention Postponed after 20th May due insecurity
15/05/2026 Spare parti de Bertoua, actuellement in transit Bafoussam. Expedition vers Bamenda ce jour ETD = 16.Mai.2026
13/05/2026 SPARE cdee || ETD attendu de HW SPMS
12/05/2026 Feedback PM Spare FMRF faulty and request done to SPM ETD Not yet shared
12'/05/2026 Spare FMRF faulty and request done to SPM awaiting || Mail de cde adresse a SPMS HW attendu || Cde envoye a HW SPMS || SPARE disponible a Bafoussam || Expedition en cours par Harmmer
11/05/2026 Ghost town
09/05206 Feedback RM || Access issues
08/05/2026 Action avec le Level 0 en cour || Access issue
07/05/2026 Access issue || Negociation en cours || Access issue
05/05/2026 Check breaker and interconnection (sfp, optical fiber) between system and radio module, swap its if needed 22/05/2026 Feedback PM || Intevenion planned 24.05.2025 while waiting acces to be granted by local resident
19/05/2026 AZHA power connector founded faulty. Spare part reauest to SPM awaiting feedback PM
18/05/2026 En attente du feedback du SPMS
16/05/2026 Intervention Postponed after 20th May due insecurity
15/05/2026 Spare parti de Bertoua, actuellement in transit Bafoussam. Expedition vers Bamenda ce jour ETD = 16.Mai.2026
13/05/2026 SPARE cdee || ETD attendu de HW SPMS
12/05/2026 Feedback PM Spare FMRF faulty and request done to SPM ETD Not yet shared
12'/05/2026 Spare FMRF faulty and request done to SPM awaiting || Mail de cde adresse a SPMS HW attendu || Cde envoye a HW SPMS || SPARE disponible a Bafoussam || Expedition en cours par Harmmer
11/05/2026 Ghost town
09/05206 Feedback RM || Access issues
08/05/2026 Action avec le Level 0 en cour || Access issue
07/05/2026 Access issue || Negociation en cours || Access issue
05/05/2026 Check breaker and interconnection (sfp, optical fiber) between system and radio module, swap its if needed 25/05/2026 FRMF recu ce jour || Intervention plan for tomorrow 26/05/2026
22/05/2026 Feedback PM || Intevenion planned 24.05.2025 while waiting acces to be granted by local resident
19/05/2026 AZHA power connector founded faulty. Spare part reauest to SPM awaiting feedback PM
18/05/2026 En attente du feedback du SPMS
16/05/2026 Intervention Postponed after 20th May due insecurity
15/05/2026 Spare parti de Bertoua, actuellement in transit Bafoussam. Expedition vers Bamenda ce jour ETD = 16.Mai.2026
13/05/2026 SPARE cdee || ETD attendu de HW SPMS
12/05/2026 Feedback PM Spare FMRF faulty and request done to SPM ETD Not yet shared
12'/05/2026 Spare FMRF faulty and request done to SPM awaiting || Mail de cde adresse a SPMS HW attendu || Cde envoye a HW SPMS || SPARE disponible a Bafoussam || Expedition en cours par Harmmer
11/05/2026 Ghost town
09/05206 Feedback RM || Access issues
08/05/2026 Action avec le Level 0 en cour || Access issue
07/05/2026 Access issue || Negociation en cours || Access issue
05/05/2026 Check breaker and interconnection (sfp, optical fiber) between system and radio module, swap its if needed</t>
        </is>
      </c>
      <c r="Z883" t="inlineStr"/>
      <c r="AA883" t="inlineStr"/>
      <c r="AB883" t="inlineStr"/>
      <c r="AC883" t="inlineStr"/>
      <c r="AD883" t="inlineStr"/>
      <c r="AE883" t="inlineStr"/>
      <c r="AF883" t="inlineStr">
        <is>
          <t>{05/25/2026 cell nokia}: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t>
        </is>
      </c>
      <c r="AG883" t="inlineStr">
        <is>
          <t>{05/25/2026 cell nokia}: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t>
        </is>
      </c>
      <c r="AH883" t="inlineStr">
        <is>
          <t>{05/25/2026 cell nokia}: 
25/05/2026 : FRMF recu ce jour || Intervention plan for tomorrow 26/05/2026 
22/05/2026: Feedback PM||Intevenion planned 24.05.2025 while waiting acces to be granted by local resident
19/05/2026:AZHA power connector founded faulty. Spare part reauest to SPM awaiting feedback PM
18/05/2026 : En attente du feedback du SPMS 
16/05/2026 :Intervention Postponed after 20th May due insecurity
15/05/2026: Spare parti de Bertoua, actuellement in transit Bafoussam. Expedition vers Bamenda ce jour ETD = 16.Mai.2026
13/05/2026 : SPARE cdee || ETD attendu de HW SPMS
12/05/2026 : Feedback PM : Spare FMRF faulty and request done to SPM ETD: Not yet shared
12'/05/2026 : Spare FMRF faulty and request done to SPM awaiting || Mail de cde adresse a SPMS HW attendu  || Cde envoye a HW SPMS || SPARE disponible a Bafoussam || Expedition en cours par Harmmer
11/05/2026 : Ghost town         
09/05206: Feedback RM||Access issues
08/05/2026 : Action avec le Level 0 en cour || Access issue 
07/05/2026 : Access issue || Negociation en cours ||Access issue
05/05/2026 : Check breaker and  interconnection  (sfp, optical fiber) between system and radio module, swap its if needed</t>
        </is>
      </c>
      <c r="AI883" t="inlineStr"/>
      <c r="AJ883" t="inlineStr"/>
      <c r="AK883" t="inlineStr"/>
      <c r="AL883" t="inlineStr"/>
      <c r="AM883" t="inlineStr"/>
      <c r="AN883" t="inlineStr"/>
      <c r="AO883" t="inlineStr"/>
      <c r="AP883" t="inlineStr"/>
      <c r="AQ883" t="inlineStr"/>
      <c r="AR883" t="inlineStr"/>
    </row>
    <row r="884">
      <c r="A884" t="inlineStr">
        <is>
          <t>Dogba-IHS</t>
        </is>
      </c>
      <c r="B884" t="inlineStr">
        <is>
          <t>EXN_171</t>
        </is>
      </c>
      <c r="C884" t="inlineStr">
        <is>
          <t>EXTREME-NORD</t>
        </is>
      </c>
      <c r="D884" t="inlineStr">
        <is>
          <t>IHS</t>
        </is>
      </c>
      <c r="E884" t="inlineStr">
        <is>
          <t>Gen Only</t>
        </is>
      </c>
      <c r="F884" t="inlineStr">
        <is>
          <t>EXTREME-NORD</t>
        </is>
      </c>
      <c r="G884" t="inlineStr">
        <is>
          <t>Dogba</t>
        </is>
      </c>
      <c r="H884" t="inlineStr">
        <is>
          <t>NOKIA</t>
        </is>
      </c>
      <c r="I884" t="n">
        <v>0.5426500928850879</v>
      </c>
      <c r="J884" t="n">
        <v>2.874693593354507</v>
      </c>
      <c r="K884" t="n">
        <v>8.143491672096312</v>
      </c>
      <c r="L884" t="n">
        <v>9.204877751957623</v>
      </c>
      <c r="M884" t="n">
        <v>3.534805364435893</v>
      </c>
      <c r="N884" t="n">
        <v>0</v>
      </c>
      <c r="O884" t="n">
        <v>0.008500684042075043</v>
      </c>
      <c r="P884" t="n">
        <v>0</v>
      </c>
      <c r="Q884" t="n">
        <v>0.002853777679954494</v>
      </c>
      <c r="R884" t="inlineStr">
        <is>
          <t>Insecurity</t>
        </is>
      </c>
      <c r="S884" t="inlineStr"/>
      <c r="T884" t="inlineStr"/>
      <c r="U884" t="inlineStr"/>
      <c r="V884" t="inlineStr"/>
      <c r="W884" t="inlineStr"/>
      <c r="X884" t="inlineStr">
        <is>
          <t xml:space="preserve">{05-25-2026 incident}:  {05-18-2026 groupe whatsapp incident}: impacted by   EXN_171_N_Dogba-IHS_GD ,soucis  d'energie || Action RCA attendu de HIS     ;    {05/25/2026 cell nokia}: 
22/05/2025:Check breaker and  interconnection  (sfp, optical fiber) between system and radio module, swap its if needed||FME activer.||ETA: 13h || Intervention en cours || En attente du feedback du fme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Y884" t="inlineStr">
        <is>
          <t>{05-25-2026 incident} {05-18-2026 groupe whatsapp incident} impacted by EXN_171_N_Dogba-IHS_GD ,soucis d'energie || Action RCA attendu de HIS 22/05/2025 Check breaker and interconnection (sfp, optical fiber) between system and radio module, swap its if needed || FME activer. || ETA 13h || Intervention en cours || En attente du feedback du fme
09/05/2026 Feedback RM. || Access issue. ETD 15/05/2026
07/05/2026 Intervention prevue pour Samedi 09/05/2026
06/05/2026 Intervention prevue pour Jeudi 07/05/2026
04/05/2026 ETA 05052026 || Feedback PM La FXDB est disponible au WH et nous travaillons au déploiement du FME.
28/04/2026 Feedback RM because the site is too far, we should move with spare part, but actually No FXDB at Ngaoundere WH. Command made at Maroua WH and should move tomorrow (with Esico) ETA to reach Ngaoundere 03/05/2026, ETA to reach the site W19 (05/05/2026)
27/04/2026 Need BO RAN analysis || Check and clean jumper, port 1 of FXDB || Access issue</t>
        </is>
      </c>
      <c r="Z884" t="inlineStr"/>
      <c r="AA884" t="inlineStr">
        <is>
          <t>{05-25-2026 incident}:  {05-18-2026 groupe whatsapp incident}: impacted by   EXN_171_N_Dogba-IHS_GD ,soucis  d'energie || Action RCA attendu de HIS</t>
        </is>
      </c>
      <c r="AB884" t="inlineStr"/>
      <c r="AC884" t="inlineStr"/>
      <c r="AD884" t="inlineStr"/>
      <c r="AE884" t="inlineStr"/>
      <c r="AF884" t="inlineStr"/>
      <c r="AG884" t="inlineStr"/>
      <c r="AH884" t="inlineStr">
        <is>
          <t xml:space="preserve">{05/25/2026 cell nokia}: 
22/05/2025:Check breaker and  interconnection  (sfp, optical fiber) between system and radio module, swap its if needed||FME activer.||ETA: 13h || Intervention en cours || En attente du feedback du fme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is>
      </c>
      <c r="AI884" t="inlineStr"/>
      <c r="AJ884" t="inlineStr"/>
      <c r="AK884" t="inlineStr"/>
      <c r="AL884" t="inlineStr"/>
      <c r="AM884" t="inlineStr"/>
      <c r="AN884" t="inlineStr"/>
      <c r="AO884" t="inlineStr"/>
      <c r="AP884" t="inlineStr"/>
      <c r="AQ884" t="inlineStr"/>
      <c r="AR884" t="inlineStr"/>
    </row>
    <row r="885">
      <c r="A885" t="inlineStr">
        <is>
          <t>Ngaoundere-University-IHS</t>
        </is>
      </c>
      <c r="B885" t="inlineStr">
        <is>
          <t>ADM_076</t>
        </is>
      </c>
      <c r="C885" t="inlineStr">
        <is>
          <t>Ngaoundere</t>
        </is>
      </c>
      <c r="D885" t="inlineStr">
        <is>
          <t>IHS</t>
        </is>
      </c>
      <c r="E885" t="inlineStr">
        <is>
          <t>Grid-Gen</t>
        </is>
      </c>
      <c r="F885" t="inlineStr">
        <is>
          <t>ADAMAOUA</t>
        </is>
      </c>
      <c r="G885" t="inlineStr">
        <is>
          <t>Ngaoundere</t>
        </is>
      </c>
      <c r="H885" t="inlineStr">
        <is>
          <t>Huawei</t>
        </is>
      </c>
      <c r="I885" t="n">
        <v>0.002229384789674488</v>
      </c>
      <c r="J885" t="n">
        <v>0.0005350523495218772</v>
      </c>
      <c r="K885" t="n">
        <v>0.001605157048565632</v>
      </c>
      <c r="L885" t="n">
        <v>0.002211549711357092</v>
      </c>
      <c r="M885" t="n">
        <v>0.001070104699043754</v>
      </c>
      <c r="N885" t="n">
        <v>0</v>
      </c>
      <c r="O885" t="n">
        <v>0.008234561101080885</v>
      </c>
      <c r="P885" t="n">
        <v>0</v>
      </c>
      <c r="Q885" t="n">
        <v>0.002764437139196366</v>
      </c>
      <c r="R885" t="inlineStr">
        <is>
          <t>Operationnel</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row>
    <row r="886">
      <c r="A886" t="inlineStr">
        <is>
          <t>Nkomkana-IHS</t>
        </is>
      </c>
      <c r="B886" t="inlineStr">
        <is>
          <t>CTR_448</t>
        </is>
      </c>
      <c r="C886" t="inlineStr">
        <is>
          <t>Yaounde</t>
        </is>
      </c>
      <c r="D886" t="inlineStr">
        <is>
          <t>IHS</t>
        </is>
      </c>
      <c r="E886" t="inlineStr">
        <is>
          <t>Grid-Gen</t>
        </is>
      </c>
      <c r="F886" t="inlineStr">
        <is>
          <t>CENTRE</t>
        </is>
      </c>
      <c r="G886" t="inlineStr">
        <is>
          <t>Yaounde</t>
        </is>
      </c>
      <c r="H886" t="inlineStr">
        <is>
          <t>ZTE</t>
        </is>
      </c>
      <c r="I886" t="n">
        <v>0</v>
      </c>
      <c r="J886" t="n">
        <v>0</v>
      </c>
      <c r="K886" t="n">
        <v>0</v>
      </c>
      <c r="L886" t="n">
        <v>0</v>
      </c>
      <c r="M886" t="n">
        <v>0</v>
      </c>
      <c r="N886" t="n">
        <v>0</v>
      </c>
      <c r="O886" t="n">
        <v>0</v>
      </c>
      <c r="P886" t="n">
        <v>0.004651244235193136</v>
      </c>
      <c r="Q886" t="n">
        <v>0.002425570651165823</v>
      </c>
      <c r="R886" t="inlineStr">
        <is>
          <t>Operationnel</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row>
    <row r="887">
      <c r="A887" t="inlineStr">
        <is>
          <t>Science</t>
        </is>
      </c>
      <c r="B887" t="inlineStr">
        <is>
          <t>CTR_249</t>
        </is>
      </c>
      <c r="C887" t="inlineStr">
        <is>
          <t>Yaounde</t>
        </is>
      </c>
      <c r="D887" t="inlineStr">
        <is>
          <t>IHS</t>
        </is>
      </c>
      <c r="E887" t="inlineStr">
        <is>
          <t>Grid-Gen</t>
        </is>
      </c>
      <c r="F887" t="inlineStr">
        <is>
          <t>CENTRE</t>
        </is>
      </c>
      <c r="G887" t="inlineStr">
        <is>
          <t>Yaounde</t>
        </is>
      </c>
      <c r="H887" t="inlineStr">
        <is>
          <t>ZTE</t>
        </is>
      </c>
      <c r="I887" t="n">
        <v>3.510264444273228</v>
      </c>
      <c r="J887" t="n">
        <v>5.393916240764997</v>
      </c>
      <c r="K887" t="n">
        <v>0.2691313318095042</v>
      </c>
      <c r="L887" t="n">
        <v>0</v>
      </c>
      <c r="M887" t="n">
        <v>0</v>
      </c>
      <c r="N887" t="n">
        <v>0</v>
      </c>
      <c r="O887" t="n">
        <v>0</v>
      </c>
      <c r="P887" t="n">
        <v>0.004651244235193135</v>
      </c>
      <c r="Q887" t="n">
        <v>0.002425570651165823</v>
      </c>
      <c r="R887" t="inlineStr">
        <is>
          <t>Operationnel</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row>
    <row r="888">
      <c r="A888" t="inlineStr">
        <is>
          <t>Madagascar-Yde-New</t>
        </is>
      </c>
      <c r="B888" t="inlineStr">
        <is>
          <t>CTR_217</t>
        </is>
      </c>
      <c r="C888" t="inlineStr">
        <is>
          <t>Yaounde</t>
        </is>
      </c>
      <c r="D888" t="inlineStr">
        <is>
          <t>IHS</t>
        </is>
      </c>
      <c r="E888" t="inlineStr">
        <is>
          <t>Grid-Lithium</t>
        </is>
      </c>
      <c r="F888" t="inlineStr">
        <is>
          <t>CENTRE</t>
        </is>
      </c>
      <c r="G888" t="inlineStr">
        <is>
          <t>Yaounde</t>
        </is>
      </c>
      <c r="H888" t="inlineStr">
        <is>
          <t>ZTE</t>
        </is>
      </c>
      <c r="I888" t="n">
        <v>0</v>
      </c>
      <c r="J888" t="n">
        <v>0</v>
      </c>
      <c r="K888" t="n">
        <v>0.1174439907200522</v>
      </c>
      <c r="L888" t="n">
        <v>0</v>
      </c>
      <c r="M888" t="n">
        <v>0</v>
      </c>
      <c r="N888" t="n">
        <v>0</v>
      </c>
      <c r="O888" t="n">
        <v>0</v>
      </c>
      <c r="P888" t="n">
        <v>0.004582843584675797</v>
      </c>
      <c r="Q888" t="n">
        <v>0.00238990049453114</v>
      </c>
      <c r="R888" t="inlineStr">
        <is>
          <t>Operationnel</t>
        </is>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row>
    <row r="889">
      <c r="A889" t="inlineStr">
        <is>
          <t>LIT_856_Z_Makepe-Orchidee</t>
        </is>
      </c>
      <c r="B889" t="inlineStr">
        <is>
          <t>LIT_856</t>
        </is>
      </c>
      <c r="C889" t="inlineStr">
        <is>
          <t>Douala</t>
        </is>
      </c>
      <c r="D889" t="inlineStr">
        <is>
          <t>ESCO</t>
        </is>
      </c>
      <c r="E889" t="inlineStr">
        <is>
          <t>Good Grid + Solar + GE</t>
        </is>
      </c>
      <c r="F889" t="inlineStr">
        <is>
          <t>LITTORAL</t>
        </is>
      </c>
      <c r="G889" t="inlineStr">
        <is>
          <t>Douala</t>
        </is>
      </c>
      <c r="H889" t="inlineStr">
        <is>
          <t>ZTE</t>
        </is>
      </c>
      <c r="I889" t="n">
        <v>0</v>
      </c>
      <c r="J889" t="n">
        <v>0</v>
      </c>
      <c r="K889" t="n">
        <v>0</v>
      </c>
      <c r="L889" t="n">
        <v>0</v>
      </c>
      <c r="M889" t="n">
        <v>1.819267163765971</v>
      </c>
      <c r="N889" t="n">
        <v>0</v>
      </c>
      <c r="O889" t="n">
        <v>0</v>
      </c>
      <c r="P889" t="n">
        <v>0.0045486432594168</v>
      </c>
      <c r="Q889" t="n">
        <v>0.002372065416213627</v>
      </c>
      <c r="R889" t="inlineStr">
        <is>
          <t>Operationnel</t>
        </is>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row>
    <row r="890">
      <c r="A890" t="inlineStr">
        <is>
          <t>New-Marche-Melen</t>
        </is>
      </c>
      <c r="B890" t="inlineStr">
        <is>
          <t>CTR_425</t>
        </is>
      </c>
      <c r="C890" t="inlineStr">
        <is>
          <t>Yaounde</t>
        </is>
      </c>
      <c r="D890" t="inlineStr">
        <is>
          <t>IHS</t>
        </is>
      </c>
      <c r="E890" t="inlineStr">
        <is>
          <t>Grid-Gen</t>
        </is>
      </c>
      <c r="F890" t="inlineStr">
        <is>
          <t>CENTRE</t>
        </is>
      </c>
      <c r="G890" t="inlineStr">
        <is>
          <t>Yaounde</t>
        </is>
      </c>
      <c r="H890" t="inlineStr">
        <is>
          <t>ZTE</t>
        </is>
      </c>
      <c r="I890" t="n">
        <v>3.496032051775946</v>
      </c>
      <c r="J890" t="n">
        <v>5.663939326490372</v>
      </c>
      <c r="K890" t="n">
        <v>0.2490311985457989</v>
      </c>
      <c r="L890" t="n">
        <v>0</v>
      </c>
      <c r="M890" t="n">
        <v>0</v>
      </c>
      <c r="N890" t="n">
        <v>0</v>
      </c>
      <c r="O890" t="n">
        <v>0</v>
      </c>
      <c r="P890" t="n">
        <v>0.0045486432594168</v>
      </c>
      <c r="Q890" t="n">
        <v>0.002372065416213627</v>
      </c>
      <c r="R890" t="inlineStr">
        <is>
          <t>Operationnel</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row>
    <row r="891">
      <c r="A891" t="inlineStr">
        <is>
          <t>Makepe-Decharge2-IHS</t>
        </is>
      </c>
      <c r="B891" t="inlineStr">
        <is>
          <t>LIT_490</t>
        </is>
      </c>
      <c r="C891" t="inlineStr">
        <is>
          <t>Douala</t>
        </is>
      </c>
      <c r="D891" t="inlineStr">
        <is>
          <t>IHS</t>
        </is>
      </c>
      <c r="E891" t="inlineStr">
        <is>
          <t>Grid-Gen</t>
        </is>
      </c>
      <c r="F891" t="inlineStr">
        <is>
          <t>LITTORAL</t>
        </is>
      </c>
      <c r="G891" t="inlineStr">
        <is>
          <t>Douala</t>
        </is>
      </c>
      <c r="H891" t="inlineStr">
        <is>
          <t>ZTE</t>
        </is>
      </c>
      <c r="I891" t="n">
        <v>13.86855689960706</v>
      </c>
      <c r="J891" t="n">
        <v>34.74658493920379</v>
      </c>
      <c r="K891" t="n">
        <v>0</v>
      </c>
      <c r="L891" t="n">
        <v>0</v>
      </c>
      <c r="M891" t="n">
        <v>0</v>
      </c>
      <c r="N891" t="n">
        <v>0</v>
      </c>
      <c r="O891" t="n">
        <v>0</v>
      </c>
      <c r="P891" t="n">
        <v>0.004480242608899133</v>
      </c>
      <c r="Q891" t="n">
        <v>0.002336395259578773</v>
      </c>
      <c r="R891" t="inlineStr">
        <is>
          <t>Operationnel</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row>
    <row r="892">
      <c r="A892" t="inlineStr">
        <is>
          <t>Ngd-Projet-Laitier</t>
        </is>
      </c>
      <c r="B892" t="inlineStr">
        <is>
          <t>ADM_034</t>
        </is>
      </c>
      <c r="C892" t="inlineStr">
        <is>
          <t>Ngaoundere</t>
        </is>
      </c>
      <c r="D892" t="inlineStr">
        <is>
          <t>IHS</t>
        </is>
      </c>
      <c r="E892" t="inlineStr">
        <is>
          <t>Grid-Gen</t>
        </is>
      </c>
      <c r="F892" t="inlineStr">
        <is>
          <t>ADAMAOUA</t>
        </is>
      </c>
      <c r="G892" t="inlineStr">
        <is>
          <t>Ngaoundere</t>
        </is>
      </c>
      <c r="H892" t="inlineStr">
        <is>
          <t>Huawei</t>
        </is>
      </c>
      <c r="I892" t="n">
        <v>0.002407735572848447</v>
      </c>
      <c r="J892" t="n">
        <v>0.002211549711357092</v>
      </c>
      <c r="K892" t="n">
        <v>0.5092806613532401</v>
      </c>
      <c r="L892" t="n">
        <v>0.00401289262141408</v>
      </c>
      <c r="M892" t="n">
        <v>0.0008025785242828158</v>
      </c>
      <c r="N892" t="n">
        <v>0</v>
      </c>
      <c r="O892" t="n">
        <v>0.006906406084777515</v>
      </c>
      <c r="P892" t="n">
        <v>0</v>
      </c>
      <c r="Q892" t="n">
        <v>0.002318560181261468</v>
      </c>
      <c r="R892" t="inlineStr">
        <is>
          <t>Operationnel</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row>
    <row r="893">
      <c r="A893" t="inlineStr">
        <is>
          <t>Socaver</t>
        </is>
      </c>
      <c r="B893" t="inlineStr">
        <is>
          <t>LIT_024</t>
        </is>
      </c>
      <c r="C893" t="inlineStr">
        <is>
          <t>Douala</t>
        </is>
      </c>
      <c r="D893" t="inlineStr">
        <is>
          <t>IHS</t>
        </is>
      </c>
      <c r="E893" t="inlineStr">
        <is>
          <t>Grid-Gen</t>
        </is>
      </c>
      <c r="F893" t="inlineStr">
        <is>
          <t>LITTORAL</t>
        </is>
      </c>
      <c r="G893" t="inlineStr">
        <is>
          <t>Douala</t>
        </is>
      </c>
      <c r="H893" t="inlineStr">
        <is>
          <t>ZTE</t>
        </is>
      </c>
      <c r="I893" t="n">
        <v>0</v>
      </c>
      <c r="J893" t="n">
        <v>0</v>
      </c>
      <c r="K893" t="n">
        <v>0</v>
      </c>
      <c r="L893" t="n">
        <v>0</v>
      </c>
      <c r="M893" t="n">
        <v>0</v>
      </c>
      <c r="N893" t="n">
        <v>0</v>
      </c>
      <c r="O893" t="n">
        <v>0</v>
      </c>
      <c r="P893" t="n">
        <v>0.004411841958381795</v>
      </c>
      <c r="Q893" t="n">
        <v>0.002300725102944089</v>
      </c>
      <c r="R893" t="inlineStr">
        <is>
          <t>Operationnel</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row>
    <row r="894">
      <c r="A894" t="inlineStr">
        <is>
          <t>Messa-Carriere</t>
        </is>
      </c>
      <c r="B894" t="inlineStr">
        <is>
          <t>CTR_382</t>
        </is>
      </c>
      <c r="C894" t="inlineStr">
        <is>
          <t>Yaounde</t>
        </is>
      </c>
      <c r="D894" t="inlineStr">
        <is>
          <t>IHS</t>
        </is>
      </c>
      <c r="E894" t="inlineStr">
        <is>
          <t>GridOnly</t>
        </is>
      </c>
      <c r="F894" t="inlineStr">
        <is>
          <t>CENTRE</t>
        </is>
      </c>
      <c r="G894" t="inlineStr">
        <is>
          <t>Yaounde</t>
        </is>
      </c>
      <c r="H894" t="inlineStr">
        <is>
          <t>ZTE</t>
        </is>
      </c>
      <c r="I894" t="n">
        <v>0</v>
      </c>
      <c r="J894" t="n">
        <v>0</v>
      </c>
      <c r="K894" t="n">
        <v>0</v>
      </c>
      <c r="L894" t="n">
        <v>0</v>
      </c>
      <c r="M894" t="n">
        <v>0</v>
      </c>
      <c r="N894" t="n">
        <v>0</v>
      </c>
      <c r="O894" t="n">
        <v>0</v>
      </c>
      <c r="P894" t="n">
        <v>0.004309240982605458</v>
      </c>
      <c r="Q894" t="n">
        <v>0.002247219867991893</v>
      </c>
      <c r="R894" t="inlineStr">
        <is>
          <t>Operationnel</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row>
    <row r="895">
      <c r="A895" t="inlineStr">
        <is>
          <t>Fin-Goudron-Mt-Essec</t>
        </is>
      </c>
      <c r="B895" t="inlineStr">
        <is>
          <t>LIT_160</t>
        </is>
      </c>
      <c r="C895" t="inlineStr">
        <is>
          <t>Douala</t>
        </is>
      </c>
      <c r="D895" t="inlineStr">
        <is>
          <t>IHS</t>
        </is>
      </c>
      <c r="E895" t="inlineStr">
        <is>
          <t>Grid-Gen</t>
        </is>
      </c>
      <c r="F895" t="inlineStr">
        <is>
          <t>LITTORAL</t>
        </is>
      </c>
      <c r="G895" t="inlineStr">
        <is>
          <t>Douala</t>
        </is>
      </c>
      <c r="H895" t="inlineStr">
        <is>
          <t>ZTE</t>
        </is>
      </c>
      <c r="I895" t="n">
        <v>0</v>
      </c>
      <c r="J895" t="n">
        <v>0</v>
      </c>
      <c r="K895" t="n">
        <v>0</v>
      </c>
      <c r="L895" t="n">
        <v>0</v>
      </c>
      <c r="M895" t="n">
        <v>0</v>
      </c>
      <c r="N895" t="n">
        <v>0</v>
      </c>
      <c r="O895" t="n">
        <v>0</v>
      </c>
      <c r="P895" t="n">
        <v>0.004275040657346461</v>
      </c>
      <c r="Q895" t="n">
        <v>0.002229384789674381</v>
      </c>
      <c r="R895" t="inlineStr">
        <is>
          <t>Operationnel</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row>
    <row r="896">
      <c r="A896" t="inlineStr">
        <is>
          <t>Ndogbong-Vallee</t>
        </is>
      </c>
      <c r="B896" t="inlineStr">
        <is>
          <t>LIT_264</t>
        </is>
      </c>
      <c r="C896" t="inlineStr">
        <is>
          <t>Douala</t>
        </is>
      </c>
      <c r="D896" t="inlineStr">
        <is>
          <t>IHS</t>
        </is>
      </c>
      <c r="E896" t="inlineStr">
        <is>
          <t>Grid-Gen</t>
        </is>
      </c>
      <c r="F896" t="inlineStr">
        <is>
          <t>LITTORAL</t>
        </is>
      </c>
      <c r="G896" t="inlineStr">
        <is>
          <t>Douala</t>
        </is>
      </c>
      <c r="H896" t="inlineStr">
        <is>
          <t>ZTE</t>
        </is>
      </c>
      <c r="I896" t="n">
        <v>0</v>
      </c>
      <c r="J896" t="n">
        <v>0</v>
      </c>
      <c r="K896" t="n">
        <v>0</v>
      </c>
      <c r="L896" t="n">
        <v>0</v>
      </c>
      <c r="M896" t="n">
        <v>0</v>
      </c>
      <c r="N896" t="n">
        <v>0</v>
      </c>
      <c r="O896" t="n">
        <v>0</v>
      </c>
      <c r="P896" t="n">
        <v>0.004240840332087792</v>
      </c>
      <c r="Q896" t="n">
        <v>0.002211549711357039</v>
      </c>
      <c r="R896" t="inlineStr">
        <is>
          <t>Operationnel</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row>
    <row r="897">
      <c r="A897" t="inlineStr">
        <is>
          <t>Mak-Universite-II-IHS</t>
        </is>
      </c>
      <c r="B897" t="inlineStr">
        <is>
          <t>LIT_576</t>
        </is>
      </c>
      <c r="C897" t="inlineStr">
        <is>
          <t>Douala</t>
        </is>
      </c>
      <c r="D897" t="inlineStr">
        <is>
          <t>IHS</t>
        </is>
      </c>
      <c r="E897" t="inlineStr">
        <is>
          <t>Grid-Gen</t>
        </is>
      </c>
      <c r="F897" t="inlineStr">
        <is>
          <t>LITTORAL</t>
        </is>
      </c>
      <c r="G897" t="inlineStr">
        <is>
          <t>Douala</t>
        </is>
      </c>
      <c r="H897" t="inlineStr">
        <is>
          <t>ZTE</t>
        </is>
      </c>
      <c r="I897" t="n">
        <v>0</v>
      </c>
      <c r="J897" t="n">
        <v>0.07845650951822442</v>
      </c>
      <c r="K897" t="n">
        <v>0.1222237917091151</v>
      </c>
      <c r="L897" t="n">
        <v>0.6809789603148105</v>
      </c>
      <c r="M897" t="n">
        <v>0</v>
      </c>
      <c r="N897" t="n">
        <v>0</v>
      </c>
      <c r="O897" t="n">
        <v>0</v>
      </c>
      <c r="P897" t="n">
        <v>0.004206640006829123</v>
      </c>
      <c r="Q897" t="n">
        <v>0.002193714633039698</v>
      </c>
      <c r="R897" t="inlineStr">
        <is>
          <t>Operationnel</t>
        </is>
      </c>
      <c r="S897" t="inlineStr"/>
      <c r="T897" t="inlineStr"/>
      <c r="U897" t="inlineStr"/>
      <c r="V897" t="inlineStr"/>
      <c r="W897" t="inlineStr"/>
      <c r="X897" t="inlineStr">
        <is>
          <t>{05-25-2026 retour IHS}: IHS</t>
        </is>
      </c>
      <c r="Y897" t="inlineStr">
        <is>
          <t>IHS</t>
        </is>
      </c>
      <c r="Z897" t="inlineStr"/>
      <c r="AA897" t="inlineStr"/>
      <c r="AB897" t="inlineStr"/>
      <c r="AC897" t="inlineStr"/>
      <c r="AD897" t="inlineStr">
        <is>
          <t>{05-25-2026 retour IHS}: IHS</t>
        </is>
      </c>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row>
    <row r="898">
      <c r="A898" t="inlineStr">
        <is>
          <t>J-Vespa</t>
        </is>
      </c>
      <c r="B898" t="inlineStr">
        <is>
          <t>CTR_088</t>
        </is>
      </c>
      <c r="C898" t="inlineStr">
        <is>
          <t>Yaounde</t>
        </is>
      </c>
      <c r="D898" t="inlineStr">
        <is>
          <t>IHS</t>
        </is>
      </c>
      <c r="E898" t="inlineStr">
        <is>
          <t>Grid-Gen</t>
        </is>
      </c>
      <c r="F898" t="inlineStr">
        <is>
          <t>CENTRE</t>
        </is>
      </c>
      <c r="G898" t="inlineStr">
        <is>
          <t>Yaounde</t>
        </is>
      </c>
      <c r="H898" t="inlineStr">
        <is>
          <t>ZTE</t>
        </is>
      </c>
      <c r="I898" t="n">
        <v>3.510264444273228</v>
      </c>
      <c r="J898" t="n">
        <v>9.245704599738039</v>
      </c>
      <c r="K898" t="n">
        <v>0.1917805971469579</v>
      </c>
      <c r="L898" t="n">
        <v>0</v>
      </c>
      <c r="M898" t="n">
        <v>0</v>
      </c>
      <c r="N898" t="n">
        <v>0</v>
      </c>
      <c r="O898" t="n">
        <v>0</v>
      </c>
      <c r="P898" t="n">
        <v>0.004206640006829123</v>
      </c>
      <c r="Q898" t="n">
        <v>0.002193714633039698</v>
      </c>
      <c r="R898" t="inlineStr">
        <is>
          <t>Operationnel</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row>
    <row r="899">
      <c r="A899" t="inlineStr">
        <is>
          <t>Ndogbong-Citadelle</t>
        </is>
      </c>
      <c r="B899" t="inlineStr">
        <is>
          <t>LIT_344</t>
        </is>
      </c>
      <c r="C899" t="inlineStr">
        <is>
          <t>Douala</t>
        </is>
      </c>
      <c r="D899" t="inlineStr">
        <is>
          <t>IHS</t>
        </is>
      </c>
      <c r="E899" t="inlineStr">
        <is>
          <t>Grid-Gen</t>
        </is>
      </c>
      <c r="F899" t="inlineStr">
        <is>
          <t>LITTORAL</t>
        </is>
      </c>
      <c r="G899" t="inlineStr">
        <is>
          <t>Douala</t>
        </is>
      </c>
      <c r="H899" t="inlineStr">
        <is>
          <t>ZTE</t>
        </is>
      </c>
      <c r="I899" t="n">
        <v>0</v>
      </c>
      <c r="J899" t="n">
        <v>0</v>
      </c>
      <c r="K899" t="n">
        <v>0</v>
      </c>
      <c r="L899" t="n">
        <v>0</v>
      </c>
      <c r="M899" t="n">
        <v>0</v>
      </c>
      <c r="N899" t="n">
        <v>0</v>
      </c>
      <c r="O899" t="n">
        <v>0</v>
      </c>
      <c r="P899" t="n">
        <v>0.004206640006829123</v>
      </c>
      <c r="Q899" t="n">
        <v>0.002193714633039698</v>
      </c>
      <c r="R899" t="inlineStr">
        <is>
          <t>Operationnel</t>
        </is>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row>
    <row r="900">
      <c r="A900" t="inlineStr">
        <is>
          <t>Logpom-IHS</t>
        </is>
      </c>
      <c r="B900" t="inlineStr">
        <is>
          <t>LIT_376</t>
        </is>
      </c>
      <c r="C900" t="inlineStr">
        <is>
          <t>Douala</t>
        </is>
      </c>
      <c r="D900" t="inlineStr">
        <is>
          <t>IHS</t>
        </is>
      </c>
      <c r="E900" t="inlineStr">
        <is>
          <t>Grid-Gen</t>
        </is>
      </c>
      <c r="F900" t="inlineStr">
        <is>
          <t>LITTORAL</t>
        </is>
      </c>
      <c r="G900" t="inlineStr">
        <is>
          <t>Douala</t>
        </is>
      </c>
      <c r="H900" t="inlineStr">
        <is>
          <t>ZTE</t>
        </is>
      </c>
      <c r="I900" t="n">
        <v>0</v>
      </c>
      <c r="J900" t="n">
        <v>0</v>
      </c>
      <c r="K900" t="n">
        <v>0</v>
      </c>
      <c r="L900" t="n">
        <v>0</v>
      </c>
      <c r="M900" t="n">
        <v>0</v>
      </c>
      <c r="N900" t="n">
        <v>0</v>
      </c>
      <c r="O900" t="n">
        <v>0</v>
      </c>
      <c r="P900" t="n">
        <v>0.004138239356311455</v>
      </c>
      <c r="Q900" t="n">
        <v>0.002158044476404843</v>
      </c>
      <c r="R900" t="inlineStr">
        <is>
          <t>Operationnel</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row>
    <row r="901">
      <c r="A901" t="inlineStr">
        <is>
          <t>Crfr-Ecole-Maternelle-Carriere</t>
        </is>
      </c>
      <c r="B901" t="inlineStr">
        <is>
          <t>CTR_557</t>
        </is>
      </c>
      <c r="C901" t="inlineStr">
        <is>
          <t>Yaounde</t>
        </is>
      </c>
      <c r="D901" t="inlineStr">
        <is>
          <t>CAMUSAT</t>
        </is>
      </c>
      <c r="E901" t="inlineStr">
        <is>
          <t>Good Grid no GE - 8h</t>
        </is>
      </c>
      <c r="F901" t="inlineStr">
        <is>
          <t>CENTRE</t>
        </is>
      </c>
      <c r="G901" t="inlineStr">
        <is>
          <t>Yaounde</t>
        </is>
      </c>
      <c r="H901" t="inlineStr">
        <is>
          <t>ZTE</t>
        </is>
      </c>
      <c r="I901" t="n">
        <v>0</v>
      </c>
      <c r="J901" t="n">
        <v>0</v>
      </c>
      <c r="K901" t="n">
        <v>8.322667956499531</v>
      </c>
      <c r="L901" t="n">
        <v>0</v>
      </c>
      <c r="M901" t="n">
        <v>0</v>
      </c>
      <c r="N901" t="n">
        <v>0</v>
      </c>
      <c r="O901" t="n">
        <v>0</v>
      </c>
      <c r="P901" t="n">
        <v>0.00400143805527645</v>
      </c>
      <c r="Q901" t="n">
        <v>0.002086704163135305</v>
      </c>
      <c r="R901" t="inlineStr">
        <is>
          <t>Operationnel</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row>
    <row r="902">
      <c r="A902" t="inlineStr">
        <is>
          <t>Nkomkana</t>
        </is>
      </c>
      <c r="B902" t="inlineStr">
        <is>
          <t>CTR_427</t>
        </is>
      </c>
      <c r="C902" t="inlineStr">
        <is>
          <t>Yaounde</t>
        </is>
      </c>
      <c r="D902" t="inlineStr">
        <is>
          <t>IHS</t>
        </is>
      </c>
      <c r="E902" t="inlineStr">
        <is>
          <t>GridOnly</t>
        </is>
      </c>
      <c r="F902" t="inlineStr">
        <is>
          <t>CENTRE</t>
        </is>
      </c>
      <c r="G902" t="inlineStr">
        <is>
          <t>Yaounde</t>
        </is>
      </c>
      <c r="H902" t="inlineStr">
        <is>
          <t>ZTE</t>
        </is>
      </c>
      <c r="I902" t="n">
        <v>3.510478465213037</v>
      </c>
      <c r="J902" t="n">
        <v>8.755507472184412</v>
      </c>
      <c r="K902" t="n">
        <v>1.736905813977866e-16</v>
      </c>
      <c r="L902" t="n">
        <v>0</v>
      </c>
      <c r="M902" t="n">
        <v>0</v>
      </c>
      <c r="N902" t="n">
        <v>0</v>
      </c>
      <c r="O902" t="n">
        <v>0</v>
      </c>
      <c r="P902" t="n">
        <v>0.003933037404759005</v>
      </c>
      <c r="Q902" t="n">
        <v>0.002051034006500566</v>
      </c>
      <c r="R902" t="inlineStr">
        <is>
          <t>Operationnel</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row>
    <row r="903">
      <c r="A903" t="inlineStr">
        <is>
          <t>Ange-Raphael</t>
        </is>
      </c>
      <c r="B903" t="inlineStr">
        <is>
          <t>LIT_056</t>
        </is>
      </c>
      <c r="C903" t="inlineStr">
        <is>
          <t>Douala</t>
        </is>
      </c>
      <c r="D903" t="inlineStr">
        <is>
          <t>IHS</t>
        </is>
      </c>
      <c r="E903" t="inlineStr">
        <is>
          <t>GridOnly</t>
        </is>
      </c>
      <c r="F903" t="inlineStr">
        <is>
          <t>LITTORAL</t>
        </is>
      </c>
      <c r="G903" t="inlineStr">
        <is>
          <t>Douala</t>
        </is>
      </c>
      <c r="H903" t="inlineStr">
        <is>
          <t>ZTE</t>
        </is>
      </c>
      <c r="I903" t="n">
        <v>0</v>
      </c>
      <c r="J903" t="n">
        <v>0</v>
      </c>
      <c r="K903" t="n">
        <v>0</v>
      </c>
      <c r="L903" t="n">
        <v>0</v>
      </c>
      <c r="M903" t="n">
        <v>0</v>
      </c>
      <c r="N903" t="n">
        <v>0</v>
      </c>
      <c r="O903" t="n">
        <v>0</v>
      </c>
      <c r="P903" t="n">
        <v>0.003898837079500114</v>
      </c>
      <c r="Q903" t="n">
        <v>0.002033198928183109</v>
      </c>
      <c r="R903" t="inlineStr">
        <is>
          <t>Operationnel</t>
        </is>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row>
    <row r="904">
      <c r="A904" t="inlineStr">
        <is>
          <t>Makepe</t>
        </is>
      </c>
      <c r="B904" t="inlineStr">
        <is>
          <t>LIT_037</t>
        </is>
      </c>
      <c r="C904" t="inlineStr">
        <is>
          <t>Douala</t>
        </is>
      </c>
      <c r="D904" t="inlineStr">
        <is>
          <t>IHS</t>
        </is>
      </c>
      <c r="E904" t="inlineStr">
        <is>
          <t>Grid-Gen</t>
        </is>
      </c>
      <c r="F904" t="inlineStr">
        <is>
          <t>LITTORAL</t>
        </is>
      </c>
      <c r="G904" t="inlineStr">
        <is>
          <t>Douala</t>
        </is>
      </c>
      <c r="H904" t="inlineStr">
        <is>
          <t>ZTE</t>
        </is>
      </c>
      <c r="I904" t="n">
        <v>0</v>
      </c>
      <c r="J904" t="n">
        <v>0</v>
      </c>
      <c r="K904" t="n">
        <v>0</v>
      </c>
      <c r="L904" t="n">
        <v>0</v>
      </c>
      <c r="M904" t="n">
        <v>0</v>
      </c>
      <c r="N904" t="n">
        <v>0</v>
      </c>
      <c r="O904" t="n">
        <v>0</v>
      </c>
      <c r="P904" t="n">
        <v>0.003864636754241117</v>
      </c>
      <c r="Q904" t="n">
        <v>0.002015363849865596</v>
      </c>
      <c r="R904" t="inlineStr">
        <is>
          <t>Operationnel</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row>
    <row r="905">
      <c r="A905" t="inlineStr">
        <is>
          <t>PDC</t>
        </is>
      </c>
      <c r="B905" t="inlineStr">
        <is>
          <t>CTR_011</t>
        </is>
      </c>
      <c r="C905" t="inlineStr">
        <is>
          <t>Yaounde</t>
        </is>
      </c>
      <c r="D905" t="inlineStr">
        <is>
          <t>IHS</t>
        </is>
      </c>
      <c r="E905" t="inlineStr">
        <is>
          <t>Grid-Gen</t>
        </is>
      </c>
      <c r="F905" t="inlineStr">
        <is>
          <t>CENTRE</t>
        </is>
      </c>
      <c r="G905" t="inlineStr">
        <is>
          <t>Yaounde</t>
        </is>
      </c>
      <c r="H905" t="inlineStr">
        <is>
          <t>ZTE</t>
        </is>
      </c>
      <c r="I905" t="n">
        <v>0</v>
      </c>
      <c r="J905" t="n">
        <v>0.2748207217927532</v>
      </c>
      <c r="K905" t="n">
        <v>0.2824719703909163</v>
      </c>
      <c r="L905" t="n">
        <v>0</v>
      </c>
      <c r="M905" t="n">
        <v>0</v>
      </c>
      <c r="N905" t="n">
        <v>0</v>
      </c>
      <c r="O905" t="n">
        <v>0</v>
      </c>
      <c r="P905" t="n">
        <v>0.003830436428982447</v>
      </c>
      <c r="Q905" t="n">
        <v>0.001997528771548255</v>
      </c>
      <c r="R905" t="inlineStr">
        <is>
          <t>Operationnel</t>
        </is>
      </c>
      <c r="S905" t="inlineStr"/>
      <c r="T905" t="inlineStr"/>
      <c r="U905" t="inlineStr"/>
      <c r="V905" t="inlineStr"/>
      <c r="W905" t="inlineStr"/>
      <c r="X905" t="inlineStr">
        <is>
          <t>{05-25-2026 retour IHS}: IHS</t>
        </is>
      </c>
      <c r="Y905" t="inlineStr">
        <is>
          <t>IHS</t>
        </is>
      </c>
      <c r="Z905" t="inlineStr">
        <is>
          <t>CTR_011</t>
        </is>
      </c>
      <c r="AA905" t="inlineStr"/>
      <c r="AB905" t="inlineStr"/>
      <c r="AC905" t="inlineStr"/>
      <c r="AD905" t="inlineStr">
        <is>
          <t>{05-25-2026 retour IHS}: IHS</t>
        </is>
      </c>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row>
    <row r="906">
      <c r="A906" t="inlineStr">
        <is>
          <t>An-Marche-Melen</t>
        </is>
      </c>
      <c r="B906" t="inlineStr">
        <is>
          <t>CTR_372</t>
        </is>
      </c>
      <c r="C906" t="inlineStr">
        <is>
          <t>Yaounde</t>
        </is>
      </c>
      <c r="D906" t="inlineStr">
        <is>
          <t>IHS</t>
        </is>
      </c>
      <c r="E906" t="inlineStr">
        <is>
          <t>GridOnly</t>
        </is>
      </c>
      <c r="F906" t="inlineStr">
        <is>
          <t>CENTRE</t>
        </is>
      </c>
      <c r="G906" t="inlineStr">
        <is>
          <t>Yaounde</t>
        </is>
      </c>
      <c r="H906" t="inlineStr">
        <is>
          <t>ZTE</t>
        </is>
      </c>
      <c r="I906" t="n">
        <v>3.510585475682941</v>
      </c>
      <c r="J906" t="n">
        <v>5.39375572506014</v>
      </c>
      <c r="K906" t="n">
        <v>0.2286813741856504</v>
      </c>
      <c r="L906" t="n">
        <v>0</v>
      </c>
      <c r="M906" t="n">
        <v>0</v>
      </c>
      <c r="N906" t="n">
        <v>0</v>
      </c>
      <c r="O906" t="n">
        <v>0</v>
      </c>
      <c r="P906" t="n">
        <v>0.003830436428982448</v>
      </c>
      <c r="Q906" t="n">
        <v>0.001997528771548255</v>
      </c>
      <c r="R906" t="inlineStr">
        <is>
          <t>Operationnel</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row>
    <row r="907">
      <c r="A907" t="inlineStr">
        <is>
          <t>Makepe-Chefferie</t>
        </is>
      </c>
      <c r="B907" t="inlineStr">
        <is>
          <t>LIT_397</t>
        </is>
      </c>
      <c r="C907" t="inlineStr">
        <is>
          <t>Douala</t>
        </is>
      </c>
      <c r="D907" t="inlineStr">
        <is>
          <t>IHS</t>
        </is>
      </c>
      <c r="E907" t="inlineStr">
        <is>
          <t>Grid-Gen</t>
        </is>
      </c>
      <c r="F907" t="inlineStr">
        <is>
          <t>LITTORAL</t>
        </is>
      </c>
      <c r="G907" t="inlineStr">
        <is>
          <t>Douala</t>
        </is>
      </c>
      <c r="H907" t="inlineStr">
        <is>
          <t>ZTE</t>
        </is>
      </c>
      <c r="I907" t="n">
        <v>0</v>
      </c>
      <c r="J907" t="n">
        <v>0</v>
      </c>
      <c r="K907" t="n">
        <v>0</v>
      </c>
      <c r="L907" t="n">
        <v>0</v>
      </c>
      <c r="M907" t="n">
        <v>0</v>
      </c>
      <c r="N907" t="n">
        <v>0</v>
      </c>
      <c r="O907" t="n">
        <v>0</v>
      </c>
      <c r="P907" t="n">
        <v>0.003796236103723778</v>
      </c>
      <c r="Q907" t="n">
        <v>0.001979693693230913</v>
      </c>
      <c r="R907" t="inlineStr">
        <is>
          <t>Operationnel</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row>
    <row r="908">
      <c r="A908" t="inlineStr">
        <is>
          <t>Cite-Verte</t>
        </is>
      </c>
      <c r="B908" t="inlineStr">
        <is>
          <t>CTR_414</t>
        </is>
      </c>
      <c r="C908" t="inlineStr">
        <is>
          <t>Yaounde</t>
        </is>
      </c>
      <c r="D908" t="inlineStr">
        <is>
          <t>IHS</t>
        </is>
      </c>
      <c r="E908" t="inlineStr">
        <is>
          <t>GridOnly</t>
        </is>
      </c>
      <c r="F908" t="inlineStr">
        <is>
          <t>CENTRE</t>
        </is>
      </c>
      <c r="G908" t="inlineStr">
        <is>
          <t>Yaounde</t>
        </is>
      </c>
      <c r="H908" t="inlineStr">
        <is>
          <t>ZTE</t>
        </is>
      </c>
      <c r="I908" t="n">
        <v>9.245704599738039</v>
      </c>
      <c r="J908" t="n">
        <v>5.243851891802428</v>
      </c>
      <c r="K908" t="n">
        <v>0</v>
      </c>
      <c r="L908" t="n">
        <v>0.01972559661903994</v>
      </c>
      <c r="M908" t="n">
        <v>0</v>
      </c>
      <c r="N908" t="n">
        <v>0</v>
      </c>
      <c r="O908" t="n">
        <v>0</v>
      </c>
      <c r="P908" t="n">
        <v>0.003659434802688445</v>
      </c>
      <c r="Q908" t="n">
        <v>0.001908353379961204</v>
      </c>
      <c r="R908" t="inlineStr">
        <is>
          <t>Operationnel</t>
        </is>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row>
    <row r="909">
      <c r="A909" t="inlineStr">
        <is>
          <t>Sop-MTN</t>
        </is>
      </c>
      <c r="B909" t="inlineStr">
        <is>
          <t>NRO_258</t>
        </is>
      </c>
      <c r="C909" t="inlineStr">
        <is>
          <t>NORD-OUEST</t>
        </is>
      </c>
      <c r="D909" t="inlineStr">
        <is>
          <t>IHS</t>
        </is>
      </c>
      <c r="E909" t="inlineStr">
        <is>
          <t>Grid-Gen</t>
        </is>
      </c>
      <c r="F909" t="inlineStr">
        <is>
          <t>NORD-OUEST</t>
        </is>
      </c>
      <c r="G909" t="inlineStr">
        <is>
          <t>Sop</t>
        </is>
      </c>
      <c r="H909" t="inlineStr">
        <is>
          <t>NOKIA</t>
        </is>
      </c>
      <c r="I909" t="n">
        <v>0</v>
      </c>
      <c r="J909" t="n">
        <v>0.0005350523495219609</v>
      </c>
      <c r="K909" t="n">
        <v>0</v>
      </c>
      <c r="L909" t="n">
        <v>0.5406703991918569</v>
      </c>
      <c r="M909" t="n">
        <v>0.0004458769579349104</v>
      </c>
      <c r="N909" t="n">
        <v>0</v>
      </c>
      <c r="O909" t="n">
        <v>0.005578251068474</v>
      </c>
      <c r="P909" t="n">
        <v>0</v>
      </c>
      <c r="Q909" t="n">
        <v>0.001872683223326521</v>
      </c>
      <c r="R909" t="inlineStr">
        <is>
          <t>Insecurity</t>
        </is>
      </c>
      <c r="S909" t="inlineStr"/>
      <c r="T909" t="inlineStr"/>
      <c r="U909" t="inlineStr"/>
      <c r="V909" t="inlineStr"/>
      <c r="W909" t="inlineStr"/>
      <c r="X909" t="inlineStr">
        <is>
          <t>{05/25/2026 cell nokia}: 25/05/2026 : Need BO RAN analysis</t>
        </is>
      </c>
      <c r="Y909" t="inlineStr">
        <is>
          <t>25/05/2026 Need BO RAN analysis</t>
        </is>
      </c>
      <c r="Z909" t="inlineStr"/>
      <c r="AA909" t="inlineStr"/>
      <c r="AB909" t="inlineStr"/>
      <c r="AC909" t="inlineStr"/>
      <c r="AD909" t="inlineStr"/>
      <c r="AE909" t="inlineStr"/>
      <c r="AF909" t="inlineStr"/>
      <c r="AG909" t="inlineStr"/>
      <c r="AH909" t="inlineStr">
        <is>
          <t>{05/25/2026 cell nokia}: 25/05/2026 : Need BO RAN analysis</t>
        </is>
      </c>
      <c r="AI909" t="inlineStr"/>
      <c r="AJ909" t="inlineStr"/>
      <c r="AK909" t="inlineStr"/>
      <c r="AL909" t="inlineStr"/>
      <c r="AM909" t="inlineStr"/>
      <c r="AN909" t="inlineStr"/>
      <c r="AO909" t="inlineStr"/>
      <c r="AP909" t="inlineStr"/>
      <c r="AQ909" t="inlineStr"/>
      <c r="AR909" t="inlineStr"/>
    </row>
    <row r="910">
      <c r="A910" t="inlineStr">
        <is>
          <t>Makepe-Missoke-Clinique</t>
        </is>
      </c>
      <c r="B910" t="inlineStr">
        <is>
          <t>LIT_398</t>
        </is>
      </c>
      <c r="C910" t="inlineStr">
        <is>
          <t>Douala</t>
        </is>
      </c>
      <c r="D910" t="inlineStr">
        <is>
          <t>IHS</t>
        </is>
      </c>
      <c r="E910" t="inlineStr">
        <is>
          <t>Grid-Lithium</t>
        </is>
      </c>
      <c r="F910" t="inlineStr">
        <is>
          <t>LITTORAL</t>
        </is>
      </c>
      <c r="G910" t="inlineStr">
        <is>
          <t>Douala</t>
        </is>
      </c>
      <c r="H910" t="inlineStr">
        <is>
          <t>ZTE</t>
        </is>
      </c>
      <c r="I910" t="n">
        <v>0</v>
      </c>
      <c r="J910" t="n">
        <v>0</v>
      </c>
      <c r="K910" t="n">
        <v>0</v>
      </c>
      <c r="L910" t="n">
        <v>0</v>
      </c>
      <c r="M910" t="n">
        <v>0</v>
      </c>
      <c r="N910" t="n">
        <v>0</v>
      </c>
      <c r="O910" t="n">
        <v>0</v>
      </c>
      <c r="P910" t="n">
        <v>0.003556833826912437</v>
      </c>
      <c r="Q910" t="n">
        <v>0.001854848145009179</v>
      </c>
      <c r="R910" t="inlineStr">
        <is>
          <t>Operationnel</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row>
    <row r="911">
      <c r="A911" t="inlineStr">
        <is>
          <t>Bep-Universite</t>
        </is>
      </c>
      <c r="B911" t="inlineStr">
        <is>
          <t>LIT_265</t>
        </is>
      </c>
      <c r="C911" t="inlineStr">
        <is>
          <t>Douala</t>
        </is>
      </c>
      <c r="D911" t="inlineStr">
        <is>
          <t>IHS</t>
        </is>
      </c>
      <c r="E911" t="inlineStr">
        <is>
          <t>Grid-Gen</t>
        </is>
      </c>
      <c r="F911" t="inlineStr">
        <is>
          <t>LITTORAL</t>
        </is>
      </c>
      <c r="G911" t="inlineStr">
        <is>
          <t>Douala</t>
        </is>
      </c>
      <c r="H911" t="inlineStr">
        <is>
          <t>ZTE</t>
        </is>
      </c>
      <c r="I911" t="n">
        <v>0</v>
      </c>
      <c r="J911" t="n">
        <v>0</v>
      </c>
      <c r="K911" t="n">
        <v>0</v>
      </c>
      <c r="L911" t="n">
        <v>0</v>
      </c>
      <c r="M911" t="n">
        <v>0</v>
      </c>
      <c r="N911" t="n">
        <v>0</v>
      </c>
      <c r="O911" t="n">
        <v>0</v>
      </c>
      <c r="P911" t="n">
        <v>0.003556833826912109</v>
      </c>
      <c r="Q911" t="n">
        <v>0.001854848145009008</v>
      </c>
      <c r="R911" t="inlineStr">
        <is>
          <t>Operationnel</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row>
    <row r="912">
      <c r="A912" t="inlineStr">
        <is>
          <t>Rd-Pt-Longkak</t>
        </is>
      </c>
      <c r="B912" t="inlineStr">
        <is>
          <t>CTR_449</t>
        </is>
      </c>
      <c r="C912" t="inlineStr">
        <is>
          <t>Yaounde</t>
        </is>
      </c>
      <c r="D912" t="inlineStr">
        <is>
          <t>IHS</t>
        </is>
      </c>
      <c r="E912" t="inlineStr">
        <is>
          <t>Grid-Gen</t>
        </is>
      </c>
      <c r="F912" t="inlineStr">
        <is>
          <t>CENTRE</t>
        </is>
      </c>
      <c r="G912" t="inlineStr">
        <is>
          <t>Yaounde</t>
        </is>
      </c>
      <c r="H912" t="inlineStr">
        <is>
          <t>ZTE</t>
        </is>
      </c>
      <c r="I912" t="n">
        <v>0</v>
      </c>
      <c r="J912" t="n">
        <v>0</v>
      </c>
      <c r="K912" t="n">
        <v>0</v>
      </c>
      <c r="L912" t="n">
        <v>0</v>
      </c>
      <c r="M912" t="n">
        <v>0</v>
      </c>
      <c r="N912" t="n">
        <v>0</v>
      </c>
      <c r="O912" t="n">
        <v>0</v>
      </c>
      <c r="P912" t="n">
        <v>0.003522633501653767</v>
      </c>
      <c r="Q912" t="n">
        <v>0.001837013066691838</v>
      </c>
      <c r="R912" t="inlineStr">
        <is>
          <t>Operationnel</t>
        </is>
      </c>
      <c r="S912" t="inlineStr"/>
      <c r="T912" t="inlineStr"/>
      <c r="U912" t="inlineStr"/>
      <c r="V912" t="inlineStr"/>
      <c r="W912" t="inlineStr"/>
      <c r="X912" t="inlineStr">
        <is>
          <t>{05-25-2026 retour IHS}: IHS</t>
        </is>
      </c>
      <c r="Y912" t="inlineStr">
        <is>
          <t>IHS</t>
        </is>
      </c>
      <c r="Z912" t="inlineStr">
        <is>
          <t>CTR_449</t>
        </is>
      </c>
      <c r="AA912" t="inlineStr"/>
      <c r="AB912" t="inlineStr"/>
      <c r="AC912" t="inlineStr"/>
      <c r="AD912" t="inlineStr">
        <is>
          <t>{05-25-2026 retour IHS}: IHS</t>
        </is>
      </c>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row>
    <row r="913">
      <c r="A913" t="inlineStr">
        <is>
          <t>Bastos-Bethesda</t>
        </is>
      </c>
      <c r="B913" t="inlineStr">
        <is>
          <t>CTR_474</t>
        </is>
      </c>
      <c r="C913" t="inlineStr">
        <is>
          <t>Yaounde</t>
        </is>
      </c>
      <c r="D913" t="inlineStr">
        <is>
          <t>IHS</t>
        </is>
      </c>
      <c r="E913" t="inlineStr">
        <is>
          <t>Grid-Gen</t>
        </is>
      </c>
      <c r="F913" t="inlineStr">
        <is>
          <t>CENTRE</t>
        </is>
      </c>
      <c r="G913" t="inlineStr">
        <is>
          <t>Yaounde</t>
        </is>
      </c>
      <c r="H913" t="inlineStr">
        <is>
          <t>ZTE</t>
        </is>
      </c>
      <c r="I913" t="n">
        <v>10.40264829510919</v>
      </c>
      <c r="J913" t="n">
        <v>28.47252541855362</v>
      </c>
      <c r="K913" t="n">
        <v>0</v>
      </c>
      <c r="L913" t="n">
        <v>0</v>
      </c>
      <c r="M913" t="n">
        <v>0</v>
      </c>
      <c r="N913" t="n">
        <v>0</v>
      </c>
      <c r="O913" t="n">
        <v>0</v>
      </c>
      <c r="P913" t="n">
        <v>0.00348843317639477</v>
      </c>
      <c r="Q913" t="n">
        <v>0.001819177988374325</v>
      </c>
      <c r="R913" t="inlineStr">
        <is>
          <t>Operationnel</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row>
    <row r="914">
      <c r="A914" t="inlineStr">
        <is>
          <t>Vallee-Bastos</t>
        </is>
      </c>
      <c r="B914" t="inlineStr">
        <is>
          <t>CTR_251</t>
        </is>
      </c>
      <c r="C914" t="inlineStr">
        <is>
          <t>Yaounde</t>
        </is>
      </c>
      <c r="D914" t="inlineStr">
        <is>
          <t>IHS</t>
        </is>
      </c>
      <c r="E914" t="inlineStr">
        <is>
          <t>GridOnly</t>
        </is>
      </c>
      <c r="F914" t="inlineStr">
        <is>
          <t>CENTRE</t>
        </is>
      </c>
      <c r="G914" t="inlineStr">
        <is>
          <t>Yaounde</t>
        </is>
      </c>
      <c r="H914" t="inlineStr">
        <is>
          <t>ZTE</t>
        </is>
      </c>
      <c r="I914" t="n">
        <v>0</v>
      </c>
      <c r="J914" t="n">
        <v>0</v>
      </c>
      <c r="K914" t="n">
        <v>0</v>
      </c>
      <c r="L914" t="n">
        <v>0</v>
      </c>
      <c r="M914" t="n">
        <v>0</v>
      </c>
      <c r="N914" t="n">
        <v>0</v>
      </c>
      <c r="O914" t="n">
        <v>0</v>
      </c>
      <c r="P914" t="n">
        <v>0.003488433176394442</v>
      </c>
      <c r="Q914" t="n">
        <v>0.001819177988374154</v>
      </c>
      <c r="R914" t="inlineStr">
        <is>
          <t>Operationnel</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row>
    <row r="915">
      <c r="A915" t="inlineStr">
        <is>
          <t>Missoke-Universite</t>
        </is>
      </c>
      <c r="B915" t="inlineStr">
        <is>
          <t>LIT_373</t>
        </is>
      </c>
      <c r="C915" t="inlineStr">
        <is>
          <t>Douala</t>
        </is>
      </c>
      <c r="D915" t="inlineStr">
        <is>
          <t>IHS</t>
        </is>
      </c>
      <c r="E915" t="inlineStr">
        <is>
          <t>Grid-Gen</t>
        </is>
      </c>
      <c r="F915" t="inlineStr">
        <is>
          <t>LITTORAL</t>
        </is>
      </c>
      <c r="G915" t="inlineStr">
        <is>
          <t>Douala</t>
        </is>
      </c>
      <c r="H915" t="inlineStr">
        <is>
          <t>ZTE</t>
        </is>
      </c>
      <c r="I915" t="n">
        <v>0</v>
      </c>
      <c r="J915" t="n">
        <v>0.07715454880105529</v>
      </c>
      <c r="K915" t="n">
        <v>0.07929475819914303</v>
      </c>
      <c r="L915" t="n">
        <v>0.6439711728062141</v>
      </c>
      <c r="M915" t="n">
        <v>0</v>
      </c>
      <c r="N915" t="n">
        <v>0</v>
      </c>
      <c r="O915" t="n">
        <v>0</v>
      </c>
      <c r="P915" t="n">
        <v>0.003454232851135772</v>
      </c>
      <c r="Q915" t="n">
        <v>0.001801342910056812</v>
      </c>
      <c r="R915" t="inlineStr">
        <is>
          <t>Operationnel</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row>
    <row r="916">
      <c r="A916" t="inlineStr">
        <is>
          <t>Ndiguina</t>
        </is>
      </c>
      <c r="B916" t="inlineStr">
        <is>
          <t>EXN_275</t>
        </is>
      </c>
      <c r="C916" t="inlineStr">
        <is>
          <t>EXTREME-NORD</t>
        </is>
      </c>
      <c r="D916" t="inlineStr">
        <is>
          <t>IHS</t>
        </is>
      </c>
      <c r="E916" t="inlineStr">
        <is>
          <t>Hybrid solar - S3</t>
        </is>
      </c>
      <c r="F916" t="inlineStr">
        <is>
          <t>EXTREME-NORD</t>
        </is>
      </c>
      <c r="G916" t="inlineStr">
        <is>
          <t>Waza</t>
        </is>
      </c>
      <c r="H916" t="inlineStr">
        <is>
          <t>NOKIA</t>
        </is>
      </c>
      <c r="I916" t="n">
        <v>1.932049352229604</v>
      </c>
      <c r="J916" t="n">
        <v>8.89946898162092</v>
      </c>
      <c r="K916" t="n">
        <v>3.742394965261471</v>
      </c>
      <c r="L916" t="n">
        <v>6.718999415592761</v>
      </c>
      <c r="M916" t="n">
        <v>0.09666810526439339</v>
      </c>
      <c r="N916" t="n">
        <v>0</v>
      </c>
      <c r="O916" t="n">
        <v>0.005312927526297156</v>
      </c>
      <c r="P916" t="n">
        <v>0</v>
      </c>
      <c r="Q916" t="n">
        <v>0.001783611049971644</v>
      </c>
      <c r="R916" t="inlineStr">
        <is>
          <t>Insecurity</t>
        </is>
      </c>
      <c r="S916" t="inlineStr"/>
      <c r="T916" t="inlineStr"/>
      <c r="U916" t="inlineStr"/>
      <c r="V916" t="inlineStr"/>
      <c r="W916" t="inlineStr"/>
      <c r="X91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916"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916" t="inlineStr"/>
      <c r="AA91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row>
    <row r="917">
      <c r="A917" t="inlineStr">
        <is>
          <t>Elum-Ndem-IHS</t>
        </is>
      </c>
      <c r="B917" t="inlineStr">
        <is>
          <t>CTR_623</t>
        </is>
      </c>
      <c r="C917" t="inlineStr">
        <is>
          <t>Yaounde</t>
        </is>
      </c>
      <c r="D917" t="inlineStr">
        <is>
          <t>IHS</t>
        </is>
      </c>
      <c r="E917" t="inlineStr">
        <is>
          <t>Grid-Gen</t>
        </is>
      </c>
      <c r="F917" t="inlineStr">
        <is>
          <t>CENTRE</t>
        </is>
      </c>
      <c r="G917" t="inlineStr">
        <is>
          <t>Yaounde</t>
        </is>
      </c>
      <c r="H917" t="inlineStr">
        <is>
          <t>ZTE</t>
        </is>
      </c>
      <c r="I917" t="n">
        <v>0</v>
      </c>
      <c r="J917" t="n">
        <v>0</v>
      </c>
      <c r="K917" t="n">
        <v>0</v>
      </c>
      <c r="L917" t="n">
        <v>0</v>
      </c>
      <c r="M917" t="n">
        <v>0</v>
      </c>
      <c r="N917" t="n">
        <v>0</v>
      </c>
      <c r="O917" t="n">
        <v>0</v>
      </c>
      <c r="P917" t="n">
        <v>0.003385832200618434</v>
      </c>
      <c r="Q917" t="n">
        <v>0.001765672753422129</v>
      </c>
      <c r="R917" t="inlineStr">
        <is>
          <t>Operationnel</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row>
    <row r="918">
      <c r="A918" t="inlineStr">
        <is>
          <t>Logpom-New</t>
        </is>
      </c>
      <c r="B918" t="inlineStr">
        <is>
          <t>LIT_737</t>
        </is>
      </c>
      <c r="C918" t="inlineStr">
        <is>
          <t>Douala</t>
        </is>
      </c>
      <c r="D918" t="inlineStr">
        <is>
          <t>CAMUSAT</t>
        </is>
      </c>
      <c r="E918" t="inlineStr">
        <is>
          <t>Good Grid no GE - 8h</t>
        </is>
      </c>
      <c r="F918" t="inlineStr">
        <is>
          <t>LITTORAL</t>
        </is>
      </c>
      <c r="G918" t="inlineStr">
        <is>
          <t>Douala</t>
        </is>
      </c>
      <c r="H918" t="inlineStr">
        <is>
          <t>ZTE</t>
        </is>
      </c>
      <c r="I918" t="n">
        <v>7.798459334594638</v>
      </c>
      <c r="J918" t="n">
        <v>0</v>
      </c>
      <c r="K918" t="n">
        <v>0</v>
      </c>
      <c r="L918" t="n">
        <v>2.711591802141918</v>
      </c>
      <c r="M918" t="n">
        <v>5.0170432008401</v>
      </c>
      <c r="N918" t="n">
        <v>0</v>
      </c>
      <c r="O918" t="n">
        <v>0</v>
      </c>
      <c r="P918" t="n">
        <v>0.003317431550101095</v>
      </c>
      <c r="Q918" t="n">
        <v>0.001730002596787445</v>
      </c>
      <c r="R918" t="inlineStr">
        <is>
          <t>Operationnel</t>
        </is>
      </c>
      <c r="S918" t="inlineStr"/>
      <c r="T918" t="inlineStr"/>
      <c r="U918" t="inlineStr"/>
      <c r="V918" t="inlineStr"/>
      <c r="W918" t="inlineStr"/>
      <c r="X918" t="inlineStr">
        <is>
          <t>{05-25-2026 retour CAMUSAT}: Grid outage Grid only site</t>
        </is>
      </c>
      <c r="Y918" t="inlineStr">
        <is>
          <t>Grid outage Grid only site</t>
        </is>
      </c>
      <c r="Z918" t="inlineStr"/>
      <c r="AA918" t="inlineStr"/>
      <c r="AB918" t="inlineStr"/>
      <c r="AC918" t="inlineStr">
        <is>
          <t>{05-25-2026 retour CAMUSAT}: Grid outage Grid only site</t>
        </is>
      </c>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row>
    <row r="919">
      <c r="A919" t="inlineStr">
        <is>
          <t>Banwa</t>
        </is>
      </c>
      <c r="B919" t="inlineStr">
        <is>
          <t>OST_089</t>
        </is>
      </c>
      <c r="C919" t="inlineStr">
        <is>
          <t>OUEST</t>
        </is>
      </c>
      <c r="D919" t="inlineStr">
        <is>
          <t>IHS</t>
        </is>
      </c>
      <c r="E919" t="inlineStr">
        <is>
          <t>Grid-Gen</t>
        </is>
      </c>
      <c r="F919" t="inlineStr">
        <is>
          <t>OUEST</t>
        </is>
      </c>
      <c r="G919" t="inlineStr">
        <is>
          <t>Bantoum</t>
        </is>
      </c>
      <c r="H919" t="inlineStr">
        <is>
          <t>NOKIA</t>
        </is>
      </c>
      <c r="I919" t="n">
        <v>0</v>
      </c>
      <c r="J919" t="n">
        <v>0</v>
      </c>
      <c r="K919" t="n">
        <v>2.678430327283752e-05</v>
      </c>
      <c r="L919" t="n">
        <v>4.017676454244766e-05</v>
      </c>
      <c r="M919" t="n">
        <v>5.350523495212009e-05</v>
      </c>
      <c r="N919" t="n">
        <v>0</v>
      </c>
      <c r="O919" t="n">
        <v>0.005046989061953249</v>
      </c>
      <c r="P919" t="n">
        <v>6.840065051727517e-05</v>
      </c>
      <c r="Q919" t="n">
        <v>0.001730002596787412</v>
      </c>
      <c r="R919" t="inlineStr">
        <is>
          <t>Operationnel</t>
        </is>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row>
    <row r="920">
      <c r="A920" t="inlineStr">
        <is>
          <t>H-ville-MTN</t>
        </is>
      </c>
      <c r="B920" t="inlineStr">
        <is>
          <t>CTR_369</t>
        </is>
      </c>
      <c r="C920" t="inlineStr">
        <is>
          <t>Yaounde</t>
        </is>
      </c>
      <c r="D920" t="inlineStr">
        <is>
          <t>IHS</t>
        </is>
      </c>
      <c r="E920" t="inlineStr">
        <is>
          <t>Grid-Gen</t>
        </is>
      </c>
      <c r="F920" t="inlineStr">
        <is>
          <t>CENTRE</t>
        </is>
      </c>
      <c r="G920" t="inlineStr">
        <is>
          <t>Yaounde</t>
        </is>
      </c>
      <c r="H920" t="inlineStr">
        <is>
          <t>ZTE</t>
        </is>
      </c>
      <c r="I920" t="n">
        <v>0</v>
      </c>
      <c r="J920" t="n">
        <v>0</v>
      </c>
      <c r="K920" t="n">
        <v>0</v>
      </c>
      <c r="L920" t="n">
        <v>0</v>
      </c>
      <c r="M920" t="n">
        <v>0</v>
      </c>
      <c r="N920" t="n">
        <v>0</v>
      </c>
      <c r="O920" t="n">
        <v>0</v>
      </c>
      <c r="P920" t="n">
        <v>0.003317431550100767</v>
      </c>
      <c r="Q920" t="n">
        <v>0.001730002596787275</v>
      </c>
      <c r="R920" t="inlineStr">
        <is>
          <t>Operationnel</t>
        </is>
      </c>
      <c r="S920" t="inlineStr"/>
      <c r="T920" t="inlineStr"/>
      <c r="U920" t="inlineStr"/>
      <c r="V920" t="inlineStr"/>
      <c r="W920" t="inlineStr"/>
      <c r="X920" t="inlineStr">
        <is>
          <t>{05-25-2026 retour IHS}: IHS</t>
        </is>
      </c>
      <c r="Y920" t="inlineStr">
        <is>
          <t>IHS</t>
        </is>
      </c>
      <c r="Z920" t="inlineStr"/>
      <c r="AA920" t="inlineStr"/>
      <c r="AB920" t="inlineStr"/>
      <c r="AC920" t="inlineStr"/>
      <c r="AD920" t="inlineStr">
        <is>
          <t>{05-25-2026 retour IHS}: IHS</t>
        </is>
      </c>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row>
    <row r="921">
      <c r="A921" t="inlineStr">
        <is>
          <t>Tide-Goulfey-IHS</t>
        </is>
      </c>
      <c r="B921" t="inlineStr">
        <is>
          <t>EXN_273</t>
        </is>
      </c>
      <c r="C921" t="inlineStr">
        <is>
          <t>EXTREME-NORD</t>
        </is>
      </c>
      <c r="D921" t="inlineStr">
        <is>
          <t>IHS</t>
        </is>
      </c>
      <c r="E921" t="inlineStr"/>
      <c r="F921" t="inlineStr">
        <is>
          <t>EXTREME-NORD</t>
        </is>
      </c>
      <c r="G921" t="inlineStr">
        <is>
          <t>Kabo-Kabir</t>
        </is>
      </c>
      <c r="H921" t="inlineStr">
        <is>
          <t>NOKIA</t>
        </is>
      </c>
      <c r="I921" t="n">
        <v>0.9263016925759925</v>
      </c>
      <c r="J921" t="n">
        <v>1.835425143539115</v>
      </c>
      <c r="K921" t="n">
        <v>0.05309655290084725</v>
      </c>
      <c r="L921" t="n">
        <v>0.7734272797378134</v>
      </c>
      <c r="M921" t="n">
        <v>1.205237072811559</v>
      </c>
      <c r="N921" t="n">
        <v>0</v>
      </c>
      <c r="O921" t="n">
        <v>0.005047281149982503</v>
      </c>
      <c r="P921" t="n">
        <v>0</v>
      </c>
      <c r="Q921" t="n">
        <v>0.00169443049747313</v>
      </c>
      <c r="R921" t="inlineStr">
        <is>
          <t>Insecurity</t>
        </is>
      </c>
      <c r="S921" t="inlineStr"/>
      <c r="T921" t="inlineStr"/>
      <c r="U921" t="inlineStr"/>
      <c r="V921" t="inlineStr"/>
      <c r="W921" t="inlineStr"/>
      <c r="X92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921"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921" t="inlineStr"/>
      <c r="AA92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row>
    <row r="922">
      <c r="A922" t="inlineStr">
        <is>
          <t>Hopital-General</t>
        </is>
      </c>
      <c r="B922" t="inlineStr">
        <is>
          <t>LIT_248</t>
        </is>
      </c>
      <c r="C922" t="inlineStr">
        <is>
          <t>Douala</t>
        </is>
      </c>
      <c r="D922" t="inlineStr">
        <is>
          <t>IHS</t>
        </is>
      </c>
      <c r="E922" t="inlineStr">
        <is>
          <t>Grid-Gen</t>
        </is>
      </c>
      <c r="F922" t="inlineStr">
        <is>
          <t>LITTORAL</t>
        </is>
      </c>
      <c r="G922" t="inlineStr">
        <is>
          <t>Douala</t>
        </is>
      </c>
      <c r="H922" t="inlineStr">
        <is>
          <t>ZTE</t>
        </is>
      </c>
      <c r="I922" t="n">
        <v>0</v>
      </c>
      <c r="J922" t="n">
        <v>0</v>
      </c>
      <c r="K922" t="n">
        <v>0</v>
      </c>
      <c r="L922" t="n">
        <v>0</v>
      </c>
      <c r="M922" t="n">
        <v>12.9120438143668</v>
      </c>
      <c r="N922" t="n">
        <v>0</v>
      </c>
      <c r="O922" t="n">
        <v>0</v>
      </c>
      <c r="P922" t="n">
        <v>0.003249030899583429</v>
      </c>
      <c r="Q922" t="n">
        <v>0.001694332440152591</v>
      </c>
      <c r="R922" t="inlineStr">
        <is>
          <t>Operationnel</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row>
    <row r="923">
      <c r="A923" t="inlineStr">
        <is>
          <t>Sous-Prefecture-Tsinga</t>
        </is>
      </c>
      <c r="B923" t="inlineStr">
        <is>
          <t>CTR_475</t>
        </is>
      </c>
      <c r="C923" t="inlineStr">
        <is>
          <t>Yaounde</t>
        </is>
      </c>
      <c r="D923" t="inlineStr">
        <is>
          <t>IHS</t>
        </is>
      </c>
      <c r="E923" t="inlineStr">
        <is>
          <t>Grid-Gen</t>
        </is>
      </c>
      <c r="F923" t="inlineStr">
        <is>
          <t>CENTRE</t>
        </is>
      </c>
      <c r="G923" t="inlineStr">
        <is>
          <t>Yaounde</t>
        </is>
      </c>
      <c r="H923" t="inlineStr">
        <is>
          <t>ZTE</t>
        </is>
      </c>
      <c r="I923" t="n">
        <v>0</v>
      </c>
      <c r="J923" t="n">
        <v>0</v>
      </c>
      <c r="K923" t="n">
        <v>0</v>
      </c>
      <c r="L923" t="n">
        <v>0</v>
      </c>
      <c r="M923" t="n">
        <v>0</v>
      </c>
      <c r="N923" t="n">
        <v>0</v>
      </c>
      <c r="O923" t="n">
        <v>0</v>
      </c>
      <c r="P923" t="n">
        <v>0.003249030899583429</v>
      </c>
      <c r="Q923" t="n">
        <v>0.001694332440152591</v>
      </c>
      <c r="R923" t="inlineStr">
        <is>
          <t>Operationnel</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row>
    <row r="924">
      <c r="A924" t="inlineStr">
        <is>
          <t>Makepe-St-Tropez</t>
        </is>
      </c>
      <c r="B924" t="inlineStr">
        <is>
          <t>LIT_224</t>
        </is>
      </c>
      <c r="C924" t="inlineStr">
        <is>
          <t>Douala</t>
        </is>
      </c>
      <c r="D924" t="inlineStr">
        <is>
          <t>IHS</t>
        </is>
      </c>
      <c r="E924" t="inlineStr">
        <is>
          <t>Grid-Gen</t>
        </is>
      </c>
      <c r="F924" t="inlineStr">
        <is>
          <t>LITTORAL</t>
        </is>
      </c>
      <c r="G924" t="inlineStr">
        <is>
          <t>Douala</t>
        </is>
      </c>
      <c r="H924" t="inlineStr">
        <is>
          <t>ZTE</t>
        </is>
      </c>
      <c r="I924" t="n">
        <v>0</v>
      </c>
      <c r="J924" t="n">
        <v>0</v>
      </c>
      <c r="K924" t="n">
        <v>0</v>
      </c>
      <c r="L924" t="n">
        <v>0</v>
      </c>
      <c r="M924" t="n">
        <v>0</v>
      </c>
      <c r="N924" t="n">
        <v>0</v>
      </c>
      <c r="O924" t="n">
        <v>0</v>
      </c>
      <c r="P924" t="n">
        <v>0.003249030899583429</v>
      </c>
      <c r="Q924" t="n">
        <v>0.001694332440152591</v>
      </c>
      <c r="R924" t="inlineStr">
        <is>
          <t>Operationnel</t>
        </is>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row>
    <row r="925">
      <c r="A925" t="inlineStr">
        <is>
          <t>Logpom-H-Soeurs</t>
        </is>
      </c>
      <c r="B925" t="inlineStr">
        <is>
          <t>LIT_210</t>
        </is>
      </c>
      <c r="C925" t="inlineStr">
        <is>
          <t>Douala</t>
        </is>
      </c>
      <c r="D925" t="inlineStr">
        <is>
          <t>IHS</t>
        </is>
      </c>
      <c r="E925" t="inlineStr">
        <is>
          <t>Grid-Gen</t>
        </is>
      </c>
      <c r="F925" t="inlineStr">
        <is>
          <t>LITTORAL</t>
        </is>
      </c>
      <c r="G925" t="inlineStr">
        <is>
          <t>Douala</t>
        </is>
      </c>
      <c r="H925" t="inlineStr">
        <is>
          <t>ZTE</t>
        </is>
      </c>
      <c r="I925" t="n">
        <v>0</v>
      </c>
      <c r="J925" t="n">
        <v>0</v>
      </c>
      <c r="K925" t="n">
        <v>0</v>
      </c>
      <c r="L925" t="n">
        <v>0</v>
      </c>
      <c r="M925" t="n">
        <v>0</v>
      </c>
      <c r="N925" t="n">
        <v>0</v>
      </c>
      <c r="O925" t="n">
        <v>0</v>
      </c>
      <c r="P925" t="n">
        <v>0.003249030899583101</v>
      </c>
      <c r="Q925" t="n">
        <v>0.00169433244015242</v>
      </c>
      <c r="R925" t="inlineStr">
        <is>
          <t>Operationnel</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row>
    <row r="926">
      <c r="A926" t="inlineStr">
        <is>
          <t>Meyong-Meyeme</t>
        </is>
      </c>
      <c r="B926" t="inlineStr">
        <is>
          <t>CTR_122</t>
        </is>
      </c>
      <c r="C926" t="inlineStr">
        <is>
          <t>Yaounde</t>
        </is>
      </c>
      <c r="D926" t="inlineStr">
        <is>
          <t>IHS</t>
        </is>
      </c>
      <c r="E926" t="inlineStr">
        <is>
          <t>Grid-Gen</t>
        </is>
      </c>
      <c r="F926" t="inlineStr">
        <is>
          <t>CENTRE</t>
        </is>
      </c>
      <c r="G926" t="inlineStr">
        <is>
          <t>Yaounde</t>
        </is>
      </c>
      <c r="H926" t="inlineStr">
        <is>
          <t>ZTE</t>
        </is>
      </c>
      <c r="I926" t="n">
        <v>9.245704599738039</v>
      </c>
      <c r="J926" t="n">
        <v>9.245704599738039</v>
      </c>
      <c r="K926" t="n">
        <v>5.334882131534415</v>
      </c>
      <c r="L926" t="n">
        <v>0</v>
      </c>
      <c r="M926" t="n">
        <v>0</v>
      </c>
      <c r="N926" t="n">
        <v>0</v>
      </c>
      <c r="O926" t="n">
        <v>0</v>
      </c>
      <c r="P926" t="n">
        <v>0.003180630249065761</v>
      </c>
      <c r="Q926" t="n">
        <v>0.001658662283517736</v>
      </c>
      <c r="R926" t="inlineStr">
        <is>
          <t>Operationnel</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row>
    <row r="927">
      <c r="A927" t="inlineStr">
        <is>
          <t>Ndogbong-Hotel-Pacifique</t>
        </is>
      </c>
      <c r="B927" t="inlineStr">
        <is>
          <t>LIT_619</t>
        </is>
      </c>
      <c r="C927" t="inlineStr">
        <is>
          <t>Douala</t>
        </is>
      </c>
      <c r="D927" t="inlineStr">
        <is>
          <t>CAMUSAT</t>
        </is>
      </c>
      <c r="E927" t="inlineStr">
        <is>
          <t>Good Grid no GE - 12h</t>
        </is>
      </c>
      <c r="F927" t="inlineStr">
        <is>
          <t>LITTORAL</t>
        </is>
      </c>
      <c r="G927" t="inlineStr">
        <is>
          <t>Douala</t>
        </is>
      </c>
      <c r="H927" t="inlineStr">
        <is>
          <t>ZTE</t>
        </is>
      </c>
      <c r="I927" t="n">
        <v>0</v>
      </c>
      <c r="J927" t="n">
        <v>0</v>
      </c>
      <c r="K927" t="n">
        <v>0</v>
      </c>
      <c r="L927" t="n">
        <v>0</v>
      </c>
      <c r="M927" t="n">
        <v>0</v>
      </c>
      <c r="N927" t="n">
        <v>0</v>
      </c>
      <c r="O927" t="n">
        <v>0</v>
      </c>
      <c r="P927" t="n">
        <v>0.00314642992380742</v>
      </c>
      <c r="Q927" t="n">
        <v>0.001640827205200566</v>
      </c>
      <c r="R927" t="inlineStr">
        <is>
          <t>Operationnel</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row>
    <row r="928">
      <c r="A928" t="inlineStr">
        <is>
          <t>Crf-Mbankolo</t>
        </is>
      </c>
      <c r="B928" t="inlineStr">
        <is>
          <t>CTR_637</t>
        </is>
      </c>
      <c r="C928" t="inlineStr">
        <is>
          <t>Yaounde</t>
        </is>
      </c>
      <c r="D928" t="inlineStr"/>
      <c r="E928" t="inlineStr"/>
      <c r="F928" t="inlineStr">
        <is>
          <t>CENTRE</t>
        </is>
      </c>
      <c r="G928" t="inlineStr">
        <is>
          <t>Yaounde</t>
        </is>
      </c>
      <c r="H928" t="inlineStr">
        <is>
          <t>ZTE</t>
        </is>
      </c>
      <c r="I928" t="n">
        <v>0</v>
      </c>
      <c r="J928" t="n">
        <v>0</v>
      </c>
      <c r="K928" t="n">
        <v>0</v>
      </c>
      <c r="L928" t="n">
        <v>0</v>
      </c>
      <c r="M928" t="n">
        <v>0.6762883347173367</v>
      </c>
      <c r="N928" t="n">
        <v>0</v>
      </c>
      <c r="O928" t="n">
        <v>0</v>
      </c>
      <c r="P928" t="n">
        <v>0.003146429923807093</v>
      </c>
      <c r="Q928" t="n">
        <v>0.001640827205200395</v>
      </c>
      <c r="R928" t="inlineStr">
        <is>
          <t>Operationnel</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row>
    <row r="929">
      <c r="A929" t="inlineStr">
        <is>
          <t>Mvog-Betsi</t>
        </is>
      </c>
      <c r="B929" t="inlineStr">
        <is>
          <t>CTR_016</t>
        </is>
      </c>
      <c r="C929" t="inlineStr">
        <is>
          <t>Yaounde</t>
        </is>
      </c>
      <c r="D929" t="inlineStr">
        <is>
          <t>IHS</t>
        </is>
      </c>
      <c r="E929" t="inlineStr">
        <is>
          <t>Grid-Gen</t>
        </is>
      </c>
      <c r="F929" t="inlineStr">
        <is>
          <t>CENTRE</t>
        </is>
      </c>
      <c r="G929" t="inlineStr">
        <is>
          <t>Yaounde</t>
        </is>
      </c>
      <c r="H929" t="inlineStr">
        <is>
          <t>ZTE</t>
        </is>
      </c>
      <c r="I929" t="n">
        <v>6.326601661373215</v>
      </c>
      <c r="J929" t="n">
        <v>20.42785282778733</v>
      </c>
      <c r="K929" t="n">
        <v>0.2124157827601847</v>
      </c>
      <c r="L929" t="n">
        <v>1.099586083502411</v>
      </c>
      <c r="M929" t="n">
        <v>0</v>
      </c>
      <c r="N929" t="n">
        <v>0</v>
      </c>
      <c r="O929" t="n">
        <v>0</v>
      </c>
      <c r="P929" t="n">
        <v>0.003146429923807093</v>
      </c>
      <c r="Q929" t="n">
        <v>0.001640827205200395</v>
      </c>
      <c r="R929" t="inlineStr">
        <is>
          <t>Operationnel</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row>
    <row r="930">
      <c r="A930" t="inlineStr">
        <is>
          <t>Entree-Cite-Verte-IHS</t>
        </is>
      </c>
      <c r="B930" t="inlineStr">
        <is>
          <t>CTR_519</t>
        </is>
      </c>
      <c r="C930" t="inlineStr">
        <is>
          <t>Yaounde</t>
        </is>
      </c>
      <c r="D930" t="inlineStr">
        <is>
          <t>IHS</t>
        </is>
      </c>
      <c r="E930" t="inlineStr">
        <is>
          <t>Grid-Gen</t>
        </is>
      </c>
      <c r="F930" t="inlineStr">
        <is>
          <t>CENTRE</t>
        </is>
      </c>
      <c r="G930" t="inlineStr">
        <is>
          <t>Yaounde</t>
        </is>
      </c>
      <c r="H930" t="inlineStr">
        <is>
          <t>ZTE</t>
        </is>
      </c>
      <c r="I930" t="n">
        <v>0</v>
      </c>
      <c r="J930" t="n">
        <v>0</v>
      </c>
      <c r="K930" t="n">
        <v>0.1191739933168391</v>
      </c>
      <c r="L930" t="n">
        <v>0</v>
      </c>
      <c r="M930" t="n">
        <v>0</v>
      </c>
      <c r="N930" t="n">
        <v>0</v>
      </c>
      <c r="O930" t="n">
        <v>0</v>
      </c>
      <c r="P930" t="n">
        <v>0.003112229598548423</v>
      </c>
      <c r="Q930" t="n">
        <v>0.001622992126883053</v>
      </c>
      <c r="R930" t="inlineStr">
        <is>
          <t>Operationnel</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row>
    <row r="931">
      <c r="A931" t="inlineStr">
        <is>
          <t>Logpom-Kosovo</t>
        </is>
      </c>
      <c r="B931" t="inlineStr">
        <is>
          <t>LIT_276</t>
        </is>
      </c>
      <c r="C931" t="inlineStr">
        <is>
          <t>Douala</t>
        </is>
      </c>
      <c r="D931" t="inlineStr">
        <is>
          <t>IHS</t>
        </is>
      </c>
      <c r="E931" t="inlineStr">
        <is>
          <t>Grid-Gen</t>
        </is>
      </c>
      <c r="F931" t="inlineStr">
        <is>
          <t>LITTORAL</t>
        </is>
      </c>
      <c r="G931" t="inlineStr">
        <is>
          <t>Douala</t>
        </is>
      </c>
      <c r="H931" t="inlineStr">
        <is>
          <t>ZTE</t>
        </is>
      </c>
      <c r="I931" t="n">
        <v>0</v>
      </c>
      <c r="J931" t="n">
        <v>0</v>
      </c>
      <c r="K931" t="n">
        <v>0</v>
      </c>
      <c r="L931" t="n">
        <v>0</v>
      </c>
      <c r="M931" t="n">
        <v>0</v>
      </c>
      <c r="N931" t="n">
        <v>0</v>
      </c>
      <c r="O931" t="n">
        <v>0</v>
      </c>
      <c r="P931" t="n">
        <v>0.003112229598548095</v>
      </c>
      <c r="Q931" t="n">
        <v>0.001622992126882882</v>
      </c>
      <c r="R931" t="inlineStr">
        <is>
          <t>Operationnel</t>
        </is>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row>
    <row r="932">
      <c r="A932" t="inlineStr">
        <is>
          <t>Kanga</t>
        </is>
      </c>
      <c r="B932" t="inlineStr">
        <is>
          <t>LIT_510</t>
        </is>
      </c>
      <c r="C932" t="inlineStr">
        <is>
          <t>LITTORAL</t>
        </is>
      </c>
      <c r="D932" t="inlineStr">
        <is>
          <t>IHS</t>
        </is>
      </c>
      <c r="E932" t="inlineStr">
        <is>
          <t>Grid-Hybrid-Gen</t>
        </is>
      </c>
      <c r="F932" t="inlineStr">
        <is>
          <t>LITTORAL</t>
        </is>
      </c>
      <c r="G932" t="inlineStr">
        <is>
          <t>Massock-Songloulou</t>
        </is>
      </c>
      <c r="H932" t="inlineStr">
        <is>
          <t>NOKIA</t>
        </is>
      </c>
      <c r="I932" t="n">
        <v>0</v>
      </c>
      <c r="J932" t="n">
        <v>0</v>
      </c>
      <c r="K932" t="n">
        <v>0</v>
      </c>
      <c r="L932" t="n">
        <v>0.001426888839977247</v>
      </c>
      <c r="M932" t="n">
        <v>0.05052677687318252</v>
      </c>
      <c r="N932" t="n">
        <v>0</v>
      </c>
      <c r="O932" t="n">
        <v>0.004781634773667339</v>
      </c>
      <c r="P932" t="n">
        <v>0</v>
      </c>
      <c r="Q932" t="n">
        <v>0.001605249944974446</v>
      </c>
      <c r="R932" t="inlineStr">
        <is>
          <t>Operationnel</t>
        </is>
      </c>
      <c r="S932" t="inlineStr"/>
      <c r="T932" t="inlineStr"/>
      <c r="U932" t="inlineStr"/>
      <c r="V932" t="inlineStr"/>
      <c r="W932" t="inlineStr"/>
      <c r="X932" t="inlineStr">
        <is>
          <t>{05-25-2026 retour IHS}: IHS</t>
        </is>
      </c>
      <c r="Y932" t="inlineStr">
        <is>
          <t>IHS</t>
        </is>
      </c>
      <c r="Z932" t="inlineStr"/>
      <c r="AA932" t="inlineStr"/>
      <c r="AB932" t="inlineStr"/>
      <c r="AC932" t="inlineStr"/>
      <c r="AD932" t="inlineStr">
        <is>
          <t>{05-25-2026 retour IHS}: IHS</t>
        </is>
      </c>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row>
    <row r="933">
      <c r="A933" t="inlineStr">
        <is>
          <t>Jean-Vespa2-MTN-IHS</t>
        </is>
      </c>
      <c r="B933" t="inlineStr">
        <is>
          <t>CTR_525</t>
        </is>
      </c>
      <c r="C933" t="inlineStr">
        <is>
          <t>Yaounde</t>
        </is>
      </c>
      <c r="D933" t="inlineStr">
        <is>
          <t>IHS</t>
        </is>
      </c>
      <c r="E933" t="inlineStr">
        <is>
          <t>Grid-Gen</t>
        </is>
      </c>
      <c r="F933" t="inlineStr">
        <is>
          <t>CENTRE</t>
        </is>
      </c>
      <c r="G933" t="inlineStr">
        <is>
          <t>Yaounde</t>
        </is>
      </c>
      <c r="H933" t="inlineStr">
        <is>
          <t>ZTE</t>
        </is>
      </c>
      <c r="I933" t="n">
        <v>0</v>
      </c>
      <c r="J933" t="n">
        <v>0</v>
      </c>
      <c r="K933" t="n">
        <v>0</v>
      </c>
      <c r="L933" t="n">
        <v>0</v>
      </c>
      <c r="M933" t="n">
        <v>0</v>
      </c>
      <c r="N933" t="n">
        <v>0</v>
      </c>
      <c r="O933" t="n">
        <v>0</v>
      </c>
      <c r="P933" t="n">
        <v>0.003043828948031084</v>
      </c>
      <c r="Q933" t="n">
        <v>0.00158732197024837</v>
      </c>
      <c r="R933" t="inlineStr">
        <is>
          <t>Operationnel</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row>
    <row r="934">
      <c r="A934" t="inlineStr">
        <is>
          <t>Mak-Missoke</t>
        </is>
      </c>
      <c r="B934" t="inlineStr">
        <is>
          <t>LIT_080</t>
        </is>
      </c>
      <c r="C934" t="inlineStr">
        <is>
          <t>Douala</t>
        </is>
      </c>
      <c r="D934" t="inlineStr">
        <is>
          <t>IHS</t>
        </is>
      </c>
      <c r="E934" t="inlineStr">
        <is>
          <t>Grid-Gen</t>
        </is>
      </c>
      <c r="F934" t="inlineStr">
        <is>
          <t>LITTORAL</t>
        </is>
      </c>
      <c r="G934" t="inlineStr">
        <is>
          <t>Douala</t>
        </is>
      </c>
      <c r="H934" t="inlineStr">
        <is>
          <t>ZTE</t>
        </is>
      </c>
      <c r="I934" t="n">
        <v>0</v>
      </c>
      <c r="J934" t="n">
        <v>0</v>
      </c>
      <c r="K934" t="n">
        <v>0</v>
      </c>
      <c r="L934" t="n">
        <v>0</v>
      </c>
      <c r="M934" t="n">
        <v>0</v>
      </c>
      <c r="N934" t="n">
        <v>0</v>
      </c>
      <c r="O934" t="n">
        <v>0</v>
      </c>
      <c r="P934" t="n">
        <v>0.003043828948030428</v>
      </c>
      <c r="Q934" t="n">
        <v>0.001587321970248027</v>
      </c>
      <c r="R934" t="inlineStr">
        <is>
          <t>Operationnel</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row>
    <row r="935">
      <c r="A935" t="inlineStr">
        <is>
          <t>Ndogbong-Bifaka</t>
        </is>
      </c>
      <c r="B935" t="inlineStr">
        <is>
          <t>LIT_671</t>
        </is>
      </c>
      <c r="C935" t="inlineStr">
        <is>
          <t>Douala</t>
        </is>
      </c>
      <c r="D935" t="inlineStr">
        <is>
          <t>CAMUSAT</t>
        </is>
      </c>
      <c r="E935" t="inlineStr">
        <is>
          <t>Good Grid no GE - 8h</t>
        </is>
      </c>
      <c r="F935" t="inlineStr">
        <is>
          <t>LITTORAL</t>
        </is>
      </c>
      <c r="G935" t="inlineStr">
        <is>
          <t>Douala</t>
        </is>
      </c>
      <c r="H935" t="inlineStr">
        <is>
          <t>ZTE</t>
        </is>
      </c>
      <c r="I935" t="n">
        <v>19.23313443653994</v>
      </c>
      <c r="J935" t="n">
        <v>0</v>
      </c>
      <c r="K935" t="n">
        <v>3.935274360576773</v>
      </c>
      <c r="L935" t="n">
        <v>1.480275830187225</v>
      </c>
      <c r="M935" t="n">
        <v>14.19574141133969</v>
      </c>
      <c r="N935" t="n">
        <v>0</v>
      </c>
      <c r="O935" t="n">
        <v>0</v>
      </c>
      <c r="P935" t="n">
        <v>0.002907027646995882</v>
      </c>
      <c r="Q935" t="n">
        <v>0.001515981656978729</v>
      </c>
      <c r="R935" t="inlineStr">
        <is>
          <t>Operationnel</t>
        </is>
      </c>
      <c r="S935" t="inlineStr"/>
      <c r="T935" t="inlineStr"/>
      <c r="U935" t="inlineStr"/>
      <c r="V935" t="inlineStr"/>
      <c r="W935" t="inlineStr"/>
      <c r="X935" t="inlineStr">
        <is>
          <t>{05-25-2026 retour CAMUSAT}: Nuisance sonore</t>
        </is>
      </c>
      <c r="Y935" t="inlineStr">
        <is>
          <t>Nuisance sonore</t>
        </is>
      </c>
      <c r="Z935" t="inlineStr"/>
      <c r="AA935" t="inlineStr"/>
      <c r="AB935" t="inlineStr"/>
      <c r="AC935" t="inlineStr">
        <is>
          <t>{05-25-2026 retour CAMUSAT}: Nuisance sonore</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row>
    <row r="936">
      <c r="A936" t="inlineStr">
        <is>
          <t>Ndogbong-Guinness</t>
        </is>
      </c>
      <c r="B936" t="inlineStr">
        <is>
          <t>LIT_432</t>
        </is>
      </c>
      <c r="C936" t="inlineStr">
        <is>
          <t>Douala</t>
        </is>
      </c>
      <c r="D936" t="inlineStr">
        <is>
          <t>IHS</t>
        </is>
      </c>
      <c r="E936" t="inlineStr">
        <is>
          <t>Grid-Gen</t>
        </is>
      </c>
      <c r="F936" t="inlineStr">
        <is>
          <t>LITTORAL</t>
        </is>
      </c>
      <c r="G936" t="inlineStr">
        <is>
          <t>Douala</t>
        </is>
      </c>
      <c r="H936" t="inlineStr">
        <is>
          <t>ZTE</t>
        </is>
      </c>
      <c r="I936" t="n">
        <v>0</v>
      </c>
      <c r="J936" t="n">
        <v>0</v>
      </c>
      <c r="K936" t="n">
        <v>0</v>
      </c>
      <c r="L936" t="n">
        <v>0</v>
      </c>
      <c r="M936" t="n">
        <v>0</v>
      </c>
      <c r="N936" t="n">
        <v>0</v>
      </c>
      <c r="O936" t="n">
        <v>0</v>
      </c>
      <c r="P936" t="n">
        <v>0.002907027646995423</v>
      </c>
      <c r="Q936" t="n">
        <v>0.00151598165697849</v>
      </c>
      <c r="R936" t="inlineStr">
        <is>
          <t>Operationnel</t>
        </is>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row>
    <row r="937">
      <c r="A937" t="inlineStr">
        <is>
          <t>Biscuiterie-IHS</t>
        </is>
      </c>
      <c r="B937" t="inlineStr">
        <is>
          <t>CTR_157</t>
        </is>
      </c>
      <c r="C937" t="inlineStr">
        <is>
          <t>Yaounde</t>
        </is>
      </c>
      <c r="D937" t="inlineStr">
        <is>
          <t>IHS</t>
        </is>
      </c>
      <c r="E937" t="inlineStr">
        <is>
          <t>Grid-Gen</t>
        </is>
      </c>
      <c r="F937" t="inlineStr">
        <is>
          <t>CENTRE</t>
        </is>
      </c>
      <c r="G937" t="inlineStr">
        <is>
          <t>Yaounde</t>
        </is>
      </c>
      <c r="H937" t="inlineStr">
        <is>
          <t>ZTE</t>
        </is>
      </c>
      <c r="I937" t="n">
        <v>5.42313009904889</v>
      </c>
      <c r="J937" t="n">
        <v>13.9099164462251</v>
      </c>
      <c r="K937" t="n">
        <v>0.1370804119475046</v>
      </c>
      <c r="L937" t="n">
        <v>0</v>
      </c>
      <c r="M937" t="n">
        <v>0</v>
      </c>
      <c r="N937" t="n">
        <v>0</v>
      </c>
      <c r="O937" t="n">
        <v>0</v>
      </c>
      <c r="P937" t="n">
        <v>0.002907027646995423</v>
      </c>
      <c r="Q937" t="n">
        <v>0.00151598165697849</v>
      </c>
      <c r="R937" t="inlineStr">
        <is>
          <t>Operationnel</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row>
    <row r="938">
      <c r="A938" t="inlineStr">
        <is>
          <t>Carriere</t>
        </is>
      </c>
      <c r="B938" t="inlineStr">
        <is>
          <t>CTR_720</t>
        </is>
      </c>
      <c r="C938" t="inlineStr">
        <is>
          <t>Yaounde</t>
        </is>
      </c>
      <c r="D938" t="inlineStr">
        <is>
          <t>CAMUSAT</t>
        </is>
      </c>
      <c r="E938" t="inlineStr">
        <is>
          <t>Good Grid no GE - 8h</t>
        </is>
      </c>
      <c r="F938" t="inlineStr">
        <is>
          <t>CENTRE</t>
        </is>
      </c>
      <c r="G938" t="inlineStr">
        <is>
          <t>Yaounde</t>
        </is>
      </c>
      <c r="H938" t="inlineStr">
        <is>
          <t>ZTE</t>
        </is>
      </c>
      <c r="I938" t="n">
        <v>9.245704599738039</v>
      </c>
      <c r="J938" t="n">
        <v>5.263630993656419</v>
      </c>
      <c r="K938" t="n">
        <v>0.3327312210893383</v>
      </c>
      <c r="L938" t="n">
        <v>0</v>
      </c>
      <c r="M938" t="n">
        <v>0</v>
      </c>
      <c r="N938" t="n">
        <v>0</v>
      </c>
      <c r="O938" t="n">
        <v>0</v>
      </c>
      <c r="P938" t="n">
        <v>0.002872827321736754</v>
      </c>
      <c r="Q938" t="n">
        <v>0.001498146578661148</v>
      </c>
      <c r="R938" t="inlineStr">
        <is>
          <t>Operationnel</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row>
    <row r="939">
      <c r="A939" t="inlineStr">
        <is>
          <t>Obili-New</t>
        </is>
      </c>
      <c r="B939" t="inlineStr">
        <is>
          <t>CTR_540</t>
        </is>
      </c>
      <c r="C939" t="inlineStr">
        <is>
          <t>Yaounde</t>
        </is>
      </c>
      <c r="D939" t="inlineStr">
        <is>
          <t>IHS</t>
        </is>
      </c>
      <c r="E939" t="inlineStr">
        <is>
          <t>Grid-Gen</t>
        </is>
      </c>
      <c r="F939" t="inlineStr">
        <is>
          <t>CENTRE</t>
        </is>
      </c>
      <c r="G939" t="inlineStr">
        <is>
          <t>Yaounde</t>
        </is>
      </c>
      <c r="H939" t="inlineStr">
        <is>
          <t>ZTE</t>
        </is>
      </c>
      <c r="I939" t="n">
        <v>3.510478465213037</v>
      </c>
      <c r="J939" t="n">
        <v>5.4416964155773</v>
      </c>
      <c r="K939" t="n">
        <v>0.1389174250141971</v>
      </c>
      <c r="L939" t="n">
        <v>0</v>
      </c>
      <c r="M939" t="n">
        <v>0</v>
      </c>
      <c r="N939" t="n">
        <v>0</v>
      </c>
      <c r="O939" t="n">
        <v>0</v>
      </c>
      <c r="P939" t="n">
        <v>0.002872827321736754</v>
      </c>
      <c r="Q939" t="n">
        <v>0.001498146578661148</v>
      </c>
      <c r="R939" t="inlineStr">
        <is>
          <t>Operationnel</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row>
    <row r="940">
      <c r="A940" t="inlineStr">
        <is>
          <t>Bastos-Nylon</t>
        </is>
      </c>
      <c r="B940" t="inlineStr">
        <is>
          <t>CTR_198</t>
        </is>
      </c>
      <c r="C940" t="inlineStr">
        <is>
          <t>Yaounde</t>
        </is>
      </c>
      <c r="D940" t="inlineStr">
        <is>
          <t>IHS</t>
        </is>
      </c>
      <c r="E940" t="inlineStr">
        <is>
          <t>Grid-Gen</t>
        </is>
      </c>
      <c r="F940" t="inlineStr">
        <is>
          <t>CENTRE</t>
        </is>
      </c>
      <c r="G940" t="inlineStr">
        <is>
          <t>Yaounde</t>
        </is>
      </c>
      <c r="H940" t="inlineStr">
        <is>
          <t>ZTE</t>
        </is>
      </c>
      <c r="I940" t="n">
        <v>7.656367265639937</v>
      </c>
      <c r="J940" t="n">
        <v>11.54821321051385</v>
      </c>
      <c r="K940" t="n">
        <v>0.1412538202737751</v>
      </c>
      <c r="L940" t="n">
        <v>0</v>
      </c>
      <c r="M940" t="n">
        <v>0</v>
      </c>
      <c r="N940" t="n">
        <v>0</v>
      </c>
      <c r="O940" t="n">
        <v>0</v>
      </c>
      <c r="P940" t="n">
        <v>0.002838626996478084</v>
      </c>
      <c r="Q940" t="n">
        <v>0.001480311500343806</v>
      </c>
      <c r="R940" t="inlineStr">
        <is>
          <t>Operationnel</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row>
    <row r="941">
      <c r="A941" t="inlineStr">
        <is>
          <t>Etougebe-Lycee-MTN</t>
        </is>
      </c>
      <c r="B941" t="inlineStr">
        <is>
          <t>CTR_419</t>
        </is>
      </c>
      <c r="C941" t="inlineStr">
        <is>
          <t>Yaounde</t>
        </is>
      </c>
      <c r="D941" t="inlineStr">
        <is>
          <t>IHS</t>
        </is>
      </c>
      <c r="E941" t="inlineStr">
        <is>
          <t>Grid-Gen</t>
        </is>
      </c>
      <c r="F941" t="inlineStr">
        <is>
          <t>CENTRE</t>
        </is>
      </c>
      <c r="G941" t="inlineStr">
        <is>
          <t>Yaounde</t>
        </is>
      </c>
      <c r="H941" t="inlineStr">
        <is>
          <t>ZTE</t>
        </is>
      </c>
      <c r="I941" t="n">
        <v>0</v>
      </c>
      <c r="J941" t="n">
        <v>0</v>
      </c>
      <c r="K941" t="n">
        <v>0</v>
      </c>
      <c r="L941" t="n">
        <v>0</v>
      </c>
      <c r="M941" t="n">
        <v>0</v>
      </c>
      <c r="N941" t="n">
        <v>0</v>
      </c>
      <c r="O941" t="n">
        <v>0</v>
      </c>
      <c r="P941" t="n">
        <v>0.002770226345960417</v>
      </c>
      <c r="Q941" t="n">
        <v>0.001444641343708952</v>
      </c>
      <c r="R941" t="inlineStr">
        <is>
          <t>Operationnel</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row>
    <row r="942">
      <c r="A942" t="inlineStr">
        <is>
          <t>Bastos-Golf</t>
        </is>
      </c>
      <c r="B942" t="inlineStr">
        <is>
          <t>CTR_769</t>
        </is>
      </c>
      <c r="C942" t="inlineStr">
        <is>
          <t>Yaounde</t>
        </is>
      </c>
      <c r="D942" t="inlineStr">
        <is>
          <t>CAMUSAT</t>
        </is>
      </c>
      <c r="E942" t="inlineStr">
        <is>
          <t>Good Grid + GE</t>
        </is>
      </c>
      <c r="F942" t="inlineStr">
        <is>
          <t>CENTRE</t>
        </is>
      </c>
      <c r="G942" t="inlineStr">
        <is>
          <t>Yaounde</t>
        </is>
      </c>
      <c r="H942" t="inlineStr">
        <is>
          <t>ZTE</t>
        </is>
      </c>
      <c r="I942" t="n">
        <v>0</v>
      </c>
      <c r="J942" t="n">
        <v>0</v>
      </c>
      <c r="K942" t="n">
        <v>0</v>
      </c>
      <c r="L942" t="n">
        <v>0</v>
      </c>
      <c r="M942" t="n">
        <v>0</v>
      </c>
      <c r="N942" t="n">
        <v>0</v>
      </c>
      <c r="O942" t="n">
        <v>0</v>
      </c>
      <c r="P942" t="n">
        <v>0.002736026020701748</v>
      </c>
      <c r="Q942" t="n">
        <v>0.001426806265391611</v>
      </c>
      <c r="R942" t="inlineStr">
        <is>
          <t>Operationnel</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row>
    <row r="943">
      <c r="A943" t="inlineStr">
        <is>
          <t>LIT_010_Z_Ndogbong</t>
        </is>
      </c>
      <c r="B943" t="inlineStr">
        <is>
          <t>LIT_010</t>
        </is>
      </c>
      <c r="C943" t="inlineStr">
        <is>
          <t>Douala</t>
        </is>
      </c>
      <c r="D943" t="inlineStr"/>
      <c r="E943" t="inlineStr"/>
      <c r="F943" t="inlineStr">
        <is>
          <t>LITTORAL</t>
        </is>
      </c>
      <c r="G943" t="inlineStr">
        <is>
          <t>Douala</t>
        </is>
      </c>
      <c r="H943" t="inlineStr">
        <is>
          <t>ZTE</t>
        </is>
      </c>
      <c r="I943" t="n">
        <v>0</v>
      </c>
      <c r="J943" t="n">
        <v>0</v>
      </c>
      <c r="K943" t="n">
        <v>0</v>
      </c>
      <c r="L943" t="n">
        <v>0</v>
      </c>
      <c r="M943" t="n">
        <v>0</v>
      </c>
      <c r="N943" t="n">
        <v>0</v>
      </c>
      <c r="O943" t="n">
        <v>0</v>
      </c>
      <c r="P943" t="n">
        <v>0.00273602602070142</v>
      </c>
      <c r="Q943" t="n">
        <v>0.001426806265391439</v>
      </c>
      <c r="R943" t="inlineStr">
        <is>
          <t>Operationnel</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row>
    <row r="944">
      <c r="A944" t="inlineStr">
        <is>
          <t>CTR_064_Z_Etoa-Meki</t>
        </is>
      </c>
      <c r="B944" t="inlineStr">
        <is>
          <t>CTR_064</t>
        </is>
      </c>
      <c r="C944" t="inlineStr">
        <is>
          <t>Yaounde</t>
        </is>
      </c>
      <c r="D944" t="inlineStr"/>
      <c r="E944" t="inlineStr"/>
      <c r="F944" t="inlineStr">
        <is>
          <t>CENTRE</t>
        </is>
      </c>
      <c r="G944" t="inlineStr">
        <is>
          <t>Yaounde</t>
        </is>
      </c>
      <c r="H944" t="inlineStr">
        <is>
          <t>ZTE</t>
        </is>
      </c>
      <c r="I944" t="n">
        <v>0</v>
      </c>
      <c r="J944" t="n">
        <v>0</v>
      </c>
      <c r="K944" t="n">
        <v>0</v>
      </c>
      <c r="L944" t="n">
        <v>0</v>
      </c>
      <c r="M944" t="n">
        <v>0</v>
      </c>
      <c r="N944" t="n">
        <v>0</v>
      </c>
      <c r="O944" t="n">
        <v>0</v>
      </c>
      <c r="P944" t="n">
        <v>0.00273602602070142</v>
      </c>
      <c r="Q944" t="n">
        <v>0.001426806265391439</v>
      </c>
      <c r="R944" t="inlineStr">
        <is>
          <t>Operationnel</t>
        </is>
      </c>
      <c r="S944" t="inlineStr"/>
      <c r="T944" t="inlineStr"/>
      <c r="U944" t="inlineStr"/>
      <c r="V944" t="inlineStr"/>
      <c r="W944" t="inlineStr"/>
      <c r="X944" t="inlineStr"/>
      <c r="Y944" t="inlineStr"/>
      <c r="Z944" t="inlineStr">
        <is>
          <t>CTR_064</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row>
    <row r="945">
      <c r="A945" t="inlineStr">
        <is>
          <t>E-Police</t>
        </is>
      </c>
      <c r="B945" t="inlineStr">
        <is>
          <t>CTR_076</t>
        </is>
      </c>
      <c r="C945" t="inlineStr">
        <is>
          <t>Yaounde</t>
        </is>
      </c>
      <c r="D945" t="inlineStr">
        <is>
          <t>IHS</t>
        </is>
      </c>
      <c r="E945" t="inlineStr">
        <is>
          <t>GridOnly</t>
        </is>
      </c>
      <c r="F945" t="inlineStr">
        <is>
          <t>CENTRE</t>
        </is>
      </c>
      <c r="G945" t="inlineStr">
        <is>
          <t>Yaounde</t>
        </is>
      </c>
      <c r="H945" t="inlineStr">
        <is>
          <t>ZTE</t>
        </is>
      </c>
      <c r="I945" t="n">
        <v>0</v>
      </c>
      <c r="J945" t="n">
        <v>0</v>
      </c>
      <c r="K945" t="n">
        <v>0.2275755993299713</v>
      </c>
      <c r="L945" t="n">
        <v>8.031920509769343</v>
      </c>
      <c r="M945" t="n">
        <v>0</v>
      </c>
      <c r="N945" t="n">
        <v>0</v>
      </c>
      <c r="O945" t="n">
        <v>0</v>
      </c>
      <c r="P945" t="n">
        <v>0.002667625370184081</v>
      </c>
      <c r="Q945" t="n">
        <v>0.001391136108756756</v>
      </c>
      <c r="R945" t="inlineStr">
        <is>
          <t>Operationnel</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row>
    <row r="946">
      <c r="A946" t="inlineStr">
        <is>
          <t>Magada-IHS</t>
        </is>
      </c>
      <c r="B946" t="inlineStr">
        <is>
          <t>EXN_128</t>
        </is>
      </c>
      <c r="C946" t="inlineStr">
        <is>
          <t>EXTREME-NORD</t>
        </is>
      </c>
      <c r="D946" t="inlineStr">
        <is>
          <t>IHS</t>
        </is>
      </c>
      <c r="E946" t="inlineStr">
        <is>
          <t>Gen Only</t>
        </is>
      </c>
      <c r="F946" t="inlineStr">
        <is>
          <t>EXTREME-NORD</t>
        </is>
      </c>
      <c r="G946" t="inlineStr">
        <is>
          <t>Magada</t>
        </is>
      </c>
      <c r="H946" t="inlineStr">
        <is>
          <t>NOKIA</t>
        </is>
      </c>
      <c r="I946" t="n">
        <v>0.8715646072145031</v>
      </c>
      <c r="J946" t="n">
        <v>1.516855575816204</v>
      </c>
      <c r="K946" t="n">
        <v>1.208873859305243</v>
      </c>
      <c r="L946" t="n">
        <v>4.243950655656522</v>
      </c>
      <c r="M946" t="n">
        <v>1.214996138316102</v>
      </c>
      <c r="N946" t="n">
        <v>0</v>
      </c>
      <c r="O946" t="n">
        <v>0.003984695644722867</v>
      </c>
      <c r="P946" t="n">
        <v>0</v>
      </c>
      <c r="Q946" t="n">
        <v>0.001337708287478733</v>
      </c>
      <c r="R946" t="inlineStr">
        <is>
          <t>Insecurity</t>
        </is>
      </c>
      <c r="S946" t="inlineStr"/>
      <c r="T946" t="inlineStr"/>
      <c r="U946" t="inlineStr"/>
      <c r="V946" t="inlineStr"/>
      <c r="W946" t="inlineStr"/>
      <c r="X946" t="inlineStr">
        <is>
          <t>{05-25-2026 incident}:  {05-18-2026 groupe whatsapp incident}: impacted by    Kaele-MTN-IHS_EXN_160) ,Power issue || Action retour IHS attendu      ;    {None hourly IHS}: 25/05/2026 00:50..2:31:50..48V..Robert is informed and managing with L0.</t>
        </is>
      </c>
      <c r="Y946" t="inlineStr">
        <is>
          <t>{05-25-2026 incident} {05-18-2026 groupe whatsapp incident} impacted by Kaele-MTN-IHS_EXN_160) ,Power issue || Action retour IHS attendu 25/05/2026 00 50.2 31 50.48V.Robert is informed and managing with L0.</t>
        </is>
      </c>
      <c r="Z946" t="inlineStr"/>
      <c r="AA946" t="inlineStr">
        <is>
          <t xml:space="preserve">{05-25-2026 incident}:  {05-18-2026 groupe whatsapp incident}: impacted by    Kaele-MTN-IHS_EXN_160) ,Power issue || Action retour IHS attendu </t>
        </is>
      </c>
      <c r="AB946" t="inlineStr"/>
      <c r="AC946" t="inlineStr"/>
      <c r="AD946" t="inlineStr"/>
      <c r="AE946" t="inlineStr">
        <is>
          <t>{None hourly IHS}: 25/05/2026 00:50..2:31:50..48V..Robert is informed and managing with L0.</t>
        </is>
      </c>
      <c r="AF946" t="inlineStr"/>
      <c r="AG946" t="inlineStr"/>
      <c r="AH946" t="inlineStr"/>
      <c r="AI946" t="inlineStr"/>
      <c r="AJ946" t="inlineStr"/>
      <c r="AK946" t="inlineStr"/>
      <c r="AL946" t="inlineStr"/>
      <c r="AM946" t="inlineStr"/>
      <c r="AN946" t="inlineStr"/>
      <c r="AO946" t="inlineStr"/>
      <c r="AP946" t="inlineStr"/>
      <c r="AQ946" t="inlineStr"/>
      <c r="AR946" t="inlineStr"/>
    </row>
    <row r="947">
      <c r="A947" t="inlineStr">
        <is>
          <t>Meguia</t>
        </is>
      </c>
      <c r="B947" t="inlineStr">
        <is>
          <t>OST_029</t>
        </is>
      </c>
      <c r="C947" t="inlineStr">
        <is>
          <t>NORD-OUEST</t>
        </is>
      </c>
      <c r="D947" t="inlineStr">
        <is>
          <t>IHS</t>
        </is>
      </c>
      <c r="E947" t="inlineStr">
        <is>
          <t>Gen Only</t>
        </is>
      </c>
      <c r="F947" t="inlineStr">
        <is>
          <t>OUEST</t>
        </is>
      </c>
      <c r="G947" t="inlineStr">
        <is>
          <t>Meguia</t>
        </is>
      </c>
      <c r="H947" t="inlineStr">
        <is>
          <t>NOKIA</t>
        </is>
      </c>
      <c r="I947" t="n">
        <v>0</v>
      </c>
      <c r="J947" t="n">
        <v>0</v>
      </c>
      <c r="K947" t="n">
        <v>0</v>
      </c>
      <c r="L947" t="n">
        <v>0</v>
      </c>
      <c r="M947" t="n">
        <v>0</v>
      </c>
      <c r="N947" t="n">
        <v>0</v>
      </c>
      <c r="O947" t="n">
        <v>0.003984465048910219</v>
      </c>
      <c r="P947" t="n">
        <v>0</v>
      </c>
      <c r="Q947" t="n">
        <v>0.001337630873804731</v>
      </c>
      <c r="R947" t="inlineStr">
        <is>
          <t>Operationnel</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row>
    <row r="948">
      <c r="A948" t="inlineStr">
        <is>
          <t>Ngd-Bini</t>
        </is>
      </c>
      <c r="B948" t="inlineStr">
        <is>
          <t>ADM_069</t>
        </is>
      </c>
      <c r="C948" t="inlineStr">
        <is>
          <t>Ngaoundere</t>
        </is>
      </c>
      <c r="D948" t="inlineStr">
        <is>
          <t>IHS</t>
        </is>
      </c>
      <c r="E948" t="inlineStr">
        <is>
          <t>Grid-Gen</t>
        </is>
      </c>
      <c r="F948" t="inlineStr">
        <is>
          <t>ADAMAOUA</t>
        </is>
      </c>
      <c r="G948" t="inlineStr">
        <is>
          <t>Ngaoundere</t>
        </is>
      </c>
      <c r="H948" t="inlineStr">
        <is>
          <t>Huawei</t>
        </is>
      </c>
      <c r="I948" t="n">
        <v>0.001426806265391673</v>
      </c>
      <c r="J948" t="n">
        <v>0.003121138705544283</v>
      </c>
      <c r="K948" t="n">
        <v>0.002407735572848447</v>
      </c>
      <c r="L948" t="n">
        <v>0.8666956308338541</v>
      </c>
      <c r="M948" t="n">
        <v>0.0005350523495218772</v>
      </c>
      <c r="N948" t="n">
        <v>0</v>
      </c>
      <c r="O948" t="n">
        <v>0.003984465048910105</v>
      </c>
      <c r="P948" t="n">
        <v>0</v>
      </c>
      <c r="Q948" t="n">
        <v>0.001337630873804693</v>
      </c>
      <c r="R948" t="inlineStr">
        <is>
          <t>Operationnel</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row>
    <row r="949">
      <c r="A949" t="inlineStr">
        <is>
          <t>Sapeur</t>
        </is>
      </c>
      <c r="B949" t="inlineStr">
        <is>
          <t>CTR_322</t>
        </is>
      </c>
      <c r="C949" t="inlineStr">
        <is>
          <t>Yaounde</t>
        </is>
      </c>
      <c r="D949" t="inlineStr">
        <is>
          <t>IHS</t>
        </is>
      </c>
      <c r="E949" t="inlineStr">
        <is>
          <t>Grid-Gen</t>
        </is>
      </c>
      <c r="F949" t="inlineStr">
        <is>
          <t>CENTRE</t>
        </is>
      </c>
      <c r="G949" t="inlineStr">
        <is>
          <t>Yaounde</t>
        </is>
      </c>
      <c r="H949" t="inlineStr">
        <is>
          <t>ZTE</t>
        </is>
      </c>
      <c r="I949" t="n">
        <v>0</v>
      </c>
      <c r="J949" t="n">
        <v>0</v>
      </c>
      <c r="K949" t="n">
        <v>0.2433596436408666</v>
      </c>
      <c r="L949" t="n">
        <v>0</v>
      </c>
      <c r="M949" t="n">
        <v>7.14621268544915</v>
      </c>
      <c r="N949" t="n">
        <v>0</v>
      </c>
      <c r="O949" t="n">
        <v>0</v>
      </c>
      <c r="P949" t="n">
        <v>0.002565024394407745</v>
      </c>
      <c r="Q949" t="n">
        <v>0.00133763087380456</v>
      </c>
      <c r="R949" t="inlineStr">
        <is>
          <t>Operationnel</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row>
    <row r="950">
      <c r="A950" t="inlineStr">
        <is>
          <t>H-Central</t>
        </is>
      </c>
      <c r="B950" t="inlineStr">
        <is>
          <t>CTR_110</t>
        </is>
      </c>
      <c r="C950" t="inlineStr">
        <is>
          <t>Yaounde</t>
        </is>
      </c>
      <c r="D950" t="inlineStr">
        <is>
          <t>IHS</t>
        </is>
      </c>
      <c r="E950" t="inlineStr">
        <is>
          <t>Grid-Gen</t>
        </is>
      </c>
      <c r="F950" t="inlineStr">
        <is>
          <t>CENTRE</t>
        </is>
      </c>
      <c r="G950" t="inlineStr">
        <is>
          <t>Yaounde</t>
        </is>
      </c>
      <c r="H950" t="inlineStr">
        <is>
          <t>ZTE</t>
        </is>
      </c>
      <c r="I950" t="n">
        <v>0</v>
      </c>
      <c r="J950" t="n">
        <v>0</v>
      </c>
      <c r="K950" t="n">
        <v>0</v>
      </c>
      <c r="L950" t="n">
        <v>0</v>
      </c>
      <c r="M950" t="n">
        <v>0</v>
      </c>
      <c r="N950" t="n">
        <v>0</v>
      </c>
      <c r="O950" t="n">
        <v>0</v>
      </c>
      <c r="P950" t="n">
        <v>0.002565024394407745</v>
      </c>
      <c r="Q950" t="n">
        <v>0.00133763087380456</v>
      </c>
      <c r="R950" t="inlineStr">
        <is>
          <t>Operationnel</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row>
    <row r="951">
      <c r="A951" t="inlineStr">
        <is>
          <t>Ngd-University-II-IHS</t>
        </is>
      </c>
      <c r="B951" t="inlineStr">
        <is>
          <t>ADM_127</t>
        </is>
      </c>
      <c r="C951" t="inlineStr">
        <is>
          <t>Ngaoundere</t>
        </is>
      </c>
      <c r="D951" t="inlineStr">
        <is>
          <t>IHS</t>
        </is>
      </c>
      <c r="E951" t="inlineStr">
        <is>
          <t>Grid-Gen</t>
        </is>
      </c>
      <c r="F951" t="inlineStr">
        <is>
          <t>ADAMAOUA</t>
        </is>
      </c>
      <c r="G951" t="inlineStr">
        <is>
          <t>Ngaoundere</t>
        </is>
      </c>
      <c r="H951" t="inlineStr">
        <is>
          <t>Huawei</t>
        </is>
      </c>
      <c r="I951" t="n">
        <v>0.001694332440152611</v>
      </c>
      <c r="J951" t="n">
        <v>0.001515981656978652</v>
      </c>
      <c r="K951" t="n">
        <v>0.00196185861491355</v>
      </c>
      <c r="L951" t="n">
        <v>0.002051034006500529</v>
      </c>
      <c r="M951" t="n">
        <v>0.0006242277411088568</v>
      </c>
      <c r="N951" t="n">
        <v>0</v>
      </c>
      <c r="O951" t="n">
        <v>0.003187572039128084</v>
      </c>
      <c r="P951" t="n">
        <v>0</v>
      </c>
      <c r="Q951" t="n">
        <v>0.001070104699043754</v>
      </c>
      <c r="R951" t="inlineStr">
        <is>
          <t>Operationnel</t>
        </is>
      </c>
      <c r="S951" t="inlineStr"/>
      <c r="T951" t="inlineStr"/>
      <c r="U951" t="inlineStr"/>
      <c r="V951" t="inlineStr"/>
      <c r="W951" t="inlineStr"/>
      <c r="X951" t="inlineStr">
        <is>
          <t>{05-25-2026 retour IHS}: IHS</t>
        </is>
      </c>
      <c r="Y951" t="inlineStr">
        <is>
          <t>IHS</t>
        </is>
      </c>
      <c r="Z951" t="inlineStr"/>
      <c r="AA951" t="inlineStr"/>
      <c r="AB951" t="inlineStr"/>
      <c r="AC951" t="inlineStr"/>
      <c r="AD951" t="inlineStr">
        <is>
          <t>{05-25-2026 retour IHS}: IHS</t>
        </is>
      </c>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row>
    <row r="952">
      <c r="A952" t="inlineStr">
        <is>
          <t>Yatchika-II</t>
        </is>
      </c>
      <c r="B952" t="inlineStr">
        <is>
          <t>LIT_757</t>
        </is>
      </c>
      <c r="C952" t="inlineStr">
        <is>
          <t>Douala</t>
        </is>
      </c>
      <c r="D952" t="inlineStr">
        <is>
          <t>CAMUSAT</t>
        </is>
      </c>
      <c r="E952" t="inlineStr">
        <is>
          <t>Good Grid + GE</t>
        </is>
      </c>
      <c r="F952" t="inlineStr">
        <is>
          <t>LITTORAL</t>
        </is>
      </c>
      <c r="G952" t="inlineStr">
        <is>
          <t>Douala</t>
        </is>
      </c>
      <c r="H952" t="inlineStr">
        <is>
          <t>ZTE</t>
        </is>
      </c>
      <c r="I952" t="n">
        <v>0.0009095889941871625</v>
      </c>
      <c r="J952" t="n">
        <v>0</v>
      </c>
      <c r="K952" t="n">
        <v>0</v>
      </c>
      <c r="L952" t="n">
        <v>0</v>
      </c>
      <c r="M952" t="n">
        <v>0</v>
      </c>
      <c r="N952" t="n">
        <v>0</v>
      </c>
      <c r="O952" t="n">
        <v>0</v>
      </c>
      <c r="P952" t="n">
        <v>0.001812617238715052</v>
      </c>
      <c r="Q952" t="n">
        <v>0.0009452591508220168</v>
      </c>
      <c r="R952" t="inlineStr">
        <is>
          <t>Operationnel</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row>
    <row r="953">
      <c r="A953" t="inlineStr">
        <is>
          <t>Ndu</t>
        </is>
      </c>
      <c r="B953" t="inlineStr">
        <is>
          <t>NRO_009</t>
        </is>
      </c>
      <c r="C953" t="inlineStr">
        <is>
          <t>NORD-OUEST</t>
        </is>
      </c>
      <c r="D953" t="inlineStr">
        <is>
          <t>IHS</t>
        </is>
      </c>
      <c r="E953" t="inlineStr">
        <is>
          <t>Grid-Gen</t>
        </is>
      </c>
      <c r="F953" t="inlineStr">
        <is>
          <t>NORD-OUEST</t>
        </is>
      </c>
      <c r="G953" t="inlineStr">
        <is>
          <t>NDU</t>
        </is>
      </c>
      <c r="H953" t="inlineStr">
        <is>
          <t>NOKIA</t>
        </is>
      </c>
      <c r="I953" t="n">
        <v>0</v>
      </c>
      <c r="J953" t="n">
        <v>0</v>
      </c>
      <c r="K953" t="n">
        <v>0.4978662112301066</v>
      </c>
      <c r="L953" t="n">
        <v>1.261546429702682</v>
      </c>
      <c r="M953" t="n">
        <v>0</v>
      </c>
      <c r="N953" t="n">
        <v>0</v>
      </c>
      <c r="O953" t="n">
        <v>0.002390679029345927</v>
      </c>
      <c r="P953" t="n">
        <v>0</v>
      </c>
      <c r="Q953" t="n">
        <v>0.0008025785242827702</v>
      </c>
      <c r="R953" t="inlineStr">
        <is>
          <t>Insecurity</t>
        </is>
      </c>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row>
    <row r="954">
      <c r="A954" t="inlineStr">
        <is>
          <t>Kribi-Bwambe-II</t>
        </is>
      </c>
      <c r="B954" t="inlineStr">
        <is>
          <t>SUD_093</t>
        </is>
      </c>
      <c r="C954" t="inlineStr">
        <is>
          <t>CENTRE</t>
        </is>
      </c>
      <c r="D954" t="inlineStr">
        <is>
          <t>CAMUSAT</t>
        </is>
      </c>
      <c r="E954" t="inlineStr">
        <is>
          <t>Good Grid + GE</t>
        </is>
      </c>
      <c r="F954" t="inlineStr">
        <is>
          <t>SUD</t>
        </is>
      </c>
      <c r="G954" t="inlineStr">
        <is>
          <t>Kribi</t>
        </is>
      </c>
      <c r="H954" t="inlineStr">
        <is>
          <t>ZTE</t>
        </is>
      </c>
      <c r="I954" t="n">
        <v>0</v>
      </c>
      <c r="J954" t="n">
        <v>1.375120208427859</v>
      </c>
      <c r="K954" t="n">
        <v>0</v>
      </c>
      <c r="L954" t="n">
        <v>0</v>
      </c>
      <c r="M954" t="n">
        <v>0</v>
      </c>
      <c r="N954" t="n">
        <v>0</v>
      </c>
      <c r="O954" t="n">
        <v>0</v>
      </c>
      <c r="P954" t="n">
        <v>0.000684006505175355</v>
      </c>
      <c r="Q954" t="n">
        <v>0.0003567015663478598</v>
      </c>
      <c r="R954" t="inlineStr">
        <is>
          <t>Operationnel</t>
        </is>
      </c>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row>
    <row r="955">
      <c r="A955" t="inlineStr">
        <is>
          <t>MABETA</t>
        </is>
      </c>
      <c r="B955" t="inlineStr">
        <is>
          <t>SUO_165</t>
        </is>
      </c>
      <c r="C955" t="inlineStr">
        <is>
          <t>SUD-OUEST</t>
        </is>
      </c>
      <c r="D955" t="inlineStr">
        <is>
          <t>IHS</t>
        </is>
      </c>
      <c r="E955" t="inlineStr">
        <is>
          <t>Hybrid-Gen</t>
        </is>
      </c>
      <c r="F955" t="inlineStr">
        <is>
          <t>SUD-OUEST</t>
        </is>
      </c>
      <c r="G955" t="inlineStr">
        <is>
          <t>Limbe</t>
        </is>
      </c>
      <c r="H955" t="inlineStr">
        <is>
          <t>NOKIA</t>
        </is>
      </c>
      <c r="I955" t="n">
        <v>0.000267526174760832</v>
      </c>
      <c r="J955" t="n">
        <v>0.0002496910964435358</v>
      </c>
      <c r="K955" t="n">
        <v>0.0002052138352105484</v>
      </c>
      <c r="L955" t="n">
        <v>0.0002853612530784755</v>
      </c>
      <c r="M955" t="n">
        <v>0.000285361253078186</v>
      </c>
      <c r="N955" t="n">
        <v>0</v>
      </c>
      <c r="O955" t="n">
        <v>0</v>
      </c>
      <c r="P955" t="n">
        <v>0.0005130048788816177</v>
      </c>
      <c r="Q955" t="n">
        <v>0.0002675261747609478</v>
      </c>
      <c r="R955" t="inlineStr">
        <is>
          <t>Operationnel</t>
        </is>
      </c>
      <c r="S955" t="inlineStr"/>
      <c r="T955" t="inlineStr"/>
      <c r="U955" t="inlineStr"/>
      <c r="V955" t="inlineStr"/>
      <c r="W955" t="inlineStr"/>
      <c r="X955" t="inlineStr">
        <is>
          <t>{05-25-2026 retour IHS}: IHS</t>
        </is>
      </c>
      <c r="Y955" t="inlineStr">
        <is>
          <t>IHS</t>
        </is>
      </c>
      <c r="Z955" t="inlineStr"/>
      <c r="AA955" t="inlineStr"/>
      <c r="AB955" t="inlineStr"/>
      <c r="AC955" t="inlineStr"/>
      <c r="AD955" t="inlineStr">
        <is>
          <t>{05-25-2026 retour IHS}: IHS</t>
        </is>
      </c>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row>
    <row r="956">
      <c r="A956" t="inlineStr">
        <is>
          <t>Fondjanti</t>
        </is>
      </c>
      <c r="B956" t="inlineStr">
        <is>
          <t>OST_158</t>
        </is>
      </c>
      <c r="C956" t="inlineStr">
        <is>
          <t>OUEST</t>
        </is>
      </c>
      <c r="D956" t="inlineStr">
        <is>
          <t>IHS</t>
        </is>
      </c>
      <c r="E956" t="inlineStr">
        <is>
          <t>Grid-Gen</t>
        </is>
      </c>
      <c r="F956" t="inlineStr">
        <is>
          <t>OUEST</t>
        </is>
      </c>
      <c r="G956" t="inlineStr">
        <is>
          <t>Fondjanti</t>
        </is>
      </c>
      <c r="H956" t="inlineStr">
        <is>
          <t>NOKIA</t>
        </is>
      </c>
      <c r="I956" t="n">
        <v>0.0002675261747608899</v>
      </c>
      <c r="J956" t="n">
        <v>0.000285361253078186</v>
      </c>
      <c r="K956" t="n">
        <v>0.0002542012135273478</v>
      </c>
      <c r="L956" t="n">
        <v>0.000267526174760832</v>
      </c>
      <c r="M956" t="n">
        <v>0.01776373800412647</v>
      </c>
      <c r="N956" t="n">
        <v>0</v>
      </c>
      <c r="O956" t="n">
        <v>0</v>
      </c>
      <c r="P956" t="n">
        <v>0.0004788045536223695</v>
      </c>
      <c r="Q956" t="n">
        <v>0.0002496910964433043</v>
      </c>
      <c r="R956" t="inlineStr">
        <is>
          <t>Operationnel</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row>
    <row r="957">
      <c r="A957" t="inlineStr">
        <is>
          <t>Moumee-New</t>
        </is>
      </c>
      <c r="B957" t="inlineStr">
        <is>
          <t>OST_224</t>
        </is>
      </c>
      <c r="C957" t="inlineStr">
        <is>
          <t>OUEST</t>
        </is>
      </c>
      <c r="D957" t="inlineStr">
        <is>
          <t>IHS</t>
        </is>
      </c>
      <c r="E957" t="inlineStr">
        <is>
          <t>Grid-Gen</t>
        </is>
      </c>
      <c r="F957" t="inlineStr">
        <is>
          <t>OUEST</t>
        </is>
      </c>
      <c r="G957" t="inlineStr">
        <is>
          <t>Moumee</t>
        </is>
      </c>
      <c r="H957" t="inlineStr">
        <is>
          <t>NOKIA</t>
        </is>
      </c>
      <c r="I957" t="n">
        <v>0.0002318560181259502</v>
      </c>
      <c r="J957" t="n">
        <v>0.0002587149417679203</v>
      </c>
      <c r="K957" t="n">
        <v>0.0002853612530784176</v>
      </c>
      <c r="L957" t="n">
        <v>0.01473200257228621</v>
      </c>
      <c r="M957" t="n">
        <v>0.000285361253078186</v>
      </c>
      <c r="N957" t="n">
        <v>0</v>
      </c>
      <c r="O957" t="n">
        <v>0</v>
      </c>
      <c r="P957" t="n">
        <v>0.0004532618771652119</v>
      </c>
      <c r="Q957" t="n">
        <v>0.0002363708829189476</v>
      </c>
      <c r="R957" t="inlineStr">
        <is>
          <t>Operationnel</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row>
    <row r="958">
      <c r="A958" t="inlineStr">
        <is>
          <t>Akok-I</t>
        </is>
      </c>
      <c r="B958" t="inlineStr">
        <is>
          <t>SUD_121</t>
        </is>
      </c>
      <c r="C958" t="inlineStr">
        <is>
          <t>CENTRE</t>
        </is>
      </c>
      <c r="D958" t="inlineStr">
        <is>
          <t>CAMUSAT</t>
        </is>
      </c>
      <c r="E958" t="inlineStr">
        <is>
          <t>Hybrid Solar - S3</t>
        </is>
      </c>
      <c r="F958" t="inlineStr">
        <is>
          <t>SUD</t>
        </is>
      </c>
      <c r="G958" t="inlineStr">
        <is>
          <t>Akom-I</t>
        </is>
      </c>
      <c r="H958" t="inlineStr">
        <is>
          <t>NOKIA</t>
        </is>
      </c>
      <c r="I958" t="n">
        <v>0</v>
      </c>
      <c r="J958" t="n">
        <v>0</v>
      </c>
      <c r="K958" t="n">
        <v>0</v>
      </c>
      <c r="L958" t="n">
        <v>0.002140320873921416</v>
      </c>
      <c r="M958" t="n">
        <v>0.07018103317895312</v>
      </c>
      <c r="N958" t="n">
        <v>0</v>
      </c>
      <c r="O958" t="n">
        <v>0.000531292752629308</v>
      </c>
      <c r="P958" t="n">
        <v>0</v>
      </c>
      <c r="Q958" t="n">
        <v>0.0001783611049970276</v>
      </c>
      <c r="R958" t="inlineStr">
        <is>
          <t>Operationnel</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row>
    <row r="959">
      <c r="A959" t="inlineStr">
        <is>
          <t>CTR_181_N_Nanga-Eboko-CRTV</t>
        </is>
      </c>
      <c r="B959" t="inlineStr">
        <is>
          <t>CTR_181</t>
        </is>
      </c>
      <c r="C959" t="inlineStr">
        <is>
          <t>CENTRE</t>
        </is>
      </c>
      <c r="D959" t="inlineStr">
        <is>
          <t>CAMUSAT</t>
        </is>
      </c>
      <c r="E959" t="inlineStr">
        <is>
          <t>Bad Grid + GE</t>
        </is>
      </c>
      <c r="F959" t="inlineStr">
        <is>
          <t>CENTRE</t>
        </is>
      </c>
      <c r="G959" t="inlineStr">
        <is>
          <t>Nanga-Eboko</t>
        </is>
      </c>
      <c r="H959" t="inlineStr">
        <is>
          <t>NOKIA</t>
        </is>
      </c>
      <c r="I959" t="n">
        <v>0.000107010469904356</v>
      </c>
      <c r="J959" t="n">
        <v>3.567015663470812e-05</v>
      </c>
      <c r="K959" t="n">
        <v>1.190491477686176</v>
      </c>
      <c r="L959" t="n">
        <v>0.0001426806265394115</v>
      </c>
      <c r="M959" t="n">
        <v>0.0001070104699042402</v>
      </c>
      <c r="N959" t="n">
        <v>0</v>
      </c>
      <c r="O959" t="n">
        <v>0</v>
      </c>
      <c r="P959" t="n">
        <v>0.000273602602070544</v>
      </c>
      <c r="Q959" t="n">
        <v>0.0001426806265393536</v>
      </c>
      <c r="R959" t="inlineStr">
        <is>
          <t>Operationnel</t>
        </is>
      </c>
      <c r="S959" t="inlineStr"/>
      <c r="T959" t="inlineStr"/>
      <c r="U959" t="inlineStr"/>
      <c r="V959" t="inlineStr"/>
      <c r="W959" t="inlineStr"/>
      <c r="X959" t="inlineStr">
        <is>
          <t xml:space="preserve">{05-25-2026 retour CAMUSAT}: No power issue </t>
        </is>
      </c>
      <c r="Y959" t="inlineStr">
        <is>
          <t>No power issue</t>
        </is>
      </c>
      <c r="Z959" t="inlineStr"/>
      <c r="AA959" t="inlineStr"/>
      <c r="AB959" t="inlineStr"/>
      <c r="AC959" t="inlineStr">
        <is>
          <t xml:space="preserve">{05-25-2026 retour CAMUSAT}: No power issue </t>
        </is>
      </c>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row>
    <row r="960">
      <c r="A960" t="inlineStr">
        <is>
          <t>Katoual-MTN</t>
        </is>
      </c>
      <c r="B960" t="inlineStr">
        <is>
          <t>EXN_026</t>
        </is>
      </c>
      <c r="C960" t="inlineStr">
        <is>
          <t>EXTREME-NORD</t>
        </is>
      </c>
      <c r="D960" t="inlineStr">
        <is>
          <t>IHS</t>
        </is>
      </c>
      <c r="E960" t="inlineStr">
        <is>
          <t>Grid-Gen</t>
        </is>
      </c>
      <c r="F960" t="inlineStr">
        <is>
          <t>EXTREME-NORD</t>
        </is>
      </c>
      <c r="G960" t="inlineStr">
        <is>
          <t>Maroua</t>
        </is>
      </c>
      <c r="H960" t="inlineStr">
        <is>
          <t>Huawei</t>
        </is>
      </c>
      <c r="I960" t="n">
        <v>2.007908787129066</v>
      </c>
      <c r="J960" t="n">
        <v>0</v>
      </c>
      <c r="K960" t="n">
        <v>0</v>
      </c>
      <c r="L960" t="n">
        <v>0</v>
      </c>
      <c r="M960" t="n">
        <v>0</v>
      </c>
      <c r="N960" t="n">
        <v>0</v>
      </c>
      <c r="O960" t="n">
        <v>0.0002656310032606737</v>
      </c>
      <c r="P960" t="n">
        <v>0</v>
      </c>
      <c r="Q960" t="n">
        <v>8.917539158697954e-05</v>
      </c>
      <c r="R960" t="inlineStr">
        <is>
          <t>Insecurity</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row>
    <row r="961">
      <c r="A961" t="inlineStr">
        <is>
          <t>Buea-Prime22</t>
        </is>
      </c>
      <c r="B961" t="inlineStr">
        <is>
          <t>SUO_241</t>
        </is>
      </c>
      <c r="C961" t="inlineStr">
        <is>
          <t>SUD-OUEST</t>
        </is>
      </c>
      <c r="D961" t="inlineStr">
        <is>
          <t>CAMUSAT</t>
        </is>
      </c>
      <c r="E961" t="inlineStr">
        <is>
          <t>Medium Grid + GE</t>
        </is>
      </c>
      <c r="F961" t="inlineStr">
        <is>
          <t>SUD-OUEST</t>
        </is>
      </c>
      <c r="G961" t="inlineStr">
        <is>
          <t>Buea</t>
        </is>
      </c>
      <c r="H961" t="inlineStr">
        <is>
          <t>Huawei</t>
        </is>
      </c>
      <c r="I961" t="n">
        <v>0</v>
      </c>
      <c r="J961" t="n">
        <v>0</v>
      </c>
      <c r="K961" t="n">
        <v>0</v>
      </c>
      <c r="L961" t="n">
        <v>0</v>
      </c>
      <c r="M961" t="n">
        <v>0</v>
      </c>
      <c r="N961" t="n">
        <v>0</v>
      </c>
      <c r="O961" t="n">
        <v>0.0002656310032606737</v>
      </c>
      <c r="P961" t="n">
        <v>0</v>
      </c>
      <c r="Q961" t="n">
        <v>8.917539158697954e-05</v>
      </c>
      <c r="R961" t="inlineStr">
        <is>
          <t>Operationnel</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row>
    <row r="962">
      <c r="A962" t="inlineStr">
        <is>
          <t>Galim</t>
        </is>
      </c>
      <c r="B962" t="inlineStr">
        <is>
          <t>OST_026</t>
        </is>
      </c>
      <c r="C962" t="inlineStr">
        <is>
          <t>OUEST</t>
        </is>
      </c>
      <c r="D962" t="inlineStr">
        <is>
          <t>IHS</t>
        </is>
      </c>
      <c r="E962" t="inlineStr">
        <is>
          <t>Grid-Gen</t>
        </is>
      </c>
      <c r="F962" t="inlineStr">
        <is>
          <t>OUEST</t>
        </is>
      </c>
      <c r="G962" t="inlineStr">
        <is>
          <t>Galim</t>
        </is>
      </c>
      <c r="H962" t="inlineStr">
        <is>
          <t>NOKIA</t>
        </is>
      </c>
      <c r="I962" t="n">
        <v>0.0001070104699044138</v>
      </c>
      <c r="J962" t="n">
        <v>8.917539158700189e-05</v>
      </c>
      <c r="K962" t="n">
        <v>2.684736413643193e-05</v>
      </c>
      <c r="L962" t="n">
        <v>3.567015663476602e-05</v>
      </c>
      <c r="M962" t="n">
        <v>3.567015663470812e-05</v>
      </c>
      <c r="N962" t="n">
        <v>0</v>
      </c>
      <c r="O962" t="n">
        <v>0</v>
      </c>
      <c r="P962" t="n">
        <v>0.0001368013010351055</v>
      </c>
      <c r="Q962" t="n">
        <v>7.134031326958995e-05</v>
      </c>
      <c r="R962" t="inlineStr">
        <is>
          <t>Operationnel</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row>
    <row r="963">
      <c r="A963" t="inlineStr">
        <is>
          <t>Ayos</t>
        </is>
      </c>
      <c r="B963" t="inlineStr">
        <is>
          <t>EST_018</t>
        </is>
      </c>
      <c r="C963" t="inlineStr">
        <is>
          <t>CENTRE</t>
        </is>
      </c>
      <c r="D963" t="inlineStr">
        <is>
          <t>IHS</t>
        </is>
      </c>
      <c r="E963" t="inlineStr">
        <is>
          <t>Grid-Gen</t>
        </is>
      </c>
      <c r="F963" t="inlineStr">
        <is>
          <t>EST</t>
        </is>
      </c>
      <c r="G963" t="inlineStr">
        <is>
          <t>Ayos</t>
        </is>
      </c>
      <c r="H963" t="inlineStr">
        <is>
          <t>NOKIA</t>
        </is>
      </c>
      <c r="I963" t="n">
        <v>0.0002675261747608899</v>
      </c>
      <c r="J963" t="n">
        <v>0.0003210314097130679</v>
      </c>
      <c r="K963" t="n">
        <v>0.0001783507831740617</v>
      </c>
      <c r="L963" t="n">
        <v>0.0001961858614914157</v>
      </c>
      <c r="M963" t="n">
        <v>0.7047001686444024</v>
      </c>
      <c r="N963" t="n">
        <v>0</v>
      </c>
      <c r="O963" t="n">
        <v>0</v>
      </c>
      <c r="P963" t="n">
        <v>0.0001368013010347724</v>
      </c>
      <c r="Q963" t="n">
        <v>7.134031326941624e-05</v>
      </c>
      <c r="R963" t="inlineStr">
        <is>
          <t>Operationnel</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row>
    <row r="964">
      <c r="A964" t="inlineStr">
        <is>
          <t>Bakou</t>
        </is>
      </c>
      <c r="B964" t="inlineStr">
        <is>
          <t>OST_182</t>
        </is>
      </c>
      <c r="C964" t="inlineStr">
        <is>
          <t>OUEST</t>
        </is>
      </c>
      <c r="D964" t="inlineStr">
        <is>
          <t>IHS</t>
        </is>
      </c>
      <c r="E964" t="inlineStr">
        <is>
          <t>Grid-Gen</t>
        </is>
      </c>
      <c r="F964" t="inlineStr">
        <is>
          <t>OUEST</t>
        </is>
      </c>
      <c r="G964" t="inlineStr">
        <is>
          <t>Bakou</t>
        </is>
      </c>
      <c r="H964" t="inlineStr">
        <is>
          <t>NOKIA</t>
        </is>
      </c>
      <c r="I964" t="n">
        <v>5.350523495235167e-05</v>
      </c>
      <c r="J964" t="n">
        <v>7.134031326947414e-05</v>
      </c>
      <c r="K964" t="n">
        <v>0</v>
      </c>
      <c r="L964" t="n">
        <v>5.801886121206246e-05</v>
      </c>
      <c r="M964" t="n">
        <v>5.350523495212009e-05</v>
      </c>
      <c r="N964" t="n">
        <v>0</v>
      </c>
      <c r="O964" t="n">
        <v>0</v>
      </c>
      <c r="P964" t="n">
        <v>0.0001026009757760793</v>
      </c>
      <c r="Q964" t="n">
        <v>5.350523495206218e-05</v>
      </c>
      <c r="R964" t="inlineStr">
        <is>
          <t>Operationnel</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row>
    <row r="965">
      <c r="A965" t="inlineStr">
        <is>
          <t>Bonewonda-III</t>
        </is>
      </c>
      <c r="B965" t="inlineStr">
        <is>
          <t>LIT_615</t>
        </is>
      </c>
      <c r="C965" t="inlineStr">
        <is>
          <t>Douala</t>
        </is>
      </c>
      <c r="D965" t="inlineStr">
        <is>
          <t>CAMUSAT</t>
        </is>
      </c>
      <c r="E965" t="inlineStr">
        <is>
          <t>Good Grid no GE - 8h</t>
        </is>
      </c>
      <c r="F965" t="inlineStr">
        <is>
          <t>LITTORAL</t>
        </is>
      </c>
      <c r="G965" t="inlineStr">
        <is>
          <t>Douala</t>
        </is>
      </c>
      <c r="H965" t="inlineStr">
        <is>
          <t>ZTE</t>
        </is>
      </c>
      <c r="I965" t="n">
        <v>18.50574860244326</v>
      </c>
      <c r="J965" t="n">
        <v>8.490977590580796</v>
      </c>
      <c r="K965" t="n">
        <v>22.8583637956471</v>
      </c>
      <c r="L965" t="n">
        <v>64.7222329232692</v>
      </c>
      <c r="M965" t="n">
        <v>0</v>
      </c>
      <c r="N965" t="n">
        <v>0</v>
      </c>
      <c r="O965" t="n">
        <v>0</v>
      </c>
      <c r="P965" t="n">
        <v>4.163336342344337e-17</v>
      </c>
      <c r="Q965" t="n">
        <v>2.171132267472333e-17</v>
      </c>
      <c r="R965" t="inlineStr">
        <is>
          <t>Operationnel</t>
        </is>
      </c>
      <c r="S965" t="inlineStr"/>
      <c r="T965" t="inlineStr"/>
      <c r="U965" t="inlineStr"/>
      <c r="V965" t="inlineStr"/>
      <c r="W965" t="inlineStr"/>
      <c r="X965" t="inlineStr">
        <is>
          <t>{05-25-2026 retour CAMUSAT}: GE faulty</t>
        </is>
      </c>
      <c r="Y965" t="inlineStr">
        <is>
          <t>GE faulty</t>
        </is>
      </c>
      <c r="Z965" t="inlineStr"/>
      <c r="AA965" t="inlineStr"/>
      <c r="AB965" t="inlineStr"/>
      <c r="AC965" t="inlineStr">
        <is>
          <t>{05-25-2026 retour CAMUSAT}: GE faulty</t>
        </is>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row>
    <row r="966">
      <c r="A966" t="inlineStr">
        <is>
          <t>Nkolmekong-YDE-HIS</t>
        </is>
      </c>
      <c r="B966" t="inlineStr">
        <is>
          <t>CTR_523</t>
        </is>
      </c>
      <c r="C966" t="inlineStr">
        <is>
          <t>Yaounde</t>
        </is>
      </c>
      <c r="D966" t="inlineStr">
        <is>
          <t>IHS</t>
        </is>
      </c>
      <c r="E966" t="inlineStr">
        <is>
          <t>Grid-Gen</t>
        </is>
      </c>
      <c r="F966" t="inlineStr">
        <is>
          <t>CENTRE</t>
        </is>
      </c>
      <c r="G966" t="inlineStr">
        <is>
          <t>Yaounde</t>
        </is>
      </c>
      <c r="H966" t="inlineStr">
        <is>
          <t>ZTE</t>
        </is>
      </c>
      <c r="I966" t="n">
        <v>0</v>
      </c>
      <c r="J966" t="n">
        <v>0</v>
      </c>
      <c r="K966" t="n">
        <v>0</v>
      </c>
      <c r="L966" t="n">
        <v>4.076189314362518</v>
      </c>
      <c r="M966" t="n">
        <v>40.18191423182177</v>
      </c>
      <c r="N966" t="n">
        <v>0</v>
      </c>
      <c r="O966" t="n">
        <v>0</v>
      </c>
      <c r="P966" t="n">
        <v>0</v>
      </c>
      <c r="Q966" t="n">
        <v>0</v>
      </c>
      <c r="R966" t="inlineStr">
        <is>
          <t>Operationnel</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row>
    <row r="967">
      <c r="A967" t="inlineStr">
        <is>
          <t>Bobongo-II</t>
        </is>
      </c>
      <c r="B967" t="inlineStr">
        <is>
          <t>LIT_568</t>
        </is>
      </c>
      <c r="C967" t="inlineStr">
        <is>
          <t>Douala</t>
        </is>
      </c>
      <c r="D967" t="inlineStr">
        <is>
          <t>CAMUSAT</t>
        </is>
      </c>
      <c r="E967" t="inlineStr">
        <is>
          <t>Good Grid + GE</t>
        </is>
      </c>
      <c r="F967" t="inlineStr">
        <is>
          <t>LITTORAL</t>
        </is>
      </c>
      <c r="G967" t="inlineStr">
        <is>
          <t>Douala</t>
        </is>
      </c>
      <c r="H967" t="inlineStr">
        <is>
          <t>ZTE</t>
        </is>
      </c>
      <c r="I967" t="n">
        <v>0</v>
      </c>
      <c r="J967" t="n">
        <v>17.66637631159166</v>
      </c>
      <c r="K967" t="n">
        <v>0</v>
      </c>
      <c r="L967" t="n">
        <v>0</v>
      </c>
      <c r="M967" t="n">
        <v>39.31809004859701</v>
      </c>
      <c r="N967" t="n">
        <v>0</v>
      </c>
      <c r="O967" t="n">
        <v>0</v>
      </c>
      <c r="P967" t="n">
        <v>0</v>
      </c>
      <c r="Q967" t="n">
        <v>0</v>
      </c>
      <c r="R967" t="inlineStr">
        <is>
          <t>Operationnel</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row>
    <row r="968">
      <c r="A968" t="inlineStr">
        <is>
          <t>LIT_837_Z_Yassa-Hotel-Midi</t>
        </is>
      </c>
      <c r="B968" t="inlineStr">
        <is>
          <t>LIT_837</t>
        </is>
      </c>
      <c r="C968" t="inlineStr">
        <is>
          <t>Douala</t>
        </is>
      </c>
      <c r="D968" t="inlineStr">
        <is>
          <t>ESCO</t>
        </is>
      </c>
      <c r="E968" t="inlineStr">
        <is>
          <t>Bad Grid + Solar + GE</t>
        </is>
      </c>
      <c r="F968" t="inlineStr">
        <is>
          <t>LIT</t>
        </is>
      </c>
      <c r="G968" t="inlineStr">
        <is>
          <t>Douala</t>
        </is>
      </c>
      <c r="H968" t="inlineStr">
        <is>
          <t>ZTE</t>
        </is>
      </c>
      <c r="I968" t="n">
        <v>0.07995465609688585</v>
      </c>
      <c r="J968" t="n">
        <v>2.466751847000711</v>
      </c>
      <c r="K968" t="n">
        <v>26.78311546001661</v>
      </c>
      <c r="L968" t="n">
        <v>6.812678885835523</v>
      </c>
      <c r="M968" t="n">
        <v>31.10778308549709</v>
      </c>
      <c r="N968" t="n">
        <v>0</v>
      </c>
      <c r="O968" t="n">
        <v>0</v>
      </c>
      <c r="P968" t="n">
        <v>0</v>
      </c>
      <c r="Q968" t="n">
        <v>0</v>
      </c>
      <c r="R968" t="inlineStr">
        <is>
          <t>EXCLU</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row>
    <row r="969">
      <c r="A969" t="inlineStr">
        <is>
          <t>Carington</t>
        </is>
      </c>
      <c r="B969" t="inlineStr">
        <is>
          <t>CTR_070</t>
        </is>
      </c>
      <c r="C969" t="inlineStr">
        <is>
          <t>Yaounde</t>
        </is>
      </c>
      <c r="D969" t="inlineStr">
        <is>
          <t>IHS</t>
        </is>
      </c>
      <c r="E969" t="inlineStr">
        <is>
          <t>GridOnly</t>
        </is>
      </c>
      <c r="F969" t="inlineStr">
        <is>
          <t>CENTRE</t>
        </is>
      </c>
      <c r="G969" t="inlineStr">
        <is>
          <t>Yaounde</t>
        </is>
      </c>
      <c r="H969" t="inlineStr">
        <is>
          <t>ZTE</t>
        </is>
      </c>
      <c r="I969" t="n">
        <v>0</v>
      </c>
      <c r="J969" t="n">
        <v>0</v>
      </c>
      <c r="K969" t="n">
        <v>0</v>
      </c>
      <c r="L969" t="n">
        <v>0</v>
      </c>
      <c r="M969" t="n">
        <v>29.72857864413453</v>
      </c>
      <c r="N969" t="n">
        <v>0</v>
      </c>
      <c r="O969" t="n">
        <v>0</v>
      </c>
      <c r="P969" t="n">
        <v>0</v>
      </c>
      <c r="Q969" t="n">
        <v>0</v>
      </c>
      <c r="R969" t="inlineStr">
        <is>
          <t>Operationnel</t>
        </is>
      </c>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row>
    <row r="970">
      <c r="A970" t="inlineStr">
        <is>
          <t>Garoua-Yelwa-Orange-IHS</t>
        </is>
      </c>
      <c r="B970" t="inlineStr">
        <is>
          <t>NRD_082</t>
        </is>
      </c>
      <c r="C970" t="inlineStr">
        <is>
          <t>Garoua</t>
        </is>
      </c>
      <c r="D970" t="inlineStr">
        <is>
          <t>IHS</t>
        </is>
      </c>
      <c r="E970" t="inlineStr">
        <is>
          <t>Grid-Gen</t>
        </is>
      </c>
      <c r="F970" t="inlineStr">
        <is>
          <t>NORD</t>
        </is>
      </c>
      <c r="G970" t="inlineStr">
        <is>
          <t>Garoua</t>
        </is>
      </c>
      <c r="H970" t="inlineStr">
        <is>
          <t>Huawei</t>
        </is>
      </c>
      <c r="I970" t="n">
        <v>1.110608161902561</v>
      </c>
      <c r="J970" t="n">
        <v>0</v>
      </c>
      <c r="K970" t="n">
        <v>0.1419137181715192</v>
      </c>
      <c r="L970" t="n">
        <v>5.539664500774756</v>
      </c>
      <c r="M970" t="n">
        <v>28.02686248155853</v>
      </c>
      <c r="N970" t="n">
        <v>0</v>
      </c>
      <c r="O970" t="n">
        <v>0</v>
      </c>
      <c r="P970" t="n">
        <v>0</v>
      </c>
      <c r="Q970" t="n">
        <v>0</v>
      </c>
      <c r="R970" t="inlineStr">
        <is>
          <t>Operationnel</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row>
    <row r="971">
      <c r="A971" t="inlineStr">
        <is>
          <t>Nkolondom</t>
        </is>
      </c>
      <c r="B971" t="inlineStr">
        <is>
          <t>CTR_248</t>
        </is>
      </c>
      <c r="C971" t="inlineStr">
        <is>
          <t>Yaounde</t>
        </is>
      </c>
      <c r="D971" t="inlineStr">
        <is>
          <t>IHS</t>
        </is>
      </c>
      <c r="E971" t="inlineStr">
        <is>
          <t>Grid-Gen</t>
        </is>
      </c>
      <c r="F971" t="inlineStr">
        <is>
          <t>CENTRE</t>
        </is>
      </c>
      <c r="G971" t="inlineStr">
        <is>
          <t>Yaounde</t>
        </is>
      </c>
      <c r="H971" t="inlineStr">
        <is>
          <t>ZTE</t>
        </is>
      </c>
      <c r="I971" t="n">
        <v>0</v>
      </c>
      <c r="J971" t="n">
        <v>0</v>
      </c>
      <c r="K971" t="n">
        <v>0</v>
      </c>
      <c r="L971" t="n">
        <v>0</v>
      </c>
      <c r="M971" t="n">
        <v>22.898760248036</v>
      </c>
      <c r="N971" t="n">
        <v>0</v>
      </c>
      <c r="O971" t="n">
        <v>0</v>
      </c>
      <c r="P971" t="n">
        <v>0</v>
      </c>
      <c r="Q971" t="n">
        <v>0</v>
      </c>
      <c r="R971" t="inlineStr">
        <is>
          <t>Operationnel</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row>
    <row r="972">
      <c r="A972" t="inlineStr">
        <is>
          <t>EST_195_Z_Bertoua-Nyanganza</t>
        </is>
      </c>
      <c r="B972" t="inlineStr">
        <is>
          <t>EST_195</t>
        </is>
      </c>
      <c r="C972" t="inlineStr">
        <is>
          <t>CENTRE</t>
        </is>
      </c>
      <c r="D972" t="inlineStr">
        <is>
          <t>ESCO</t>
        </is>
      </c>
      <c r="E972" t="inlineStr">
        <is>
          <t>Hybrid Solar - S1</t>
        </is>
      </c>
      <c r="F972" t="inlineStr">
        <is>
          <t>EST</t>
        </is>
      </c>
      <c r="G972" t="inlineStr">
        <is>
          <t>Bertoua</t>
        </is>
      </c>
      <c r="H972" t="inlineStr">
        <is>
          <t>ZTE</t>
        </is>
      </c>
      <c r="I972" t="n">
        <v>14.53869213230489</v>
      </c>
      <c r="J972" t="n">
        <v>5.09041671303787</v>
      </c>
      <c r="K972" t="n">
        <v>6.716030596433554</v>
      </c>
      <c r="L972" t="n">
        <v>13.87144618229448</v>
      </c>
      <c r="M972" t="n">
        <v>18.83958559838828</v>
      </c>
      <c r="N972" t="n">
        <v>0</v>
      </c>
      <c r="O972" t="n">
        <v>0</v>
      </c>
      <c r="P972" t="n">
        <v>0</v>
      </c>
      <c r="Q972" t="n">
        <v>0</v>
      </c>
      <c r="R972" t="inlineStr">
        <is>
          <t>Operationnel</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row>
    <row r="973">
      <c r="A973" t="inlineStr">
        <is>
          <t>C-D-Palmiers-III</t>
        </is>
      </c>
      <c r="B973" t="inlineStr">
        <is>
          <t>LIT_168</t>
        </is>
      </c>
      <c r="C973" t="inlineStr">
        <is>
          <t>Douala</t>
        </is>
      </c>
      <c r="D973" t="inlineStr">
        <is>
          <t>IHS</t>
        </is>
      </c>
      <c r="E973" t="inlineStr">
        <is>
          <t>GridOnly</t>
        </is>
      </c>
      <c r="F973" t="inlineStr">
        <is>
          <t>LITTORAL</t>
        </is>
      </c>
      <c r="G973" t="inlineStr">
        <is>
          <t>Douala</t>
        </is>
      </c>
      <c r="H973" t="inlineStr">
        <is>
          <t>ZTE</t>
        </is>
      </c>
      <c r="I973" t="n">
        <v>0</v>
      </c>
      <c r="J973" t="n">
        <v>8.175671241007553</v>
      </c>
      <c r="K973" t="n">
        <v>0</v>
      </c>
      <c r="L973" t="n">
        <v>5.565899900979645</v>
      </c>
      <c r="M973" t="n">
        <v>16.89818381830478</v>
      </c>
      <c r="N973" t="n">
        <v>0</v>
      </c>
      <c r="O973" t="n">
        <v>0</v>
      </c>
      <c r="P973" t="n">
        <v>0</v>
      </c>
      <c r="Q973" t="n">
        <v>0</v>
      </c>
      <c r="R973" t="inlineStr">
        <is>
          <t>Operationnel</t>
        </is>
      </c>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row>
    <row r="974">
      <c r="A974" t="inlineStr">
        <is>
          <t>Nkolbong-II</t>
        </is>
      </c>
      <c r="B974" t="inlineStr">
        <is>
          <t>CTR_658</t>
        </is>
      </c>
      <c r="C974" t="inlineStr">
        <is>
          <t>Yaounde</t>
        </is>
      </c>
      <c r="D974" t="inlineStr">
        <is>
          <t>CAMUSAT</t>
        </is>
      </c>
      <c r="E974" t="inlineStr">
        <is>
          <t>Good Grid + GE</t>
        </is>
      </c>
      <c r="F974" t="inlineStr">
        <is>
          <t>CENTRE</t>
        </is>
      </c>
      <c r="G974" t="inlineStr">
        <is>
          <t>Yaounde</t>
        </is>
      </c>
      <c r="H974" t="inlineStr">
        <is>
          <t>ZTE</t>
        </is>
      </c>
      <c r="I974" t="n">
        <v>0</v>
      </c>
      <c r="J974" t="n">
        <v>0</v>
      </c>
      <c r="K974" t="n">
        <v>0</v>
      </c>
      <c r="L974" t="n">
        <v>0</v>
      </c>
      <c r="M974" t="n">
        <v>11.80808813667663</v>
      </c>
      <c r="N974" t="n">
        <v>0</v>
      </c>
      <c r="O974" t="n">
        <v>0</v>
      </c>
      <c r="P974" t="n">
        <v>0</v>
      </c>
      <c r="Q974" t="n">
        <v>0</v>
      </c>
      <c r="R974" t="inlineStr">
        <is>
          <t>Operationnel</t>
        </is>
      </c>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row>
    <row r="975">
      <c r="A975" t="inlineStr">
        <is>
          <t>Bep-An-2000</t>
        </is>
      </c>
      <c r="B975" t="inlineStr">
        <is>
          <t>LIT_459</t>
        </is>
      </c>
      <c r="C975" t="inlineStr">
        <is>
          <t>Douala</t>
        </is>
      </c>
      <c r="D975" t="inlineStr">
        <is>
          <t>IHS</t>
        </is>
      </c>
      <c r="E975" t="inlineStr">
        <is>
          <t>Grid-Gen</t>
        </is>
      </c>
      <c r="F975" t="inlineStr">
        <is>
          <t>LITTORAL</t>
        </is>
      </c>
      <c r="G975" t="inlineStr">
        <is>
          <t>Douala</t>
        </is>
      </c>
      <c r="H975" t="inlineStr">
        <is>
          <t>ZTE</t>
        </is>
      </c>
      <c r="I975" t="n">
        <v>0</v>
      </c>
      <c r="J975" t="n">
        <v>0</v>
      </c>
      <c r="K975" t="n">
        <v>0</v>
      </c>
      <c r="L975" t="n">
        <v>0</v>
      </c>
      <c r="M975" t="n">
        <v>10.96719986416804</v>
      </c>
      <c r="N975" t="n">
        <v>0</v>
      </c>
      <c r="O975" t="n">
        <v>0</v>
      </c>
      <c r="P975" t="n">
        <v>0</v>
      </c>
      <c r="Q975" t="n">
        <v>0</v>
      </c>
      <c r="R975" t="inlineStr">
        <is>
          <t>Operationnel</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row>
    <row r="976">
      <c r="A976" t="inlineStr">
        <is>
          <t>Ndobo3-MTN</t>
        </is>
      </c>
      <c r="B976" t="inlineStr">
        <is>
          <t>LIT_624</t>
        </is>
      </c>
      <c r="C976" t="inlineStr">
        <is>
          <t>Douala</t>
        </is>
      </c>
      <c r="D976" t="inlineStr">
        <is>
          <t>IHS</t>
        </is>
      </c>
      <c r="E976" t="inlineStr">
        <is>
          <t>grid + Gen</t>
        </is>
      </c>
      <c r="F976" t="inlineStr">
        <is>
          <t>LITTORAL</t>
        </is>
      </c>
      <c r="G976" t="inlineStr">
        <is>
          <t>Douala</t>
        </is>
      </c>
      <c r="H976" t="inlineStr">
        <is>
          <t>ZTE</t>
        </is>
      </c>
      <c r="I976" t="n">
        <v>0.6971018711137349</v>
      </c>
      <c r="J976" t="n">
        <v>0</v>
      </c>
      <c r="K976" t="n">
        <v>0</v>
      </c>
      <c r="L976" t="n">
        <v>0</v>
      </c>
      <c r="M976" t="n">
        <v>10.04075672097091</v>
      </c>
      <c r="N976" t="n">
        <v>0</v>
      </c>
      <c r="O976" t="n">
        <v>0</v>
      </c>
      <c r="P976" t="n">
        <v>0</v>
      </c>
      <c r="Q976" t="n">
        <v>0</v>
      </c>
      <c r="R976" t="inlineStr">
        <is>
          <t>Operationnel</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row>
    <row r="977">
      <c r="A977" t="inlineStr">
        <is>
          <t>Fin-goudron-Mbangue</t>
        </is>
      </c>
      <c r="B977" t="inlineStr">
        <is>
          <t>LIT_844</t>
        </is>
      </c>
      <c r="C977" t="inlineStr">
        <is>
          <t>Douala</t>
        </is>
      </c>
      <c r="D977" t="inlineStr">
        <is>
          <t>CAMUSAT</t>
        </is>
      </c>
      <c r="E977" t="inlineStr">
        <is>
          <t>Bad-Grid-GE</t>
        </is>
      </c>
      <c r="F977" t="inlineStr">
        <is>
          <t>LITTORAL</t>
        </is>
      </c>
      <c r="G977" t="inlineStr">
        <is>
          <t>Douala</t>
        </is>
      </c>
      <c r="H977" t="inlineStr">
        <is>
          <t>ZTE</t>
        </is>
      </c>
      <c r="I977" t="n">
        <v>0</v>
      </c>
      <c r="J977" t="n">
        <v>25.40344730661782</v>
      </c>
      <c r="K977" t="n">
        <v>0</v>
      </c>
      <c r="L977" t="n">
        <v>0</v>
      </c>
      <c r="M977" t="n">
        <v>8.699326975484613</v>
      </c>
      <c r="N977" t="n">
        <v>0</v>
      </c>
      <c r="O977" t="n">
        <v>0</v>
      </c>
      <c r="P977" t="n">
        <v>0</v>
      </c>
      <c r="Q977" t="n">
        <v>0</v>
      </c>
      <c r="R977" t="inlineStr">
        <is>
          <t>Operationnel</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row>
    <row r="978">
      <c r="A978" t="inlineStr">
        <is>
          <t>CTR_1057_Z_Labogenie</t>
        </is>
      </c>
      <c r="B978" t="inlineStr">
        <is>
          <t>CTR_1057</t>
        </is>
      </c>
      <c r="C978" t="inlineStr">
        <is>
          <t>Yaounde</t>
        </is>
      </c>
      <c r="D978" t="inlineStr">
        <is>
          <t>ESCO</t>
        </is>
      </c>
      <c r="E978" t="inlineStr">
        <is>
          <t>Good Grid + GE</t>
        </is>
      </c>
      <c r="F978" t="inlineStr">
        <is>
          <t>CTR</t>
        </is>
      </c>
      <c r="G978" t="inlineStr">
        <is>
          <t>Yaounde</t>
        </is>
      </c>
      <c r="H978" t="inlineStr">
        <is>
          <t>ZTE</t>
        </is>
      </c>
      <c r="I978" t="n">
        <v>0</v>
      </c>
      <c r="J978" t="n">
        <v>0</v>
      </c>
      <c r="K978" t="n">
        <v>0</v>
      </c>
      <c r="L978" t="n">
        <v>0</v>
      </c>
      <c r="M978" t="n">
        <v>8.16254462336595</v>
      </c>
      <c r="N978" t="n">
        <v>0</v>
      </c>
      <c r="O978" t="n">
        <v>0</v>
      </c>
      <c r="P978" t="n">
        <v>0</v>
      </c>
      <c r="Q978" t="n">
        <v>0</v>
      </c>
      <c r="R978" t="inlineStr">
        <is>
          <t>Operationnel</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row>
    <row r="979">
      <c r="A979" t="inlineStr">
        <is>
          <t>ETOUDI-NEW</t>
        </is>
      </c>
      <c r="B979" t="inlineStr">
        <is>
          <t>CTR_917</t>
        </is>
      </c>
      <c r="C979" t="inlineStr">
        <is>
          <t>Yaounde</t>
        </is>
      </c>
      <c r="D979" t="inlineStr">
        <is>
          <t>CAMUSAT</t>
        </is>
      </c>
      <c r="E979" t="inlineStr">
        <is>
          <t>Good Grid no GE - 8h</t>
        </is>
      </c>
      <c r="F979" t="inlineStr">
        <is>
          <t>CENTRE</t>
        </is>
      </c>
      <c r="G979" t="inlineStr">
        <is>
          <t>Yaounde</t>
        </is>
      </c>
      <c r="H979" t="inlineStr">
        <is>
          <t>ZTE</t>
        </is>
      </c>
      <c r="I979" t="n">
        <v>4.636442629546874</v>
      </c>
      <c r="J979" t="n">
        <v>0</v>
      </c>
      <c r="K979" t="n">
        <v>0.04069964872029708</v>
      </c>
      <c r="L979" t="n">
        <v>0.004066397856366266</v>
      </c>
      <c r="M979" t="n">
        <v>8.049113525267312</v>
      </c>
      <c r="N979" t="n">
        <v>0</v>
      </c>
      <c r="O979" t="n">
        <v>0</v>
      </c>
      <c r="P979" t="n">
        <v>0</v>
      </c>
      <c r="Q979" t="n">
        <v>0</v>
      </c>
      <c r="R979" t="inlineStr">
        <is>
          <t>Operationnel</t>
        </is>
      </c>
      <c r="S979" t="inlineStr"/>
      <c r="T979" t="inlineStr"/>
      <c r="U979" t="inlineStr"/>
      <c r="V979" t="inlineStr"/>
      <c r="W979" t="inlineStr"/>
      <c r="X979" t="inlineStr">
        <is>
          <t>{05-25-2026 retour CAMUSAT}: Grid outage Grid only site</t>
        </is>
      </c>
      <c r="Y979" t="inlineStr">
        <is>
          <t>Grid outage Grid only site</t>
        </is>
      </c>
      <c r="Z979" t="inlineStr">
        <is>
          <t>CTR_917</t>
        </is>
      </c>
      <c r="AA979" t="inlineStr"/>
      <c r="AB979" t="inlineStr"/>
      <c r="AC979" t="inlineStr">
        <is>
          <t>{05-25-2026 retour CAMUSAT}: Grid outage Grid only site</t>
        </is>
      </c>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row>
    <row r="980">
      <c r="A980" t="inlineStr">
        <is>
          <t>Tropicana-New</t>
        </is>
      </c>
      <c r="B980" t="inlineStr">
        <is>
          <t>CTR_833</t>
        </is>
      </c>
      <c r="C980" t="inlineStr">
        <is>
          <t>Yaounde</t>
        </is>
      </c>
      <c r="D980" t="inlineStr">
        <is>
          <t>CAMUSAT</t>
        </is>
      </c>
      <c r="E980" t="inlineStr">
        <is>
          <t>Good Grid + GE</t>
        </is>
      </c>
      <c r="F980" t="inlineStr">
        <is>
          <t>CENTRE</t>
        </is>
      </c>
      <c r="G980" t="inlineStr">
        <is>
          <t>Yaounde</t>
        </is>
      </c>
      <c r="H980" t="inlineStr">
        <is>
          <t>ZTE</t>
        </is>
      </c>
      <c r="I980" t="n">
        <v>0</v>
      </c>
      <c r="J980" t="n">
        <v>2.093071286094632</v>
      </c>
      <c r="K980" t="n">
        <v>0.4930864102410446</v>
      </c>
      <c r="L980" t="n">
        <v>0</v>
      </c>
      <c r="M980" t="n">
        <v>7.773062183070658</v>
      </c>
      <c r="N980" t="n">
        <v>0</v>
      </c>
      <c r="O980" t="n">
        <v>0</v>
      </c>
      <c r="P980" t="n">
        <v>0</v>
      </c>
      <c r="Q980" t="n">
        <v>0</v>
      </c>
      <c r="R980" t="inlineStr">
        <is>
          <t>Operationnel</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row>
    <row r="981">
      <c r="A981" t="inlineStr">
        <is>
          <t>H-General-Yde</t>
        </is>
      </c>
      <c r="B981" t="inlineStr">
        <is>
          <t>CTR_336</t>
        </is>
      </c>
      <c r="C981" t="inlineStr">
        <is>
          <t>Yaounde</t>
        </is>
      </c>
      <c r="D981" t="inlineStr">
        <is>
          <t>IHS</t>
        </is>
      </c>
      <c r="E981" t="inlineStr">
        <is>
          <t>Grid-Gen</t>
        </is>
      </c>
      <c r="F981" t="inlineStr">
        <is>
          <t>CENTRE</t>
        </is>
      </c>
      <c r="G981" t="inlineStr">
        <is>
          <t>Yaounde</t>
        </is>
      </c>
      <c r="H981" t="inlineStr">
        <is>
          <t>ZTE</t>
        </is>
      </c>
      <c r="I981" t="n">
        <v>0</v>
      </c>
      <c r="J981" t="n">
        <v>0</v>
      </c>
      <c r="K981" t="n">
        <v>0</v>
      </c>
      <c r="L981" t="n">
        <v>0.7095685908575963</v>
      </c>
      <c r="M981" t="n">
        <v>7.691395359455302</v>
      </c>
      <c r="N981" t="n">
        <v>0</v>
      </c>
      <c r="O981" t="n">
        <v>0</v>
      </c>
      <c r="P981" t="n">
        <v>0</v>
      </c>
      <c r="Q981" t="n">
        <v>0</v>
      </c>
      <c r="R981" t="inlineStr">
        <is>
          <t>Operationnel</t>
        </is>
      </c>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row>
    <row r="982">
      <c r="A982" t="inlineStr">
        <is>
          <t>Buea-Bwitingui-Road</t>
        </is>
      </c>
      <c r="B982" t="inlineStr">
        <is>
          <t>SUO_232</t>
        </is>
      </c>
      <c r="C982" t="inlineStr">
        <is>
          <t>SUD-OUEST</t>
        </is>
      </c>
      <c r="D982" t="inlineStr">
        <is>
          <t>CAMUSAT</t>
        </is>
      </c>
      <c r="E982" t="inlineStr">
        <is>
          <t>Medium Grid + GE</t>
        </is>
      </c>
      <c r="F982" t="inlineStr">
        <is>
          <t>SUD-OUEST</t>
        </is>
      </c>
      <c r="G982" t="inlineStr">
        <is>
          <t>Buea</t>
        </is>
      </c>
      <c r="H982" t="inlineStr">
        <is>
          <t>Huawei</t>
        </is>
      </c>
      <c r="I982" t="n">
        <v>0</v>
      </c>
      <c r="J982" t="n">
        <v>0</v>
      </c>
      <c r="K982" t="n">
        <v>0</v>
      </c>
      <c r="L982" t="n">
        <v>0</v>
      </c>
      <c r="M982" t="n">
        <v>7.502593220387349</v>
      </c>
      <c r="N982" t="n">
        <v>0</v>
      </c>
      <c r="O982" t="n">
        <v>0</v>
      </c>
      <c r="P982" t="n">
        <v>0</v>
      </c>
      <c r="Q982" t="n">
        <v>0</v>
      </c>
      <c r="R982" t="inlineStr">
        <is>
          <t>EXCLU</t>
        </is>
      </c>
      <c r="S982" t="inlineStr">
        <is>
          <t>site vandalise</t>
        </is>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row>
    <row r="983">
      <c r="A983" t="inlineStr">
        <is>
          <t>Makepe-Crf-Conquete</t>
        </is>
      </c>
      <c r="B983" t="inlineStr">
        <is>
          <t>LIT_775</t>
        </is>
      </c>
      <c r="C983" t="inlineStr">
        <is>
          <t>Douala</t>
        </is>
      </c>
      <c r="D983" t="inlineStr">
        <is>
          <t>MTN</t>
        </is>
      </c>
      <c r="E983" t="inlineStr"/>
      <c r="F983" t="inlineStr">
        <is>
          <t>LITTORAL</t>
        </is>
      </c>
      <c r="G983" t="inlineStr">
        <is>
          <t>Douala</t>
        </is>
      </c>
      <c r="H983" t="inlineStr">
        <is>
          <t>ZTE</t>
        </is>
      </c>
      <c r="I983" t="n">
        <v>0.6675134761851778</v>
      </c>
      <c r="J983" t="n">
        <v>0</v>
      </c>
      <c r="K983" t="n">
        <v>0</v>
      </c>
      <c r="L983" t="n">
        <v>0.6920010387149611</v>
      </c>
      <c r="M983" t="n">
        <v>7.091780026424452</v>
      </c>
      <c r="N983" t="n">
        <v>0</v>
      </c>
      <c r="O983" t="n">
        <v>0</v>
      </c>
      <c r="P983" t="n">
        <v>0</v>
      </c>
      <c r="Q983" t="n">
        <v>0</v>
      </c>
      <c r="R983" t="inlineStr">
        <is>
          <t>Operationnel</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row>
    <row r="984">
      <c r="A984" t="inlineStr">
        <is>
          <t>Ekoumdoum</t>
        </is>
      </c>
      <c r="B984" t="inlineStr">
        <is>
          <t>CTR_259</t>
        </is>
      </c>
      <c r="C984" t="inlineStr">
        <is>
          <t>Yaounde</t>
        </is>
      </c>
      <c r="D984" t="inlineStr">
        <is>
          <t>CAMUSAT</t>
        </is>
      </c>
      <c r="E984" t="inlineStr">
        <is>
          <t>Grid-Gen</t>
        </is>
      </c>
      <c r="F984" t="inlineStr">
        <is>
          <t>CENTRE</t>
        </is>
      </c>
      <c r="G984" t="inlineStr">
        <is>
          <t>Yaounde</t>
        </is>
      </c>
      <c r="H984" t="inlineStr">
        <is>
          <t>ZTE</t>
        </is>
      </c>
      <c r="I984" t="n">
        <v>0</v>
      </c>
      <c r="J984" t="n">
        <v>0</v>
      </c>
      <c r="K984" t="n">
        <v>0</v>
      </c>
      <c r="L984" t="n">
        <v>0</v>
      </c>
      <c r="M984" t="n">
        <v>6.924397816415691</v>
      </c>
      <c r="N984" t="n">
        <v>0</v>
      </c>
      <c r="O984" t="n">
        <v>0</v>
      </c>
      <c r="P984" t="n">
        <v>0</v>
      </c>
      <c r="Q984" t="n">
        <v>0</v>
      </c>
      <c r="R984" t="inlineStr">
        <is>
          <t>Operationnel</t>
        </is>
      </c>
      <c r="S984" t="inlineStr"/>
      <c r="T984" t="inlineStr"/>
      <c r="U984" t="inlineStr"/>
      <c r="V984" t="inlineStr"/>
      <c r="W984" t="inlineStr"/>
      <c r="X984" t="inlineStr">
        <is>
          <t>{05-25-2026 retour IHS}: IHS</t>
        </is>
      </c>
      <c r="Y984" t="inlineStr">
        <is>
          <t>IHS</t>
        </is>
      </c>
      <c r="Z984" t="inlineStr"/>
      <c r="AA984" t="inlineStr"/>
      <c r="AB984" t="inlineStr"/>
      <c r="AC984" t="inlineStr"/>
      <c r="AD984" t="inlineStr">
        <is>
          <t>{05-25-2026 retour IHS}: IHS</t>
        </is>
      </c>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row>
    <row r="985">
      <c r="A985" t="inlineStr">
        <is>
          <t>Bonadiwoto-IHS</t>
        </is>
      </c>
      <c r="B985" t="inlineStr">
        <is>
          <t>LIT_129</t>
        </is>
      </c>
      <c r="C985" t="inlineStr">
        <is>
          <t>Douala</t>
        </is>
      </c>
      <c r="D985" t="inlineStr">
        <is>
          <t>IHS</t>
        </is>
      </c>
      <c r="E985" t="inlineStr">
        <is>
          <t>Grid-Gen</t>
        </is>
      </c>
      <c r="F985" t="inlineStr">
        <is>
          <t>LITTORAL</t>
        </is>
      </c>
      <c r="G985" t="inlineStr">
        <is>
          <t>Douala</t>
        </is>
      </c>
      <c r="H985" t="inlineStr">
        <is>
          <t>ZTE</t>
        </is>
      </c>
      <c r="I985" t="n">
        <v>0</v>
      </c>
      <c r="J985" t="n">
        <v>0</v>
      </c>
      <c r="K985" t="n">
        <v>0</v>
      </c>
      <c r="L985" t="n">
        <v>0</v>
      </c>
      <c r="M985" t="n">
        <v>6.577077501262724</v>
      </c>
      <c r="N985" t="n">
        <v>0</v>
      </c>
      <c r="O985" t="n">
        <v>0</v>
      </c>
      <c r="P985" t="n">
        <v>0</v>
      </c>
      <c r="Q985" t="n">
        <v>0</v>
      </c>
      <c r="R985" t="inlineStr">
        <is>
          <t>Operationnel</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row>
    <row r="986">
      <c r="A986" t="inlineStr">
        <is>
          <t>Zhoa</t>
        </is>
      </c>
      <c r="B986" t="inlineStr">
        <is>
          <t>NRO_030</t>
        </is>
      </c>
      <c r="C986" t="inlineStr">
        <is>
          <t>NORD-OUEST</t>
        </is>
      </c>
      <c r="D986" t="inlineStr">
        <is>
          <t>IHS</t>
        </is>
      </c>
      <c r="E986" t="inlineStr">
        <is>
          <t>Hybrid-Gen</t>
        </is>
      </c>
      <c r="F986" t="inlineStr">
        <is>
          <t>NORD-OUEST</t>
        </is>
      </c>
      <c r="G986" t="inlineStr">
        <is>
          <t>Fungom</t>
        </is>
      </c>
      <c r="H986" t="inlineStr">
        <is>
          <t>NOKIA</t>
        </is>
      </c>
      <c r="I986" t="n">
        <v>0</v>
      </c>
      <c r="J986" t="n">
        <v>0.2110068115731111</v>
      </c>
      <c r="K986" t="n">
        <v>0</v>
      </c>
      <c r="L986" t="n">
        <v>4.512149968752944</v>
      </c>
      <c r="M986" t="n">
        <v>6.128774972676661</v>
      </c>
      <c r="N986" t="n">
        <v>0</v>
      </c>
      <c r="O986" t="n">
        <v>0</v>
      </c>
      <c r="P986" t="n">
        <v>0</v>
      </c>
      <c r="Q986" t="n">
        <v>0</v>
      </c>
      <c r="R986" t="inlineStr">
        <is>
          <t>Insecurity</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row>
    <row r="987">
      <c r="A987" t="inlineStr">
        <is>
          <t>Abattoir</t>
        </is>
      </c>
      <c r="B987" t="inlineStr">
        <is>
          <t>CTR_104</t>
        </is>
      </c>
      <c r="C987" t="inlineStr">
        <is>
          <t>Yaounde</t>
        </is>
      </c>
      <c r="D987" t="inlineStr">
        <is>
          <t>IHS</t>
        </is>
      </c>
      <c r="E987" t="inlineStr">
        <is>
          <t>GridOnly</t>
        </is>
      </c>
      <c r="F987" t="inlineStr">
        <is>
          <t>CENTRE</t>
        </is>
      </c>
      <c r="G987" t="inlineStr">
        <is>
          <t>Yaounde</t>
        </is>
      </c>
      <c r="H987" t="inlineStr">
        <is>
          <t>ZTE</t>
        </is>
      </c>
      <c r="I987" t="n">
        <v>0</v>
      </c>
      <c r="J987" t="n">
        <v>0</v>
      </c>
      <c r="K987" t="n">
        <v>0</v>
      </c>
      <c r="L987" t="n">
        <v>0.00422691356122283</v>
      </c>
      <c r="M987" t="n">
        <v>5.958342964275627</v>
      </c>
      <c r="N987" t="n">
        <v>0</v>
      </c>
      <c r="O987" t="n">
        <v>0</v>
      </c>
      <c r="P987" t="n">
        <v>0</v>
      </c>
      <c r="Q987" t="n">
        <v>0</v>
      </c>
      <c r="R987" t="inlineStr">
        <is>
          <t>Operationnel</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row>
    <row r="988">
      <c r="A988" t="inlineStr">
        <is>
          <t>Bertoua-Bonis-MTN</t>
        </is>
      </c>
      <c r="B988" t="inlineStr">
        <is>
          <t>EST_052</t>
        </is>
      </c>
      <c r="C988" t="inlineStr">
        <is>
          <t>CENTRE</t>
        </is>
      </c>
      <c r="D988" t="inlineStr">
        <is>
          <t>IHS</t>
        </is>
      </c>
      <c r="E988" t="inlineStr">
        <is>
          <t>Grid-Gen</t>
        </is>
      </c>
      <c r="F988" t="inlineStr">
        <is>
          <t>EST</t>
        </is>
      </c>
      <c r="G988" t="inlineStr">
        <is>
          <t>Bertoua</t>
        </is>
      </c>
      <c r="H988" t="inlineStr">
        <is>
          <t>ZTE</t>
        </is>
      </c>
      <c r="I988" t="n">
        <v>0</v>
      </c>
      <c r="J988" t="n">
        <v>1.144155944217582</v>
      </c>
      <c r="K988" t="n">
        <v>6.339389412526787</v>
      </c>
      <c r="L988" t="n">
        <v>0</v>
      </c>
      <c r="M988" t="n">
        <v>5.879690268895909</v>
      </c>
      <c r="N988" t="n">
        <v>0</v>
      </c>
      <c r="O988" t="n">
        <v>0</v>
      </c>
      <c r="P988" t="n">
        <v>0</v>
      </c>
      <c r="Q988" t="n">
        <v>0</v>
      </c>
      <c r="R988" t="inlineStr">
        <is>
          <t>Operationnel</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row>
    <row r="989">
      <c r="A989" t="inlineStr">
        <is>
          <t>Bfsam-Baleng-IHS</t>
        </is>
      </c>
      <c r="B989" t="inlineStr">
        <is>
          <t>OST_169</t>
        </is>
      </c>
      <c r="C989" t="inlineStr">
        <is>
          <t>Bafoussam</t>
        </is>
      </c>
      <c r="D989" t="inlineStr">
        <is>
          <t>IHS</t>
        </is>
      </c>
      <c r="E989" t="inlineStr">
        <is>
          <t>Grid-Gen</t>
        </is>
      </c>
      <c r="F989" t="inlineStr">
        <is>
          <t>OUEST</t>
        </is>
      </c>
      <c r="G989" t="inlineStr">
        <is>
          <t>Bafoussam</t>
        </is>
      </c>
      <c r="H989" t="inlineStr">
        <is>
          <t>Huawei</t>
        </is>
      </c>
      <c r="I989" t="n">
        <v>0</v>
      </c>
      <c r="J989" t="n">
        <v>0.04806553606538197</v>
      </c>
      <c r="K989" t="n">
        <v>0</v>
      </c>
      <c r="L989" t="n">
        <v>0</v>
      </c>
      <c r="M989" t="n">
        <v>5.852295588600389</v>
      </c>
      <c r="N989" t="n">
        <v>0</v>
      </c>
      <c r="O989" t="n">
        <v>0</v>
      </c>
      <c r="P989" t="n">
        <v>0</v>
      </c>
      <c r="Q989" t="n">
        <v>0</v>
      </c>
      <c r="R989" t="inlineStr">
        <is>
          <t>Operationnel</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row>
    <row r="990">
      <c r="A990" t="inlineStr">
        <is>
          <t>Maroua-Lougol</t>
        </is>
      </c>
      <c r="B990" t="inlineStr">
        <is>
          <t>EXN_084</t>
        </is>
      </c>
      <c r="C990" t="inlineStr">
        <is>
          <t>Maroua</t>
        </is>
      </c>
      <c r="D990" t="inlineStr">
        <is>
          <t>IHS</t>
        </is>
      </c>
      <c r="E990" t="inlineStr">
        <is>
          <t>Grid-Gen</t>
        </is>
      </c>
      <c r="F990" t="inlineStr">
        <is>
          <t>EXTREME-NORD</t>
        </is>
      </c>
      <c r="G990" t="inlineStr">
        <is>
          <t>Maroua</t>
        </is>
      </c>
      <c r="H990" t="inlineStr">
        <is>
          <t>Huawei</t>
        </is>
      </c>
      <c r="I990" t="n">
        <v>0</v>
      </c>
      <c r="J990" t="n">
        <v>0</v>
      </c>
      <c r="K990" t="n">
        <v>1.619371605984596</v>
      </c>
      <c r="L990" t="n">
        <v>3.750324598425376</v>
      </c>
      <c r="M990" t="n">
        <v>5.829520193589073</v>
      </c>
      <c r="N990" t="n">
        <v>0</v>
      </c>
      <c r="O990" t="n">
        <v>0</v>
      </c>
      <c r="P990" t="n">
        <v>0</v>
      </c>
      <c r="Q990" t="n">
        <v>0</v>
      </c>
      <c r="R990" t="inlineStr">
        <is>
          <t>Operationnel</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row>
    <row r="991">
      <c r="A991" t="inlineStr">
        <is>
          <t>Ekie-Nodal</t>
        </is>
      </c>
      <c r="B991" t="inlineStr">
        <is>
          <t>CTR_575</t>
        </is>
      </c>
      <c r="C991" t="inlineStr">
        <is>
          <t>Yaounde</t>
        </is>
      </c>
      <c r="D991" t="inlineStr"/>
      <c r="E991" t="inlineStr"/>
      <c r="F991" t="inlineStr">
        <is>
          <t>CENTRE</t>
        </is>
      </c>
      <c r="G991" t="inlineStr">
        <is>
          <t>Yaounde</t>
        </is>
      </c>
      <c r="H991" t="inlineStr">
        <is>
          <t>ZTE</t>
        </is>
      </c>
      <c r="I991" t="n">
        <v>0</v>
      </c>
      <c r="J991" t="n">
        <v>0</v>
      </c>
      <c r="K991" t="n">
        <v>0</v>
      </c>
      <c r="L991" t="n">
        <v>0</v>
      </c>
      <c r="M991" t="n">
        <v>5.80783273835512</v>
      </c>
      <c r="N991" t="n">
        <v>0</v>
      </c>
      <c r="O991" t="n">
        <v>0</v>
      </c>
      <c r="P991" t="n">
        <v>0</v>
      </c>
      <c r="Q991" t="n">
        <v>0</v>
      </c>
      <c r="R991" t="inlineStr">
        <is>
          <t>Operationnel</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row>
    <row r="992">
      <c r="A992" t="inlineStr">
        <is>
          <t>Bonaloka-Entree</t>
        </is>
      </c>
      <c r="B992" t="inlineStr">
        <is>
          <t>LIT_433</t>
        </is>
      </c>
      <c r="C992" t="inlineStr">
        <is>
          <t>Douala</t>
        </is>
      </c>
      <c r="D992" t="inlineStr">
        <is>
          <t>IHS</t>
        </is>
      </c>
      <c r="E992" t="inlineStr">
        <is>
          <t>Grid-Gen</t>
        </is>
      </c>
      <c r="F992" t="inlineStr">
        <is>
          <t>LITTORAL</t>
        </is>
      </c>
      <c r="G992" t="inlineStr">
        <is>
          <t>Douala</t>
        </is>
      </c>
      <c r="H992" t="inlineStr">
        <is>
          <t>ZTE</t>
        </is>
      </c>
      <c r="I992" t="n">
        <v>0</v>
      </c>
      <c r="J992" t="n">
        <v>0</v>
      </c>
      <c r="K992" t="n">
        <v>0</v>
      </c>
      <c r="L992" t="n">
        <v>0</v>
      </c>
      <c r="M992" t="n">
        <v>5.647085177480431</v>
      </c>
      <c r="N992" t="n">
        <v>0</v>
      </c>
      <c r="O992" t="n">
        <v>0</v>
      </c>
      <c r="P992" t="n">
        <v>0</v>
      </c>
      <c r="Q992" t="n">
        <v>0</v>
      </c>
      <c r="R992" t="inlineStr">
        <is>
          <t>Operationnel</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row>
    <row r="993">
      <c r="A993" t="inlineStr">
        <is>
          <t>Dibamba-Centrale-Electrique</t>
        </is>
      </c>
      <c r="B993" t="inlineStr">
        <is>
          <t>LIT_617</t>
        </is>
      </c>
      <c r="C993" t="inlineStr">
        <is>
          <t>LITTORAL</t>
        </is>
      </c>
      <c r="D993" t="inlineStr">
        <is>
          <t>CAMUSAT</t>
        </is>
      </c>
      <c r="E993" t="inlineStr">
        <is>
          <t>HGB</t>
        </is>
      </c>
      <c r="F993" t="inlineStr">
        <is>
          <t>LITTORAL</t>
        </is>
      </c>
      <c r="G993" t="inlineStr">
        <is>
          <t>Dibamba</t>
        </is>
      </c>
      <c r="H993" t="inlineStr">
        <is>
          <t>ZTE</t>
        </is>
      </c>
      <c r="I993" t="n">
        <v>0</v>
      </c>
      <c r="J993" t="n">
        <v>1.266861283041267</v>
      </c>
      <c r="K993" t="n">
        <v>0</v>
      </c>
      <c r="L993" t="n">
        <v>0</v>
      </c>
      <c r="M993" t="n">
        <v>5.40814863326228</v>
      </c>
      <c r="N993" t="n">
        <v>0</v>
      </c>
      <c r="O993" t="n">
        <v>0</v>
      </c>
      <c r="P993" t="n">
        <v>0</v>
      </c>
      <c r="Q993" t="n">
        <v>0</v>
      </c>
      <c r="R993" t="inlineStr">
        <is>
          <t>Operationnel</t>
        </is>
      </c>
      <c r="S993" t="inlineStr"/>
      <c r="T993" t="inlineStr"/>
      <c r="U993" t="inlineStr"/>
      <c r="V993" t="inlineStr"/>
      <c r="W993" t="inlineStr"/>
      <c r="X993" t="inlineStr">
        <is>
          <t>{05-25-2026 retour CAMUSAT}: Echec démarrage GE</t>
        </is>
      </c>
      <c r="Y993" t="inlineStr">
        <is>
          <t>Echec démarrage GE</t>
        </is>
      </c>
      <c r="Z993" t="inlineStr"/>
      <c r="AA993" t="inlineStr"/>
      <c r="AB993" t="inlineStr"/>
      <c r="AC993" t="inlineStr">
        <is>
          <t>{05-25-2026 retour CAMUSAT}: Echec démarrage GE</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row>
    <row r="994">
      <c r="A994" t="inlineStr">
        <is>
          <t>Etoudi</t>
        </is>
      </c>
      <c r="B994" t="inlineStr">
        <is>
          <t>CTR_086</t>
        </is>
      </c>
      <c r="C994" t="inlineStr">
        <is>
          <t>Yaounde</t>
        </is>
      </c>
      <c r="D994" t="inlineStr">
        <is>
          <t>IHS</t>
        </is>
      </c>
      <c r="E994" t="inlineStr">
        <is>
          <t>Grid-Gen</t>
        </is>
      </c>
      <c r="F994" t="inlineStr">
        <is>
          <t>CENTRE</t>
        </is>
      </c>
      <c r="G994" t="inlineStr">
        <is>
          <t>Yaounde</t>
        </is>
      </c>
      <c r="H994" t="inlineStr">
        <is>
          <t>ZTE</t>
        </is>
      </c>
      <c r="I994" t="n">
        <v>0</v>
      </c>
      <c r="J994" t="n">
        <v>0</v>
      </c>
      <c r="K994" t="n">
        <v>0</v>
      </c>
      <c r="L994" t="n">
        <v>0.002247219867991884</v>
      </c>
      <c r="M994" t="n">
        <v>5.304366312533353</v>
      </c>
      <c r="N994" t="n">
        <v>0</v>
      </c>
      <c r="O994" t="n">
        <v>0</v>
      </c>
      <c r="P994" t="n">
        <v>0</v>
      </c>
      <c r="Q994" t="n">
        <v>0</v>
      </c>
      <c r="R994" t="inlineStr">
        <is>
          <t>Operationnel</t>
        </is>
      </c>
      <c r="S994" t="inlineStr"/>
      <c r="T994" t="inlineStr"/>
      <c r="U994" t="inlineStr"/>
      <c r="V994" t="inlineStr"/>
      <c r="W994" t="inlineStr"/>
      <c r="X994" t="inlineStr">
        <is>
          <t>{05-25-2026 retour IHS}: IHS</t>
        </is>
      </c>
      <c r="Y994" t="inlineStr">
        <is>
          <t>IHS</t>
        </is>
      </c>
      <c r="Z994" t="inlineStr">
        <is>
          <t>CTR_086</t>
        </is>
      </c>
      <c r="AA994" t="inlineStr"/>
      <c r="AB994" t="inlineStr"/>
      <c r="AC994" t="inlineStr"/>
      <c r="AD994" t="inlineStr">
        <is>
          <t>{05-25-2026 retour IHS}: IHS</t>
        </is>
      </c>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row>
    <row r="995">
      <c r="A995" t="inlineStr">
        <is>
          <t>Ngd-EPC-IHS</t>
        </is>
      </c>
      <c r="B995" t="inlineStr">
        <is>
          <t>ADM_077</t>
        </is>
      </c>
      <c r="C995" t="inlineStr">
        <is>
          <t>Ngaoundere</t>
        </is>
      </c>
      <c r="D995" t="inlineStr">
        <is>
          <t>IHS</t>
        </is>
      </c>
      <c r="E995" t="inlineStr">
        <is>
          <t>Grid-Gen</t>
        </is>
      </c>
      <c r="F995" t="inlineStr">
        <is>
          <t>ADAMAOUA</t>
        </is>
      </c>
      <c r="G995" t="inlineStr">
        <is>
          <t>Ngaoundere</t>
        </is>
      </c>
      <c r="H995" t="inlineStr">
        <is>
          <t>Huawei</t>
        </is>
      </c>
      <c r="I995" t="n">
        <v>0.3657796212114727</v>
      </c>
      <c r="J995" t="n">
        <v>0.5927309928003356</v>
      </c>
      <c r="K995" t="n">
        <v>0.1644394220863903</v>
      </c>
      <c r="L995" t="n">
        <v>3.297420619633425</v>
      </c>
      <c r="M995" t="n">
        <v>5.24547488392931</v>
      </c>
      <c r="N995" t="n">
        <v>0</v>
      </c>
      <c r="O995" t="n">
        <v>0</v>
      </c>
      <c r="P995" t="n">
        <v>0</v>
      </c>
      <c r="Q995" t="n">
        <v>0</v>
      </c>
      <c r="R995" t="inlineStr">
        <is>
          <t>Operationnel</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row>
    <row r="996">
      <c r="A996" t="inlineStr">
        <is>
          <t>Bertoua-Tigaza</t>
        </is>
      </c>
      <c r="B996" t="inlineStr">
        <is>
          <t>EST_079</t>
        </is>
      </c>
      <c r="C996" t="inlineStr">
        <is>
          <t>CENTRE</t>
        </is>
      </c>
      <c r="D996" t="inlineStr">
        <is>
          <t>IHS</t>
        </is>
      </c>
      <c r="E996" t="inlineStr">
        <is>
          <t>Grid-Gen</t>
        </is>
      </c>
      <c r="F996" t="inlineStr">
        <is>
          <t>EST</t>
        </is>
      </c>
      <c r="G996" t="inlineStr">
        <is>
          <t>Bertoua</t>
        </is>
      </c>
      <c r="H996" t="inlineStr">
        <is>
          <t>ZTE</t>
        </is>
      </c>
      <c r="I996" t="n">
        <v>0</v>
      </c>
      <c r="J996" t="n">
        <v>0.953160090516589</v>
      </c>
      <c r="K996" t="n">
        <v>0</v>
      </c>
      <c r="L996" t="n">
        <v>0</v>
      </c>
      <c r="M996" t="n">
        <v>5.107288697126129</v>
      </c>
      <c r="N996" t="n">
        <v>0</v>
      </c>
      <c r="O996" t="n">
        <v>0</v>
      </c>
      <c r="P996" t="n">
        <v>0</v>
      </c>
      <c r="Q996" t="n">
        <v>0</v>
      </c>
      <c r="R996" t="inlineStr">
        <is>
          <t>Operationnel</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row>
    <row r="997">
      <c r="A997" t="inlineStr">
        <is>
          <t>Kotto-Antenne</t>
        </is>
      </c>
      <c r="B997" t="inlineStr">
        <is>
          <t>LIT_303</t>
        </is>
      </c>
      <c r="C997" t="inlineStr">
        <is>
          <t>Douala</t>
        </is>
      </c>
      <c r="D997" t="inlineStr">
        <is>
          <t>IHS</t>
        </is>
      </c>
      <c r="E997" t="inlineStr">
        <is>
          <t>Grid-Gen</t>
        </is>
      </c>
      <c r="F997" t="inlineStr">
        <is>
          <t>LITTORAL</t>
        </is>
      </c>
      <c r="G997" t="inlineStr">
        <is>
          <t>Douala</t>
        </is>
      </c>
      <c r="H997" t="inlineStr">
        <is>
          <t>ZTE</t>
        </is>
      </c>
      <c r="I997" t="n">
        <v>0.0132157930331905</v>
      </c>
      <c r="J997" t="n">
        <v>0.1193523441000137</v>
      </c>
      <c r="K997" t="n">
        <v>0.3167688259952684</v>
      </c>
      <c r="L997" t="n">
        <v>0</v>
      </c>
      <c r="M997" t="n">
        <v>4.991646049316128</v>
      </c>
      <c r="N997" t="n">
        <v>0</v>
      </c>
      <c r="O997" t="n">
        <v>0</v>
      </c>
      <c r="P997" t="n">
        <v>0</v>
      </c>
      <c r="Q997" t="n">
        <v>0</v>
      </c>
      <c r="R997" t="inlineStr">
        <is>
          <t>Operationnel</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row>
    <row r="998">
      <c r="A998" t="inlineStr">
        <is>
          <t>Buea-GRA-HIS</t>
        </is>
      </c>
      <c r="B998" t="inlineStr">
        <is>
          <t>SUO_242</t>
        </is>
      </c>
      <c r="C998" t="inlineStr">
        <is>
          <t>SUD-OUEST</t>
        </is>
      </c>
      <c r="D998" t="inlineStr">
        <is>
          <t>IHS</t>
        </is>
      </c>
      <c r="E998" t="inlineStr">
        <is>
          <t>Grid-Gen</t>
        </is>
      </c>
      <c r="F998" t="inlineStr">
        <is>
          <t>SUD-OUEST</t>
        </is>
      </c>
      <c r="G998" t="inlineStr">
        <is>
          <t>Buea</t>
        </is>
      </c>
      <c r="H998" t="inlineStr">
        <is>
          <t>Huawei</t>
        </is>
      </c>
      <c r="I998" t="n">
        <v>0</v>
      </c>
      <c r="J998" t="n">
        <v>0</v>
      </c>
      <c r="K998" t="n">
        <v>0</v>
      </c>
      <c r="L998" t="n">
        <v>0</v>
      </c>
      <c r="M998" t="n">
        <v>4.8514623337414</v>
      </c>
      <c r="N998" t="n">
        <v>0</v>
      </c>
      <c r="O998" t="n">
        <v>0</v>
      </c>
      <c r="P998" t="n">
        <v>0</v>
      </c>
      <c r="Q998" t="n">
        <v>0</v>
      </c>
      <c r="R998" t="inlineStr">
        <is>
          <t>Operationnel</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row>
    <row r="999">
      <c r="A999" t="inlineStr">
        <is>
          <t>Complexe-BEAC</t>
        </is>
      </c>
      <c r="B999" t="inlineStr">
        <is>
          <t>CTR_196</t>
        </is>
      </c>
      <c r="C999" t="inlineStr">
        <is>
          <t>Yaounde</t>
        </is>
      </c>
      <c r="D999" t="inlineStr">
        <is>
          <t>IHS</t>
        </is>
      </c>
      <c r="E999" t="inlineStr">
        <is>
          <t>Grid-Gen</t>
        </is>
      </c>
      <c r="F999" t="inlineStr">
        <is>
          <t>CENTRE</t>
        </is>
      </c>
      <c r="G999" t="inlineStr">
        <is>
          <t>Yaounde</t>
        </is>
      </c>
      <c r="H999" t="inlineStr">
        <is>
          <t>ZTE</t>
        </is>
      </c>
      <c r="I999" t="n">
        <v>0</v>
      </c>
      <c r="J999" t="n">
        <v>0</v>
      </c>
      <c r="K999" t="n">
        <v>0</v>
      </c>
      <c r="L999" t="n">
        <v>0</v>
      </c>
      <c r="M999" t="n">
        <v>4.561339114752321</v>
      </c>
      <c r="N999" t="n">
        <v>0</v>
      </c>
      <c r="O999" t="n">
        <v>0</v>
      </c>
      <c r="P999" t="n">
        <v>0</v>
      </c>
      <c r="Q999" t="n">
        <v>0</v>
      </c>
      <c r="R999" t="inlineStr">
        <is>
          <t>Operationnel</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row>
    <row r="1000">
      <c r="A1000" t="inlineStr">
        <is>
          <t>Kotto-Denver</t>
        </is>
      </c>
      <c r="B1000" t="inlineStr">
        <is>
          <t>LIT_657</t>
        </is>
      </c>
      <c r="C1000" t="inlineStr">
        <is>
          <t>Douala</t>
        </is>
      </c>
      <c r="D1000" t="inlineStr">
        <is>
          <t>CAMUSAT</t>
        </is>
      </c>
      <c r="E1000" t="inlineStr">
        <is>
          <t>Good Grid no GE - 12h</t>
        </is>
      </c>
      <c r="F1000" t="inlineStr">
        <is>
          <t>LITTORAL</t>
        </is>
      </c>
      <c r="G1000" t="inlineStr">
        <is>
          <t>Douala</t>
        </is>
      </c>
      <c r="H1000" t="inlineStr">
        <is>
          <t>ZTE</t>
        </is>
      </c>
      <c r="I1000" t="n">
        <v>0</v>
      </c>
      <c r="J1000" t="n">
        <v>13.77583232743492</v>
      </c>
      <c r="K1000" t="n">
        <v>0</v>
      </c>
      <c r="L1000" t="n">
        <v>0</v>
      </c>
      <c r="M1000" t="n">
        <v>4.457984835903012</v>
      </c>
      <c r="N1000" t="n">
        <v>0</v>
      </c>
      <c r="O1000" t="n">
        <v>0</v>
      </c>
      <c r="P1000" t="n">
        <v>0</v>
      </c>
      <c r="Q1000" t="n">
        <v>0</v>
      </c>
      <c r="R1000" t="inlineStr">
        <is>
          <t>Operationnel</t>
        </is>
      </c>
      <c r="S1000" t="inlineStr"/>
      <c r="T1000" t="inlineStr"/>
      <c r="U1000" t="inlineStr"/>
      <c r="V1000" t="inlineStr"/>
      <c r="W1000" t="inlineStr"/>
      <c r="X1000" t="inlineStr">
        <is>
          <t>{05-25-2026 retour CAMUSAT}: Grid outage Grid only site</t>
        </is>
      </c>
      <c r="Y1000" t="inlineStr">
        <is>
          <t>Grid outage Grid only site</t>
        </is>
      </c>
      <c r="Z1000" t="inlineStr"/>
      <c r="AA1000" t="inlineStr"/>
      <c r="AB1000" t="inlineStr"/>
      <c r="AC1000" t="inlineStr">
        <is>
          <t>{05-25-2026 retour CAMUSAT}: Grid outage Grid only site</t>
        </is>
      </c>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row>
    <row r="1001">
      <c r="A1001" t="inlineStr">
        <is>
          <t>Bandjoun</t>
        </is>
      </c>
      <c r="B1001" t="inlineStr">
        <is>
          <t>OST_009</t>
        </is>
      </c>
      <c r="C1001" t="inlineStr">
        <is>
          <t>OUEST</t>
        </is>
      </c>
      <c r="D1001" t="inlineStr">
        <is>
          <t>IHS</t>
        </is>
      </c>
      <c r="E1001" t="inlineStr">
        <is>
          <t>Grid-Gen</t>
        </is>
      </c>
      <c r="F1001" t="inlineStr">
        <is>
          <t>OUEST</t>
        </is>
      </c>
      <c r="G1001" t="inlineStr">
        <is>
          <t>Bandjoun</t>
        </is>
      </c>
      <c r="H1001" t="inlineStr">
        <is>
          <t>Huawei</t>
        </is>
      </c>
      <c r="I1001" t="n">
        <v>0</v>
      </c>
      <c r="J1001" t="n">
        <v>0</v>
      </c>
      <c r="K1001" t="n">
        <v>0</v>
      </c>
      <c r="L1001" t="n">
        <v>0</v>
      </c>
      <c r="M1001" t="n">
        <v>4.439061817808254</v>
      </c>
      <c r="N1001" t="n">
        <v>0</v>
      </c>
      <c r="O1001" t="n">
        <v>0</v>
      </c>
      <c r="P1001" t="n">
        <v>0</v>
      </c>
      <c r="Q1001" t="n">
        <v>0</v>
      </c>
      <c r="R1001" t="inlineStr">
        <is>
          <t>Operationnel</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row>
    <row r="1002">
      <c r="A1002" t="inlineStr">
        <is>
          <t>Benakuma</t>
        </is>
      </c>
      <c r="B1002" t="inlineStr">
        <is>
          <t>NRO_233</t>
        </is>
      </c>
      <c r="C1002" t="inlineStr">
        <is>
          <t>NORD-OUEST</t>
        </is>
      </c>
      <c r="D1002" t="inlineStr">
        <is>
          <t>IHS</t>
        </is>
      </c>
      <c r="E1002" t="inlineStr">
        <is>
          <t>Gen Only</t>
        </is>
      </c>
      <c r="F1002" t="inlineStr">
        <is>
          <t>NORD-OUEST</t>
        </is>
      </c>
      <c r="G1002" t="inlineStr">
        <is>
          <t>Benakuma</t>
        </is>
      </c>
      <c r="H1002" t="inlineStr">
        <is>
          <t>NOKIA</t>
        </is>
      </c>
      <c r="I1002" t="n">
        <v>0.6851702037193986</v>
      </c>
      <c r="J1002" t="n">
        <v>0</v>
      </c>
      <c r="K1002" t="n">
        <v>0</v>
      </c>
      <c r="L1002" t="n">
        <v>4.008540862304634</v>
      </c>
      <c r="M1002" t="n">
        <v>4.382328433680618</v>
      </c>
      <c r="N1002" t="n">
        <v>0</v>
      </c>
      <c r="O1002" t="n">
        <v>0</v>
      </c>
      <c r="P1002" t="n">
        <v>0</v>
      </c>
      <c r="Q1002" t="n">
        <v>0</v>
      </c>
      <c r="R1002" t="inlineStr">
        <is>
          <t>Insecurity</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row>
    <row r="1003">
      <c r="A1003" t="inlineStr">
        <is>
          <t>Anguissa-IHS</t>
        </is>
      </c>
      <c r="B1003" t="inlineStr">
        <is>
          <t>CTR_478</t>
        </is>
      </c>
      <c r="C1003" t="inlineStr">
        <is>
          <t>Yaounde</t>
        </is>
      </c>
      <c r="D1003" t="inlineStr">
        <is>
          <t>IHS</t>
        </is>
      </c>
      <c r="E1003" t="inlineStr">
        <is>
          <t>Grid-Gen</t>
        </is>
      </c>
      <c r="F1003" t="inlineStr">
        <is>
          <t>CENTRE</t>
        </is>
      </c>
      <c r="G1003" t="inlineStr">
        <is>
          <t>Yaounde</t>
        </is>
      </c>
      <c r="H1003" t="inlineStr">
        <is>
          <t>ZTE</t>
        </is>
      </c>
      <c r="I1003" t="n">
        <v>0</v>
      </c>
      <c r="J1003" t="n">
        <v>0</v>
      </c>
      <c r="K1003" t="n">
        <v>0</v>
      </c>
      <c r="L1003" t="n">
        <v>0</v>
      </c>
      <c r="M1003" t="n">
        <v>3.987299284028617</v>
      </c>
      <c r="N1003" t="n">
        <v>0</v>
      </c>
      <c r="O1003" t="n">
        <v>0</v>
      </c>
      <c r="P1003" t="n">
        <v>0</v>
      </c>
      <c r="Q1003" t="n">
        <v>0</v>
      </c>
      <c r="R1003" t="inlineStr">
        <is>
          <t>Operationnel</t>
        </is>
      </c>
      <c r="S1003" t="inlineStr"/>
      <c r="T1003" t="inlineStr"/>
      <c r="U1003" t="inlineStr"/>
      <c r="V1003" t="inlineStr"/>
      <c r="W1003" t="inlineStr"/>
      <c r="X1003" t="inlineStr"/>
      <c r="Y1003" t="inlineStr"/>
      <c r="Z1003" t="inlineStr">
        <is>
          <t>CTR_478</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row>
    <row r="1004">
      <c r="A1004" t="inlineStr">
        <is>
          <t>Tole-II-IHS</t>
        </is>
      </c>
      <c r="B1004" t="inlineStr">
        <is>
          <t>SUO_190</t>
        </is>
      </c>
      <c r="C1004" t="inlineStr">
        <is>
          <t>SUD-OUEST</t>
        </is>
      </c>
      <c r="D1004" t="inlineStr">
        <is>
          <t>IHS</t>
        </is>
      </c>
      <c r="E1004" t="inlineStr"/>
      <c r="F1004" t="inlineStr">
        <is>
          <t>SUD-OUEST</t>
        </is>
      </c>
      <c r="G1004" t="inlineStr">
        <is>
          <t>Buea</t>
        </is>
      </c>
      <c r="H1004" t="inlineStr">
        <is>
          <t>Huawei</t>
        </is>
      </c>
      <c r="I1004" t="n">
        <v>0</v>
      </c>
      <c r="J1004" t="n">
        <v>0</v>
      </c>
      <c r="K1004" t="n">
        <v>0</v>
      </c>
      <c r="L1004" t="n">
        <v>10.41309965100318</v>
      </c>
      <c r="M1004" t="n">
        <v>3.867536733127303</v>
      </c>
      <c r="N1004" t="n">
        <v>0</v>
      </c>
      <c r="O1004" t="n">
        <v>0</v>
      </c>
      <c r="P1004" t="n">
        <v>0</v>
      </c>
      <c r="Q1004" t="n">
        <v>0</v>
      </c>
      <c r="R1004" t="inlineStr">
        <is>
          <t>Operationnel</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row>
    <row r="1005">
      <c r="A1005" t="inlineStr">
        <is>
          <t>Garoua-Chateau</t>
        </is>
      </c>
      <c r="B1005" t="inlineStr">
        <is>
          <t>NRD_018</t>
        </is>
      </c>
      <c r="C1005" t="inlineStr">
        <is>
          <t>Garoua</t>
        </is>
      </c>
      <c r="D1005" t="inlineStr">
        <is>
          <t>CAMUSAT</t>
        </is>
      </c>
      <c r="E1005" t="inlineStr">
        <is>
          <t>Medium Grid + Solar + GE</t>
        </is>
      </c>
      <c r="F1005" t="inlineStr">
        <is>
          <t>NORD</t>
        </is>
      </c>
      <c r="G1005" t="inlineStr">
        <is>
          <t>Garoua</t>
        </is>
      </c>
      <c r="H1005" t="inlineStr">
        <is>
          <t>Huawei</t>
        </is>
      </c>
      <c r="I1005" t="n">
        <v>0</v>
      </c>
      <c r="J1005" t="n">
        <v>0</v>
      </c>
      <c r="K1005" t="n">
        <v>0</v>
      </c>
      <c r="L1005" t="n">
        <v>0</v>
      </c>
      <c r="M1005" t="n">
        <v>3.751876250238989</v>
      </c>
      <c r="N1005" t="n">
        <v>0</v>
      </c>
      <c r="O1005" t="n">
        <v>0</v>
      </c>
      <c r="P1005" t="n">
        <v>0</v>
      </c>
      <c r="Q1005" t="n">
        <v>0</v>
      </c>
      <c r="R1005" t="inlineStr">
        <is>
          <t>Operationnel</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row>
    <row r="1006">
      <c r="A1006" t="inlineStr">
        <is>
          <t>Nkong-Marche</t>
        </is>
      </c>
      <c r="B1006" t="inlineStr">
        <is>
          <t>LIT_071</t>
        </is>
      </c>
      <c r="C1006" t="inlineStr">
        <is>
          <t>LITTORAL</t>
        </is>
      </c>
      <c r="D1006" t="inlineStr">
        <is>
          <t>IHS</t>
        </is>
      </c>
      <c r="E1006" t="inlineStr">
        <is>
          <t>Grid-Gen</t>
        </is>
      </c>
      <c r="F1006" t="inlineStr">
        <is>
          <t>LITTORAL</t>
        </is>
      </c>
      <c r="G1006" t="inlineStr">
        <is>
          <t>Nkongsamba</t>
        </is>
      </c>
      <c r="H1006" t="inlineStr">
        <is>
          <t>ZTE</t>
        </is>
      </c>
      <c r="I1006" t="n">
        <v>0</v>
      </c>
      <c r="J1006" t="n">
        <v>0</v>
      </c>
      <c r="K1006" t="n">
        <v>0</v>
      </c>
      <c r="L1006" t="n">
        <v>0</v>
      </c>
      <c r="M1006" t="n">
        <v>3.638159790887272</v>
      </c>
      <c r="N1006" t="n">
        <v>0</v>
      </c>
      <c r="O1006" t="n">
        <v>0</v>
      </c>
      <c r="P1006" t="n">
        <v>0</v>
      </c>
      <c r="Q1006" t="n">
        <v>0</v>
      </c>
      <c r="R1006" t="inlineStr">
        <is>
          <t>Operationnel</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row>
    <row r="1007">
      <c r="A1007" t="inlineStr">
        <is>
          <t>Ekie-Elegance</t>
        </is>
      </c>
      <c r="B1007" t="inlineStr">
        <is>
          <t>CTR_285</t>
        </is>
      </c>
      <c r="C1007" t="inlineStr">
        <is>
          <t>Yaounde</t>
        </is>
      </c>
      <c r="D1007" t="inlineStr">
        <is>
          <t>IHS</t>
        </is>
      </c>
      <c r="E1007" t="inlineStr">
        <is>
          <t>Grid-Gen</t>
        </is>
      </c>
      <c r="F1007" t="inlineStr">
        <is>
          <t>CENTRE</t>
        </is>
      </c>
      <c r="G1007" t="inlineStr">
        <is>
          <t>Yaounde</t>
        </is>
      </c>
      <c r="H1007" t="inlineStr">
        <is>
          <t>ZTE</t>
        </is>
      </c>
      <c r="I1007" t="n">
        <v>0</v>
      </c>
      <c r="J1007" t="n">
        <v>0</v>
      </c>
      <c r="K1007" t="n">
        <v>1.780868240148617</v>
      </c>
      <c r="L1007" t="n">
        <v>0</v>
      </c>
      <c r="M1007" t="n">
        <v>3.61456398227336</v>
      </c>
      <c r="N1007" t="n">
        <v>0</v>
      </c>
      <c r="O1007" t="n">
        <v>0</v>
      </c>
      <c r="P1007" t="n">
        <v>0</v>
      </c>
      <c r="Q1007" t="n">
        <v>0</v>
      </c>
      <c r="R1007" t="inlineStr">
        <is>
          <t>Operationnel</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row>
    <row r="1008">
      <c r="A1008" t="inlineStr">
        <is>
          <t>Kribi-Afanmabe</t>
        </is>
      </c>
      <c r="B1008" t="inlineStr">
        <is>
          <t>SUD_241</t>
        </is>
      </c>
      <c r="C1008" t="inlineStr">
        <is>
          <t>LITTORAL</t>
        </is>
      </c>
      <c r="D1008" t="inlineStr">
        <is>
          <t>IHS</t>
        </is>
      </c>
      <c r="E1008" t="inlineStr">
        <is>
          <t>Grid-Gen</t>
        </is>
      </c>
      <c r="F1008" t="inlineStr">
        <is>
          <t>SUD</t>
        </is>
      </c>
      <c r="G1008" t="inlineStr">
        <is>
          <t>Kribi</t>
        </is>
      </c>
      <c r="H1008" t="inlineStr">
        <is>
          <t>ZTE</t>
        </is>
      </c>
      <c r="I1008" t="n">
        <v>0</v>
      </c>
      <c r="J1008" t="n">
        <v>0</v>
      </c>
      <c r="K1008" t="n">
        <v>0</v>
      </c>
      <c r="L1008" t="n">
        <v>0</v>
      </c>
      <c r="M1008" t="n">
        <v>3.607465621103035</v>
      </c>
      <c r="N1008" t="n">
        <v>0</v>
      </c>
      <c r="O1008" t="n">
        <v>0</v>
      </c>
      <c r="P1008" t="n">
        <v>0</v>
      </c>
      <c r="Q1008" t="n">
        <v>0</v>
      </c>
      <c r="R1008" t="inlineStr">
        <is>
          <t>Operationnel</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row>
    <row r="1009">
      <c r="A1009" t="inlineStr">
        <is>
          <t>Bertoua-Kano</t>
        </is>
      </c>
      <c r="B1009" t="inlineStr">
        <is>
          <t>EST_032</t>
        </is>
      </c>
      <c r="C1009" t="inlineStr">
        <is>
          <t>CENTRE</t>
        </is>
      </c>
      <c r="D1009" t="inlineStr">
        <is>
          <t>IHS</t>
        </is>
      </c>
      <c r="E1009" t="inlineStr">
        <is>
          <t>Grid-Gen</t>
        </is>
      </c>
      <c r="F1009" t="inlineStr">
        <is>
          <t>EST</t>
        </is>
      </c>
      <c r="G1009" t="inlineStr">
        <is>
          <t>Bertoua</t>
        </is>
      </c>
      <c r="H1009" t="inlineStr">
        <is>
          <t>ZTE</t>
        </is>
      </c>
      <c r="I1009" t="n">
        <v>0</v>
      </c>
      <c r="J1009" t="n">
        <v>1.749960049424568</v>
      </c>
      <c r="K1009" t="n">
        <v>15.45710949025919</v>
      </c>
      <c r="L1009" t="n">
        <v>0</v>
      </c>
      <c r="M1009" t="n">
        <v>3.59086116318954</v>
      </c>
      <c r="N1009" t="n">
        <v>0</v>
      </c>
      <c r="O1009" t="n">
        <v>0</v>
      </c>
      <c r="P1009" t="n">
        <v>0</v>
      </c>
      <c r="Q1009" t="n">
        <v>0</v>
      </c>
      <c r="R1009" t="inlineStr">
        <is>
          <t>Operationnel</t>
        </is>
      </c>
      <c r="S1009" t="inlineStr"/>
      <c r="T1009" t="inlineStr"/>
      <c r="U1009" t="inlineStr"/>
      <c r="V1009" t="inlineStr"/>
      <c r="W1009" t="inlineStr"/>
      <c r="X1009" t="inlineStr">
        <is>
          <t>{05-25-2026 incident}:  {05-18-2026 groupe whatsapp incident}: impacted by    EST_060_Z_Bertoua-Mokolo(EST-060)  ,Adeterminer sans action</t>
        </is>
      </c>
      <c r="Y1009" t="inlineStr">
        <is>
          <t>{05-25-2026 incident} {05-18-2026 groupe whatsapp incident} impacted by EST_060_Z_Bertoua-Mokolo(EST-060) ,Adeterminer sans action</t>
        </is>
      </c>
      <c r="Z1009" t="inlineStr"/>
      <c r="AA1009" t="inlineStr">
        <is>
          <t>{05-25-2026 incident}:  {05-18-2026 groupe whatsapp incident}: impacted by    EST_060_Z_Bertoua-Mokolo(EST-060)  ,Adeterminer sans action</t>
        </is>
      </c>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row>
    <row r="1010">
      <c r="A1010" t="inlineStr">
        <is>
          <t>Ekie-Sud-IHS</t>
        </is>
      </c>
      <c r="B1010" t="inlineStr">
        <is>
          <t>CTR_647</t>
        </is>
      </c>
      <c r="C1010" t="inlineStr">
        <is>
          <t>Yaounde</t>
        </is>
      </c>
      <c r="D1010" t="inlineStr">
        <is>
          <t>IHS</t>
        </is>
      </c>
      <c r="E1010" t="inlineStr">
        <is>
          <t>Grid-Gen</t>
        </is>
      </c>
      <c r="F1010" t="inlineStr">
        <is>
          <t>CENTRE</t>
        </is>
      </c>
      <c r="G1010" t="inlineStr">
        <is>
          <t>Yaounde</t>
        </is>
      </c>
      <c r="H1010" t="inlineStr">
        <is>
          <t>ZTE</t>
        </is>
      </c>
      <c r="I1010" t="n">
        <v>0</v>
      </c>
      <c r="J1010" t="n">
        <v>0</v>
      </c>
      <c r="K1010" t="n">
        <v>0</v>
      </c>
      <c r="L1010" t="n">
        <v>0</v>
      </c>
      <c r="M1010" t="n">
        <v>3.331539124454603</v>
      </c>
      <c r="N1010" t="n">
        <v>0</v>
      </c>
      <c r="O1010" t="n">
        <v>0</v>
      </c>
      <c r="P1010" t="n">
        <v>0</v>
      </c>
      <c r="Q1010" t="n">
        <v>0</v>
      </c>
      <c r="R1010" t="inlineStr">
        <is>
          <t>Operationnel</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row>
    <row r="1011">
      <c r="A1011" t="inlineStr">
        <is>
          <t>Yassa-II</t>
        </is>
      </c>
      <c r="B1011" t="inlineStr">
        <is>
          <t>LIT_642</t>
        </is>
      </c>
      <c r="C1011" t="inlineStr">
        <is>
          <t>Douala</t>
        </is>
      </c>
      <c r="D1011" t="inlineStr">
        <is>
          <t>CAMUSAT</t>
        </is>
      </c>
      <c r="E1011" t="inlineStr">
        <is>
          <t>Good Grid + GE</t>
        </is>
      </c>
      <c r="F1011" t="inlineStr">
        <is>
          <t>LITTORAL</t>
        </is>
      </c>
      <c r="G1011" t="inlineStr">
        <is>
          <t>Douala</t>
        </is>
      </c>
      <c r="H1011" t="inlineStr">
        <is>
          <t>ZTE</t>
        </is>
      </c>
      <c r="I1011" t="n">
        <v>0</v>
      </c>
      <c r="J1011" t="n">
        <v>0</v>
      </c>
      <c r="K1011" t="n">
        <v>0</v>
      </c>
      <c r="L1011" t="n">
        <v>0</v>
      </c>
      <c r="M1011" t="n">
        <v>3.053936130444335</v>
      </c>
      <c r="N1011" t="n">
        <v>0</v>
      </c>
      <c r="O1011" t="n">
        <v>0</v>
      </c>
      <c r="P1011" t="n">
        <v>0</v>
      </c>
      <c r="Q1011" t="n">
        <v>0</v>
      </c>
      <c r="R1011" t="inlineStr">
        <is>
          <t>Operationnel</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row>
    <row r="1012">
      <c r="A1012" t="inlineStr">
        <is>
          <t>KOTTO-MBANGUE-II</t>
        </is>
      </c>
      <c r="B1012" t="inlineStr">
        <is>
          <t>LIT_712</t>
        </is>
      </c>
      <c r="C1012" t="inlineStr">
        <is>
          <t>Douala</t>
        </is>
      </c>
      <c r="D1012" t="inlineStr">
        <is>
          <t>CAMUSAT</t>
        </is>
      </c>
      <c r="E1012" t="inlineStr">
        <is>
          <t>Good Grid no GE - 8h</t>
        </is>
      </c>
      <c r="F1012" t="inlineStr">
        <is>
          <t>LITTORAL</t>
        </is>
      </c>
      <c r="G1012" t="inlineStr">
        <is>
          <t>Douala</t>
        </is>
      </c>
      <c r="H1012" t="inlineStr">
        <is>
          <t>ZTE</t>
        </is>
      </c>
      <c r="I1012" t="n">
        <v>1.178310119195396</v>
      </c>
      <c r="J1012" t="n">
        <v>7.246106959104879</v>
      </c>
      <c r="K1012" t="n">
        <v>0</v>
      </c>
      <c r="L1012" t="n">
        <v>0</v>
      </c>
      <c r="M1012" t="n">
        <v>2.95664577822294</v>
      </c>
      <c r="N1012" t="n">
        <v>0</v>
      </c>
      <c r="O1012" t="n">
        <v>0</v>
      </c>
      <c r="P1012" t="n">
        <v>0</v>
      </c>
      <c r="Q1012" t="n">
        <v>0</v>
      </c>
      <c r="R1012" t="inlineStr">
        <is>
          <t>Operationnel</t>
        </is>
      </c>
      <c r="S1012" t="inlineStr"/>
      <c r="T1012" t="inlineStr"/>
      <c r="U1012" t="inlineStr"/>
      <c r="V1012" t="inlineStr"/>
      <c r="W1012" t="inlineStr"/>
      <c r="X1012" t="inlineStr">
        <is>
          <t>{05-25-2026 retour CAMUSAT}: Grid outage Grid only site</t>
        </is>
      </c>
      <c r="Y1012" t="inlineStr">
        <is>
          <t>Grid outage Grid only site</t>
        </is>
      </c>
      <c r="Z1012" t="inlineStr"/>
      <c r="AA1012" t="inlineStr"/>
      <c r="AB1012" t="inlineStr"/>
      <c r="AC1012" t="inlineStr">
        <is>
          <t>{05-25-2026 retour CAMUSAT}: Grid outage Grid only site</t>
        </is>
      </c>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row>
    <row r="1013">
      <c r="A1013" t="inlineStr">
        <is>
          <t>Ndogp-Bloc-13</t>
        </is>
      </c>
      <c r="B1013" t="inlineStr">
        <is>
          <t>LIT_292</t>
        </is>
      </c>
      <c r="C1013" t="inlineStr">
        <is>
          <t>Douala</t>
        </is>
      </c>
      <c r="D1013" t="inlineStr">
        <is>
          <t>IHS</t>
        </is>
      </c>
      <c r="E1013" t="inlineStr">
        <is>
          <t>Grid-Gen</t>
        </is>
      </c>
      <c r="F1013" t="inlineStr">
        <is>
          <t>LITTORAL</t>
        </is>
      </c>
      <c r="G1013" t="inlineStr">
        <is>
          <t>Douala</t>
        </is>
      </c>
      <c r="H1013" t="inlineStr">
        <is>
          <t>ZTE</t>
        </is>
      </c>
      <c r="I1013" t="n">
        <v>0</v>
      </c>
      <c r="J1013" t="n">
        <v>0</v>
      </c>
      <c r="K1013" t="n">
        <v>0</v>
      </c>
      <c r="L1013" t="n">
        <v>0</v>
      </c>
      <c r="M1013" t="n">
        <v>2.846121797890036</v>
      </c>
      <c r="N1013" t="n">
        <v>0</v>
      </c>
      <c r="O1013" t="n">
        <v>0</v>
      </c>
      <c r="P1013" t="n">
        <v>0</v>
      </c>
      <c r="Q1013" t="n">
        <v>0</v>
      </c>
      <c r="R1013" t="inlineStr">
        <is>
          <t>Operationnel</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row>
    <row r="1014">
      <c r="A1014" t="inlineStr">
        <is>
          <t>Limbe-Church-Street-IHS</t>
        </is>
      </c>
      <c r="B1014" t="inlineStr">
        <is>
          <t>SUO_188</t>
        </is>
      </c>
      <c r="C1014" t="inlineStr">
        <is>
          <t>SUD-OUEST</t>
        </is>
      </c>
      <c r="D1014" t="inlineStr">
        <is>
          <t>IHS</t>
        </is>
      </c>
      <c r="E1014" t="inlineStr">
        <is>
          <t>GridOnly</t>
        </is>
      </c>
      <c r="F1014" t="inlineStr">
        <is>
          <t>SUD-OUEST</t>
        </is>
      </c>
      <c r="G1014" t="inlineStr">
        <is>
          <t>Limbe</t>
        </is>
      </c>
      <c r="H1014" t="inlineStr">
        <is>
          <t>Huawei</t>
        </is>
      </c>
      <c r="I1014" t="n">
        <v>0</v>
      </c>
      <c r="J1014" t="n">
        <v>0</v>
      </c>
      <c r="K1014" t="n">
        <v>0</v>
      </c>
      <c r="L1014" t="n">
        <v>0</v>
      </c>
      <c r="M1014" t="n">
        <v>2.717887584787962</v>
      </c>
      <c r="N1014" t="n">
        <v>0</v>
      </c>
      <c r="O1014" t="n">
        <v>0</v>
      </c>
      <c r="P1014" t="n">
        <v>0</v>
      </c>
      <c r="Q1014" t="n">
        <v>0</v>
      </c>
      <c r="R1014" t="inlineStr">
        <is>
          <t>Operationnel</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row>
    <row r="1015">
      <c r="A1015" t="inlineStr">
        <is>
          <t>LIT_839_Z_KMC-NKOLBONG</t>
        </is>
      </c>
      <c r="B1015" t="inlineStr">
        <is>
          <t>LIT_839</t>
        </is>
      </c>
      <c r="C1015" t="inlineStr">
        <is>
          <t>Douala</t>
        </is>
      </c>
      <c r="D1015" t="inlineStr">
        <is>
          <t>ESCO</t>
        </is>
      </c>
      <c r="E1015" t="inlineStr">
        <is>
          <t>GE</t>
        </is>
      </c>
      <c r="F1015" t="inlineStr">
        <is>
          <t>LITTORAL</t>
        </is>
      </c>
      <c r="G1015" t="inlineStr">
        <is>
          <t>Douala</t>
        </is>
      </c>
      <c r="H1015" t="inlineStr">
        <is>
          <t>ZTE</t>
        </is>
      </c>
      <c r="I1015" t="n">
        <v>0.06197689715295124</v>
      </c>
      <c r="J1015" t="n">
        <v>1.629662446173734</v>
      </c>
      <c r="K1015" t="n">
        <v>0</v>
      </c>
      <c r="L1015" t="n">
        <v>0</v>
      </c>
      <c r="M1015" t="n">
        <v>2.716585624070792</v>
      </c>
      <c r="N1015" t="n">
        <v>0</v>
      </c>
      <c r="O1015" t="n">
        <v>0</v>
      </c>
      <c r="P1015" t="n">
        <v>0</v>
      </c>
      <c r="Q1015" t="n">
        <v>0</v>
      </c>
      <c r="R1015" t="inlineStr">
        <is>
          <t>Operationnel</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row>
    <row r="1016">
      <c r="A1016" t="inlineStr">
        <is>
          <t>Kotto-Mbangue</t>
        </is>
      </c>
      <c r="B1016" t="inlineStr">
        <is>
          <t>LIT_202</t>
        </is>
      </c>
      <c r="C1016" t="inlineStr">
        <is>
          <t>Douala</t>
        </is>
      </c>
      <c r="D1016" t="inlineStr">
        <is>
          <t>IHS</t>
        </is>
      </c>
      <c r="E1016" t="inlineStr">
        <is>
          <t>GridOnly</t>
        </is>
      </c>
      <c r="F1016" t="inlineStr">
        <is>
          <t>LITTORAL</t>
        </is>
      </c>
      <c r="G1016" t="inlineStr">
        <is>
          <t>Douala</t>
        </is>
      </c>
      <c r="H1016" t="inlineStr">
        <is>
          <t>ZTE</t>
        </is>
      </c>
      <c r="I1016" t="n">
        <v>0</v>
      </c>
      <c r="J1016" t="n">
        <v>0</v>
      </c>
      <c r="K1016" t="n">
        <v>0</v>
      </c>
      <c r="L1016" t="n">
        <v>0</v>
      </c>
      <c r="M1016" t="n">
        <v>2.677223606224298</v>
      </c>
      <c r="N1016" t="n">
        <v>0</v>
      </c>
      <c r="O1016" t="n">
        <v>0</v>
      </c>
      <c r="P1016" t="n">
        <v>0</v>
      </c>
      <c r="Q1016" t="n">
        <v>0</v>
      </c>
      <c r="R1016" t="inlineStr">
        <is>
          <t>Operationnel</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row>
    <row r="1017">
      <c r="A1017" t="inlineStr">
        <is>
          <t>Maroua-Harde</t>
        </is>
      </c>
      <c r="B1017" t="inlineStr">
        <is>
          <t>EXN_091</t>
        </is>
      </c>
      <c r="C1017" t="inlineStr">
        <is>
          <t>Maroua</t>
        </is>
      </c>
      <c r="D1017" t="inlineStr">
        <is>
          <t>IHS</t>
        </is>
      </c>
      <c r="E1017" t="inlineStr">
        <is>
          <t>Solar-Grid-Gen</t>
        </is>
      </c>
      <c r="F1017" t="inlineStr">
        <is>
          <t>EXTREME-NORD</t>
        </is>
      </c>
      <c r="G1017" t="inlineStr">
        <is>
          <t>Maroua</t>
        </is>
      </c>
      <c r="H1017" t="inlineStr">
        <is>
          <t>Huawei</t>
        </is>
      </c>
      <c r="I1017" t="n">
        <v>0</v>
      </c>
      <c r="J1017" t="n">
        <v>0</v>
      </c>
      <c r="K1017" t="n">
        <v>1.12362776907426</v>
      </c>
      <c r="L1017" t="n">
        <v>1.69194253965808</v>
      </c>
      <c r="M1017" t="n">
        <v>2.648419954741705</v>
      </c>
      <c r="N1017" t="n">
        <v>0</v>
      </c>
      <c r="O1017" t="n">
        <v>0</v>
      </c>
      <c r="P1017" t="n">
        <v>0</v>
      </c>
      <c r="Q1017" t="n">
        <v>0</v>
      </c>
      <c r="R1017" t="inlineStr">
        <is>
          <t>Operationnel</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row>
    <row r="1018">
      <c r="A1018" t="inlineStr">
        <is>
          <t>Kotto-Bloc-II</t>
        </is>
      </c>
      <c r="B1018" t="inlineStr">
        <is>
          <t>LIT_611</t>
        </is>
      </c>
      <c r="C1018" t="inlineStr">
        <is>
          <t>Douala</t>
        </is>
      </c>
      <c r="D1018" t="inlineStr">
        <is>
          <t>CAMUSAT</t>
        </is>
      </c>
      <c r="E1018" t="inlineStr">
        <is>
          <t>Good Grid no GE - 8h</t>
        </is>
      </c>
      <c r="F1018" t="inlineStr">
        <is>
          <t>LITTORAL</t>
        </is>
      </c>
      <c r="G1018" t="inlineStr">
        <is>
          <t>Douala</t>
        </is>
      </c>
      <c r="H1018" t="inlineStr">
        <is>
          <t>ZTE</t>
        </is>
      </c>
      <c r="I1018" t="n">
        <v>0</v>
      </c>
      <c r="J1018" t="n">
        <v>0</v>
      </c>
      <c r="K1018" t="n">
        <v>0</v>
      </c>
      <c r="L1018" t="n">
        <v>0</v>
      </c>
      <c r="M1018" t="n">
        <v>2.606293499756016</v>
      </c>
      <c r="N1018" t="n">
        <v>0</v>
      </c>
      <c r="O1018" t="n">
        <v>0</v>
      </c>
      <c r="P1018" t="n">
        <v>0</v>
      </c>
      <c r="Q1018" t="n">
        <v>0</v>
      </c>
      <c r="R1018" t="inlineStr">
        <is>
          <t>Operationnel</t>
        </is>
      </c>
      <c r="S1018" t="inlineStr"/>
      <c r="T1018" t="inlineStr"/>
      <c r="U1018" t="inlineStr"/>
      <c r="V1018" t="inlineStr"/>
      <c r="W1018" t="inlineStr"/>
      <c r="X1018" t="inlineStr">
        <is>
          <t>{05-25-2026 retour CAMUSAT}: Grid outage Grid only site</t>
        </is>
      </c>
      <c r="Y1018" t="inlineStr">
        <is>
          <t>Grid outage Grid only site</t>
        </is>
      </c>
      <c r="Z1018" t="inlineStr"/>
      <c r="AA1018" t="inlineStr"/>
      <c r="AB1018" t="inlineStr"/>
      <c r="AC1018" t="inlineStr">
        <is>
          <t>{05-25-2026 retour CAMUSAT}: Grid outage Grid only site</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row>
    <row r="1019">
      <c r="A1019" t="inlineStr">
        <is>
          <t>Centenaire</t>
        </is>
      </c>
      <c r="B1019" t="inlineStr">
        <is>
          <t>LIT_045</t>
        </is>
      </c>
      <c r="C1019" t="inlineStr">
        <is>
          <t>Douala</t>
        </is>
      </c>
      <c r="D1019" t="inlineStr">
        <is>
          <t>IHS</t>
        </is>
      </c>
      <c r="E1019" t="inlineStr">
        <is>
          <t>Grid-Gen (LL)</t>
        </is>
      </c>
      <c r="F1019" t="inlineStr">
        <is>
          <t>LITTORAL</t>
        </is>
      </c>
      <c r="G1019" t="inlineStr">
        <is>
          <t>Douala</t>
        </is>
      </c>
      <c r="H1019" t="inlineStr">
        <is>
          <t>ZTE</t>
        </is>
      </c>
      <c r="I1019" t="n">
        <v>0</v>
      </c>
      <c r="J1019" t="n">
        <v>0</v>
      </c>
      <c r="K1019" t="n">
        <v>0</v>
      </c>
      <c r="L1019" t="n">
        <v>0</v>
      </c>
      <c r="M1019" t="n">
        <v>2.498569626718945</v>
      </c>
      <c r="N1019" t="n">
        <v>0</v>
      </c>
      <c r="O1019" t="n">
        <v>0</v>
      </c>
      <c r="P1019" t="n">
        <v>0</v>
      </c>
      <c r="Q1019" t="n">
        <v>0</v>
      </c>
      <c r="R1019" t="inlineStr">
        <is>
          <t>Operationnel</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row>
    <row r="1020">
      <c r="A1020" t="inlineStr">
        <is>
          <t>PK10-Soeurs-Dominicaines</t>
        </is>
      </c>
      <c r="B1020" t="inlineStr">
        <is>
          <t>LIT_403</t>
        </is>
      </c>
      <c r="C1020" t="inlineStr">
        <is>
          <t>Douala</t>
        </is>
      </c>
      <c r="D1020" t="inlineStr">
        <is>
          <t>IHS</t>
        </is>
      </c>
      <c r="E1020" t="inlineStr">
        <is>
          <t>Grid-Gen</t>
        </is>
      </c>
      <c r="F1020" t="inlineStr">
        <is>
          <t>LITTORAL</t>
        </is>
      </c>
      <c r="G1020" t="inlineStr">
        <is>
          <t>Douala</t>
        </is>
      </c>
      <c r="H1020" t="inlineStr">
        <is>
          <t>ZTE</t>
        </is>
      </c>
      <c r="I1020" t="n">
        <v>0</v>
      </c>
      <c r="J1020" t="n">
        <v>0</v>
      </c>
      <c r="K1020" t="n">
        <v>0</v>
      </c>
      <c r="L1020" t="n">
        <v>0</v>
      </c>
      <c r="M1020" t="n">
        <v>2.4897055927952</v>
      </c>
      <c r="N1020" t="n">
        <v>0</v>
      </c>
      <c r="O1020" t="n">
        <v>0</v>
      </c>
      <c r="P1020" t="n">
        <v>0</v>
      </c>
      <c r="Q1020" t="n">
        <v>0</v>
      </c>
      <c r="R1020" t="inlineStr">
        <is>
          <t>Operationnel</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row>
    <row r="1021">
      <c r="A1021" t="inlineStr">
        <is>
          <t>Makepe-Lycee</t>
        </is>
      </c>
      <c r="B1021" t="inlineStr">
        <is>
          <t>LIT_285</t>
        </is>
      </c>
      <c r="C1021" t="inlineStr">
        <is>
          <t>Douala</t>
        </is>
      </c>
      <c r="D1021" t="inlineStr">
        <is>
          <t>IHS</t>
        </is>
      </c>
      <c r="E1021" t="inlineStr">
        <is>
          <t>GridOnly</t>
        </is>
      </c>
      <c r="F1021" t="inlineStr">
        <is>
          <t>LITTORAL</t>
        </is>
      </c>
      <c r="G1021" t="inlineStr">
        <is>
          <t>Douala</t>
        </is>
      </c>
      <c r="H1021" t="inlineStr">
        <is>
          <t>ZTE</t>
        </is>
      </c>
      <c r="I1021" t="n">
        <v>0</v>
      </c>
      <c r="J1021" t="n">
        <v>0</v>
      </c>
      <c r="K1021" t="n">
        <v>0</v>
      </c>
      <c r="L1021" t="n">
        <v>0</v>
      </c>
      <c r="M1021" t="n">
        <v>2.469159582573559</v>
      </c>
      <c r="N1021" t="n">
        <v>0</v>
      </c>
      <c r="O1021" t="n">
        <v>0</v>
      </c>
      <c r="P1021" t="n">
        <v>0</v>
      </c>
      <c r="Q1021" t="n">
        <v>0</v>
      </c>
      <c r="R1021" t="inlineStr">
        <is>
          <t>Operationnel</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row>
    <row r="1022">
      <c r="A1022" t="inlineStr">
        <is>
          <t>Barriere-IHS</t>
        </is>
      </c>
      <c r="B1022" t="inlineStr">
        <is>
          <t>CTR_526</t>
        </is>
      </c>
      <c r="C1022" t="inlineStr">
        <is>
          <t>Yaounde</t>
        </is>
      </c>
      <c r="D1022" t="inlineStr">
        <is>
          <t>IHS</t>
        </is>
      </c>
      <c r="E1022" t="inlineStr">
        <is>
          <t>Grid-Gen</t>
        </is>
      </c>
      <c r="F1022" t="inlineStr">
        <is>
          <t>CENTRE</t>
        </is>
      </c>
      <c r="G1022" t="inlineStr">
        <is>
          <t>Yaounde</t>
        </is>
      </c>
      <c r="H1022" t="inlineStr">
        <is>
          <t>ZTE</t>
        </is>
      </c>
      <c r="I1022" t="n">
        <v>0</v>
      </c>
      <c r="J1022" t="n">
        <v>0</v>
      </c>
      <c r="K1022" t="n">
        <v>0</v>
      </c>
      <c r="L1022" t="n">
        <v>0.2960623000687719</v>
      </c>
      <c r="M1022" t="n">
        <v>2.427907046425422</v>
      </c>
      <c r="N1022" t="n">
        <v>0</v>
      </c>
      <c r="O1022" t="n">
        <v>0</v>
      </c>
      <c r="P1022" t="n">
        <v>0</v>
      </c>
      <c r="Q1022" t="n">
        <v>0</v>
      </c>
      <c r="R1022" t="inlineStr">
        <is>
          <t>Operationnel</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row>
    <row r="1023">
      <c r="A1023" t="inlineStr">
        <is>
          <t>Kotto-Eglise-EPC</t>
        </is>
      </c>
      <c r="B1023" t="inlineStr">
        <is>
          <t>LIT_454</t>
        </is>
      </c>
      <c r="C1023" t="inlineStr">
        <is>
          <t>Douala</t>
        </is>
      </c>
      <c r="D1023" t="inlineStr">
        <is>
          <t>IHS</t>
        </is>
      </c>
      <c r="E1023" t="inlineStr">
        <is>
          <t>Grid-Gen</t>
        </is>
      </c>
      <c r="F1023" t="inlineStr">
        <is>
          <t>LITTORAL</t>
        </is>
      </c>
      <c r="G1023" t="inlineStr">
        <is>
          <t>Douala</t>
        </is>
      </c>
      <c r="H1023" t="inlineStr">
        <is>
          <t>ZTE</t>
        </is>
      </c>
      <c r="I1023" t="n">
        <v>0</v>
      </c>
      <c r="J1023" t="n">
        <v>1.080110177979813</v>
      </c>
      <c r="K1023" t="n">
        <v>0.0004280418796175018</v>
      </c>
      <c r="L1023" t="n">
        <v>0.06197689715295061</v>
      </c>
      <c r="M1023" t="n">
        <v>2.348754968852819</v>
      </c>
      <c r="N1023" t="n">
        <v>0</v>
      </c>
      <c r="O1023" t="n">
        <v>0</v>
      </c>
      <c r="P1023" t="n">
        <v>0</v>
      </c>
      <c r="Q1023" t="n">
        <v>0</v>
      </c>
      <c r="R1023" t="inlineStr">
        <is>
          <t>Operationnel</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row>
    <row r="1024">
      <c r="A1024" t="inlineStr">
        <is>
          <t>CTR_1050_Z_Nouvelle-Route-Nkomo</t>
        </is>
      </c>
      <c r="B1024" t="inlineStr">
        <is>
          <t>CTR_1050</t>
        </is>
      </c>
      <c r="C1024" t="inlineStr">
        <is>
          <t>Yaounde</t>
        </is>
      </c>
      <c r="D1024" t="inlineStr">
        <is>
          <t>ESCO</t>
        </is>
      </c>
      <c r="E1024" t="inlineStr">
        <is>
          <t>Good Grid + GE</t>
        </is>
      </c>
      <c r="F1024" t="inlineStr">
        <is>
          <t>CTR</t>
        </is>
      </c>
      <c r="G1024" t="inlineStr">
        <is>
          <t>Yaoundé</t>
        </is>
      </c>
      <c r="H1024" t="inlineStr">
        <is>
          <t>ZTE</t>
        </is>
      </c>
      <c r="I1024" t="n">
        <v>0</v>
      </c>
      <c r="J1024" t="n">
        <v>0</v>
      </c>
      <c r="K1024" t="n">
        <v>0</v>
      </c>
      <c r="L1024" t="n">
        <v>0</v>
      </c>
      <c r="M1024" t="n">
        <v>2.260435661025074</v>
      </c>
      <c r="N1024" t="n">
        <v>0</v>
      </c>
      <c r="O1024" t="n">
        <v>0</v>
      </c>
      <c r="P1024" t="n">
        <v>0</v>
      </c>
      <c r="Q1024" t="n">
        <v>0</v>
      </c>
      <c r="R1024" t="inlineStr">
        <is>
          <t>EXCLU</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row>
    <row r="1025">
      <c r="A1025" t="inlineStr">
        <is>
          <t>Maroua-Zokok-Palar-II</t>
        </is>
      </c>
      <c r="B1025" t="inlineStr">
        <is>
          <t>EXN_204</t>
        </is>
      </c>
      <c r="C1025" t="inlineStr">
        <is>
          <t>Maroua</t>
        </is>
      </c>
      <c r="D1025" t="inlineStr">
        <is>
          <t>CAMUSAT</t>
        </is>
      </c>
      <c r="E1025" t="inlineStr">
        <is>
          <t>Bad Grid + GE</t>
        </is>
      </c>
      <c r="F1025" t="inlineStr">
        <is>
          <t>EXTREME-NORD</t>
        </is>
      </c>
      <c r="G1025" t="inlineStr">
        <is>
          <t>Maroua</t>
        </is>
      </c>
      <c r="H1025" t="inlineStr">
        <is>
          <t>Huawei</t>
        </is>
      </c>
      <c r="I1025" t="n">
        <v>0.08534084974873941</v>
      </c>
      <c r="J1025" t="n">
        <v>0.0008025785242828158</v>
      </c>
      <c r="K1025" t="n">
        <v>0.0005350523495218772</v>
      </c>
      <c r="L1025" t="n">
        <v>0.0002675261747609386</v>
      </c>
      <c r="M1025" t="n">
        <v>2.251500286788059</v>
      </c>
      <c r="N1025" t="n">
        <v>0</v>
      </c>
      <c r="O1025" t="n">
        <v>0</v>
      </c>
      <c r="P1025" t="n">
        <v>0</v>
      </c>
      <c r="Q1025" t="n">
        <v>0</v>
      </c>
      <c r="R1025" t="inlineStr">
        <is>
          <t>Operationnel</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row>
    <row r="1026">
      <c r="A1026" t="inlineStr">
        <is>
          <t>Buea-Kouma-IHS</t>
        </is>
      </c>
      <c r="B1026" t="inlineStr">
        <is>
          <t>SUO_215</t>
        </is>
      </c>
      <c r="C1026" t="inlineStr">
        <is>
          <t>SUD-OUEST</t>
        </is>
      </c>
      <c r="D1026" t="inlineStr">
        <is>
          <t>IHS</t>
        </is>
      </c>
      <c r="E1026" t="inlineStr">
        <is>
          <t>Grid-Gen</t>
        </is>
      </c>
      <c r="F1026" t="inlineStr">
        <is>
          <t>SUD-OUEST</t>
        </is>
      </c>
      <c r="G1026" t="inlineStr">
        <is>
          <t>Buea</t>
        </is>
      </c>
      <c r="H1026" t="inlineStr">
        <is>
          <t>Huawei</t>
        </is>
      </c>
      <c r="I1026" t="n">
        <v>0</v>
      </c>
      <c r="J1026" t="n">
        <v>0</v>
      </c>
      <c r="K1026" t="n">
        <v>0</v>
      </c>
      <c r="L1026" t="n">
        <v>0</v>
      </c>
      <c r="M1026" t="n">
        <v>2.097904592318646</v>
      </c>
      <c r="N1026" t="n">
        <v>0</v>
      </c>
      <c r="O1026" t="n">
        <v>0</v>
      </c>
      <c r="P1026" t="n">
        <v>0</v>
      </c>
      <c r="Q1026" t="n">
        <v>0</v>
      </c>
      <c r="R1026" t="inlineStr">
        <is>
          <t>Operationnel</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row>
    <row r="1027">
      <c r="A1027" t="inlineStr">
        <is>
          <t>Buea-Salvation-Pharmacy-HIS</t>
        </is>
      </c>
      <c r="B1027" t="inlineStr">
        <is>
          <t>SUO_259</t>
        </is>
      </c>
      <c r="C1027" t="inlineStr">
        <is>
          <t>SUD-OUEST</t>
        </is>
      </c>
      <c r="D1027" t="inlineStr">
        <is>
          <t>IHS</t>
        </is>
      </c>
      <c r="E1027" t="inlineStr"/>
      <c r="F1027" t="inlineStr">
        <is>
          <t>SUD-OUEST</t>
        </is>
      </c>
      <c r="G1027" t="inlineStr">
        <is>
          <t>Buea</t>
        </is>
      </c>
      <c r="H1027" t="inlineStr">
        <is>
          <t>Huawei</t>
        </is>
      </c>
      <c r="I1027" t="n">
        <v>0</v>
      </c>
      <c r="J1027" t="n">
        <v>0</v>
      </c>
      <c r="K1027" t="n">
        <v>0</v>
      </c>
      <c r="L1027" t="n">
        <v>0.2390792248446922</v>
      </c>
      <c r="M1027" t="n">
        <v>2.089825301840865</v>
      </c>
      <c r="N1027" t="n">
        <v>0</v>
      </c>
      <c r="O1027" t="n">
        <v>0</v>
      </c>
      <c r="P1027" t="n">
        <v>0</v>
      </c>
      <c r="Q1027" t="n">
        <v>0</v>
      </c>
      <c r="R1027" t="inlineStr">
        <is>
          <t>Operationnel</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row>
    <row r="1028">
      <c r="A1028" t="inlineStr">
        <is>
          <t>Biteng-GP</t>
        </is>
      </c>
      <c r="B1028" t="inlineStr">
        <is>
          <t>CTR_556</t>
        </is>
      </c>
      <c r="C1028" t="inlineStr">
        <is>
          <t>Yaounde</t>
        </is>
      </c>
      <c r="D1028" t="inlineStr">
        <is>
          <t>CAMUSAT</t>
        </is>
      </c>
      <c r="E1028" t="inlineStr">
        <is>
          <t>Good Grid no GE - 8h</t>
        </is>
      </c>
      <c r="F1028" t="inlineStr">
        <is>
          <t>CENTRE</t>
        </is>
      </c>
      <c r="G1028" t="inlineStr">
        <is>
          <t>Yaounde</t>
        </is>
      </c>
      <c r="H1028" t="inlineStr">
        <is>
          <t>ZTE</t>
        </is>
      </c>
      <c r="I1028" t="n">
        <v>0</v>
      </c>
      <c r="J1028" t="n">
        <v>0</v>
      </c>
      <c r="K1028" t="n">
        <v>0</v>
      </c>
      <c r="L1028" t="n">
        <v>0</v>
      </c>
      <c r="M1028" t="n">
        <v>2.039708731768983</v>
      </c>
      <c r="N1028" t="n">
        <v>0</v>
      </c>
      <c r="O1028" t="n">
        <v>0</v>
      </c>
      <c r="P1028" t="n">
        <v>0</v>
      </c>
      <c r="Q1028" t="n">
        <v>0</v>
      </c>
      <c r="R1028" t="inlineStr">
        <is>
          <t>Operationnel</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row>
    <row r="1029">
      <c r="A1029" t="inlineStr">
        <is>
          <t>Nyalla-II</t>
        </is>
      </c>
      <c r="B1029" t="inlineStr">
        <is>
          <t>LIT_341</t>
        </is>
      </c>
      <c r="C1029" t="inlineStr">
        <is>
          <t>Douala</t>
        </is>
      </c>
      <c r="D1029" t="inlineStr">
        <is>
          <t>IHS</t>
        </is>
      </c>
      <c r="E1029" t="inlineStr">
        <is>
          <t>Grid-Gen</t>
        </is>
      </c>
      <c r="F1029" t="inlineStr">
        <is>
          <t>LITTORAL</t>
        </is>
      </c>
      <c r="G1029" t="inlineStr">
        <is>
          <t>Douala</t>
        </is>
      </c>
      <c r="H1029" t="inlineStr">
        <is>
          <t>ZTE</t>
        </is>
      </c>
      <c r="I1029" t="n">
        <v>2.057115768206761</v>
      </c>
      <c r="J1029" t="n">
        <v>2.637611897281363</v>
      </c>
      <c r="K1029" t="n">
        <v>1.250506516224214</v>
      </c>
      <c r="L1029" t="n">
        <v>1.301960717169903</v>
      </c>
      <c r="M1029" t="n">
        <v>2.038139244877053</v>
      </c>
      <c r="N1029" t="n">
        <v>0</v>
      </c>
      <c r="O1029" t="n">
        <v>0</v>
      </c>
      <c r="P1029" t="n">
        <v>0</v>
      </c>
      <c r="Q1029" t="n">
        <v>0</v>
      </c>
      <c r="R1029" t="inlineStr">
        <is>
          <t>Operationnel</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row>
    <row r="1030">
      <c r="A1030" t="inlineStr">
        <is>
          <t>Cogefar-II</t>
        </is>
      </c>
      <c r="B1030" t="inlineStr">
        <is>
          <t>LIT_339</t>
        </is>
      </c>
      <c r="C1030" t="inlineStr">
        <is>
          <t>Douala</t>
        </is>
      </c>
      <c r="D1030" t="inlineStr">
        <is>
          <t>IHS</t>
        </is>
      </c>
      <c r="E1030" t="inlineStr">
        <is>
          <t>Grid-Gen</t>
        </is>
      </c>
      <c r="F1030" t="inlineStr">
        <is>
          <t>LITTORAL</t>
        </is>
      </c>
      <c r="G1030" t="inlineStr">
        <is>
          <t>Douala</t>
        </is>
      </c>
      <c r="H1030" t="inlineStr">
        <is>
          <t>ZTE</t>
        </is>
      </c>
      <c r="I1030" t="n">
        <v>0</v>
      </c>
      <c r="J1030" t="n">
        <v>0</v>
      </c>
      <c r="K1030" t="n">
        <v>0</v>
      </c>
      <c r="L1030" t="n">
        <v>0</v>
      </c>
      <c r="M1030" t="n">
        <v>1.957274999785979</v>
      </c>
      <c r="N1030" t="n">
        <v>0</v>
      </c>
      <c r="O1030" t="n">
        <v>0</v>
      </c>
      <c r="P1030" t="n">
        <v>0</v>
      </c>
      <c r="Q1030" t="n">
        <v>0</v>
      </c>
      <c r="R1030" t="inlineStr">
        <is>
          <t>Operationnel</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row>
    <row r="1031">
      <c r="A1031" t="inlineStr">
        <is>
          <t>Bandjoun-Soung</t>
        </is>
      </c>
      <c r="B1031" t="inlineStr">
        <is>
          <t>OST_067</t>
        </is>
      </c>
      <c r="C1031" t="inlineStr">
        <is>
          <t>OUEST</t>
        </is>
      </c>
      <c r="D1031" t="inlineStr">
        <is>
          <t>IHS</t>
        </is>
      </c>
      <c r="E1031" t="inlineStr">
        <is>
          <t>Grid-Gen</t>
        </is>
      </c>
      <c r="F1031" t="inlineStr">
        <is>
          <t>OUEST</t>
        </is>
      </c>
      <c r="G1031" t="inlineStr">
        <is>
          <t>Bandjoun</t>
        </is>
      </c>
      <c r="H1031" t="inlineStr">
        <is>
          <t>Huawei</t>
        </is>
      </c>
      <c r="I1031" t="n">
        <v>0</v>
      </c>
      <c r="J1031" t="n">
        <v>0</v>
      </c>
      <c r="K1031" t="n">
        <v>0</v>
      </c>
      <c r="L1031" t="n">
        <v>0</v>
      </c>
      <c r="M1031" t="n">
        <v>1.909209463720597</v>
      </c>
      <c r="N1031" t="n">
        <v>0</v>
      </c>
      <c r="O1031" t="n">
        <v>0</v>
      </c>
      <c r="P1031" t="n">
        <v>0</v>
      </c>
      <c r="Q1031" t="n">
        <v>0</v>
      </c>
      <c r="R1031" t="inlineStr">
        <is>
          <t>Operationnel</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row>
    <row r="1032">
      <c r="A1032" t="inlineStr">
        <is>
          <t>GSS-BUEA-TOWN-IHS</t>
        </is>
      </c>
      <c r="B1032" t="inlineStr">
        <is>
          <t>SUO_184</t>
        </is>
      </c>
      <c r="C1032" t="inlineStr">
        <is>
          <t>SUD-OUEST</t>
        </is>
      </c>
      <c r="D1032" t="inlineStr">
        <is>
          <t>IHS</t>
        </is>
      </c>
      <c r="E1032" t="inlineStr">
        <is>
          <t>Grid-Gen</t>
        </is>
      </c>
      <c r="F1032" t="inlineStr">
        <is>
          <t>SUD-OUEST</t>
        </is>
      </c>
      <c r="G1032" t="inlineStr">
        <is>
          <t>Buea</t>
        </is>
      </c>
      <c r="H1032" t="inlineStr">
        <is>
          <t>Huawei</t>
        </is>
      </c>
      <c r="I1032" t="n">
        <v>0</v>
      </c>
      <c r="J1032" t="n">
        <v>0</v>
      </c>
      <c r="K1032" t="n">
        <v>0</v>
      </c>
      <c r="L1032" t="n">
        <v>0</v>
      </c>
      <c r="M1032" t="n">
        <v>1.835693270896291</v>
      </c>
      <c r="N1032" t="n">
        <v>0</v>
      </c>
      <c r="O1032" t="n">
        <v>0</v>
      </c>
      <c r="P1032" t="n">
        <v>0</v>
      </c>
      <c r="Q1032" t="n">
        <v>0</v>
      </c>
      <c r="R1032" t="inlineStr">
        <is>
          <t>Operationnel</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row>
    <row r="1033">
      <c r="A1033" t="inlineStr">
        <is>
          <t>Yelwa</t>
        </is>
      </c>
      <c r="B1033" t="inlineStr">
        <is>
          <t>NRD_007</t>
        </is>
      </c>
      <c r="C1033" t="inlineStr">
        <is>
          <t>Garoua</t>
        </is>
      </c>
      <c r="D1033" t="inlineStr">
        <is>
          <t>IHS</t>
        </is>
      </c>
      <c r="E1033" t="inlineStr">
        <is>
          <t>Grid-Gen</t>
        </is>
      </c>
      <c r="F1033" t="inlineStr">
        <is>
          <t>NORD</t>
        </is>
      </c>
      <c r="G1033" t="inlineStr">
        <is>
          <t>Garoua</t>
        </is>
      </c>
      <c r="H1033" t="inlineStr">
        <is>
          <t>Huawei</t>
        </is>
      </c>
      <c r="I1033" t="n">
        <v>0</v>
      </c>
      <c r="J1033" t="n">
        <v>0</v>
      </c>
      <c r="K1033" t="n">
        <v>0</v>
      </c>
      <c r="L1033" t="n">
        <v>0</v>
      </c>
      <c r="M1033" t="n">
        <v>1.795457334212246</v>
      </c>
      <c r="N1033" t="n">
        <v>0</v>
      </c>
      <c r="O1033" t="n">
        <v>0</v>
      </c>
      <c r="P1033" t="n">
        <v>0</v>
      </c>
      <c r="Q1033" t="n">
        <v>0</v>
      </c>
      <c r="R1033" t="inlineStr">
        <is>
          <t>Operationnel</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row>
    <row r="1034">
      <c r="A1034" t="inlineStr">
        <is>
          <t>Buea-Camtel</t>
        </is>
      </c>
      <c r="B1034" t="inlineStr">
        <is>
          <t>SUO_226</t>
        </is>
      </c>
      <c r="C1034" t="inlineStr">
        <is>
          <t>SUD-OUEST</t>
        </is>
      </c>
      <c r="D1034" t="inlineStr">
        <is>
          <t>CAMUSAT</t>
        </is>
      </c>
      <c r="E1034" t="inlineStr">
        <is>
          <t>Good Grid no GE - 8h</t>
        </is>
      </c>
      <c r="F1034" t="inlineStr">
        <is>
          <t>SUD-OUEST</t>
        </is>
      </c>
      <c r="G1034" t="inlineStr">
        <is>
          <t>Buea</t>
        </is>
      </c>
      <c r="H1034" t="inlineStr">
        <is>
          <t>Huawei</t>
        </is>
      </c>
      <c r="I1034" t="n">
        <v>0</v>
      </c>
      <c r="J1034" t="n">
        <v>0</v>
      </c>
      <c r="K1034" t="n">
        <v>0</v>
      </c>
      <c r="L1034" t="n">
        <v>0</v>
      </c>
      <c r="M1034" t="n">
        <v>1.762997491674585</v>
      </c>
      <c r="N1034" t="n">
        <v>0</v>
      </c>
      <c r="O1034" t="n">
        <v>0</v>
      </c>
      <c r="P1034" t="n">
        <v>0</v>
      </c>
      <c r="Q1034" t="n">
        <v>0</v>
      </c>
      <c r="R1034" t="inlineStr">
        <is>
          <t>Operationnel</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row>
    <row r="1035">
      <c r="A1035" t="inlineStr">
        <is>
          <t>Mabanda-MTN</t>
        </is>
      </c>
      <c r="B1035" t="inlineStr">
        <is>
          <t>LIT_259</t>
        </is>
      </c>
      <c r="C1035" t="inlineStr">
        <is>
          <t>Douala</t>
        </is>
      </c>
      <c r="D1035" t="inlineStr">
        <is>
          <t>IHS</t>
        </is>
      </c>
      <c r="E1035" t="inlineStr">
        <is>
          <t>Grid-Gen</t>
        </is>
      </c>
      <c r="F1035" t="inlineStr">
        <is>
          <t>LITTORAL</t>
        </is>
      </c>
      <c r="G1035" t="inlineStr">
        <is>
          <t>Douala</t>
        </is>
      </c>
      <c r="H1035" t="inlineStr">
        <is>
          <t>ZTE</t>
        </is>
      </c>
      <c r="I1035" t="n">
        <v>0</v>
      </c>
      <c r="J1035" t="n">
        <v>0</v>
      </c>
      <c r="K1035" t="n">
        <v>2.92473882311312</v>
      </c>
      <c r="L1035" t="n">
        <v>0</v>
      </c>
      <c r="M1035" t="n">
        <v>1.725722177991227</v>
      </c>
      <c r="N1035" t="n">
        <v>0</v>
      </c>
      <c r="O1035" t="n">
        <v>0</v>
      </c>
      <c r="P1035" t="n">
        <v>0</v>
      </c>
      <c r="Q1035" t="n">
        <v>0</v>
      </c>
      <c r="R1035" t="inlineStr">
        <is>
          <t>Operationnel</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row>
    <row r="1036">
      <c r="A1036" t="inlineStr">
        <is>
          <t>Garoua-Kolbives-II</t>
        </is>
      </c>
      <c r="B1036" t="inlineStr">
        <is>
          <t>NRD_141</t>
        </is>
      </c>
      <c r="C1036" t="inlineStr">
        <is>
          <t>Garoua</t>
        </is>
      </c>
      <c r="D1036" t="inlineStr">
        <is>
          <t>CAMUSAT</t>
        </is>
      </c>
      <c r="E1036" t="inlineStr">
        <is>
          <t>Medium Grid + GE</t>
        </is>
      </c>
      <c r="F1036" t="inlineStr">
        <is>
          <t>NORD</t>
        </is>
      </c>
      <c r="G1036" t="inlineStr">
        <is>
          <t>Garoua</t>
        </is>
      </c>
      <c r="H1036" t="inlineStr">
        <is>
          <t>Huawei</t>
        </is>
      </c>
      <c r="I1036" t="n">
        <v>1.805266627286814</v>
      </c>
      <c r="J1036" t="n">
        <v>0.09862798309519938</v>
      </c>
      <c r="K1036" t="n">
        <v>0</v>
      </c>
      <c r="L1036" t="n">
        <v>0</v>
      </c>
      <c r="M1036" t="n">
        <v>1.713612159813716</v>
      </c>
      <c r="N1036" t="n">
        <v>0</v>
      </c>
      <c r="O1036" t="n">
        <v>0</v>
      </c>
      <c r="P1036" t="n">
        <v>0</v>
      </c>
      <c r="Q1036" t="n">
        <v>0</v>
      </c>
      <c r="R1036" t="inlineStr">
        <is>
          <t>Operationnel</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row>
    <row r="1037">
      <c r="A1037" t="inlineStr">
        <is>
          <t>Nyalla-Marche</t>
        </is>
      </c>
      <c r="B1037" t="inlineStr">
        <is>
          <t>LIT_655</t>
        </is>
      </c>
      <c r="C1037" t="inlineStr">
        <is>
          <t>Douala</t>
        </is>
      </c>
      <c r="D1037" t="inlineStr">
        <is>
          <t>CAMUSAT</t>
        </is>
      </c>
      <c r="E1037" t="inlineStr">
        <is>
          <t>Medium Grid + GE</t>
        </is>
      </c>
      <c r="F1037" t="inlineStr">
        <is>
          <t>LITTORAL</t>
        </is>
      </c>
      <c r="G1037" t="inlineStr">
        <is>
          <t>Douala</t>
        </is>
      </c>
      <c r="H1037" t="inlineStr">
        <is>
          <t>ZTE</t>
        </is>
      </c>
      <c r="I1037" t="n">
        <v>0.08657147015263988</v>
      </c>
      <c r="J1037" t="n">
        <v>0.1343694800432605</v>
      </c>
      <c r="K1037" t="n">
        <v>0</v>
      </c>
      <c r="L1037" t="n">
        <v>2.556159094605813</v>
      </c>
      <c r="M1037" t="n">
        <v>1.429071320337982</v>
      </c>
      <c r="N1037" t="n">
        <v>0</v>
      </c>
      <c r="O1037" t="n">
        <v>0</v>
      </c>
      <c r="P1037" t="n">
        <v>0</v>
      </c>
      <c r="Q1037" t="n">
        <v>0</v>
      </c>
      <c r="R1037" t="inlineStr">
        <is>
          <t>Operationnel</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row>
    <row r="1038">
      <c r="A1038" t="inlineStr">
        <is>
          <t>Crf-Nkomo-IHS</t>
        </is>
      </c>
      <c r="B1038" t="inlineStr">
        <is>
          <t>CTR_554</t>
        </is>
      </c>
      <c r="C1038" t="inlineStr">
        <is>
          <t>Yaounde</t>
        </is>
      </c>
      <c r="D1038" t="inlineStr">
        <is>
          <t>IHS</t>
        </is>
      </c>
      <c r="E1038" t="inlineStr">
        <is>
          <t>Grid-Gen</t>
        </is>
      </c>
      <c r="F1038" t="inlineStr">
        <is>
          <t>CENTRE</t>
        </is>
      </c>
      <c r="G1038" t="inlineStr">
        <is>
          <t>Yaounde</t>
        </is>
      </c>
      <c r="H1038" t="inlineStr">
        <is>
          <t>ZTE</t>
        </is>
      </c>
      <c r="I1038" t="n">
        <v>0</v>
      </c>
      <c r="J1038" t="n">
        <v>0</v>
      </c>
      <c r="K1038" t="n">
        <v>0</v>
      </c>
      <c r="L1038" t="n">
        <v>0</v>
      </c>
      <c r="M1038" t="n">
        <v>1.428732453849951</v>
      </c>
      <c r="N1038" t="n">
        <v>0</v>
      </c>
      <c r="O1038" t="n">
        <v>0</v>
      </c>
      <c r="P1038" t="n">
        <v>0</v>
      </c>
      <c r="Q1038" t="n">
        <v>0</v>
      </c>
      <c r="R1038" t="inlineStr">
        <is>
          <t>Operationnel</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row>
    <row r="1039">
      <c r="A1039" t="inlineStr">
        <is>
          <t>Maroua-Diarenga</t>
        </is>
      </c>
      <c r="B1039" t="inlineStr">
        <is>
          <t>EXN_088</t>
        </is>
      </c>
      <c r="C1039" t="inlineStr">
        <is>
          <t>Maroua</t>
        </is>
      </c>
      <c r="D1039" t="inlineStr">
        <is>
          <t>IHS</t>
        </is>
      </c>
      <c r="E1039" t="inlineStr">
        <is>
          <t>Grid-Gen</t>
        </is>
      </c>
      <c r="F1039" t="inlineStr">
        <is>
          <t>EXTREME-NORD</t>
        </is>
      </c>
      <c r="G1039" t="inlineStr">
        <is>
          <t>Maroua</t>
        </is>
      </c>
      <c r="H1039" t="inlineStr">
        <is>
          <t>Huawei</t>
        </is>
      </c>
      <c r="I1039" t="n">
        <v>0</v>
      </c>
      <c r="J1039" t="n">
        <v>0</v>
      </c>
      <c r="K1039" t="n">
        <v>0</v>
      </c>
      <c r="L1039" t="n">
        <v>2.408805677547491</v>
      </c>
      <c r="M1039" t="n">
        <v>1.379900009416921</v>
      </c>
      <c r="N1039" t="n">
        <v>0</v>
      </c>
      <c r="O1039" t="n">
        <v>0</v>
      </c>
      <c r="P1039" t="n">
        <v>0</v>
      </c>
      <c r="Q1039" t="n">
        <v>0</v>
      </c>
      <c r="R1039" t="inlineStr">
        <is>
          <t>Operationnel</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row>
    <row r="1040">
      <c r="A1040" t="inlineStr">
        <is>
          <t>Mbot</t>
        </is>
      </c>
      <c r="B1040" t="inlineStr">
        <is>
          <t>NRO_246</t>
        </is>
      </c>
      <c r="C1040" t="inlineStr">
        <is>
          <t>NORD-OUEST</t>
        </is>
      </c>
      <c r="D1040" t="inlineStr">
        <is>
          <t>IHS</t>
        </is>
      </c>
      <c r="E1040" t="inlineStr">
        <is>
          <t>Solar-Gen</t>
        </is>
      </c>
      <c r="F1040" t="inlineStr">
        <is>
          <t>NORD-OUEST</t>
        </is>
      </c>
      <c r="G1040" t="inlineStr">
        <is>
          <t>Mbot</t>
        </is>
      </c>
      <c r="H1040" t="inlineStr">
        <is>
          <t>NOKIA</t>
        </is>
      </c>
      <c r="I1040" t="n">
        <v>0</v>
      </c>
      <c r="J1040" t="n">
        <v>0.003210314097131423</v>
      </c>
      <c r="K1040" t="n">
        <v>0</v>
      </c>
      <c r="L1040" t="n">
        <v>0.9247309756786604</v>
      </c>
      <c r="M1040" t="n">
        <v>1.32580621688026</v>
      </c>
      <c r="N1040" t="n">
        <v>0</v>
      </c>
      <c r="O1040" t="n">
        <v>0</v>
      </c>
      <c r="P1040" t="n">
        <v>0</v>
      </c>
      <c r="Q1040" t="n">
        <v>0</v>
      </c>
      <c r="R1040" t="inlineStr">
        <is>
          <t>Insecurity</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row>
    <row r="1041">
      <c r="A1041" t="inlineStr">
        <is>
          <t>Mefou-Assi</t>
        </is>
      </c>
      <c r="B1041" t="inlineStr">
        <is>
          <t>CTR_253</t>
        </is>
      </c>
      <c r="C1041" t="inlineStr">
        <is>
          <t>Yaounde</t>
        </is>
      </c>
      <c r="D1041" t="inlineStr">
        <is>
          <t>IHS</t>
        </is>
      </c>
      <c r="E1041" t="inlineStr">
        <is>
          <t>Grid-Gen</t>
        </is>
      </c>
      <c r="F1041" t="inlineStr">
        <is>
          <t>CENTRE</t>
        </is>
      </c>
      <c r="G1041" t="inlineStr">
        <is>
          <t>Yaounde</t>
        </is>
      </c>
      <c r="H1041" t="inlineStr">
        <is>
          <t>ZTE</t>
        </is>
      </c>
      <c r="I1041" t="n">
        <v>0</v>
      </c>
      <c r="J1041" t="n">
        <v>0</v>
      </c>
      <c r="K1041" t="n">
        <v>0</v>
      </c>
      <c r="L1041" t="n">
        <v>0</v>
      </c>
      <c r="M1041" t="n">
        <v>1.324450750928139</v>
      </c>
      <c r="N1041" t="n">
        <v>0</v>
      </c>
      <c r="O1041" t="n">
        <v>0</v>
      </c>
      <c r="P1041" t="n">
        <v>0</v>
      </c>
      <c r="Q1041" t="n">
        <v>0</v>
      </c>
      <c r="R1041" t="inlineStr">
        <is>
          <t>Operationnel</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row>
    <row r="1042">
      <c r="A1042" t="inlineStr">
        <is>
          <t>Ngd-Baladji</t>
        </is>
      </c>
      <c r="B1042" t="inlineStr">
        <is>
          <t>ADM_035</t>
        </is>
      </c>
      <c r="C1042" t="inlineStr">
        <is>
          <t>Ngaoundere</t>
        </is>
      </c>
      <c r="D1042" t="inlineStr">
        <is>
          <t>IHS</t>
        </is>
      </c>
      <c r="E1042" t="inlineStr">
        <is>
          <t>Grid-Gen</t>
        </is>
      </c>
      <c r="F1042" t="inlineStr">
        <is>
          <t>ADAMAOUA</t>
        </is>
      </c>
      <c r="G1042" t="inlineStr">
        <is>
          <t>Ngaoundere</t>
        </is>
      </c>
      <c r="H1042" t="inlineStr">
        <is>
          <t>Huawei</t>
        </is>
      </c>
      <c r="I1042" t="n">
        <v>2.282265796885567</v>
      </c>
      <c r="J1042" t="n">
        <v>0.8282967072165006</v>
      </c>
      <c r="K1042" t="n">
        <v>0</v>
      </c>
      <c r="L1042" t="n">
        <v>0</v>
      </c>
      <c r="M1042" t="n">
        <v>1.300961952784127</v>
      </c>
      <c r="N1042" t="n">
        <v>0</v>
      </c>
      <c r="O1042" t="n">
        <v>0</v>
      </c>
      <c r="P1042" t="n">
        <v>0</v>
      </c>
      <c r="Q1042" t="n">
        <v>0</v>
      </c>
      <c r="R1042" t="inlineStr">
        <is>
          <t>Operationnel</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row>
    <row r="1043">
      <c r="A1043" t="inlineStr">
        <is>
          <t>Soa-Sofamac</t>
        </is>
      </c>
      <c r="B1043" t="inlineStr">
        <is>
          <t>CTR_430</t>
        </is>
      </c>
      <c r="C1043" t="inlineStr">
        <is>
          <t>Yaounde</t>
        </is>
      </c>
      <c r="D1043" t="inlineStr">
        <is>
          <t>IHS</t>
        </is>
      </c>
      <c r="E1043" t="inlineStr">
        <is>
          <t>Grid-Gen</t>
        </is>
      </c>
      <c r="F1043" t="inlineStr">
        <is>
          <t>CENTRE</t>
        </is>
      </c>
      <c r="G1043" t="inlineStr">
        <is>
          <t>Yaounde</t>
        </is>
      </c>
      <c r="H1043" t="inlineStr">
        <is>
          <t>ZTE</t>
        </is>
      </c>
      <c r="I1043" t="n">
        <v>0</v>
      </c>
      <c r="J1043" t="n">
        <v>0</v>
      </c>
      <c r="K1043" t="n">
        <v>0</v>
      </c>
      <c r="L1043" t="n">
        <v>0</v>
      </c>
      <c r="M1043" t="n">
        <v>1.231815354147583</v>
      </c>
      <c r="N1043" t="n">
        <v>0</v>
      </c>
      <c r="O1043" t="n">
        <v>0</v>
      </c>
      <c r="P1043" t="n">
        <v>0</v>
      </c>
      <c r="Q1043" t="n">
        <v>0</v>
      </c>
      <c r="R1043" t="inlineStr">
        <is>
          <t>Operationnel</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row>
    <row r="1044">
      <c r="A1044" t="inlineStr">
        <is>
          <t>Doumofe-MTN</t>
        </is>
      </c>
      <c r="B1044" t="inlineStr">
        <is>
          <t>OST_116</t>
        </is>
      </c>
      <c r="C1044" t="inlineStr">
        <is>
          <t>OUEST</t>
        </is>
      </c>
      <c r="D1044" t="inlineStr">
        <is>
          <t>IHS</t>
        </is>
      </c>
      <c r="E1044" t="inlineStr">
        <is>
          <t>Solar-Gen</t>
        </is>
      </c>
      <c r="F1044" t="inlineStr">
        <is>
          <t>OUEST</t>
        </is>
      </c>
      <c r="G1044" t="inlineStr">
        <is>
          <t>Doumofe</t>
        </is>
      </c>
      <c r="H1044" t="inlineStr">
        <is>
          <t>NOKIA</t>
        </is>
      </c>
      <c r="I1044" t="n">
        <v>0.9639503128986139</v>
      </c>
      <c r="J1044" t="n">
        <v>0</v>
      </c>
      <c r="K1044" t="n">
        <v>0.0551817323140228</v>
      </c>
      <c r="L1044" t="n">
        <v>0</v>
      </c>
      <c r="M1044" t="n">
        <v>1.215424917173896</v>
      </c>
      <c r="N1044" t="n">
        <v>0</v>
      </c>
      <c r="O1044" t="n">
        <v>0</v>
      </c>
      <c r="P1044" t="n">
        <v>0</v>
      </c>
      <c r="Q1044" t="n">
        <v>0</v>
      </c>
      <c r="R1044" t="inlineStr">
        <is>
          <t>Operationnel</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row>
    <row r="1045">
      <c r="A1045" t="inlineStr">
        <is>
          <t>Kribi-Mpala</t>
        </is>
      </c>
      <c r="B1045" t="inlineStr">
        <is>
          <t>SUD_053</t>
        </is>
      </c>
      <c r="C1045" t="inlineStr">
        <is>
          <t>LITTORAL</t>
        </is>
      </c>
      <c r="D1045" t="inlineStr">
        <is>
          <t>IHS</t>
        </is>
      </c>
      <c r="E1045" t="inlineStr">
        <is>
          <t>Grid-Gen</t>
        </is>
      </c>
      <c r="F1045" t="inlineStr">
        <is>
          <t>SUD</t>
        </is>
      </c>
      <c r="G1045" t="inlineStr">
        <is>
          <t>Kribi</t>
        </is>
      </c>
      <c r="H1045" t="inlineStr">
        <is>
          <t>ZTE</t>
        </is>
      </c>
      <c r="I1045" t="n">
        <v>0</v>
      </c>
      <c r="J1045" t="n">
        <v>0</v>
      </c>
      <c r="K1045" t="n">
        <v>5.914593517163053</v>
      </c>
      <c r="L1045" t="n">
        <v>0</v>
      </c>
      <c r="M1045" t="n">
        <v>1.214033781065139</v>
      </c>
      <c r="N1045" t="n">
        <v>0</v>
      </c>
      <c r="O1045" t="n">
        <v>0</v>
      </c>
      <c r="P1045" t="n">
        <v>0</v>
      </c>
      <c r="Q1045" t="n">
        <v>0</v>
      </c>
      <c r="R1045" t="inlineStr">
        <is>
          <t>Operationnel</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row>
    <row r="1046">
      <c r="A1046" t="inlineStr">
        <is>
          <t>Kribi-LONDJI</t>
        </is>
      </c>
      <c r="B1046" t="inlineStr">
        <is>
          <t>SUD_079</t>
        </is>
      </c>
      <c r="C1046" t="inlineStr">
        <is>
          <t>CENTRE</t>
        </is>
      </c>
      <c r="D1046" t="inlineStr">
        <is>
          <t>CAMUSAT</t>
        </is>
      </c>
      <c r="E1046" t="inlineStr">
        <is>
          <t>Medium Grid + Solar + GE</t>
        </is>
      </c>
      <c r="F1046" t="inlineStr">
        <is>
          <t>SUD</t>
        </is>
      </c>
      <c r="G1046" t="inlineStr">
        <is>
          <t>Kribi</t>
        </is>
      </c>
      <c r="H1046" t="inlineStr">
        <is>
          <t>ZTE</t>
        </is>
      </c>
      <c r="I1046" t="n">
        <v>0</v>
      </c>
      <c r="J1046" t="n">
        <v>0</v>
      </c>
      <c r="K1046" t="n">
        <v>5.898292255580952</v>
      </c>
      <c r="L1046" t="n">
        <v>0</v>
      </c>
      <c r="M1046" t="n">
        <v>1.163792365445035</v>
      </c>
      <c r="N1046" t="n">
        <v>0</v>
      </c>
      <c r="O1046" t="n">
        <v>0</v>
      </c>
      <c r="P1046" t="n">
        <v>0</v>
      </c>
      <c r="Q1046" t="n">
        <v>0</v>
      </c>
      <c r="R1046" t="inlineStr">
        <is>
          <t>Operationnel</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row>
    <row r="1047">
      <c r="A1047" t="inlineStr">
        <is>
          <t>Molyko-Buea-SC2</t>
        </is>
      </c>
      <c r="B1047" t="inlineStr">
        <is>
          <t>SUO_213</t>
        </is>
      </c>
      <c r="C1047" t="inlineStr">
        <is>
          <t>SUD-OUEST</t>
        </is>
      </c>
      <c r="D1047" t="inlineStr">
        <is>
          <t>IHS</t>
        </is>
      </c>
      <c r="E1047" t="inlineStr">
        <is>
          <t>Grid-Gen</t>
        </is>
      </c>
      <c r="F1047" t="inlineStr">
        <is>
          <t>SUD-OUEST</t>
        </is>
      </c>
      <c r="G1047" t="inlineStr">
        <is>
          <t>Buea</t>
        </is>
      </c>
      <c r="H1047" t="inlineStr">
        <is>
          <t>Huawei</t>
        </is>
      </c>
      <c r="I1047" t="n">
        <v>0</v>
      </c>
      <c r="J1047" t="n">
        <v>0</v>
      </c>
      <c r="K1047" t="n">
        <v>0</v>
      </c>
      <c r="L1047" t="n">
        <v>0</v>
      </c>
      <c r="M1047" t="n">
        <v>1.11595868539778</v>
      </c>
      <c r="N1047" t="n">
        <v>0</v>
      </c>
      <c r="O1047" t="n">
        <v>0</v>
      </c>
      <c r="P1047" t="n">
        <v>0</v>
      </c>
      <c r="Q1047" t="n">
        <v>0</v>
      </c>
      <c r="R1047" t="inlineStr">
        <is>
          <t>Operationnel</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row>
    <row r="1048">
      <c r="A1048" t="inlineStr">
        <is>
          <t>Mpoloungoue</t>
        </is>
      </c>
      <c r="B1048" t="inlineStr">
        <is>
          <t>SUD_021</t>
        </is>
      </c>
      <c r="C1048" t="inlineStr">
        <is>
          <t>CENTRE</t>
        </is>
      </c>
      <c r="D1048" t="inlineStr">
        <is>
          <t>IHS</t>
        </is>
      </c>
      <c r="E1048" t="inlineStr">
        <is>
          <t>Grid-Gen-Lithium</t>
        </is>
      </c>
      <c r="F1048" t="inlineStr">
        <is>
          <t>SUD</t>
        </is>
      </c>
      <c r="G1048" t="inlineStr">
        <is>
          <t>Mpoloungoue</t>
        </is>
      </c>
      <c r="H1048" t="inlineStr">
        <is>
          <t>ZTE</t>
        </is>
      </c>
      <c r="I1048" t="n">
        <v>0</v>
      </c>
      <c r="J1048" t="n">
        <v>0</v>
      </c>
      <c r="K1048" t="n">
        <v>5.898684627303936</v>
      </c>
      <c r="L1048" t="n">
        <v>0</v>
      </c>
      <c r="M1048" t="n">
        <v>1.063166853578288</v>
      </c>
      <c r="N1048" t="n">
        <v>0</v>
      </c>
      <c r="O1048" t="n">
        <v>0</v>
      </c>
      <c r="P1048" t="n">
        <v>0</v>
      </c>
      <c r="Q1048" t="n">
        <v>0</v>
      </c>
      <c r="R1048" t="inlineStr">
        <is>
          <t>Operationnel</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row>
    <row r="1049">
      <c r="A1049" t="inlineStr">
        <is>
          <t>Simbock-Chefferie-MTN</t>
        </is>
      </c>
      <c r="B1049" t="inlineStr">
        <is>
          <t>CTR_836</t>
        </is>
      </c>
      <c r="C1049" t="inlineStr">
        <is>
          <t>Yaounde</t>
        </is>
      </c>
      <c r="D1049" t="inlineStr">
        <is>
          <t>MTN sharing</t>
        </is>
      </c>
      <c r="E1049" t="inlineStr"/>
      <c r="F1049" t="inlineStr">
        <is>
          <t>CENTRE</t>
        </is>
      </c>
      <c r="G1049" t="inlineStr">
        <is>
          <t>Yaounde</t>
        </is>
      </c>
      <c r="H1049" t="inlineStr">
        <is>
          <t>ZTE</t>
        </is>
      </c>
      <c r="I1049" t="n">
        <v>4.882263513995542</v>
      </c>
      <c r="J1049" t="n">
        <v>0.8885614368509815</v>
      </c>
      <c r="K1049" t="n">
        <v>5.139570188880613</v>
      </c>
      <c r="L1049" t="n">
        <v>0</v>
      </c>
      <c r="M1049" t="n">
        <v>1.041996615615538</v>
      </c>
      <c r="N1049" t="n">
        <v>0</v>
      </c>
      <c r="O1049" t="n">
        <v>0</v>
      </c>
      <c r="P1049" t="n">
        <v>0</v>
      </c>
      <c r="Q1049" t="n">
        <v>0</v>
      </c>
      <c r="R1049" t="inlineStr">
        <is>
          <t>Operationnel</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row>
    <row r="1050">
      <c r="A1050" t="inlineStr">
        <is>
          <t>Nkomo</t>
        </is>
      </c>
      <c r="B1050" t="inlineStr">
        <is>
          <t>CTR_042</t>
        </is>
      </c>
      <c r="C1050" t="inlineStr">
        <is>
          <t>Yaounde</t>
        </is>
      </c>
      <c r="D1050" t="inlineStr">
        <is>
          <t>IHS</t>
        </is>
      </c>
      <c r="E1050" t="inlineStr">
        <is>
          <t>Grid-Gen</t>
        </is>
      </c>
      <c r="F1050" t="inlineStr">
        <is>
          <t>CENTRE</t>
        </is>
      </c>
      <c r="G1050" t="inlineStr">
        <is>
          <t>Yaounde</t>
        </is>
      </c>
      <c r="H1050" t="inlineStr">
        <is>
          <t>ZTE</t>
        </is>
      </c>
      <c r="I1050" t="n">
        <v>0</v>
      </c>
      <c r="J1050" t="n">
        <v>0</v>
      </c>
      <c r="K1050" t="n">
        <v>0</v>
      </c>
      <c r="L1050" t="n">
        <v>0</v>
      </c>
      <c r="M1050" t="n">
        <v>1.021842977116881</v>
      </c>
      <c r="N1050" t="n">
        <v>0</v>
      </c>
      <c r="O1050" t="n">
        <v>0</v>
      </c>
      <c r="P1050" t="n">
        <v>0</v>
      </c>
      <c r="Q1050" t="n">
        <v>0</v>
      </c>
      <c r="R1050" t="inlineStr">
        <is>
          <t>Operationnel</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row>
    <row r="1051">
      <c r="A1051" t="inlineStr">
        <is>
          <t>Sodiko-III-MTN</t>
        </is>
      </c>
      <c r="B1051" t="inlineStr">
        <is>
          <t>LIT_741</t>
        </is>
      </c>
      <c r="C1051" t="inlineStr">
        <is>
          <t>Douala</t>
        </is>
      </c>
      <c r="D1051" t="inlineStr">
        <is>
          <t>MTN</t>
        </is>
      </c>
      <c r="E1051" t="inlineStr"/>
      <c r="F1051" t="inlineStr">
        <is>
          <t>LITTORAL</t>
        </is>
      </c>
      <c r="G1051" t="inlineStr">
        <is>
          <t>Douala</t>
        </is>
      </c>
      <c r="H1051" t="inlineStr">
        <is>
          <t>ZTE</t>
        </is>
      </c>
      <c r="I1051" t="n">
        <v>11.53569298553504</v>
      </c>
      <c r="J1051" t="n">
        <v>13.65890555398607</v>
      </c>
      <c r="K1051" t="n">
        <v>0</v>
      </c>
      <c r="L1051" t="n">
        <v>0.3342293676679984</v>
      </c>
      <c r="M1051" t="n">
        <v>0.9214671563465774</v>
      </c>
      <c r="N1051" t="n">
        <v>0</v>
      </c>
      <c r="O1051" t="n">
        <v>0</v>
      </c>
      <c r="P1051" t="n">
        <v>0</v>
      </c>
      <c r="Q1051" t="n">
        <v>0</v>
      </c>
      <c r="R1051" t="inlineStr">
        <is>
          <t>Operationnel</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row>
    <row r="1052">
      <c r="A1052" t="inlineStr">
        <is>
          <t>Yarbang-Gaziya-IHS</t>
        </is>
      </c>
      <c r="B1052" t="inlineStr">
        <is>
          <t>ADM_142</t>
        </is>
      </c>
      <c r="C1052" t="inlineStr">
        <is>
          <t>ADAMAOUA</t>
        </is>
      </c>
      <c r="D1052" t="inlineStr">
        <is>
          <t>IHS</t>
        </is>
      </c>
      <c r="E1052" t="inlineStr">
        <is>
          <t>Hybrid-Gen</t>
        </is>
      </c>
      <c r="F1052" t="inlineStr">
        <is>
          <t>ADAMAOUA</t>
        </is>
      </c>
      <c r="G1052" t="inlineStr">
        <is>
          <t>Yarban Gaziya</t>
        </is>
      </c>
      <c r="H1052" t="inlineStr">
        <is>
          <t>NOKIA</t>
        </is>
      </c>
      <c r="I1052" t="n">
        <v>0</v>
      </c>
      <c r="J1052" t="n">
        <v>0</v>
      </c>
      <c r="K1052" t="n">
        <v>0</v>
      </c>
      <c r="L1052" t="n">
        <v>0.001819449278837859</v>
      </c>
      <c r="M1052" t="n">
        <v>0.8938379612666765</v>
      </c>
      <c r="N1052" t="n">
        <v>0</v>
      </c>
      <c r="O1052" t="n">
        <v>0</v>
      </c>
      <c r="P1052" t="n">
        <v>0</v>
      </c>
      <c r="Q1052" t="n">
        <v>0</v>
      </c>
      <c r="R1052" t="inlineStr">
        <is>
          <t>Operationnel</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row>
    <row r="1053">
      <c r="A1053" t="inlineStr">
        <is>
          <t>Ngaoui</t>
        </is>
      </c>
      <c r="B1053" t="inlineStr">
        <is>
          <t>ADM_037</t>
        </is>
      </c>
      <c r="C1053" t="inlineStr">
        <is>
          <t>ADAMAOUA</t>
        </is>
      </c>
      <c r="D1053" t="inlineStr">
        <is>
          <t>IHS</t>
        </is>
      </c>
      <c r="E1053" t="inlineStr">
        <is>
          <t>Solar-Gen</t>
        </is>
      </c>
      <c r="F1053" t="inlineStr">
        <is>
          <t>ADAMAOUA</t>
        </is>
      </c>
      <c r="G1053" t="inlineStr">
        <is>
          <t>Ngaoui</t>
        </is>
      </c>
      <c r="H1053" t="inlineStr">
        <is>
          <t>NOKIA</t>
        </is>
      </c>
      <c r="I1053" t="n">
        <v>0</v>
      </c>
      <c r="J1053" t="n">
        <v>0</v>
      </c>
      <c r="K1053" t="n">
        <v>0</v>
      </c>
      <c r="L1053" t="n">
        <v>0</v>
      </c>
      <c r="M1053" t="n">
        <v>0.8598845496076256</v>
      </c>
      <c r="N1053" t="n">
        <v>0</v>
      </c>
      <c r="O1053" t="n">
        <v>0</v>
      </c>
      <c r="P1053" t="n">
        <v>0</v>
      </c>
      <c r="Q1053" t="n">
        <v>0</v>
      </c>
      <c r="R1053" t="inlineStr">
        <is>
          <t>Operationnel</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row>
    <row r="1054">
      <c r="A1054" t="inlineStr">
        <is>
          <t>Sabongari-NRO</t>
        </is>
      </c>
      <c r="B1054" t="inlineStr">
        <is>
          <t>NRO_230</t>
        </is>
      </c>
      <c r="C1054" t="inlineStr">
        <is>
          <t>NORD-OUEST</t>
        </is>
      </c>
      <c r="D1054" t="inlineStr">
        <is>
          <t>IHS</t>
        </is>
      </c>
      <c r="E1054" t="inlineStr">
        <is>
          <t>Hybrid-Gen</t>
        </is>
      </c>
      <c r="F1054" t="inlineStr">
        <is>
          <t>NORD-OUEST</t>
        </is>
      </c>
      <c r="G1054" t="inlineStr">
        <is>
          <t>Sabongari</t>
        </is>
      </c>
      <c r="H1054" t="inlineStr">
        <is>
          <t>NOKIA</t>
        </is>
      </c>
      <c r="I1054" t="n">
        <v>0</v>
      </c>
      <c r="J1054" t="n">
        <v>0</v>
      </c>
      <c r="K1054" t="n">
        <v>0</v>
      </c>
      <c r="L1054" t="n">
        <v>0</v>
      </c>
      <c r="M1054" t="n">
        <v>0.8319707333498844</v>
      </c>
      <c r="N1054" t="n">
        <v>0</v>
      </c>
      <c r="O1054" t="n">
        <v>0</v>
      </c>
      <c r="P1054" t="n">
        <v>0</v>
      </c>
      <c r="Q1054" t="n">
        <v>0</v>
      </c>
      <c r="R1054" t="inlineStr">
        <is>
          <t>Insecurity</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row>
    <row r="1055">
      <c r="A1055" t="inlineStr">
        <is>
          <t>Babanki-IHS</t>
        </is>
      </c>
      <c r="B1055" t="inlineStr">
        <is>
          <t>NRO_058</t>
        </is>
      </c>
      <c r="C1055" t="inlineStr">
        <is>
          <t>NORD-OUEST</t>
        </is>
      </c>
      <c r="D1055" t="inlineStr">
        <is>
          <t>IHS</t>
        </is>
      </c>
      <c r="E1055" t="inlineStr">
        <is>
          <t>Grid-Gen</t>
        </is>
      </c>
      <c r="F1055" t="inlineStr">
        <is>
          <t>NORD-OUEST</t>
        </is>
      </c>
      <c r="G1055" t="inlineStr">
        <is>
          <t>Babanki</t>
        </is>
      </c>
      <c r="H1055" t="inlineStr">
        <is>
          <t>NOKIA</t>
        </is>
      </c>
      <c r="I1055" t="n">
        <v>0.1353147391940828</v>
      </c>
      <c r="J1055" t="n">
        <v>0</v>
      </c>
      <c r="K1055" t="n">
        <v>0</v>
      </c>
      <c r="L1055" t="n">
        <v>0.6491076753616239</v>
      </c>
      <c r="M1055" t="n">
        <v>0.7432412187208397</v>
      </c>
      <c r="N1055" t="n">
        <v>0</v>
      </c>
      <c r="O1055" t="n">
        <v>0</v>
      </c>
      <c r="P1055" t="n">
        <v>0</v>
      </c>
      <c r="Q1055" t="n">
        <v>0</v>
      </c>
      <c r="R1055" t="inlineStr">
        <is>
          <t>Insecurity</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row>
    <row r="1056">
      <c r="A1056" t="inlineStr">
        <is>
          <t>Ba-aba</t>
        </is>
      </c>
      <c r="B1056" t="inlineStr">
        <is>
          <t>CTR_755</t>
        </is>
      </c>
      <c r="C1056" t="inlineStr">
        <is>
          <t>Yaounde</t>
        </is>
      </c>
      <c r="D1056" t="inlineStr">
        <is>
          <t>CAMUSAT</t>
        </is>
      </c>
      <c r="E1056" t="inlineStr">
        <is>
          <t>Good Grid + GE</t>
        </is>
      </c>
      <c r="F1056" t="inlineStr">
        <is>
          <t>CENTRE</t>
        </is>
      </c>
      <c r="G1056" t="inlineStr">
        <is>
          <t>Yaounde</t>
        </is>
      </c>
      <c r="H1056" t="inlineStr">
        <is>
          <t>ZTE</t>
        </is>
      </c>
      <c r="I1056" t="n">
        <v>0</v>
      </c>
      <c r="J1056" t="n">
        <v>0</v>
      </c>
      <c r="K1056" t="n">
        <v>0</v>
      </c>
      <c r="L1056" t="n">
        <v>0</v>
      </c>
      <c r="M1056" t="n">
        <v>0.7210365462156817</v>
      </c>
      <c r="N1056" t="n">
        <v>0</v>
      </c>
      <c r="O1056" t="n">
        <v>0</v>
      </c>
      <c r="P1056" t="n">
        <v>0</v>
      </c>
      <c r="Q1056" t="n">
        <v>0</v>
      </c>
      <c r="R1056" t="inlineStr">
        <is>
          <t>Operationnel</t>
        </is>
      </c>
      <c r="S1056" t="inlineStr"/>
      <c r="T1056" t="inlineStr"/>
      <c r="U1056" t="inlineStr"/>
      <c r="V1056" t="inlineStr"/>
      <c r="W1056" t="inlineStr"/>
      <c r="X1056" t="inlineStr">
        <is>
          <t xml:space="preserve">{05-25-2026 retour CAMUSAT}: No power issue </t>
        </is>
      </c>
      <c r="Y1056" t="inlineStr">
        <is>
          <t>No power issue</t>
        </is>
      </c>
      <c r="Z1056" t="inlineStr"/>
      <c r="AA1056" t="inlineStr"/>
      <c r="AB1056" t="inlineStr"/>
      <c r="AC1056" t="inlineStr">
        <is>
          <t xml:space="preserve">{05-25-2026 retour CAMUSAT}: No power issue </t>
        </is>
      </c>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row>
    <row r="1057">
      <c r="A1057" t="inlineStr">
        <is>
          <t>Bmouang-Terminus</t>
        </is>
      </c>
      <c r="B1057" t="inlineStr">
        <is>
          <t>LIT_044</t>
        </is>
      </c>
      <c r="C1057" t="inlineStr">
        <is>
          <t>Douala</t>
        </is>
      </c>
      <c r="D1057" t="inlineStr">
        <is>
          <t>IHS</t>
        </is>
      </c>
      <c r="E1057" t="inlineStr">
        <is>
          <t>Grid-Gen</t>
        </is>
      </c>
      <c r="F1057" t="inlineStr">
        <is>
          <t>LITTORAL</t>
        </is>
      </c>
      <c r="G1057" t="inlineStr">
        <is>
          <t>Douala</t>
        </is>
      </c>
      <c r="H1057" t="inlineStr">
        <is>
          <t>ZTE</t>
        </is>
      </c>
      <c r="I1057" t="n">
        <v>0</v>
      </c>
      <c r="J1057" t="n">
        <v>0</v>
      </c>
      <c r="K1057" t="n">
        <v>0</v>
      </c>
      <c r="L1057" t="n">
        <v>0</v>
      </c>
      <c r="M1057" t="n">
        <v>0.6971197061920539</v>
      </c>
      <c r="N1057" t="n">
        <v>0</v>
      </c>
      <c r="O1057" t="n">
        <v>0</v>
      </c>
      <c r="P1057" t="n">
        <v>0</v>
      </c>
      <c r="Q1057" t="n">
        <v>0</v>
      </c>
      <c r="R1057" t="inlineStr">
        <is>
          <t>Operationnel</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row>
    <row r="1058">
      <c r="A1058" t="inlineStr">
        <is>
          <t>Small-Ekombe-IHS</t>
        </is>
      </c>
      <c r="B1058" t="inlineStr">
        <is>
          <t>SUO_090</t>
        </is>
      </c>
      <c r="C1058" t="inlineStr">
        <is>
          <t>SUD-OUEST</t>
        </is>
      </c>
      <c r="D1058" t="inlineStr">
        <is>
          <t>IHS</t>
        </is>
      </c>
      <c r="E1058" t="inlineStr">
        <is>
          <t>Hybrid-Gen</t>
        </is>
      </c>
      <c r="F1058" t="inlineStr">
        <is>
          <t>SUD-OUEST</t>
        </is>
      </c>
      <c r="G1058" t="inlineStr">
        <is>
          <t>Mbongue</t>
        </is>
      </c>
      <c r="H1058" t="inlineStr">
        <is>
          <t>NOKIA</t>
        </is>
      </c>
      <c r="I1058" t="n">
        <v>0</v>
      </c>
      <c r="J1058" t="n">
        <v>0</v>
      </c>
      <c r="K1058" t="n">
        <v>0</v>
      </c>
      <c r="L1058" t="n">
        <v>0</v>
      </c>
      <c r="M1058" t="n">
        <v>0.696085271649645</v>
      </c>
      <c r="N1058" t="n">
        <v>0</v>
      </c>
      <c r="O1058" t="n">
        <v>0</v>
      </c>
      <c r="P1058" t="n">
        <v>0</v>
      </c>
      <c r="Q1058" t="n">
        <v>0</v>
      </c>
      <c r="R1058" t="inlineStr">
        <is>
          <t>Insecurity</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row>
    <row r="1059">
      <c r="A1059" t="inlineStr">
        <is>
          <t>Bekondo-IHS</t>
        </is>
      </c>
      <c r="B1059" t="inlineStr">
        <is>
          <t>SUO_096</t>
        </is>
      </c>
      <c r="C1059" t="inlineStr">
        <is>
          <t>SUD-OUEST</t>
        </is>
      </c>
      <c r="D1059" t="inlineStr">
        <is>
          <t>IHS</t>
        </is>
      </c>
      <c r="E1059" t="inlineStr">
        <is>
          <t>Hybrid-Gen</t>
        </is>
      </c>
      <c r="F1059" t="inlineStr">
        <is>
          <t>SUD-OUEST</t>
        </is>
      </c>
      <c r="G1059" t="inlineStr">
        <is>
          <t>Bekondo</t>
        </is>
      </c>
      <c r="H1059" t="inlineStr">
        <is>
          <t>NOKIA</t>
        </is>
      </c>
      <c r="I1059" t="n">
        <v>0</v>
      </c>
      <c r="J1059" t="n">
        <v>0</v>
      </c>
      <c r="K1059" t="n">
        <v>0</v>
      </c>
      <c r="L1059" t="n">
        <v>0.1765137701072674</v>
      </c>
      <c r="M1059" t="n">
        <v>0.6957999103965665</v>
      </c>
      <c r="N1059" t="n">
        <v>0</v>
      </c>
      <c r="O1059" t="n">
        <v>0</v>
      </c>
      <c r="P1059" t="n">
        <v>0</v>
      </c>
      <c r="Q1059" t="n">
        <v>0</v>
      </c>
      <c r="R1059" t="inlineStr">
        <is>
          <t>Insecurity</t>
        </is>
      </c>
      <c r="S1059" t="inlineStr"/>
      <c r="T1059" t="inlineStr"/>
      <c r="U1059" t="inlineStr"/>
      <c r="V1059" t="inlineStr"/>
      <c r="W1059" t="inlineStr"/>
      <c r="X1059" t="inlineStr">
        <is>
          <t>{05/25/2026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     ;    {05/25/2026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     ;    {05/25/2026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t>
        </is>
      </c>
      <c r="Y1059" t="inlineStr">
        <is>
          <t>25/05/2026 Expedition ce jour de la FO de DOUALA pour KUMBA || ETD demain 26/05/2026
23/05/2026 Access issue
22/05/2026 Commande de la fibre effectuee
21/05/2026 Check breaker and interconnection (sfp, optical fiber) between system and radio module, swap its if needed || Feedback FME . Cde de la FO 25/05/2026 Expedition ce jour de la FO de DOUALA pour KUMBA || ETD demain 26/05/2026
23/05/2026 Access issue
22/05/2026 Commande de la fibre effectuee
21/05/2026 Check breaker and interconnection (sfp, optical fiber) between system and radio module, swap its if needed || Feedback FME . Cde de la FO 25/05/2026 Expedition ce jour de la FO de DOUALA pour KUMBA || ETD demain 26/05/2026
23/05/2026 Access issue
22/05/2026 Commande de la fibre effectuee
21/05/2026 Check breaker and interconnection (sfp, optical fiber) between system and radio module, swap its if needed || Feedback FME . Cde de la FO</t>
        </is>
      </c>
      <c r="Z1059" t="inlineStr"/>
      <c r="AA1059" t="inlineStr"/>
      <c r="AB1059" t="inlineStr"/>
      <c r="AC1059" t="inlineStr"/>
      <c r="AD1059" t="inlineStr"/>
      <c r="AE1059" t="inlineStr"/>
      <c r="AF1059" t="inlineStr">
        <is>
          <t>{05/25/2026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t>
        </is>
      </c>
      <c r="AG1059" t="inlineStr">
        <is>
          <t>{05/25/2026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t>
        </is>
      </c>
      <c r="AH1059" t="inlineStr">
        <is>
          <t>{05/25/2026 cell nokia}: 25/05/2026 ;Expedition ce jour  de la FO de DOUALA pour KUMBA ||ETD :demain 26/05/2026 
23/05/2026 : Access issue 
22/05/2026 : Commande de la fibre effectuee 
21/05/2026 : Check breaker and  interconnection (sfp, optical fiber) between system and radio module, swap its if needed||Feedback FME . Cde de la FO</t>
        </is>
      </c>
      <c r="AI1059" t="inlineStr"/>
      <c r="AJ1059" t="inlineStr"/>
      <c r="AK1059" t="inlineStr"/>
      <c r="AL1059" t="inlineStr"/>
      <c r="AM1059" t="inlineStr"/>
      <c r="AN1059" t="inlineStr"/>
      <c r="AO1059" t="inlineStr"/>
      <c r="AP1059" t="inlineStr"/>
      <c r="AQ1059" t="inlineStr"/>
      <c r="AR1059" t="inlineStr"/>
    </row>
    <row r="1060">
      <c r="A1060" t="inlineStr">
        <is>
          <t>Belo</t>
        </is>
      </c>
      <c r="B1060" t="inlineStr">
        <is>
          <t>NRO_032</t>
        </is>
      </c>
      <c r="C1060" t="inlineStr">
        <is>
          <t>NORD-OUEST</t>
        </is>
      </c>
      <c r="D1060" t="inlineStr">
        <is>
          <t>IHS</t>
        </is>
      </c>
      <c r="E1060" t="inlineStr">
        <is>
          <t>Grid-Gen</t>
        </is>
      </c>
      <c r="F1060" t="inlineStr">
        <is>
          <t>NORD-OUEST</t>
        </is>
      </c>
      <c r="G1060" t="inlineStr">
        <is>
          <t>Belo</t>
        </is>
      </c>
      <c r="H1060" t="inlineStr">
        <is>
          <t>NOKIA</t>
        </is>
      </c>
      <c r="I1060" t="n">
        <v>1.194557875542543</v>
      </c>
      <c r="J1060" t="n">
        <v>6.086184805654718</v>
      </c>
      <c r="K1060" t="n">
        <v>0.8687823349969895</v>
      </c>
      <c r="L1060" t="n">
        <v>4.949252068155682</v>
      </c>
      <c r="M1060" t="n">
        <v>0.6762883347173354</v>
      </c>
      <c r="N1060" t="n">
        <v>0</v>
      </c>
      <c r="O1060" t="n">
        <v>0</v>
      </c>
      <c r="P1060" t="n">
        <v>0</v>
      </c>
      <c r="Q1060" t="n">
        <v>0</v>
      </c>
      <c r="R1060" t="inlineStr">
        <is>
          <t>Insecurity</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row>
    <row r="1061">
      <c r="A1061" t="inlineStr">
        <is>
          <t>Djarengol-Delegue-IHS</t>
        </is>
      </c>
      <c r="B1061" t="inlineStr">
        <is>
          <t>EXN_101</t>
        </is>
      </c>
      <c r="C1061" t="inlineStr">
        <is>
          <t>Maroua</t>
        </is>
      </c>
      <c r="D1061" t="inlineStr">
        <is>
          <t>IHS</t>
        </is>
      </c>
      <c r="E1061" t="inlineStr">
        <is>
          <t>Grid-Gen</t>
        </is>
      </c>
      <c r="F1061" t="inlineStr">
        <is>
          <t>EXTREME-NORD</t>
        </is>
      </c>
      <c r="G1061" t="inlineStr">
        <is>
          <t>Maroua</t>
        </is>
      </c>
      <c r="H1061" t="inlineStr">
        <is>
          <t>Huawei</t>
        </is>
      </c>
      <c r="I1061" t="n">
        <v>0</v>
      </c>
      <c r="J1061" t="n">
        <v>0</v>
      </c>
      <c r="K1061" t="n">
        <v>0</v>
      </c>
      <c r="L1061" t="n">
        <v>2.294411485219713</v>
      </c>
      <c r="M1061" t="n">
        <v>0.6397442592449911</v>
      </c>
      <c r="N1061" t="n">
        <v>0</v>
      </c>
      <c r="O1061" t="n">
        <v>0</v>
      </c>
      <c r="P1061" t="n">
        <v>0</v>
      </c>
      <c r="Q1061" t="n">
        <v>0</v>
      </c>
      <c r="R1061" t="inlineStr">
        <is>
          <t>Operationnel</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row>
    <row r="1062">
      <c r="A1062" t="inlineStr">
        <is>
          <t>Nkolfoulou-ENIA-MTN</t>
        </is>
      </c>
      <c r="B1062" t="inlineStr">
        <is>
          <t>CTR_837</t>
        </is>
      </c>
      <c r="C1062" t="inlineStr">
        <is>
          <t>Yaounde</t>
        </is>
      </c>
      <c r="D1062" t="inlineStr">
        <is>
          <t>MTN</t>
        </is>
      </c>
      <c r="E1062" t="inlineStr"/>
      <c r="F1062" t="inlineStr">
        <is>
          <t>CENTRE</t>
        </is>
      </c>
      <c r="G1062" t="inlineStr">
        <is>
          <t>Yaounde</t>
        </is>
      </c>
      <c r="H1062" t="inlineStr">
        <is>
          <t>ZTE</t>
        </is>
      </c>
      <c r="I1062" t="n">
        <v>36.98281839895216</v>
      </c>
      <c r="J1062" t="n">
        <v>36.98281839895216</v>
      </c>
      <c r="K1062" t="n">
        <v>36.98281839895216</v>
      </c>
      <c r="L1062" t="n">
        <v>36.8783761803255</v>
      </c>
      <c r="M1062" t="n">
        <v>0.5746818935431321</v>
      </c>
      <c r="N1062" t="n">
        <v>0</v>
      </c>
      <c r="O1062" t="n">
        <v>0</v>
      </c>
      <c r="P1062" t="n">
        <v>0</v>
      </c>
      <c r="Q1062" t="n">
        <v>0</v>
      </c>
      <c r="R1062" t="inlineStr">
        <is>
          <t>Operationnel</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row>
    <row r="1063">
      <c r="A1063" t="inlineStr">
        <is>
          <t>Buca-Voyage</t>
        </is>
      </c>
      <c r="B1063" t="inlineStr">
        <is>
          <t>LIT_616</t>
        </is>
      </c>
      <c r="C1063" t="inlineStr">
        <is>
          <t>Douala</t>
        </is>
      </c>
      <c r="D1063" t="inlineStr">
        <is>
          <t>CAMUSAT</t>
        </is>
      </c>
      <c r="E1063" t="inlineStr">
        <is>
          <t>Good Grid no GE - 8h</t>
        </is>
      </c>
      <c r="F1063" t="inlineStr">
        <is>
          <t>LITTORAL</t>
        </is>
      </c>
      <c r="G1063" t="inlineStr">
        <is>
          <t>Douala</t>
        </is>
      </c>
      <c r="H1063" t="inlineStr">
        <is>
          <t>ZTE</t>
        </is>
      </c>
      <c r="I1063" t="n">
        <v>0</v>
      </c>
      <c r="J1063" t="n">
        <v>0</v>
      </c>
      <c r="K1063" t="n">
        <v>10.79546589504984</v>
      </c>
      <c r="L1063" t="n">
        <v>0.000963094229139379</v>
      </c>
      <c r="M1063" t="n">
        <v>0.5415443180294093</v>
      </c>
      <c r="N1063" t="n">
        <v>0</v>
      </c>
      <c r="O1063" t="n">
        <v>0</v>
      </c>
      <c r="P1063" t="n">
        <v>0</v>
      </c>
      <c r="Q1063" t="n">
        <v>0</v>
      </c>
      <c r="R1063" t="inlineStr">
        <is>
          <t>Operationnel</t>
        </is>
      </c>
      <c r="S1063" t="inlineStr"/>
      <c r="T1063" t="inlineStr"/>
      <c r="U1063" t="inlineStr"/>
      <c r="V1063" t="inlineStr"/>
      <c r="W1063" t="inlineStr"/>
      <c r="X1063" t="inlineStr">
        <is>
          <t>{05-25-2026 retour CAMUSAT}: Grid outage Grid only site     ;    {05-25-2026 ticket}: INC-20260525-00027695..Grid outage, Grid only site / Grid return awaiting..user:OCM_NOC.CAMUSAT</t>
        </is>
      </c>
      <c r="Y1063" t="inlineStr">
        <is>
          <t>Grid outage Grid only site .Grid outage, Grid only site / Grid return awaiting.user OCM_NOC.CAMUSAT</t>
        </is>
      </c>
      <c r="Z1063" t="inlineStr"/>
      <c r="AA1063" t="inlineStr"/>
      <c r="AB1063" t="inlineStr"/>
      <c r="AC1063" t="inlineStr">
        <is>
          <t>{05-25-2026 retour CAMUSAT}: Grid outage Grid only site</t>
        </is>
      </c>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is>
          <t>{05-25-2026 ticket}: INC-20260525-00027695..Grid outage, Grid only site / Grid return awaiting..user:OCM_NOC.CAMUSAT</t>
        </is>
      </c>
      <c r="AR1063" t="inlineStr"/>
    </row>
    <row r="1064">
      <c r="A1064" t="inlineStr">
        <is>
          <t>Etoudi-II-IHS</t>
        </is>
      </c>
      <c r="B1064" t="inlineStr">
        <is>
          <t>CTR_633</t>
        </is>
      </c>
      <c r="C1064" t="inlineStr">
        <is>
          <t>Yaounde</t>
        </is>
      </c>
      <c r="D1064" t="inlineStr">
        <is>
          <t>IHS</t>
        </is>
      </c>
      <c r="E1064" t="inlineStr">
        <is>
          <t>Grid-Gen</t>
        </is>
      </c>
      <c r="F1064" t="inlineStr">
        <is>
          <t>CENTRE</t>
        </is>
      </c>
      <c r="G1064" t="inlineStr">
        <is>
          <t>Yaounde</t>
        </is>
      </c>
      <c r="H1064" t="inlineStr">
        <is>
          <t>ZTE</t>
        </is>
      </c>
      <c r="I1064" t="n">
        <v>0.5857396420999162</v>
      </c>
      <c r="J1064" t="n">
        <v>0.6736487431263606</v>
      </c>
      <c r="K1064" t="n">
        <v>0.7777342601866832</v>
      </c>
      <c r="L1064" t="n">
        <v>1.139055111818807</v>
      </c>
      <c r="M1064" t="n">
        <v>0.5234952187722045</v>
      </c>
      <c r="N1064" t="n">
        <v>0</v>
      </c>
      <c r="O1064" t="n">
        <v>0</v>
      </c>
      <c r="P1064" t="n">
        <v>0</v>
      </c>
      <c r="Q1064" t="n">
        <v>0</v>
      </c>
      <c r="R1064" t="inlineStr">
        <is>
          <t>Operationnel</t>
        </is>
      </c>
      <c r="S1064" t="inlineStr"/>
      <c r="T1064" t="inlineStr"/>
      <c r="U1064" t="inlineStr"/>
      <c r="V1064" t="inlineStr"/>
      <c r="W1064" t="inlineStr"/>
      <c r="X1064" t="inlineStr">
        <is>
          <t>{05-25-2026 retour IHS}: IHS</t>
        </is>
      </c>
      <c r="Y1064" t="inlineStr">
        <is>
          <t>IHS</t>
        </is>
      </c>
      <c r="Z1064" t="inlineStr">
        <is>
          <t>CTR_633</t>
        </is>
      </c>
      <c r="AA1064" t="inlineStr"/>
      <c r="AB1064" t="inlineStr"/>
      <c r="AC1064" t="inlineStr"/>
      <c r="AD1064" t="inlineStr">
        <is>
          <t>{05-25-2026 retour IHS}: IHS</t>
        </is>
      </c>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row>
    <row r="1065">
      <c r="A1065" t="inlineStr">
        <is>
          <t>Gra-Yelwa-II</t>
        </is>
      </c>
      <c r="B1065" t="inlineStr">
        <is>
          <t>NRD_072</t>
        </is>
      </c>
      <c r="C1065" t="inlineStr">
        <is>
          <t>Garoua</t>
        </is>
      </c>
      <c r="D1065" t="inlineStr">
        <is>
          <t>IHS</t>
        </is>
      </c>
      <c r="E1065" t="inlineStr">
        <is>
          <t>Grid-Gen</t>
        </is>
      </c>
      <c r="F1065" t="inlineStr">
        <is>
          <t>NORD</t>
        </is>
      </c>
      <c r="G1065" t="inlineStr">
        <is>
          <t>Garoua</t>
        </is>
      </c>
      <c r="H1065" t="inlineStr">
        <is>
          <t>Huawei</t>
        </is>
      </c>
      <c r="I1065" t="n">
        <v>0</v>
      </c>
      <c r="J1065" t="n">
        <v>0</v>
      </c>
      <c r="K1065" t="n">
        <v>0</v>
      </c>
      <c r="L1065" t="n">
        <v>0</v>
      </c>
      <c r="M1065" t="n">
        <v>0.5148273707099503</v>
      </c>
      <c r="N1065" t="n">
        <v>0</v>
      </c>
      <c r="O1065" t="n">
        <v>0</v>
      </c>
      <c r="P1065" t="n">
        <v>0</v>
      </c>
      <c r="Q1065" t="n">
        <v>0</v>
      </c>
      <c r="R1065" t="inlineStr">
        <is>
          <t>Operationnel</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row>
    <row r="1066">
      <c r="A1066" t="inlineStr">
        <is>
          <t>Marche-Odza-IHS</t>
        </is>
      </c>
      <c r="B1066" t="inlineStr">
        <is>
          <t>CTR_479</t>
        </is>
      </c>
      <c r="C1066" t="inlineStr">
        <is>
          <t>Yaounde</t>
        </is>
      </c>
      <c r="D1066" t="inlineStr">
        <is>
          <t>IHS</t>
        </is>
      </c>
      <c r="E1066" t="inlineStr">
        <is>
          <t>Grid-Gen</t>
        </is>
      </c>
      <c r="F1066" t="inlineStr">
        <is>
          <t>CENTRE</t>
        </is>
      </c>
      <c r="G1066" t="inlineStr">
        <is>
          <t>Yaounde</t>
        </is>
      </c>
      <c r="H1066" t="inlineStr">
        <is>
          <t>ZTE</t>
        </is>
      </c>
      <c r="I1066" t="n">
        <v>0</v>
      </c>
      <c r="J1066" t="n">
        <v>3.450302910970143</v>
      </c>
      <c r="K1066" t="n">
        <v>0.1037823207289268</v>
      </c>
      <c r="L1066" t="n">
        <v>0.2028383457037441</v>
      </c>
      <c r="M1066" t="n">
        <v>0.512526645607006</v>
      </c>
      <c r="N1066" t="n">
        <v>0</v>
      </c>
      <c r="O1066" t="n">
        <v>0</v>
      </c>
      <c r="P1066" t="n">
        <v>0</v>
      </c>
      <c r="Q1066" t="n">
        <v>0</v>
      </c>
      <c r="R1066" t="inlineStr">
        <is>
          <t>Operationnel</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row>
    <row r="1067">
      <c r="A1067" t="inlineStr">
        <is>
          <t>Limbe-Mokindi-MTN-IHS</t>
        </is>
      </c>
      <c r="B1067" t="inlineStr">
        <is>
          <t>SUO_154</t>
        </is>
      </c>
      <c r="C1067" t="inlineStr">
        <is>
          <t>SUD-OUEST</t>
        </is>
      </c>
      <c r="D1067" t="inlineStr">
        <is>
          <t>IHS</t>
        </is>
      </c>
      <c r="E1067" t="inlineStr">
        <is>
          <t>Grid-Gen</t>
        </is>
      </c>
      <c r="F1067" t="inlineStr">
        <is>
          <t>SUD-OUEST</t>
        </is>
      </c>
      <c r="G1067" t="inlineStr">
        <is>
          <t>Limbe</t>
        </is>
      </c>
      <c r="H1067" t="inlineStr">
        <is>
          <t>Huawei</t>
        </is>
      </c>
      <c r="I1067" t="n">
        <v>0</v>
      </c>
      <c r="J1067" t="n">
        <v>0</v>
      </c>
      <c r="K1067" t="n">
        <v>0</v>
      </c>
      <c r="L1067" t="n">
        <v>0</v>
      </c>
      <c r="M1067" t="n">
        <v>0.5070512765635656</v>
      </c>
      <c r="N1067" t="n">
        <v>0</v>
      </c>
      <c r="O1067" t="n">
        <v>0</v>
      </c>
      <c r="P1067" t="n">
        <v>0</v>
      </c>
      <c r="Q1067" t="n">
        <v>0</v>
      </c>
      <c r="R1067" t="inlineStr">
        <is>
          <t>Operationnel</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row>
    <row r="1068">
      <c r="A1068" t="inlineStr">
        <is>
          <t>Ngd-Troua-Mala-II</t>
        </is>
      </c>
      <c r="B1068" t="inlineStr">
        <is>
          <t>ADM_074</t>
        </is>
      </c>
      <c r="C1068" t="inlineStr">
        <is>
          <t>Ngaoundere</t>
        </is>
      </c>
      <c r="D1068" t="inlineStr">
        <is>
          <t>IHS</t>
        </is>
      </c>
      <c r="E1068" t="inlineStr">
        <is>
          <t>Grid-Gen</t>
        </is>
      </c>
      <c r="F1068" t="inlineStr">
        <is>
          <t>ADAMAOUA</t>
        </is>
      </c>
      <c r="G1068" t="inlineStr">
        <is>
          <t>Ngaoundere</t>
        </is>
      </c>
      <c r="H1068" t="inlineStr">
        <is>
          <t>Huawei</t>
        </is>
      </c>
      <c r="I1068" t="n">
        <v>0</v>
      </c>
      <c r="J1068" t="n">
        <v>0</v>
      </c>
      <c r="K1068" t="n">
        <v>0</v>
      </c>
      <c r="L1068" t="n">
        <v>0.1640827205200423</v>
      </c>
      <c r="M1068" t="n">
        <v>0.4374944711257217</v>
      </c>
      <c r="N1068" t="n">
        <v>0</v>
      </c>
      <c r="O1068" t="n">
        <v>0</v>
      </c>
      <c r="P1068" t="n">
        <v>0</v>
      </c>
      <c r="Q1068" t="n">
        <v>0</v>
      </c>
      <c r="R1068" t="inlineStr">
        <is>
          <t>Operationnel</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row>
    <row r="1069">
      <c r="A1069" t="inlineStr">
        <is>
          <t>Limbe-Issokolo-IHS</t>
        </is>
      </c>
      <c r="B1069" t="inlineStr">
        <is>
          <t>SUO_191</t>
        </is>
      </c>
      <c r="C1069" t="inlineStr">
        <is>
          <t>SUD-OUEST</t>
        </is>
      </c>
      <c r="D1069" t="inlineStr">
        <is>
          <t>IHS</t>
        </is>
      </c>
      <c r="E1069" t="inlineStr"/>
      <c r="F1069" t="inlineStr">
        <is>
          <t>SUD-OUEST</t>
        </is>
      </c>
      <c r="G1069" t="inlineStr">
        <is>
          <t>Limbe</t>
        </is>
      </c>
      <c r="H1069" t="inlineStr">
        <is>
          <t>Huawei</t>
        </is>
      </c>
      <c r="I1069" t="n">
        <v>0</v>
      </c>
      <c r="J1069" t="n">
        <v>0</v>
      </c>
      <c r="K1069" t="n">
        <v>0</v>
      </c>
      <c r="L1069" t="n">
        <v>0</v>
      </c>
      <c r="M1069" t="n">
        <v>0.4221563037727611</v>
      </c>
      <c r="N1069" t="n">
        <v>0</v>
      </c>
      <c r="O1069" t="n">
        <v>0</v>
      </c>
      <c r="P1069" t="n">
        <v>0</v>
      </c>
      <c r="Q1069" t="n">
        <v>0</v>
      </c>
      <c r="R1069" t="inlineStr">
        <is>
          <t>Operationnel</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row>
    <row r="1070">
      <c r="A1070" t="inlineStr">
        <is>
          <t>Boubara-IHS</t>
        </is>
      </c>
      <c r="B1070" t="inlineStr">
        <is>
          <t>EST_096</t>
        </is>
      </c>
      <c r="C1070" t="inlineStr">
        <is>
          <t>CENTRE</t>
        </is>
      </c>
      <c r="D1070" t="inlineStr">
        <is>
          <t>IHS</t>
        </is>
      </c>
      <c r="E1070" t="inlineStr">
        <is>
          <t>Hybrid-Gen</t>
        </is>
      </c>
      <c r="F1070" t="inlineStr">
        <is>
          <t>EST</t>
        </is>
      </c>
      <c r="G1070" t="inlineStr">
        <is>
          <t>Boubara</t>
        </is>
      </c>
      <c r="H1070" t="inlineStr">
        <is>
          <t>NOKIA</t>
        </is>
      </c>
      <c r="I1070" t="n">
        <v>0.01391136108756893</v>
      </c>
      <c r="J1070" t="n">
        <v>2.222001067251087</v>
      </c>
      <c r="K1070" t="n">
        <v>0</v>
      </c>
      <c r="L1070" t="n">
        <v>0.1295005036626118</v>
      </c>
      <c r="M1070" t="n">
        <v>0.418410937326108</v>
      </c>
      <c r="N1070" t="n">
        <v>0</v>
      </c>
      <c r="O1070" t="n">
        <v>0</v>
      </c>
      <c r="P1070" t="n">
        <v>0</v>
      </c>
      <c r="Q1070" t="n">
        <v>0</v>
      </c>
      <c r="R1070" t="inlineStr">
        <is>
          <t>Operationnel</t>
        </is>
      </c>
      <c r="S1070" t="inlineStr"/>
      <c r="T1070" t="inlineStr"/>
      <c r="U1070" t="inlineStr"/>
      <c r="V1070" t="inlineStr"/>
      <c r="W1070" t="inlineStr"/>
      <c r="X1070" t="inlineStr">
        <is>
          <t xml:space="preserve">{05/25/2026 cell nokia}: 25/05/2026 : Need BO RAN analysis      ;    {05/25/2026 cell nokia}: 25/05/2026 : Need BO RAN analysis||Not found      ;    {05/25/2026 cell nokia}: 25/05/2026 : Need BO RAN analysis||Not found </t>
        </is>
      </c>
      <c r="Y1070" t="inlineStr">
        <is>
          <t>25/05/2026 Need BO RAN analysis 25/05/2026 Need BO RAN analysis || Not found 25/05/2026 Need BO RAN analysis || Not found</t>
        </is>
      </c>
      <c r="Z1070" t="inlineStr"/>
      <c r="AA1070" t="inlineStr"/>
      <c r="AB1070" t="inlineStr"/>
      <c r="AC1070" t="inlineStr"/>
      <c r="AD1070" t="inlineStr"/>
      <c r="AE1070" t="inlineStr"/>
      <c r="AF1070" t="inlineStr">
        <is>
          <t xml:space="preserve">{05/25/2026 cell nokia}: 25/05/2026 : Need BO RAN analysis </t>
        </is>
      </c>
      <c r="AG1070" t="inlineStr">
        <is>
          <t xml:space="preserve">{05/25/2026 cell nokia}: 25/05/2026 : Need BO RAN analysis||Not found </t>
        </is>
      </c>
      <c r="AH1070" t="inlineStr">
        <is>
          <t xml:space="preserve">{05/25/2026 cell nokia}: 25/05/2026 : Need BO RAN analysis||Not found </t>
        </is>
      </c>
      <c r="AI1070" t="inlineStr"/>
      <c r="AJ1070" t="inlineStr"/>
      <c r="AK1070" t="inlineStr"/>
      <c r="AL1070" t="inlineStr"/>
      <c r="AM1070" t="inlineStr"/>
      <c r="AN1070" t="inlineStr"/>
      <c r="AO1070" t="inlineStr"/>
      <c r="AP1070" t="inlineStr"/>
      <c r="AQ1070" t="inlineStr"/>
      <c r="AR1070" t="inlineStr"/>
    </row>
    <row r="1071">
      <c r="A1071" t="inlineStr">
        <is>
          <t>EXN_356_H_Maroua-Kongola-Djiddeo</t>
        </is>
      </c>
      <c r="B1071" t="inlineStr">
        <is>
          <t>EXN_356</t>
        </is>
      </c>
      <c r="C1071" t="inlineStr"/>
      <c r="D1071" t="inlineStr">
        <is>
          <t>ESCO</t>
        </is>
      </c>
      <c r="E1071" t="inlineStr">
        <is>
          <t>Hybrid Solar - S3</t>
        </is>
      </c>
      <c r="F1071" t="inlineStr">
        <is>
          <t>EXN</t>
        </is>
      </c>
      <c r="G1071" t="inlineStr">
        <is>
          <t>Maroua</t>
        </is>
      </c>
      <c r="H1071" t="inlineStr">
        <is>
          <t>Huawei</t>
        </is>
      </c>
      <c r="I1071" t="n">
        <v>0</v>
      </c>
      <c r="J1071" t="n">
        <v>0</v>
      </c>
      <c r="K1071" t="n">
        <v>0</v>
      </c>
      <c r="L1071" t="n">
        <v>0</v>
      </c>
      <c r="M1071" t="n">
        <v>0.4067289610282136</v>
      </c>
      <c r="N1071" t="n">
        <v>0</v>
      </c>
      <c r="O1071" t="n">
        <v>0</v>
      </c>
      <c r="P1071" t="n">
        <v>0</v>
      </c>
      <c r="Q1071" t="n">
        <v>0</v>
      </c>
      <c r="R1071" t="inlineStr">
        <is>
          <t>Operationnel</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row>
    <row r="1072">
      <c r="A1072" t="inlineStr">
        <is>
          <t>Nyalla-Crf-Mpome</t>
        </is>
      </c>
      <c r="B1072" t="inlineStr">
        <is>
          <t>LIT_445</t>
        </is>
      </c>
      <c r="C1072" t="inlineStr">
        <is>
          <t>Douala</t>
        </is>
      </c>
      <c r="D1072" t="inlineStr">
        <is>
          <t>IHS</t>
        </is>
      </c>
      <c r="E1072" t="inlineStr">
        <is>
          <t>Grid-Gen</t>
        </is>
      </c>
      <c r="F1072" t="inlineStr">
        <is>
          <t>LITTORAL</t>
        </is>
      </c>
      <c r="G1072" t="inlineStr">
        <is>
          <t>Douala</t>
        </is>
      </c>
      <c r="H1072" t="inlineStr">
        <is>
          <t>ZTE</t>
        </is>
      </c>
      <c r="I1072" t="n">
        <v>2.866756983503267</v>
      </c>
      <c r="J1072" t="n">
        <v>13.56750077760942</v>
      </c>
      <c r="K1072" t="n">
        <v>0</v>
      </c>
      <c r="L1072" t="n">
        <v>0.6163624715708851</v>
      </c>
      <c r="M1072" t="n">
        <v>0.3771940713346059</v>
      </c>
      <c r="N1072" t="n">
        <v>0</v>
      </c>
      <c r="O1072" t="n">
        <v>0</v>
      </c>
      <c r="P1072" t="n">
        <v>0</v>
      </c>
      <c r="Q1072" t="n">
        <v>0</v>
      </c>
      <c r="R1072" t="inlineStr">
        <is>
          <t>Operationnel</t>
        </is>
      </c>
      <c r="S1072" t="inlineStr"/>
      <c r="T1072" t="inlineStr"/>
      <c r="U1072" t="inlineStr"/>
      <c r="V1072" t="inlineStr"/>
      <c r="W1072" t="inlineStr"/>
      <c r="X1072" t="inlineStr">
        <is>
          <t>{05-25-2026 retour IHS}: IHS</t>
        </is>
      </c>
      <c r="Y1072" t="inlineStr">
        <is>
          <t>IHS</t>
        </is>
      </c>
      <c r="Z1072" t="inlineStr"/>
      <c r="AA1072" t="inlineStr"/>
      <c r="AB1072" t="inlineStr"/>
      <c r="AC1072" t="inlineStr"/>
      <c r="AD1072" t="inlineStr">
        <is>
          <t>{05-25-2026 retour IHS}: IHS</t>
        </is>
      </c>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row>
    <row r="1073">
      <c r="A1073" t="inlineStr">
        <is>
          <t>PK15</t>
        </is>
      </c>
      <c r="B1073" t="inlineStr">
        <is>
          <t>LIT_271</t>
        </is>
      </c>
      <c r="C1073" t="inlineStr">
        <is>
          <t>Douala</t>
        </is>
      </c>
      <c r="D1073" t="inlineStr">
        <is>
          <t>IHS</t>
        </is>
      </c>
      <c r="E1073" t="inlineStr">
        <is>
          <t>Grid-Gen</t>
        </is>
      </c>
      <c r="F1073" t="inlineStr">
        <is>
          <t>LITTORAL</t>
        </is>
      </c>
      <c r="G1073" t="inlineStr">
        <is>
          <t>Douala</t>
        </is>
      </c>
      <c r="H1073" t="inlineStr">
        <is>
          <t>ZTE</t>
        </is>
      </c>
      <c r="I1073" t="n">
        <v>0</v>
      </c>
      <c r="J1073" t="n">
        <v>0.2333898348614426</v>
      </c>
      <c r="K1073" t="n">
        <v>0</v>
      </c>
      <c r="L1073" t="n">
        <v>0</v>
      </c>
      <c r="M1073" t="n">
        <v>0.3707556080620267</v>
      </c>
      <c r="N1073" t="n">
        <v>0</v>
      </c>
      <c r="O1073" t="n">
        <v>0</v>
      </c>
      <c r="P1073" t="n">
        <v>0</v>
      </c>
      <c r="Q1073" t="n">
        <v>0</v>
      </c>
      <c r="R1073" t="inlineStr">
        <is>
          <t>Operationnel</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row>
    <row r="1074">
      <c r="A1074" t="inlineStr">
        <is>
          <t>Bambui-Round-About-IHS</t>
        </is>
      </c>
      <c r="B1074" t="inlineStr">
        <is>
          <t>NRO_067</t>
        </is>
      </c>
      <c r="C1074" t="inlineStr">
        <is>
          <t>NORD-OUEST</t>
        </is>
      </c>
      <c r="D1074" t="inlineStr">
        <is>
          <t>IHS</t>
        </is>
      </c>
      <c r="E1074" t="inlineStr">
        <is>
          <t>Hybrid-Gen</t>
        </is>
      </c>
      <c r="F1074" t="inlineStr">
        <is>
          <t>NORD-OUEST</t>
        </is>
      </c>
      <c r="G1074" t="inlineStr">
        <is>
          <t>Bamenda</t>
        </is>
      </c>
      <c r="H1074" t="inlineStr">
        <is>
          <t>Huawei</t>
        </is>
      </c>
      <c r="I1074" t="n">
        <v>2.665416784378184</v>
      </c>
      <c r="J1074" t="n">
        <v>4.744487533993659</v>
      </c>
      <c r="K1074" t="n">
        <v>3.704880818872653</v>
      </c>
      <c r="L1074" t="n">
        <v>0</v>
      </c>
      <c r="M1074" t="n">
        <v>0.3581283726133098</v>
      </c>
      <c r="N1074" t="n">
        <v>0</v>
      </c>
      <c r="O1074" t="n">
        <v>0</v>
      </c>
      <c r="P1074" t="n">
        <v>0</v>
      </c>
      <c r="Q1074" t="n">
        <v>0</v>
      </c>
      <c r="R1074" t="inlineStr">
        <is>
          <t>Insecurity</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row>
    <row r="1075">
      <c r="A1075" t="inlineStr">
        <is>
          <t>Kongola-IHS</t>
        </is>
      </c>
      <c r="B1075" t="inlineStr">
        <is>
          <t>EXN_113</t>
        </is>
      </c>
      <c r="C1075" t="inlineStr">
        <is>
          <t>Maroua</t>
        </is>
      </c>
      <c r="D1075" t="inlineStr">
        <is>
          <t>IHS</t>
        </is>
      </c>
      <c r="E1075" t="inlineStr">
        <is>
          <t>Grid-Gen</t>
        </is>
      </c>
      <c r="F1075" t="inlineStr">
        <is>
          <t>EXTREME-NORD</t>
        </is>
      </c>
      <c r="G1075" t="inlineStr">
        <is>
          <t>Maroua</t>
        </is>
      </c>
      <c r="H1075" t="inlineStr">
        <is>
          <t>Huawei</t>
        </is>
      </c>
      <c r="I1075" t="n">
        <v>0</v>
      </c>
      <c r="J1075" t="n">
        <v>0</v>
      </c>
      <c r="K1075" t="n">
        <v>0</v>
      </c>
      <c r="L1075" t="n">
        <v>0.5250468705858181</v>
      </c>
      <c r="M1075" t="n">
        <v>0.3283437918232586</v>
      </c>
      <c r="N1075" t="n">
        <v>0</v>
      </c>
      <c r="O1075" t="n">
        <v>0</v>
      </c>
      <c r="P1075" t="n">
        <v>0</v>
      </c>
      <c r="Q1075" t="n">
        <v>0</v>
      </c>
      <c r="R1075" t="inlineStr">
        <is>
          <t>Operationnel</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row>
    <row r="1076">
      <c r="A1076" t="inlineStr">
        <is>
          <t>KRIBI-NDOMBE-II</t>
        </is>
      </c>
      <c r="B1076" t="inlineStr">
        <is>
          <t>SUD_096</t>
        </is>
      </c>
      <c r="C1076" t="inlineStr">
        <is>
          <t>LITTORAL</t>
        </is>
      </c>
      <c r="D1076" t="inlineStr">
        <is>
          <t>CAMUSAT</t>
        </is>
      </c>
      <c r="E1076" t="inlineStr">
        <is>
          <t>Good Grid + Solar + GE</t>
        </is>
      </c>
      <c r="F1076" t="inlineStr">
        <is>
          <t>SUD</t>
        </is>
      </c>
      <c r="G1076" t="inlineStr">
        <is>
          <t>Kribi</t>
        </is>
      </c>
      <c r="H1076" t="inlineStr">
        <is>
          <t>ZTE</t>
        </is>
      </c>
      <c r="I1076" t="n">
        <v>0</v>
      </c>
      <c r="J1076" t="n">
        <v>0</v>
      </c>
      <c r="K1076" t="n">
        <v>4.290566955737617</v>
      </c>
      <c r="L1076" t="n">
        <v>0</v>
      </c>
      <c r="M1076" t="n">
        <v>0.3164477945855553</v>
      </c>
      <c r="N1076" t="n">
        <v>0</v>
      </c>
      <c r="O1076" t="n">
        <v>0</v>
      </c>
      <c r="P1076" t="n">
        <v>0</v>
      </c>
      <c r="Q1076" t="n">
        <v>0</v>
      </c>
      <c r="R1076" t="inlineStr">
        <is>
          <t>Operationnel</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row>
    <row r="1077">
      <c r="A1077" t="inlineStr">
        <is>
          <t>PK15-Auberge</t>
        </is>
      </c>
      <c r="B1077" t="inlineStr">
        <is>
          <t>LIT_728</t>
        </is>
      </c>
      <c r="C1077" t="inlineStr">
        <is>
          <t>Douala</t>
        </is>
      </c>
      <c r="D1077" t="inlineStr">
        <is>
          <t>CAMUSAT</t>
        </is>
      </c>
      <c r="E1077" t="inlineStr">
        <is>
          <t>Good Grid no GE - 8h</t>
        </is>
      </c>
      <c r="F1077" t="inlineStr">
        <is>
          <t>LITTORAL</t>
        </is>
      </c>
      <c r="G1077" t="inlineStr">
        <is>
          <t>Douala</t>
        </is>
      </c>
      <c r="H1077" t="inlineStr">
        <is>
          <t>ZTE</t>
        </is>
      </c>
      <c r="I1077" t="n">
        <v>42.74012436043409</v>
      </c>
      <c r="J1077" t="n">
        <v>0.1958826651599599</v>
      </c>
      <c r="K1077" t="n">
        <v>0</v>
      </c>
      <c r="L1077" t="n">
        <v>0</v>
      </c>
      <c r="M1077" t="n">
        <v>0.2993974597141257</v>
      </c>
      <c r="N1077" t="n">
        <v>0</v>
      </c>
      <c r="O1077" t="n">
        <v>0</v>
      </c>
      <c r="P1077" t="n">
        <v>0</v>
      </c>
      <c r="Q1077" t="n">
        <v>0</v>
      </c>
      <c r="R1077" t="inlineStr">
        <is>
          <t>Operationnel</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row>
    <row r="1078">
      <c r="A1078" t="inlineStr">
        <is>
          <t>Limbe-Legend-Inn</t>
        </is>
      </c>
      <c r="B1078" t="inlineStr">
        <is>
          <t>SUO_233</t>
        </is>
      </c>
      <c r="C1078" t="inlineStr">
        <is>
          <t>SUD-OUEST</t>
        </is>
      </c>
      <c r="D1078" t="inlineStr">
        <is>
          <t>ESCO</t>
        </is>
      </c>
      <c r="E1078" t="inlineStr">
        <is>
          <t>Good Grid + GE</t>
        </is>
      </c>
      <c r="F1078" t="inlineStr">
        <is>
          <t>SUD-OUEST</t>
        </is>
      </c>
      <c r="G1078" t="inlineStr">
        <is>
          <t>Limbe</t>
        </is>
      </c>
      <c r="H1078" t="inlineStr">
        <is>
          <t>Huawei</t>
        </is>
      </c>
      <c r="I1078" t="n">
        <v>0</v>
      </c>
      <c r="J1078" t="n">
        <v>0</v>
      </c>
      <c r="K1078" t="n">
        <v>0</v>
      </c>
      <c r="L1078" t="n">
        <v>0.1301068963254031</v>
      </c>
      <c r="M1078" t="n">
        <v>0.2867880593437262</v>
      </c>
      <c r="N1078" t="n">
        <v>0</v>
      </c>
      <c r="O1078" t="n">
        <v>0</v>
      </c>
      <c r="P1078" t="n">
        <v>0</v>
      </c>
      <c r="Q1078" t="n">
        <v>0</v>
      </c>
      <c r="R1078" t="inlineStr">
        <is>
          <t>Operationnel</t>
        </is>
      </c>
      <c r="S1078" t="inlineStr"/>
      <c r="T1078" t="inlineStr"/>
      <c r="U1078" t="inlineStr"/>
      <c r="V1078" t="inlineStr"/>
      <c r="W1078" t="inlineStr"/>
      <c r="X1078" t="inlineStr">
        <is>
          <t>{05-25-2026 retour CAMUSAT}: Acess issue     ;    {05/25/2026 cell huawei}: 25/05/2026 : Besoin d'analyse BO RAN     ;    {05/25/2026 cell huawei}: 25/05/2026 : Besoin d'analyse BO RAN || Feedback BO RAN : Site unstable due to transmission</t>
        </is>
      </c>
      <c r="Y1078" t="inlineStr">
        <is>
          <t>Acess issue 25/05/2026 Besoin d'analyse BO RAN 25/05/2026 Besoin d'analyse BO RAN || Feedback BO RAN Site unstable due to transmission</t>
        </is>
      </c>
      <c r="Z1078" t="inlineStr"/>
      <c r="AA1078" t="inlineStr"/>
      <c r="AB1078" t="inlineStr"/>
      <c r="AC1078" t="inlineStr">
        <is>
          <t>{05-25-2026 retour CAMUSAT}: Acess issue</t>
        </is>
      </c>
      <c r="AD1078" t="inlineStr"/>
      <c r="AE1078" t="inlineStr"/>
      <c r="AF1078" t="inlineStr"/>
      <c r="AG1078" t="inlineStr"/>
      <c r="AH1078" t="inlineStr"/>
      <c r="AI1078" t="inlineStr"/>
      <c r="AJ1078" t="inlineStr"/>
      <c r="AK1078" t="inlineStr"/>
      <c r="AL1078" t="inlineStr"/>
      <c r="AM1078" t="inlineStr">
        <is>
          <t>{05/25/2026 cell huawei}: 25/05/2026 : Besoin d'analyse BO RAN</t>
        </is>
      </c>
      <c r="AN1078" t="inlineStr">
        <is>
          <t>{05/25/2026 cell huawei}: 25/05/2026 : Besoin d'analyse BO RAN || Feedback BO RAN : Site unstable due to transmission</t>
        </is>
      </c>
      <c r="AO1078" t="inlineStr"/>
      <c r="AP1078" t="inlineStr"/>
      <c r="AQ1078" t="inlineStr"/>
      <c r="AR1078" t="inlineStr"/>
    </row>
    <row r="1079">
      <c r="A1079" t="inlineStr">
        <is>
          <t>Babylone-IHS</t>
        </is>
      </c>
      <c r="B1079" t="inlineStr">
        <is>
          <t>LIT_153</t>
        </is>
      </c>
      <c r="C1079" t="inlineStr">
        <is>
          <t>Douala</t>
        </is>
      </c>
      <c r="D1079" t="inlineStr">
        <is>
          <t>IHS</t>
        </is>
      </c>
      <c r="E1079" t="inlineStr">
        <is>
          <t>Grid-Gen</t>
        </is>
      </c>
      <c r="F1079" t="inlineStr">
        <is>
          <t>LITTORAL</t>
        </is>
      </c>
      <c r="G1079" t="inlineStr">
        <is>
          <t>Douala</t>
        </is>
      </c>
      <c r="H1079" t="inlineStr">
        <is>
          <t>ZTE</t>
        </is>
      </c>
      <c r="I1079" t="n">
        <v>0</v>
      </c>
      <c r="J1079" t="n">
        <v>0</v>
      </c>
      <c r="K1079" t="n">
        <v>0.08407455918820424</v>
      </c>
      <c r="L1079" t="n">
        <v>0.001070104699043754</v>
      </c>
      <c r="M1079" t="n">
        <v>0.2831318682886597</v>
      </c>
      <c r="N1079" t="n">
        <v>0</v>
      </c>
      <c r="O1079" t="n">
        <v>0</v>
      </c>
      <c r="P1079" t="n">
        <v>0</v>
      </c>
      <c r="Q1079" t="n">
        <v>0</v>
      </c>
      <c r="R1079" t="inlineStr">
        <is>
          <t>Operationnel</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row>
    <row r="1080">
      <c r="A1080" t="inlineStr">
        <is>
          <t>Gamba-MTN</t>
        </is>
      </c>
      <c r="B1080" t="inlineStr">
        <is>
          <t>NRD_059</t>
        </is>
      </c>
      <c r="C1080" t="inlineStr">
        <is>
          <t>NORD</t>
        </is>
      </c>
      <c r="D1080" t="inlineStr">
        <is>
          <t>IHS</t>
        </is>
      </c>
      <c r="E1080" t="inlineStr">
        <is>
          <t>Solar-Gen</t>
        </is>
      </c>
      <c r="F1080" t="inlineStr">
        <is>
          <t>NORD</t>
        </is>
      </c>
      <c r="G1080" t="inlineStr">
        <is>
          <t>Gamba</t>
        </is>
      </c>
      <c r="H1080" t="inlineStr">
        <is>
          <t>NOKIA</t>
        </is>
      </c>
      <c r="I1080" t="n">
        <v>0</v>
      </c>
      <c r="J1080" t="n">
        <v>0</v>
      </c>
      <c r="K1080" t="n">
        <v>4.939474439213728</v>
      </c>
      <c r="L1080" t="n">
        <v>0</v>
      </c>
      <c r="M1080" t="n">
        <v>0.2531369566105962</v>
      </c>
      <c r="N1080" t="n">
        <v>0</v>
      </c>
      <c r="O1080" t="n">
        <v>0</v>
      </c>
      <c r="P1080" t="n">
        <v>0</v>
      </c>
      <c r="Q1080" t="n">
        <v>0</v>
      </c>
      <c r="R1080" t="inlineStr">
        <is>
          <t>Operationnel</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row>
    <row r="1081">
      <c r="A1081" t="inlineStr">
        <is>
          <t>Korek-Djarengol-II</t>
        </is>
      </c>
      <c r="B1081" t="inlineStr">
        <is>
          <t>EXN_235</t>
        </is>
      </c>
      <c r="C1081" t="inlineStr">
        <is>
          <t>Maroua</t>
        </is>
      </c>
      <c r="D1081" t="inlineStr">
        <is>
          <t>CAMUSAT</t>
        </is>
      </c>
      <c r="E1081" t="inlineStr">
        <is>
          <t>Bad Grid + GE</t>
        </is>
      </c>
      <c r="F1081" t="inlineStr">
        <is>
          <t>EXTREME-NORD</t>
        </is>
      </c>
      <c r="G1081" t="inlineStr">
        <is>
          <t>Maroua</t>
        </is>
      </c>
      <c r="H1081" t="inlineStr">
        <is>
          <t>Huawei</t>
        </is>
      </c>
      <c r="I1081" t="n">
        <v>0</v>
      </c>
      <c r="J1081" t="n">
        <v>0</v>
      </c>
      <c r="K1081" t="n">
        <v>0</v>
      </c>
      <c r="L1081" t="n">
        <v>3.052295303239135</v>
      </c>
      <c r="M1081" t="n">
        <v>0.2497267666001775</v>
      </c>
      <c r="N1081" t="n">
        <v>0</v>
      </c>
      <c r="O1081" t="n">
        <v>0</v>
      </c>
      <c r="P1081" t="n">
        <v>0</v>
      </c>
      <c r="Q1081" t="n">
        <v>0</v>
      </c>
      <c r="R1081" t="inlineStr">
        <is>
          <t>Operationnel</t>
        </is>
      </c>
      <c r="S1081" t="inlineStr"/>
      <c r="T1081" t="inlineStr"/>
      <c r="U1081" t="inlineStr"/>
      <c r="V1081" t="inlineStr"/>
      <c r="W1081" t="inlineStr"/>
      <c r="X1081" t="inlineStr">
        <is>
          <t xml:space="preserve">{05-25-2026 retour CAMUSAT}: No power issue </t>
        </is>
      </c>
      <c r="Y1081" t="inlineStr">
        <is>
          <t>No power issue</t>
        </is>
      </c>
      <c r="Z1081" t="inlineStr"/>
      <c r="AA1081" t="inlineStr"/>
      <c r="AB1081" t="inlineStr"/>
      <c r="AC1081" t="inlineStr">
        <is>
          <t xml:space="preserve">{05-25-2026 retour CAMUSAT}: No power issue </t>
        </is>
      </c>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row>
    <row r="1082">
      <c r="A1082" t="inlineStr">
        <is>
          <t>Plateau</t>
        </is>
      </c>
      <c r="B1082" t="inlineStr">
        <is>
          <t>NRD_002</t>
        </is>
      </c>
      <c r="C1082" t="inlineStr">
        <is>
          <t>Garoua</t>
        </is>
      </c>
      <c r="D1082" t="inlineStr">
        <is>
          <t>CAMUSAT</t>
        </is>
      </c>
      <c r="E1082" t="inlineStr">
        <is>
          <t>Good Grid + Solar + GE</t>
        </is>
      </c>
      <c r="F1082" t="inlineStr">
        <is>
          <t>NORD</t>
        </is>
      </c>
      <c r="G1082" t="inlineStr">
        <is>
          <t>Garoua</t>
        </is>
      </c>
      <c r="H1082" t="inlineStr">
        <is>
          <t>Huawei</t>
        </is>
      </c>
      <c r="I1082" t="n">
        <v>0</v>
      </c>
      <c r="J1082" t="n">
        <v>0</v>
      </c>
      <c r="K1082" t="n">
        <v>0</v>
      </c>
      <c r="L1082" t="n">
        <v>0</v>
      </c>
      <c r="M1082" t="n">
        <v>0.2165178507731863</v>
      </c>
      <c r="N1082" t="n">
        <v>0</v>
      </c>
      <c r="O1082" t="n">
        <v>0</v>
      </c>
      <c r="P1082" t="n">
        <v>0</v>
      </c>
      <c r="Q1082" t="n">
        <v>0</v>
      </c>
      <c r="R1082" t="inlineStr">
        <is>
          <t>Operationnel</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row>
    <row r="1083">
      <c r="A1083" t="inlineStr">
        <is>
          <t xml:space="preserve">Bodjongo </t>
        </is>
      </c>
      <c r="B1083" t="inlineStr">
        <is>
          <t>LIT_690</t>
        </is>
      </c>
      <c r="C1083" t="inlineStr">
        <is>
          <t>Douala</t>
        </is>
      </c>
      <c r="D1083" t="inlineStr">
        <is>
          <t>CAMUSAT</t>
        </is>
      </c>
      <c r="E1083" t="inlineStr">
        <is>
          <t>Good Grid + GE</t>
        </is>
      </c>
      <c r="F1083" t="inlineStr">
        <is>
          <t>LITTORAL</t>
        </is>
      </c>
      <c r="G1083" t="inlineStr">
        <is>
          <t>Douala</t>
        </is>
      </c>
      <c r="H1083" t="inlineStr">
        <is>
          <t>ZTE</t>
        </is>
      </c>
      <c r="I1083" t="n">
        <v>0</v>
      </c>
      <c r="J1083" t="n">
        <v>0.4977770358385194</v>
      </c>
      <c r="K1083" t="n">
        <v>0</v>
      </c>
      <c r="L1083" t="n">
        <v>0</v>
      </c>
      <c r="M1083" t="n">
        <v>0.1780297517642463</v>
      </c>
      <c r="N1083" t="n">
        <v>0</v>
      </c>
      <c r="O1083" t="n">
        <v>0</v>
      </c>
      <c r="P1083" t="n">
        <v>0</v>
      </c>
      <c r="Q1083" t="n">
        <v>0</v>
      </c>
      <c r="R1083" t="inlineStr">
        <is>
          <t>Operationnel</t>
        </is>
      </c>
      <c r="S1083" t="inlineStr"/>
      <c r="T1083" t="inlineStr"/>
      <c r="U1083" t="inlineStr"/>
      <c r="V1083" t="inlineStr"/>
      <c r="W1083" t="inlineStr"/>
      <c r="X1083" t="inlineStr">
        <is>
          <t xml:space="preserve">{05-25-2026 retour CAMUSAT}: No power issue </t>
        </is>
      </c>
      <c r="Y1083" t="inlineStr">
        <is>
          <t>No power issue</t>
        </is>
      </c>
      <c r="Z1083" t="inlineStr"/>
      <c r="AA1083" t="inlineStr"/>
      <c r="AB1083" t="inlineStr"/>
      <c r="AC1083" t="inlineStr">
        <is>
          <t xml:space="preserve">{05-25-2026 retour CAMUSAT}: No power issue </t>
        </is>
      </c>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row>
    <row r="1084">
      <c r="A1084" t="inlineStr">
        <is>
          <t>Maroua-Entree</t>
        </is>
      </c>
      <c r="B1084" t="inlineStr">
        <is>
          <t>EXN_250</t>
        </is>
      </c>
      <c r="C1084" t="inlineStr">
        <is>
          <t>Maroua</t>
        </is>
      </c>
      <c r="D1084" t="inlineStr">
        <is>
          <t>CAMUSAT</t>
        </is>
      </c>
      <c r="E1084" t="inlineStr">
        <is>
          <t>Bad Grid + GE</t>
        </is>
      </c>
      <c r="F1084" t="inlineStr">
        <is>
          <t>EXTREME-NORD</t>
        </is>
      </c>
      <c r="G1084" t="inlineStr">
        <is>
          <t>Maroua</t>
        </is>
      </c>
      <c r="H1084" t="inlineStr">
        <is>
          <t>Huawei</t>
        </is>
      </c>
      <c r="I1084" t="n">
        <v>0</v>
      </c>
      <c r="J1084" t="n">
        <v>0</v>
      </c>
      <c r="K1084" t="n">
        <v>0</v>
      </c>
      <c r="L1084" t="n">
        <v>0</v>
      </c>
      <c r="M1084" t="n">
        <v>0.1512414641315173</v>
      </c>
      <c r="N1084" t="n">
        <v>0</v>
      </c>
      <c r="O1084" t="n">
        <v>0</v>
      </c>
      <c r="P1084" t="n">
        <v>0</v>
      </c>
      <c r="Q1084" t="n">
        <v>0</v>
      </c>
      <c r="R1084" t="inlineStr">
        <is>
          <t>Operationnel</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row>
    <row r="1085">
      <c r="A1085" t="inlineStr">
        <is>
          <t>Ngd-Mbideng-IHS</t>
        </is>
      </c>
      <c r="B1085" t="inlineStr">
        <is>
          <t>ADM_157</t>
        </is>
      </c>
      <c r="C1085" t="inlineStr">
        <is>
          <t>Ngaoundere</t>
        </is>
      </c>
      <c r="D1085" t="inlineStr">
        <is>
          <t>IHS</t>
        </is>
      </c>
      <c r="E1085" t="inlineStr">
        <is>
          <t>Grid-Gen</t>
        </is>
      </c>
      <c r="F1085" t="inlineStr">
        <is>
          <t>ADAMAOUA</t>
        </is>
      </c>
      <c r="G1085" t="inlineStr">
        <is>
          <t>Ngaoundere</t>
        </is>
      </c>
      <c r="H1085" t="inlineStr">
        <is>
          <t>Huawei</t>
        </is>
      </c>
      <c r="I1085" t="n">
        <v>1.36991236555918</v>
      </c>
      <c r="J1085" t="n">
        <v>3.26697614094563</v>
      </c>
      <c r="K1085" t="n">
        <v>0</v>
      </c>
      <c r="L1085" t="n">
        <v>12.20117326279203</v>
      </c>
      <c r="M1085" t="n">
        <v>0.1160171844546604</v>
      </c>
      <c r="N1085" t="n">
        <v>0</v>
      </c>
      <c r="O1085" t="n">
        <v>0</v>
      </c>
      <c r="P1085" t="n">
        <v>0</v>
      </c>
      <c r="Q1085" t="n">
        <v>0</v>
      </c>
      <c r="R1085" t="inlineStr">
        <is>
          <t>Operationnel</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row>
    <row r="1086">
      <c r="A1086" t="inlineStr">
        <is>
          <t>Kribi-Gd-Batanga-II</t>
        </is>
      </c>
      <c r="B1086" t="inlineStr">
        <is>
          <t>SUD_094</t>
        </is>
      </c>
      <c r="C1086" t="inlineStr">
        <is>
          <t>LITTORAL</t>
        </is>
      </c>
      <c r="D1086" t="inlineStr">
        <is>
          <t>CAMUSAT</t>
        </is>
      </c>
      <c r="E1086" t="inlineStr">
        <is>
          <t>Good Grid + GE</t>
        </is>
      </c>
      <c r="F1086" t="inlineStr">
        <is>
          <t>SUD</t>
        </is>
      </c>
      <c r="G1086" t="inlineStr">
        <is>
          <t>Kribi</t>
        </is>
      </c>
      <c r="H1086" t="inlineStr">
        <is>
          <t>ZTE</t>
        </is>
      </c>
      <c r="I1086" t="n">
        <v>12.1338815123005</v>
      </c>
      <c r="J1086" t="n">
        <v>15.61853478410994</v>
      </c>
      <c r="K1086" t="n">
        <v>0</v>
      </c>
      <c r="L1086" t="n">
        <v>0</v>
      </c>
      <c r="M1086" t="n">
        <v>0.101392420234395</v>
      </c>
      <c r="N1086" t="n">
        <v>0</v>
      </c>
      <c r="O1086" t="n">
        <v>0</v>
      </c>
      <c r="P1086" t="n">
        <v>0</v>
      </c>
      <c r="Q1086" t="n">
        <v>0</v>
      </c>
      <c r="R1086" t="inlineStr">
        <is>
          <t>Operationnel</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row>
    <row r="1087">
      <c r="A1087" t="inlineStr">
        <is>
          <t>Efoulan</t>
        </is>
      </c>
      <c r="B1087" t="inlineStr">
        <is>
          <t>CTR_209</t>
        </is>
      </c>
      <c r="C1087" t="inlineStr">
        <is>
          <t>Yaounde</t>
        </is>
      </c>
      <c r="D1087" t="inlineStr">
        <is>
          <t>IHS</t>
        </is>
      </c>
      <c r="E1087" t="inlineStr">
        <is>
          <t>Grid-Gen</t>
        </is>
      </c>
      <c r="F1087" t="inlineStr">
        <is>
          <t>CENTRE</t>
        </is>
      </c>
      <c r="G1087" t="inlineStr">
        <is>
          <t>Yaounde</t>
        </is>
      </c>
      <c r="H1087" t="inlineStr">
        <is>
          <t>ZTE</t>
        </is>
      </c>
      <c r="I1087" t="n">
        <v>12.7302686961559</v>
      </c>
      <c r="J1087" t="n">
        <v>0</v>
      </c>
      <c r="K1087" t="n">
        <v>0</v>
      </c>
      <c r="L1087" t="n">
        <v>0</v>
      </c>
      <c r="M1087" t="n">
        <v>0.0980394255107247</v>
      </c>
      <c r="N1087" t="n">
        <v>0</v>
      </c>
      <c r="O1087" t="n">
        <v>0</v>
      </c>
      <c r="P1087" t="n">
        <v>0</v>
      </c>
      <c r="Q1087" t="n">
        <v>0</v>
      </c>
      <c r="R1087" t="inlineStr">
        <is>
          <t>Operationnel</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row>
    <row r="1088">
      <c r="A1088" t="inlineStr">
        <is>
          <t>Akok-II</t>
        </is>
      </c>
      <c r="B1088" t="inlineStr">
        <is>
          <t>SUD_127</t>
        </is>
      </c>
      <c r="C1088" t="inlineStr">
        <is>
          <t>CENTRE</t>
        </is>
      </c>
      <c r="D1088" t="inlineStr">
        <is>
          <t>CAMUSAT</t>
        </is>
      </c>
      <c r="E1088" t="inlineStr">
        <is>
          <t>Hybrid Solar - S3</t>
        </is>
      </c>
      <c r="F1088" t="inlineStr">
        <is>
          <t>SUD</t>
        </is>
      </c>
      <c r="G1088" t="inlineStr">
        <is>
          <t>Akom-I</t>
        </is>
      </c>
      <c r="H1088" t="inlineStr">
        <is>
          <t>NOKIA</t>
        </is>
      </c>
      <c r="I1088" t="n">
        <v>0</v>
      </c>
      <c r="J1088" t="n">
        <v>0</v>
      </c>
      <c r="K1088" t="n">
        <v>0</v>
      </c>
      <c r="L1088" t="n">
        <v>0.003210499889948891</v>
      </c>
      <c r="M1088" t="n">
        <v>0.08771291516495298</v>
      </c>
      <c r="N1088" t="n">
        <v>0</v>
      </c>
      <c r="O1088" t="n">
        <v>0</v>
      </c>
      <c r="P1088" t="n">
        <v>0</v>
      </c>
      <c r="Q1088" t="n">
        <v>0</v>
      </c>
      <c r="R1088" t="inlineStr">
        <is>
          <t>Operationnel</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row>
    <row r="1089">
      <c r="A1089" t="inlineStr">
        <is>
          <t>Nkolfoulou-CSD</t>
        </is>
      </c>
      <c r="B1089" t="inlineStr">
        <is>
          <t>CTR_712</t>
        </is>
      </c>
      <c r="C1089" t="inlineStr">
        <is>
          <t>Yaounde</t>
        </is>
      </c>
      <c r="D1089" t="inlineStr">
        <is>
          <t>CAMUSAT</t>
        </is>
      </c>
      <c r="E1089" t="inlineStr">
        <is>
          <t>Medium Grid + GE</t>
        </is>
      </c>
      <c r="F1089" t="inlineStr">
        <is>
          <t>CENTRE</t>
        </is>
      </c>
      <c r="G1089" t="inlineStr">
        <is>
          <t>Yaounde</t>
        </is>
      </c>
      <c r="H1089" t="inlineStr">
        <is>
          <t>ZTE</t>
        </is>
      </c>
      <c r="I1089" t="n">
        <v>0</v>
      </c>
      <c r="J1089" t="n">
        <v>0</v>
      </c>
      <c r="K1089" t="n">
        <v>0</v>
      </c>
      <c r="L1089" t="n">
        <v>9.548490724332467</v>
      </c>
      <c r="M1089" t="n">
        <v>0.08254074245290821</v>
      </c>
      <c r="N1089" t="n">
        <v>0</v>
      </c>
      <c r="O1089" t="n">
        <v>0</v>
      </c>
      <c r="P1089" t="n">
        <v>0</v>
      </c>
      <c r="Q1089" t="n">
        <v>0</v>
      </c>
      <c r="R1089" t="inlineStr">
        <is>
          <t>Operationnel</t>
        </is>
      </c>
      <c r="S1089" t="inlineStr"/>
      <c r="T1089" t="inlineStr"/>
      <c r="U1089" t="inlineStr"/>
      <c r="V1089" t="inlineStr"/>
      <c r="W1089" t="inlineStr"/>
      <c r="X1089" t="inlineStr">
        <is>
          <t xml:space="preserve">{05-25-2026 retour CAMUSAT}: No power issue </t>
        </is>
      </c>
      <c r="Y1089" t="inlineStr">
        <is>
          <t>No power issue</t>
        </is>
      </c>
      <c r="Z1089" t="inlineStr"/>
      <c r="AA1089" t="inlineStr"/>
      <c r="AB1089" t="inlineStr"/>
      <c r="AC1089" t="inlineStr">
        <is>
          <t xml:space="preserve">{05-25-2026 retour CAMUSAT}: No power issue </t>
        </is>
      </c>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row>
    <row r="1090">
      <c r="A1090" t="inlineStr">
        <is>
          <t>Obobogo-New</t>
        </is>
      </c>
      <c r="B1090" t="inlineStr">
        <is>
          <t>CTR_543</t>
        </is>
      </c>
      <c r="C1090" t="inlineStr">
        <is>
          <t>Yaounde</t>
        </is>
      </c>
      <c r="D1090" t="inlineStr">
        <is>
          <t>IHS</t>
        </is>
      </c>
      <c r="E1090" t="inlineStr">
        <is>
          <t>Grid-Gen</t>
        </is>
      </c>
      <c r="F1090" t="inlineStr">
        <is>
          <t>CENTRE</t>
        </is>
      </c>
      <c r="G1090" t="inlineStr">
        <is>
          <t>Yaounde</t>
        </is>
      </c>
      <c r="H1090" t="inlineStr">
        <is>
          <t>ZTE</t>
        </is>
      </c>
      <c r="I1090" t="n">
        <v>11.0293907822608</v>
      </c>
      <c r="J1090" t="n">
        <v>0</v>
      </c>
      <c r="K1090" t="n">
        <v>0</v>
      </c>
      <c r="L1090" t="n">
        <v>0</v>
      </c>
      <c r="M1090" t="n">
        <v>0.08214837072992519</v>
      </c>
      <c r="N1090" t="n">
        <v>0</v>
      </c>
      <c r="O1090" t="n">
        <v>0</v>
      </c>
      <c r="P1090" t="n">
        <v>0</v>
      </c>
      <c r="Q1090" t="n">
        <v>0</v>
      </c>
      <c r="R1090" t="inlineStr">
        <is>
          <t>Operationnel</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row>
    <row r="1091">
      <c r="A1091" t="inlineStr">
        <is>
          <t>Ngd-Madagascar-MTN-IHS</t>
        </is>
      </c>
      <c r="B1091" t="inlineStr">
        <is>
          <t>ADM_084</t>
        </is>
      </c>
      <c r="C1091" t="inlineStr">
        <is>
          <t>Ngaoundere</t>
        </is>
      </c>
      <c r="D1091" t="inlineStr">
        <is>
          <t>IHS</t>
        </is>
      </c>
      <c r="E1091" t="inlineStr">
        <is>
          <t>Grid-Gen</t>
        </is>
      </c>
      <c r="F1091" t="inlineStr">
        <is>
          <t>ADAMAOUA</t>
        </is>
      </c>
      <c r="G1091" t="inlineStr">
        <is>
          <t>Ngaoundere</t>
        </is>
      </c>
      <c r="H1091" t="inlineStr">
        <is>
          <t>Huawei</t>
        </is>
      </c>
      <c r="I1091" t="n">
        <v>0.2041224713425962</v>
      </c>
      <c r="J1091" t="n">
        <v>0</v>
      </c>
      <c r="K1091" t="n">
        <v>0</v>
      </c>
      <c r="L1091" t="n">
        <v>3.424780913897949</v>
      </c>
      <c r="M1091" t="n">
        <v>0.05832070609788462</v>
      </c>
      <c r="N1091" t="n">
        <v>0</v>
      </c>
      <c r="O1091" t="n">
        <v>0</v>
      </c>
      <c r="P1091" t="n">
        <v>0</v>
      </c>
      <c r="Q1091" t="n">
        <v>0</v>
      </c>
      <c r="R1091" t="inlineStr">
        <is>
          <t>Operationnel</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row>
    <row r="1092">
      <c r="A1092" t="inlineStr">
        <is>
          <t>Bonjongo</t>
        </is>
      </c>
      <c r="B1092" t="inlineStr">
        <is>
          <t>SUO_131</t>
        </is>
      </c>
      <c r="C1092" t="inlineStr">
        <is>
          <t>SUD-OUEST</t>
        </is>
      </c>
      <c r="D1092" t="inlineStr">
        <is>
          <t>IHS</t>
        </is>
      </c>
      <c r="E1092" t="inlineStr">
        <is>
          <t>Grid-Gen</t>
        </is>
      </c>
      <c r="F1092" t="inlineStr">
        <is>
          <t>SUD-OUEST</t>
        </is>
      </c>
      <c r="G1092" t="inlineStr">
        <is>
          <t>Bonjongo</t>
        </is>
      </c>
      <c r="H1092" t="inlineStr">
        <is>
          <t>NOKIA</t>
        </is>
      </c>
      <c r="I1092" t="n">
        <v>0.04638903870354676</v>
      </c>
      <c r="J1092" t="n">
        <v>0.3080118025414275</v>
      </c>
      <c r="K1092" t="n">
        <v>0</v>
      </c>
      <c r="L1092" t="n">
        <v>0.05227461454828739</v>
      </c>
      <c r="M1092" t="n">
        <v>0.05626967209138403</v>
      </c>
      <c r="N1092" t="n">
        <v>0</v>
      </c>
      <c r="O1092" t="n">
        <v>0</v>
      </c>
      <c r="P1092" t="n">
        <v>0</v>
      </c>
      <c r="Q1092" t="n">
        <v>0</v>
      </c>
      <c r="R1092" t="inlineStr">
        <is>
          <t>Insecurity</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row>
    <row r="1093">
      <c r="A1093" t="inlineStr">
        <is>
          <t>Nganha-IHS</t>
        </is>
      </c>
      <c r="B1093" t="inlineStr">
        <is>
          <t>ADM_137</t>
        </is>
      </c>
      <c r="C1093" t="inlineStr">
        <is>
          <t>ADAMAOUA</t>
        </is>
      </c>
      <c r="D1093" t="inlineStr">
        <is>
          <t>IHS</t>
        </is>
      </c>
      <c r="E1093" t="inlineStr">
        <is>
          <t>Hybrid-Gen</t>
        </is>
      </c>
      <c r="F1093" t="inlineStr">
        <is>
          <t>ADAMAOUA</t>
        </is>
      </c>
      <c r="G1093" t="inlineStr">
        <is>
          <t>Nganha</t>
        </is>
      </c>
      <c r="H1093" t="inlineStr">
        <is>
          <t>NOKIA</t>
        </is>
      </c>
      <c r="I1093" t="n">
        <v>0.09755787839615561</v>
      </c>
      <c r="J1093" t="n">
        <v>0</v>
      </c>
      <c r="K1093" t="n">
        <v>0.3297286783768766</v>
      </c>
      <c r="L1093" t="n">
        <v>0</v>
      </c>
      <c r="M1093" t="n">
        <v>0.05616610930996101</v>
      </c>
      <c r="N1093" t="n">
        <v>0</v>
      </c>
      <c r="O1093" t="n">
        <v>0</v>
      </c>
      <c r="P1093" t="n">
        <v>0</v>
      </c>
      <c r="Q1093" t="n">
        <v>0</v>
      </c>
      <c r="R1093" t="inlineStr">
        <is>
          <t>Operationnel</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row>
    <row r="1094">
      <c r="A1094" t="inlineStr">
        <is>
          <t>SS-Hotel-Lagon-Outdoor</t>
        </is>
      </c>
      <c r="B1094" t="inlineStr">
        <is>
          <t>SUD_091</t>
        </is>
      </c>
      <c r="C1094" t="inlineStr">
        <is>
          <t>CENTRE</t>
        </is>
      </c>
      <c r="D1094" t="inlineStr">
        <is>
          <t>CAMUSAT</t>
        </is>
      </c>
      <c r="E1094" t="inlineStr">
        <is>
          <t>Good Grid no GE - 8h</t>
        </is>
      </c>
      <c r="F1094" t="inlineStr">
        <is>
          <t>SUD</t>
        </is>
      </c>
      <c r="G1094" t="inlineStr">
        <is>
          <t>Kribi</t>
        </is>
      </c>
      <c r="H1094" t="inlineStr">
        <is>
          <t>NOKIA</t>
        </is>
      </c>
      <c r="I1094" t="n">
        <v>0</v>
      </c>
      <c r="J1094" t="n">
        <v>0.0334427071869685</v>
      </c>
      <c r="K1094" t="n">
        <v>0</v>
      </c>
      <c r="L1094" t="n">
        <v>0.02461383248960879</v>
      </c>
      <c r="M1094" t="n">
        <v>0.047619659107447</v>
      </c>
      <c r="N1094" t="n">
        <v>0</v>
      </c>
      <c r="O1094" t="n">
        <v>0</v>
      </c>
      <c r="P1094" t="n">
        <v>0</v>
      </c>
      <c r="Q1094" t="n">
        <v>0</v>
      </c>
      <c r="R1094" t="inlineStr">
        <is>
          <t>Operationnel</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row>
    <row r="1095">
      <c r="A1095" t="inlineStr">
        <is>
          <t>Bfsam-Bamengoum</t>
        </is>
      </c>
      <c r="B1095" t="inlineStr">
        <is>
          <t>OST_046</t>
        </is>
      </c>
      <c r="C1095" t="inlineStr">
        <is>
          <t>Bafoussam</t>
        </is>
      </c>
      <c r="D1095" t="inlineStr">
        <is>
          <t>IHS</t>
        </is>
      </c>
      <c r="E1095" t="inlineStr">
        <is>
          <t>Grid-Gen</t>
        </is>
      </c>
      <c r="F1095" t="inlineStr">
        <is>
          <t>OUEST</t>
        </is>
      </c>
      <c r="G1095" t="inlineStr">
        <is>
          <t>Bafoussam</t>
        </is>
      </c>
      <c r="H1095" t="inlineStr">
        <is>
          <t>Huawei</t>
        </is>
      </c>
      <c r="I1095" t="n">
        <v>0</v>
      </c>
      <c r="J1095" t="n">
        <v>0.08382486809176076</v>
      </c>
      <c r="K1095" t="n">
        <v>0.03124705721207763</v>
      </c>
      <c r="L1095" t="n">
        <v>0.3806362414498635</v>
      </c>
      <c r="M1095" t="n">
        <v>0.03049798392274701</v>
      </c>
      <c r="N1095" t="n">
        <v>0</v>
      </c>
      <c r="O1095" t="n">
        <v>0</v>
      </c>
      <c r="P1095" t="n">
        <v>0</v>
      </c>
      <c r="Q1095" t="n">
        <v>0</v>
      </c>
      <c r="R1095" t="inlineStr">
        <is>
          <t>Operationnel</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row>
    <row r="1096">
      <c r="A1096" t="inlineStr">
        <is>
          <t>Madjap</t>
        </is>
      </c>
      <c r="B1096" t="inlineStr">
        <is>
          <t>LIT_519</t>
        </is>
      </c>
      <c r="C1096" t="inlineStr">
        <is>
          <t>LITTORAL</t>
        </is>
      </c>
      <c r="D1096" t="inlineStr">
        <is>
          <t>IHS</t>
        </is>
      </c>
      <c r="E1096" t="inlineStr">
        <is>
          <t>Hybrid-Gen</t>
        </is>
      </c>
      <c r="F1096" t="inlineStr">
        <is>
          <t>LITTORAL</t>
        </is>
      </c>
      <c r="G1096" t="inlineStr">
        <is>
          <t>Mandjap</t>
        </is>
      </c>
      <c r="H1096" t="inlineStr">
        <is>
          <t>NOKIA</t>
        </is>
      </c>
      <c r="I1096" t="n">
        <v>0</v>
      </c>
      <c r="J1096" t="n">
        <v>0</v>
      </c>
      <c r="K1096" t="n">
        <v>1.94179415180648</v>
      </c>
      <c r="L1096" t="n">
        <v>0</v>
      </c>
      <c r="M1096" t="n">
        <v>0.02812591850653351</v>
      </c>
      <c r="N1096" t="n">
        <v>0</v>
      </c>
      <c r="O1096" t="n">
        <v>0</v>
      </c>
      <c r="P1096" t="n">
        <v>0</v>
      </c>
      <c r="Q1096" t="n">
        <v>0</v>
      </c>
      <c r="R1096" t="inlineStr">
        <is>
          <t>Operationnel</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row>
    <row r="1097">
      <c r="A1097" t="inlineStr">
        <is>
          <t>Grand-Hangar</t>
        </is>
      </c>
      <c r="B1097" t="inlineStr">
        <is>
          <t>LIT_291</t>
        </is>
      </c>
      <c r="C1097" t="inlineStr">
        <is>
          <t>Douala</t>
        </is>
      </c>
      <c r="D1097" t="inlineStr">
        <is>
          <t>IHS</t>
        </is>
      </c>
      <c r="E1097" t="inlineStr">
        <is>
          <t>Grid-Gen</t>
        </is>
      </c>
      <c r="F1097" t="inlineStr">
        <is>
          <t>LITTORAL</t>
        </is>
      </c>
      <c r="G1097" t="inlineStr">
        <is>
          <t>Douala</t>
        </is>
      </c>
      <c r="H1097" t="inlineStr">
        <is>
          <t>ZTE</t>
        </is>
      </c>
      <c r="I1097" t="n">
        <v>0</v>
      </c>
      <c r="J1097" t="n">
        <v>6.899303861223115</v>
      </c>
      <c r="K1097" t="n">
        <v>0.02603921434339805</v>
      </c>
      <c r="L1097" t="n">
        <v>0</v>
      </c>
      <c r="M1097" t="n">
        <v>0.02652076145796764</v>
      </c>
      <c r="N1097" t="n">
        <v>0</v>
      </c>
      <c r="O1097" t="n">
        <v>0</v>
      </c>
      <c r="P1097" t="n">
        <v>0</v>
      </c>
      <c r="Q1097" t="n">
        <v>0</v>
      </c>
      <c r="R1097" t="inlineStr">
        <is>
          <t>Operationnel</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row>
    <row r="1098">
      <c r="A1098" t="inlineStr">
        <is>
          <t>Makondo</t>
        </is>
      </c>
      <c r="B1098" t="inlineStr">
        <is>
          <t>LIT_114</t>
        </is>
      </c>
      <c r="C1098" t="inlineStr">
        <is>
          <t>LITTORAL</t>
        </is>
      </c>
      <c r="D1098" t="inlineStr">
        <is>
          <t>ESCO</t>
        </is>
      </c>
      <c r="E1098" t="inlineStr">
        <is>
          <t>Hybrid Solar - S1</t>
        </is>
      </c>
      <c r="F1098" t="inlineStr">
        <is>
          <t>LITTORAL</t>
        </is>
      </c>
      <c r="G1098" t="inlineStr">
        <is>
          <t>Makondo</t>
        </is>
      </c>
      <c r="H1098" t="inlineStr">
        <is>
          <t>NOKIA</t>
        </is>
      </c>
      <c r="I1098" t="n">
        <v>0</v>
      </c>
      <c r="J1098" t="n">
        <v>0</v>
      </c>
      <c r="K1098" t="n">
        <v>0</v>
      </c>
      <c r="L1098" t="n">
        <v>0</v>
      </c>
      <c r="M1098" t="n">
        <v>0.02507612011425867</v>
      </c>
      <c r="N1098" t="n">
        <v>0</v>
      </c>
      <c r="O1098" t="n">
        <v>0</v>
      </c>
      <c r="P1098" t="n">
        <v>0</v>
      </c>
      <c r="Q1098" t="n">
        <v>0</v>
      </c>
      <c r="R1098" t="inlineStr">
        <is>
          <t>Operationnel</t>
        </is>
      </c>
      <c r="S1098" t="inlineStr"/>
      <c r="T1098" t="inlineStr"/>
      <c r="U1098" t="inlineStr"/>
      <c r="V1098" t="inlineStr"/>
      <c r="W1098" t="inlineStr"/>
      <c r="X1098" t="inlineStr">
        <is>
          <t xml:space="preserve">{05-25-2026 retour CAMUSAT}: No power issue </t>
        </is>
      </c>
      <c r="Y1098" t="inlineStr">
        <is>
          <t>No power issue</t>
        </is>
      </c>
      <c r="Z1098" t="inlineStr"/>
      <c r="AA1098" t="inlineStr"/>
      <c r="AB1098" t="inlineStr"/>
      <c r="AC1098" t="inlineStr">
        <is>
          <t xml:space="preserve">{05-25-2026 retour CAMUSAT}: No power issue </t>
        </is>
      </c>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row>
    <row r="1099">
      <c r="A1099" t="inlineStr">
        <is>
          <t>Sodibanga</t>
        </is>
      </c>
      <c r="B1099" t="inlineStr">
        <is>
          <t>LIT_515</t>
        </is>
      </c>
      <c r="C1099" t="inlineStr">
        <is>
          <t>LITTORAL</t>
        </is>
      </c>
      <c r="D1099" t="inlineStr">
        <is>
          <t>IHS</t>
        </is>
      </c>
      <c r="E1099" t="inlineStr">
        <is>
          <t>Hybrid-Gen</t>
        </is>
      </c>
      <c r="F1099" t="inlineStr">
        <is>
          <t>LITTORAL</t>
        </is>
      </c>
      <c r="G1099" t="inlineStr">
        <is>
          <t>Sodibanga</t>
        </is>
      </c>
      <c r="H1099" t="inlineStr">
        <is>
          <t>NOKIA</t>
        </is>
      </c>
      <c r="I1099" t="n">
        <v>0</v>
      </c>
      <c r="J1099" t="n">
        <v>0</v>
      </c>
      <c r="K1099" t="n">
        <v>0</v>
      </c>
      <c r="L1099" t="n">
        <v>4.759861371503255</v>
      </c>
      <c r="M1099" t="n">
        <v>0.0239703452585801</v>
      </c>
      <c r="N1099" t="n">
        <v>0</v>
      </c>
      <c r="O1099" t="n">
        <v>0</v>
      </c>
      <c r="P1099" t="n">
        <v>0</v>
      </c>
      <c r="Q1099" t="n">
        <v>0</v>
      </c>
      <c r="R1099" t="inlineStr">
        <is>
          <t>Operationnel</t>
        </is>
      </c>
      <c r="S1099" t="inlineStr"/>
      <c r="T1099" t="inlineStr"/>
      <c r="U1099" t="inlineStr"/>
      <c r="V1099" t="inlineStr"/>
      <c r="W1099" t="inlineStr"/>
      <c r="X1099" t="inlineStr">
        <is>
          <t>{05-25-2026 retour IHS}: IHS</t>
        </is>
      </c>
      <c r="Y1099" t="inlineStr">
        <is>
          <t>IHS</t>
        </is>
      </c>
      <c r="Z1099" t="inlineStr"/>
      <c r="AA1099" t="inlineStr"/>
      <c r="AB1099" t="inlineStr"/>
      <c r="AC1099" t="inlineStr"/>
      <c r="AD1099" t="inlineStr">
        <is>
          <t>{05-25-2026 retour IHS}: IHS</t>
        </is>
      </c>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row>
    <row r="1100">
      <c r="A1100" t="inlineStr">
        <is>
          <t>Kotto-Bloc</t>
        </is>
      </c>
      <c r="B1100" t="inlineStr">
        <is>
          <t>LIT_246</t>
        </is>
      </c>
      <c r="C1100" t="inlineStr">
        <is>
          <t>Douala</t>
        </is>
      </c>
      <c r="D1100" t="inlineStr">
        <is>
          <t>IHS</t>
        </is>
      </c>
      <c r="E1100" t="inlineStr">
        <is>
          <t>Grid-Gen</t>
        </is>
      </c>
      <c r="F1100" t="inlineStr">
        <is>
          <t>LITTORAL</t>
        </is>
      </c>
      <c r="G1100" t="inlineStr">
        <is>
          <t>Douala</t>
        </is>
      </c>
      <c r="H1100" t="inlineStr">
        <is>
          <t>ZTE</t>
        </is>
      </c>
      <c r="I1100" t="n">
        <v>0</v>
      </c>
      <c r="J1100" t="n">
        <v>0</v>
      </c>
      <c r="K1100" t="n">
        <v>0</v>
      </c>
      <c r="L1100" t="n">
        <v>0</v>
      </c>
      <c r="M1100" t="n">
        <v>0.01599806525070423</v>
      </c>
      <c r="N1100" t="n">
        <v>0</v>
      </c>
      <c r="O1100" t="n">
        <v>0</v>
      </c>
      <c r="P1100" t="n">
        <v>0</v>
      </c>
      <c r="Q1100" t="n">
        <v>0</v>
      </c>
      <c r="R1100" t="inlineStr">
        <is>
          <t>Operationnel</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row>
    <row r="1101">
      <c r="A1101" t="inlineStr">
        <is>
          <t>Yoyo-New</t>
        </is>
      </c>
      <c r="B1101" t="inlineStr">
        <is>
          <t>LIT_536</t>
        </is>
      </c>
      <c r="C1101" t="inlineStr">
        <is>
          <t>LITTORAL</t>
        </is>
      </c>
      <c r="D1101" t="inlineStr">
        <is>
          <t>IHS</t>
        </is>
      </c>
      <c r="E1101" t="inlineStr">
        <is>
          <t>Hybrid-Gen</t>
        </is>
      </c>
      <c r="F1101" t="inlineStr">
        <is>
          <t>LITTORAL</t>
        </is>
      </c>
      <c r="G1101" t="inlineStr">
        <is>
          <t>Yoyo</t>
        </is>
      </c>
      <c r="H1101" t="inlineStr">
        <is>
          <t>NOKIA</t>
        </is>
      </c>
      <c r="I1101" t="n">
        <v>0</v>
      </c>
      <c r="J1101" t="n">
        <v>4.414791204519522</v>
      </c>
      <c r="K1101" t="n">
        <v>6.163410694769044</v>
      </c>
      <c r="L1101" t="n">
        <v>6.163482035082312</v>
      </c>
      <c r="M1101" t="n">
        <v>0.01540950766623024</v>
      </c>
      <c r="N1101" t="n">
        <v>0</v>
      </c>
      <c r="O1101" t="n">
        <v>0</v>
      </c>
      <c r="P1101" t="n">
        <v>0</v>
      </c>
      <c r="Q1101" t="n">
        <v>0</v>
      </c>
      <c r="R1101" t="inlineStr">
        <is>
          <t>Operationnel</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row>
    <row r="1102">
      <c r="A1102" t="inlineStr">
        <is>
          <t>Stamatiades</t>
        </is>
      </c>
      <c r="B1102" t="inlineStr">
        <is>
          <t>LIT_014</t>
        </is>
      </c>
      <c r="C1102" t="inlineStr">
        <is>
          <t>Douala</t>
        </is>
      </c>
      <c r="D1102" t="inlineStr">
        <is>
          <t>IHS</t>
        </is>
      </c>
      <c r="E1102" t="inlineStr">
        <is>
          <t>GridOnly</t>
        </is>
      </c>
      <c r="F1102" t="inlineStr">
        <is>
          <t>LITTORAL</t>
        </is>
      </c>
      <c r="G1102" t="inlineStr">
        <is>
          <t>Douala</t>
        </is>
      </c>
      <c r="H1102" t="inlineStr">
        <is>
          <t>ZTE</t>
        </is>
      </c>
      <c r="I1102" t="n">
        <v>0</v>
      </c>
      <c r="J1102" t="n">
        <v>0</v>
      </c>
      <c r="K1102" t="n">
        <v>0</v>
      </c>
      <c r="L1102" t="n">
        <v>0</v>
      </c>
      <c r="M1102" t="n">
        <v>0.01066537683380282</v>
      </c>
      <c r="N1102" t="n">
        <v>0</v>
      </c>
      <c r="O1102" t="n">
        <v>0</v>
      </c>
      <c r="P1102" t="n">
        <v>0</v>
      </c>
      <c r="Q1102" t="n">
        <v>0</v>
      </c>
      <c r="R1102" t="inlineStr">
        <is>
          <t>Operationnel</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row>
    <row r="1103">
      <c r="A1103" t="inlineStr">
        <is>
          <t>Buea-Orange</t>
        </is>
      </c>
      <c r="B1103" t="inlineStr">
        <is>
          <t>SUO_007</t>
        </is>
      </c>
      <c r="C1103" t="inlineStr">
        <is>
          <t>SUD-OUEST</t>
        </is>
      </c>
      <c r="D1103" t="inlineStr">
        <is>
          <t>IHS</t>
        </is>
      </c>
      <c r="E1103" t="inlineStr">
        <is>
          <t>Grid-Gen</t>
        </is>
      </c>
      <c r="F1103" t="inlineStr">
        <is>
          <t>SUD-OUEST</t>
        </is>
      </c>
      <c r="G1103" t="inlineStr">
        <is>
          <t>Buea</t>
        </is>
      </c>
      <c r="H1103" t="inlineStr">
        <is>
          <t>Huawei</t>
        </is>
      </c>
      <c r="I1103" t="n">
        <v>0</v>
      </c>
      <c r="J1103" t="n">
        <v>0</v>
      </c>
      <c r="K1103" t="n">
        <v>0</v>
      </c>
      <c r="L1103" t="n">
        <v>0.915652920815106</v>
      </c>
      <c r="M1103" t="n">
        <v>0.008418156965810868</v>
      </c>
      <c r="N1103" t="n">
        <v>0</v>
      </c>
      <c r="O1103" t="n">
        <v>0</v>
      </c>
      <c r="P1103" t="n">
        <v>0</v>
      </c>
      <c r="Q1103" t="n">
        <v>0</v>
      </c>
      <c r="R1103" t="inlineStr">
        <is>
          <t>Operationnel</t>
        </is>
      </c>
      <c r="S1103" t="inlineStr"/>
      <c r="T1103" t="inlineStr"/>
      <c r="U1103" t="inlineStr"/>
      <c r="V1103" t="inlineStr"/>
      <c r="W1103" t="inlineStr"/>
      <c r="X1103" t="inlineStr">
        <is>
          <t>{05-25-2026 retour IHS}: IHS</t>
        </is>
      </c>
      <c r="Y1103" t="inlineStr">
        <is>
          <t>IHS</t>
        </is>
      </c>
      <c r="Z1103" t="inlineStr"/>
      <c r="AA1103" t="inlineStr"/>
      <c r="AB1103" t="inlineStr"/>
      <c r="AC1103" t="inlineStr"/>
      <c r="AD1103" t="inlineStr">
        <is>
          <t>{05-25-2026 retour IHS}: IHS</t>
        </is>
      </c>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row>
    <row r="1104">
      <c r="A1104" t="inlineStr">
        <is>
          <t>Limbe-College-Excellence-IHS</t>
        </is>
      </c>
      <c r="B1104" t="inlineStr">
        <is>
          <t>SUO_151</t>
        </is>
      </c>
      <c r="C1104" t="inlineStr">
        <is>
          <t>SUD-OUEST</t>
        </is>
      </c>
      <c r="D1104" t="inlineStr">
        <is>
          <t>IHS</t>
        </is>
      </c>
      <c r="E1104" t="inlineStr">
        <is>
          <t>Grid-Gen</t>
        </is>
      </c>
      <c r="F1104" t="inlineStr">
        <is>
          <t>SUD-OUEST</t>
        </is>
      </c>
      <c r="G1104" t="inlineStr">
        <is>
          <t>Limbe</t>
        </is>
      </c>
      <c r="H1104" t="inlineStr">
        <is>
          <t>Huawei</t>
        </is>
      </c>
      <c r="I1104" t="n">
        <v>0</v>
      </c>
      <c r="J1104" t="n">
        <v>0</v>
      </c>
      <c r="K1104" t="n">
        <v>0</v>
      </c>
      <c r="L1104" t="n">
        <v>0.00775825906806722</v>
      </c>
      <c r="M1104" t="n">
        <v>0.007847434459654199</v>
      </c>
      <c r="N1104" t="n">
        <v>0</v>
      </c>
      <c r="O1104" t="n">
        <v>0</v>
      </c>
      <c r="P1104" t="n">
        <v>0</v>
      </c>
      <c r="Q1104" t="n">
        <v>0</v>
      </c>
      <c r="R1104" t="inlineStr">
        <is>
          <t>Operationnel</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row>
    <row r="1105">
      <c r="A1105" t="inlineStr">
        <is>
          <t>Bamenda-Foncha-Street-IHS</t>
        </is>
      </c>
      <c r="B1105" t="inlineStr">
        <is>
          <t>NRO_121</t>
        </is>
      </c>
      <c r="C1105" t="inlineStr">
        <is>
          <t>NORD-OUEST</t>
        </is>
      </c>
      <c r="D1105" t="inlineStr">
        <is>
          <t>IHS</t>
        </is>
      </c>
      <c r="E1105" t="inlineStr">
        <is>
          <t>Grid-Gen</t>
        </is>
      </c>
      <c r="F1105" t="inlineStr">
        <is>
          <t>NORD-OUEST</t>
        </is>
      </c>
      <c r="G1105" t="inlineStr">
        <is>
          <t>Bamenda</t>
        </is>
      </c>
      <c r="H1105" t="inlineStr">
        <is>
          <t>Huawei</t>
        </is>
      </c>
      <c r="I1105" t="n">
        <v>2.356798589173965</v>
      </c>
      <c r="J1105" t="n">
        <v>0.1735709821848969</v>
      </c>
      <c r="K1105" t="n">
        <v>0</v>
      </c>
      <c r="L1105" t="n">
        <v>0</v>
      </c>
      <c r="M1105" t="n">
        <v>0.00775825906806722</v>
      </c>
      <c r="N1105" t="n">
        <v>0</v>
      </c>
      <c r="O1105" t="n">
        <v>0</v>
      </c>
      <c r="P1105" t="n">
        <v>0</v>
      </c>
      <c r="Q1105" t="n">
        <v>0</v>
      </c>
      <c r="R1105" t="inlineStr">
        <is>
          <t>Operationnel</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row>
    <row r="1106">
      <c r="A1106" t="inlineStr">
        <is>
          <t>Buea-Signal-Hill</t>
        </is>
      </c>
      <c r="B1106" t="inlineStr">
        <is>
          <t>SUO_023</t>
        </is>
      </c>
      <c r="C1106" t="inlineStr">
        <is>
          <t>SUD-OUEST</t>
        </is>
      </c>
      <c r="D1106" t="inlineStr">
        <is>
          <t>OCM/Strategique</t>
        </is>
      </c>
      <c r="E1106" t="inlineStr"/>
      <c r="F1106" t="inlineStr">
        <is>
          <t>SUD-OUEST</t>
        </is>
      </c>
      <c r="G1106" t="inlineStr">
        <is>
          <t>Buea</t>
        </is>
      </c>
      <c r="H1106" t="inlineStr">
        <is>
          <t>Huawei</t>
        </is>
      </c>
      <c r="I1106" t="n">
        <v>0</v>
      </c>
      <c r="J1106" t="n">
        <v>0</v>
      </c>
      <c r="K1106" t="n">
        <v>0</v>
      </c>
      <c r="L1106" t="n">
        <v>0.008114960634415139</v>
      </c>
      <c r="M1106" t="n">
        <v>0.007669083676480241</v>
      </c>
      <c r="N1106" t="n">
        <v>0</v>
      </c>
      <c r="O1106" t="n">
        <v>0</v>
      </c>
      <c r="P1106" t="n">
        <v>0</v>
      </c>
      <c r="Q1106" t="n">
        <v>0</v>
      </c>
      <c r="R1106" t="inlineStr">
        <is>
          <t>Operationnel</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row>
    <row r="1107">
      <c r="A1107" t="inlineStr">
        <is>
          <t>Nyanon</t>
        </is>
      </c>
      <c r="B1107" t="inlineStr">
        <is>
          <t>LIT_349</t>
        </is>
      </c>
      <c r="C1107" t="inlineStr">
        <is>
          <t>LITTORAL</t>
        </is>
      </c>
      <c r="D1107" t="inlineStr">
        <is>
          <t>IHS</t>
        </is>
      </c>
      <c r="E1107" t="inlineStr"/>
      <c r="F1107" t="inlineStr">
        <is>
          <t>LITTORAL</t>
        </is>
      </c>
      <c r="G1107" t="inlineStr">
        <is>
          <t>Nyanon</t>
        </is>
      </c>
      <c r="H1107" t="inlineStr">
        <is>
          <t>NOKIA</t>
        </is>
      </c>
      <c r="I1107" t="n">
        <v>0</v>
      </c>
      <c r="J1107" t="n">
        <v>0</v>
      </c>
      <c r="K1107" t="n">
        <v>0.8748670352397073</v>
      </c>
      <c r="L1107" t="n">
        <v>0</v>
      </c>
      <c r="M1107" t="n">
        <v>0.003674026133383557</v>
      </c>
      <c r="N1107" t="n">
        <v>0</v>
      </c>
      <c r="O1107" t="n">
        <v>0</v>
      </c>
      <c r="P1107" t="n">
        <v>0</v>
      </c>
      <c r="Q1107" t="n">
        <v>0</v>
      </c>
      <c r="R1107" t="inlineStr">
        <is>
          <t>Operationnel</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row>
    <row r="1108">
      <c r="A1108" t="inlineStr">
        <is>
          <t>Nkolzie</t>
        </is>
      </c>
      <c r="B1108" t="inlineStr">
        <is>
          <t>CTR_105</t>
        </is>
      </c>
      <c r="C1108" t="inlineStr">
        <is>
          <t>Yaounde</t>
        </is>
      </c>
      <c r="D1108" t="inlineStr"/>
      <c r="E1108" t="inlineStr"/>
      <c r="F1108" t="inlineStr">
        <is>
          <t>CENTRE</t>
        </is>
      </c>
      <c r="G1108" t="inlineStr">
        <is>
          <t>Yaounde</t>
        </is>
      </c>
      <c r="H1108" t="inlineStr">
        <is>
          <t>ZTE</t>
        </is>
      </c>
      <c r="I1108" t="n">
        <v>3.510371454743133</v>
      </c>
      <c r="J1108" t="n">
        <v>9.001185676006541</v>
      </c>
      <c r="K1108" t="n">
        <v>0</v>
      </c>
      <c r="L1108" t="n">
        <v>0</v>
      </c>
      <c r="M1108" t="n">
        <v>0.002193714633039698</v>
      </c>
      <c r="N1108" t="n">
        <v>0</v>
      </c>
      <c r="O1108" t="n">
        <v>0</v>
      </c>
      <c r="P1108" t="n">
        <v>0</v>
      </c>
      <c r="Q1108" t="n">
        <v>0</v>
      </c>
      <c r="R1108" t="inlineStr">
        <is>
          <t>Operationnel</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row>
    <row r="1109">
      <c r="A1109" t="inlineStr">
        <is>
          <t>Etoa-Dispensaire</t>
        </is>
      </c>
      <c r="B1109" t="inlineStr">
        <is>
          <t>CTR_715</t>
        </is>
      </c>
      <c r="C1109" t="inlineStr">
        <is>
          <t>Yaounde</t>
        </is>
      </c>
      <c r="D1109" t="inlineStr">
        <is>
          <t>CAMUSAT</t>
        </is>
      </c>
      <c r="E1109" t="inlineStr">
        <is>
          <t>Good Grid + GE</t>
        </is>
      </c>
      <c r="F1109" t="inlineStr">
        <is>
          <t>CENTRE</t>
        </is>
      </c>
      <c r="G1109" t="inlineStr">
        <is>
          <t>Yaounde</t>
        </is>
      </c>
      <c r="H1109" t="inlineStr">
        <is>
          <t>ZTE</t>
        </is>
      </c>
      <c r="I1109" t="n">
        <v>0</v>
      </c>
      <c r="J1109" t="n">
        <v>0</v>
      </c>
      <c r="K1109" t="n">
        <v>0</v>
      </c>
      <c r="L1109" t="n">
        <v>0</v>
      </c>
      <c r="M1109" t="n">
        <v>0.002158044476405014</v>
      </c>
      <c r="N1109" t="n">
        <v>0</v>
      </c>
      <c r="O1109" t="n">
        <v>0</v>
      </c>
      <c r="P1109" t="n">
        <v>0</v>
      </c>
      <c r="Q1109" t="n">
        <v>0</v>
      </c>
      <c r="R1109" t="inlineStr">
        <is>
          <t>Operationnel</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row>
    <row r="1110">
      <c r="A1110" t="inlineStr">
        <is>
          <t>Mendong</t>
        </is>
      </c>
      <c r="B1110" t="inlineStr">
        <is>
          <t>CTR_025</t>
        </is>
      </c>
      <c r="C1110" t="inlineStr">
        <is>
          <t>Yaounde</t>
        </is>
      </c>
      <c r="D1110" t="inlineStr">
        <is>
          <t>IHS</t>
        </is>
      </c>
      <c r="E1110" t="inlineStr">
        <is>
          <t>Grid-Gen</t>
        </is>
      </c>
      <c r="F1110" t="inlineStr">
        <is>
          <t>CENTRE</t>
        </is>
      </c>
      <c r="G1110" t="inlineStr">
        <is>
          <t>Yaounde</t>
        </is>
      </c>
      <c r="H1110" t="inlineStr">
        <is>
          <t>ZTE</t>
        </is>
      </c>
      <c r="I1110" t="n">
        <v>0</v>
      </c>
      <c r="J1110" t="n">
        <v>0</v>
      </c>
      <c r="K1110" t="n">
        <v>0</v>
      </c>
      <c r="L1110" t="n">
        <v>0.009416921351584803</v>
      </c>
      <c r="M1110" t="n">
        <v>0.002158044476404843</v>
      </c>
      <c r="N1110" t="n">
        <v>0</v>
      </c>
      <c r="O1110" t="n">
        <v>0</v>
      </c>
      <c r="P1110" t="n">
        <v>0</v>
      </c>
      <c r="Q1110" t="n">
        <v>0</v>
      </c>
      <c r="R1110" t="inlineStr">
        <is>
          <t>Operationnel</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row>
    <row r="1111">
      <c r="A1111" t="inlineStr">
        <is>
          <t>Ekounou-PJ</t>
        </is>
      </c>
      <c r="B1111" t="inlineStr">
        <is>
          <t>CTR_269</t>
        </is>
      </c>
      <c r="C1111" t="inlineStr">
        <is>
          <t>Yaounde</t>
        </is>
      </c>
      <c r="D1111" t="inlineStr">
        <is>
          <t>IHS</t>
        </is>
      </c>
      <c r="E1111" t="inlineStr">
        <is>
          <t>Grid-Gen</t>
        </is>
      </c>
      <c r="F1111" t="inlineStr">
        <is>
          <t>CENTRE</t>
        </is>
      </c>
      <c r="G1111" t="inlineStr">
        <is>
          <t>Yaounde</t>
        </is>
      </c>
      <c r="H1111" t="inlineStr">
        <is>
          <t>ZTE</t>
        </is>
      </c>
      <c r="I1111" t="n">
        <v>0</v>
      </c>
      <c r="J1111" t="n">
        <v>0</v>
      </c>
      <c r="K1111" t="n">
        <v>0</v>
      </c>
      <c r="L1111" t="n">
        <v>0.03877346026201866</v>
      </c>
      <c r="M1111" t="n">
        <v>0.002158044476404843</v>
      </c>
      <c r="N1111" t="n">
        <v>0</v>
      </c>
      <c r="O1111" t="n">
        <v>0</v>
      </c>
      <c r="P1111" t="n">
        <v>0</v>
      </c>
      <c r="Q1111" t="n">
        <v>0</v>
      </c>
      <c r="R1111" t="inlineStr">
        <is>
          <t>Operationnel</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row>
    <row r="1112">
      <c r="A1112" t="inlineStr">
        <is>
          <t>Kumba</t>
        </is>
      </c>
      <c r="B1112" t="inlineStr">
        <is>
          <t>SUO_006</t>
        </is>
      </c>
      <c r="C1112" t="inlineStr">
        <is>
          <t>SUD-OUEST</t>
        </is>
      </c>
      <c r="D1112" t="inlineStr">
        <is>
          <t>IHS</t>
        </is>
      </c>
      <c r="E1112" t="inlineStr">
        <is>
          <t>Grid-Gen</t>
        </is>
      </c>
      <c r="F1112" t="inlineStr">
        <is>
          <t>SUD-OUEST</t>
        </is>
      </c>
      <c r="G1112" t="inlineStr">
        <is>
          <t>Kumba</t>
        </is>
      </c>
      <c r="H1112" t="inlineStr">
        <is>
          <t>Huawei</t>
        </is>
      </c>
      <c r="I1112" t="n">
        <v>0.002140209398087509</v>
      </c>
      <c r="J1112" t="n">
        <v>0.00631361772435815</v>
      </c>
      <c r="K1112" t="n">
        <v>0.006866505152197424</v>
      </c>
      <c r="L1112" t="n">
        <v>0.0217944657038578</v>
      </c>
      <c r="M1112" t="n">
        <v>0.002140209398087509</v>
      </c>
      <c r="N1112" t="n">
        <v>0</v>
      </c>
      <c r="O1112" t="n">
        <v>0</v>
      </c>
      <c r="P1112" t="n">
        <v>0</v>
      </c>
      <c r="Q1112" t="n">
        <v>0</v>
      </c>
      <c r="R1112" t="inlineStr">
        <is>
          <t>Operationnel</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row>
    <row r="1113">
      <c r="A1113" t="inlineStr">
        <is>
          <t>Kumba-Kake</t>
        </is>
      </c>
      <c r="B1113" t="inlineStr">
        <is>
          <t>SUO_052</t>
        </is>
      </c>
      <c r="C1113" t="inlineStr">
        <is>
          <t>SUD-OUEST</t>
        </is>
      </c>
      <c r="D1113" t="inlineStr">
        <is>
          <t>IHS</t>
        </is>
      </c>
      <c r="E1113" t="inlineStr">
        <is>
          <t>Hybrid-Gen</t>
        </is>
      </c>
      <c r="F1113" t="inlineStr">
        <is>
          <t>SUD-OUEST</t>
        </is>
      </c>
      <c r="G1113" t="inlineStr">
        <is>
          <t>Kumba</t>
        </is>
      </c>
      <c r="H1113" t="inlineStr">
        <is>
          <t>Huawei</t>
        </is>
      </c>
      <c r="I1113" t="n">
        <v>0.003745366446653141</v>
      </c>
      <c r="J1113" t="n">
        <v>0.009095889941871913</v>
      </c>
      <c r="K1113" t="n">
        <v>0.008721353297206599</v>
      </c>
      <c r="L1113" t="n">
        <v>0.01284125638852505</v>
      </c>
      <c r="M1113" t="n">
        <v>0.002140209398087508</v>
      </c>
      <c r="N1113" t="n">
        <v>0</v>
      </c>
      <c r="O1113" t="n">
        <v>0</v>
      </c>
      <c r="P1113" t="n">
        <v>0</v>
      </c>
      <c r="Q1113" t="n">
        <v>0</v>
      </c>
      <c r="R1113" t="inlineStr">
        <is>
          <t>Operationnel</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row>
    <row r="1114">
      <c r="A1114" t="inlineStr">
        <is>
          <t>Mendong-II</t>
        </is>
      </c>
      <c r="B1114" t="inlineStr">
        <is>
          <t>CTR_476</t>
        </is>
      </c>
      <c r="C1114" t="inlineStr">
        <is>
          <t>Yaounde</t>
        </is>
      </c>
      <c r="D1114" t="inlineStr">
        <is>
          <t>IHS</t>
        </is>
      </c>
      <c r="E1114" t="inlineStr">
        <is>
          <t>Grid-Gen</t>
        </is>
      </c>
      <c r="F1114" t="inlineStr">
        <is>
          <t>CENTRE</t>
        </is>
      </c>
      <c r="G1114" t="inlineStr">
        <is>
          <t>Yaounde</t>
        </is>
      </c>
      <c r="H1114" t="inlineStr">
        <is>
          <t>ZTE</t>
        </is>
      </c>
      <c r="I1114" t="n">
        <v>0.2872517713799787</v>
      </c>
      <c r="J1114" t="n">
        <v>3.360235765467294</v>
      </c>
      <c r="K1114" t="n">
        <v>0</v>
      </c>
      <c r="L1114" t="n">
        <v>0</v>
      </c>
      <c r="M1114" t="n">
        <v>0.001997528771548255</v>
      </c>
      <c r="N1114" t="n">
        <v>0</v>
      </c>
      <c r="O1114" t="n">
        <v>0</v>
      </c>
      <c r="P1114" t="n">
        <v>0</v>
      </c>
      <c r="Q1114" t="n">
        <v>0</v>
      </c>
      <c r="R1114" t="inlineStr">
        <is>
          <t>Operationnel</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row>
    <row r="1115">
      <c r="A1115" t="inlineStr">
        <is>
          <t>Mvog-Ada-New</t>
        </is>
      </c>
      <c r="B1115" t="inlineStr">
        <is>
          <t>CTR_347</t>
        </is>
      </c>
      <c r="C1115" t="inlineStr">
        <is>
          <t>Yaounde</t>
        </is>
      </c>
      <c r="D1115" t="inlineStr"/>
      <c r="E1115" t="inlineStr"/>
      <c r="F1115" t="inlineStr">
        <is>
          <t>CENTRE</t>
        </is>
      </c>
      <c r="G1115" t="inlineStr">
        <is>
          <t>Yaounde</t>
        </is>
      </c>
      <c r="H1115" t="inlineStr">
        <is>
          <t>ZTE</t>
        </is>
      </c>
      <c r="I1115" t="n">
        <v>0</v>
      </c>
      <c r="J1115" t="n">
        <v>0</v>
      </c>
      <c r="K1115" t="n">
        <v>0</v>
      </c>
      <c r="L1115" t="n">
        <v>0</v>
      </c>
      <c r="M1115" t="n">
        <v>0.001944023536596058</v>
      </c>
      <c r="N1115" t="n">
        <v>0</v>
      </c>
      <c r="O1115" t="n">
        <v>0</v>
      </c>
      <c r="P1115" t="n">
        <v>0</v>
      </c>
      <c r="Q1115" t="n">
        <v>0</v>
      </c>
      <c r="R1115" t="inlineStr">
        <is>
          <t>Operationnel</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row>
    <row r="1116">
      <c r="A1116" t="inlineStr">
        <is>
          <t>NR-Carrossel</t>
        </is>
      </c>
      <c r="B1116" t="inlineStr">
        <is>
          <t>CTR_565</t>
        </is>
      </c>
      <c r="C1116" t="inlineStr">
        <is>
          <t>Yaounde</t>
        </is>
      </c>
      <c r="D1116" t="inlineStr">
        <is>
          <t>CAMUSAT</t>
        </is>
      </c>
      <c r="E1116" t="inlineStr">
        <is>
          <t>Good Grid no GE - 8h</t>
        </is>
      </c>
      <c r="F1116" t="inlineStr">
        <is>
          <t>CENTRE</t>
        </is>
      </c>
      <c r="G1116" t="inlineStr">
        <is>
          <t>Yaounde</t>
        </is>
      </c>
      <c r="H1116" t="inlineStr">
        <is>
          <t>ZTE</t>
        </is>
      </c>
      <c r="I1116" t="n">
        <v>0.343396597923141</v>
      </c>
      <c r="J1116" t="n">
        <v>0</v>
      </c>
      <c r="K1116" t="n">
        <v>0</v>
      </c>
      <c r="L1116" t="n">
        <v>0</v>
      </c>
      <c r="M1116" t="n">
        <v>0.001926188458278717</v>
      </c>
      <c r="N1116" t="n">
        <v>0</v>
      </c>
      <c r="O1116" t="n">
        <v>0</v>
      </c>
      <c r="P1116" t="n">
        <v>0</v>
      </c>
      <c r="Q1116" t="n">
        <v>0</v>
      </c>
      <c r="R1116" t="inlineStr">
        <is>
          <t>Operationnel</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row>
    <row r="1117">
      <c r="A1117" t="inlineStr">
        <is>
          <t>Simbock</t>
        </is>
      </c>
      <c r="B1117" t="inlineStr">
        <is>
          <t>CTR_069</t>
        </is>
      </c>
      <c r="C1117" t="inlineStr">
        <is>
          <t>Yaounde</t>
        </is>
      </c>
      <c r="D1117" t="inlineStr">
        <is>
          <t>IHS</t>
        </is>
      </c>
      <c r="E1117" t="inlineStr">
        <is>
          <t>Grid-Gen</t>
        </is>
      </c>
      <c r="F1117" t="inlineStr">
        <is>
          <t>CENTRE</t>
        </is>
      </c>
      <c r="G1117" t="inlineStr">
        <is>
          <t>Yaounde</t>
        </is>
      </c>
      <c r="H1117" t="inlineStr">
        <is>
          <t>ZTE</t>
        </is>
      </c>
      <c r="I1117" t="n">
        <v>0</v>
      </c>
      <c r="J1117" t="n">
        <v>0</v>
      </c>
      <c r="K1117" t="n">
        <v>0</v>
      </c>
      <c r="L1117" t="n">
        <v>0</v>
      </c>
      <c r="M1117" t="n">
        <v>0.001801342910056983</v>
      </c>
      <c r="N1117" t="n">
        <v>0</v>
      </c>
      <c r="O1117" t="n">
        <v>0</v>
      </c>
      <c r="P1117" t="n">
        <v>0</v>
      </c>
      <c r="Q1117" t="n">
        <v>0</v>
      </c>
      <c r="R1117" t="inlineStr">
        <is>
          <t>Operationnel</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row>
    <row r="1118">
      <c r="A1118" t="inlineStr">
        <is>
          <t>Mendong-Vallee2-MTN-IHS</t>
        </is>
      </c>
      <c r="B1118" t="inlineStr">
        <is>
          <t>CTR_521</t>
        </is>
      </c>
      <c r="C1118" t="inlineStr">
        <is>
          <t>Yaounde</t>
        </is>
      </c>
      <c r="D1118" t="inlineStr">
        <is>
          <t>IHS</t>
        </is>
      </c>
      <c r="E1118" t="inlineStr">
        <is>
          <t>Grid-Gen</t>
        </is>
      </c>
      <c r="F1118" t="inlineStr">
        <is>
          <t>CENTRE</t>
        </is>
      </c>
      <c r="G1118" t="inlineStr">
        <is>
          <t>Yaounde</t>
        </is>
      </c>
      <c r="H1118" t="inlineStr">
        <is>
          <t>ZTE</t>
        </is>
      </c>
      <c r="I1118" t="n">
        <v>0</v>
      </c>
      <c r="J1118" t="n">
        <v>0</v>
      </c>
      <c r="K1118" t="n">
        <v>0</v>
      </c>
      <c r="L1118" t="n">
        <v>0</v>
      </c>
      <c r="M1118" t="n">
        <v>0.001712167518469762</v>
      </c>
      <c r="N1118" t="n">
        <v>0</v>
      </c>
      <c r="O1118" t="n">
        <v>0</v>
      </c>
      <c r="P1118" t="n">
        <v>0</v>
      </c>
      <c r="Q1118" t="n">
        <v>0</v>
      </c>
      <c r="R1118" t="inlineStr">
        <is>
          <t>Operationnel</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row>
    <row r="1119">
      <c r="A1119" t="inlineStr">
        <is>
          <t>CTR_920_Z_MENDONG-ELOUMDEM</t>
        </is>
      </c>
      <c r="B1119" t="inlineStr">
        <is>
          <t>CTR_920</t>
        </is>
      </c>
      <c r="C1119" t="inlineStr">
        <is>
          <t>Yaounde</t>
        </is>
      </c>
      <c r="D1119" t="inlineStr">
        <is>
          <t>ESCO</t>
        </is>
      </c>
      <c r="E1119" t="inlineStr">
        <is>
          <t>Good Grid + Solar + GE</t>
        </is>
      </c>
      <c r="F1119" t="inlineStr">
        <is>
          <t>CENTRE</t>
        </is>
      </c>
      <c r="G1119" t="inlineStr">
        <is>
          <t>Yaounde</t>
        </is>
      </c>
      <c r="H1119" t="inlineStr">
        <is>
          <t>ZTE</t>
        </is>
      </c>
      <c r="I1119" t="n">
        <v>0</v>
      </c>
      <c r="J1119" t="n">
        <v>0</v>
      </c>
      <c r="K1119" t="n">
        <v>0</v>
      </c>
      <c r="L1119" t="n">
        <v>0</v>
      </c>
      <c r="M1119" t="n">
        <v>0.001658662283517737</v>
      </c>
      <c r="N1119" t="n">
        <v>0</v>
      </c>
      <c r="O1119" t="n">
        <v>0</v>
      </c>
      <c r="P1119" t="n">
        <v>0</v>
      </c>
      <c r="Q1119" t="n">
        <v>0</v>
      </c>
      <c r="R1119" t="inlineStr">
        <is>
          <t>Operationnel</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row>
    <row r="1120">
      <c r="A1120" t="inlineStr">
        <is>
          <t>CTR_940_Z_GBS-la-releve-Simbock</t>
        </is>
      </c>
      <c r="B1120" t="inlineStr">
        <is>
          <t>CTR_940</t>
        </is>
      </c>
      <c r="C1120" t="inlineStr">
        <is>
          <t>Yaounde</t>
        </is>
      </c>
      <c r="D1120" t="inlineStr">
        <is>
          <t>ESCO</t>
        </is>
      </c>
      <c r="E1120" t="inlineStr"/>
      <c r="F1120" t="inlineStr">
        <is>
          <t>CENTRE</t>
        </is>
      </c>
      <c r="G1120" t="inlineStr">
        <is>
          <t>Yaounde</t>
        </is>
      </c>
      <c r="H1120" t="inlineStr">
        <is>
          <t>ZTE</t>
        </is>
      </c>
      <c r="I1120" t="n">
        <v>0</v>
      </c>
      <c r="J1120" t="n">
        <v>0</v>
      </c>
      <c r="K1120" t="n">
        <v>0</v>
      </c>
      <c r="L1120" t="n">
        <v>0</v>
      </c>
      <c r="M1120" t="n">
        <v>0.001622992126882882</v>
      </c>
      <c r="N1120" t="n">
        <v>0</v>
      </c>
      <c r="O1120" t="n">
        <v>0</v>
      </c>
      <c r="P1120" t="n">
        <v>0</v>
      </c>
      <c r="Q1120" t="n">
        <v>0</v>
      </c>
      <c r="R1120" t="inlineStr">
        <is>
          <t>Operationnel</t>
        </is>
      </c>
      <c r="S1120" t="inlineStr"/>
      <c r="T1120" t="inlineStr"/>
      <c r="U1120" t="inlineStr"/>
      <c r="V1120" t="inlineStr"/>
      <c r="W1120" t="inlineStr"/>
      <c r="X1120" t="inlineStr">
        <is>
          <t xml:space="preserve">{05-25-2026 retour CAMUSAT}: No power issue </t>
        </is>
      </c>
      <c r="Y1120" t="inlineStr">
        <is>
          <t>No power issue</t>
        </is>
      </c>
      <c r="Z1120" t="inlineStr"/>
      <c r="AA1120" t="inlineStr"/>
      <c r="AB1120" t="inlineStr"/>
      <c r="AC1120" t="inlineStr">
        <is>
          <t xml:space="preserve">{05-25-2026 retour CAMUSAT}: No power issue </t>
        </is>
      </c>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row>
    <row r="1121">
      <c r="A1121" t="inlineStr">
        <is>
          <t>Kumba-Krama-IHS</t>
        </is>
      </c>
      <c r="B1121" t="inlineStr">
        <is>
          <t>SUO_125</t>
        </is>
      </c>
      <c r="C1121" t="inlineStr">
        <is>
          <t>SUD-OUEST</t>
        </is>
      </c>
      <c r="D1121" t="inlineStr">
        <is>
          <t>IHS</t>
        </is>
      </c>
      <c r="E1121" t="inlineStr">
        <is>
          <t>Grid-Gen</t>
        </is>
      </c>
      <c r="F1121" t="inlineStr">
        <is>
          <t>SUD-OUEST</t>
        </is>
      </c>
      <c r="G1121" t="inlineStr">
        <is>
          <t>Kumba</t>
        </is>
      </c>
      <c r="H1121" t="inlineStr">
        <is>
          <t>Huawei</t>
        </is>
      </c>
      <c r="I1121" t="n">
        <v>0.003549180585161787</v>
      </c>
      <c r="J1121" t="n">
        <v>0.005261348103631792</v>
      </c>
      <c r="K1121" t="n">
        <v>0.006153102019501588</v>
      </c>
      <c r="L1121" t="n">
        <v>0.01542734274454746</v>
      </c>
      <c r="M1121" t="n">
        <v>0.001605157048565631</v>
      </c>
      <c r="N1121" t="n">
        <v>0</v>
      </c>
      <c r="O1121" t="n">
        <v>0</v>
      </c>
      <c r="P1121" t="n">
        <v>0</v>
      </c>
      <c r="Q1121" t="n">
        <v>0</v>
      </c>
      <c r="R1121" t="inlineStr">
        <is>
          <t>Operationnel</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row>
    <row r="1122">
      <c r="A1122" t="inlineStr">
        <is>
          <t>Nkomeda</t>
        </is>
      </c>
      <c r="B1122" t="inlineStr">
        <is>
          <t>CTR_597</t>
        </is>
      </c>
      <c r="C1122" t="inlineStr">
        <is>
          <t>Yaounde</t>
        </is>
      </c>
      <c r="D1122" t="inlineStr">
        <is>
          <t>CAMUSAT</t>
        </is>
      </c>
      <c r="E1122" t="inlineStr">
        <is>
          <t>Good Grid + GE</t>
        </is>
      </c>
      <c r="F1122" t="inlineStr">
        <is>
          <t>CENTRE</t>
        </is>
      </c>
      <c r="G1122" t="inlineStr">
        <is>
          <t>Yaounde</t>
        </is>
      </c>
      <c r="H1122" t="inlineStr">
        <is>
          <t>ZTE</t>
        </is>
      </c>
      <c r="I1122" t="n">
        <v>0</v>
      </c>
      <c r="J1122" t="n">
        <v>0</v>
      </c>
      <c r="K1122" t="n">
        <v>0</v>
      </c>
      <c r="L1122" t="n">
        <v>0</v>
      </c>
      <c r="M1122" t="n">
        <v>0.001498146578660977</v>
      </c>
      <c r="N1122" t="n">
        <v>0</v>
      </c>
      <c r="O1122" t="n">
        <v>0</v>
      </c>
      <c r="P1122" t="n">
        <v>0</v>
      </c>
      <c r="Q1122" t="n">
        <v>0</v>
      </c>
      <c r="R1122" t="inlineStr">
        <is>
          <t>Operationnel</t>
        </is>
      </c>
      <c r="S1122" t="inlineStr"/>
      <c r="T1122" t="inlineStr"/>
      <c r="U1122" t="inlineStr"/>
      <c r="V1122" t="inlineStr"/>
      <c r="W1122" t="inlineStr"/>
      <c r="X1122" t="inlineStr">
        <is>
          <t xml:space="preserve">{05-25-2026 retour CAMUSAT}: No power issue </t>
        </is>
      </c>
      <c r="Y1122" t="inlineStr">
        <is>
          <t>No power issue</t>
        </is>
      </c>
      <c r="Z1122" t="inlineStr"/>
      <c r="AA1122" t="inlineStr"/>
      <c r="AB1122" t="inlineStr"/>
      <c r="AC1122" t="inlineStr">
        <is>
          <t xml:space="preserve">{05-25-2026 retour CAMUSAT}: No power issue </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row>
    <row r="1123">
      <c r="A1123" t="inlineStr">
        <is>
          <t>Mendong-Village</t>
        </is>
      </c>
      <c r="B1123" t="inlineStr">
        <is>
          <t>CTR_713</t>
        </is>
      </c>
      <c r="C1123" t="inlineStr">
        <is>
          <t>Yaounde</t>
        </is>
      </c>
      <c r="D1123" t="inlineStr">
        <is>
          <t>CAMUSAT</t>
        </is>
      </c>
      <c r="E1123" t="inlineStr">
        <is>
          <t>Good Grid + GE</t>
        </is>
      </c>
      <c r="F1123" t="inlineStr">
        <is>
          <t>CENTRE</t>
        </is>
      </c>
      <c r="G1123" t="inlineStr">
        <is>
          <t>Yaounde</t>
        </is>
      </c>
      <c r="H1123" t="inlineStr">
        <is>
          <t>ZTE</t>
        </is>
      </c>
      <c r="I1123" t="n">
        <v>0</v>
      </c>
      <c r="J1123" t="n">
        <v>0</v>
      </c>
      <c r="K1123" t="n">
        <v>0</v>
      </c>
      <c r="L1123" t="n">
        <v>0</v>
      </c>
      <c r="M1123" t="n">
        <v>0.001462476422026294</v>
      </c>
      <c r="N1123" t="n">
        <v>0</v>
      </c>
      <c r="O1123" t="n">
        <v>0</v>
      </c>
      <c r="P1123" t="n">
        <v>0</v>
      </c>
      <c r="Q1123" t="n">
        <v>0</v>
      </c>
      <c r="R1123" t="inlineStr">
        <is>
          <t>Operationnel</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row>
    <row r="1124">
      <c r="A1124" t="inlineStr">
        <is>
          <t>Nkolzie-II</t>
        </is>
      </c>
      <c r="B1124" t="inlineStr">
        <is>
          <t>CTR_672</t>
        </is>
      </c>
      <c r="C1124" t="inlineStr">
        <is>
          <t>CENTRE</t>
        </is>
      </c>
      <c r="D1124" t="inlineStr">
        <is>
          <t>CAMUSAT</t>
        </is>
      </c>
      <c r="E1124" t="inlineStr">
        <is>
          <t>Good Grid no GE - 12h</t>
        </is>
      </c>
      <c r="F1124" t="inlineStr">
        <is>
          <t>CENTRE</t>
        </is>
      </c>
      <c r="G1124" t="inlineStr">
        <is>
          <t>Nkolzie</t>
        </is>
      </c>
      <c r="H1124" t="inlineStr">
        <is>
          <t>ZTE</t>
        </is>
      </c>
      <c r="I1124" t="n">
        <v>2.184707918489412</v>
      </c>
      <c r="J1124" t="n">
        <v>7.821002873587817</v>
      </c>
      <c r="K1124" t="n">
        <v>0</v>
      </c>
      <c r="L1124" t="n">
        <v>0</v>
      </c>
      <c r="M1124" t="n">
        <v>0.001444641343708952</v>
      </c>
      <c r="N1124" t="n">
        <v>0</v>
      </c>
      <c r="O1124" t="n">
        <v>0</v>
      </c>
      <c r="P1124" t="n">
        <v>0</v>
      </c>
      <c r="Q1124" t="n">
        <v>0</v>
      </c>
      <c r="R1124" t="inlineStr">
        <is>
          <t>Operationnel</t>
        </is>
      </c>
      <c r="S1124" t="inlineStr"/>
      <c r="T1124" t="inlineStr"/>
      <c r="U1124" t="inlineStr"/>
      <c r="V1124" t="inlineStr"/>
      <c r="W1124" t="inlineStr"/>
      <c r="X1124" t="inlineStr">
        <is>
          <t xml:space="preserve">{05-25-2026 retour CAMUSAT}: No power issue </t>
        </is>
      </c>
      <c r="Y1124" t="inlineStr">
        <is>
          <t>No power issue</t>
        </is>
      </c>
      <c r="Z1124" t="inlineStr"/>
      <c r="AA1124" t="inlineStr"/>
      <c r="AB1124" t="inlineStr"/>
      <c r="AC1124" t="inlineStr">
        <is>
          <t xml:space="preserve">{05-25-2026 retour CAMUSAT}: No power issue </t>
        </is>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row>
    <row r="1125">
      <c r="A1125" t="inlineStr">
        <is>
          <t>Camp-Sic-Mendong</t>
        </is>
      </c>
      <c r="B1125" t="inlineStr">
        <is>
          <t>CTR_767</t>
        </is>
      </c>
      <c r="C1125" t="inlineStr">
        <is>
          <t>Yaounde</t>
        </is>
      </c>
      <c r="D1125" t="inlineStr">
        <is>
          <t>CAMUSAT</t>
        </is>
      </c>
      <c r="E1125" t="inlineStr">
        <is>
          <t>Good Grid no GE - 8h</t>
        </is>
      </c>
      <c r="F1125" t="inlineStr">
        <is>
          <t>CENTRE</t>
        </is>
      </c>
      <c r="G1125" t="inlineStr">
        <is>
          <t>Yaounde</t>
        </is>
      </c>
      <c r="H1125" t="inlineStr">
        <is>
          <t>ZTE</t>
        </is>
      </c>
      <c r="I1125" t="n">
        <v>0</v>
      </c>
      <c r="J1125" t="n">
        <v>0</v>
      </c>
      <c r="K1125" t="n">
        <v>0</v>
      </c>
      <c r="L1125" t="n">
        <v>0</v>
      </c>
      <c r="M1125" t="n">
        <v>0.001408971187074269</v>
      </c>
      <c r="N1125" t="n">
        <v>0</v>
      </c>
      <c r="O1125" t="n">
        <v>0</v>
      </c>
      <c r="P1125" t="n">
        <v>0</v>
      </c>
      <c r="Q1125" t="n">
        <v>0</v>
      </c>
      <c r="R1125" t="inlineStr">
        <is>
          <t>Operationnel</t>
        </is>
      </c>
      <c r="S1125" t="inlineStr"/>
      <c r="T1125" t="inlineStr"/>
      <c r="U1125" t="inlineStr"/>
      <c r="V1125" t="inlineStr"/>
      <c r="W1125" t="inlineStr"/>
      <c r="X1125" t="inlineStr">
        <is>
          <t xml:space="preserve">{05-25-2026 retour CAMUSAT}: No power issue </t>
        </is>
      </c>
      <c r="Y1125" t="inlineStr">
        <is>
          <t>No power issue</t>
        </is>
      </c>
      <c r="Z1125" t="inlineStr"/>
      <c r="AA1125" t="inlineStr"/>
      <c r="AB1125" t="inlineStr"/>
      <c r="AC1125" t="inlineStr">
        <is>
          <t xml:space="preserve">{05-25-2026 retour CAMUSAT}: No power issue </t>
        </is>
      </c>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row>
    <row r="1126">
      <c r="A1126" t="inlineStr">
        <is>
          <t>Etoug-Ebe-II</t>
        </is>
      </c>
      <c r="B1126" t="inlineStr">
        <is>
          <t>CTR_740</t>
        </is>
      </c>
      <c r="C1126" t="inlineStr">
        <is>
          <t>Yaounde</t>
        </is>
      </c>
      <c r="D1126" t="inlineStr">
        <is>
          <t>CAMUSAT</t>
        </is>
      </c>
      <c r="E1126" t="inlineStr">
        <is>
          <t>Good Grid + GE</t>
        </is>
      </c>
      <c r="F1126" t="inlineStr">
        <is>
          <t>CENTRE</t>
        </is>
      </c>
      <c r="G1126" t="inlineStr">
        <is>
          <t>Yaounde</t>
        </is>
      </c>
      <c r="H1126" t="inlineStr">
        <is>
          <t>ZTE</t>
        </is>
      </c>
      <c r="I1126" t="n">
        <v>1.948428800940551</v>
      </c>
      <c r="J1126" t="n">
        <v>0</v>
      </c>
      <c r="K1126" t="n">
        <v>0</v>
      </c>
      <c r="L1126" t="n">
        <v>0</v>
      </c>
      <c r="M1126" t="n">
        <v>0.001355465952121902</v>
      </c>
      <c r="N1126" t="n">
        <v>0</v>
      </c>
      <c r="O1126" t="n">
        <v>0</v>
      </c>
      <c r="P1126" t="n">
        <v>0</v>
      </c>
      <c r="Q1126" t="n">
        <v>0</v>
      </c>
      <c r="R1126" t="inlineStr">
        <is>
          <t>Operationnel</t>
        </is>
      </c>
      <c r="S1126" t="inlineStr"/>
      <c r="T1126" t="inlineStr"/>
      <c r="U1126" t="inlineStr"/>
      <c r="V1126" t="inlineStr"/>
      <c r="W1126" t="inlineStr"/>
      <c r="X1126" t="inlineStr">
        <is>
          <t xml:space="preserve">{05-25-2026 retour CAMUSAT}: No power issue </t>
        </is>
      </c>
      <c r="Y1126" t="inlineStr">
        <is>
          <t>No power issue</t>
        </is>
      </c>
      <c r="Z1126" t="inlineStr"/>
      <c r="AA1126" t="inlineStr"/>
      <c r="AB1126" t="inlineStr"/>
      <c r="AC1126" t="inlineStr">
        <is>
          <t xml:space="preserve">{05-25-2026 retour CAMUSAT}: No power issue </t>
        </is>
      </c>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row>
    <row r="1127">
      <c r="A1127" t="inlineStr">
        <is>
          <t>Ma</t>
        </is>
      </c>
      <c r="B1127" t="inlineStr">
        <is>
          <t>NRO_021</t>
        </is>
      </c>
      <c r="C1127" t="inlineStr">
        <is>
          <t>NORD-OUEST</t>
        </is>
      </c>
      <c r="D1127" t="inlineStr">
        <is>
          <t>IHS</t>
        </is>
      </c>
      <c r="E1127" t="inlineStr">
        <is>
          <t>Grid-Gen</t>
        </is>
      </c>
      <c r="F1127" t="inlineStr">
        <is>
          <t>NORD-OUEST</t>
        </is>
      </c>
      <c r="G1127" t="inlineStr">
        <is>
          <t>Ma</t>
        </is>
      </c>
      <c r="H1127" t="inlineStr">
        <is>
          <t>NOKIA</t>
        </is>
      </c>
      <c r="I1127" t="n">
        <v>0</v>
      </c>
      <c r="J1127" t="n">
        <v>0</v>
      </c>
      <c r="K1127" t="n">
        <v>0</v>
      </c>
      <c r="L1127" t="n">
        <v>3.688579557290552</v>
      </c>
      <c r="M1127" t="n">
        <v>0.001337630873804731</v>
      </c>
      <c r="N1127" t="n">
        <v>0</v>
      </c>
      <c r="O1127" t="n">
        <v>0</v>
      </c>
      <c r="P1127" t="n">
        <v>0</v>
      </c>
      <c r="Q1127" t="n">
        <v>0</v>
      </c>
      <c r="R1127" t="inlineStr">
        <is>
          <t>Insecurity</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row>
    <row r="1128">
      <c r="A1128" t="inlineStr">
        <is>
          <t>Afanoya-II</t>
        </is>
      </c>
      <c r="B1128" t="inlineStr">
        <is>
          <t>CTR_838</t>
        </is>
      </c>
      <c r="C1128" t="inlineStr">
        <is>
          <t>Yaounde</t>
        </is>
      </c>
      <c r="D1128" t="inlineStr">
        <is>
          <t>CAMUSAT</t>
        </is>
      </c>
      <c r="E1128" t="inlineStr">
        <is>
          <t>Medium Grid + GE</t>
        </is>
      </c>
      <c r="F1128" t="inlineStr">
        <is>
          <t>CENTRE</t>
        </is>
      </c>
      <c r="G1128" t="inlineStr">
        <is>
          <t>Yaounde</t>
        </is>
      </c>
      <c r="H1128" t="inlineStr">
        <is>
          <t>ZTE</t>
        </is>
      </c>
      <c r="I1128" t="n">
        <v>0</v>
      </c>
      <c r="J1128" t="n">
        <v>0</v>
      </c>
      <c r="K1128" t="n">
        <v>0</v>
      </c>
      <c r="L1128" t="n">
        <v>0</v>
      </c>
      <c r="M1128" t="n">
        <v>0.001337630873804586</v>
      </c>
      <c r="N1128" t="n">
        <v>0</v>
      </c>
      <c r="O1128" t="n">
        <v>0</v>
      </c>
      <c r="P1128" t="n">
        <v>0</v>
      </c>
      <c r="Q1128" t="n">
        <v>0</v>
      </c>
      <c r="R1128" t="inlineStr">
        <is>
          <t>Operationnel</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row>
    <row r="1129">
      <c r="A1129" t="inlineStr">
        <is>
          <t>Mendong-Maetur-IHS</t>
        </is>
      </c>
      <c r="B1129" t="inlineStr">
        <is>
          <t>CTR_486</t>
        </is>
      </c>
      <c r="C1129" t="inlineStr">
        <is>
          <t>Yaounde</t>
        </is>
      </c>
      <c r="D1129" t="inlineStr">
        <is>
          <t>IHS</t>
        </is>
      </c>
      <c r="E1129" t="inlineStr">
        <is>
          <t>Grid-Gen</t>
        </is>
      </c>
      <c r="F1129" t="inlineStr">
        <is>
          <t>CENTRE</t>
        </is>
      </c>
      <c r="G1129" t="inlineStr">
        <is>
          <t>Yaounde</t>
        </is>
      </c>
      <c r="H1129" t="inlineStr">
        <is>
          <t>ZTE</t>
        </is>
      </c>
      <c r="I1129" t="n">
        <v>0</v>
      </c>
      <c r="J1129" t="n">
        <v>0</v>
      </c>
      <c r="K1129" t="n">
        <v>0</v>
      </c>
      <c r="L1129" t="n">
        <v>0</v>
      </c>
      <c r="M1129" t="n">
        <v>0.00133763087380456</v>
      </c>
      <c r="N1129" t="n">
        <v>0</v>
      </c>
      <c r="O1129" t="n">
        <v>0</v>
      </c>
      <c r="P1129" t="n">
        <v>0</v>
      </c>
      <c r="Q1129" t="n">
        <v>0</v>
      </c>
      <c r="R1129" t="inlineStr">
        <is>
          <t>Operationnel</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row>
    <row r="1130">
      <c r="A1130" t="inlineStr">
        <is>
          <t>Balikumbat-Palais</t>
        </is>
      </c>
      <c r="B1130" t="inlineStr">
        <is>
          <t>NRO_034</t>
        </is>
      </c>
      <c r="C1130" t="inlineStr">
        <is>
          <t>NORD-OUEST</t>
        </is>
      </c>
      <c r="D1130" t="inlineStr">
        <is>
          <t>IHS</t>
        </is>
      </c>
      <c r="E1130" t="inlineStr">
        <is>
          <t>Grid-Gen</t>
        </is>
      </c>
      <c r="F1130" t="inlineStr">
        <is>
          <t>NORD-OUEST</t>
        </is>
      </c>
      <c r="G1130" t="inlineStr">
        <is>
          <t>Balikumbat</t>
        </is>
      </c>
      <c r="H1130" t="inlineStr">
        <is>
          <t>NOKIA</t>
        </is>
      </c>
      <c r="I1130" t="n">
        <v>0.3186593442969128</v>
      </c>
      <c r="J1130" t="n">
        <v>0.2295909631798374</v>
      </c>
      <c r="K1130" t="n">
        <v>0</v>
      </c>
      <c r="L1130" t="n">
        <v>2.118272251757111</v>
      </c>
      <c r="M1130" t="n">
        <v>0.0008025785242829413</v>
      </c>
      <c r="N1130" t="n">
        <v>0</v>
      </c>
      <c r="O1130" t="n">
        <v>0</v>
      </c>
      <c r="P1130" t="n">
        <v>0</v>
      </c>
      <c r="Q1130" t="n">
        <v>0</v>
      </c>
      <c r="R1130" t="inlineStr">
        <is>
          <t>Insecurity</t>
        </is>
      </c>
      <c r="S1130" t="inlineStr"/>
      <c r="T1130" t="inlineStr"/>
      <c r="U1130" t="inlineStr"/>
      <c r="V1130" t="inlineStr"/>
      <c r="W1130" t="inlineStr"/>
      <c r="X1130" t="inlineStr">
        <is>
          <t>{None hourly IHS}: 25/05/2026 18:57..3:27:57..Fme is informed and managing</t>
        </is>
      </c>
      <c r="Y1130" t="inlineStr">
        <is>
          <t>25/05/2026 18 57.3 27 57.Fme is informed and managing</t>
        </is>
      </c>
      <c r="Z1130" t="inlineStr"/>
      <c r="AA1130" t="inlineStr"/>
      <c r="AB1130" t="inlineStr"/>
      <c r="AC1130" t="inlineStr"/>
      <c r="AD1130" t="inlineStr"/>
      <c r="AE1130" t="inlineStr">
        <is>
          <t>{None hourly IHS}: 25/05/2026 18:57..3:27:57..Fme is informed and managing</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row>
    <row r="1131">
      <c r="A1131" t="inlineStr">
        <is>
          <t>Sohock-IHS</t>
        </is>
      </c>
      <c r="B1131" t="inlineStr">
        <is>
          <t>LIT_501</t>
        </is>
      </c>
      <c r="C1131" t="inlineStr">
        <is>
          <t>LITTORAL</t>
        </is>
      </c>
      <c r="D1131" t="inlineStr">
        <is>
          <t>IHS</t>
        </is>
      </c>
      <c r="E1131" t="inlineStr">
        <is>
          <t>Hybrid-Gen</t>
        </is>
      </c>
      <c r="F1131" t="inlineStr">
        <is>
          <t>LITTORAL</t>
        </is>
      </c>
      <c r="G1131" t="inlineStr">
        <is>
          <t>Sohock</t>
        </is>
      </c>
      <c r="H1131" t="inlineStr">
        <is>
          <t>NOKIA</t>
        </is>
      </c>
      <c r="I1131" t="n">
        <v>0</v>
      </c>
      <c r="J1131" t="n">
        <v>0</v>
      </c>
      <c r="K1131" t="n">
        <v>0</v>
      </c>
      <c r="L1131" t="n">
        <v>0</v>
      </c>
      <c r="M1131" t="n">
        <v>0.0004280418796175018</v>
      </c>
      <c r="N1131" t="n">
        <v>0</v>
      </c>
      <c r="O1131" t="n">
        <v>0</v>
      </c>
      <c r="P1131" t="n">
        <v>0</v>
      </c>
      <c r="Q1131" t="n">
        <v>0</v>
      </c>
      <c r="R1131" t="inlineStr">
        <is>
          <t>Operationnel</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row>
    <row r="1132">
      <c r="A1132" t="inlineStr">
        <is>
          <t>BAMENDA-MENTEH-IHS</t>
        </is>
      </c>
      <c r="B1132" t="inlineStr">
        <is>
          <t>NRO_148</t>
        </is>
      </c>
      <c r="C1132" t="inlineStr">
        <is>
          <t>NORD-OUEST</t>
        </is>
      </c>
      <c r="D1132" t="inlineStr"/>
      <c r="E1132" t="inlineStr"/>
      <c r="F1132" t="inlineStr">
        <is>
          <t>NORD-OUEST</t>
        </is>
      </c>
      <c r="G1132" t="inlineStr">
        <is>
          <t>Bamenda</t>
        </is>
      </c>
      <c r="H1132" t="inlineStr">
        <is>
          <t>Huawei</t>
        </is>
      </c>
      <c r="I1132" t="n">
        <v>0</v>
      </c>
      <c r="J1132" t="n">
        <v>0</v>
      </c>
      <c r="K1132" t="n">
        <v>0</v>
      </c>
      <c r="L1132" t="n">
        <v>0.1609615818144981</v>
      </c>
      <c r="M1132" t="n">
        <v>0.0002675261747609386</v>
      </c>
      <c r="N1132" t="n">
        <v>0</v>
      </c>
      <c r="O1132" t="n">
        <v>0</v>
      </c>
      <c r="P1132" t="n">
        <v>0</v>
      </c>
      <c r="Q1132" t="n">
        <v>0</v>
      </c>
      <c r="R1132" t="inlineStr">
        <is>
          <t>Operationnel</t>
        </is>
      </c>
      <c r="S1132" t="inlineStr"/>
      <c r="T1132" t="inlineStr"/>
      <c r="U1132" t="inlineStr"/>
      <c r="V1132" t="inlineStr"/>
      <c r="W1132" t="inlineStr"/>
      <c r="X1132" t="inlineStr">
        <is>
          <t>{05-25-2026 retour IHS}: IHS</t>
        </is>
      </c>
      <c r="Y1132" t="inlineStr">
        <is>
          <t>IHS</t>
        </is>
      </c>
      <c r="Z1132" t="inlineStr"/>
      <c r="AA1132" t="inlineStr"/>
      <c r="AB1132" t="inlineStr"/>
      <c r="AC1132" t="inlineStr"/>
      <c r="AD1132" t="inlineStr">
        <is>
          <t>{05-25-2026 retour IHS}: IHS</t>
        </is>
      </c>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row>
    <row r="1133">
      <c r="A1133" t="inlineStr">
        <is>
          <t>Bda-Kwe-Pastoral-Center-IHS</t>
        </is>
      </c>
      <c r="B1133" t="inlineStr">
        <is>
          <t>NRO_062</t>
        </is>
      </c>
      <c r="C1133" t="inlineStr">
        <is>
          <t>NORD-OUEST</t>
        </is>
      </c>
      <c r="D1133" t="inlineStr">
        <is>
          <t>IHS</t>
        </is>
      </c>
      <c r="E1133" t="inlineStr">
        <is>
          <t>Grid-Gen</t>
        </is>
      </c>
      <c r="F1133" t="inlineStr">
        <is>
          <t>NORD-OUEST</t>
        </is>
      </c>
      <c r="G1133" t="inlineStr">
        <is>
          <t>Bamenda</t>
        </is>
      </c>
      <c r="H1133" t="inlineStr">
        <is>
          <t>Huawei</t>
        </is>
      </c>
      <c r="I1133" t="n">
        <v>0</v>
      </c>
      <c r="J1133" t="n">
        <v>4.168717700673167</v>
      </c>
      <c r="K1133" t="n">
        <v>0</v>
      </c>
      <c r="L1133" t="n">
        <v>0</v>
      </c>
      <c r="M1133" t="n">
        <v>0.0002675261747609386</v>
      </c>
      <c r="N1133" t="n">
        <v>0</v>
      </c>
      <c r="O1133" t="n">
        <v>0</v>
      </c>
      <c r="P1133" t="n">
        <v>0</v>
      </c>
      <c r="Q1133" t="n">
        <v>0</v>
      </c>
      <c r="R1133" t="inlineStr">
        <is>
          <t>Operationnel</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row>
    <row r="1134">
      <c r="A1134" t="inlineStr">
        <is>
          <t>Garoua-Lainde</t>
        </is>
      </c>
      <c r="B1134" t="inlineStr">
        <is>
          <t>NRD_009</t>
        </is>
      </c>
      <c r="C1134" t="inlineStr">
        <is>
          <t>Garoua</t>
        </is>
      </c>
      <c r="D1134" t="inlineStr">
        <is>
          <t>IHS</t>
        </is>
      </c>
      <c r="E1134" t="inlineStr">
        <is>
          <t>Grid-Gen</t>
        </is>
      </c>
      <c r="F1134" t="inlineStr">
        <is>
          <t>NORD</t>
        </is>
      </c>
      <c r="G1134" t="inlineStr">
        <is>
          <t>Garoua</t>
        </is>
      </c>
      <c r="H1134" t="inlineStr">
        <is>
          <t>Huawei</t>
        </is>
      </c>
      <c r="I1134" t="n">
        <v>0.01935105997437456</v>
      </c>
      <c r="J1134" t="n">
        <v>0</v>
      </c>
      <c r="K1134" t="n">
        <v>0</v>
      </c>
      <c r="L1134" t="n">
        <v>0</v>
      </c>
      <c r="M1134" t="n">
        <v>0.0001783507831739591</v>
      </c>
      <c r="N1134" t="n">
        <v>0</v>
      </c>
      <c r="O1134" t="n">
        <v>0</v>
      </c>
      <c r="P1134" t="n">
        <v>0</v>
      </c>
      <c r="Q1134" t="n">
        <v>0</v>
      </c>
      <c r="R1134" t="inlineStr">
        <is>
          <t>Operationnel</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row>
    <row r="1135">
      <c r="A1135" t="inlineStr">
        <is>
          <t>Orange-Bastos</t>
        </is>
      </c>
      <c r="B1135" t="inlineStr">
        <is>
          <t>CTR_820</t>
        </is>
      </c>
      <c r="C1135" t="inlineStr">
        <is>
          <t>Yaounde</t>
        </is>
      </c>
      <c r="D1135" t="inlineStr">
        <is>
          <t>OCM</t>
        </is>
      </c>
      <c r="E1135" t="inlineStr"/>
      <c r="F1135" t="inlineStr">
        <is>
          <t>CENTRE</t>
        </is>
      </c>
      <c r="G1135" t="inlineStr">
        <is>
          <t>Yaounde</t>
        </is>
      </c>
      <c r="H1135" t="inlineStr">
        <is>
          <t>ZTE</t>
        </is>
      </c>
      <c r="I1135" t="n">
        <v>0</v>
      </c>
      <c r="J1135" t="n">
        <v>1.309986502412729</v>
      </c>
      <c r="K1135" t="n">
        <v>0.09311694389512398</v>
      </c>
      <c r="L1135" t="n">
        <v>0.3199969751707175</v>
      </c>
      <c r="M1135" t="n">
        <v>0</v>
      </c>
      <c r="N1135" t="n">
        <v>0</v>
      </c>
      <c r="O1135" t="n">
        <v>0</v>
      </c>
      <c r="P1135" t="n">
        <v>0</v>
      </c>
      <c r="Q1135" t="n">
        <v>0</v>
      </c>
      <c r="R1135" t="inlineStr">
        <is>
          <t>Operationnel</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row>
    <row r="1136">
      <c r="A1136" t="inlineStr">
        <is>
          <t>LIT_853_Z_Japoma-Petit-Chateau</t>
        </is>
      </c>
      <c r="B1136" t="inlineStr">
        <is>
          <t>LIT_853</t>
        </is>
      </c>
      <c r="C1136" t="inlineStr">
        <is>
          <t>Douala</t>
        </is>
      </c>
      <c r="D1136" t="inlineStr"/>
      <c r="E1136" t="inlineStr"/>
      <c r="F1136" t="inlineStr">
        <is>
          <t>LITTORAL</t>
        </is>
      </c>
      <c r="G1136" t="inlineStr">
        <is>
          <t>Douala</t>
        </is>
      </c>
      <c r="H1136" t="inlineStr">
        <is>
          <t>ZTE</t>
        </is>
      </c>
      <c r="I1136" t="n">
        <v>0.1479598097211165</v>
      </c>
      <c r="J1136" t="n">
        <v>3.231876706816995</v>
      </c>
      <c r="K1136" t="n">
        <v>7.295010743851185</v>
      </c>
      <c r="L1136" t="n">
        <v>37.77139638675581</v>
      </c>
      <c r="M1136" t="n">
        <v>0</v>
      </c>
      <c r="N1136" t="n">
        <v>0</v>
      </c>
      <c r="O1136" t="n">
        <v>0</v>
      </c>
      <c r="P1136" t="n">
        <v>0</v>
      </c>
      <c r="Q1136" t="n">
        <v>0</v>
      </c>
      <c r="R1136" t="inlineStr">
        <is>
          <t>Operationnel</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row>
    <row r="1137">
      <c r="A1137" t="inlineStr">
        <is>
          <t>Melen-Baaba</t>
        </is>
      </c>
      <c r="B1137" t="inlineStr">
        <is>
          <t>CTR_594</t>
        </is>
      </c>
      <c r="C1137" t="inlineStr">
        <is>
          <t>CENTRE</t>
        </is>
      </c>
      <c r="D1137" t="inlineStr">
        <is>
          <t>IHS</t>
        </is>
      </c>
      <c r="E1137" t="inlineStr">
        <is>
          <t>Grid-Gen</t>
        </is>
      </c>
      <c r="F1137" t="inlineStr">
        <is>
          <t>CENTRE</t>
        </is>
      </c>
      <c r="G1137" t="inlineStr">
        <is>
          <t>Ba'aba</t>
        </is>
      </c>
      <c r="H1137" t="inlineStr">
        <is>
          <t>ZTE</t>
        </is>
      </c>
      <c r="I1137" t="n">
        <v>32.35996609908313</v>
      </c>
      <c r="J1137" t="n">
        <v>32.35996609908313</v>
      </c>
      <c r="K1137" t="n">
        <v>32.35996609908313</v>
      </c>
      <c r="L1137" t="n">
        <v>29.65270822097234</v>
      </c>
      <c r="M1137" t="n">
        <v>0</v>
      </c>
      <c r="N1137" t="n">
        <v>0</v>
      </c>
      <c r="O1137" t="n">
        <v>0</v>
      </c>
      <c r="P1137" t="n">
        <v>0</v>
      </c>
      <c r="Q1137" t="n">
        <v>0</v>
      </c>
      <c r="R1137" t="inlineStr">
        <is>
          <t>Operationnel</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row>
    <row r="1138">
      <c r="A1138" t="inlineStr">
        <is>
          <t>Japoma-II</t>
        </is>
      </c>
      <c r="B1138" t="inlineStr">
        <is>
          <t>LIT_646</t>
        </is>
      </c>
      <c r="C1138" t="inlineStr">
        <is>
          <t>Douala</t>
        </is>
      </c>
      <c r="D1138" t="inlineStr"/>
      <c r="E1138" t="inlineStr"/>
      <c r="F1138" t="inlineStr">
        <is>
          <t>LITTORAL</t>
        </is>
      </c>
      <c r="G1138" t="inlineStr">
        <is>
          <t>Douala</t>
        </is>
      </c>
      <c r="H1138" t="inlineStr">
        <is>
          <t>ZTE</t>
        </is>
      </c>
      <c r="I1138" t="n">
        <v>0.01917270919120039</v>
      </c>
      <c r="J1138" t="n">
        <v>0.1752831497033673</v>
      </c>
      <c r="K1138" t="n">
        <v>4.646127077073223</v>
      </c>
      <c r="L1138" t="n">
        <v>24.38074824574169</v>
      </c>
      <c r="M1138" t="n">
        <v>0</v>
      </c>
      <c r="N1138" t="n">
        <v>0</v>
      </c>
      <c r="O1138" t="n">
        <v>0</v>
      </c>
      <c r="P1138" t="n">
        <v>0</v>
      </c>
      <c r="Q1138" t="n">
        <v>0</v>
      </c>
      <c r="R1138" t="inlineStr">
        <is>
          <t>Operationnel</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row>
    <row r="1139">
      <c r="A1139" t="inlineStr">
        <is>
          <t>Edea-Mbondanjick</t>
        </is>
      </c>
      <c r="B1139" t="inlineStr">
        <is>
          <t>LIT_456</t>
        </is>
      </c>
      <c r="C1139" t="inlineStr">
        <is>
          <t>LITTORAL</t>
        </is>
      </c>
      <c r="D1139" t="inlineStr">
        <is>
          <t>IHS</t>
        </is>
      </c>
      <c r="E1139" t="inlineStr">
        <is>
          <t>Gen-Lithium</t>
        </is>
      </c>
      <c r="F1139" t="inlineStr">
        <is>
          <t>LITTORAL</t>
        </is>
      </c>
      <c r="G1139" t="inlineStr">
        <is>
          <t>Edea</t>
        </is>
      </c>
      <c r="H1139" t="inlineStr">
        <is>
          <t>ZTE</t>
        </is>
      </c>
      <c r="I1139" t="n">
        <v>0</v>
      </c>
      <c r="J1139" t="n">
        <v>0</v>
      </c>
      <c r="K1139" t="n">
        <v>17.72064845491149</v>
      </c>
      <c r="L1139" t="n">
        <v>19.18631735595677</v>
      </c>
      <c r="M1139" t="n">
        <v>0</v>
      </c>
      <c r="N1139" t="n">
        <v>0</v>
      </c>
      <c r="O1139" t="n">
        <v>0</v>
      </c>
      <c r="P1139" t="n">
        <v>0</v>
      </c>
      <c r="Q1139" t="n">
        <v>0</v>
      </c>
      <c r="R1139" t="inlineStr">
        <is>
          <t>Operationnel</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row>
    <row r="1140">
      <c r="A1140" t="inlineStr">
        <is>
          <t>Nkolmesseng-H-Pyramides</t>
        </is>
      </c>
      <c r="B1140" t="inlineStr">
        <is>
          <t>CTR_771</t>
        </is>
      </c>
      <c r="C1140" t="inlineStr">
        <is>
          <t>Yaounde</t>
        </is>
      </c>
      <c r="D1140" t="inlineStr">
        <is>
          <t>CAMUSAT</t>
        </is>
      </c>
      <c r="E1140" t="inlineStr">
        <is>
          <t>Good Grid no GE - 8h</t>
        </is>
      </c>
      <c r="F1140" t="inlineStr">
        <is>
          <t>CENTRE</t>
        </is>
      </c>
      <c r="G1140" t="inlineStr">
        <is>
          <t>Yaounde</t>
        </is>
      </c>
      <c r="H1140" t="inlineStr">
        <is>
          <t>ZTE</t>
        </is>
      </c>
      <c r="I1140" t="n">
        <v>12.1737607474182</v>
      </c>
      <c r="J1140" t="n">
        <v>0</v>
      </c>
      <c r="K1140" t="n">
        <v>13.77080283534941</v>
      </c>
      <c r="L1140" t="n">
        <v>16.96051741702408</v>
      </c>
      <c r="M1140" t="n">
        <v>0</v>
      </c>
      <c r="N1140" t="n">
        <v>0</v>
      </c>
      <c r="O1140" t="n">
        <v>0</v>
      </c>
      <c r="P1140" t="n">
        <v>0</v>
      </c>
      <c r="Q1140" t="n">
        <v>0</v>
      </c>
      <c r="R1140" t="inlineStr">
        <is>
          <t>Operationnel</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row>
    <row r="1141">
      <c r="A1141" t="inlineStr">
        <is>
          <t>Oyack-II</t>
        </is>
      </c>
      <c r="B1141" t="inlineStr">
        <is>
          <t>LIT_765</t>
        </is>
      </c>
      <c r="C1141" t="inlineStr">
        <is>
          <t>Douala</t>
        </is>
      </c>
      <c r="D1141" t="inlineStr">
        <is>
          <t>CAMUSAT</t>
        </is>
      </c>
      <c r="E1141" t="inlineStr">
        <is>
          <t>Good Grid no GE - 8h</t>
        </is>
      </c>
      <c r="F1141" t="inlineStr">
        <is>
          <t>LITTORAL</t>
        </is>
      </c>
      <c r="G1141" t="inlineStr">
        <is>
          <t>Douala</t>
        </is>
      </c>
      <c r="H1141" t="inlineStr">
        <is>
          <t>ZTE</t>
        </is>
      </c>
      <c r="I1141" t="n">
        <v>1.185265799739179</v>
      </c>
      <c r="J1141" t="n">
        <v>5.002097405210126</v>
      </c>
      <c r="K1141" t="n">
        <v>0</v>
      </c>
      <c r="L1141" t="n">
        <v>16.74366069976286</v>
      </c>
      <c r="M1141" t="n">
        <v>0</v>
      </c>
      <c r="N1141" t="n">
        <v>0</v>
      </c>
      <c r="O1141" t="n">
        <v>0</v>
      </c>
      <c r="P1141" t="n">
        <v>0</v>
      </c>
      <c r="Q1141" t="n">
        <v>0</v>
      </c>
      <c r="R1141" t="inlineStr">
        <is>
          <t>Operationnel</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row>
    <row r="1142">
      <c r="A1142" t="inlineStr">
        <is>
          <t>LIT_858_Z_JAPOMA-COCOTIERS</t>
        </is>
      </c>
      <c r="B1142" t="inlineStr">
        <is>
          <t>LIT_858</t>
        </is>
      </c>
      <c r="C1142" t="inlineStr">
        <is>
          <t>Douala</t>
        </is>
      </c>
      <c r="D1142" t="inlineStr">
        <is>
          <t>IHS</t>
        </is>
      </c>
      <c r="E1142" t="inlineStr">
        <is>
          <t>Grid-Gen</t>
        </is>
      </c>
      <c r="F1142" t="inlineStr">
        <is>
          <t>LITTORAL</t>
        </is>
      </c>
      <c r="G1142" t="inlineStr">
        <is>
          <t>Douala</t>
        </is>
      </c>
      <c r="H1142" t="inlineStr">
        <is>
          <t>ZTE</t>
        </is>
      </c>
      <c r="I1142" t="n">
        <v>0.02092054686630544</v>
      </c>
      <c r="J1142" t="n">
        <v>0.3270775012627229</v>
      </c>
      <c r="K1142" t="n">
        <v>3.057556651342768</v>
      </c>
      <c r="L1142" t="n">
        <v>16.23152642587884</v>
      </c>
      <c r="M1142" t="n">
        <v>0</v>
      </c>
      <c r="N1142" t="n">
        <v>0</v>
      </c>
      <c r="O1142" t="n">
        <v>0</v>
      </c>
      <c r="P1142" t="n">
        <v>0</v>
      </c>
      <c r="Q1142" t="n">
        <v>0</v>
      </c>
      <c r="R1142" t="inlineStr">
        <is>
          <t>Operationnel</t>
        </is>
      </c>
      <c r="S1142" t="inlineStr"/>
      <c r="T1142" t="inlineStr"/>
      <c r="U1142" t="inlineStr"/>
      <c r="V1142" t="inlineStr"/>
      <c r="W1142" t="inlineStr"/>
      <c r="X1142" t="inlineStr">
        <is>
          <t>{05-25-2026 retour CAMUSAT}: Hors périmètre</t>
        </is>
      </c>
      <c r="Y1142" t="inlineStr">
        <is>
          <t>Hors périmètre</t>
        </is>
      </c>
      <c r="Z1142" t="inlineStr"/>
      <c r="AA1142" t="inlineStr"/>
      <c r="AB1142" t="inlineStr"/>
      <c r="AC1142" t="inlineStr">
        <is>
          <t>{05-25-2026 retour CAMUSAT}: Hors périmètre</t>
        </is>
      </c>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row>
    <row r="1143">
      <c r="A1143" t="inlineStr">
        <is>
          <t>Crf-Mutzig-IHS</t>
        </is>
      </c>
      <c r="B1143" t="inlineStr">
        <is>
          <t>LIT_485</t>
        </is>
      </c>
      <c r="C1143" t="inlineStr">
        <is>
          <t>Douala</t>
        </is>
      </c>
      <c r="D1143" t="inlineStr">
        <is>
          <t>IHS</t>
        </is>
      </c>
      <c r="E1143" t="inlineStr">
        <is>
          <t>Grid-Gen</t>
        </is>
      </c>
      <c r="F1143" t="inlineStr">
        <is>
          <t>LITTORAL</t>
        </is>
      </c>
      <c r="G1143" t="inlineStr">
        <is>
          <t>Douala</t>
        </is>
      </c>
      <c r="H1143" t="inlineStr">
        <is>
          <t>ZTE</t>
        </is>
      </c>
      <c r="I1143" t="n">
        <v>0</v>
      </c>
      <c r="J1143" t="n">
        <v>0</v>
      </c>
      <c r="K1143" t="n">
        <v>20.71168026413038</v>
      </c>
      <c r="L1143" t="n">
        <v>15.75950324313064</v>
      </c>
      <c r="M1143" t="n">
        <v>0</v>
      </c>
      <c r="N1143" t="n">
        <v>0</v>
      </c>
      <c r="O1143" t="n">
        <v>0</v>
      </c>
      <c r="P1143" t="n">
        <v>0</v>
      </c>
      <c r="Q1143" t="n">
        <v>0</v>
      </c>
      <c r="R1143" t="inlineStr">
        <is>
          <t>Operationnel</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row>
    <row r="1144">
      <c r="A1144" t="inlineStr">
        <is>
          <t>Croix-Rouge-Yde</t>
        </is>
      </c>
      <c r="B1144" t="inlineStr">
        <is>
          <t>CTR_759</t>
        </is>
      </c>
      <c r="C1144" t="inlineStr">
        <is>
          <t>Yaounde</t>
        </is>
      </c>
      <c r="D1144" t="inlineStr">
        <is>
          <t>CAMUSAT</t>
        </is>
      </c>
      <c r="E1144" t="inlineStr">
        <is>
          <t>Good Grid no GE - 8h</t>
        </is>
      </c>
      <c r="F1144" t="inlineStr">
        <is>
          <t>CENTRE</t>
        </is>
      </c>
      <c r="G1144" t="inlineStr">
        <is>
          <t>Yaounde</t>
        </is>
      </c>
      <c r="H1144" t="inlineStr">
        <is>
          <t>ZTE</t>
        </is>
      </c>
      <c r="I1144" t="n">
        <v>0</v>
      </c>
      <c r="J1144" t="n">
        <v>35.03913372884403</v>
      </c>
      <c r="K1144" t="n">
        <v>13.86855689960706</v>
      </c>
      <c r="L1144" t="n">
        <v>13.86855689960706</v>
      </c>
      <c r="M1144" t="n">
        <v>0</v>
      </c>
      <c r="N1144" t="n">
        <v>0</v>
      </c>
      <c r="O1144" t="n">
        <v>0</v>
      </c>
      <c r="P1144" t="n">
        <v>0</v>
      </c>
      <c r="Q1144" t="n">
        <v>0</v>
      </c>
      <c r="R1144" t="inlineStr">
        <is>
          <t>Operationnel</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row>
    <row r="1145">
      <c r="A1145" t="inlineStr">
        <is>
          <t>Banyangui</t>
        </is>
      </c>
      <c r="B1145" t="inlineStr">
        <is>
          <t>LIT_382</t>
        </is>
      </c>
      <c r="C1145" t="inlineStr">
        <is>
          <t>Douala</t>
        </is>
      </c>
      <c r="D1145" t="inlineStr">
        <is>
          <t>IHS</t>
        </is>
      </c>
      <c r="E1145" t="inlineStr">
        <is>
          <t>GridOnly</t>
        </is>
      </c>
      <c r="F1145" t="inlineStr">
        <is>
          <t>LITTORAL</t>
        </is>
      </c>
      <c r="G1145" t="inlineStr">
        <is>
          <t>Douala</t>
        </is>
      </c>
      <c r="H1145" t="inlineStr">
        <is>
          <t>ZTE</t>
        </is>
      </c>
      <c r="I1145" t="n">
        <v>40.41325303267671</v>
      </c>
      <c r="J1145" t="n">
        <v>32.60236264849487</v>
      </c>
      <c r="K1145" t="n">
        <v>13.86855689960706</v>
      </c>
      <c r="L1145" t="n">
        <v>13.86855689960706</v>
      </c>
      <c r="M1145" t="n">
        <v>0</v>
      </c>
      <c r="N1145" t="n">
        <v>0</v>
      </c>
      <c r="O1145" t="n">
        <v>0</v>
      </c>
      <c r="P1145" t="n">
        <v>0</v>
      </c>
      <c r="Q1145" t="n">
        <v>0</v>
      </c>
      <c r="R1145" t="inlineStr">
        <is>
          <t>Operationnel</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row>
    <row r="1146">
      <c r="A1146" t="inlineStr">
        <is>
          <t>Ndogp-St-Nicolas</t>
        </is>
      </c>
      <c r="B1146" t="inlineStr">
        <is>
          <t>LIT_205</t>
        </is>
      </c>
      <c r="C1146" t="inlineStr">
        <is>
          <t>Douala</t>
        </is>
      </c>
      <c r="D1146" t="inlineStr">
        <is>
          <t>IHS</t>
        </is>
      </c>
      <c r="E1146" t="inlineStr">
        <is>
          <t>Grid-Gen</t>
        </is>
      </c>
      <c r="F1146" t="inlineStr">
        <is>
          <t>LITTORAL</t>
        </is>
      </c>
      <c r="G1146" t="inlineStr">
        <is>
          <t>Douala</t>
        </is>
      </c>
      <c r="H1146" t="inlineStr">
        <is>
          <t>ZTE</t>
        </is>
      </c>
      <c r="I1146" t="n">
        <v>1.568648643249922</v>
      </c>
      <c r="J1146" t="n">
        <v>4.408296307710748</v>
      </c>
      <c r="K1146" t="n">
        <v>13.86855689960706</v>
      </c>
      <c r="L1146" t="n">
        <v>13.86855689960706</v>
      </c>
      <c r="M1146" t="n">
        <v>0</v>
      </c>
      <c r="N1146" t="n">
        <v>0</v>
      </c>
      <c r="O1146" t="n">
        <v>0</v>
      </c>
      <c r="P1146" t="n">
        <v>0</v>
      </c>
      <c r="Q1146" t="n">
        <v>0</v>
      </c>
      <c r="R1146" t="inlineStr">
        <is>
          <t>Operationnel</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row>
    <row r="1147">
      <c r="A1147" t="inlineStr">
        <is>
          <t>Ndpssi-Vallee-de-la-Paix</t>
        </is>
      </c>
      <c r="B1147" t="inlineStr">
        <is>
          <t>LIT_554</t>
        </is>
      </c>
      <c r="C1147" t="inlineStr">
        <is>
          <t>Douala</t>
        </is>
      </c>
      <c r="D1147" t="inlineStr">
        <is>
          <t>CAMUSAT</t>
        </is>
      </c>
      <c r="E1147" t="inlineStr">
        <is>
          <t>Good Grid no GE - 12h</t>
        </is>
      </c>
      <c r="F1147" t="inlineStr">
        <is>
          <t>LITTORAL</t>
        </is>
      </c>
      <c r="G1147" t="inlineStr">
        <is>
          <t>Douala</t>
        </is>
      </c>
      <c r="H1147" t="inlineStr">
        <is>
          <t>ZTE</t>
        </is>
      </c>
      <c r="I1147" t="n">
        <v>1.193915812723117</v>
      </c>
      <c r="J1147" t="n">
        <v>4.180916894242266</v>
      </c>
      <c r="K1147" t="n">
        <v>13.86855689960706</v>
      </c>
      <c r="L1147" t="n">
        <v>13.86855689960706</v>
      </c>
      <c r="M1147" t="n">
        <v>0</v>
      </c>
      <c r="N1147" t="n">
        <v>0</v>
      </c>
      <c r="O1147" t="n">
        <v>0</v>
      </c>
      <c r="P1147" t="n">
        <v>0</v>
      </c>
      <c r="Q1147" t="n">
        <v>0</v>
      </c>
      <c r="R1147" t="inlineStr">
        <is>
          <t>Operationnel</t>
        </is>
      </c>
      <c r="S1147" t="inlineStr"/>
      <c r="T1147" t="inlineStr"/>
      <c r="U1147" t="inlineStr"/>
      <c r="V1147" t="inlineStr"/>
      <c r="W1147" t="inlineStr"/>
      <c r="X1147" t="inlineStr">
        <is>
          <t>{05-25-2026 retour CAMUSAT}: Grid outage Grid only site</t>
        </is>
      </c>
      <c r="Y1147" t="inlineStr">
        <is>
          <t>Grid outage Grid only site</t>
        </is>
      </c>
      <c r="Z1147" t="inlineStr"/>
      <c r="AA1147" t="inlineStr"/>
      <c r="AB1147" t="inlineStr"/>
      <c r="AC1147" t="inlineStr">
        <is>
          <t>{05-25-2026 retour CAMUSAT}: Grid outage Grid only site</t>
        </is>
      </c>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row>
    <row r="1148">
      <c r="A1148" t="inlineStr">
        <is>
          <t>Ngd-Burkina</t>
        </is>
      </c>
      <c r="B1148" t="inlineStr">
        <is>
          <t>ADM_036</t>
        </is>
      </c>
      <c r="C1148" t="inlineStr">
        <is>
          <t>Ngaoundere</t>
        </is>
      </c>
      <c r="D1148" t="inlineStr">
        <is>
          <t>IHS</t>
        </is>
      </c>
      <c r="E1148" t="inlineStr">
        <is>
          <t>Grid-Gen</t>
        </is>
      </c>
      <c r="F1148" t="inlineStr">
        <is>
          <t>ADAMAOUA</t>
        </is>
      </c>
      <c r="G1148" t="inlineStr">
        <is>
          <t>Ngaoundere</t>
        </is>
      </c>
      <c r="H1148" t="inlineStr">
        <is>
          <t>Huawei</t>
        </is>
      </c>
      <c r="I1148" t="n">
        <v>0.6491076753616239</v>
      </c>
      <c r="J1148" t="n">
        <v>0</v>
      </c>
      <c r="K1148" t="n">
        <v>0.08150630791049929</v>
      </c>
      <c r="L1148" t="n">
        <v>10.01115049096404</v>
      </c>
      <c r="M1148" t="n">
        <v>0</v>
      </c>
      <c r="N1148" t="n">
        <v>0</v>
      </c>
      <c r="O1148" t="n">
        <v>0</v>
      </c>
      <c r="P1148" t="n">
        <v>0</v>
      </c>
      <c r="Q1148" t="n">
        <v>0</v>
      </c>
      <c r="R1148" t="inlineStr">
        <is>
          <t>Operationnel</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row>
    <row r="1149">
      <c r="A1149" t="inlineStr">
        <is>
          <t>Boko-Douala-II-IHS</t>
        </is>
      </c>
      <c r="B1149" t="inlineStr">
        <is>
          <t>LIT_575</t>
        </is>
      </c>
      <c r="C1149" t="inlineStr">
        <is>
          <t>Douala</t>
        </is>
      </c>
      <c r="D1149" t="inlineStr">
        <is>
          <t>IHS</t>
        </is>
      </c>
      <c r="E1149" t="inlineStr">
        <is>
          <t>Grid-Gen</t>
        </is>
      </c>
      <c r="F1149" t="inlineStr">
        <is>
          <t>LITTORAL</t>
        </is>
      </c>
      <c r="G1149" t="inlineStr">
        <is>
          <t>Douala</t>
        </is>
      </c>
      <c r="H1149" t="inlineStr">
        <is>
          <t>ZTE</t>
        </is>
      </c>
      <c r="I1149" t="n">
        <v>1.802644870774156</v>
      </c>
      <c r="J1149" t="n">
        <v>6.913001201370875</v>
      </c>
      <c r="K1149" t="n">
        <v>0</v>
      </c>
      <c r="L1149" t="n">
        <v>9.499426423881312</v>
      </c>
      <c r="M1149" t="n">
        <v>0</v>
      </c>
      <c r="N1149" t="n">
        <v>0</v>
      </c>
      <c r="O1149" t="n">
        <v>0</v>
      </c>
      <c r="P1149" t="n">
        <v>0</v>
      </c>
      <c r="Q1149" t="n">
        <v>0</v>
      </c>
      <c r="R1149" t="inlineStr">
        <is>
          <t>Operationnel</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row>
    <row r="1150">
      <c r="A1150" t="inlineStr">
        <is>
          <t>Ngd-Chateau</t>
        </is>
      </c>
      <c r="B1150" t="inlineStr">
        <is>
          <t>ADM_001</t>
        </is>
      </c>
      <c r="C1150" t="inlineStr">
        <is>
          <t>Ngaoundere</t>
        </is>
      </c>
      <c r="D1150" t="inlineStr">
        <is>
          <t>CAMUSAT</t>
        </is>
      </c>
      <c r="E1150" t="inlineStr">
        <is>
          <t>Good Grid + Solar + GE</t>
        </is>
      </c>
      <c r="F1150" t="inlineStr">
        <is>
          <t>ADAMAOUA</t>
        </is>
      </c>
      <c r="G1150" t="inlineStr">
        <is>
          <t>Ngaoundere</t>
        </is>
      </c>
      <c r="H1150" t="inlineStr">
        <is>
          <t>Huawei</t>
        </is>
      </c>
      <c r="I1150" t="n">
        <v>0</v>
      </c>
      <c r="J1150" t="n">
        <v>1.332262515231157</v>
      </c>
      <c r="K1150" t="n">
        <v>0</v>
      </c>
      <c r="L1150" t="n">
        <v>6.758317567124101</v>
      </c>
      <c r="M1150" t="n">
        <v>0</v>
      </c>
      <c r="N1150" t="n">
        <v>0</v>
      </c>
      <c r="O1150" t="n">
        <v>0</v>
      </c>
      <c r="P1150" t="n">
        <v>0</v>
      </c>
      <c r="Q1150" t="n">
        <v>0</v>
      </c>
      <c r="R1150" t="inlineStr">
        <is>
          <t>Operationnel</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row>
    <row r="1151">
      <c r="A1151" t="inlineStr">
        <is>
          <t>Nchum-IHS</t>
        </is>
      </c>
      <c r="B1151" t="inlineStr">
        <is>
          <t>NRO_088</t>
        </is>
      </c>
      <c r="C1151" t="inlineStr">
        <is>
          <t>NORD-OUEST</t>
        </is>
      </c>
      <c r="D1151" t="inlineStr">
        <is>
          <t>IHS</t>
        </is>
      </c>
      <c r="E1151" t="inlineStr">
        <is>
          <t>Hybrid-Gen</t>
        </is>
      </c>
      <c r="F1151" t="inlineStr">
        <is>
          <t>NORD-OUEST</t>
        </is>
      </c>
      <c r="G1151" t="inlineStr">
        <is>
          <t>Nchum</t>
        </is>
      </c>
      <c r="H1151" t="inlineStr">
        <is>
          <t>NOKIA</t>
        </is>
      </c>
      <c r="I1151" t="n">
        <v>0</v>
      </c>
      <c r="J1151" t="n">
        <v>0</v>
      </c>
      <c r="K1151" t="n">
        <v>0</v>
      </c>
      <c r="L1151" t="n">
        <v>5.900129268647644</v>
      </c>
      <c r="M1151" t="n">
        <v>0</v>
      </c>
      <c r="N1151" t="n">
        <v>0</v>
      </c>
      <c r="O1151" t="n">
        <v>0</v>
      </c>
      <c r="P1151" t="n">
        <v>0</v>
      </c>
      <c r="Q1151" t="n">
        <v>0</v>
      </c>
      <c r="R1151" t="inlineStr">
        <is>
          <t>Insecurity</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row>
    <row r="1152">
      <c r="A1152" t="inlineStr">
        <is>
          <t>Emana-Pont-IHS</t>
        </is>
      </c>
      <c r="B1152" t="inlineStr">
        <is>
          <t>CTR_599</t>
        </is>
      </c>
      <c r="C1152" t="inlineStr">
        <is>
          <t>Yaounde</t>
        </is>
      </c>
      <c r="D1152" t="inlineStr">
        <is>
          <t>IHS</t>
        </is>
      </c>
      <c r="E1152" t="inlineStr">
        <is>
          <t>Grid-Gen</t>
        </is>
      </c>
      <c r="F1152" t="inlineStr">
        <is>
          <t>CENTRE</t>
        </is>
      </c>
      <c r="G1152" t="inlineStr">
        <is>
          <t>Yaounde</t>
        </is>
      </c>
      <c r="H1152" t="inlineStr">
        <is>
          <t>ZTE</t>
        </is>
      </c>
      <c r="I1152" t="n">
        <v>0.9011530021430643</v>
      </c>
      <c r="J1152" t="n">
        <v>1.811152203131552</v>
      </c>
      <c r="K1152" t="n">
        <v>3.240722905662422</v>
      </c>
      <c r="L1152" t="n">
        <v>5.74032696692378</v>
      </c>
      <c r="M1152" t="n">
        <v>0</v>
      </c>
      <c r="N1152" t="n">
        <v>0</v>
      </c>
      <c r="O1152" t="n">
        <v>0</v>
      </c>
      <c r="P1152" t="n">
        <v>0</v>
      </c>
      <c r="Q1152" t="n">
        <v>0</v>
      </c>
      <c r="R1152" t="inlineStr">
        <is>
          <t>Operationnel</t>
        </is>
      </c>
      <c r="S1152" t="inlineStr"/>
      <c r="T1152" t="inlineStr"/>
      <c r="U1152" t="inlineStr"/>
      <c r="V1152" t="inlineStr"/>
      <c r="W1152" t="inlineStr"/>
      <c r="X1152" t="inlineStr">
        <is>
          <t>{05-25-2026 retour IHS}: IHS</t>
        </is>
      </c>
      <c r="Y1152" t="inlineStr">
        <is>
          <t>IHS</t>
        </is>
      </c>
      <c r="Z1152" t="inlineStr"/>
      <c r="AA1152" t="inlineStr"/>
      <c r="AB1152" t="inlineStr"/>
      <c r="AC1152" t="inlineStr"/>
      <c r="AD1152" t="inlineStr">
        <is>
          <t>{05-25-2026 retour IHS}: IHS</t>
        </is>
      </c>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row>
    <row r="1153">
      <c r="A1153" t="inlineStr">
        <is>
          <t>Bamenda-Park-Pharmacy-MTN</t>
        </is>
      </c>
      <c r="B1153" t="inlineStr">
        <is>
          <t>NRO_113</t>
        </is>
      </c>
      <c r="C1153" t="inlineStr">
        <is>
          <t>NORD-OUEST</t>
        </is>
      </c>
      <c r="D1153" t="inlineStr">
        <is>
          <t>MTN sharing</t>
        </is>
      </c>
      <c r="E1153" t="inlineStr"/>
      <c r="F1153" t="inlineStr">
        <is>
          <t>NORD-OUEST</t>
        </is>
      </c>
      <c r="G1153" t="inlineStr">
        <is>
          <t>Bamenda</t>
        </is>
      </c>
      <c r="H1153" t="inlineStr">
        <is>
          <t>Huawei</t>
        </is>
      </c>
      <c r="I1153" t="n">
        <v>0</v>
      </c>
      <c r="J1153" t="n">
        <v>0</v>
      </c>
      <c r="K1153" t="n">
        <v>0</v>
      </c>
      <c r="L1153" t="n">
        <v>4.844060776239679</v>
      </c>
      <c r="M1153" t="n">
        <v>0</v>
      </c>
      <c r="N1153" t="n">
        <v>0</v>
      </c>
      <c r="O1153" t="n">
        <v>0</v>
      </c>
      <c r="P1153" t="n">
        <v>0</v>
      </c>
      <c r="Q1153" t="n">
        <v>0</v>
      </c>
      <c r="R1153" t="inlineStr">
        <is>
          <t>Operationnel</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row>
    <row r="1154">
      <c r="A1154" t="inlineStr">
        <is>
          <t>Tabene</t>
        </is>
      </c>
      <c r="B1154" t="inlineStr">
        <is>
          <t>EST_007</t>
        </is>
      </c>
      <c r="C1154" t="inlineStr">
        <is>
          <t>CENTRE</t>
        </is>
      </c>
      <c r="D1154" t="inlineStr">
        <is>
          <t>CAMUSAT</t>
        </is>
      </c>
      <c r="E1154" t="inlineStr">
        <is>
          <t>Hybrid Solar - S3</t>
        </is>
      </c>
      <c r="F1154" t="inlineStr">
        <is>
          <t>EST</t>
        </is>
      </c>
      <c r="G1154" t="inlineStr">
        <is>
          <t>Tabene</t>
        </is>
      </c>
      <c r="H1154" t="inlineStr">
        <is>
          <t>NOKIA</t>
        </is>
      </c>
      <c r="I1154" t="n">
        <v>6.16342852984736</v>
      </c>
      <c r="J1154" t="n">
        <v>6.163375024612408</v>
      </c>
      <c r="K1154" t="n">
        <v>6.694411432658034</v>
      </c>
      <c r="L1154" t="n">
        <v>4.126942886434301</v>
      </c>
      <c r="M1154" t="n">
        <v>0</v>
      </c>
      <c r="N1154" t="n">
        <v>0</v>
      </c>
      <c r="O1154" t="n">
        <v>0</v>
      </c>
      <c r="P1154" t="n">
        <v>0</v>
      </c>
      <c r="Q1154" t="n">
        <v>0</v>
      </c>
      <c r="R1154" t="inlineStr">
        <is>
          <t>Operationnel</t>
        </is>
      </c>
      <c r="S1154" t="inlineStr"/>
      <c r="T1154" t="inlineStr"/>
      <c r="U1154" t="inlineStr"/>
      <c r="V1154" t="inlineStr"/>
      <c r="W1154" t="inlineStr"/>
      <c r="X1154" t="inlineStr">
        <is>
          <t xml:space="preserve">{05-25-2026 retour CAMUSAT}: No power issue </t>
        </is>
      </c>
      <c r="Y1154" t="inlineStr">
        <is>
          <t>No power issue</t>
        </is>
      </c>
      <c r="Z1154" t="inlineStr"/>
      <c r="AA1154" t="inlineStr"/>
      <c r="AB1154" t="inlineStr"/>
      <c r="AC1154" t="inlineStr">
        <is>
          <t xml:space="preserve">{05-25-2026 retour CAMUSAT}: No power issue </t>
        </is>
      </c>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row>
    <row r="1155">
      <c r="A1155" t="inlineStr">
        <is>
          <t>Garoua-Ouro-Lawan</t>
        </is>
      </c>
      <c r="B1155" t="inlineStr">
        <is>
          <t>NRD_054</t>
        </is>
      </c>
      <c r="C1155" t="inlineStr">
        <is>
          <t>Garoua</t>
        </is>
      </c>
      <c r="D1155" t="inlineStr">
        <is>
          <t>IHS</t>
        </is>
      </c>
      <c r="E1155" t="inlineStr">
        <is>
          <t>Grid-Gen</t>
        </is>
      </c>
      <c r="F1155" t="inlineStr">
        <is>
          <t>NORD</t>
        </is>
      </c>
      <c r="G1155" t="inlineStr">
        <is>
          <t>Garoua</t>
        </is>
      </c>
      <c r="H1155" t="inlineStr">
        <is>
          <t>Huawei</t>
        </is>
      </c>
      <c r="I1155" t="n">
        <v>0.01942240028764414</v>
      </c>
      <c r="J1155" t="n">
        <v>0</v>
      </c>
      <c r="K1155" t="n">
        <v>0</v>
      </c>
      <c r="L1155" t="n">
        <v>3.558722352061592</v>
      </c>
      <c r="M1155" t="n">
        <v>0</v>
      </c>
      <c r="N1155" t="n">
        <v>0</v>
      </c>
      <c r="O1155" t="n">
        <v>0</v>
      </c>
      <c r="P1155" t="n">
        <v>0</v>
      </c>
      <c r="Q1155" t="n">
        <v>0</v>
      </c>
      <c r="R1155" t="inlineStr">
        <is>
          <t>Operationnel</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row>
    <row r="1156">
      <c r="A1156" t="inlineStr">
        <is>
          <t>CNR</t>
        </is>
      </c>
      <c r="B1156" t="inlineStr">
        <is>
          <t>CTR_002</t>
        </is>
      </c>
      <c r="C1156" t="inlineStr">
        <is>
          <t>Yaounde</t>
        </is>
      </c>
      <c r="D1156" t="inlineStr">
        <is>
          <t>IHS</t>
        </is>
      </c>
      <c r="E1156" t="inlineStr">
        <is>
          <t>Grid-Gen</t>
        </is>
      </c>
      <c r="F1156" t="inlineStr">
        <is>
          <t>CENTRE</t>
        </is>
      </c>
      <c r="G1156" t="inlineStr">
        <is>
          <t>Yaounde</t>
        </is>
      </c>
      <c r="H1156" t="inlineStr">
        <is>
          <t>ZTE</t>
        </is>
      </c>
      <c r="I1156" t="n">
        <v>0.05156121141559147</v>
      </c>
      <c r="J1156" t="n">
        <v>0</v>
      </c>
      <c r="K1156" t="n">
        <v>0.04708460675792468</v>
      </c>
      <c r="L1156" t="n">
        <v>3.116662100886618</v>
      </c>
      <c r="M1156" t="n">
        <v>0</v>
      </c>
      <c r="N1156" t="n">
        <v>0</v>
      </c>
      <c r="O1156" t="n">
        <v>0</v>
      </c>
      <c r="P1156" t="n">
        <v>0</v>
      </c>
      <c r="Q1156" t="n">
        <v>0</v>
      </c>
      <c r="R1156" t="inlineStr">
        <is>
          <t>Operationnel</t>
        </is>
      </c>
      <c r="S1156" t="inlineStr"/>
      <c r="T1156" t="inlineStr"/>
      <c r="U1156" t="inlineStr"/>
      <c r="V1156" t="inlineStr"/>
      <c r="W1156" t="inlineStr"/>
      <c r="X1156" t="inlineStr">
        <is>
          <t>{05-25-2026 retour IHS}: IHS</t>
        </is>
      </c>
      <c r="Y1156" t="inlineStr">
        <is>
          <t>IHS</t>
        </is>
      </c>
      <c r="Z1156" t="inlineStr">
        <is>
          <t>CTR_002</t>
        </is>
      </c>
      <c r="AA1156" t="inlineStr"/>
      <c r="AB1156" t="inlineStr"/>
      <c r="AC1156" t="inlineStr"/>
      <c r="AD1156" t="inlineStr">
        <is>
          <t>{05-25-2026 retour IHS}: IHS</t>
        </is>
      </c>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row>
    <row r="1157">
      <c r="A1157" t="inlineStr">
        <is>
          <t>Kaele</t>
        </is>
      </c>
      <c r="B1157" t="inlineStr">
        <is>
          <t>EXN_011</t>
        </is>
      </c>
      <c r="C1157" t="inlineStr">
        <is>
          <t>EXTREME-NORD</t>
        </is>
      </c>
      <c r="D1157" t="inlineStr">
        <is>
          <t>IHS</t>
        </is>
      </c>
      <c r="E1157" t="inlineStr">
        <is>
          <t>Grid-Gen</t>
        </is>
      </c>
      <c r="F1157" t="inlineStr">
        <is>
          <t>EXTREME-NORD</t>
        </is>
      </c>
      <c r="G1157" t="inlineStr">
        <is>
          <t>Kaele</t>
        </is>
      </c>
      <c r="H1157" t="inlineStr">
        <is>
          <t>NOKIA</t>
        </is>
      </c>
      <c r="I1157" t="n">
        <v>1.401337773554431</v>
      </c>
      <c r="J1157" t="n">
        <v>0</v>
      </c>
      <c r="K1157" t="n">
        <v>0</v>
      </c>
      <c r="L1157" t="n">
        <v>2.673362721568681</v>
      </c>
      <c r="M1157" t="n">
        <v>0</v>
      </c>
      <c r="N1157" t="n">
        <v>0</v>
      </c>
      <c r="O1157" t="n">
        <v>0</v>
      </c>
      <c r="P1157" t="n">
        <v>0</v>
      </c>
      <c r="Q1157" t="n">
        <v>0</v>
      </c>
      <c r="R1157" t="inlineStr">
        <is>
          <t>Insecurity</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row>
    <row r="1158">
      <c r="A1158" t="inlineStr">
        <is>
          <t>NRD_266_H_Garoua-Bockle-II</t>
        </is>
      </c>
      <c r="B1158" t="inlineStr">
        <is>
          <t>NRD_266</t>
        </is>
      </c>
      <c r="C1158" t="inlineStr"/>
      <c r="D1158" t="inlineStr">
        <is>
          <t>ESCO</t>
        </is>
      </c>
      <c r="E1158" t="inlineStr">
        <is>
          <t>Hybrid Solar - S1</t>
        </is>
      </c>
      <c r="F1158" t="inlineStr">
        <is>
          <t>NRD</t>
        </is>
      </c>
      <c r="G1158" t="inlineStr">
        <is>
          <t>Garoua</t>
        </is>
      </c>
      <c r="H1158" t="inlineStr">
        <is>
          <t>Huawei</t>
        </is>
      </c>
      <c r="I1158" t="n">
        <v>0</v>
      </c>
      <c r="J1158" t="n">
        <v>0</v>
      </c>
      <c r="K1158" t="n">
        <v>0</v>
      </c>
      <c r="L1158" t="n">
        <v>2.421646933936017</v>
      </c>
      <c r="M1158" t="n">
        <v>0</v>
      </c>
      <c r="N1158" t="n">
        <v>0</v>
      </c>
      <c r="O1158" t="n">
        <v>0</v>
      </c>
      <c r="P1158" t="n">
        <v>0</v>
      </c>
      <c r="Q1158" t="n">
        <v>0</v>
      </c>
      <c r="R1158" t="inlineStr">
        <is>
          <t>Operationnel</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row>
    <row r="1159">
      <c r="A1159" t="inlineStr">
        <is>
          <t>BTS-Mobile-Marche-Central</t>
        </is>
      </c>
      <c r="B1159" t="inlineStr">
        <is>
          <t>LIT_763</t>
        </is>
      </c>
      <c r="C1159" t="inlineStr">
        <is>
          <t>Douala</t>
        </is>
      </c>
      <c r="D1159" t="inlineStr">
        <is>
          <t>CAMUSAT</t>
        </is>
      </c>
      <c r="E1159" t="inlineStr">
        <is>
          <t>Good Grid + GE</t>
        </is>
      </c>
      <c r="F1159" t="inlineStr">
        <is>
          <t>LITTORAL</t>
        </is>
      </c>
      <c r="G1159" t="inlineStr">
        <is>
          <t>Douala</t>
        </is>
      </c>
      <c r="H1159" t="inlineStr">
        <is>
          <t>ZTE</t>
        </is>
      </c>
      <c r="I1159" t="n">
        <v>0</v>
      </c>
      <c r="J1159" t="n">
        <v>0</v>
      </c>
      <c r="K1159" t="n">
        <v>0</v>
      </c>
      <c r="L1159" t="n">
        <v>2.231614174464163</v>
      </c>
      <c r="M1159" t="n">
        <v>0</v>
      </c>
      <c r="N1159" t="n">
        <v>0</v>
      </c>
      <c r="O1159" t="n">
        <v>0</v>
      </c>
      <c r="P1159" t="n">
        <v>0</v>
      </c>
      <c r="Q1159" t="n">
        <v>0</v>
      </c>
      <c r="R1159" t="inlineStr">
        <is>
          <t>Operationnel</t>
        </is>
      </c>
      <c r="S1159" t="inlineStr"/>
      <c r="T1159" t="inlineStr"/>
      <c r="U1159" t="inlineStr"/>
      <c r="V1159" t="inlineStr"/>
      <c r="W1159" t="inlineStr"/>
      <c r="X1159" t="inlineStr">
        <is>
          <t xml:space="preserve">{05-25-2026 retour CAMUSAT}: No power issue </t>
        </is>
      </c>
      <c r="Y1159" t="inlineStr">
        <is>
          <t>No power issue</t>
        </is>
      </c>
      <c r="Z1159" t="inlineStr"/>
      <c r="AA1159" t="inlineStr"/>
      <c r="AB1159" t="inlineStr"/>
      <c r="AC1159" t="inlineStr">
        <is>
          <t xml:space="preserve">{05-25-2026 retour CAMUSAT}: No power issue </t>
        </is>
      </c>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row>
    <row r="1160">
      <c r="A1160" t="inlineStr">
        <is>
          <t>Bberi-Chateau</t>
        </is>
      </c>
      <c r="B1160" t="inlineStr">
        <is>
          <t>LIT_017</t>
        </is>
      </c>
      <c r="C1160" t="inlineStr">
        <is>
          <t>Douala</t>
        </is>
      </c>
      <c r="D1160" t="inlineStr">
        <is>
          <t>IHS</t>
        </is>
      </c>
      <c r="E1160" t="inlineStr">
        <is>
          <t>Grid-Gen</t>
        </is>
      </c>
      <c r="F1160" t="inlineStr">
        <is>
          <t>LITTORAL</t>
        </is>
      </c>
      <c r="G1160" t="inlineStr">
        <is>
          <t>Douala</t>
        </is>
      </c>
      <c r="H1160" t="inlineStr">
        <is>
          <t>ZTE</t>
        </is>
      </c>
      <c r="I1160" t="n">
        <v>0</v>
      </c>
      <c r="J1160" t="n">
        <v>1.292971837697934</v>
      </c>
      <c r="K1160" t="n">
        <v>25.25079687129923</v>
      </c>
      <c r="L1160" t="n">
        <v>2.216061986171394</v>
      </c>
      <c r="M1160" t="n">
        <v>0</v>
      </c>
      <c r="N1160" t="n">
        <v>0</v>
      </c>
      <c r="O1160" t="n">
        <v>0</v>
      </c>
      <c r="P1160" t="n">
        <v>0</v>
      </c>
      <c r="Q1160" t="n">
        <v>0</v>
      </c>
      <c r="R1160" t="inlineStr">
        <is>
          <t>Operationnel</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row>
    <row r="1161">
      <c r="A1161" t="inlineStr">
        <is>
          <t>Foumban-Njibam</t>
        </is>
      </c>
      <c r="B1161" t="inlineStr">
        <is>
          <t>OST_177</t>
        </is>
      </c>
      <c r="C1161" t="inlineStr">
        <is>
          <t>OUEST</t>
        </is>
      </c>
      <c r="D1161" t="inlineStr">
        <is>
          <t>IHS</t>
        </is>
      </c>
      <c r="E1161" t="inlineStr">
        <is>
          <t>Grid-Gen</t>
        </is>
      </c>
      <c r="F1161" t="inlineStr">
        <is>
          <t>OUEST</t>
        </is>
      </c>
      <c r="G1161" t="inlineStr">
        <is>
          <t>Foumban</t>
        </is>
      </c>
      <c r="H1161" t="inlineStr">
        <is>
          <t>Huawei</t>
        </is>
      </c>
      <c r="I1161" t="n">
        <v>0.8253182491374955</v>
      </c>
      <c r="J1161" t="n">
        <v>0</v>
      </c>
      <c r="K1161" t="n">
        <v>0</v>
      </c>
      <c r="L1161" t="n">
        <v>2.102791403777613</v>
      </c>
      <c r="M1161" t="n">
        <v>0</v>
      </c>
      <c r="N1161" t="n">
        <v>0</v>
      </c>
      <c r="O1161" t="n">
        <v>0</v>
      </c>
      <c r="P1161" t="n">
        <v>0</v>
      </c>
      <c r="Q1161" t="n">
        <v>0</v>
      </c>
      <c r="R1161" t="inlineStr">
        <is>
          <t>Operationnel</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row>
    <row r="1162">
      <c r="A1162" t="inlineStr">
        <is>
          <t>Ndobo-Rail</t>
        </is>
      </c>
      <c r="B1162" t="inlineStr">
        <is>
          <t>LIT_260</t>
        </is>
      </c>
      <c r="C1162" t="inlineStr">
        <is>
          <t>Douala</t>
        </is>
      </c>
      <c r="D1162" t="inlineStr">
        <is>
          <t>IHS</t>
        </is>
      </c>
      <c r="E1162" t="inlineStr">
        <is>
          <t>Grid-Gen</t>
        </is>
      </c>
      <c r="F1162" t="inlineStr">
        <is>
          <t>LITTORAL</t>
        </is>
      </c>
      <c r="G1162" t="inlineStr">
        <is>
          <t>Douala</t>
        </is>
      </c>
      <c r="H1162" t="inlineStr">
        <is>
          <t>ZTE</t>
        </is>
      </c>
      <c r="I1162" t="n">
        <v>0</v>
      </c>
      <c r="J1162" t="n">
        <v>0.8930202064303309</v>
      </c>
      <c r="K1162" t="n">
        <v>24.35831171721841</v>
      </c>
      <c r="L1162" t="n">
        <v>2.009478274020998</v>
      </c>
      <c r="M1162" t="n">
        <v>0</v>
      </c>
      <c r="N1162" t="n">
        <v>0</v>
      </c>
      <c r="O1162" t="n">
        <v>0</v>
      </c>
      <c r="P1162" t="n">
        <v>0</v>
      </c>
      <c r="Q1162" t="n">
        <v>0</v>
      </c>
      <c r="R1162" t="inlineStr">
        <is>
          <t>Operationnel</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row>
    <row r="1163">
      <c r="A1163" t="inlineStr">
        <is>
          <t>Foumban-Manka-IHS</t>
        </is>
      </c>
      <c r="B1163" t="inlineStr">
        <is>
          <t>OST_042</t>
        </is>
      </c>
      <c r="C1163" t="inlineStr">
        <is>
          <t>OUEST</t>
        </is>
      </c>
      <c r="D1163" t="inlineStr">
        <is>
          <t>IHS</t>
        </is>
      </c>
      <c r="E1163" t="inlineStr">
        <is>
          <t>Grid-Gen</t>
        </is>
      </c>
      <c r="F1163" t="inlineStr">
        <is>
          <t>OUEST</t>
        </is>
      </c>
      <c r="G1163" t="inlineStr">
        <is>
          <t>Foumban</t>
        </is>
      </c>
      <c r="H1163" t="inlineStr">
        <is>
          <t>Huawei</t>
        </is>
      </c>
      <c r="I1163" t="n">
        <v>0.8202352518170377</v>
      </c>
      <c r="J1163" t="n">
        <v>0</v>
      </c>
      <c r="K1163" t="n">
        <v>0.0002675261747609386</v>
      </c>
      <c r="L1163" t="n">
        <v>2.001809190344515</v>
      </c>
      <c r="M1163" t="n">
        <v>0</v>
      </c>
      <c r="N1163" t="n">
        <v>0</v>
      </c>
      <c r="O1163" t="n">
        <v>0</v>
      </c>
      <c r="P1163" t="n">
        <v>0</v>
      </c>
      <c r="Q1163" t="n">
        <v>0</v>
      </c>
      <c r="R1163" t="inlineStr">
        <is>
          <t>Operationnel</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row>
    <row r="1164">
      <c r="A1164" t="inlineStr">
        <is>
          <t>Nitob-IHS</t>
        </is>
      </c>
      <c r="B1164" t="inlineStr">
        <is>
          <t>NRO_122</t>
        </is>
      </c>
      <c r="C1164" t="inlineStr">
        <is>
          <t>NORD-OUEST</t>
        </is>
      </c>
      <c r="D1164" t="inlineStr">
        <is>
          <t>IHS</t>
        </is>
      </c>
      <c r="E1164" t="inlineStr">
        <is>
          <t>Grid-Gen</t>
        </is>
      </c>
      <c r="F1164" t="inlineStr">
        <is>
          <t>NORD-OUEST</t>
        </is>
      </c>
      <c r="G1164" t="inlineStr">
        <is>
          <t>Bamenda</t>
        </is>
      </c>
      <c r="H1164" t="inlineStr">
        <is>
          <t>Huawei</t>
        </is>
      </c>
      <c r="I1164" t="n">
        <v>0</v>
      </c>
      <c r="J1164" t="n">
        <v>0</v>
      </c>
      <c r="K1164" t="n">
        <v>9.351181252907118</v>
      </c>
      <c r="L1164" t="n">
        <v>1.91589761808962</v>
      </c>
      <c r="M1164" t="n">
        <v>0</v>
      </c>
      <c r="N1164" t="n">
        <v>0</v>
      </c>
      <c r="O1164" t="n">
        <v>0</v>
      </c>
      <c r="P1164" t="n">
        <v>0</v>
      </c>
      <c r="Q1164" t="n">
        <v>0</v>
      </c>
      <c r="R1164" t="inlineStr">
        <is>
          <t>Operationnel</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row>
    <row r="1165">
      <c r="A1165" t="inlineStr">
        <is>
          <t>Nkambe</t>
        </is>
      </c>
      <c r="B1165" t="inlineStr">
        <is>
          <t>NRO_005</t>
        </is>
      </c>
      <c r="C1165" t="inlineStr">
        <is>
          <t>NORD-OUEST</t>
        </is>
      </c>
      <c r="D1165" t="inlineStr">
        <is>
          <t>CAMUSAT</t>
        </is>
      </c>
      <c r="E1165" t="inlineStr">
        <is>
          <t>HGB</t>
        </is>
      </c>
      <c r="F1165" t="inlineStr">
        <is>
          <t>NORD-OUEST</t>
        </is>
      </c>
      <c r="G1165" t="inlineStr">
        <is>
          <t>Nkambe</t>
        </is>
      </c>
      <c r="H1165" t="inlineStr">
        <is>
          <t>NOKIA</t>
        </is>
      </c>
      <c r="I1165" t="n">
        <v>0</v>
      </c>
      <c r="J1165" t="n">
        <v>0</v>
      </c>
      <c r="K1165" t="n">
        <v>0</v>
      </c>
      <c r="L1165" t="n">
        <v>1.883402105395325</v>
      </c>
      <c r="M1165" t="n">
        <v>0</v>
      </c>
      <c r="N1165" t="n">
        <v>0</v>
      </c>
      <c r="O1165" t="n">
        <v>0</v>
      </c>
      <c r="P1165" t="n">
        <v>0</v>
      </c>
      <c r="Q1165" t="n">
        <v>0</v>
      </c>
      <c r="R1165" t="inlineStr">
        <is>
          <t>Insecurity</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row>
    <row r="1166">
      <c r="A1166" t="inlineStr">
        <is>
          <t>Foumban-Mambain-MTN</t>
        </is>
      </c>
      <c r="B1166" t="inlineStr">
        <is>
          <t>OST_102</t>
        </is>
      </c>
      <c r="C1166" t="inlineStr">
        <is>
          <t>OUEST</t>
        </is>
      </c>
      <c r="D1166" t="inlineStr"/>
      <c r="E1166" t="inlineStr"/>
      <c r="F1166" t="inlineStr">
        <is>
          <t>OUEST</t>
        </is>
      </c>
      <c r="G1166" t="inlineStr">
        <is>
          <t>Foumban</t>
        </is>
      </c>
      <c r="H1166" t="inlineStr">
        <is>
          <t>Huawei</t>
        </is>
      </c>
      <c r="I1166" t="n">
        <v>0.3255793546840622</v>
      </c>
      <c r="J1166" t="n">
        <v>0.54612793315698</v>
      </c>
      <c r="K1166" t="n">
        <v>0.7052881720614211</v>
      </c>
      <c r="L1166" t="n">
        <v>1.848338341423325</v>
      </c>
      <c r="M1166" t="n">
        <v>0</v>
      </c>
      <c r="N1166" t="n">
        <v>0</v>
      </c>
      <c r="O1166" t="n">
        <v>0</v>
      </c>
      <c r="P1166" t="n">
        <v>0</v>
      </c>
      <c r="Q1166" t="n">
        <v>0</v>
      </c>
      <c r="R1166" t="inlineStr">
        <is>
          <t>Operationnel</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row>
    <row r="1167">
      <c r="A1167" t="inlineStr">
        <is>
          <t>Bamenda-Nchuobuh-IHS</t>
        </is>
      </c>
      <c r="B1167" t="inlineStr">
        <is>
          <t>NRO_125</t>
        </is>
      </c>
      <c r="C1167" t="inlineStr">
        <is>
          <t>NORD-OUEST</t>
        </is>
      </c>
      <c r="D1167" t="inlineStr">
        <is>
          <t>IHS</t>
        </is>
      </c>
      <c r="E1167" t="inlineStr">
        <is>
          <t>Grid-Gen</t>
        </is>
      </c>
      <c r="F1167" t="inlineStr">
        <is>
          <t>NORD-OUEST</t>
        </is>
      </c>
      <c r="G1167" t="inlineStr">
        <is>
          <t>Bamenda</t>
        </is>
      </c>
      <c r="H1167" t="inlineStr">
        <is>
          <t>Huawei</t>
        </is>
      </c>
      <c r="I1167" t="n">
        <v>0</v>
      </c>
      <c r="J1167" t="n">
        <v>0</v>
      </c>
      <c r="K1167" t="n">
        <v>9.276773306166945</v>
      </c>
      <c r="L1167" t="n">
        <v>1.806782608943793</v>
      </c>
      <c r="M1167" t="n">
        <v>0</v>
      </c>
      <c r="N1167" t="n">
        <v>0</v>
      </c>
      <c r="O1167" t="n">
        <v>0</v>
      </c>
      <c r="P1167" t="n">
        <v>0</v>
      </c>
      <c r="Q1167" t="n">
        <v>0</v>
      </c>
      <c r="R1167" t="inlineStr">
        <is>
          <t>Operationnel</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row>
    <row r="1168">
      <c r="A1168" t="inlineStr">
        <is>
          <t>Ngambouo</t>
        </is>
      </c>
      <c r="B1168" t="inlineStr">
        <is>
          <t>OST_220</t>
        </is>
      </c>
      <c r="C1168" t="inlineStr">
        <is>
          <t>OUEST</t>
        </is>
      </c>
      <c r="D1168" t="inlineStr">
        <is>
          <t>IHS</t>
        </is>
      </c>
      <c r="E1168" t="inlineStr">
        <is>
          <t>Hybrid-Gen</t>
        </is>
      </c>
      <c r="F1168" t="inlineStr">
        <is>
          <t>OUEST</t>
        </is>
      </c>
      <c r="G1168" t="inlineStr">
        <is>
          <t>Ngambouo</t>
        </is>
      </c>
      <c r="H1168" t="inlineStr">
        <is>
          <t>NOKIA</t>
        </is>
      </c>
      <c r="I1168" t="n">
        <v>0</v>
      </c>
      <c r="J1168" t="n">
        <v>0</v>
      </c>
      <c r="K1168" t="n">
        <v>2.009781470352392</v>
      </c>
      <c r="L1168" t="n">
        <v>1.798079090724904</v>
      </c>
      <c r="M1168" t="n">
        <v>0</v>
      </c>
      <c r="N1168" t="n">
        <v>0</v>
      </c>
      <c r="O1168" t="n">
        <v>0</v>
      </c>
      <c r="P1168" t="n">
        <v>0</v>
      </c>
      <c r="Q1168" t="n">
        <v>0</v>
      </c>
      <c r="R1168" t="inlineStr">
        <is>
          <t>Operationnel</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row>
    <row r="1169">
      <c r="A1169" t="inlineStr">
        <is>
          <t>Ngd-Maraba-MTN</t>
        </is>
      </c>
      <c r="B1169" t="inlineStr">
        <is>
          <t>ADM_167</t>
        </is>
      </c>
      <c r="C1169" t="inlineStr">
        <is>
          <t>Ngaoundere</t>
        </is>
      </c>
      <c r="D1169" t="inlineStr">
        <is>
          <t>MTN sharing</t>
        </is>
      </c>
      <c r="E1169" t="inlineStr"/>
      <c r="F1169" t="inlineStr">
        <is>
          <t>ADAMAOUA</t>
        </is>
      </c>
      <c r="G1169" t="inlineStr">
        <is>
          <t>Ngaoundere</t>
        </is>
      </c>
      <c r="H1169" t="inlineStr">
        <is>
          <t>Huawei</t>
        </is>
      </c>
      <c r="I1169" t="n">
        <v>0</v>
      </c>
      <c r="J1169" t="n">
        <v>0</v>
      </c>
      <c r="K1169" t="n">
        <v>0</v>
      </c>
      <c r="L1169" t="n">
        <v>1.409595414815386</v>
      </c>
      <c r="M1169" t="n">
        <v>0</v>
      </c>
      <c r="N1169" t="n">
        <v>0</v>
      </c>
      <c r="O1169" t="n">
        <v>0</v>
      </c>
      <c r="P1169" t="n">
        <v>0</v>
      </c>
      <c r="Q1169" t="n">
        <v>0</v>
      </c>
      <c r="R1169" t="inlineStr">
        <is>
          <t>Operationnel</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row>
    <row r="1170">
      <c r="A1170" t="inlineStr">
        <is>
          <t>Ngd-Aoudi-IHS</t>
        </is>
      </c>
      <c r="B1170" t="inlineStr">
        <is>
          <t>ADM_115</t>
        </is>
      </c>
      <c r="C1170" t="inlineStr">
        <is>
          <t>Ngaoundere</t>
        </is>
      </c>
      <c r="D1170" t="inlineStr">
        <is>
          <t>IHS</t>
        </is>
      </c>
      <c r="E1170" t="inlineStr">
        <is>
          <t>Grid-Gen</t>
        </is>
      </c>
      <c r="F1170" t="inlineStr">
        <is>
          <t>ADAMAOUA</t>
        </is>
      </c>
      <c r="G1170" t="inlineStr">
        <is>
          <t>Ngaoundere</t>
        </is>
      </c>
      <c r="H1170" t="inlineStr">
        <is>
          <t>Huawei</t>
        </is>
      </c>
      <c r="I1170" t="n">
        <v>0</v>
      </c>
      <c r="J1170" t="n">
        <v>0</v>
      </c>
      <c r="K1170" t="n">
        <v>0</v>
      </c>
      <c r="L1170" t="n">
        <v>1.240215676035076</v>
      </c>
      <c r="M1170" t="n">
        <v>0</v>
      </c>
      <c r="N1170" t="n">
        <v>0</v>
      </c>
      <c r="O1170" t="n">
        <v>0</v>
      </c>
      <c r="P1170" t="n">
        <v>0</v>
      </c>
      <c r="Q1170" t="n">
        <v>0</v>
      </c>
      <c r="R1170" t="inlineStr">
        <is>
          <t>Operationnel</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row>
    <row r="1171">
      <c r="A1171" t="inlineStr">
        <is>
          <t>Bda-Chinde</t>
        </is>
      </c>
      <c r="B1171" t="inlineStr">
        <is>
          <t>NRO_227</t>
        </is>
      </c>
      <c r="C1171" t="inlineStr">
        <is>
          <t>NORD-OUEST</t>
        </is>
      </c>
      <c r="D1171" t="inlineStr">
        <is>
          <t>IHS</t>
        </is>
      </c>
      <c r="E1171" t="inlineStr">
        <is>
          <t>Hybrid-Gen-Lithium</t>
        </is>
      </c>
      <c r="F1171" t="inlineStr">
        <is>
          <t>NORD-OUEST</t>
        </is>
      </c>
      <c r="G1171" t="inlineStr">
        <is>
          <t>Bamenda</t>
        </is>
      </c>
      <c r="H1171" t="inlineStr">
        <is>
          <t>Huawei</t>
        </is>
      </c>
      <c r="I1171" t="n">
        <v>0</v>
      </c>
      <c r="J1171" t="n">
        <v>0</v>
      </c>
      <c r="K1171" t="n">
        <v>4.858632035224993</v>
      </c>
      <c r="L1171" t="n">
        <v>1.232938964081579</v>
      </c>
      <c r="M1171" t="n">
        <v>0</v>
      </c>
      <c r="N1171" t="n">
        <v>0</v>
      </c>
      <c r="O1171" t="n">
        <v>0</v>
      </c>
      <c r="P1171" t="n">
        <v>0</v>
      </c>
      <c r="Q1171" t="n">
        <v>0</v>
      </c>
      <c r="R1171" t="inlineStr">
        <is>
          <t>Operationnel</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row>
    <row r="1172">
      <c r="A1172" t="inlineStr">
        <is>
          <t>ADM_238_H_NGD-MARZA</t>
        </is>
      </c>
      <c r="B1172" t="inlineStr">
        <is>
          <t>ADM_238</t>
        </is>
      </c>
      <c r="C1172" t="inlineStr"/>
      <c r="D1172" t="inlineStr">
        <is>
          <t>ESCO</t>
        </is>
      </c>
      <c r="E1172" t="inlineStr">
        <is>
          <t>Hybrid Solar - S1</t>
        </is>
      </c>
      <c r="F1172" t="inlineStr">
        <is>
          <t>ADM</t>
        </is>
      </c>
      <c r="G1172" t="inlineStr">
        <is>
          <t>Ngaoundere</t>
        </is>
      </c>
      <c r="H1172" t="inlineStr">
        <is>
          <t>Huawei</t>
        </is>
      </c>
      <c r="I1172" t="n">
        <v>0</v>
      </c>
      <c r="J1172" t="n">
        <v>0</v>
      </c>
      <c r="K1172" t="n">
        <v>0</v>
      </c>
      <c r="L1172" t="n">
        <v>1.16636061672274</v>
      </c>
      <c r="M1172" t="n">
        <v>0</v>
      </c>
      <c r="N1172" t="n">
        <v>0</v>
      </c>
      <c r="O1172" t="n">
        <v>0</v>
      </c>
      <c r="P1172" t="n">
        <v>0</v>
      </c>
      <c r="Q1172" t="n">
        <v>0</v>
      </c>
      <c r="R1172" t="inlineStr">
        <is>
          <t>EXCLU</t>
        </is>
      </c>
      <c r="S1172" t="inlineStr">
        <is>
          <t>not accepted</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row>
    <row r="1173">
      <c r="A1173" t="inlineStr">
        <is>
          <t>Ngd-Bamyangal-rural</t>
        </is>
      </c>
      <c r="B1173" t="inlineStr">
        <is>
          <t>ADM_151</t>
        </is>
      </c>
      <c r="C1173" t="inlineStr">
        <is>
          <t>Ngaoundere</t>
        </is>
      </c>
      <c r="D1173" t="inlineStr">
        <is>
          <t>CAMUSAT</t>
        </is>
      </c>
      <c r="E1173" t="inlineStr">
        <is>
          <t>Medium Grid + Solar + GE</t>
        </is>
      </c>
      <c r="F1173" t="inlineStr">
        <is>
          <t>ADAMAOUA</t>
        </is>
      </c>
      <c r="G1173" t="inlineStr">
        <is>
          <t>Ngaoundere</t>
        </is>
      </c>
      <c r="H1173" t="inlineStr">
        <is>
          <t>Huawei</t>
        </is>
      </c>
      <c r="I1173" t="n">
        <v>0</v>
      </c>
      <c r="J1173" t="n">
        <v>0</v>
      </c>
      <c r="K1173" t="n">
        <v>0</v>
      </c>
      <c r="L1173" t="n">
        <v>1.09746370918264</v>
      </c>
      <c r="M1173" t="n">
        <v>0</v>
      </c>
      <c r="N1173" t="n">
        <v>0</v>
      </c>
      <c r="O1173" t="n">
        <v>0</v>
      </c>
      <c r="P1173" t="n">
        <v>0</v>
      </c>
      <c r="Q1173" t="n">
        <v>0</v>
      </c>
      <c r="R1173" t="inlineStr">
        <is>
          <t>Operationnel</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row>
    <row r="1174">
      <c r="A1174" t="inlineStr">
        <is>
          <t>NYOM-Camtel</t>
        </is>
      </c>
      <c r="B1174" t="inlineStr">
        <is>
          <t>CTR_551</t>
        </is>
      </c>
      <c r="C1174" t="inlineStr">
        <is>
          <t>Yaounde</t>
        </is>
      </c>
      <c r="D1174" t="inlineStr">
        <is>
          <t>CAMUSAT</t>
        </is>
      </c>
      <c r="E1174" t="inlineStr">
        <is>
          <t>HGB</t>
        </is>
      </c>
      <c r="F1174" t="inlineStr">
        <is>
          <t>CENTRE</t>
        </is>
      </c>
      <c r="G1174" t="inlineStr">
        <is>
          <t>Yaounde</t>
        </is>
      </c>
      <c r="H1174" t="inlineStr">
        <is>
          <t>ZTE</t>
        </is>
      </c>
      <c r="I1174" t="n">
        <v>0</v>
      </c>
      <c r="J1174" t="n">
        <v>6.393465369985132</v>
      </c>
      <c r="K1174" t="n">
        <v>0</v>
      </c>
      <c r="L1174" t="n">
        <v>0.9298139729991178</v>
      </c>
      <c r="M1174" t="n">
        <v>0</v>
      </c>
      <c r="N1174" t="n">
        <v>0</v>
      </c>
      <c r="O1174" t="n">
        <v>0</v>
      </c>
      <c r="P1174" t="n">
        <v>0</v>
      </c>
      <c r="Q1174" t="n">
        <v>0</v>
      </c>
      <c r="R1174" t="inlineStr">
        <is>
          <t>Operationnel</t>
        </is>
      </c>
      <c r="S1174" t="inlineStr"/>
      <c r="T1174" t="inlineStr"/>
      <c r="U1174" t="inlineStr"/>
      <c r="V1174" t="inlineStr"/>
      <c r="W1174" t="inlineStr"/>
      <c r="X1174" t="inlineStr">
        <is>
          <t xml:space="preserve">{05-25-2026 incident}:  {05-18-2026 groupe whatsapp incident}: impacted by    CTR_750_Z_Nkometou-II(CTR-750) ,Power issue || Action retour CAMUSAT attendu      ;    {05-25-2026 retour CAMUSAT}: No power issue </t>
        </is>
      </c>
      <c r="Y1174" t="inlineStr">
        <is>
          <t>{05-25-2026 incident} {05-18-2026 groupe whatsapp incident} impacted by CTR_750_Z_Nkometou-II(CTR-750) ,Power issue || Action retour CAMUSAT attendu No power issue</t>
        </is>
      </c>
      <c r="Z1174" t="inlineStr"/>
      <c r="AA1174" t="inlineStr">
        <is>
          <t xml:space="preserve">{05-25-2026 incident}:  {05-18-2026 groupe whatsapp incident}: impacted by    CTR_750_Z_Nkometou-II(CTR-750) ,Power issue || Action retour CAMUSAT attendu </t>
        </is>
      </c>
      <c r="AB1174" t="inlineStr"/>
      <c r="AC1174" t="inlineStr">
        <is>
          <t xml:space="preserve">{05-25-2026 retour CAMUSAT}: No power issue </t>
        </is>
      </c>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row>
    <row r="1175">
      <c r="A1175" t="inlineStr">
        <is>
          <t>SCDP-New</t>
        </is>
      </c>
      <c r="B1175" t="inlineStr">
        <is>
          <t>LIT_739</t>
        </is>
      </c>
      <c r="C1175" t="inlineStr">
        <is>
          <t>Douala</t>
        </is>
      </c>
      <c r="D1175" t="inlineStr">
        <is>
          <t>CAMUSAT</t>
        </is>
      </c>
      <c r="E1175" t="inlineStr">
        <is>
          <t>Good Grid no GE - 8h</t>
        </is>
      </c>
      <c r="F1175" t="inlineStr">
        <is>
          <t>LITTORAL</t>
        </is>
      </c>
      <c r="G1175" t="inlineStr">
        <is>
          <t>Douala</t>
        </is>
      </c>
      <c r="H1175" t="inlineStr">
        <is>
          <t>ZTE</t>
        </is>
      </c>
      <c r="I1175" t="n">
        <v>0</v>
      </c>
      <c r="J1175" t="n">
        <v>0</v>
      </c>
      <c r="K1175" t="n">
        <v>1.147437598627985</v>
      </c>
      <c r="L1175" t="n">
        <v>0.8220900999620465</v>
      </c>
      <c r="M1175" t="n">
        <v>0</v>
      </c>
      <c r="N1175" t="n">
        <v>0</v>
      </c>
      <c r="O1175" t="n">
        <v>0</v>
      </c>
      <c r="P1175" t="n">
        <v>0</v>
      </c>
      <c r="Q1175" t="n">
        <v>0</v>
      </c>
      <c r="R1175" t="inlineStr">
        <is>
          <t>Operationnel</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row>
    <row r="1176">
      <c r="A1176" t="inlineStr">
        <is>
          <t>Befang-MTN</t>
        </is>
      </c>
      <c r="B1176" t="inlineStr">
        <is>
          <t>NRO_239</t>
        </is>
      </c>
      <c r="C1176" t="inlineStr">
        <is>
          <t>NORD-OUEST</t>
        </is>
      </c>
      <c r="D1176" t="inlineStr">
        <is>
          <t>IHS</t>
        </is>
      </c>
      <c r="E1176" t="inlineStr">
        <is>
          <t>Gen Only</t>
        </is>
      </c>
      <c r="F1176" t="inlineStr">
        <is>
          <t>NORD-OUEST</t>
        </is>
      </c>
      <c r="G1176" t="inlineStr">
        <is>
          <t>Befang</t>
        </is>
      </c>
      <c r="H1176" t="inlineStr">
        <is>
          <t>NOKIA</t>
        </is>
      </c>
      <c r="I1176" t="n">
        <v>0.6319146598636545</v>
      </c>
      <c r="J1176" t="n">
        <v>0</v>
      </c>
      <c r="K1176" t="n">
        <v>0</v>
      </c>
      <c r="L1176" t="n">
        <v>0.8218225737872862</v>
      </c>
      <c r="M1176" t="n">
        <v>0</v>
      </c>
      <c r="N1176" t="n">
        <v>0</v>
      </c>
      <c r="O1176" t="n">
        <v>0</v>
      </c>
      <c r="P1176" t="n">
        <v>0</v>
      </c>
      <c r="Q1176" t="n">
        <v>0</v>
      </c>
      <c r="R1176" t="inlineStr">
        <is>
          <t>Insecurity</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row>
    <row r="1177">
      <c r="A1177" t="inlineStr">
        <is>
          <t>DEIDO-MARCHE</t>
        </is>
      </c>
      <c r="B1177" t="inlineStr">
        <is>
          <t>LIT_651</t>
        </is>
      </c>
      <c r="C1177" t="inlineStr">
        <is>
          <t>Douala</t>
        </is>
      </c>
      <c r="D1177" t="inlineStr">
        <is>
          <t>CAMUSAT</t>
        </is>
      </c>
      <c r="E1177" t="inlineStr">
        <is>
          <t>Good Grid no GE - 12h</t>
        </is>
      </c>
      <c r="F1177" t="inlineStr">
        <is>
          <t>LITTORAL</t>
        </is>
      </c>
      <c r="G1177" t="inlineStr">
        <is>
          <t>Douala</t>
        </is>
      </c>
      <c r="H1177" t="inlineStr">
        <is>
          <t>ZTE</t>
        </is>
      </c>
      <c r="I1177" t="n">
        <v>0</v>
      </c>
      <c r="J1177" t="n">
        <v>0</v>
      </c>
      <c r="K1177" t="n">
        <v>2.090503034816925</v>
      </c>
      <c r="L1177" t="n">
        <v>0.8189154560215501</v>
      </c>
      <c r="M1177" t="n">
        <v>0</v>
      </c>
      <c r="N1177" t="n">
        <v>0</v>
      </c>
      <c r="O1177" t="n">
        <v>0</v>
      </c>
      <c r="P1177" t="n">
        <v>0</v>
      </c>
      <c r="Q1177" t="n">
        <v>0</v>
      </c>
      <c r="R1177" t="inlineStr">
        <is>
          <t>Operationnel</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row>
    <row r="1178">
      <c r="A1178" t="inlineStr">
        <is>
          <t>CTR_954_Z_Nkolfoulou-III</t>
        </is>
      </c>
      <c r="B1178" t="inlineStr">
        <is>
          <t>CTR_954</t>
        </is>
      </c>
      <c r="C1178" t="inlineStr">
        <is>
          <t>Yaounde</t>
        </is>
      </c>
      <c r="D1178" t="inlineStr"/>
      <c r="E1178" t="inlineStr"/>
      <c r="F1178" t="inlineStr">
        <is>
          <t>CENTRE</t>
        </is>
      </c>
      <c r="G1178" t="inlineStr">
        <is>
          <t>Yaounde</t>
        </is>
      </c>
      <c r="H1178" t="inlineStr">
        <is>
          <t>ZTE</t>
        </is>
      </c>
      <c r="I1178" t="n">
        <v>0</v>
      </c>
      <c r="J1178" t="n">
        <v>0</v>
      </c>
      <c r="K1178" t="n">
        <v>0</v>
      </c>
      <c r="L1178" t="n">
        <v>0.8042550216446512</v>
      </c>
      <c r="M1178" t="n">
        <v>0</v>
      </c>
      <c r="N1178" t="n">
        <v>0</v>
      </c>
      <c r="O1178" t="n">
        <v>0</v>
      </c>
      <c r="P1178" t="n">
        <v>0</v>
      </c>
      <c r="Q1178" t="n">
        <v>0</v>
      </c>
      <c r="R1178" t="inlineStr">
        <is>
          <t>Operationnel</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row>
    <row r="1179">
      <c r="A1179" t="inlineStr">
        <is>
          <t>Agape</t>
        </is>
      </c>
      <c r="B1179" t="inlineStr">
        <is>
          <t>LIT_609</t>
        </is>
      </c>
      <c r="C1179" t="inlineStr">
        <is>
          <t>Douala</t>
        </is>
      </c>
      <c r="D1179" t="inlineStr">
        <is>
          <t>CAMUSAT</t>
        </is>
      </c>
      <c r="E1179" t="inlineStr">
        <is>
          <t>Good Grid no GE - 8h</t>
        </is>
      </c>
      <c r="F1179" t="inlineStr">
        <is>
          <t>LITTORAL</t>
        </is>
      </c>
      <c r="G1179" t="inlineStr">
        <is>
          <t>Douala</t>
        </is>
      </c>
      <c r="H1179" t="inlineStr">
        <is>
          <t>ZTE</t>
        </is>
      </c>
      <c r="I1179" t="n">
        <v>0</v>
      </c>
      <c r="J1179" t="n">
        <v>0.6718652352946226</v>
      </c>
      <c r="K1179" t="n">
        <v>0</v>
      </c>
      <c r="L1179" t="n">
        <v>0.7633235169062268</v>
      </c>
      <c r="M1179" t="n">
        <v>0</v>
      </c>
      <c r="N1179" t="n">
        <v>0</v>
      </c>
      <c r="O1179" t="n">
        <v>0</v>
      </c>
      <c r="P1179" t="n">
        <v>0</v>
      </c>
      <c r="Q1179" t="n">
        <v>0</v>
      </c>
      <c r="R1179" t="inlineStr">
        <is>
          <t>Operationnel</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row>
    <row r="1180">
      <c r="A1180" t="inlineStr">
        <is>
          <t>Batouri</t>
        </is>
      </c>
      <c r="B1180" t="inlineStr">
        <is>
          <t>EST_005</t>
        </is>
      </c>
      <c r="C1180" t="inlineStr">
        <is>
          <t>CENTRE</t>
        </is>
      </c>
      <c r="D1180" t="inlineStr">
        <is>
          <t>CAMUSAT</t>
        </is>
      </c>
      <c r="E1180" t="inlineStr">
        <is>
          <t>Bad Grid + Solar + GE</t>
        </is>
      </c>
      <c r="F1180" t="inlineStr">
        <is>
          <t>EST</t>
        </is>
      </c>
      <c r="G1180" t="inlineStr">
        <is>
          <t>Batouri</t>
        </is>
      </c>
      <c r="H1180" t="inlineStr">
        <is>
          <t>ZTE</t>
        </is>
      </c>
      <c r="I1180" t="n">
        <v>0</v>
      </c>
      <c r="J1180" t="n">
        <v>4.329590107096078</v>
      </c>
      <c r="K1180" t="n">
        <v>0</v>
      </c>
      <c r="L1180" t="n">
        <v>0.7293655277899058</v>
      </c>
      <c r="M1180" t="n">
        <v>0</v>
      </c>
      <c r="N1180" t="n">
        <v>0</v>
      </c>
      <c r="O1180" t="n">
        <v>0</v>
      </c>
      <c r="P1180" t="n">
        <v>0</v>
      </c>
      <c r="Q1180" t="n">
        <v>0</v>
      </c>
      <c r="R1180" t="inlineStr">
        <is>
          <t>Operationnel</t>
        </is>
      </c>
      <c r="S1180" t="inlineStr"/>
      <c r="T1180" t="inlineStr"/>
      <c r="U1180" t="inlineStr"/>
      <c r="V1180" t="inlineStr"/>
      <c r="W1180" t="inlineStr"/>
      <c r="X1180" t="inlineStr">
        <is>
          <t>{05-25-2026 retour CAMUSAT}: ATS faulty</t>
        </is>
      </c>
      <c r="Y1180" t="inlineStr">
        <is>
          <t>ATS faulty</t>
        </is>
      </c>
      <c r="Z1180" t="inlineStr"/>
      <c r="AA1180" t="inlineStr"/>
      <c r="AB1180" t="inlineStr"/>
      <c r="AC1180" t="inlineStr">
        <is>
          <t>{05-25-2026 retour CAMUSAT}: ATS faulty</t>
        </is>
      </c>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row>
    <row r="1181">
      <c r="A1181" t="inlineStr">
        <is>
          <t>Ndogpassi-Pays-Bas-IHS</t>
        </is>
      </c>
      <c r="B1181" t="inlineStr">
        <is>
          <t>LIT_634</t>
        </is>
      </c>
      <c r="C1181" t="inlineStr">
        <is>
          <t>Douala</t>
        </is>
      </c>
      <c r="D1181" t="inlineStr">
        <is>
          <t>IHS</t>
        </is>
      </c>
      <c r="E1181" t="inlineStr">
        <is>
          <t>Grid-Gen</t>
        </is>
      </c>
      <c r="F1181" t="inlineStr">
        <is>
          <t>LITTORAL</t>
        </is>
      </c>
      <c r="G1181" t="inlineStr">
        <is>
          <t>Douala</t>
        </is>
      </c>
      <c r="H1181" t="inlineStr">
        <is>
          <t>ZTE</t>
        </is>
      </c>
      <c r="I1181" t="n">
        <v>1.522027748528249</v>
      </c>
      <c r="J1181" t="n">
        <v>3.799834775834467</v>
      </c>
      <c r="K1181" t="n">
        <v>0</v>
      </c>
      <c r="L1181" t="n">
        <v>0.7142057112201192</v>
      </c>
      <c r="M1181" t="n">
        <v>0</v>
      </c>
      <c r="N1181" t="n">
        <v>0</v>
      </c>
      <c r="O1181" t="n">
        <v>0</v>
      </c>
      <c r="P1181" t="n">
        <v>0</v>
      </c>
      <c r="Q1181" t="n">
        <v>0</v>
      </c>
      <c r="R1181" t="inlineStr">
        <is>
          <t>Operationnel</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row>
    <row r="1182">
      <c r="A1182" t="inlineStr">
        <is>
          <t>Limbe-Federal-Qter</t>
        </is>
      </c>
      <c r="B1182" t="inlineStr">
        <is>
          <t>SUO_065</t>
        </is>
      </c>
      <c r="C1182" t="inlineStr">
        <is>
          <t>SUD-OUEST</t>
        </is>
      </c>
      <c r="D1182" t="inlineStr">
        <is>
          <t>IHS</t>
        </is>
      </c>
      <c r="E1182" t="inlineStr">
        <is>
          <t>Grid-Gen</t>
        </is>
      </c>
      <c r="F1182" t="inlineStr">
        <is>
          <t>SUD-OUEST</t>
        </is>
      </c>
      <c r="G1182" t="inlineStr">
        <is>
          <t>Limbe</t>
        </is>
      </c>
      <c r="H1182" t="inlineStr">
        <is>
          <t>Huawei</t>
        </is>
      </c>
      <c r="I1182" t="n">
        <v>0</v>
      </c>
      <c r="J1182" t="n">
        <v>0</v>
      </c>
      <c r="K1182" t="n">
        <v>4.887614037490761</v>
      </c>
      <c r="L1182" t="n">
        <v>0.7099252924239441</v>
      </c>
      <c r="M1182" t="n">
        <v>0</v>
      </c>
      <c r="N1182" t="n">
        <v>0</v>
      </c>
      <c r="O1182" t="n">
        <v>0</v>
      </c>
      <c r="P1182" t="n">
        <v>0</v>
      </c>
      <c r="Q1182" t="n">
        <v>0</v>
      </c>
      <c r="R1182" t="inlineStr">
        <is>
          <t>Operationnel</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row>
    <row r="1183">
      <c r="A1183" t="inlineStr">
        <is>
          <t>Foumban-Ndjidare</t>
        </is>
      </c>
      <c r="B1183" t="inlineStr">
        <is>
          <t>OST_087</t>
        </is>
      </c>
      <c r="C1183" t="inlineStr">
        <is>
          <t>OUEST</t>
        </is>
      </c>
      <c r="D1183" t="inlineStr">
        <is>
          <t>IHS</t>
        </is>
      </c>
      <c r="E1183" t="inlineStr">
        <is>
          <t>Grid-Gen</t>
        </is>
      </c>
      <c r="F1183" t="inlineStr">
        <is>
          <t>OUEST</t>
        </is>
      </c>
      <c r="G1183" t="inlineStr">
        <is>
          <t>Foumban</t>
        </is>
      </c>
      <c r="H1183" t="inlineStr">
        <is>
          <t>Huawei</t>
        </is>
      </c>
      <c r="I1183" t="n">
        <v>0.2835777452465949</v>
      </c>
      <c r="J1183" t="n">
        <v>0</v>
      </c>
      <c r="K1183" t="n">
        <v>0</v>
      </c>
      <c r="L1183" t="n">
        <v>0.6961922821195493</v>
      </c>
      <c r="M1183" t="n">
        <v>0</v>
      </c>
      <c r="N1183" t="n">
        <v>0</v>
      </c>
      <c r="O1183" t="n">
        <v>0</v>
      </c>
      <c r="P1183" t="n">
        <v>0</v>
      </c>
      <c r="Q1183" t="n">
        <v>0</v>
      </c>
      <c r="R1183" t="inlineStr">
        <is>
          <t>Operationnel</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row>
    <row r="1184">
      <c r="A1184" t="inlineStr">
        <is>
          <t>Maroua-Barmare</t>
        </is>
      </c>
      <c r="B1184" t="inlineStr">
        <is>
          <t>EXN_089</t>
        </is>
      </c>
      <c r="C1184" t="inlineStr">
        <is>
          <t>Maroua</t>
        </is>
      </c>
      <c r="D1184" t="inlineStr">
        <is>
          <t>IHS</t>
        </is>
      </c>
      <c r="E1184" t="inlineStr">
        <is>
          <t>Grid-Gen</t>
        </is>
      </c>
      <c r="F1184" t="inlineStr">
        <is>
          <t>EXTREME-NORD</t>
        </is>
      </c>
      <c r="G1184" t="inlineStr">
        <is>
          <t>Maroua</t>
        </is>
      </c>
      <c r="H1184" t="inlineStr">
        <is>
          <t>Huawei</t>
        </is>
      </c>
      <c r="I1184" t="n">
        <v>0</v>
      </c>
      <c r="J1184" t="n">
        <v>0</v>
      </c>
      <c r="K1184" t="n">
        <v>0</v>
      </c>
      <c r="L1184" t="n">
        <v>0.5121342738840234</v>
      </c>
      <c r="M1184" t="n">
        <v>0</v>
      </c>
      <c r="N1184" t="n">
        <v>0</v>
      </c>
      <c r="O1184" t="n">
        <v>0</v>
      </c>
      <c r="P1184" t="n">
        <v>0</v>
      </c>
      <c r="Q1184" t="n">
        <v>0</v>
      </c>
      <c r="R1184" t="inlineStr">
        <is>
          <t>Operationnel</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row>
    <row r="1185">
      <c r="A1185" t="inlineStr">
        <is>
          <t>Ngd-Bamyangal-II-IHS</t>
        </is>
      </c>
      <c r="B1185" t="inlineStr">
        <is>
          <t>ADM_085</t>
        </is>
      </c>
      <c r="C1185" t="inlineStr">
        <is>
          <t>Ngaoundere</t>
        </is>
      </c>
      <c r="D1185" t="inlineStr">
        <is>
          <t>IHS</t>
        </is>
      </c>
      <c r="E1185" t="inlineStr">
        <is>
          <t>Grid-Gen</t>
        </is>
      </c>
      <c r="F1185" t="inlineStr">
        <is>
          <t>ADAMAOUA</t>
        </is>
      </c>
      <c r="G1185" t="inlineStr">
        <is>
          <t>Ngaoundere</t>
        </is>
      </c>
      <c r="H1185" t="inlineStr">
        <is>
          <t>Huawei</t>
        </is>
      </c>
      <c r="I1185" t="n">
        <v>0</v>
      </c>
      <c r="J1185" t="n">
        <v>0</v>
      </c>
      <c r="K1185" t="n">
        <v>0</v>
      </c>
      <c r="L1185" t="n">
        <v>0.489180528089535</v>
      </c>
      <c r="M1185" t="n">
        <v>0</v>
      </c>
      <c r="N1185" t="n">
        <v>0</v>
      </c>
      <c r="O1185" t="n">
        <v>0</v>
      </c>
      <c r="P1185" t="n">
        <v>0</v>
      </c>
      <c r="Q1185" t="n">
        <v>0</v>
      </c>
      <c r="R1185" t="inlineStr">
        <is>
          <t>Operationnel</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row>
    <row r="1186">
      <c r="A1186" t="inlineStr">
        <is>
          <t>Edea-Entree</t>
        </is>
      </c>
      <c r="B1186" t="inlineStr">
        <is>
          <t>LIT_229</t>
        </is>
      </c>
      <c r="C1186" t="inlineStr">
        <is>
          <t>LITTORAL</t>
        </is>
      </c>
      <c r="D1186" t="inlineStr">
        <is>
          <t>IHS</t>
        </is>
      </c>
      <c r="E1186" t="inlineStr">
        <is>
          <t>Solar-Grid-Gen</t>
        </is>
      </c>
      <c r="F1186" t="inlineStr">
        <is>
          <t>LITTORAL</t>
        </is>
      </c>
      <c r="G1186" t="inlineStr">
        <is>
          <t>Edea</t>
        </is>
      </c>
      <c r="H1186" t="inlineStr">
        <is>
          <t>ZTE</t>
        </is>
      </c>
      <c r="I1186" t="n">
        <v>0</v>
      </c>
      <c r="J1186" t="n">
        <v>0</v>
      </c>
      <c r="K1186" t="n">
        <v>0</v>
      </c>
      <c r="L1186" t="n">
        <v>0.4494261385200582</v>
      </c>
      <c r="M1186" t="n">
        <v>0</v>
      </c>
      <c r="N1186" t="n">
        <v>0</v>
      </c>
      <c r="O1186" t="n">
        <v>0</v>
      </c>
      <c r="P1186" t="n">
        <v>0</v>
      </c>
      <c r="Q1186" t="n">
        <v>0</v>
      </c>
      <c r="R1186" t="inlineStr">
        <is>
          <t>EXCLU</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row>
    <row r="1187">
      <c r="A1187" t="inlineStr">
        <is>
          <t>Aguli-MTN</t>
        </is>
      </c>
      <c r="B1187" t="inlineStr">
        <is>
          <t>NRO_256</t>
        </is>
      </c>
      <c r="C1187" t="inlineStr">
        <is>
          <t>NORD-OUEST</t>
        </is>
      </c>
      <c r="D1187" t="inlineStr">
        <is>
          <t>IHS</t>
        </is>
      </c>
      <c r="E1187" t="inlineStr">
        <is>
          <t>Hybrid-Gen</t>
        </is>
      </c>
      <c r="F1187" t="inlineStr">
        <is>
          <t>NORD-OUEST</t>
        </is>
      </c>
      <c r="G1187" t="inlineStr">
        <is>
          <t>Aguli</t>
        </is>
      </c>
      <c r="H1187" t="inlineStr">
        <is>
          <t>NOKIA</t>
        </is>
      </c>
      <c r="I1187" t="n">
        <v>0.09456158523883311</v>
      </c>
      <c r="J1187" t="n">
        <v>0</v>
      </c>
      <c r="K1187" t="n">
        <v>0.2055671126863051</v>
      </c>
      <c r="L1187" t="n">
        <v>0.4358179737638865</v>
      </c>
      <c r="M1187" t="n">
        <v>0</v>
      </c>
      <c r="N1187" t="n">
        <v>0</v>
      </c>
      <c r="O1187" t="n">
        <v>0</v>
      </c>
      <c r="P1187" t="n">
        <v>0</v>
      </c>
      <c r="Q1187" t="n">
        <v>0</v>
      </c>
      <c r="R1187" t="inlineStr">
        <is>
          <t>Insecurity</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row>
    <row r="1188">
      <c r="A1188" t="inlineStr">
        <is>
          <t>Kinguin-IHS</t>
        </is>
      </c>
      <c r="B1188" t="inlineStr">
        <is>
          <t>EXN_168</t>
        </is>
      </c>
      <c r="C1188" t="inlineStr">
        <is>
          <t>EXTREME-NORD</t>
        </is>
      </c>
      <c r="D1188" t="inlineStr">
        <is>
          <t>IHS</t>
        </is>
      </c>
      <c r="E1188" t="inlineStr">
        <is>
          <t>Grid-Gen</t>
        </is>
      </c>
      <c r="F1188" t="inlineStr">
        <is>
          <t>EXTREME-NORD</t>
        </is>
      </c>
      <c r="G1188" t="inlineStr">
        <is>
          <t>Kinguin</t>
        </is>
      </c>
      <c r="H1188" t="inlineStr">
        <is>
          <t>NOKIA</t>
        </is>
      </c>
      <c r="I1188" t="n">
        <v>0.8632300357937381</v>
      </c>
      <c r="J1188" t="n">
        <v>0</v>
      </c>
      <c r="K1188" t="n">
        <v>0</v>
      </c>
      <c r="L1188" t="n">
        <v>0.3421552335344354</v>
      </c>
      <c r="M1188" t="n">
        <v>0</v>
      </c>
      <c r="N1188" t="n">
        <v>0</v>
      </c>
      <c r="O1188" t="n">
        <v>0</v>
      </c>
      <c r="P1188" t="n">
        <v>0</v>
      </c>
      <c r="Q1188" t="n">
        <v>0</v>
      </c>
      <c r="R1188" t="inlineStr">
        <is>
          <t>Insecurity</t>
        </is>
      </c>
      <c r="S1188" t="inlineStr"/>
      <c r="T1188" t="inlineStr"/>
      <c r="U1188" t="inlineStr"/>
      <c r="V1188" t="inlineStr"/>
      <c r="W1188" t="inlineStr"/>
      <c r="X1188" t="inlineStr">
        <is>
          <t>{05-25-2026 ticket}: INC-20260525-00021267..Grid Outage</t>
        </is>
      </c>
      <c r="Y1188" t="inlineStr">
        <is>
          <t>.Grid Outage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is>
          <t>{05-25-2026 ticket}: INC-20260525-00021267..Grid Outage</t>
        </is>
      </c>
      <c r="AR1188" t="inlineStr"/>
    </row>
    <row r="1189">
      <c r="A1189" t="inlineStr">
        <is>
          <t>EST_203_Z_Bertoua-Koume-Bonis</t>
        </is>
      </c>
      <c r="B1189" t="inlineStr">
        <is>
          <t>EST_203</t>
        </is>
      </c>
      <c r="C1189" t="inlineStr">
        <is>
          <t>CENTRE</t>
        </is>
      </c>
      <c r="D1189" t="inlineStr">
        <is>
          <t>ESCO</t>
        </is>
      </c>
      <c r="E1189" t="inlineStr">
        <is>
          <t>Hybrid Solar - S1</t>
        </is>
      </c>
      <c r="F1189" t="inlineStr">
        <is>
          <t>EST</t>
        </is>
      </c>
      <c r="G1189" t="inlineStr">
        <is>
          <t>Bertoua</t>
        </is>
      </c>
      <c r="H1189" t="inlineStr">
        <is>
          <t>ZTE</t>
        </is>
      </c>
      <c r="I1189" t="n">
        <v>2.083993231231075</v>
      </c>
      <c r="J1189" t="n">
        <v>0.2544887325109216</v>
      </c>
      <c r="K1189" t="n">
        <v>0</v>
      </c>
      <c r="L1189" t="n">
        <v>0.2983451900933995</v>
      </c>
      <c r="M1189" t="n">
        <v>0</v>
      </c>
      <c r="N1189" t="n">
        <v>0</v>
      </c>
      <c r="O1189" t="n">
        <v>0</v>
      </c>
      <c r="P1189" t="n">
        <v>0</v>
      </c>
      <c r="Q1189" t="n">
        <v>0</v>
      </c>
      <c r="R1189" t="inlineStr">
        <is>
          <t>Operationnel</t>
        </is>
      </c>
      <c r="S1189" t="inlineStr"/>
      <c r="T1189" t="inlineStr"/>
      <c r="U1189" t="inlineStr"/>
      <c r="V1189" t="inlineStr"/>
      <c r="W1189" t="inlineStr"/>
      <c r="X1189" t="inlineStr">
        <is>
          <t xml:space="preserve">{05-25-2026 retour CAMUSAT}: No power issue </t>
        </is>
      </c>
      <c r="Y1189" t="inlineStr">
        <is>
          <t>No power issue</t>
        </is>
      </c>
      <c r="Z1189" t="inlineStr"/>
      <c r="AA1189" t="inlineStr"/>
      <c r="AB1189" t="inlineStr"/>
      <c r="AC1189" t="inlineStr">
        <is>
          <t xml:space="preserve">{05-25-2026 retour CAMUSAT}: No power issue </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row>
    <row r="1190">
      <c r="A1190" t="inlineStr">
        <is>
          <t>Mbakong-MTN</t>
        </is>
      </c>
      <c r="B1190" t="inlineStr">
        <is>
          <t>NRO_255</t>
        </is>
      </c>
      <c r="C1190" t="inlineStr">
        <is>
          <t>NORD-OUEST</t>
        </is>
      </c>
      <c r="D1190" t="inlineStr">
        <is>
          <t>IHS</t>
        </is>
      </c>
      <c r="E1190" t="inlineStr">
        <is>
          <t>Hybrid-Gen</t>
        </is>
      </c>
      <c r="F1190" t="inlineStr">
        <is>
          <t>NORD-OUEST</t>
        </is>
      </c>
      <c r="G1190" t="inlineStr">
        <is>
          <t>Mbakong</t>
        </is>
      </c>
      <c r="H1190" t="inlineStr">
        <is>
          <t>NOKIA</t>
        </is>
      </c>
      <c r="I1190" t="n">
        <v>0</v>
      </c>
      <c r="J1190" t="n">
        <v>2.167782429166203</v>
      </c>
      <c r="K1190" t="n">
        <v>0</v>
      </c>
      <c r="L1190" t="n">
        <v>0.2580557481744015</v>
      </c>
      <c r="M1190" t="n">
        <v>0</v>
      </c>
      <c r="N1190" t="n">
        <v>0</v>
      </c>
      <c r="O1190" t="n">
        <v>0</v>
      </c>
      <c r="P1190" t="n">
        <v>0</v>
      </c>
      <c r="Q1190" t="n">
        <v>0</v>
      </c>
      <c r="R1190" t="inlineStr">
        <is>
          <t>Insecurity</t>
        </is>
      </c>
      <c r="S1190" t="inlineStr"/>
      <c r="T1190" t="inlineStr"/>
      <c r="U1190" t="inlineStr"/>
      <c r="V1190" t="inlineStr"/>
      <c r="W1190" t="inlineStr"/>
      <c r="X1190" t="inlineStr">
        <is>
          <t>{05/25/2026 cell nokia}: 
25/05/2026 :  GHOST  TOWN
23/05/2026 : FME activer || Negociation access en cours 
22/052026: Closed After reset check and clean jumper port 2 of FRGU || ETA : 23052026 
17/05/2026 : Need BO RAN analysis     ;    {05/25/2026 cell nokia}: 
25/05/2026 :  GHOST  TOWN
23/05/2026 : FME activer || Negociation access en cours 
22/052026: Closed After reset check and clean jumper port 2 of FRGU || ETA : 23052026 
17/05/2026 : Need BO RAN analysis     ;    {05/25/2026 cell nokia}: 
25/05/2026 :  GHOST  TOWN
23/05/2026 : FME activer || Negociation access en cours 
22/052026: Closed After reset check and clean jumper port 2 of FRGU || ETA : 23052026 
17/05/2026 : Need BO RAN analysis</t>
        </is>
      </c>
      <c r="Y1190" t="inlineStr">
        <is>
          <t>25/05/2026 GHOST TOWN
23/05/2026 FME activer || Negociation access en cours
22/052026 Closed After reset check and clean jumper port 2 of FRGU || ETA 23052026
17/05/2026 Need BO RAN analysis 25/05/2026 GHOST TOWN
23/05/2026 FME activer || Negociation access en cours
22/052026 Closed After reset check and clean jumper port 2 of FRGU || ETA 23052026
17/05/2026 Need BO RAN analysis 25/05/2026 GHOST TOWN
23/05/2026 FME activer || Negociation access en cours
22/052026 Closed After reset check and clean jumper port 2 of FRGU || ETA 23052026
17/05/2026 Need BO RAN analysis</t>
        </is>
      </c>
      <c r="Z1190" t="inlineStr"/>
      <c r="AA1190" t="inlineStr"/>
      <c r="AB1190" t="inlineStr"/>
      <c r="AC1190" t="inlineStr"/>
      <c r="AD1190" t="inlineStr"/>
      <c r="AE1190" t="inlineStr"/>
      <c r="AF1190" t="inlineStr">
        <is>
          <t>{05/25/2026 cell nokia}: 
25/05/2026 :  GHOST  TOWN
23/05/2026 : FME activer || Negociation access en cours 
22/052026: Closed After reset check and clean jumper port 2 of FRGU || ETA : 23052026 
17/05/2026 : Need BO RAN analysis</t>
        </is>
      </c>
      <c r="AG1190" t="inlineStr">
        <is>
          <t>{05/25/2026 cell nokia}: 
25/05/2026 :  GHOST  TOWN
23/05/2026 : FME activer || Negociation access en cours 
22/052026: Closed After reset check and clean jumper port 2 of FRGU || ETA : 23052026 
17/05/2026 : Need BO RAN analysis</t>
        </is>
      </c>
      <c r="AH1190" t="inlineStr">
        <is>
          <t>{05/25/2026 cell nokia}: 
25/05/2026 :  GHOST  TOWN
23/05/2026 : FME activer || Negociation access en cours 
22/052026: Closed After reset check and clean jumper port 2 of FRGU || ETA : 23052026 
17/05/2026 : Need BO RAN analysis</t>
        </is>
      </c>
      <c r="AI1190" t="inlineStr"/>
      <c r="AJ1190" t="inlineStr"/>
      <c r="AK1190" t="inlineStr"/>
      <c r="AL1190" t="inlineStr"/>
      <c r="AM1190" t="inlineStr"/>
      <c r="AN1190" t="inlineStr"/>
      <c r="AO1190" t="inlineStr"/>
      <c r="AP1190" t="inlineStr"/>
      <c r="AQ1190" t="inlineStr"/>
      <c r="AR1190" t="inlineStr"/>
    </row>
    <row r="1191">
      <c r="A1191" t="inlineStr">
        <is>
          <t>Okoth</t>
        </is>
      </c>
      <c r="B1191" t="inlineStr">
        <is>
          <t>LIT_323</t>
        </is>
      </c>
      <c r="C1191" t="inlineStr">
        <is>
          <t>LITTORAL</t>
        </is>
      </c>
      <c r="D1191" t="inlineStr">
        <is>
          <t>IHS</t>
        </is>
      </c>
      <c r="E1191" t="inlineStr">
        <is>
          <t>Grid-Gen</t>
        </is>
      </c>
      <c r="F1191" t="inlineStr">
        <is>
          <t>LITTORAL</t>
        </is>
      </c>
      <c r="G1191" t="inlineStr">
        <is>
          <t>Edea</t>
        </is>
      </c>
      <c r="H1191" t="inlineStr">
        <is>
          <t>ZTE</t>
        </is>
      </c>
      <c r="I1191" t="n">
        <v>0</v>
      </c>
      <c r="J1191" t="n">
        <v>0</v>
      </c>
      <c r="K1191" t="n">
        <v>0</v>
      </c>
      <c r="L1191" t="n">
        <v>0.2400066489171971</v>
      </c>
      <c r="M1191" t="n">
        <v>0</v>
      </c>
      <c r="N1191" t="n">
        <v>0</v>
      </c>
      <c r="O1191" t="n">
        <v>0</v>
      </c>
      <c r="P1191" t="n">
        <v>0</v>
      </c>
      <c r="Q1191" t="n">
        <v>0</v>
      </c>
      <c r="R1191" t="inlineStr">
        <is>
          <t>Operationnel</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row>
    <row r="1192">
      <c r="A1192" t="inlineStr">
        <is>
          <t>Admin</t>
        </is>
      </c>
      <c r="B1192" t="inlineStr">
        <is>
          <t>EST_108</t>
        </is>
      </c>
      <c r="C1192" t="inlineStr">
        <is>
          <t>CENTRE</t>
        </is>
      </c>
      <c r="D1192" t="inlineStr">
        <is>
          <t>IHS</t>
        </is>
      </c>
      <c r="E1192" t="inlineStr">
        <is>
          <t>Grid-Gen</t>
        </is>
      </c>
      <c r="F1192" t="inlineStr">
        <is>
          <t>EST</t>
        </is>
      </c>
      <c r="G1192" t="inlineStr">
        <is>
          <t>Bertoua</t>
        </is>
      </c>
      <c r="H1192" t="inlineStr">
        <is>
          <t>ZTE</t>
        </is>
      </c>
      <c r="I1192" t="n">
        <v>0</v>
      </c>
      <c r="J1192" t="n">
        <v>0.1237041032094581</v>
      </c>
      <c r="K1192" t="n">
        <v>8.676141373672001</v>
      </c>
      <c r="L1192" t="n">
        <v>0.208759591705119</v>
      </c>
      <c r="M1192" t="n">
        <v>0</v>
      </c>
      <c r="N1192" t="n">
        <v>0</v>
      </c>
      <c r="O1192" t="n">
        <v>0</v>
      </c>
      <c r="P1192" t="n">
        <v>0</v>
      </c>
      <c r="Q1192" t="n">
        <v>0</v>
      </c>
      <c r="R1192" t="inlineStr">
        <is>
          <t>Operationnel</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row>
    <row r="1193">
      <c r="A1193" t="inlineStr">
        <is>
          <t>Rhumsiki</t>
        </is>
      </c>
      <c r="B1193" t="inlineStr">
        <is>
          <t>EXN_139</t>
        </is>
      </c>
      <c r="C1193" t="inlineStr">
        <is>
          <t>EXTREME-NORD</t>
        </is>
      </c>
      <c r="D1193" t="inlineStr">
        <is>
          <t>IHS</t>
        </is>
      </c>
      <c r="E1193" t="inlineStr">
        <is>
          <t>Grid-Gen</t>
        </is>
      </c>
      <c r="F1193" t="inlineStr">
        <is>
          <t>EXTREME-NORD</t>
        </is>
      </c>
      <c r="G1193" t="inlineStr">
        <is>
          <t>Rhumsiki</t>
        </is>
      </c>
      <c r="H1193" t="inlineStr">
        <is>
          <t>NOKIA</t>
        </is>
      </c>
      <c r="I1193" t="n">
        <v>0.5082997320457837</v>
      </c>
      <c r="J1193" t="n">
        <v>0</v>
      </c>
      <c r="K1193" t="n">
        <v>0</v>
      </c>
      <c r="L1193" t="n">
        <v>0.1774337950686841</v>
      </c>
      <c r="M1193" t="n">
        <v>0</v>
      </c>
      <c r="N1193" t="n">
        <v>0</v>
      </c>
      <c r="O1193" t="n">
        <v>0</v>
      </c>
      <c r="P1193" t="n">
        <v>0</v>
      </c>
      <c r="Q1193" t="n">
        <v>0</v>
      </c>
      <c r="R1193" t="inlineStr">
        <is>
          <t>Insecurity</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row>
    <row r="1194">
      <c r="A1194" t="inlineStr">
        <is>
          <t>Yagoua</t>
        </is>
      </c>
      <c r="B1194" t="inlineStr">
        <is>
          <t>EXN_004</t>
        </is>
      </c>
      <c r="C1194" t="inlineStr">
        <is>
          <t>EXTREME-NORD</t>
        </is>
      </c>
      <c r="D1194" t="inlineStr">
        <is>
          <t>CAMUSAT</t>
        </is>
      </c>
      <c r="E1194" t="inlineStr">
        <is>
          <t>Bad Grid + Solar + GE</t>
        </is>
      </c>
      <c r="F1194" t="inlineStr">
        <is>
          <t>EXTREME-NORD</t>
        </is>
      </c>
      <c r="G1194" t="inlineStr">
        <is>
          <t>Yagoua</t>
        </is>
      </c>
      <c r="H1194" t="inlineStr">
        <is>
          <t>Huawei</t>
        </is>
      </c>
      <c r="I1194" t="n">
        <v>0.5964406890903539</v>
      </c>
      <c r="J1194" t="n">
        <v>0</v>
      </c>
      <c r="K1194" t="n">
        <v>0</v>
      </c>
      <c r="L1194" t="n">
        <v>0.1586786917898714</v>
      </c>
      <c r="M1194" t="n">
        <v>0</v>
      </c>
      <c r="N1194" t="n">
        <v>0</v>
      </c>
      <c r="O1194" t="n">
        <v>0</v>
      </c>
      <c r="P1194" t="n">
        <v>0</v>
      </c>
      <c r="Q1194" t="n">
        <v>0</v>
      </c>
      <c r="R1194" t="inlineStr">
        <is>
          <t>Insecurity</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row>
    <row r="1195">
      <c r="A1195" t="inlineStr">
        <is>
          <t>Bertoua-Agence-New</t>
        </is>
      </c>
      <c r="B1195" t="inlineStr">
        <is>
          <t>EST_088</t>
        </is>
      </c>
      <c r="C1195" t="inlineStr">
        <is>
          <t>CENTRE</t>
        </is>
      </c>
      <c r="D1195" t="inlineStr"/>
      <c r="E1195" t="inlineStr"/>
      <c r="F1195" t="inlineStr">
        <is>
          <t>EST</t>
        </is>
      </c>
      <c r="G1195" t="inlineStr">
        <is>
          <t>Bertoua</t>
        </is>
      </c>
      <c r="H1195" t="inlineStr">
        <is>
          <t>ZTE</t>
        </is>
      </c>
      <c r="I1195" t="n">
        <v>0</v>
      </c>
      <c r="J1195" t="n">
        <v>0.1128782106707986</v>
      </c>
      <c r="K1195" t="n">
        <v>0</v>
      </c>
      <c r="L1195" t="n">
        <v>0.1248277131434543</v>
      </c>
      <c r="M1195" t="n">
        <v>0</v>
      </c>
      <c r="N1195" t="n">
        <v>0</v>
      </c>
      <c r="O1195" t="n">
        <v>0</v>
      </c>
      <c r="P1195" t="n">
        <v>0</v>
      </c>
      <c r="Q1195" t="n">
        <v>0</v>
      </c>
      <c r="R1195" t="inlineStr">
        <is>
          <t>Operationnel</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row>
    <row r="1196">
      <c r="A1196" t="inlineStr">
        <is>
          <t>Longtimbi</t>
        </is>
      </c>
      <c r="B1196" t="inlineStr">
        <is>
          <t>EST_072</t>
        </is>
      </c>
      <c r="C1196" t="inlineStr">
        <is>
          <t>CENTRE</t>
        </is>
      </c>
      <c r="D1196" t="inlineStr">
        <is>
          <t>IHS</t>
        </is>
      </c>
      <c r="E1196" t="inlineStr">
        <is>
          <t>Grid-Gen</t>
        </is>
      </c>
      <c r="F1196" t="inlineStr">
        <is>
          <t>EST</t>
        </is>
      </c>
      <c r="G1196" t="inlineStr">
        <is>
          <t>Longtimbi</t>
        </is>
      </c>
      <c r="H1196" t="inlineStr">
        <is>
          <t>NOKIA</t>
        </is>
      </c>
      <c r="I1196" t="n">
        <v>0</v>
      </c>
      <c r="J1196" t="n">
        <v>0.1282698832587114</v>
      </c>
      <c r="K1196" t="n">
        <v>0</v>
      </c>
      <c r="L1196" t="n">
        <v>0.1044243835483536</v>
      </c>
      <c r="M1196" t="n">
        <v>0</v>
      </c>
      <c r="N1196" t="n">
        <v>0</v>
      </c>
      <c r="O1196" t="n">
        <v>0</v>
      </c>
      <c r="P1196" t="n">
        <v>0</v>
      </c>
      <c r="Q1196" t="n">
        <v>0</v>
      </c>
      <c r="R1196" t="inlineStr">
        <is>
          <t>Operationnel</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row>
    <row r="1197">
      <c r="A1197" t="inlineStr">
        <is>
          <t>Ekekam-MTN-IHS</t>
        </is>
      </c>
      <c r="B1197" t="inlineStr">
        <is>
          <t>CTR_694</t>
        </is>
      </c>
      <c r="C1197" t="inlineStr">
        <is>
          <t>Yaounde</t>
        </is>
      </c>
      <c r="D1197" t="inlineStr">
        <is>
          <t>IHS</t>
        </is>
      </c>
      <c r="E1197" t="inlineStr">
        <is>
          <t>Gen-Lithium</t>
        </is>
      </c>
      <c r="F1197" t="inlineStr">
        <is>
          <t>CENTRE</t>
        </is>
      </c>
      <c r="G1197" t="inlineStr">
        <is>
          <t>Yaounde</t>
        </is>
      </c>
      <c r="H1197" t="inlineStr">
        <is>
          <t>NOKIA</t>
        </is>
      </c>
      <c r="I1197" t="n">
        <v>0</v>
      </c>
      <c r="J1197" t="n">
        <v>2.376702536576179</v>
      </c>
      <c r="K1197" t="n">
        <v>0</v>
      </c>
      <c r="L1197" t="n">
        <v>0.09940085436658028</v>
      </c>
      <c r="M1197" t="n">
        <v>0</v>
      </c>
      <c r="N1197" t="n">
        <v>0</v>
      </c>
      <c r="O1197" t="n">
        <v>0</v>
      </c>
      <c r="P1197" t="n">
        <v>0</v>
      </c>
      <c r="Q1197" t="n">
        <v>0</v>
      </c>
      <c r="R1197" t="inlineStr">
        <is>
          <t>Operationnel</t>
        </is>
      </c>
      <c r="S1197" t="inlineStr"/>
      <c r="T1197" t="inlineStr"/>
      <c r="U1197" t="inlineStr"/>
      <c r="V1197" t="inlineStr"/>
      <c r="W1197" t="inlineStr"/>
      <c r="X1197" t="inlineStr">
        <is>
          <t>{05-25-2026 retour IHS}: IHS</t>
        </is>
      </c>
      <c r="Y1197" t="inlineStr">
        <is>
          <t>IHS</t>
        </is>
      </c>
      <c r="Z1197" t="inlineStr"/>
      <c r="AA1197" t="inlineStr"/>
      <c r="AB1197" t="inlineStr"/>
      <c r="AC1197" t="inlineStr"/>
      <c r="AD1197" t="inlineStr">
        <is>
          <t>{05-25-2026 retour IHS}: IHS</t>
        </is>
      </c>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row>
    <row r="1198">
      <c r="A1198" t="inlineStr">
        <is>
          <t>BP-Cite</t>
        </is>
      </c>
      <c r="B1198" t="inlineStr">
        <is>
          <t>LIT_034</t>
        </is>
      </c>
      <c r="C1198" t="inlineStr">
        <is>
          <t>Douala</t>
        </is>
      </c>
      <c r="D1198" t="inlineStr">
        <is>
          <t>IHS</t>
        </is>
      </c>
      <c r="E1198" t="inlineStr">
        <is>
          <t>GridOnly</t>
        </is>
      </c>
      <c r="F1198" t="inlineStr">
        <is>
          <t>LITTORAL</t>
        </is>
      </c>
      <c r="G1198" t="inlineStr">
        <is>
          <t>Douala</t>
        </is>
      </c>
      <c r="H1198" t="inlineStr">
        <is>
          <t>ZTE</t>
        </is>
      </c>
      <c r="I1198" t="n">
        <v>0</v>
      </c>
      <c r="J1198" t="n">
        <v>0</v>
      </c>
      <c r="K1198" t="n">
        <v>0</v>
      </c>
      <c r="L1198" t="n">
        <v>0.09559601978124131</v>
      </c>
      <c r="M1198" t="n">
        <v>0</v>
      </c>
      <c r="N1198" t="n">
        <v>0</v>
      </c>
      <c r="O1198" t="n">
        <v>0</v>
      </c>
      <c r="P1198" t="n">
        <v>0</v>
      </c>
      <c r="Q1198" t="n">
        <v>0</v>
      </c>
      <c r="R1198" t="inlineStr">
        <is>
          <t>Operationnel</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row>
    <row r="1199">
      <c r="A1199" t="inlineStr">
        <is>
          <t>Quartier-Gentil</t>
        </is>
      </c>
      <c r="B1199" t="inlineStr">
        <is>
          <t>LIT_450</t>
        </is>
      </c>
      <c r="C1199" t="inlineStr">
        <is>
          <t>Douala</t>
        </is>
      </c>
      <c r="D1199" t="inlineStr">
        <is>
          <t>IHS</t>
        </is>
      </c>
      <c r="E1199" t="inlineStr">
        <is>
          <t>Grid-Gen</t>
        </is>
      </c>
      <c r="F1199" t="inlineStr">
        <is>
          <t>LITTORAL</t>
        </is>
      </c>
      <c r="G1199" t="inlineStr">
        <is>
          <t>Douala</t>
        </is>
      </c>
      <c r="H1199" t="inlineStr">
        <is>
          <t>ZTE</t>
        </is>
      </c>
      <c r="I1199" t="n">
        <v>0</v>
      </c>
      <c r="J1199" t="n">
        <v>0.8214302020643037</v>
      </c>
      <c r="K1199" t="n">
        <v>0.009666612448028439</v>
      </c>
      <c r="L1199" t="n">
        <v>0.09072704340059319</v>
      </c>
      <c r="M1199" t="n">
        <v>0</v>
      </c>
      <c r="N1199" t="n">
        <v>0</v>
      </c>
      <c r="O1199" t="n">
        <v>0</v>
      </c>
      <c r="P1199" t="n">
        <v>0</v>
      </c>
      <c r="Q1199" t="n">
        <v>0</v>
      </c>
      <c r="R1199" t="inlineStr">
        <is>
          <t>Operationnel</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row>
    <row r="1200">
      <c r="A1200" t="inlineStr">
        <is>
          <t>Doumo-IHS-VSAT</t>
        </is>
      </c>
      <c r="B1200" t="inlineStr">
        <is>
          <t>NRD_152</t>
        </is>
      </c>
      <c r="C1200" t="inlineStr">
        <is>
          <t>EXTREME-NORD</t>
        </is>
      </c>
      <c r="D1200" t="inlineStr">
        <is>
          <t>IHS</t>
        </is>
      </c>
      <c r="E1200" t="inlineStr">
        <is>
          <t>Gen Only</t>
        </is>
      </c>
      <c r="F1200" t="inlineStr">
        <is>
          <t>NORD</t>
        </is>
      </c>
      <c r="G1200" t="inlineStr">
        <is>
          <t>Doumo</t>
        </is>
      </c>
      <c r="H1200" t="inlineStr">
        <is>
          <t>NOKIA</t>
        </is>
      </c>
      <c r="I1200" t="n">
        <v>0.2718600987920658</v>
      </c>
      <c r="J1200" t="n">
        <v>0.0361695388276789</v>
      </c>
      <c r="K1200" t="n">
        <v>0.1527574457884959</v>
      </c>
      <c r="L1200" t="n">
        <v>0.0797228000787597</v>
      </c>
      <c r="M1200" t="n">
        <v>0</v>
      </c>
      <c r="N1200" t="n">
        <v>0</v>
      </c>
      <c r="O1200" t="n">
        <v>0</v>
      </c>
      <c r="P1200" t="n">
        <v>0</v>
      </c>
      <c r="Q1200" t="n">
        <v>0</v>
      </c>
      <c r="R1200" t="inlineStr">
        <is>
          <t>Operationnel</t>
        </is>
      </c>
      <c r="S1200" t="inlineStr"/>
      <c r="T1200" t="inlineStr"/>
      <c r="U1200" t="inlineStr"/>
      <c r="V1200" t="inlineStr"/>
      <c r="W1200" t="inlineStr"/>
      <c r="X1200" t="inlineStr">
        <is>
          <t>{05-25-2026 ocm ran 17H}: Power status check Ongoing     ;    {05-25-2026 ticket}: INC-20260525-00014196..Grid Outage</t>
        </is>
      </c>
      <c r="Y1200" t="inlineStr">
        <is>
          <t>.Grid Outage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{05-25-2026 ocm ran 17H}: Power status check Ongoing</t>
        </is>
      </c>
      <c r="AQ1200" t="inlineStr">
        <is>
          <t>{05-25-2026 ticket}: INC-20260525-00014196..Grid Outage</t>
        </is>
      </c>
      <c r="AR1200" t="inlineStr"/>
    </row>
    <row r="1201">
      <c r="A1201" t="inlineStr">
        <is>
          <t>Mindourou-Grumcam-IHS</t>
        </is>
      </c>
      <c r="B1201" t="inlineStr">
        <is>
          <t>EST_122</t>
        </is>
      </c>
      <c r="C1201" t="inlineStr">
        <is>
          <t>CENTRE</t>
        </is>
      </c>
      <c r="D1201" t="inlineStr">
        <is>
          <t>IHS</t>
        </is>
      </c>
      <c r="E1201" t="inlineStr">
        <is>
          <t>Gen Only</t>
        </is>
      </c>
      <c r="F1201" t="inlineStr">
        <is>
          <t>EST</t>
        </is>
      </c>
      <c r="G1201" t="inlineStr">
        <is>
          <t>Mindourou</t>
        </is>
      </c>
      <c r="H1201" t="inlineStr">
        <is>
          <t>NOKIA</t>
        </is>
      </c>
      <c r="I1201" t="n">
        <v>0</v>
      </c>
      <c r="J1201" t="n">
        <v>0.08792693610476184</v>
      </c>
      <c r="K1201" t="n">
        <v>0.3319821478000074</v>
      </c>
      <c r="L1201" t="n">
        <v>0.0757634126922978</v>
      </c>
      <c r="M1201" t="n">
        <v>0</v>
      </c>
      <c r="N1201" t="n">
        <v>0</v>
      </c>
      <c r="O1201" t="n">
        <v>0</v>
      </c>
      <c r="P1201" t="n">
        <v>0</v>
      </c>
      <c r="Q1201" t="n">
        <v>0</v>
      </c>
      <c r="R1201" t="inlineStr">
        <is>
          <t>Operationnel</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row>
    <row r="1202">
      <c r="A1202" t="inlineStr">
        <is>
          <t>Ndogbat</t>
        </is>
      </c>
      <c r="B1202" t="inlineStr">
        <is>
          <t>LIT_372</t>
        </is>
      </c>
      <c r="C1202" t="inlineStr">
        <is>
          <t>Douala</t>
        </is>
      </c>
      <c r="D1202" t="inlineStr">
        <is>
          <t>IHS</t>
        </is>
      </c>
      <c r="E1202" t="inlineStr">
        <is>
          <t>Grid-Lithium</t>
        </is>
      </c>
      <c r="F1202" t="inlineStr">
        <is>
          <t>LITTORAL</t>
        </is>
      </c>
      <c r="G1202" t="inlineStr">
        <is>
          <t>Douala</t>
        </is>
      </c>
      <c r="H1202" t="inlineStr">
        <is>
          <t>ZTE</t>
        </is>
      </c>
      <c r="I1202" t="n">
        <v>0</v>
      </c>
      <c r="J1202" t="n">
        <v>0</v>
      </c>
      <c r="K1202" t="n">
        <v>0</v>
      </c>
      <c r="L1202" t="n">
        <v>0.06069277151409812</v>
      </c>
      <c r="M1202" t="n">
        <v>0</v>
      </c>
      <c r="N1202" t="n">
        <v>0</v>
      </c>
      <c r="O1202" t="n">
        <v>0</v>
      </c>
      <c r="P1202" t="n">
        <v>0</v>
      </c>
      <c r="Q1202" t="n">
        <v>0</v>
      </c>
      <c r="R1202" t="inlineStr">
        <is>
          <t>Operationnel</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row>
    <row r="1203">
      <c r="A1203" t="inlineStr">
        <is>
          <t>Foumban-Camtel-II</t>
        </is>
      </c>
      <c r="B1203" t="inlineStr">
        <is>
          <t>OST_235</t>
        </is>
      </c>
      <c r="C1203" t="inlineStr">
        <is>
          <t>OUEST</t>
        </is>
      </c>
      <c r="D1203" t="inlineStr">
        <is>
          <t>CAMUSAT</t>
        </is>
      </c>
      <c r="E1203" t="inlineStr">
        <is>
          <t>Medium Grid + GE</t>
        </is>
      </c>
      <c r="F1203" t="inlineStr">
        <is>
          <t>OUEST</t>
        </is>
      </c>
      <c r="G1203" t="inlineStr">
        <is>
          <t>Foumban</t>
        </is>
      </c>
      <c r="H1203" t="inlineStr">
        <is>
          <t>Huawei</t>
        </is>
      </c>
      <c r="I1203" t="n">
        <v>0</v>
      </c>
      <c r="J1203" t="n">
        <v>0</v>
      </c>
      <c r="K1203" t="n">
        <v>0.07927692312082481</v>
      </c>
      <c r="L1203" t="n">
        <v>0.05430781347647053</v>
      </c>
      <c r="M1203" t="n">
        <v>0</v>
      </c>
      <c r="N1203" t="n">
        <v>0</v>
      </c>
      <c r="O1203" t="n">
        <v>0</v>
      </c>
      <c r="P1203" t="n">
        <v>0</v>
      </c>
      <c r="Q1203" t="n">
        <v>0</v>
      </c>
      <c r="R1203" t="inlineStr">
        <is>
          <t>Operationnel</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row>
    <row r="1204">
      <c r="A1204" t="inlineStr">
        <is>
          <t>Bagarao</t>
        </is>
      </c>
      <c r="B1204" t="inlineStr">
        <is>
          <t>EXN_202</t>
        </is>
      </c>
      <c r="C1204" t="inlineStr">
        <is>
          <t>EXTREME-NORD</t>
        </is>
      </c>
      <c r="D1204" t="inlineStr">
        <is>
          <t>CAMUSAT</t>
        </is>
      </c>
      <c r="E1204" t="inlineStr">
        <is>
          <t>Hybrid Solar - S3</t>
        </is>
      </c>
      <c r="F1204" t="inlineStr">
        <is>
          <t>EXTREME-NORD</t>
        </is>
      </c>
      <c r="G1204" t="inlineStr">
        <is>
          <t>Bagarao</t>
        </is>
      </c>
      <c r="H1204" t="inlineStr">
        <is>
          <t>NOKIA</t>
        </is>
      </c>
      <c r="I1204" t="n">
        <v>0.1505815662337736</v>
      </c>
      <c r="J1204" t="n">
        <v>0</v>
      </c>
      <c r="K1204" t="n">
        <v>0</v>
      </c>
      <c r="L1204" t="n">
        <v>0.05149556907849477</v>
      </c>
      <c r="M1204" t="n">
        <v>0</v>
      </c>
      <c r="N1204" t="n">
        <v>0</v>
      </c>
      <c r="O1204" t="n">
        <v>0</v>
      </c>
      <c r="P1204" t="n">
        <v>0</v>
      </c>
      <c r="Q1204" t="n">
        <v>0</v>
      </c>
      <c r="R1204" t="inlineStr">
        <is>
          <t>Insecurity</t>
        </is>
      </c>
      <c r="S1204" t="inlineStr"/>
      <c r="T1204" t="inlineStr"/>
      <c r="U1204" t="inlineStr"/>
      <c r="V1204" t="inlineStr"/>
      <c r="W1204" t="inlineStr"/>
      <c r="X1204" t="inlineStr">
        <is>
          <t>{05/25/2026 cell nokia}: 25/05/2026 : Need BO RAN analysis</t>
        </is>
      </c>
      <c r="Y1204" t="inlineStr">
        <is>
          <t>25/05/2026 Need BO RAN analysis</t>
        </is>
      </c>
      <c r="Z1204" t="inlineStr"/>
      <c r="AA1204" t="inlineStr"/>
      <c r="AB1204" t="inlineStr"/>
      <c r="AC1204" t="inlineStr"/>
      <c r="AD1204" t="inlineStr"/>
      <c r="AE1204" t="inlineStr"/>
      <c r="AF1204" t="inlineStr"/>
      <c r="AG1204" t="inlineStr"/>
      <c r="AH1204" t="inlineStr">
        <is>
          <t>{05/25/2026 cell nokia}: 25/05/2026 : Need BO RAN analysis</t>
        </is>
      </c>
      <c r="AI1204" t="inlineStr"/>
      <c r="AJ1204" t="inlineStr"/>
      <c r="AK1204" t="inlineStr"/>
      <c r="AL1204" t="inlineStr"/>
      <c r="AM1204" t="inlineStr"/>
      <c r="AN1204" t="inlineStr"/>
      <c r="AO1204" t="inlineStr"/>
      <c r="AP1204" t="inlineStr"/>
      <c r="AQ1204" t="inlineStr"/>
      <c r="AR1204" t="inlineStr"/>
    </row>
    <row r="1205">
      <c r="A1205" t="inlineStr">
        <is>
          <t>Cite-Sic</t>
        </is>
      </c>
      <c r="B1205" t="inlineStr">
        <is>
          <t>LIT_098</t>
        </is>
      </c>
      <c r="C1205" t="inlineStr">
        <is>
          <t>Douala</t>
        </is>
      </c>
      <c r="D1205" t="inlineStr">
        <is>
          <t>IHS</t>
        </is>
      </c>
      <c r="E1205" t="inlineStr">
        <is>
          <t>Grid-Gen</t>
        </is>
      </c>
      <c r="F1205" t="inlineStr">
        <is>
          <t>LITTORAL</t>
        </is>
      </c>
      <c r="G1205" t="inlineStr">
        <is>
          <t>Douala</t>
        </is>
      </c>
      <c r="H1205" t="inlineStr">
        <is>
          <t>ZTE</t>
        </is>
      </c>
      <c r="I1205" t="n">
        <v>0</v>
      </c>
      <c r="J1205" t="n">
        <v>0</v>
      </c>
      <c r="K1205" t="n">
        <v>0</v>
      </c>
      <c r="L1205" t="n">
        <v>0.05111533445765641</v>
      </c>
      <c r="M1205" t="n">
        <v>0</v>
      </c>
      <c r="N1205" t="n">
        <v>0</v>
      </c>
      <c r="O1205" t="n">
        <v>0</v>
      </c>
      <c r="P1205" t="n">
        <v>0</v>
      </c>
      <c r="Q1205" t="n">
        <v>0</v>
      </c>
      <c r="R1205" t="inlineStr">
        <is>
          <t>Operationnel</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row>
    <row r="1206">
      <c r="A1206" t="inlineStr">
        <is>
          <t>Nkapa</t>
        </is>
      </c>
      <c r="B1206" t="inlineStr">
        <is>
          <t>LIT_051</t>
        </is>
      </c>
      <c r="C1206" t="inlineStr">
        <is>
          <t>LITTORAL</t>
        </is>
      </c>
      <c r="D1206" t="inlineStr">
        <is>
          <t>IHS</t>
        </is>
      </c>
      <c r="E1206" t="inlineStr">
        <is>
          <t>Grid-Gen</t>
        </is>
      </c>
      <c r="F1206" t="inlineStr">
        <is>
          <t>LITTORAL</t>
        </is>
      </c>
      <c r="G1206" t="inlineStr">
        <is>
          <t>Nkapa</t>
        </is>
      </c>
      <c r="H1206" t="inlineStr">
        <is>
          <t>ZTE</t>
        </is>
      </c>
      <c r="I1206" t="n">
        <v>0.03754283985811815</v>
      </c>
      <c r="J1206" t="n">
        <v>0</v>
      </c>
      <c r="K1206" t="n">
        <v>0.03650840531570926</v>
      </c>
      <c r="L1206" t="n">
        <v>0.03663325086393115</v>
      </c>
      <c r="M1206" t="n">
        <v>0</v>
      </c>
      <c r="N1206" t="n">
        <v>0</v>
      </c>
      <c r="O1206" t="n">
        <v>0</v>
      </c>
      <c r="P1206" t="n">
        <v>0</v>
      </c>
      <c r="Q1206" t="n">
        <v>0</v>
      </c>
      <c r="R1206" t="inlineStr">
        <is>
          <t>Operationnel</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row>
    <row r="1207">
      <c r="A1207" t="inlineStr">
        <is>
          <t>Ngbetnsouen</t>
        </is>
      </c>
      <c r="B1207" t="inlineStr">
        <is>
          <t>OST_219</t>
        </is>
      </c>
      <c r="C1207" t="inlineStr">
        <is>
          <t>OUEST</t>
        </is>
      </c>
      <c r="D1207" t="inlineStr">
        <is>
          <t>IHS</t>
        </is>
      </c>
      <c r="E1207" t="inlineStr">
        <is>
          <t>Grid-Gen</t>
        </is>
      </c>
      <c r="F1207" t="inlineStr">
        <is>
          <t>OUEST</t>
        </is>
      </c>
      <c r="G1207" t="inlineStr">
        <is>
          <t>Ngbetnsouen</t>
        </is>
      </c>
      <c r="H1207" t="inlineStr">
        <is>
          <t>NOKIA</t>
        </is>
      </c>
      <c r="I1207" t="n">
        <v>0.04692409105306864</v>
      </c>
      <c r="J1207" t="n">
        <v>0.03558098124320476</v>
      </c>
      <c r="K1207" t="n">
        <v>0</v>
      </c>
      <c r="L1207" t="n">
        <v>0.03386881372473472</v>
      </c>
      <c r="M1207" t="n">
        <v>0</v>
      </c>
      <c r="N1207" t="n">
        <v>0</v>
      </c>
      <c r="O1207" t="n">
        <v>0</v>
      </c>
      <c r="P1207" t="n">
        <v>0</v>
      </c>
      <c r="Q1207" t="n">
        <v>0</v>
      </c>
      <c r="R1207" t="inlineStr">
        <is>
          <t>Operationnel</t>
        </is>
      </c>
      <c r="S1207" t="inlineStr"/>
      <c r="T1207" t="inlineStr"/>
      <c r="U1207" t="inlineStr"/>
      <c r="V1207" t="inlineStr"/>
      <c r="W1207" t="inlineStr"/>
      <c r="X1207" t="inlineStr">
        <is>
          <t>{05-25-2026 ticket}: INC-20260525-00012342..Auto TT closure RCA..Grid Outage</t>
        </is>
      </c>
      <c r="Y1207" t="inlineStr">
        <is>
          <t>.Auto TT closure RCA.Grid Outage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is>
          <t>{05-25-2026 ticket}: INC-20260525-00012342..Auto TT closure RCA..Grid Outage</t>
        </is>
      </c>
      <c r="AR1207" t="inlineStr"/>
    </row>
    <row r="1208">
      <c r="A1208" t="inlineStr">
        <is>
          <t>Nkolmesseng</t>
        </is>
      </c>
      <c r="B1208" t="inlineStr">
        <is>
          <t>CTR_078</t>
        </is>
      </c>
      <c r="C1208" t="inlineStr">
        <is>
          <t>Yaounde</t>
        </is>
      </c>
      <c r="D1208" t="inlineStr">
        <is>
          <t>IHS</t>
        </is>
      </c>
      <c r="E1208" t="inlineStr">
        <is>
          <t>Grid-Gen</t>
        </is>
      </c>
      <c r="F1208" t="inlineStr">
        <is>
          <t>CENTRE</t>
        </is>
      </c>
      <c r="G1208" t="inlineStr">
        <is>
          <t>Yaounde</t>
        </is>
      </c>
      <c r="H1208" t="inlineStr">
        <is>
          <t>ZTE</t>
        </is>
      </c>
      <c r="I1208" t="n">
        <v>0</v>
      </c>
      <c r="J1208" t="n">
        <v>0</v>
      </c>
      <c r="K1208" t="n">
        <v>0</v>
      </c>
      <c r="L1208" t="n">
        <v>0.02359580861391479</v>
      </c>
      <c r="M1208" t="n">
        <v>0</v>
      </c>
      <c r="N1208" t="n">
        <v>0</v>
      </c>
      <c r="O1208" t="n">
        <v>0</v>
      </c>
      <c r="P1208" t="n">
        <v>0</v>
      </c>
      <c r="Q1208" t="n">
        <v>0</v>
      </c>
      <c r="R1208" t="inlineStr">
        <is>
          <t>Operationnel</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row>
    <row r="1209">
      <c r="A1209" t="inlineStr">
        <is>
          <t>Etoudi-Chapelle-IHS</t>
        </is>
      </c>
      <c r="B1209" t="inlineStr">
        <is>
          <t>CTR_520</t>
        </is>
      </c>
      <c r="C1209" t="inlineStr">
        <is>
          <t>Yaounde</t>
        </is>
      </c>
      <c r="D1209" t="inlineStr">
        <is>
          <t>IHS</t>
        </is>
      </c>
      <c r="E1209" t="inlineStr">
        <is>
          <t>Grid-Gen</t>
        </is>
      </c>
      <c r="F1209" t="inlineStr">
        <is>
          <t>CENTRE</t>
        </is>
      </c>
      <c r="G1209" t="inlineStr">
        <is>
          <t>Yaounde</t>
        </is>
      </c>
      <c r="H1209" t="inlineStr">
        <is>
          <t>ZTE</t>
        </is>
      </c>
      <c r="I1209" t="n">
        <v>0</v>
      </c>
      <c r="J1209" t="n">
        <v>0</v>
      </c>
      <c r="K1209" t="n">
        <v>0</v>
      </c>
      <c r="L1209" t="n">
        <v>0.01999312279380082</v>
      </c>
      <c r="M1209" t="n">
        <v>0</v>
      </c>
      <c r="N1209" t="n">
        <v>0</v>
      </c>
      <c r="O1209" t="n">
        <v>0</v>
      </c>
      <c r="P1209" t="n">
        <v>0</v>
      </c>
      <c r="Q1209" t="n">
        <v>0</v>
      </c>
      <c r="R1209" t="inlineStr">
        <is>
          <t>Operationnel</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row>
    <row r="1210">
      <c r="A1210" t="inlineStr">
        <is>
          <t>Mile14-IHS</t>
        </is>
      </c>
      <c r="B1210" t="inlineStr">
        <is>
          <t>SUO_079</t>
        </is>
      </c>
      <c r="C1210" t="inlineStr">
        <is>
          <t>SUD-OUEST</t>
        </is>
      </c>
      <c r="D1210" t="inlineStr">
        <is>
          <t>IHS</t>
        </is>
      </c>
      <c r="E1210" t="inlineStr">
        <is>
          <t>Grid-Gen</t>
        </is>
      </c>
      <c r="F1210" t="inlineStr">
        <is>
          <t>SUD-OUEST</t>
        </is>
      </c>
      <c r="G1210" t="inlineStr">
        <is>
          <t>Buea</t>
        </is>
      </c>
      <c r="H1210" t="inlineStr">
        <is>
          <t>Huawei</t>
        </is>
      </c>
      <c r="I1210" t="n">
        <v>0.06081761706232005</v>
      </c>
      <c r="J1210" t="n">
        <v>0</v>
      </c>
      <c r="K1210" t="n">
        <v>0</v>
      </c>
      <c r="L1210" t="n">
        <v>0.007758259068067219</v>
      </c>
      <c r="M1210" t="n">
        <v>0</v>
      </c>
      <c r="N1210" t="n">
        <v>0</v>
      </c>
      <c r="O1210" t="n">
        <v>0</v>
      </c>
      <c r="P1210" t="n">
        <v>0</v>
      </c>
      <c r="Q1210" t="n">
        <v>0</v>
      </c>
      <c r="R1210" t="inlineStr">
        <is>
          <t>Insecurity</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row>
    <row r="1211">
      <c r="A1211" t="inlineStr">
        <is>
          <t>Bafia-Market-MTN</t>
        </is>
      </c>
      <c r="B1211" t="inlineStr">
        <is>
          <t>CTR_830</t>
        </is>
      </c>
      <c r="C1211" t="inlineStr">
        <is>
          <t>CENTRE</t>
        </is>
      </c>
      <c r="D1211" t="inlineStr">
        <is>
          <t>MTN sharing</t>
        </is>
      </c>
      <c r="E1211" t="inlineStr"/>
      <c r="F1211" t="inlineStr">
        <is>
          <t>CENTRE</t>
        </is>
      </c>
      <c r="G1211" t="inlineStr">
        <is>
          <t>Bafia</t>
        </is>
      </c>
      <c r="H1211" t="inlineStr">
        <is>
          <t>ZTE</t>
        </is>
      </c>
      <c r="I1211" t="n">
        <v>0.09714767159485573</v>
      </c>
      <c r="J1211" t="n">
        <v>5.968508958916539</v>
      </c>
      <c r="K1211" t="n">
        <v>2.503866644979212</v>
      </c>
      <c r="L1211" t="n">
        <v>0.00754423812825862</v>
      </c>
      <c r="M1211" t="n">
        <v>0</v>
      </c>
      <c r="N1211" t="n">
        <v>0</v>
      </c>
      <c r="O1211" t="n">
        <v>0</v>
      </c>
      <c r="P1211" t="n">
        <v>0</v>
      </c>
      <c r="Q1211" t="n">
        <v>0</v>
      </c>
      <c r="R1211" t="inlineStr">
        <is>
          <t>Operationnel</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row>
    <row r="1212">
      <c r="A1212" t="inlineStr">
        <is>
          <t>Abom</t>
        </is>
      </c>
      <c r="B1212" t="inlineStr">
        <is>
          <t>CTR_263</t>
        </is>
      </c>
      <c r="C1212" t="inlineStr">
        <is>
          <t>Yaounde</t>
        </is>
      </c>
      <c r="D1212" t="inlineStr">
        <is>
          <t>IHS</t>
        </is>
      </c>
      <c r="E1212" t="inlineStr">
        <is>
          <t>Grid-Gen</t>
        </is>
      </c>
      <c r="F1212" t="inlineStr">
        <is>
          <t>CENTRE</t>
        </is>
      </c>
      <c r="G1212" t="inlineStr">
        <is>
          <t>Yaounde</t>
        </is>
      </c>
      <c r="H1212" t="inlineStr">
        <is>
          <t>ZTE</t>
        </is>
      </c>
      <c r="I1212" t="n">
        <v>0</v>
      </c>
      <c r="J1212" t="n">
        <v>0</v>
      </c>
      <c r="K1212" t="n">
        <v>0</v>
      </c>
      <c r="L1212" t="n">
        <v>0.007062691013688779</v>
      </c>
      <c r="M1212" t="n">
        <v>0</v>
      </c>
      <c r="N1212" t="n">
        <v>0</v>
      </c>
      <c r="O1212" t="n">
        <v>0</v>
      </c>
      <c r="P1212" t="n">
        <v>0</v>
      </c>
      <c r="Q1212" t="n">
        <v>0</v>
      </c>
      <c r="R1212" t="inlineStr">
        <is>
          <t>Operationnel</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row>
    <row r="1213">
      <c r="A1213" t="inlineStr">
        <is>
          <t>Tole-HIS</t>
        </is>
      </c>
      <c r="B1213" t="inlineStr">
        <is>
          <t>SUO_196</t>
        </is>
      </c>
      <c r="C1213" t="inlineStr">
        <is>
          <t>SUD-OUEST</t>
        </is>
      </c>
      <c r="D1213" t="inlineStr">
        <is>
          <t>IHS</t>
        </is>
      </c>
      <c r="E1213" t="inlineStr">
        <is>
          <t>Grid-Gen</t>
        </is>
      </c>
      <c r="F1213" t="inlineStr">
        <is>
          <t>SUD-OUEST</t>
        </is>
      </c>
      <c r="G1213" t="inlineStr">
        <is>
          <t>Buea</t>
        </is>
      </c>
      <c r="H1213" t="inlineStr">
        <is>
          <t>Huawei</t>
        </is>
      </c>
      <c r="I1213" t="n">
        <v>0</v>
      </c>
      <c r="J1213" t="n">
        <v>0</v>
      </c>
      <c r="K1213" t="n">
        <v>0</v>
      </c>
      <c r="L1213" t="n">
        <v>0.005974751236327629</v>
      </c>
      <c r="M1213" t="n">
        <v>0</v>
      </c>
      <c r="N1213" t="n">
        <v>0</v>
      </c>
      <c r="O1213" t="n">
        <v>0</v>
      </c>
      <c r="P1213" t="n">
        <v>0</v>
      </c>
      <c r="Q1213" t="n">
        <v>0</v>
      </c>
      <c r="R1213" t="inlineStr">
        <is>
          <t>Operationnel</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row>
    <row r="1214">
      <c r="A1214" t="inlineStr">
        <is>
          <t>Bfsam-Water-Tower-IHS</t>
        </is>
      </c>
      <c r="B1214" t="inlineStr">
        <is>
          <t>OST_172</t>
        </is>
      </c>
      <c r="C1214" t="inlineStr">
        <is>
          <t>Bafoussam</t>
        </is>
      </c>
      <c r="D1214" t="inlineStr">
        <is>
          <t>IHS</t>
        </is>
      </c>
      <c r="E1214" t="inlineStr">
        <is>
          <t>Grid-Gen</t>
        </is>
      </c>
      <c r="F1214" t="inlineStr">
        <is>
          <t>OUEST</t>
        </is>
      </c>
      <c r="G1214" t="inlineStr">
        <is>
          <t>Bafoussam</t>
        </is>
      </c>
      <c r="H1214" t="inlineStr">
        <is>
          <t>Huawei</t>
        </is>
      </c>
      <c r="I1214" t="n">
        <v>0.2117023796274893</v>
      </c>
      <c r="J1214" t="n">
        <v>0.00531485333858398</v>
      </c>
      <c r="K1214" t="n">
        <v>0.01084372761697671</v>
      </c>
      <c r="L1214" t="n">
        <v>0.005671554904931898</v>
      </c>
      <c r="M1214" t="n">
        <v>0</v>
      </c>
      <c r="N1214" t="n">
        <v>0</v>
      </c>
      <c r="O1214" t="n">
        <v>0</v>
      </c>
      <c r="P1214" t="n">
        <v>0</v>
      </c>
      <c r="Q1214" t="n">
        <v>0</v>
      </c>
      <c r="R1214" t="inlineStr">
        <is>
          <t>Operationnel</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row>
    <row r="1215">
      <c r="A1215" t="inlineStr">
        <is>
          <t>Santchou-IHS</t>
        </is>
      </c>
      <c r="B1215" t="inlineStr">
        <is>
          <t>OST_140</t>
        </is>
      </c>
      <c r="C1215" t="inlineStr">
        <is>
          <t>OUEST</t>
        </is>
      </c>
      <c r="D1215" t="inlineStr">
        <is>
          <t>IHS</t>
        </is>
      </c>
      <c r="E1215" t="inlineStr">
        <is>
          <t>Grid-Gen</t>
        </is>
      </c>
      <c r="F1215" t="inlineStr">
        <is>
          <t>OUEST</t>
        </is>
      </c>
      <c r="G1215" t="inlineStr">
        <is>
          <t>Santchou</t>
        </is>
      </c>
      <c r="H1215" t="inlineStr">
        <is>
          <t>NOKIA</t>
        </is>
      </c>
      <c r="I1215" t="n">
        <v>0</v>
      </c>
      <c r="J1215" t="n">
        <v>0</v>
      </c>
      <c r="K1215" t="n">
        <v>4.260371153611677</v>
      </c>
      <c r="L1215" t="n">
        <v>0.005528874278392513</v>
      </c>
      <c r="M1215" t="n">
        <v>0</v>
      </c>
      <c r="N1215" t="n">
        <v>0</v>
      </c>
      <c r="O1215" t="n">
        <v>0</v>
      </c>
      <c r="P1215" t="n">
        <v>0</v>
      </c>
      <c r="Q1215" t="n">
        <v>0</v>
      </c>
      <c r="R1215" t="inlineStr">
        <is>
          <t>EXCLU</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row>
    <row r="1216">
      <c r="A1216" t="inlineStr">
        <is>
          <t>Abom-Plateau</t>
        </is>
      </c>
      <c r="B1216" t="inlineStr">
        <is>
          <t>CTR_650</t>
        </is>
      </c>
      <c r="C1216" t="inlineStr">
        <is>
          <t>Yaounde</t>
        </is>
      </c>
      <c r="D1216" t="inlineStr">
        <is>
          <t>CAMUSAT</t>
        </is>
      </c>
      <c r="E1216" t="inlineStr">
        <is>
          <t>Good Grid + GE</t>
        </is>
      </c>
      <c r="F1216" t="inlineStr">
        <is>
          <t>CENTRE</t>
        </is>
      </c>
      <c r="G1216" t="inlineStr">
        <is>
          <t>Yaounde</t>
        </is>
      </c>
      <c r="H1216" t="inlineStr">
        <is>
          <t>ZTE</t>
        </is>
      </c>
      <c r="I1216" t="n">
        <v>8.912366985985908</v>
      </c>
      <c r="J1216" t="n">
        <v>0</v>
      </c>
      <c r="K1216" t="n">
        <v>0</v>
      </c>
      <c r="L1216" t="n">
        <v>0.004868976380649084</v>
      </c>
      <c r="M1216" t="n">
        <v>0</v>
      </c>
      <c r="N1216" t="n">
        <v>0</v>
      </c>
      <c r="O1216" t="n">
        <v>0</v>
      </c>
      <c r="P1216" t="n">
        <v>0</v>
      </c>
      <c r="Q1216" t="n">
        <v>0</v>
      </c>
      <c r="R1216" t="inlineStr">
        <is>
          <t>Operationnel</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row>
    <row r="1217">
      <c r="A1217" t="inlineStr">
        <is>
          <t>Fondjomekwet-IHS</t>
        </is>
      </c>
      <c r="B1217" t="inlineStr">
        <is>
          <t>OST_208</t>
        </is>
      </c>
      <c r="C1217" t="inlineStr">
        <is>
          <t>OUEST</t>
        </is>
      </c>
      <c r="D1217" t="inlineStr">
        <is>
          <t>IHS</t>
        </is>
      </c>
      <c r="E1217" t="inlineStr">
        <is>
          <t>Grid-Gen</t>
        </is>
      </c>
      <c r="F1217" t="inlineStr">
        <is>
          <t>OUEST</t>
        </is>
      </c>
      <c r="G1217" t="inlineStr">
        <is>
          <t>Fondjomekwet</t>
        </is>
      </c>
      <c r="H1217" t="inlineStr">
        <is>
          <t>NOKIA</t>
        </is>
      </c>
      <c r="I1217" t="n">
        <v>0.004102068013001073</v>
      </c>
      <c r="J1217" t="n">
        <v>0.1308024643797816</v>
      </c>
      <c r="K1217" t="n">
        <v>0.009898468466154737</v>
      </c>
      <c r="L1217" t="n">
        <v>0.004280418796175002</v>
      </c>
      <c r="M1217" t="n">
        <v>0</v>
      </c>
      <c r="N1217" t="n">
        <v>0</v>
      </c>
      <c r="O1217" t="n">
        <v>0</v>
      </c>
      <c r="P1217" t="n">
        <v>0</v>
      </c>
      <c r="Q1217" t="n">
        <v>0</v>
      </c>
      <c r="R1217" t="inlineStr">
        <is>
          <t>Operationnel</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row>
    <row r="1218">
      <c r="A1218" t="inlineStr">
        <is>
          <t>Mfandena-IHS</t>
        </is>
      </c>
      <c r="B1218" t="inlineStr">
        <is>
          <t>CTR_643</t>
        </is>
      </c>
      <c r="C1218" t="inlineStr">
        <is>
          <t>Yaounde</t>
        </is>
      </c>
      <c r="D1218" t="inlineStr">
        <is>
          <t>IHS</t>
        </is>
      </c>
      <c r="E1218" t="inlineStr">
        <is>
          <t>Grid-Gen</t>
        </is>
      </c>
      <c r="F1218" t="inlineStr">
        <is>
          <t>CENTRE</t>
        </is>
      </c>
      <c r="G1218" t="inlineStr">
        <is>
          <t>Yaounde</t>
        </is>
      </c>
      <c r="H1218" t="inlineStr">
        <is>
          <t>ZTE</t>
        </is>
      </c>
      <c r="I1218" t="n">
        <v>0</v>
      </c>
      <c r="J1218" t="n">
        <v>0</v>
      </c>
      <c r="K1218" t="n">
        <v>0</v>
      </c>
      <c r="L1218" t="n">
        <v>0.00235423033789626</v>
      </c>
      <c r="M1218" t="n">
        <v>0</v>
      </c>
      <c r="N1218" t="n">
        <v>0</v>
      </c>
      <c r="O1218" t="n">
        <v>0</v>
      </c>
      <c r="P1218" t="n">
        <v>0</v>
      </c>
      <c r="Q1218" t="n">
        <v>0</v>
      </c>
      <c r="R1218" t="inlineStr">
        <is>
          <t>Operationnel</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row>
    <row r="1219">
      <c r="A1219" t="inlineStr">
        <is>
          <t>Liberte-Indoor</t>
        </is>
      </c>
      <c r="B1219" t="inlineStr">
        <is>
          <t>LIT_673</t>
        </is>
      </c>
      <c r="C1219" t="inlineStr">
        <is>
          <t>Douala</t>
        </is>
      </c>
      <c r="D1219" t="inlineStr"/>
      <c r="E1219" t="inlineStr"/>
      <c r="F1219" t="inlineStr">
        <is>
          <t>LITTORAL</t>
        </is>
      </c>
      <c r="G1219" t="inlineStr">
        <is>
          <t>Douala</t>
        </is>
      </c>
      <c r="H1219" t="inlineStr">
        <is>
          <t>ZTE</t>
        </is>
      </c>
      <c r="I1219" t="n">
        <v>0</v>
      </c>
      <c r="J1219" t="n">
        <v>0</v>
      </c>
      <c r="K1219" t="n">
        <v>0</v>
      </c>
      <c r="L1219" t="n">
        <v>0.001837013066691837</v>
      </c>
      <c r="M1219" t="n">
        <v>0</v>
      </c>
      <c r="N1219" t="n">
        <v>0</v>
      </c>
      <c r="O1219" t="n">
        <v>0</v>
      </c>
      <c r="P1219" t="n">
        <v>0</v>
      </c>
      <c r="Q1219" t="n">
        <v>0</v>
      </c>
      <c r="R1219" t="inlineStr">
        <is>
          <t>Operationnel</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row>
    <row r="1220">
      <c r="A1220" t="inlineStr">
        <is>
          <t>Logbessou-PK21-IHS</t>
        </is>
      </c>
      <c r="B1220" t="inlineStr">
        <is>
          <t>LIT_235</t>
        </is>
      </c>
      <c r="C1220" t="inlineStr">
        <is>
          <t>Douala</t>
        </is>
      </c>
      <c r="D1220" t="inlineStr">
        <is>
          <t>IHS</t>
        </is>
      </c>
      <c r="E1220" t="inlineStr">
        <is>
          <t>Grid-Gen</t>
        </is>
      </c>
      <c r="F1220" t="inlineStr">
        <is>
          <t>LITTORAL</t>
        </is>
      </c>
      <c r="G1220" t="inlineStr">
        <is>
          <t>Douala</t>
        </is>
      </c>
      <c r="H1220" t="inlineStr">
        <is>
          <t>ZTE</t>
        </is>
      </c>
      <c r="I1220" t="n">
        <v>0</v>
      </c>
      <c r="J1220" t="n">
        <v>0</v>
      </c>
      <c r="K1220" t="n">
        <v>0</v>
      </c>
      <c r="L1220" t="n">
        <v>0.001712167518470483</v>
      </c>
      <c r="M1220" t="n">
        <v>0</v>
      </c>
      <c r="N1220" t="n">
        <v>0</v>
      </c>
      <c r="O1220" t="n">
        <v>0</v>
      </c>
      <c r="P1220" t="n">
        <v>0</v>
      </c>
      <c r="Q1220" t="n">
        <v>0</v>
      </c>
      <c r="R1220" t="inlineStr">
        <is>
          <t>Operationnel</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row>
    <row r="1221">
      <c r="A1221" t="inlineStr">
        <is>
          <t>Abom-Plateau-II</t>
        </is>
      </c>
      <c r="B1221" t="inlineStr">
        <is>
          <t>CTR_872</t>
        </is>
      </c>
      <c r="C1221" t="inlineStr">
        <is>
          <t>CENTRE</t>
        </is>
      </c>
      <c r="D1221" t="inlineStr">
        <is>
          <t>CAMUSAT</t>
        </is>
      </c>
      <c r="E1221" t="inlineStr">
        <is>
          <t>Good Grid + GE</t>
        </is>
      </c>
      <c r="F1221" t="inlineStr">
        <is>
          <t>CENTRE</t>
        </is>
      </c>
      <c r="G1221" t="inlineStr">
        <is>
          <t>Abom</t>
        </is>
      </c>
      <c r="H1221" t="inlineStr">
        <is>
          <t>ZTE</t>
        </is>
      </c>
      <c r="I1221" t="n">
        <v>25.58779067610642</v>
      </c>
      <c r="J1221" t="n">
        <v>58.40713488741073</v>
      </c>
      <c r="K1221" t="n">
        <v>47.67571475859864</v>
      </c>
      <c r="L1221" t="n">
        <v>0.001070104699043754</v>
      </c>
      <c r="M1221" t="n">
        <v>0</v>
      </c>
      <c r="N1221" t="n">
        <v>0</v>
      </c>
      <c r="O1221" t="n">
        <v>0</v>
      </c>
      <c r="P1221" t="n">
        <v>0</v>
      </c>
      <c r="Q1221" t="n">
        <v>0</v>
      </c>
      <c r="R1221" t="inlineStr">
        <is>
          <t>Operationnel</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row>
    <row r="1222">
      <c r="A1222" t="inlineStr">
        <is>
          <t>Ngousso-II</t>
        </is>
      </c>
      <c r="B1222" t="inlineStr">
        <is>
          <t>CTR_342</t>
        </is>
      </c>
      <c r="C1222" t="inlineStr">
        <is>
          <t>Yaounde</t>
        </is>
      </c>
      <c r="D1222" t="inlineStr">
        <is>
          <t>IHS</t>
        </is>
      </c>
      <c r="E1222" t="inlineStr">
        <is>
          <t>Grid-Gen</t>
        </is>
      </c>
      <c r="F1222" t="inlineStr">
        <is>
          <t>CENTRE</t>
        </is>
      </c>
      <c r="G1222" t="inlineStr">
        <is>
          <t>Yaounde</t>
        </is>
      </c>
      <c r="H1222" t="inlineStr">
        <is>
          <t>ZTE</t>
        </is>
      </c>
      <c r="I1222" t="n">
        <v>0</v>
      </c>
      <c r="J1222" t="n">
        <v>0</v>
      </c>
      <c r="K1222" t="n">
        <v>0</v>
      </c>
      <c r="L1222" t="n">
        <v>0.0007490732893306281</v>
      </c>
      <c r="M1222" t="n">
        <v>0</v>
      </c>
      <c r="N1222" t="n">
        <v>0</v>
      </c>
      <c r="O1222" t="n">
        <v>0</v>
      </c>
      <c r="P1222" t="n">
        <v>0</v>
      </c>
      <c r="Q1222" t="n">
        <v>0</v>
      </c>
      <c r="R1222" t="inlineStr">
        <is>
          <t>Operationnel</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row>
    <row r="1223">
      <c r="A1223" t="inlineStr">
        <is>
          <t>Camship</t>
        </is>
      </c>
      <c r="B1223" t="inlineStr">
        <is>
          <t>LIT_139</t>
        </is>
      </c>
      <c r="C1223" t="inlineStr">
        <is>
          <t>Douala</t>
        </is>
      </c>
      <c r="D1223" t="inlineStr">
        <is>
          <t>IHS</t>
        </is>
      </c>
      <c r="E1223" t="inlineStr">
        <is>
          <t>Grid-Gen</t>
        </is>
      </c>
      <c r="F1223" t="inlineStr">
        <is>
          <t>LITTORAL</t>
        </is>
      </c>
      <c r="G1223" t="inlineStr">
        <is>
          <t>Douala</t>
        </is>
      </c>
      <c r="H1223" t="inlineStr">
        <is>
          <t>ZTE</t>
        </is>
      </c>
      <c r="I1223" t="n">
        <v>0</v>
      </c>
      <c r="J1223" t="n">
        <v>0</v>
      </c>
      <c r="K1223" t="n">
        <v>0</v>
      </c>
      <c r="L1223" t="n">
        <v>0.0003923717229827143</v>
      </c>
      <c r="M1223" t="n">
        <v>0</v>
      </c>
      <c r="N1223" t="n">
        <v>0</v>
      </c>
      <c r="O1223" t="n">
        <v>0</v>
      </c>
      <c r="P1223" t="n">
        <v>0</v>
      </c>
      <c r="Q1223" t="n">
        <v>0</v>
      </c>
      <c r="R1223" t="inlineStr">
        <is>
          <t>Operationnel</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row>
    <row r="1224">
      <c r="A1224" t="inlineStr">
        <is>
          <t>Bfsam-Djemoun</t>
        </is>
      </c>
      <c r="B1224" t="inlineStr">
        <is>
          <t>OST_001</t>
        </is>
      </c>
      <c r="C1224" t="inlineStr">
        <is>
          <t>Bafoussam</t>
        </is>
      </c>
      <c r="D1224" t="inlineStr">
        <is>
          <t>OCM/Strategique</t>
        </is>
      </c>
      <c r="E1224" t="inlineStr"/>
      <c r="F1224" t="inlineStr">
        <is>
          <t>OUEST</t>
        </is>
      </c>
      <c r="G1224" t="inlineStr">
        <is>
          <t>Bafoussam</t>
        </is>
      </c>
      <c r="H1224" t="inlineStr">
        <is>
          <t>Huawei</t>
        </is>
      </c>
      <c r="I1224" t="n">
        <v>0</v>
      </c>
      <c r="J1224" t="n">
        <v>0.7043964181455513</v>
      </c>
      <c r="K1224" t="n">
        <v>0</v>
      </c>
      <c r="L1224" t="n">
        <v>0.0001783507831739591</v>
      </c>
      <c r="M1224" t="n">
        <v>0</v>
      </c>
      <c r="N1224" t="n">
        <v>0</v>
      </c>
      <c r="O1224" t="n">
        <v>0</v>
      </c>
      <c r="P1224" t="n">
        <v>0</v>
      </c>
      <c r="Q1224" t="n">
        <v>0</v>
      </c>
      <c r="R1224" t="inlineStr">
        <is>
          <t>Operationnel</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row>
    <row r="1225">
      <c r="A1225" t="inlineStr">
        <is>
          <t>Maroua-Orange</t>
        </is>
      </c>
      <c r="B1225" t="inlineStr">
        <is>
          <t>EXN_044</t>
        </is>
      </c>
      <c r="C1225" t="inlineStr">
        <is>
          <t>Maroua</t>
        </is>
      </c>
      <c r="D1225" t="inlineStr">
        <is>
          <t>CAMUSAT</t>
        </is>
      </c>
      <c r="E1225" t="inlineStr">
        <is>
          <t>Bad Grid + GE</t>
        </is>
      </c>
      <c r="F1225" t="inlineStr">
        <is>
          <t>EXTREME-NORD</t>
        </is>
      </c>
      <c r="G1225" t="inlineStr">
        <is>
          <t>Maroua</t>
        </is>
      </c>
      <c r="H1225" t="inlineStr">
        <is>
          <t>Huawei</t>
        </is>
      </c>
      <c r="I1225" t="n">
        <v>0</v>
      </c>
      <c r="J1225" t="n">
        <v>0</v>
      </c>
      <c r="K1225" t="n">
        <v>0</v>
      </c>
      <c r="L1225" t="n">
        <v>8.917539158697954e-05</v>
      </c>
      <c r="M1225" t="n">
        <v>0</v>
      </c>
      <c r="N1225" t="n">
        <v>0</v>
      </c>
      <c r="O1225" t="n">
        <v>0</v>
      </c>
      <c r="P1225" t="n">
        <v>0</v>
      </c>
      <c r="Q1225" t="n">
        <v>0</v>
      </c>
      <c r="R1225" t="inlineStr">
        <is>
          <t>Operationnel</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row>
    <row r="1226">
      <c r="A1226" t="inlineStr">
        <is>
          <t>Makepe-Indoor</t>
        </is>
      </c>
      <c r="B1226" t="inlineStr">
        <is>
          <t>LIT_599</t>
        </is>
      </c>
      <c r="C1226" t="inlineStr">
        <is>
          <t>Douala</t>
        </is>
      </c>
      <c r="D1226" t="inlineStr"/>
      <c r="E1226" t="inlineStr"/>
      <c r="F1226" t="inlineStr">
        <is>
          <t>LITTORAL</t>
        </is>
      </c>
      <c r="G1226" t="inlineStr">
        <is>
          <t>Douala</t>
        </is>
      </c>
      <c r="H1226" t="inlineStr">
        <is>
          <t>ZTE</t>
        </is>
      </c>
      <c r="I1226" t="n">
        <v>0</v>
      </c>
      <c r="J1226" t="n">
        <v>0</v>
      </c>
      <c r="K1226" t="n">
        <v>0</v>
      </c>
      <c r="L1226" t="n">
        <v>5.350523495219609e-05</v>
      </c>
      <c r="M1226" t="n">
        <v>0</v>
      </c>
      <c r="N1226" t="n">
        <v>0</v>
      </c>
      <c r="O1226" t="n">
        <v>0</v>
      </c>
      <c r="P1226" t="n">
        <v>0</v>
      </c>
      <c r="Q1226" t="n">
        <v>0</v>
      </c>
      <c r="R1226" t="inlineStr">
        <is>
          <t>Operationnel</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row>
    <row r="1227">
      <c r="A1227" t="inlineStr">
        <is>
          <t>Nkolbisson-Ayene-Bar</t>
        </is>
      </c>
      <c r="B1227" t="inlineStr">
        <is>
          <t>CTR_657</t>
        </is>
      </c>
      <c r="C1227" t="inlineStr">
        <is>
          <t>Yaounde</t>
        </is>
      </c>
      <c r="D1227" t="inlineStr">
        <is>
          <t>CAMUSAT</t>
        </is>
      </c>
      <c r="E1227" t="inlineStr">
        <is>
          <t>Good Grid + GE</t>
        </is>
      </c>
      <c r="F1227" t="inlineStr">
        <is>
          <t>CENTRE</t>
        </is>
      </c>
      <c r="G1227" t="inlineStr">
        <is>
          <t>Yaounde</t>
        </is>
      </c>
      <c r="H1227" t="inlineStr">
        <is>
          <t>ZTE</t>
        </is>
      </c>
      <c r="I1227" t="n">
        <v>0</v>
      </c>
      <c r="J1227" t="n">
        <v>0.7644827969968566</v>
      </c>
      <c r="K1227" t="n">
        <v>44.03830404100071</v>
      </c>
      <c r="L1227" t="n">
        <v>0</v>
      </c>
      <c r="M1227" t="n">
        <v>0</v>
      </c>
      <c r="N1227" t="n">
        <v>0</v>
      </c>
      <c r="O1227" t="n">
        <v>0</v>
      </c>
      <c r="P1227" t="n">
        <v>0</v>
      </c>
      <c r="Q1227" t="n">
        <v>0</v>
      </c>
      <c r="R1227" t="inlineStr">
        <is>
          <t>Operationnel</t>
        </is>
      </c>
      <c r="S1227" t="inlineStr"/>
      <c r="T1227" t="inlineStr"/>
      <c r="U1227" t="inlineStr"/>
      <c r="V1227" t="inlineStr"/>
      <c r="W1227" t="inlineStr"/>
      <c r="X1227" t="inlineStr">
        <is>
          <t>{05-25-2026 retour CAMUSAT}: Chauffage</t>
        </is>
      </c>
      <c r="Y1227" t="inlineStr">
        <is>
          <t>Chauffage</t>
        </is>
      </c>
      <c r="Z1227" t="inlineStr"/>
      <c r="AA1227" t="inlineStr"/>
      <c r="AB1227" t="inlineStr"/>
      <c r="AC1227" t="inlineStr">
        <is>
          <t>{05-25-2026 retour CAMUSAT}: Chauffage</t>
        </is>
      </c>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row>
    <row r="1228">
      <c r="A1228" t="inlineStr">
        <is>
          <t>Nkolbisson-Usne-Ds-Eaux-IHS</t>
        </is>
      </c>
      <c r="B1228" t="inlineStr">
        <is>
          <t>CTR_522</t>
        </is>
      </c>
      <c r="C1228" t="inlineStr">
        <is>
          <t>Yaounde</t>
        </is>
      </c>
      <c r="D1228" t="inlineStr">
        <is>
          <t>IHS</t>
        </is>
      </c>
      <c r="E1228" t="inlineStr">
        <is>
          <t>Grid-Gen</t>
        </is>
      </c>
      <c r="F1228" t="inlineStr">
        <is>
          <t>CENTRE</t>
        </is>
      </c>
      <c r="G1228" t="inlineStr">
        <is>
          <t>Yaounde</t>
        </is>
      </c>
      <c r="H1228" t="inlineStr">
        <is>
          <t>ZTE</t>
        </is>
      </c>
      <c r="I1228" t="n">
        <v>0</v>
      </c>
      <c r="J1228" t="n">
        <v>0</v>
      </c>
      <c r="K1228" t="n">
        <v>26.41564150636498</v>
      </c>
      <c r="L1228" t="n">
        <v>0</v>
      </c>
      <c r="M1228" t="n">
        <v>0</v>
      </c>
      <c r="N1228" t="n">
        <v>0</v>
      </c>
      <c r="O1228" t="n">
        <v>0</v>
      </c>
      <c r="P1228" t="n">
        <v>0</v>
      </c>
      <c r="Q1228" t="n">
        <v>0</v>
      </c>
      <c r="R1228" t="inlineStr">
        <is>
          <t>Operationnel</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row>
    <row r="1229">
      <c r="A1229" t="inlineStr">
        <is>
          <t>Foret-Bar-Mabanda-IHS</t>
        </is>
      </c>
      <c r="B1229" t="inlineStr">
        <is>
          <t>LIT_360</t>
        </is>
      </c>
      <c r="C1229" t="inlineStr">
        <is>
          <t>Douala</t>
        </is>
      </c>
      <c r="D1229" t="inlineStr">
        <is>
          <t>IHS</t>
        </is>
      </c>
      <c r="E1229" t="inlineStr">
        <is>
          <t>Grid-Gen</t>
        </is>
      </c>
      <c r="F1229" t="inlineStr">
        <is>
          <t>LITTORAL</t>
        </is>
      </c>
      <c r="G1229" t="inlineStr">
        <is>
          <t>Douala</t>
        </is>
      </c>
      <c r="H1229" t="inlineStr">
        <is>
          <t>ZTE</t>
        </is>
      </c>
      <c r="I1229" t="n">
        <v>0</v>
      </c>
      <c r="J1229" t="n">
        <v>0</v>
      </c>
      <c r="K1229" t="n">
        <v>17.89960563074823</v>
      </c>
      <c r="L1229" t="n">
        <v>0</v>
      </c>
      <c r="M1229" t="n">
        <v>0</v>
      </c>
      <c r="N1229" t="n">
        <v>0</v>
      </c>
      <c r="O1229" t="n">
        <v>0</v>
      </c>
      <c r="P1229" t="n">
        <v>0</v>
      </c>
      <c r="Q1229" t="n">
        <v>0</v>
      </c>
      <c r="R1229" t="inlineStr">
        <is>
          <t>Operationnel</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row>
    <row r="1230">
      <c r="A1230" t="inlineStr">
        <is>
          <t>Babylone-dispensaire</t>
        </is>
      </c>
      <c r="B1230" t="inlineStr">
        <is>
          <t>LIT_648</t>
        </is>
      </c>
      <c r="C1230" t="inlineStr">
        <is>
          <t>Douala</t>
        </is>
      </c>
      <c r="D1230" t="inlineStr">
        <is>
          <t>CAMUSAT</t>
        </is>
      </c>
      <c r="E1230" t="inlineStr">
        <is>
          <t>Good Grid no GE - 12h</t>
        </is>
      </c>
      <c r="F1230" t="inlineStr">
        <is>
          <t>LITTORAL</t>
        </is>
      </c>
      <c r="G1230" t="inlineStr">
        <is>
          <t>Douala</t>
        </is>
      </c>
      <c r="H1230" t="inlineStr">
        <is>
          <t>ZTE</t>
        </is>
      </c>
      <c r="I1230" t="n">
        <v>0</v>
      </c>
      <c r="J1230" t="n">
        <v>0</v>
      </c>
      <c r="K1230" t="n">
        <v>10.80110177979813</v>
      </c>
      <c r="L1230" t="n">
        <v>0</v>
      </c>
      <c r="M1230" t="n">
        <v>0</v>
      </c>
      <c r="N1230" t="n">
        <v>0</v>
      </c>
      <c r="O1230" t="n">
        <v>0</v>
      </c>
      <c r="P1230" t="n">
        <v>0</v>
      </c>
      <c r="Q1230" t="n">
        <v>0</v>
      </c>
      <c r="R1230" t="inlineStr">
        <is>
          <t>Operationnel</t>
        </is>
      </c>
      <c r="S1230" t="inlineStr"/>
      <c r="T1230" t="inlineStr"/>
      <c r="U1230" t="inlineStr"/>
      <c r="V1230" t="inlineStr"/>
      <c r="W1230" t="inlineStr"/>
      <c r="X1230" t="inlineStr">
        <is>
          <t xml:space="preserve">{05-25-2026 retour CAMUSAT}: No power issue </t>
        </is>
      </c>
      <c r="Y1230" t="inlineStr">
        <is>
          <t>No power issue</t>
        </is>
      </c>
      <c r="Z1230" t="inlineStr"/>
      <c r="AA1230" t="inlineStr"/>
      <c r="AB1230" t="inlineStr"/>
      <c r="AC1230" t="inlineStr">
        <is>
          <t xml:space="preserve">{05-25-2026 retour CAMUSAT}: No power issue </t>
        </is>
      </c>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row>
    <row r="1231">
      <c r="A1231" t="inlineStr">
        <is>
          <t>Bipaga</t>
        </is>
      </c>
      <c r="B1231" t="inlineStr">
        <is>
          <t>SUD_001</t>
        </is>
      </c>
      <c r="C1231" t="inlineStr">
        <is>
          <t>LITTORAL</t>
        </is>
      </c>
      <c r="D1231" t="inlineStr">
        <is>
          <t>IHS</t>
        </is>
      </c>
      <c r="E1231" t="inlineStr">
        <is>
          <t>Grid-Gen</t>
        </is>
      </c>
      <c r="F1231" t="inlineStr">
        <is>
          <t>SUD</t>
        </is>
      </c>
      <c r="G1231" t="inlineStr">
        <is>
          <t>Bipaga</t>
        </is>
      </c>
      <c r="H1231" t="inlineStr">
        <is>
          <t>ZTE</t>
        </is>
      </c>
      <c r="I1231" t="n">
        <v>0</v>
      </c>
      <c r="J1231" t="n">
        <v>0</v>
      </c>
      <c r="K1231" t="n">
        <v>5.898684627303935</v>
      </c>
      <c r="L1231" t="n">
        <v>0</v>
      </c>
      <c r="M1231" t="n">
        <v>0</v>
      </c>
      <c r="N1231" t="n">
        <v>0</v>
      </c>
      <c r="O1231" t="n">
        <v>0</v>
      </c>
      <c r="P1231" t="n">
        <v>0</v>
      </c>
      <c r="Q1231" t="n">
        <v>0</v>
      </c>
      <c r="R1231" t="inlineStr">
        <is>
          <t>Operationnel</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row>
    <row r="1232">
      <c r="A1232" t="inlineStr">
        <is>
          <t>Ahala</t>
        </is>
      </c>
      <c r="B1232" t="inlineStr">
        <is>
          <t>CTR_195</t>
        </is>
      </c>
      <c r="C1232" t="inlineStr">
        <is>
          <t>Yaounde</t>
        </is>
      </c>
      <c r="D1232" t="inlineStr">
        <is>
          <t>IHS</t>
        </is>
      </c>
      <c r="E1232" t="inlineStr">
        <is>
          <t>Grid-Gen-Lithium</t>
        </is>
      </c>
      <c r="F1232" t="inlineStr">
        <is>
          <t>CENTRE</t>
        </is>
      </c>
      <c r="G1232" t="inlineStr">
        <is>
          <t>Yaounde</t>
        </is>
      </c>
      <c r="H1232" t="inlineStr">
        <is>
          <t>ZTE</t>
        </is>
      </c>
      <c r="I1232" t="n">
        <v>0</v>
      </c>
      <c r="J1232" t="n">
        <v>0</v>
      </c>
      <c r="K1232" t="n">
        <v>5.76053411065739</v>
      </c>
      <c r="L1232" t="n">
        <v>0</v>
      </c>
      <c r="M1232" t="n">
        <v>0</v>
      </c>
      <c r="N1232" t="n">
        <v>0</v>
      </c>
      <c r="O1232" t="n">
        <v>0</v>
      </c>
      <c r="P1232" t="n">
        <v>0</v>
      </c>
      <c r="Q1232" t="n">
        <v>0</v>
      </c>
      <c r="R1232" t="inlineStr">
        <is>
          <t>Operationnel</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row>
    <row r="1233">
      <c r="A1233" t="inlineStr">
        <is>
          <t>Lende-Kribi</t>
        </is>
      </c>
      <c r="B1233" t="inlineStr">
        <is>
          <t>SUD_086</t>
        </is>
      </c>
      <c r="C1233" t="inlineStr">
        <is>
          <t>LITTORAL</t>
        </is>
      </c>
      <c r="D1233" t="inlineStr">
        <is>
          <t>CAMUSAT</t>
        </is>
      </c>
      <c r="E1233" t="inlineStr">
        <is>
          <t>HGB</t>
        </is>
      </c>
      <c r="F1233" t="inlineStr">
        <is>
          <t>SUD</t>
        </is>
      </c>
      <c r="G1233" t="inlineStr">
        <is>
          <t>Kribi</t>
        </is>
      </c>
      <c r="H1233" t="inlineStr">
        <is>
          <t>ZTE</t>
        </is>
      </c>
      <c r="I1233" t="n">
        <v>0</v>
      </c>
      <c r="J1233" t="n">
        <v>0</v>
      </c>
      <c r="K1233" t="n">
        <v>4.835054061689396</v>
      </c>
      <c r="L1233" t="n">
        <v>0</v>
      </c>
      <c r="M1233" t="n">
        <v>0</v>
      </c>
      <c r="N1233" t="n">
        <v>0</v>
      </c>
      <c r="O1233" t="n">
        <v>0</v>
      </c>
      <c r="P1233" t="n">
        <v>0</v>
      </c>
      <c r="Q1233" t="n">
        <v>0</v>
      </c>
      <c r="R1233" t="inlineStr">
        <is>
          <t>Operationnel</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row>
    <row r="1234">
      <c r="A1234" t="inlineStr">
        <is>
          <t>Avenue-Biyemassi</t>
        </is>
      </c>
      <c r="B1234" t="inlineStr">
        <is>
          <t>CTR_664</t>
        </is>
      </c>
      <c r="C1234" t="inlineStr">
        <is>
          <t>Yaounde</t>
        </is>
      </c>
      <c r="D1234" t="inlineStr">
        <is>
          <t>CAMUSAT</t>
        </is>
      </c>
      <c r="E1234" t="inlineStr">
        <is>
          <t>Good Grid no GE - 12h</t>
        </is>
      </c>
      <c r="F1234" t="inlineStr">
        <is>
          <t>CENTRE</t>
        </is>
      </c>
      <c r="G1234" t="inlineStr">
        <is>
          <t>Yaounde</t>
        </is>
      </c>
      <c r="H1234" t="inlineStr">
        <is>
          <t>ZTE</t>
        </is>
      </c>
      <c r="I1234" t="n">
        <v>2.110317806827554</v>
      </c>
      <c r="J1234" t="n">
        <v>0</v>
      </c>
      <c r="K1234" t="n">
        <v>3.593857456346863</v>
      </c>
      <c r="L1234" t="n">
        <v>0</v>
      </c>
      <c r="M1234" t="n">
        <v>0</v>
      </c>
      <c r="N1234" t="n">
        <v>0</v>
      </c>
      <c r="O1234" t="n">
        <v>0</v>
      </c>
      <c r="P1234" t="n">
        <v>0</v>
      </c>
      <c r="Q1234" t="n">
        <v>0</v>
      </c>
      <c r="R1234" t="inlineStr">
        <is>
          <t>Operationnel</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row>
    <row r="1235">
      <c r="A1235" t="inlineStr">
        <is>
          <t>Ngwele</t>
        </is>
      </c>
      <c r="B1235" t="inlineStr">
        <is>
          <t>LIT_206</t>
        </is>
      </c>
      <c r="C1235" t="inlineStr">
        <is>
          <t>Douala</t>
        </is>
      </c>
      <c r="D1235" t="inlineStr">
        <is>
          <t>IHS</t>
        </is>
      </c>
      <c r="E1235" t="inlineStr">
        <is>
          <t>Grid-Gen</t>
        </is>
      </c>
      <c r="F1235" t="inlineStr">
        <is>
          <t>LITTORAL</t>
        </is>
      </c>
      <c r="G1235" t="inlineStr">
        <is>
          <t>Douala</t>
        </is>
      </c>
      <c r="H1235" t="inlineStr">
        <is>
          <t>ZTE</t>
        </is>
      </c>
      <c r="I1235" t="n">
        <v>0</v>
      </c>
      <c r="J1235" t="n">
        <v>0</v>
      </c>
      <c r="K1235" t="n">
        <v>3.580374137138913</v>
      </c>
      <c r="L1235" t="n">
        <v>0</v>
      </c>
      <c r="M1235" t="n">
        <v>0</v>
      </c>
      <c r="N1235" t="n">
        <v>0</v>
      </c>
      <c r="O1235" t="n">
        <v>0</v>
      </c>
      <c r="P1235" t="n">
        <v>0</v>
      </c>
      <c r="Q1235" t="n">
        <v>0</v>
      </c>
      <c r="R1235" t="inlineStr">
        <is>
          <t>Operationnel</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row>
    <row r="1236">
      <c r="A1236" t="inlineStr">
        <is>
          <t>Niki-Accacia-IHS</t>
        </is>
      </c>
      <c r="B1236" t="inlineStr">
        <is>
          <t>CTR_848</t>
        </is>
      </c>
      <c r="C1236" t="inlineStr">
        <is>
          <t>Yaounde</t>
        </is>
      </c>
      <c r="D1236" t="inlineStr"/>
      <c r="E1236" t="inlineStr"/>
      <c r="F1236" t="inlineStr">
        <is>
          <t>CENTRE</t>
        </is>
      </c>
      <c r="G1236" t="inlineStr">
        <is>
          <t>Yaounde</t>
        </is>
      </c>
      <c r="H1236" t="inlineStr">
        <is>
          <t>ZTE</t>
        </is>
      </c>
      <c r="I1236" t="n">
        <v>2.140280738400779</v>
      </c>
      <c r="J1236" t="n">
        <v>0.7249780985238262</v>
      </c>
      <c r="K1236" t="n">
        <v>3.163033304511848</v>
      </c>
      <c r="L1236" t="n">
        <v>0</v>
      </c>
      <c r="M1236" t="n">
        <v>0</v>
      </c>
      <c r="N1236" t="n">
        <v>0</v>
      </c>
      <c r="O1236" t="n">
        <v>0</v>
      </c>
      <c r="P1236" t="n">
        <v>0</v>
      </c>
      <c r="Q1236" t="n">
        <v>0</v>
      </c>
      <c r="R1236" t="inlineStr">
        <is>
          <t>Operationnel</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row>
    <row r="1237">
      <c r="A1237" t="inlineStr">
        <is>
          <t>Cite-de-la-Paix</t>
        </is>
      </c>
      <c r="B1237" t="inlineStr">
        <is>
          <t>LIT_442</t>
        </is>
      </c>
      <c r="C1237" t="inlineStr">
        <is>
          <t>Douala</t>
        </is>
      </c>
      <c r="D1237" t="inlineStr">
        <is>
          <t>IHS</t>
        </is>
      </c>
      <c r="E1237" t="inlineStr">
        <is>
          <t>Grid-Gen</t>
        </is>
      </c>
      <c r="F1237" t="inlineStr">
        <is>
          <t>LITTORAL</t>
        </is>
      </c>
      <c r="G1237" t="inlineStr">
        <is>
          <t>Douala</t>
        </is>
      </c>
      <c r="H1237" t="inlineStr">
        <is>
          <t>ZTE</t>
        </is>
      </c>
      <c r="I1237" t="n">
        <v>0</v>
      </c>
      <c r="J1237" t="n">
        <v>34.36865962965816</v>
      </c>
      <c r="K1237" t="n">
        <v>3.023241960660098</v>
      </c>
      <c r="L1237" t="n">
        <v>0</v>
      </c>
      <c r="M1237" t="n">
        <v>0</v>
      </c>
      <c r="N1237" t="n">
        <v>0</v>
      </c>
      <c r="O1237" t="n">
        <v>0</v>
      </c>
      <c r="P1237" t="n">
        <v>0</v>
      </c>
      <c r="Q1237" t="n">
        <v>0</v>
      </c>
      <c r="R1237" t="inlineStr">
        <is>
          <t>Operationnel</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row>
    <row r="1238">
      <c r="A1238" t="inlineStr">
        <is>
          <t>NKONGSAMBA-Q8-CIMETIERE-IHS</t>
        </is>
      </c>
      <c r="B1238" t="inlineStr">
        <is>
          <t>LIT_735</t>
        </is>
      </c>
      <c r="C1238" t="inlineStr">
        <is>
          <t>LITTORAL</t>
        </is>
      </c>
      <c r="D1238" t="inlineStr">
        <is>
          <t>IHS</t>
        </is>
      </c>
      <c r="E1238" t="inlineStr">
        <is>
          <t>Grid-Gen</t>
        </is>
      </c>
      <c r="F1238" t="inlineStr">
        <is>
          <t>LITTORAL</t>
        </is>
      </c>
      <c r="G1238" t="inlineStr">
        <is>
          <t>Nkongsamba</t>
        </is>
      </c>
      <c r="H1238" t="inlineStr">
        <is>
          <t>ZTE</t>
        </is>
      </c>
      <c r="I1238" t="n">
        <v>0</v>
      </c>
      <c r="J1238" t="n">
        <v>0</v>
      </c>
      <c r="K1238" t="n">
        <v>2.711984173864904</v>
      </c>
      <c r="L1238" t="n">
        <v>0</v>
      </c>
      <c r="M1238" t="n">
        <v>0</v>
      </c>
      <c r="N1238" t="n">
        <v>0</v>
      </c>
      <c r="O1238" t="n">
        <v>0</v>
      </c>
      <c r="P1238" t="n">
        <v>0</v>
      </c>
      <c r="Q1238" t="n">
        <v>0</v>
      </c>
      <c r="R1238" t="inlineStr">
        <is>
          <t>Operationnel</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row>
    <row r="1239">
      <c r="A1239" t="inlineStr">
        <is>
          <t>Accacia-New</t>
        </is>
      </c>
      <c r="B1239" t="inlineStr">
        <is>
          <t>CTR_482</t>
        </is>
      </c>
      <c r="C1239" t="inlineStr">
        <is>
          <t>Yaounde</t>
        </is>
      </c>
      <c r="D1239" t="inlineStr">
        <is>
          <t>IHS</t>
        </is>
      </c>
      <c r="E1239" t="inlineStr">
        <is>
          <t>GridOnly</t>
        </is>
      </c>
      <c r="F1239" t="inlineStr">
        <is>
          <t>CENTRE</t>
        </is>
      </c>
      <c r="G1239" t="inlineStr">
        <is>
          <t>Yaounde</t>
        </is>
      </c>
      <c r="H1239" t="inlineStr">
        <is>
          <t>ZTE</t>
        </is>
      </c>
      <c r="I1239" t="n">
        <v>1.533353023259796</v>
      </c>
      <c r="J1239" t="n">
        <v>0</v>
      </c>
      <c r="K1239" t="n">
        <v>2.61112680598003</v>
      </c>
      <c r="L1239" t="n">
        <v>0</v>
      </c>
      <c r="M1239" t="n">
        <v>0</v>
      </c>
      <c r="N1239" t="n">
        <v>0</v>
      </c>
      <c r="O1239" t="n">
        <v>0</v>
      </c>
      <c r="P1239" t="n">
        <v>0</v>
      </c>
      <c r="Q1239" t="n">
        <v>0</v>
      </c>
      <c r="R1239" t="inlineStr">
        <is>
          <t>Operationnel</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row>
    <row r="1240">
      <c r="A1240" t="inlineStr">
        <is>
          <t>Bda-Mulang</t>
        </is>
      </c>
      <c r="B1240" t="inlineStr">
        <is>
          <t>NRO_243</t>
        </is>
      </c>
      <c r="C1240" t="inlineStr">
        <is>
          <t>NORD-OUEST</t>
        </is>
      </c>
      <c r="D1240" t="inlineStr">
        <is>
          <t>IHS</t>
        </is>
      </c>
      <c r="E1240" t="inlineStr">
        <is>
          <t>Grid-Gen</t>
        </is>
      </c>
      <c r="F1240" t="inlineStr">
        <is>
          <t>NORD-OUEST</t>
        </is>
      </c>
      <c r="G1240" t="inlineStr">
        <is>
          <t>Bamenda</t>
        </is>
      </c>
      <c r="H1240" t="inlineStr">
        <is>
          <t>Huawei</t>
        </is>
      </c>
      <c r="I1240" t="n">
        <v>0</v>
      </c>
      <c r="J1240" t="n">
        <v>0</v>
      </c>
      <c r="K1240" t="n">
        <v>2.040868011859614</v>
      </c>
      <c r="L1240" t="n">
        <v>0</v>
      </c>
      <c r="M1240" t="n">
        <v>0</v>
      </c>
      <c r="N1240" t="n">
        <v>0</v>
      </c>
      <c r="O1240" t="n">
        <v>0</v>
      </c>
      <c r="P1240" t="n">
        <v>0</v>
      </c>
      <c r="Q1240" t="n">
        <v>0</v>
      </c>
      <c r="R1240" t="inlineStr">
        <is>
          <t>Operationnel</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row>
    <row r="1241">
      <c r="A1241" t="inlineStr">
        <is>
          <t>Bamenda-Mile8-IHS</t>
        </is>
      </c>
      <c r="B1241" t="inlineStr">
        <is>
          <t>NRO_135</t>
        </is>
      </c>
      <c r="C1241" t="inlineStr">
        <is>
          <t>NORD-OUEST</t>
        </is>
      </c>
      <c r="D1241" t="inlineStr">
        <is>
          <t>IHS</t>
        </is>
      </c>
      <c r="E1241" t="inlineStr">
        <is>
          <t>Grid-Gen</t>
        </is>
      </c>
      <c r="F1241" t="inlineStr">
        <is>
          <t>NORD-OUEST</t>
        </is>
      </c>
      <c r="G1241" t="inlineStr">
        <is>
          <t>Bamenda</t>
        </is>
      </c>
      <c r="H1241" t="inlineStr">
        <is>
          <t>Huawei</t>
        </is>
      </c>
      <c r="I1241" t="n">
        <v>0</v>
      </c>
      <c r="J1241" t="n">
        <v>0</v>
      </c>
      <c r="K1241" t="n">
        <v>1.885792005889857</v>
      </c>
      <c r="L1241" t="n">
        <v>0</v>
      </c>
      <c r="M1241" t="n">
        <v>0</v>
      </c>
      <c r="N1241" t="n">
        <v>0</v>
      </c>
      <c r="O1241" t="n">
        <v>0</v>
      </c>
      <c r="P1241" t="n">
        <v>0</v>
      </c>
      <c r="Q1241" t="n">
        <v>0</v>
      </c>
      <c r="R1241" t="inlineStr">
        <is>
          <t>Operationnel</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row>
    <row r="1242">
      <c r="A1242" t="inlineStr">
        <is>
          <t>SIC-Cacao</t>
        </is>
      </c>
      <c r="B1242" t="inlineStr">
        <is>
          <t>LIT_654</t>
        </is>
      </c>
      <c r="C1242" t="inlineStr">
        <is>
          <t>Douala</t>
        </is>
      </c>
      <c r="D1242" t="inlineStr">
        <is>
          <t>CAMUSAT</t>
        </is>
      </c>
      <c r="E1242" t="inlineStr">
        <is>
          <t>Good Grid no GE - 12h</t>
        </is>
      </c>
      <c r="F1242" t="inlineStr">
        <is>
          <t>LITTORAL</t>
        </is>
      </c>
      <c r="G1242" t="inlineStr">
        <is>
          <t>Douala</t>
        </is>
      </c>
      <c r="H1242" t="inlineStr">
        <is>
          <t>ZTE</t>
        </is>
      </c>
      <c r="I1242" t="n">
        <v>28.79348548795348</v>
      </c>
      <c r="J1242" t="n">
        <v>38.53554031726464</v>
      </c>
      <c r="K1242" t="n">
        <v>1.675873134094107</v>
      </c>
      <c r="L1242" t="n">
        <v>0</v>
      </c>
      <c r="M1242" t="n">
        <v>0</v>
      </c>
      <c r="N1242" t="n">
        <v>0</v>
      </c>
      <c r="O1242" t="n">
        <v>0</v>
      </c>
      <c r="P1242" t="n">
        <v>0</v>
      </c>
      <c r="Q1242" t="n">
        <v>0</v>
      </c>
      <c r="R1242" t="inlineStr">
        <is>
          <t>Operationnel</t>
        </is>
      </c>
      <c r="S1242" t="inlineStr"/>
      <c r="T1242" t="inlineStr"/>
      <c r="U1242" t="inlineStr"/>
      <c r="V1242" t="inlineStr"/>
      <c r="W1242" t="inlineStr"/>
      <c r="X1242" t="inlineStr">
        <is>
          <t>{05-25-2026 retour CAMUSAT}: Mauvaises phases ENEO</t>
        </is>
      </c>
      <c r="Y1242" t="inlineStr">
        <is>
          <t>Mauvaises phases ENEO</t>
        </is>
      </c>
      <c r="Z1242" t="inlineStr"/>
      <c r="AA1242" t="inlineStr"/>
      <c r="AB1242" t="inlineStr"/>
      <c r="AC1242" t="inlineStr">
        <is>
          <t>{05-25-2026 retour CAMUSAT}: Mauvaises phases ENEO</t>
        </is>
      </c>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row>
    <row r="1243">
      <c r="A1243" t="inlineStr">
        <is>
          <t>Nkomedzap-Camtel</t>
        </is>
      </c>
      <c r="B1243" t="inlineStr">
        <is>
          <t>SUD_088</t>
        </is>
      </c>
      <c r="C1243" t="inlineStr">
        <is>
          <t>CENTRE</t>
        </is>
      </c>
      <c r="D1243" t="inlineStr">
        <is>
          <t>CAMUSAT</t>
        </is>
      </c>
      <c r="E1243" t="inlineStr">
        <is>
          <t>Medium Grid + GE</t>
        </is>
      </c>
      <c r="F1243" t="inlineStr">
        <is>
          <t>SUD</t>
        </is>
      </c>
      <c r="G1243" t="inlineStr">
        <is>
          <t>Nkomedzap</t>
        </is>
      </c>
      <c r="H1243" t="inlineStr">
        <is>
          <t>NOKIA</t>
        </is>
      </c>
      <c r="I1243" t="n">
        <v>0</v>
      </c>
      <c r="J1243" t="n">
        <v>0</v>
      </c>
      <c r="K1243" t="n">
        <v>1.536158941684128</v>
      </c>
      <c r="L1243" t="n">
        <v>0</v>
      </c>
      <c r="M1243" t="n">
        <v>0</v>
      </c>
      <c r="N1243" t="n">
        <v>0</v>
      </c>
      <c r="O1243" t="n">
        <v>0</v>
      </c>
      <c r="P1243" t="n">
        <v>0</v>
      </c>
      <c r="Q1243" t="n">
        <v>0</v>
      </c>
      <c r="R1243" t="inlineStr">
        <is>
          <t>Operationnel</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row>
    <row r="1244">
      <c r="A1244" t="inlineStr">
        <is>
          <t>CTR_006_Z_Mbankolo</t>
        </is>
      </c>
      <c r="B1244" t="inlineStr">
        <is>
          <t>CTR_006</t>
        </is>
      </c>
      <c r="C1244" t="inlineStr">
        <is>
          <t>Yaounde</t>
        </is>
      </c>
      <c r="D1244" t="inlineStr">
        <is>
          <t>OCM/Datacenter</t>
        </is>
      </c>
      <c r="E1244" t="inlineStr">
        <is>
          <t>Grid-Gen</t>
        </is>
      </c>
      <c r="F1244" t="inlineStr">
        <is>
          <t>CENTRE</t>
        </is>
      </c>
      <c r="G1244" t="inlineStr">
        <is>
          <t>Yaounde</t>
        </is>
      </c>
      <c r="H1244" t="inlineStr">
        <is>
          <t>ZTE</t>
        </is>
      </c>
      <c r="I1244" t="n">
        <v>0.7284202686390838</v>
      </c>
      <c r="J1244" t="n">
        <v>4.172159870788425</v>
      </c>
      <c r="K1244" t="n">
        <v>1.317887442107336</v>
      </c>
      <c r="L1244" t="n">
        <v>0</v>
      </c>
      <c r="M1244" t="n">
        <v>0</v>
      </c>
      <c r="N1244" t="n">
        <v>0</v>
      </c>
      <c r="O1244" t="n">
        <v>0</v>
      </c>
      <c r="P1244" t="n">
        <v>0</v>
      </c>
      <c r="Q1244" t="n">
        <v>0</v>
      </c>
      <c r="R1244" t="inlineStr">
        <is>
          <t>Operationnel</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row>
    <row r="1245">
      <c r="A1245" t="inlineStr">
        <is>
          <t>Grand-Hangar-II</t>
        </is>
      </c>
      <c r="B1245" t="inlineStr">
        <is>
          <t>LIT_361</t>
        </is>
      </c>
      <c r="C1245" t="inlineStr">
        <is>
          <t>Douala</t>
        </is>
      </c>
      <c r="D1245" t="inlineStr">
        <is>
          <t>IHS</t>
        </is>
      </c>
      <c r="E1245" t="inlineStr">
        <is>
          <t>Grid-Gen</t>
        </is>
      </c>
      <c r="F1245" t="inlineStr">
        <is>
          <t>LITTORAL</t>
        </is>
      </c>
      <c r="G1245" t="inlineStr">
        <is>
          <t>Douala</t>
        </is>
      </c>
      <c r="H1245" t="inlineStr">
        <is>
          <t>ZTE</t>
        </is>
      </c>
      <c r="I1245" t="n">
        <v>0</v>
      </c>
      <c r="J1245" t="n">
        <v>0</v>
      </c>
      <c r="K1245" t="n">
        <v>1.001939029714667</v>
      </c>
      <c r="L1245" t="n">
        <v>0</v>
      </c>
      <c r="M1245" t="n">
        <v>0</v>
      </c>
      <c r="N1245" t="n">
        <v>0</v>
      </c>
      <c r="O1245" t="n">
        <v>0</v>
      </c>
      <c r="P1245" t="n">
        <v>0</v>
      </c>
      <c r="Q1245" t="n">
        <v>0</v>
      </c>
      <c r="R1245" t="inlineStr">
        <is>
          <t>Operationnel</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row>
    <row r="1246">
      <c r="A1246" t="inlineStr">
        <is>
          <t>Bfsam-Baleng</t>
        </is>
      </c>
      <c r="B1246" t="inlineStr">
        <is>
          <t>OST_063</t>
        </is>
      </c>
      <c r="C1246" t="inlineStr">
        <is>
          <t>Bafoussam</t>
        </is>
      </c>
      <c r="D1246" t="inlineStr">
        <is>
          <t>IHS</t>
        </is>
      </c>
      <c r="E1246" t="inlineStr">
        <is>
          <t>Grid-Gen</t>
        </is>
      </c>
      <c r="F1246" t="inlineStr">
        <is>
          <t>OUEST</t>
        </is>
      </c>
      <c r="G1246" t="inlineStr">
        <is>
          <t>Bafoussam</t>
        </is>
      </c>
      <c r="H1246" t="inlineStr">
        <is>
          <t>Huawei</t>
        </is>
      </c>
      <c r="I1246" t="n">
        <v>0</v>
      </c>
      <c r="J1246" t="n">
        <v>0.04913564076442573</v>
      </c>
      <c r="K1246" t="n">
        <v>0.9662153678449232</v>
      </c>
      <c r="L1246" t="n">
        <v>0</v>
      </c>
      <c r="M1246" t="n">
        <v>0</v>
      </c>
      <c r="N1246" t="n">
        <v>0</v>
      </c>
      <c r="O1246" t="n">
        <v>0</v>
      </c>
      <c r="P1246" t="n">
        <v>0</v>
      </c>
      <c r="Q1246" t="n">
        <v>0</v>
      </c>
      <c r="R1246" t="inlineStr">
        <is>
          <t>Operationnel</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row>
    <row r="1247">
      <c r="A1247" t="inlineStr">
        <is>
          <t>Mankon</t>
        </is>
      </c>
      <c r="B1247" t="inlineStr">
        <is>
          <t>NRO_029</t>
        </is>
      </c>
      <c r="C1247" t="inlineStr">
        <is>
          <t>NORD-OUEST</t>
        </is>
      </c>
      <c r="D1247" t="inlineStr">
        <is>
          <t>IHS</t>
        </is>
      </c>
      <c r="E1247" t="inlineStr">
        <is>
          <t>Grid-Gen</t>
        </is>
      </c>
      <c r="F1247" t="inlineStr">
        <is>
          <t>NORD-OUEST</t>
        </is>
      </c>
      <c r="G1247" t="inlineStr">
        <is>
          <t>Bamenda</t>
        </is>
      </c>
      <c r="H1247" t="inlineStr">
        <is>
          <t>Huawei</t>
        </is>
      </c>
      <c r="I1247" t="n">
        <v>0</v>
      </c>
      <c r="J1247" t="n">
        <v>0</v>
      </c>
      <c r="K1247" t="n">
        <v>0.8555843770421164</v>
      </c>
      <c r="L1247" t="n">
        <v>0</v>
      </c>
      <c r="M1247" t="n">
        <v>0</v>
      </c>
      <c r="N1247" t="n">
        <v>0</v>
      </c>
      <c r="O1247" t="n">
        <v>0</v>
      </c>
      <c r="P1247" t="n">
        <v>0</v>
      </c>
      <c r="Q1247" t="n">
        <v>0</v>
      </c>
      <c r="R1247" t="inlineStr">
        <is>
          <t>Operationnel</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row>
    <row r="1248">
      <c r="A1248" t="inlineStr">
        <is>
          <t>Nanga-Eboko-IHS</t>
        </is>
      </c>
      <c r="B1248" t="inlineStr">
        <is>
          <t>CTR_138</t>
        </is>
      </c>
      <c r="C1248" t="inlineStr">
        <is>
          <t>CENTRE</t>
        </is>
      </c>
      <c r="D1248" t="inlineStr">
        <is>
          <t>IHS</t>
        </is>
      </c>
      <c r="E1248" t="inlineStr">
        <is>
          <t>Grid-Gen</t>
        </is>
      </c>
      <c r="F1248" t="inlineStr">
        <is>
          <t>CENTRE</t>
        </is>
      </c>
      <c r="G1248" t="inlineStr">
        <is>
          <t>Nanga-Eboko</t>
        </is>
      </c>
      <c r="H1248" t="inlineStr">
        <is>
          <t>NOKIA</t>
        </is>
      </c>
      <c r="I1248" t="n">
        <v>0</v>
      </c>
      <c r="J1248" t="n">
        <v>0</v>
      </c>
      <c r="K1248" t="n">
        <v>0.8256301477122617</v>
      </c>
      <c r="L1248" t="n">
        <v>0</v>
      </c>
      <c r="M1248" t="n">
        <v>0</v>
      </c>
      <c r="N1248" t="n">
        <v>0</v>
      </c>
      <c r="O1248" t="n">
        <v>0</v>
      </c>
      <c r="P1248" t="n">
        <v>0</v>
      </c>
      <c r="Q1248" t="n">
        <v>0</v>
      </c>
      <c r="R1248" t="inlineStr">
        <is>
          <t>Operationnel</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row>
    <row r="1249">
      <c r="A1249" t="inlineStr">
        <is>
          <t>Tole-Tea-IHS</t>
        </is>
      </c>
      <c r="B1249" t="inlineStr">
        <is>
          <t>SUO_152</t>
        </is>
      </c>
      <c r="C1249" t="inlineStr">
        <is>
          <t>SUD-OUEST</t>
        </is>
      </c>
      <c r="D1249" t="inlineStr">
        <is>
          <t>IHS</t>
        </is>
      </c>
      <c r="E1249" t="inlineStr">
        <is>
          <t>Grid-Gen</t>
        </is>
      </c>
      <c r="F1249" t="inlineStr">
        <is>
          <t>SUD-OUEST</t>
        </is>
      </c>
      <c r="G1249" t="inlineStr">
        <is>
          <t>Buea</t>
        </is>
      </c>
      <c r="H1249" t="inlineStr">
        <is>
          <t>Huawei</t>
        </is>
      </c>
      <c r="I1249" t="n">
        <v>0</v>
      </c>
      <c r="J1249" t="n">
        <v>0</v>
      </c>
      <c r="K1249" t="n">
        <v>0.7055556982361821</v>
      </c>
      <c r="L1249" t="n">
        <v>0</v>
      </c>
      <c r="M1249" t="n">
        <v>0</v>
      </c>
      <c r="N1249" t="n">
        <v>0</v>
      </c>
      <c r="O1249" t="n">
        <v>0</v>
      </c>
      <c r="P1249" t="n">
        <v>0</v>
      </c>
      <c r="Q1249" t="n">
        <v>0</v>
      </c>
      <c r="R1249" t="inlineStr">
        <is>
          <t>Operationnel</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row>
    <row r="1250">
      <c r="A1250" t="inlineStr">
        <is>
          <t>Efoulan-Pont</t>
        </is>
      </c>
      <c r="B1250" t="inlineStr">
        <is>
          <t>CTR_773</t>
        </is>
      </c>
      <c r="C1250" t="inlineStr">
        <is>
          <t>Yaounde</t>
        </is>
      </c>
      <c r="D1250" t="inlineStr">
        <is>
          <t>CAMUSAT</t>
        </is>
      </c>
      <c r="E1250" t="inlineStr">
        <is>
          <t>Good Grid no GE - 8h</t>
        </is>
      </c>
      <c r="F1250" t="inlineStr">
        <is>
          <t>CENTRE</t>
        </is>
      </c>
      <c r="G1250" t="inlineStr">
        <is>
          <t>Yaounde</t>
        </is>
      </c>
      <c r="H1250" t="inlineStr">
        <is>
          <t>ZTE</t>
        </is>
      </c>
      <c r="I1250" t="n">
        <v>7.198237608900989</v>
      </c>
      <c r="J1250" t="n">
        <v>0</v>
      </c>
      <c r="K1250" t="n">
        <v>0.6771979237115228</v>
      </c>
      <c r="L1250" t="n">
        <v>0</v>
      </c>
      <c r="M1250" t="n">
        <v>0</v>
      </c>
      <c r="N1250" t="n">
        <v>0</v>
      </c>
      <c r="O1250" t="n">
        <v>0</v>
      </c>
      <c r="P1250" t="n">
        <v>0</v>
      </c>
      <c r="Q1250" t="n">
        <v>0</v>
      </c>
      <c r="R1250" t="inlineStr">
        <is>
          <t>Operationnel</t>
        </is>
      </c>
      <c r="S1250" t="inlineStr"/>
      <c r="T1250" t="inlineStr"/>
      <c r="U1250" t="inlineStr"/>
      <c r="V1250" t="inlineStr"/>
      <c r="W1250" t="inlineStr"/>
      <c r="X1250" t="inlineStr">
        <is>
          <t xml:space="preserve">{05-25-2026 retour CAMUSAT}: No power issue </t>
        </is>
      </c>
      <c r="Y1250" t="inlineStr">
        <is>
          <t>No power issue</t>
        </is>
      </c>
      <c r="Z1250" t="inlineStr"/>
      <c r="AA1250" t="inlineStr"/>
      <c r="AB1250" t="inlineStr"/>
      <c r="AC1250" t="inlineStr">
        <is>
          <t xml:space="preserve">{05-25-2026 retour CAMUSAT}: No power issue </t>
        </is>
      </c>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row>
    <row r="1251">
      <c r="A1251" t="inlineStr">
        <is>
          <t>Songa-Boko</t>
        </is>
      </c>
      <c r="B1251" t="inlineStr">
        <is>
          <t>LIT_280</t>
        </is>
      </c>
      <c r="C1251" t="inlineStr">
        <is>
          <t>Douala</t>
        </is>
      </c>
      <c r="D1251" t="inlineStr">
        <is>
          <t>IHS</t>
        </is>
      </c>
      <c r="E1251" t="inlineStr">
        <is>
          <t>Grid-Gen</t>
        </is>
      </c>
      <c r="F1251" t="inlineStr">
        <is>
          <t>LITTORAL</t>
        </is>
      </c>
      <c r="G1251" t="inlineStr">
        <is>
          <t>Douala</t>
        </is>
      </c>
      <c r="H1251" t="inlineStr">
        <is>
          <t>ZTE</t>
        </is>
      </c>
      <c r="I1251" t="n">
        <v>1.2452630031989</v>
      </c>
      <c r="J1251" t="n">
        <v>13.33616197675447</v>
      </c>
      <c r="K1251" t="n">
        <v>0.6142044270944788</v>
      </c>
      <c r="L1251" t="n">
        <v>0</v>
      </c>
      <c r="M1251" t="n">
        <v>0</v>
      </c>
      <c r="N1251" t="n">
        <v>0</v>
      </c>
      <c r="O1251" t="n">
        <v>0</v>
      </c>
      <c r="P1251" t="n">
        <v>0</v>
      </c>
      <c r="Q1251" t="n">
        <v>0</v>
      </c>
      <c r="R1251" t="inlineStr">
        <is>
          <t>Operationnel</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row>
    <row r="1252">
      <c r="A1252" t="inlineStr">
        <is>
          <t>Nanga-Eboko</t>
        </is>
      </c>
      <c r="B1252" t="inlineStr">
        <is>
          <t>CTR_033</t>
        </is>
      </c>
      <c r="C1252" t="inlineStr">
        <is>
          <t>CENTRE</t>
        </is>
      </c>
      <c r="D1252" t="inlineStr">
        <is>
          <t>CAMUSAT</t>
        </is>
      </c>
      <c r="E1252" t="inlineStr">
        <is>
          <t>Medium Grid + Solar + GE</t>
        </is>
      </c>
      <c r="F1252" t="inlineStr">
        <is>
          <t>CENTRE</t>
        </is>
      </c>
      <c r="G1252" t="inlineStr">
        <is>
          <t>Nanga-Eboko</t>
        </is>
      </c>
      <c r="H1252" t="inlineStr">
        <is>
          <t>NOKIA</t>
        </is>
      </c>
      <c r="I1252" t="n">
        <v>0</v>
      </c>
      <c r="J1252" t="n">
        <v>0</v>
      </c>
      <c r="K1252" t="n">
        <v>0.595085223138232</v>
      </c>
      <c r="L1252" t="n">
        <v>0</v>
      </c>
      <c r="M1252" t="n">
        <v>0</v>
      </c>
      <c r="N1252" t="n">
        <v>0</v>
      </c>
      <c r="O1252" t="n">
        <v>0</v>
      </c>
      <c r="P1252" t="n">
        <v>0</v>
      </c>
      <c r="Q1252" t="n">
        <v>0</v>
      </c>
      <c r="R1252" t="inlineStr">
        <is>
          <t>Operationnel</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row>
    <row r="1253">
      <c r="A1253" t="inlineStr">
        <is>
          <t>Nkoambang</t>
        </is>
      </c>
      <c r="B1253" t="inlineStr">
        <is>
          <t>CTR_891</t>
        </is>
      </c>
      <c r="C1253" t="inlineStr">
        <is>
          <t>CENTRE</t>
        </is>
      </c>
      <c r="D1253" t="inlineStr">
        <is>
          <t>ESCO</t>
        </is>
      </c>
      <c r="E1253" t="inlineStr">
        <is>
          <t>HGB</t>
        </is>
      </c>
      <c r="F1253" t="inlineStr">
        <is>
          <t>CENTRE</t>
        </is>
      </c>
      <c r="G1253" t="inlineStr">
        <is>
          <t>Nkoambang</t>
        </is>
      </c>
      <c r="H1253" t="inlineStr">
        <is>
          <t>NOKIA</t>
        </is>
      </c>
      <c r="I1253" t="n">
        <v>0</v>
      </c>
      <c r="J1253" t="n">
        <v>0</v>
      </c>
      <c r="K1253" t="n">
        <v>0.5917857336495137</v>
      </c>
      <c r="L1253" t="n">
        <v>0</v>
      </c>
      <c r="M1253" t="n">
        <v>0</v>
      </c>
      <c r="N1253" t="n">
        <v>0</v>
      </c>
      <c r="O1253" t="n">
        <v>0</v>
      </c>
      <c r="P1253" t="n">
        <v>0</v>
      </c>
      <c r="Q1253" t="n">
        <v>0</v>
      </c>
      <c r="R1253" t="inlineStr">
        <is>
          <t>Operationnel</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row>
    <row r="1254">
      <c r="A1254" t="inlineStr">
        <is>
          <t>Gamoko-Hill-IHS</t>
        </is>
      </c>
      <c r="B1254" t="inlineStr">
        <is>
          <t>SUO_097</t>
        </is>
      </c>
      <c r="C1254" t="inlineStr">
        <is>
          <t>SUD-OUEST</t>
        </is>
      </c>
      <c r="D1254" t="inlineStr">
        <is>
          <t>IHS</t>
        </is>
      </c>
      <c r="E1254" t="inlineStr">
        <is>
          <t>Gen Only</t>
        </is>
      </c>
      <c r="F1254" t="inlineStr">
        <is>
          <t>SUD-OUEST</t>
        </is>
      </c>
      <c r="G1254" t="inlineStr">
        <is>
          <t>Gamoko</t>
        </is>
      </c>
      <c r="H1254" t="inlineStr">
        <is>
          <t>NOKIA</t>
        </is>
      </c>
      <c r="I1254" t="n">
        <v>0.2746067008529448</v>
      </c>
      <c r="J1254" t="n">
        <v>0</v>
      </c>
      <c r="K1254" t="n">
        <v>0.5486248441214155</v>
      </c>
      <c r="L1254" t="n">
        <v>0</v>
      </c>
      <c r="M1254" t="n">
        <v>0</v>
      </c>
      <c r="N1254" t="n">
        <v>0</v>
      </c>
      <c r="O1254" t="n">
        <v>0</v>
      </c>
      <c r="P1254" t="n">
        <v>0</v>
      </c>
      <c r="Q1254" t="n">
        <v>0</v>
      </c>
      <c r="R1254" t="inlineStr">
        <is>
          <t>Insecurity</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row>
    <row r="1255">
      <c r="A1255" t="inlineStr">
        <is>
          <t>Donga-MTN-IHS</t>
        </is>
      </c>
      <c r="B1255" t="inlineStr">
        <is>
          <t>CTR_166</t>
        </is>
      </c>
      <c r="C1255" t="inlineStr">
        <is>
          <t>CENTRE</t>
        </is>
      </c>
      <c r="D1255" t="inlineStr">
        <is>
          <t>IHS</t>
        </is>
      </c>
      <c r="E1255" t="inlineStr">
        <is>
          <t>Hybrid-Gen</t>
        </is>
      </c>
      <c r="F1255" t="inlineStr">
        <is>
          <t>CENTRE</t>
        </is>
      </c>
      <c r="G1255" t="inlineStr">
        <is>
          <t>Donga</t>
        </is>
      </c>
      <c r="H1255" t="inlineStr">
        <is>
          <t>NOKIA</t>
        </is>
      </c>
      <c r="I1255" t="n">
        <v>0</v>
      </c>
      <c r="J1255" t="n">
        <v>0</v>
      </c>
      <c r="K1255" t="n">
        <v>0.5277221323334278</v>
      </c>
      <c r="L1255" t="n">
        <v>0</v>
      </c>
      <c r="M1255" t="n">
        <v>0</v>
      </c>
      <c r="N1255" t="n">
        <v>0</v>
      </c>
      <c r="O1255" t="n">
        <v>0</v>
      </c>
      <c r="P1255" t="n">
        <v>0</v>
      </c>
      <c r="Q1255" t="n">
        <v>0</v>
      </c>
      <c r="R1255" t="inlineStr">
        <is>
          <t>Operationnel</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row>
    <row r="1256">
      <c r="A1256" t="inlineStr">
        <is>
          <t>Crf-Nsam-IHS</t>
        </is>
      </c>
      <c r="B1256" t="inlineStr">
        <is>
          <t>CTR_159</t>
        </is>
      </c>
      <c r="C1256" t="inlineStr">
        <is>
          <t>Yaounde</t>
        </is>
      </c>
      <c r="D1256" t="inlineStr">
        <is>
          <t>IHS</t>
        </is>
      </c>
      <c r="E1256" t="inlineStr">
        <is>
          <t>Grid-Gen</t>
        </is>
      </c>
      <c r="F1256" t="inlineStr">
        <is>
          <t>CENTRE</t>
        </is>
      </c>
      <c r="G1256" t="inlineStr">
        <is>
          <t>Yaounde</t>
        </is>
      </c>
      <c r="H1256" t="inlineStr">
        <is>
          <t>ZTE</t>
        </is>
      </c>
      <c r="I1256" t="n">
        <v>0</v>
      </c>
      <c r="J1256" t="n">
        <v>0</v>
      </c>
      <c r="K1256" t="n">
        <v>0.5068015854671215</v>
      </c>
      <c r="L1256" t="n">
        <v>0</v>
      </c>
      <c r="M1256" t="n">
        <v>0</v>
      </c>
      <c r="N1256" t="n">
        <v>0</v>
      </c>
      <c r="O1256" t="n">
        <v>0</v>
      </c>
      <c r="P1256" t="n">
        <v>0</v>
      </c>
      <c r="Q1256" t="n">
        <v>0</v>
      </c>
      <c r="R1256" t="inlineStr">
        <is>
          <t>Operationnel</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row>
    <row r="1257">
      <c r="A1257" t="inlineStr">
        <is>
          <t>Nkololoun-Marche</t>
        </is>
      </c>
      <c r="B1257" t="inlineStr">
        <is>
          <t>LIT_548</t>
        </is>
      </c>
      <c r="C1257" t="inlineStr">
        <is>
          <t>Douala</t>
        </is>
      </c>
      <c r="D1257" t="inlineStr">
        <is>
          <t>CAMUSAT</t>
        </is>
      </c>
      <c r="E1257" t="inlineStr">
        <is>
          <t>Good Grid no GE - 8h</t>
        </is>
      </c>
      <c r="F1257" t="inlineStr">
        <is>
          <t>LITTORAL</t>
        </is>
      </c>
      <c r="G1257" t="inlineStr">
        <is>
          <t>Douala</t>
        </is>
      </c>
      <c r="H1257" t="inlineStr">
        <is>
          <t>ZTE</t>
        </is>
      </c>
      <c r="I1257" t="n">
        <v>0</v>
      </c>
      <c r="J1257" t="n">
        <v>0</v>
      </c>
      <c r="K1257" t="n">
        <v>0.4514236672916079</v>
      </c>
      <c r="L1257" t="n">
        <v>0</v>
      </c>
      <c r="M1257" t="n">
        <v>0</v>
      </c>
      <c r="N1257" t="n">
        <v>0</v>
      </c>
      <c r="O1257" t="n">
        <v>0</v>
      </c>
      <c r="P1257" t="n">
        <v>0</v>
      </c>
      <c r="Q1257" t="n">
        <v>0</v>
      </c>
      <c r="R1257" t="inlineStr">
        <is>
          <t>Operationnel</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row>
    <row r="1258">
      <c r="A1258" t="inlineStr">
        <is>
          <t>Foumban-Njiyouom</t>
        </is>
      </c>
      <c r="B1258" t="inlineStr">
        <is>
          <t>OST_137</t>
        </is>
      </c>
      <c r="C1258" t="inlineStr">
        <is>
          <t>OUEST</t>
        </is>
      </c>
      <c r="D1258" t="inlineStr">
        <is>
          <t>IHS</t>
        </is>
      </c>
      <c r="E1258" t="inlineStr">
        <is>
          <t>Grid-Gen</t>
        </is>
      </c>
      <c r="F1258" t="inlineStr">
        <is>
          <t>OUEST</t>
        </is>
      </c>
      <c r="G1258" t="inlineStr">
        <is>
          <t>Foumban</t>
        </is>
      </c>
      <c r="H1258" t="inlineStr">
        <is>
          <t>Huawei</t>
        </is>
      </c>
      <c r="I1258" t="n">
        <v>0</v>
      </c>
      <c r="J1258" t="n">
        <v>0</v>
      </c>
      <c r="K1258" t="n">
        <v>0.4239754817611355</v>
      </c>
      <c r="L1258" t="n">
        <v>0</v>
      </c>
      <c r="M1258" t="n">
        <v>0</v>
      </c>
      <c r="N1258" t="n">
        <v>0</v>
      </c>
      <c r="O1258" t="n">
        <v>0</v>
      </c>
      <c r="P1258" t="n">
        <v>0</v>
      </c>
      <c r="Q1258" t="n">
        <v>0</v>
      </c>
      <c r="R1258" t="inlineStr">
        <is>
          <t>Operationnel</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row>
    <row r="1259">
      <c r="A1259" t="inlineStr">
        <is>
          <t>Ouassa-Bamvele-Camrail</t>
        </is>
      </c>
      <c r="B1259" t="inlineStr">
        <is>
          <t>CTR_454</t>
        </is>
      </c>
      <c r="C1259" t="inlineStr">
        <is>
          <t>CENTRE</t>
        </is>
      </c>
      <c r="D1259" t="inlineStr">
        <is>
          <t>CAMUSAT</t>
        </is>
      </c>
      <c r="E1259" t="inlineStr">
        <is>
          <t>Hybrid Solar - S3</t>
        </is>
      </c>
      <c r="F1259" t="inlineStr">
        <is>
          <t>CENTRE</t>
        </is>
      </c>
      <c r="G1259" t="inlineStr">
        <is>
          <t>Ouassa-Bamvele</t>
        </is>
      </c>
      <c r="H1259" t="inlineStr">
        <is>
          <t>NOKIA</t>
        </is>
      </c>
      <c r="I1259" t="n">
        <v>0</v>
      </c>
      <c r="J1259" t="n">
        <v>0</v>
      </c>
      <c r="K1259" t="n">
        <v>0.3979005972611029</v>
      </c>
      <c r="L1259" t="n">
        <v>0</v>
      </c>
      <c r="M1259" t="n">
        <v>0</v>
      </c>
      <c r="N1259" t="n">
        <v>0</v>
      </c>
      <c r="O1259" t="n">
        <v>0</v>
      </c>
      <c r="P1259" t="n">
        <v>0</v>
      </c>
      <c r="Q1259" t="n">
        <v>0</v>
      </c>
      <c r="R1259" t="inlineStr">
        <is>
          <t>Operationnel</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row>
    <row r="1260">
      <c r="A1260" t="inlineStr">
        <is>
          <t>Limbe-New-Town-IHS</t>
        </is>
      </c>
      <c r="B1260" t="inlineStr">
        <is>
          <t>SUO_187</t>
        </is>
      </c>
      <c r="C1260" t="inlineStr">
        <is>
          <t>SUD-OUEST</t>
        </is>
      </c>
      <c r="D1260" t="inlineStr">
        <is>
          <t>IHS</t>
        </is>
      </c>
      <c r="E1260" t="inlineStr">
        <is>
          <t>Grid-Gen</t>
        </is>
      </c>
      <c r="F1260" t="inlineStr">
        <is>
          <t>SUD-OUEST</t>
        </is>
      </c>
      <c r="G1260" t="inlineStr">
        <is>
          <t>Limbe</t>
        </is>
      </c>
      <c r="H1260" t="inlineStr">
        <is>
          <t>Huawei</t>
        </is>
      </c>
      <c r="I1260" t="n">
        <v>0</v>
      </c>
      <c r="J1260" t="n">
        <v>0</v>
      </c>
      <c r="K1260" t="n">
        <v>0.355435275787383</v>
      </c>
      <c r="L1260" t="n">
        <v>0</v>
      </c>
      <c r="M1260" t="n">
        <v>0</v>
      </c>
      <c r="N1260" t="n">
        <v>0</v>
      </c>
      <c r="O1260" t="n">
        <v>0</v>
      </c>
      <c r="P1260" t="n">
        <v>0</v>
      </c>
      <c r="Q1260" t="n">
        <v>0</v>
      </c>
      <c r="R1260" t="inlineStr">
        <is>
          <t>Operationnel</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row>
    <row r="1261">
      <c r="A1261" t="inlineStr">
        <is>
          <t>Bda-Tubah-MTN</t>
        </is>
      </c>
      <c r="B1261" t="inlineStr">
        <is>
          <t>NRO_254</t>
        </is>
      </c>
      <c r="C1261" t="inlineStr">
        <is>
          <t>NORD-OUEST</t>
        </is>
      </c>
      <c r="D1261" t="inlineStr">
        <is>
          <t>IHS</t>
        </is>
      </c>
      <c r="E1261" t="inlineStr">
        <is>
          <t>Grid-Gen</t>
        </is>
      </c>
      <c r="F1261" t="inlineStr">
        <is>
          <t>NORD-OUEST</t>
        </is>
      </c>
      <c r="G1261" t="inlineStr">
        <is>
          <t>Bamenda</t>
        </is>
      </c>
      <c r="H1261" t="inlineStr">
        <is>
          <t>Huawei</t>
        </is>
      </c>
      <c r="I1261" t="n">
        <v>0</v>
      </c>
      <c r="J1261" t="n">
        <v>0</v>
      </c>
      <c r="K1261" t="n">
        <v>0.2848262007288127</v>
      </c>
      <c r="L1261" t="n">
        <v>0</v>
      </c>
      <c r="M1261" t="n">
        <v>0</v>
      </c>
      <c r="N1261" t="n">
        <v>0</v>
      </c>
      <c r="O1261" t="n">
        <v>0</v>
      </c>
      <c r="P1261" t="n">
        <v>0</v>
      </c>
      <c r="Q1261" t="n">
        <v>0</v>
      </c>
      <c r="R1261" t="inlineStr">
        <is>
          <t>Operationnel</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row>
    <row r="1262">
      <c r="A1262" t="inlineStr">
        <is>
          <t>Voirie-Municipale-IHS</t>
        </is>
      </c>
      <c r="B1262" t="inlineStr">
        <is>
          <t>CTR_632</t>
        </is>
      </c>
      <c r="C1262" t="inlineStr">
        <is>
          <t>Yaounde</t>
        </is>
      </c>
      <c r="D1262" t="inlineStr">
        <is>
          <t>IHS</t>
        </is>
      </c>
      <c r="E1262" t="inlineStr">
        <is>
          <t>Grid-Gen</t>
        </is>
      </c>
      <c r="F1262" t="inlineStr">
        <is>
          <t>CENTRE</t>
        </is>
      </c>
      <c r="G1262" t="inlineStr">
        <is>
          <t>Yaounde</t>
        </is>
      </c>
      <c r="H1262" t="inlineStr">
        <is>
          <t>ZTE</t>
        </is>
      </c>
      <c r="I1262" t="n">
        <v>0</v>
      </c>
      <c r="J1262" t="n">
        <v>0</v>
      </c>
      <c r="K1262" t="n">
        <v>0.282561145782503</v>
      </c>
      <c r="L1262" t="n">
        <v>0</v>
      </c>
      <c r="M1262" t="n">
        <v>0</v>
      </c>
      <c r="N1262" t="n">
        <v>0</v>
      </c>
      <c r="O1262" t="n">
        <v>0</v>
      </c>
      <c r="P1262" t="n">
        <v>0</v>
      </c>
      <c r="Q1262" t="n">
        <v>0</v>
      </c>
      <c r="R1262" t="inlineStr">
        <is>
          <t>Operationnel</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row>
    <row r="1263">
      <c r="A1263" t="inlineStr">
        <is>
          <t>Ngoa-Ekelle-New</t>
        </is>
      </c>
      <c r="B1263" t="inlineStr">
        <is>
          <t>CTR_194</t>
        </is>
      </c>
      <c r="C1263" t="inlineStr">
        <is>
          <t>Yaounde</t>
        </is>
      </c>
      <c r="D1263" t="inlineStr"/>
      <c r="E1263" t="inlineStr"/>
      <c r="F1263" t="inlineStr">
        <is>
          <t>CENTRE</t>
        </is>
      </c>
      <c r="G1263" t="inlineStr">
        <is>
          <t>Yaounde</t>
        </is>
      </c>
      <c r="H1263" t="inlineStr">
        <is>
          <t>ZTE</t>
        </is>
      </c>
      <c r="I1263" t="n">
        <v>2.664400184914092</v>
      </c>
      <c r="J1263" t="n">
        <v>9.245704599738039</v>
      </c>
      <c r="K1263" t="n">
        <v>0.2484248058830078</v>
      </c>
      <c r="L1263" t="n">
        <v>0</v>
      </c>
      <c r="M1263" t="n">
        <v>0</v>
      </c>
      <c r="N1263" t="n">
        <v>0</v>
      </c>
      <c r="O1263" t="n">
        <v>0</v>
      </c>
      <c r="P1263" t="n">
        <v>0</v>
      </c>
      <c r="Q1263" t="n">
        <v>0</v>
      </c>
      <c r="R1263" t="inlineStr">
        <is>
          <t>Operationnel</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row>
    <row r="1264">
      <c r="A1264" t="inlineStr">
        <is>
          <t>Chapelle-Obili</t>
        </is>
      </c>
      <c r="B1264" t="inlineStr">
        <is>
          <t>CTR_339</t>
        </is>
      </c>
      <c r="C1264" t="inlineStr">
        <is>
          <t>Yaounde</t>
        </is>
      </c>
      <c r="D1264" t="inlineStr">
        <is>
          <t>IHS</t>
        </is>
      </c>
      <c r="E1264" t="inlineStr">
        <is>
          <t>Grid-Gen</t>
        </is>
      </c>
      <c r="F1264" t="inlineStr">
        <is>
          <t>CENTRE</t>
        </is>
      </c>
      <c r="G1264" t="inlineStr">
        <is>
          <t>Yaounde</t>
        </is>
      </c>
      <c r="H1264" t="inlineStr">
        <is>
          <t>ZTE</t>
        </is>
      </c>
      <c r="I1264" t="n">
        <v>0</v>
      </c>
      <c r="J1264" t="n">
        <v>0</v>
      </c>
      <c r="K1264" t="n">
        <v>0.2332828243915386</v>
      </c>
      <c r="L1264" t="n">
        <v>0</v>
      </c>
      <c r="M1264" t="n">
        <v>0</v>
      </c>
      <c r="N1264" t="n">
        <v>0</v>
      </c>
      <c r="O1264" t="n">
        <v>0</v>
      </c>
      <c r="P1264" t="n">
        <v>0</v>
      </c>
      <c r="Q1264" t="n">
        <v>0</v>
      </c>
      <c r="R1264" t="inlineStr">
        <is>
          <t>Operationnel</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row>
    <row r="1265">
      <c r="A1265" t="inlineStr">
        <is>
          <t>Cradat</t>
        </is>
      </c>
      <c r="B1265" t="inlineStr">
        <is>
          <t>CTR_579</t>
        </is>
      </c>
      <c r="C1265" t="inlineStr">
        <is>
          <t>Yaounde</t>
        </is>
      </c>
      <c r="D1265" t="inlineStr">
        <is>
          <t>CAMUSAT</t>
        </is>
      </c>
      <c r="E1265" t="inlineStr">
        <is>
          <t>Good Grid + GE</t>
        </is>
      </c>
      <c r="F1265" t="inlineStr">
        <is>
          <t>CENTRE</t>
        </is>
      </c>
      <c r="G1265" t="inlineStr">
        <is>
          <t>Yaounde</t>
        </is>
      </c>
      <c r="H1265" t="inlineStr">
        <is>
          <t>ZTE</t>
        </is>
      </c>
      <c r="I1265" t="n">
        <v>0</v>
      </c>
      <c r="J1265" t="n">
        <v>0</v>
      </c>
      <c r="K1265" t="n">
        <v>0.2311782851500856</v>
      </c>
      <c r="L1265" t="n">
        <v>0</v>
      </c>
      <c r="M1265" t="n">
        <v>0</v>
      </c>
      <c r="N1265" t="n">
        <v>0</v>
      </c>
      <c r="O1265" t="n">
        <v>0</v>
      </c>
      <c r="P1265" t="n">
        <v>0</v>
      </c>
      <c r="Q1265" t="n">
        <v>0</v>
      </c>
      <c r="R1265" t="inlineStr">
        <is>
          <t>Operationnel</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row>
    <row r="1266">
      <c r="A1266" t="inlineStr">
        <is>
          <t>Polytechnique</t>
        </is>
      </c>
      <c r="B1266" t="inlineStr">
        <is>
          <t>CTR_128</t>
        </is>
      </c>
      <c r="C1266" t="inlineStr">
        <is>
          <t>Yaounde</t>
        </is>
      </c>
      <c r="D1266" t="inlineStr">
        <is>
          <t>IHS</t>
        </is>
      </c>
      <c r="E1266" t="inlineStr">
        <is>
          <t>GridOnly</t>
        </is>
      </c>
      <c r="F1266" t="inlineStr">
        <is>
          <t>CENTRE</t>
        </is>
      </c>
      <c r="G1266" t="inlineStr">
        <is>
          <t>Yaounde</t>
        </is>
      </c>
      <c r="H1266" t="inlineStr">
        <is>
          <t>ZTE</t>
        </is>
      </c>
      <c r="I1266" t="n">
        <v>3.510585475682941</v>
      </c>
      <c r="J1266" t="n">
        <v>8.995621131571514</v>
      </c>
      <c r="K1266" t="n">
        <v>0.2310534396018639</v>
      </c>
      <c r="L1266" t="n">
        <v>0</v>
      </c>
      <c r="M1266" t="n">
        <v>0</v>
      </c>
      <c r="N1266" t="n">
        <v>0</v>
      </c>
      <c r="O1266" t="n">
        <v>0</v>
      </c>
      <c r="P1266" t="n">
        <v>0</v>
      </c>
      <c r="Q1266" t="n">
        <v>0</v>
      </c>
      <c r="R1266" t="inlineStr">
        <is>
          <t>Operationnel</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row>
    <row r="1267">
      <c r="A1267" t="inlineStr">
        <is>
          <t>Enam-IHS</t>
        </is>
      </c>
      <c r="B1267" t="inlineStr">
        <is>
          <t>CTR_127</t>
        </is>
      </c>
      <c r="C1267" t="inlineStr">
        <is>
          <t>Yaounde</t>
        </is>
      </c>
      <c r="D1267" t="inlineStr">
        <is>
          <t>IHS</t>
        </is>
      </c>
      <c r="E1267" t="inlineStr">
        <is>
          <t>Grid-Gen (LL)</t>
        </is>
      </c>
      <c r="F1267" t="inlineStr">
        <is>
          <t>CENTRE</t>
        </is>
      </c>
      <c r="G1267" t="inlineStr">
        <is>
          <t>Yaounde</t>
        </is>
      </c>
      <c r="H1267" t="inlineStr">
        <is>
          <t>ZTE</t>
        </is>
      </c>
      <c r="I1267" t="n">
        <v>0</v>
      </c>
      <c r="J1267" t="n">
        <v>0</v>
      </c>
      <c r="K1267" t="n">
        <v>0.2310177694452296</v>
      </c>
      <c r="L1267" t="n">
        <v>0</v>
      </c>
      <c r="M1267" t="n">
        <v>0</v>
      </c>
      <c r="N1267" t="n">
        <v>0</v>
      </c>
      <c r="O1267" t="n">
        <v>0</v>
      </c>
      <c r="P1267" t="n">
        <v>0</v>
      </c>
      <c r="Q1267" t="n">
        <v>0</v>
      </c>
      <c r="R1267" t="inlineStr">
        <is>
          <t>Operationnel</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row>
    <row r="1268">
      <c r="A1268" t="inlineStr">
        <is>
          <t>Bonas-Yde-MTN-IHS</t>
        </is>
      </c>
      <c r="B1268" t="inlineStr">
        <is>
          <t>CTR_524</t>
        </is>
      </c>
      <c r="C1268" t="inlineStr">
        <is>
          <t>Yaounde</t>
        </is>
      </c>
      <c r="D1268" t="inlineStr">
        <is>
          <t>IHS</t>
        </is>
      </c>
      <c r="E1268" t="inlineStr">
        <is>
          <t>Grid-Gen</t>
        </is>
      </c>
      <c r="F1268" t="inlineStr">
        <is>
          <t>CENTRE</t>
        </is>
      </c>
      <c r="G1268" t="inlineStr">
        <is>
          <t>Yaounde</t>
        </is>
      </c>
      <c r="H1268" t="inlineStr">
        <is>
          <t>ZTE</t>
        </is>
      </c>
      <c r="I1268" t="n">
        <v>3.105229815685167</v>
      </c>
      <c r="J1268" t="n">
        <v>8.997654330499696</v>
      </c>
      <c r="K1268" t="n">
        <v>0.219870845496857</v>
      </c>
      <c r="L1268" t="n">
        <v>0</v>
      </c>
      <c r="M1268" t="n">
        <v>0</v>
      </c>
      <c r="N1268" t="n">
        <v>0</v>
      </c>
      <c r="O1268" t="n">
        <v>0</v>
      </c>
      <c r="P1268" t="n">
        <v>0</v>
      </c>
      <c r="Q1268" t="n">
        <v>0</v>
      </c>
      <c r="R1268" t="inlineStr">
        <is>
          <t>Operationnel</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row>
    <row r="1269">
      <c r="A1269" t="inlineStr">
        <is>
          <t>E-Poste</t>
        </is>
      </c>
      <c r="B1269" t="inlineStr">
        <is>
          <t>CTR_242</t>
        </is>
      </c>
      <c r="C1269" t="inlineStr">
        <is>
          <t>Yaounde</t>
        </is>
      </c>
      <c r="D1269" t="inlineStr">
        <is>
          <t>IHS</t>
        </is>
      </c>
      <c r="E1269" t="inlineStr">
        <is>
          <t>Grid-Gen</t>
        </is>
      </c>
      <c r="F1269" t="inlineStr">
        <is>
          <t>CENTRE</t>
        </is>
      </c>
      <c r="G1269" t="inlineStr">
        <is>
          <t>Yaounde</t>
        </is>
      </c>
      <c r="H1269" t="inlineStr">
        <is>
          <t>ZTE</t>
        </is>
      </c>
      <c r="I1269" t="n">
        <v>0</v>
      </c>
      <c r="J1269" t="n">
        <v>0</v>
      </c>
      <c r="K1269" t="n">
        <v>0.2189969266593041</v>
      </c>
      <c r="L1269" t="n">
        <v>0</v>
      </c>
      <c r="M1269" t="n">
        <v>0</v>
      </c>
      <c r="N1269" t="n">
        <v>0</v>
      </c>
      <c r="O1269" t="n">
        <v>0</v>
      </c>
      <c r="P1269" t="n">
        <v>0</v>
      </c>
      <c r="Q1269" t="n">
        <v>0</v>
      </c>
      <c r="R1269" t="inlineStr">
        <is>
          <t>Operationnel</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row>
    <row r="1270">
      <c r="A1270" t="inlineStr">
        <is>
          <t>Oyomambang-Ekorezok</t>
        </is>
      </c>
      <c r="B1270" t="inlineStr">
        <is>
          <t>CTR_560</t>
        </is>
      </c>
      <c r="C1270" t="inlineStr">
        <is>
          <t>Yaounde</t>
        </is>
      </c>
      <c r="D1270" t="inlineStr">
        <is>
          <t>CAMUSAT</t>
        </is>
      </c>
      <c r="E1270" t="inlineStr">
        <is>
          <t>Good Grid + GE</t>
        </is>
      </c>
      <c r="F1270" t="inlineStr">
        <is>
          <t>CENTRE</t>
        </is>
      </c>
      <c r="G1270" t="inlineStr">
        <is>
          <t>Yaounde</t>
        </is>
      </c>
      <c r="H1270" t="inlineStr">
        <is>
          <t>ZTE</t>
        </is>
      </c>
      <c r="I1270" t="n">
        <v>0</v>
      </c>
      <c r="J1270" t="n">
        <v>1.761124808451258</v>
      </c>
      <c r="K1270" t="n">
        <v>0.2148235183330336</v>
      </c>
      <c r="L1270" t="n">
        <v>0</v>
      </c>
      <c r="M1270" t="n">
        <v>0</v>
      </c>
      <c r="N1270" t="n">
        <v>0</v>
      </c>
      <c r="O1270" t="n">
        <v>0</v>
      </c>
      <c r="P1270" t="n">
        <v>0</v>
      </c>
      <c r="Q1270" t="n">
        <v>0</v>
      </c>
      <c r="R1270" t="inlineStr">
        <is>
          <t>Operationnel</t>
        </is>
      </c>
      <c r="S1270" t="inlineStr"/>
      <c r="T1270" t="inlineStr"/>
      <c r="U1270" t="inlineStr"/>
      <c r="V1270" t="inlineStr"/>
      <c r="W1270" t="inlineStr"/>
      <c r="X1270" t="inlineStr">
        <is>
          <t xml:space="preserve">{05-25-2026 retour CAMUSAT}: No power issue </t>
        </is>
      </c>
      <c r="Y1270" t="inlineStr">
        <is>
          <t>No power issue</t>
        </is>
      </c>
      <c r="Z1270" t="inlineStr"/>
      <c r="AA1270" t="inlineStr"/>
      <c r="AB1270" t="inlineStr"/>
      <c r="AC1270" t="inlineStr">
        <is>
          <t xml:space="preserve">{05-25-2026 retour CAMUSAT}: No power issue </t>
        </is>
      </c>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row>
    <row r="1271">
      <c r="A1271" t="inlineStr">
        <is>
          <t>Meyo-II</t>
        </is>
      </c>
      <c r="B1271" t="inlineStr">
        <is>
          <t>CTR_850</t>
        </is>
      </c>
      <c r="C1271" t="inlineStr">
        <is>
          <t>Yaounde</t>
        </is>
      </c>
      <c r="D1271" t="inlineStr">
        <is>
          <t>CAMUSAT</t>
        </is>
      </c>
      <c r="E1271" t="inlineStr">
        <is>
          <t>Good Grid no GE - 8h</t>
        </is>
      </c>
      <c r="F1271" t="inlineStr">
        <is>
          <t>CENTRE</t>
        </is>
      </c>
      <c r="G1271" t="inlineStr">
        <is>
          <t>Binguela</t>
        </is>
      </c>
      <c r="H1271" t="inlineStr">
        <is>
          <t>ZTE</t>
        </is>
      </c>
      <c r="I1271" t="n">
        <v>0</v>
      </c>
      <c r="J1271" t="n">
        <v>0</v>
      </c>
      <c r="K1271" t="n">
        <v>0.1955259635936117</v>
      </c>
      <c r="L1271" t="n">
        <v>0</v>
      </c>
      <c r="M1271" t="n">
        <v>0</v>
      </c>
      <c r="N1271" t="n">
        <v>0</v>
      </c>
      <c r="O1271" t="n">
        <v>0</v>
      </c>
      <c r="P1271" t="n">
        <v>0</v>
      </c>
      <c r="Q1271" t="n">
        <v>0</v>
      </c>
      <c r="R1271" t="inlineStr">
        <is>
          <t>Operationnel</t>
        </is>
      </c>
      <c r="S1271" t="inlineStr"/>
      <c r="T1271" t="inlineStr"/>
      <c r="U1271" t="inlineStr"/>
      <c r="V1271" t="inlineStr"/>
      <c r="W1271" t="inlineStr"/>
      <c r="X1271" t="inlineStr">
        <is>
          <t>{05-25-2026 retour CAMUSAT}: Nuisance sonore</t>
        </is>
      </c>
      <c r="Y1271" t="inlineStr">
        <is>
          <t>Nuisance sonore</t>
        </is>
      </c>
      <c r="Z1271" t="inlineStr"/>
      <c r="AA1271" t="inlineStr"/>
      <c r="AB1271" t="inlineStr"/>
      <c r="AC1271" t="inlineStr">
        <is>
          <t>{05-25-2026 retour CAMUSAT}: Nuisance sonore</t>
        </is>
      </c>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row>
    <row r="1272">
      <c r="A1272" t="inlineStr">
        <is>
          <t>Nkolbi-Boss</t>
        </is>
      </c>
      <c r="B1272" t="inlineStr">
        <is>
          <t>CTR_333</t>
        </is>
      </c>
      <c r="C1272" t="inlineStr">
        <is>
          <t>Yaounde</t>
        </is>
      </c>
      <c r="D1272" t="inlineStr">
        <is>
          <t>IHS</t>
        </is>
      </c>
      <c r="E1272" t="inlineStr">
        <is>
          <t>Grid-Gen</t>
        </is>
      </c>
      <c r="F1272" t="inlineStr">
        <is>
          <t>CENTRE</t>
        </is>
      </c>
      <c r="G1272" t="inlineStr">
        <is>
          <t>Yaounde</t>
        </is>
      </c>
      <c r="H1272" t="inlineStr">
        <is>
          <t>ZTE</t>
        </is>
      </c>
      <c r="I1272" t="n">
        <v>0</v>
      </c>
      <c r="J1272" t="n">
        <v>2.024959122000495</v>
      </c>
      <c r="K1272" t="n">
        <v>0.1941169924065371</v>
      </c>
      <c r="L1272" t="n">
        <v>0</v>
      </c>
      <c r="M1272" t="n">
        <v>0</v>
      </c>
      <c r="N1272" t="n">
        <v>0</v>
      </c>
      <c r="O1272" t="n">
        <v>0</v>
      </c>
      <c r="P1272" t="n">
        <v>0</v>
      </c>
      <c r="Q1272" t="n">
        <v>0</v>
      </c>
      <c r="R1272" t="inlineStr">
        <is>
          <t>Operationnel</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row>
    <row r="1273">
      <c r="A1273" t="inlineStr">
        <is>
          <t>Lycee-Leclerc-MTN</t>
        </is>
      </c>
      <c r="B1273" t="inlineStr">
        <is>
          <t>CTR_401</t>
        </is>
      </c>
      <c r="C1273" t="inlineStr">
        <is>
          <t>Yaounde</t>
        </is>
      </c>
      <c r="D1273" t="inlineStr">
        <is>
          <t>IHS</t>
        </is>
      </c>
      <c r="E1273" t="inlineStr">
        <is>
          <t>Grid-Gen</t>
        </is>
      </c>
      <c r="F1273" t="inlineStr">
        <is>
          <t>CENTRE</t>
        </is>
      </c>
      <c r="G1273" t="inlineStr">
        <is>
          <t>Yaounde</t>
        </is>
      </c>
      <c r="H1273" t="inlineStr">
        <is>
          <t>ZTE</t>
        </is>
      </c>
      <c r="I1273" t="n">
        <v>0</v>
      </c>
      <c r="J1273" t="n">
        <v>0</v>
      </c>
      <c r="K1273" t="n">
        <v>0.1388995899358796</v>
      </c>
      <c r="L1273" t="n">
        <v>0</v>
      </c>
      <c r="M1273" t="n">
        <v>0</v>
      </c>
      <c r="N1273" t="n">
        <v>0</v>
      </c>
      <c r="O1273" t="n">
        <v>0</v>
      </c>
      <c r="P1273" t="n">
        <v>0</v>
      </c>
      <c r="Q1273" t="n">
        <v>0</v>
      </c>
      <c r="R1273" t="inlineStr">
        <is>
          <t>Operationnel</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row>
    <row r="1274">
      <c r="A1274" t="inlineStr">
        <is>
          <t>Yona-Hotel-MTN-IHS</t>
        </is>
      </c>
      <c r="B1274" t="inlineStr">
        <is>
          <t>CTR_466</t>
        </is>
      </c>
      <c r="C1274" t="inlineStr">
        <is>
          <t>Yaounde</t>
        </is>
      </c>
      <c r="D1274" t="inlineStr">
        <is>
          <t>IHS</t>
        </is>
      </c>
      <c r="E1274" t="inlineStr">
        <is>
          <t>Grid-Gen</t>
        </is>
      </c>
      <c r="F1274" t="inlineStr">
        <is>
          <t>CENTRE</t>
        </is>
      </c>
      <c r="G1274" t="inlineStr">
        <is>
          <t>Yaounde</t>
        </is>
      </c>
      <c r="H1274" t="inlineStr">
        <is>
          <t>ZTE</t>
        </is>
      </c>
      <c r="I1274" t="n">
        <v>0</v>
      </c>
      <c r="J1274" t="n">
        <v>1.13766397571005</v>
      </c>
      <c r="K1274" t="n">
        <v>0.1388282496226098</v>
      </c>
      <c r="L1274" t="n">
        <v>0</v>
      </c>
      <c r="M1274" t="n">
        <v>0</v>
      </c>
      <c r="N1274" t="n">
        <v>0</v>
      </c>
      <c r="O1274" t="n">
        <v>0</v>
      </c>
      <c r="P1274" t="n">
        <v>0</v>
      </c>
      <c r="Q1274" t="n">
        <v>0</v>
      </c>
      <c r="R1274" t="inlineStr">
        <is>
          <t>Operationnel</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row>
    <row r="1275">
      <c r="A1275" t="inlineStr">
        <is>
          <t>LAC-New</t>
        </is>
      </c>
      <c r="B1275" t="inlineStr">
        <is>
          <t>CTR_548</t>
        </is>
      </c>
      <c r="C1275" t="inlineStr">
        <is>
          <t>Yaounde</t>
        </is>
      </c>
      <c r="D1275" t="inlineStr">
        <is>
          <t>IHS</t>
        </is>
      </c>
      <c r="E1275" t="inlineStr">
        <is>
          <t>Grid-Gen</t>
        </is>
      </c>
      <c r="F1275" t="inlineStr">
        <is>
          <t>CENTRE</t>
        </is>
      </c>
      <c r="G1275" t="inlineStr">
        <is>
          <t>Yaounde</t>
        </is>
      </c>
      <c r="H1275" t="inlineStr">
        <is>
          <t>ZTE</t>
        </is>
      </c>
      <c r="I1275" t="n">
        <v>0</v>
      </c>
      <c r="J1275" t="n">
        <v>0</v>
      </c>
      <c r="K1275" t="n">
        <v>0.1377581449235656</v>
      </c>
      <c r="L1275" t="n">
        <v>0</v>
      </c>
      <c r="M1275" t="n">
        <v>0</v>
      </c>
      <c r="N1275" t="n">
        <v>0</v>
      </c>
      <c r="O1275" t="n">
        <v>0</v>
      </c>
      <c r="P1275" t="n">
        <v>0</v>
      </c>
      <c r="Q1275" t="n">
        <v>0</v>
      </c>
      <c r="R1275" t="inlineStr">
        <is>
          <t>Operationnel</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row>
    <row r="1276">
      <c r="A1276" t="inlineStr">
        <is>
          <t>Bfsam-Q-Haoussa</t>
        </is>
      </c>
      <c r="B1276" t="inlineStr">
        <is>
          <t>OST_100</t>
        </is>
      </c>
      <c r="C1276" t="inlineStr">
        <is>
          <t>Bafoussam</t>
        </is>
      </c>
      <c r="D1276" t="inlineStr">
        <is>
          <t>IHS</t>
        </is>
      </c>
      <c r="E1276" t="inlineStr">
        <is>
          <t>Grid-Gen</t>
        </is>
      </c>
      <c r="F1276" t="inlineStr">
        <is>
          <t>OUEST</t>
        </is>
      </c>
      <c r="G1276" t="inlineStr">
        <is>
          <t>Bafoussam</t>
        </is>
      </c>
      <c r="H1276" t="inlineStr">
        <is>
          <t>Huawei</t>
        </is>
      </c>
      <c r="I1276" t="n">
        <v>0</v>
      </c>
      <c r="J1276" t="n">
        <v>0.04797636067379499</v>
      </c>
      <c r="K1276" t="n">
        <v>0.1228123492935882</v>
      </c>
      <c r="L1276" t="n">
        <v>0</v>
      </c>
      <c r="M1276" t="n">
        <v>0</v>
      </c>
      <c r="N1276" t="n">
        <v>0</v>
      </c>
      <c r="O1276" t="n">
        <v>0</v>
      </c>
      <c r="P1276" t="n">
        <v>0</v>
      </c>
      <c r="Q1276" t="n">
        <v>0</v>
      </c>
      <c r="R1276" t="inlineStr">
        <is>
          <t>Operationnel</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row>
    <row r="1277">
      <c r="A1277" t="inlineStr">
        <is>
          <t>Imm-Olympique</t>
        </is>
      </c>
      <c r="B1277" t="inlineStr">
        <is>
          <t>CTR_377</t>
        </is>
      </c>
      <c r="C1277" t="inlineStr">
        <is>
          <t>Yaounde</t>
        </is>
      </c>
      <c r="D1277" t="inlineStr">
        <is>
          <t>IHS</t>
        </is>
      </c>
      <c r="E1277" t="inlineStr">
        <is>
          <t>Grid-Gen</t>
        </is>
      </c>
      <c r="F1277" t="inlineStr">
        <is>
          <t>CENTRE</t>
        </is>
      </c>
      <c r="G1277" t="inlineStr">
        <is>
          <t>Yaounde</t>
        </is>
      </c>
      <c r="H1277" t="inlineStr">
        <is>
          <t>ZTE</t>
        </is>
      </c>
      <c r="I1277" t="n">
        <v>0</v>
      </c>
      <c r="J1277" t="n">
        <v>0</v>
      </c>
      <c r="K1277" t="n">
        <v>0.1175688362682737</v>
      </c>
      <c r="L1277" t="n">
        <v>0</v>
      </c>
      <c r="M1277" t="n">
        <v>0</v>
      </c>
      <c r="N1277" t="n">
        <v>0</v>
      </c>
      <c r="O1277" t="n">
        <v>0</v>
      </c>
      <c r="P1277" t="n">
        <v>0</v>
      </c>
      <c r="Q1277" t="n">
        <v>0</v>
      </c>
      <c r="R1277" t="inlineStr">
        <is>
          <t>Operationnel</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row>
    <row r="1278">
      <c r="A1278" t="inlineStr">
        <is>
          <t>Yde-M-Central</t>
        </is>
      </c>
      <c r="B1278" t="inlineStr">
        <is>
          <t>CTR_244</t>
        </is>
      </c>
      <c r="C1278" t="inlineStr">
        <is>
          <t>Yaounde</t>
        </is>
      </c>
      <c r="D1278" t="inlineStr">
        <is>
          <t>IHS</t>
        </is>
      </c>
      <c r="E1278" t="inlineStr">
        <is>
          <t>GridOnly</t>
        </is>
      </c>
      <c r="F1278" t="inlineStr">
        <is>
          <t>CENTRE</t>
        </is>
      </c>
      <c r="G1278" t="inlineStr">
        <is>
          <t>Yaounde</t>
        </is>
      </c>
      <c r="H1278" t="inlineStr">
        <is>
          <t>ZTE</t>
        </is>
      </c>
      <c r="I1278" t="n">
        <v>0</v>
      </c>
      <c r="J1278" t="n">
        <v>0</v>
      </c>
      <c r="K1278" t="n">
        <v>0.1162847106294214</v>
      </c>
      <c r="L1278" t="n">
        <v>0</v>
      </c>
      <c r="M1278" t="n">
        <v>0</v>
      </c>
      <c r="N1278" t="n">
        <v>0</v>
      </c>
      <c r="O1278" t="n">
        <v>0</v>
      </c>
      <c r="P1278" t="n">
        <v>0</v>
      </c>
      <c r="Q1278" t="n">
        <v>0</v>
      </c>
      <c r="R1278" t="inlineStr">
        <is>
          <t>Operationnel</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row>
    <row r="1279">
      <c r="A1279" t="inlineStr">
        <is>
          <t>Elig-Essono</t>
        </is>
      </c>
      <c r="B1279" t="inlineStr">
        <is>
          <t>CTR_047</t>
        </is>
      </c>
      <c r="C1279" t="inlineStr">
        <is>
          <t>Yaounde</t>
        </is>
      </c>
      <c r="D1279" t="inlineStr">
        <is>
          <t>IHS</t>
        </is>
      </c>
      <c r="E1279" t="inlineStr">
        <is>
          <t>GridOnly</t>
        </is>
      </c>
      <c r="F1279" t="inlineStr">
        <is>
          <t>CENTRE</t>
        </is>
      </c>
      <c r="G1279" t="inlineStr">
        <is>
          <t>Yaounde</t>
        </is>
      </c>
      <c r="H1279" t="inlineStr">
        <is>
          <t>ZTE</t>
        </is>
      </c>
      <c r="I1279" t="n">
        <v>0</v>
      </c>
      <c r="J1279" t="n">
        <v>0</v>
      </c>
      <c r="K1279" t="n">
        <v>0.1088118128144322</v>
      </c>
      <c r="L1279" t="n">
        <v>0</v>
      </c>
      <c r="M1279" t="n">
        <v>0</v>
      </c>
      <c r="N1279" t="n">
        <v>0</v>
      </c>
      <c r="O1279" t="n">
        <v>0</v>
      </c>
      <c r="P1279" t="n">
        <v>0</v>
      </c>
      <c r="Q1279" t="n">
        <v>0</v>
      </c>
      <c r="R1279" t="inlineStr">
        <is>
          <t>Operationnel</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row>
    <row r="1280">
      <c r="A1280" t="inlineStr">
        <is>
          <t>H-Deputes</t>
        </is>
      </c>
      <c r="B1280" t="inlineStr">
        <is>
          <t>CTR_578</t>
        </is>
      </c>
      <c r="C1280" t="inlineStr">
        <is>
          <t>Yaounde</t>
        </is>
      </c>
      <c r="D1280" t="inlineStr">
        <is>
          <t>IHS</t>
        </is>
      </c>
      <c r="E1280" t="inlineStr"/>
      <c r="F1280" t="inlineStr">
        <is>
          <t>CENTRE</t>
        </is>
      </c>
      <c r="G1280" t="inlineStr">
        <is>
          <t>Yaounde</t>
        </is>
      </c>
      <c r="H1280" t="inlineStr">
        <is>
          <t>ZTE</t>
        </is>
      </c>
      <c r="I1280" t="n">
        <v>0</v>
      </c>
      <c r="J1280" t="n">
        <v>0</v>
      </c>
      <c r="K1280" t="n">
        <v>0.0941870485941679</v>
      </c>
      <c r="L1280" t="n">
        <v>0</v>
      </c>
      <c r="M1280" t="n">
        <v>0</v>
      </c>
      <c r="N1280" t="n">
        <v>0</v>
      </c>
      <c r="O1280" t="n">
        <v>0</v>
      </c>
      <c r="P1280" t="n">
        <v>0</v>
      </c>
      <c r="Q1280" t="n">
        <v>0</v>
      </c>
      <c r="R1280" t="inlineStr">
        <is>
          <t>Operationnel</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row>
    <row r="1281">
      <c r="A1281" t="inlineStr">
        <is>
          <t>Nkolbisson-Nodal</t>
        </is>
      </c>
      <c r="B1281" t="inlineStr">
        <is>
          <t>CTR_576</t>
        </is>
      </c>
      <c r="C1281" t="inlineStr">
        <is>
          <t>Yaounde</t>
        </is>
      </c>
      <c r="D1281" t="inlineStr"/>
      <c r="E1281" t="inlineStr"/>
      <c r="F1281" t="inlineStr">
        <is>
          <t>CENTRE</t>
        </is>
      </c>
      <c r="G1281" t="inlineStr">
        <is>
          <t>Yaounde</t>
        </is>
      </c>
      <c r="H1281" t="inlineStr">
        <is>
          <t>ZTE</t>
        </is>
      </c>
      <c r="I1281" t="n">
        <v>0</v>
      </c>
      <c r="J1281" t="n">
        <v>0</v>
      </c>
      <c r="K1281" t="n">
        <v>0.0900136402678974</v>
      </c>
      <c r="L1281" t="n">
        <v>0</v>
      </c>
      <c r="M1281" t="n">
        <v>0</v>
      </c>
      <c r="N1281" t="n">
        <v>0</v>
      </c>
      <c r="O1281" t="n">
        <v>0</v>
      </c>
      <c r="P1281" t="n">
        <v>0</v>
      </c>
      <c r="Q1281" t="n">
        <v>0</v>
      </c>
      <c r="R1281" t="inlineStr">
        <is>
          <t>Operationnel</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row>
    <row r="1282">
      <c r="A1282" t="inlineStr">
        <is>
          <t>Lokoti</t>
        </is>
      </c>
      <c r="B1282" t="inlineStr">
        <is>
          <t>ADM_051</t>
        </is>
      </c>
      <c r="C1282" t="inlineStr">
        <is>
          <t>ADAMAOUA</t>
        </is>
      </c>
      <c r="D1282" t="inlineStr">
        <is>
          <t>IHS</t>
        </is>
      </c>
      <c r="E1282" t="inlineStr">
        <is>
          <t>Solar-Grid-Gen</t>
        </is>
      </c>
      <c r="F1282" t="inlineStr">
        <is>
          <t>ADAMAOUA</t>
        </is>
      </c>
      <c r="G1282" t="inlineStr">
        <is>
          <t>Lokoti</t>
        </is>
      </c>
      <c r="H1282" t="inlineStr">
        <is>
          <t>NOKIA</t>
        </is>
      </c>
      <c r="I1282" t="n">
        <v>0</v>
      </c>
      <c r="J1282" t="n">
        <v>0.0002853612530783887</v>
      </c>
      <c r="K1282" t="n">
        <v>0.08705636192506375</v>
      </c>
      <c r="L1282" t="n">
        <v>0</v>
      </c>
      <c r="M1282" t="n">
        <v>0</v>
      </c>
      <c r="N1282" t="n">
        <v>0</v>
      </c>
      <c r="O1282" t="n">
        <v>0</v>
      </c>
      <c r="P1282" t="n">
        <v>0</v>
      </c>
      <c r="Q1282" t="n">
        <v>0</v>
      </c>
      <c r="R1282" t="inlineStr">
        <is>
          <t>Operationnel</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row>
    <row r="1283">
      <c r="A1283" t="inlineStr">
        <is>
          <t>Meiganga</t>
        </is>
      </c>
      <c r="B1283" t="inlineStr">
        <is>
          <t>ADM_004</t>
        </is>
      </c>
      <c r="C1283" t="inlineStr">
        <is>
          <t>ADAMAOUA</t>
        </is>
      </c>
      <c r="D1283" t="inlineStr">
        <is>
          <t>CAMUSAT</t>
        </is>
      </c>
      <c r="E1283" t="inlineStr">
        <is>
          <t>Bad Grid + Solar + GE</t>
        </is>
      </c>
      <c r="F1283" t="inlineStr">
        <is>
          <t>ADAMAOUA</t>
        </is>
      </c>
      <c r="G1283" t="inlineStr">
        <is>
          <t>Meiganga</t>
        </is>
      </c>
      <c r="H1283" t="inlineStr">
        <is>
          <t>HUAWEI</t>
        </is>
      </c>
      <c r="I1283" t="n">
        <v>0.01248455482217714</v>
      </c>
      <c r="J1283" t="n">
        <v>0</v>
      </c>
      <c r="K1283" t="n">
        <v>0.08337899113382587</v>
      </c>
      <c r="L1283" t="n">
        <v>0</v>
      </c>
      <c r="M1283" t="n">
        <v>0</v>
      </c>
      <c r="N1283" t="n">
        <v>0</v>
      </c>
      <c r="O1283" t="n">
        <v>0</v>
      </c>
      <c r="P1283" t="n">
        <v>0</v>
      </c>
      <c r="Q1283" t="n">
        <v>0</v>
      </c>
      <c r="R1283" t="inlineStr">
        <is>
          <t>Operationnel</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row>
    <row r="1284">
      <c r="A1284" t="inlineStr">
        <is>
          <t>Bfsam-Toungan-Lycee</t>
        </is>
      </c>
      <c r="B1284" t="inlineStr">
        <is>
          <t>OST_268</t>
        </is>
      </c>
      <c r="C1284" t="inlineStr">
        <is>
          <t>Bafoussam</t>
        </is>
      </c>
      <c r="D1284" t="inlineStr">
        <is>
          <t>CAMUSAT</t>
        </is>
      </c>
      <c r="E1284" t="inlineStr">
        <is>
          <t>Good Grid + GE</t>
        </is>
      </c>
      <c r="F1284" t="inlineStr">
        <is>
          <t>OUEST</t>
        </is>
      </c>
      <c r="G1284" t="inlineStr">
        <is>
          <t>Bafoussam</t>
        </is>
      </c>
      <c r="H1284" t="inlineStr">
        <is>
          <t>Huawei</t>
        </is>
      </c>
      <c r="I1284" t="n">
        <v>0.09557818470292466</v>
      </c>
      <c r="J1284" t="n">
        <v>0.05207842868679605</v>
      </c>
      <c r="K1284" t="n">
        <v>0.05849905688105857</v>
      </c>
      <c r="L1284" t="n">
        <v>0</v>
      </c>
      <c r="M1284" t="n">
        <v>0</v>
      </c>
      <c r="N1284" t="n">
        <v>0</v>
      </c>
      <c r="O1284" t="n">
        <v>0</v>
      </c>
      <c r="P1284" t="n">
        <v>0</v>
      </c>
      <c r="Q1284" t="n">
        <v>0</v>
      </c>
      <c r="R1284" t="inlineStr">
        <is>
          <t>Operationnel</t>
        </is>
      </c>
      <c r="S1284" t="inlineStr"/>
      <c r="T1284" t="inlineStr"/>
      <c r="U1284" t="inlineStr"/>
      <c r="V1284" t="inlineStr"/>
      <c r="W1284" t="inlineStr"/>
      <c r="X1284" t="inlineStr">
        <is>
          <t xml:space="preserve">{05-25-2026 retour CAMUSAT}: No power issue </t>
        </is>
      </c>
      <c r="Y1284" t="inlineStr">
        <is>
          <t>No power issue</t>
        </is>
      </c>
      <c r="Z1284" t="inlineStr"/>
      <c r="AA1284" t="inlineStr"/>
      <c r="AB1284" t="inlineStr"/>
      <c r="AC1284" t="inlineStr">
        <is>
          <t xml:space="preserve">{05-25-2026 retour CAMUSAT}: No power issue </t>
        </is>
      </c>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row>
    <row r="1285">
      <c r="A1285" t="inlineStr">
        <is>
          <t>Montee-Anne-Rouge</t>
        </is>
      </c>
      <c r="B1285" t="inlineStr">
        <is>
          <t>CTR_373</t>
        </is>
      </c>
      <c r="C1285" t="inlineStr">
        <is>
          <t>Yaounde</t>
        </is>
      </c>
      <c r="D1285" t="inlineStr">
        <is>
          <t>IHS</t>
        </is>
      </c>
      <c r="E1285" t="inlineStr">
        <is>
          <t>GridOnly</t>
        </is>
      </c>
      <c r="F1285" t="inlineStr">
        <is>
          <t>CENTRE</t>
        </is>
      </c>
      <c r="G1285" t="inlineStr">
        <is>
          <t>Yaounde</t>
        </is>
      </c>
      <c r="H1285" t="inlineStr">
        <is>
          <t>ZTE</t>
        </is>
      </c>
      <c r="I1285" t="n">
        <v>0</v>
      </c>
      <c r="J1285" t="n">
        <v>5.822368327183799</v>
      </c>
      <c r="K1285" t="n">
        <v>0.04708460675792468</v>
      </c>
      <c r="L1285" t="n">
        <v>0</v>
      </c>
      <c r="M1285" t="n">
        <v>0</v>
      </c>
      <c r="N1285" t="n">
        <v>0</v>
      </c>
      <c r="O1285" t="n">
        <v>0</v>
      </c>
      <c r="P1285" t="n">
        <v>0</v>
      </c>
      <c r="Q1285" t="n">
        <v>0</v>
      </c>
      <c r="R1285" t="inlineStr">
        <is>
          <t>Operationnel</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row>
    <row r="1286">
      <c r="A1286" t="inlineStr">
        <is>
          <t>CBC-Radio-II</t>
        </is>
      </c>
      <c r="B1286" t="inlineStr">
        <is>
          <t>CTR_821</t>
        </is>
      </c>
      <c r="C1286" t="inlineStr">
        <is>
          <t>Yaounde</t>
        </is>
      </c>
      <c r="D1286" t="inlineStr">
        <is>
          <t>CAMUSAT</t>
        </is>
      </c>
      <c r="E1286" t="inlineStr">
        <is>
          <t>Good Grid no GE - 8h</t>
        </is>
      </c>
      <c r="F1286" t="inlineStr">
        <is>
          <t>CENTRE</t>
        </is>
      </c>
      <c r="G1286" t="inlineStr">
        <is>
          <t>Yaounde</t>
        </is>
      </c>
      <c r="H1286" t="inlineStr">
        <is>
          <t>ZTE</t>
        </is>
      </c>
      <c r="I1286" t="n">
        <v>24.95523395342333</v>
      </c>
      <c r="J1286" t="n">
        <v>0</v>
      </c>
      <c r="K1286" t="n">
        <v>0.04708460675792468</v>
      </c>
      <c r="L1286" t="n">
        <v>0</v>
      </c>
      <c r="M1286" t="n">
        <v>0</v>
      </c>
      <c r="N1286" t="n">
        <v>0</v>
      </c>
      <c r="O1286" t="n">
        <v>0</v>
      </c>
      <c r="P1286" t="n">
        <v>0</v>
      </c>
      <c r="Q1286" t="n">
        <v>0</v>
      </c>
      <c r="R1286" t="inlineStr">
        <is>
          <t>Operationnel</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row>
    <row r="1287">
      <c r="A1287" t="inlineStr">
        <is>
          <t>Nodal</t>
        </is>
      </c>
      <c r="B1287" t="inlineStr">
        <is>
          <t>CTR_009</t>
        </is>
      </c>
      <c r="C1287" t="inlineStr">
        <is>
          <t>Yaounde</t>
        </is>
      </c>
      <c r="D1287" t="inlineStr">
        <is>
          <t>CAMUSAT</t>
        </is>
      </c>
      <c r="E1287" t="inlineStr">
        <is>
          <t>Good Grid + GE</t>
        </is>
      </c>
      <c r="F1287" t="inlineStr">
        <is>
          <t>CENTRE</t>
        </is>
      </c>
      <c r="G1287" t="inlineStr">
        <is>
          <t>Yaounde</t>
        </is>
      </c>
      <c r="H1287" t="inlineStr">
        <is>
          <t>ZTE</t>
        </is>
      </c>
      <c r="I1287" t="n">
        <v>0</v>
      </c>
      <c r="J1287" t="n">
        <v>0</v>
      </c>
      <c r="K1287" t="n">
        <v>0.04703110152297317</v>
      </c>
      <c r="L1287" t="n">
        <v>0</v>
      </c>
      <c r="M1287" t="n">
        <v>0</v>
      </c>
      <c r="N1287" t="n">
        <v>0</v>
      </c>
      <c r="O1287" t="n">
        <v>0</v>
      </c>
      <c r="P1287" t="n">
        <v>0</v>
      </c>
      <c r="Q1287" t="n">
        <v>0</v>
      </c>
      <c r="R1287" t="inlineStr">
        <is>
          <t>Operationnel</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row>
    <row r="1288">
      <c r="A1288" t="inlineStr">
        <is>
          <t>Mercure</t>
        </is>
      </c>
      <c r="B1288" t="inlineStr">
        <is>
          <t>CTR_014</t>
        </is>
      </c>
      <c r="C1288" t="inlineStr">
        <is>
          <t>Yaounde</t>
        </is>
      </c>
      <c r="D1288" t="inlineStr">
        <is>
          <t>IHS</t>
        </is>
      </c>
      <c r="E1288" t="inlineStr">
        <is>
          <t>Grid-Gen (LL)</t>
        </is>
      </c>
      <c r="F1288" t="inlineStr">
        <is>
          <t>CENTRE</t>
        </is>
      </c>
      <c r="G1288" t="inlineStr">
        <is>
          <t>Yaounde</t>
        </is>
      </c>
      <c r="H1288" t="inlineStr">
        <is>
          <t>ZTE</t>
        </is>
      </c>
      <c r="I1288" t="n">
        <v>0</v>
      </c>
      <c r="J1288" t="n">
        <v>0</v>
      </c>
      <c r="K1288" t="n">
        <v>0.04654955440840341</v>
      </c>
      <c r="L1288" t="n">
        <v>0</v>
      </c>
      <c r="M1288" t="n">
        <v>0</v>
      </c>
      <c r="N1288" t="n">
        <v>0</v>
      </c>
      <c r="O1288" t="n">
        <v>0</v>
      </c>
      <c r="P1288" t="n">
        <v>0</v>
      </c>
      <c r="Q1288" t="n">
        <v>0</v>
      </c>
      <c r="R1288" t="inlineStr">
        <is>
          <t>Operationnel</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row>
    <row r="1289">
      <c r="A1289" t="inlineStr">
        <is>
          <t>Nkolbisson-II</t>
        </is>
      </c>
      <c r="B1289" t="inlineStr">
        <is>
          <t>CTR_761</t>
        </is>
      </c>
      <c r="C1289" t="inlineStr">
        <is>
          <t>Yaounde</t>
        </is>
      </c>
      <c r="D1289" t="inlineStr">
        <is>
          <t>CAMUSAT</t>
        </is>
      </c>
      <c r="E1289" t="inlineStr">
        <is>
          <t>Good Grid + GE</t>
        </is>
      </c>
      <c r="F1289" t="inlineStr">
        <is>
          <t>CENTRE</t>
        </is>
      </c>
      <c r="G1289" t="inlineStr">
        <is>
          <t>Yaounde</t>
        </is>
      </c>
      <c r="H1289" t="inlineStr">
        <is>
          <t>ZTE</t>
        </is>
      </c>
      <c r="I1289" t="n">
        <v>27.05863174986374</v>
      </c>
      <c r="J1289" t="n">
        <v>0.6656051228052161</v>
      </c>
      <c r="K1289" t="n">
        <v>0.0401110911358234</v>
      </c>
      <c r="L1289" t="n">
        <v>0</v>
      </c>
      <c r="M1289" t="n">
        <v>0</v>
      </c>
      <c r="N1289" t="n">
        <v>0</v>
      </c>
      <c r="O1289" t="n">
        <v>0</v>
      </c>
      <c r="P1289" t="n">
        <v>0</v>
      </c>
      <c r="Q1289" t="n">
        <v>0</v>
      </c>
      <c r="R1289" t="inlineStr">
        <is>
          <t>Operationnel</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row>
    <row r="1290">
      <c r="A1290" t="inlineStr">
        <is>
          <t>Bafang-Chefferie</t>
        </is>
      </c>
      <c r="B1290" t="inlineStr">
        <is>
          <t>OST_099</t>
        </is>
      </c>
      <c r="C1290" t="inlineStr">
        <is>
          <t>OUEST</t>
        </is>
      </c>
      <c r="D1290" t="inlineStr">
        <is>
          <t>IHS</t>
        </is>
      </c>
      <c r="E1290" t="inlineStr">
        <is>
          <t>Grid-Gen</t>
        </is>
      </c>
      <c r="F1290" t="inlineStr">
        <is>
          <t>OUEST</t>
        </is>
      </c>
      <c r="G1290" t="inlineStr">
        <is>
          <t>Bafang</t>
        </is>
      </c>
      <c r="H1290" t="inlineStr">
        <is>
          <t>Huawei</t>
        </is>
      </c>
      <c r="I1290" t="n">
        <v>0</v>
      </c>
      <c r="J1290" t="n">
        <v>0</v>
      </c>
      <c r="K1290" t="n">
        <v>0.01150362551472036</v>
      </c>
      <c r="L1290" t="n">
        <v>0</v>
      </c>
      <c r="M1290" t="n">
        <v>0</v>
      </c>
      <c r="N1290" t="n">
        <v>0</v>
      </c>
      <c r="O1290" t="n">
        <v>0</v>
      </c>
      <c r="P1290" t="n">
        <v>0</v>
      </c>
      <c r="Q1290" t="n">
        <v>0</v>
      </c>
      <c r="R1290" t="inlineStr">
        <is>
          <t>Operationnel</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row>
    <row r="1291">
      <c r="A1291" t="inlineStr">
        <is>
          <t>CTR_702_Z_Hilton-Indoor-0F</t>
        </is>
      </c>
      <c r="B1291" t="inlineStr">
        <is>
          <t>CTR_702_indoor_0F</t>
        </is>
      </c>
      <c r="C1291" t="inlineStr">
        <is>
          <t>Yaounde</t>
        </is>
      </c>
      <c r="D1291" t="inlineStr"/>
      <c r="E1291" t="inlineStr"/>
      <c r="F1291" t="inlineStr">
        <is>
          <t>CTR</t>
        </is>
      </c>
      <c r="G1291" t="inlineStr">
        <is>
          <t>Yaounde</t>
        </is>
      </c>
      <c r="H1291" t="inlineStr">
        <is>
          <t>ZTE</t>
        </is>
      </c>
      <c r="I1291" t="n">
        <v>0</v>
      </c>
      <c r="J1291" t="n">
        <v>0</v>
      </c>
      <c r="K1291" t="n">
        <v>0.01064754175548531</v>
      </c>
      <c r="L1291" t="n">
        <v>0</v>
      </c>
      <c r="M1291" t="n">
        <v>0</v>
      </c>
      <c r="N1291" t="n">
        <v>0</v>
      </c>
      <c r="O1291" t="n">
        <v>0</v>
      </c>
      <c r="P1291" t="n">
        <v>0</v>
      </c>
      <c r="Q1291" t="n">
        <v>0</v>
      </c>
      <c r="R1291" t="inlineStr">
        <is>
          <t>Operationnel</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row>
    <row r="1292">
      <c r="A1292" t="inlineStr">
        <is>
          <t>Bafang-Hotel-IHS</t>
        </is>
      </c>
      <c r="B1292" t="inlineStr">
        <is>
          <t>OST_222</t>
        </is>
      </c>
      <c r="C1292" t="inlineStr">
        <is>
          <t>OUEST</t>
        </is>
      </c>
      <c r="D1292" t="inlineStr">
        <is>
          <t>IHS</t>
        </is>
      </c>
      <c r="E1292" t="inlineStr">
        <is>
          <t>Grid-Gen</t>
        </is>
      </c>
      <c r="F1292" t="inlineStr">
        <is>
          <t>OUEST</t>
        </is>
      </c>
      <c r="G1292" t="inlineStr">
        <is>
          <t>Bafang</t>
        </is>
      </c>
      <c r="H1292" t="inlineStr">
        <is>
          <t>Huawei</t>
        </is>
      </c>
      <c r="I1292" t="n">
        <v>0</v>
      </c>
      <c r="J1292" t="n">
        <v>0</v>
      </c>
      <c r="K1292" t="n">
        <v>0.002496910964435427</v>
      </c>
      <c r="L1292" t="n">
        <v>0</v>
      </c>
      <c r="M1292" t="n">
        <v>0</v>
      </c>
      <c r="N1292" t="n">
        <v>0</v>
      </c>
      <c r="O1292" t="n">
        <v>0</v>
      </c>
      <c r="P1292" t="n">
        <v>0</v>
      </c>
      <c r="Q1292" t="n">
        <v>0</v>
      </c>
      <c r="R1292" t="inlineStr">
        <is>
          <t>Operationnel</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row>
    <row r="1293">
      <c r="A1293" t="inlineStr">
        <is>
          <t>Tete-d-elephant-Camrail</t>
        </is>
      </c>
      <c r="B1293" t="inlineStr">
        <is>
          <t>EST_104</t>
        </is>
      </c>
      <c r="C1293" t="inlineStr">
        <is>
          <t>CENTRE</t>
        </is>
      </c>
      <c r="D1293" t="inlineStr">
        <is>
          <t>CAMUSAT</t>
        </is>
      </c>
      <c r="E1293" t="inlineStr">
        <is>
          <t>Hybrid Solar - S3</t>
        </is>
      </c>
      <c r="F1293" t="inlineStr">
        <is>
          <t>EST</t>
        </is>
      </c>
      <c r="G1293" t="inlineStr">
        <is>
          <t>Tete-d-elephant</t>
        </is>
      </c>
      <c r="H1293" t="inlineStr">
        <is>
          <t>NOKIA</t>
        </is>
      </c>
      <c r="I1293" t="n">
        <v>0.002140209398087501</v>
      </c>
      <c r="J1293" t="n">
        <v>0.001605157048565883</v>
      </c>
      <c r="K1293" t="n">
        <v>0.001605157048565883</v>
      </c>
      <c r="L1293" t="n">
        <v>0</v>
      </c>
      <c r="M1293" t="n">
        <v>0</v>
      </c>
      <c r="N1293" t="n">
        <v>0</v>
      </c>
      <c r="O1293" t="n">
        <v>0</v>
      </c>
      <c r="P1293" t="n">
        <v>0</v>
      </c>
      <c r="Q1293" t="n">
        <v>0</v>
      </c>
      <c r="R1293" t="inlineStr">
        <is>
          <t>Operationnel</t>
        </is>
      </c>
      <c r="S1293" t="inlineStr"/>
      <c r="T1293" t="inlineStr"/>
      <c r="U1293" t="inlineStr"/>
      <c r="V1293" t="inlineStr"/>
      <c r="W1293" t="inlineStr"/>
      <c r="X1293" t="inlineStr">
        <is>
          <t xml:space="preserve">{05-25-2026 retour CAMUSAT}: No power issue </t>
        </is>
      </c>
      <c r="Y1293" t="inlineStr">
        <is>
          <t>No power issue</t>
        </is>
      </c>
      <c r="Z1293" t="inlineStr"/>
      <c r="AA1293" t="inlineStr"/>
      <c r="AB1293" t="inlineStr"/>
      <c r="AC1293" t="inlineStr">
        <is>
          <t xml:space="preserve">{05-25-2026 retour CAMUSAT}: No power issue </t>
        </is>
      </c>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row>
    <row r="1294">
      <c r="A1294" t="inlineStr">
        <is>
          <t>Bafang-Centre</t>
        </is>
      </c>
      <c r="B1294" t="inlineStr">
        <is>
          <t>OST_126</t>
        </is>
      </c>
      <c r="C1294" t="inlineStr">
        <is>
          <t>OUEST</t>
        </is>
      </c>
      <c r="D1294" t="inlineStr">
        <is>
          <t>IHS</t>
        </is>
      </c>
      <c r="E1294" t="inlineStr">
        <is>
          <t>Grid Only</t>
        </is>
      </c>
      <c r="F1294" t="inlineStr">
        <is>
          <t>OUEST</t>
        </is>
      </c>
      <c r="G1294" t="inlineStr">
        <is>
          <t>Bafang</t>
        </is>
      </c>
      <c r="H1294" t="inlineStr">
        <is>
          <t>Huawei</t>
        </is>
      </c>
      <c r="I1294" t="n">
        <v>0.0002675261747609386</v>
      </c>
      <c r="J1294" t="n">
        <v>0</v>
      </c>
      <c r="K1294" t="n">
        <v>0.001070104699043754</v>
      </c>
      <c r="L1294" t="n">
        <v>0</v>
      </c>
      <c r="M1294" t="n">
        <v>0</v>
      </c>
      <c r="N1294" t="n">
        <v>0</v>
      </c>
      <c r="O1294" t="n">
        <v>0</v>
      </c>
      <c r="P1294" t="n">
        <v>0</v>
      </c>
      <c r="Q1294" t="n">
        <v>0</v>
      </c>
      <c r="R1294" t="inlineStr">
        <is>
          <t>Operationnel</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row>
    <row r="1295">
      <c r="A1295" t="inlineStr">
        <is>
          <t>Crf-Nkolbisson</t>
        </is>
      </c>
      <c r="B1295" t="inlineStr">
        <is>
          <t>CTR_256</t>
        </is>
      </c>
      <c r="C1295" t="inlineStr">
        <is>
          <t>Yaounde</t>
        </is>
      </c>
      <c r="D1295" t="inlineStr">
        <is>
          <t>IHS</t>
        </is>
      </c>
      <c r="E1295" t="inlineStr">
        <is>
          <t>Grid-Gen</t>
        </is>
      </c>
      <c r="F1295" t="inlineStr">
        <is>
          <t>CENTRE</t>
        </is>
      </c>
      <c r="G1295" t="inlineStr">
        <is>
          <t>Yaounde</t>
        </is>
      </c>
      <c r="H1295" t="inlineStr">
        <is>
          <t>ZTE</t>
        </is>
      </c>
      <c r="I1295" t="n">
        <v>0</v>
      </c>
      <c r="J1295" t="n">
        <v>0</v>
      </c>
      <c r="K1295" t="n">
        <v>0.0001070104699043754</v>
      </c>
      <c r="L1295" t="n">
        <v>0</v>
      </c>
      <c r="M1295" t="n">
        <v>0</v>
      </c>
      <c r="N1295" t="n">
        <v>0</v>
      </c>
      <c r="O1295" t="n">
        <v>0</v>
      </c>
      <c r="P1295" t="n">
        <v>0</v>
      </c>
      <c r="Q1295" t="n">
        <v>0</v>
      </c>
      <c r="R1295" t="inlineStr">
        <is>
          <t>Operationnel</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row>
    <row r="1296">
      <c r="A1296" t="inlineStr">
        <is>
          <t>Garoua-Camp-Chinois-IHS</t>
        </is>
      </c>
      <c r="B1296" t="inlineStr">
        <is>
          <t>NRD_073</t>
        </is>
      </c>
      <c r="C1296" t="inlineStr">
        <is>
          <t>Garoua</t>
        </is>
      </c>
      <c r="D1296" t="inlineStr">
        <is>
          <t>IHS</t>
        </is>
      </c>
      <c r="E1296" t="inlineStr">
        <is>
          <t>Grid-Gen</t>
        </is>
      </c>
      <c r="F1296" t="inlineStr">
        <is>
          <t>NORD</t>
        </is>
      </c>
      <c r="G1296" t="inlineStr">
        <is>
          <t>Garoua</t>
        </is>
      </c>
      <c r="H1296" t="inlineStr">
        <is>
          <t>Huawei</t>
        </is>
      </c>
      <c r="I1296" t="n">
        <v>0</v>
      </c>
      <c r="J1296" t="n">
        <v>0</v>
      </c>
      <c r="K1296" t="n">
        <v>8.917539158697954e-05</v>
      </c>
      <c r="L1296" t="n">
        <v>0</v>
      </c>
      <c r="M1296" t="n">
        <v>0</v>
      </c>
      <c r="N1296" t="n">
        <v>0</v>
      </c>
      <c r="O1296" t="n">
        <v>0</v>
      </c>
      <c r="P1296" t="n">
        <v>0</v>
      </c>
      <c r="Q1296" t="n">
        <v>0</v>
      </c>
      <c r="R1296" t="inlineStr">
        <is>
          <t>Operationnel</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row>
    <row r="1297">
      <c r="A1297" t="inlineStr">
        <is>
          <t>Mboppi-Market-IHS</t>
        </is>
      </c>
      <c r="B1297" t="inlineStr">
        <is>
          <t>LIT_761</t>
        </is>
      </c>
      <c r="C1297" t="inlineStr">
        <is>
          <t>Douala</t>
        </is>
      </c>
      <c r="D1297" t="inlineStr">
        <is>
          <t>IHS</t>
        </is>
      </c>
      <c r="E1297" t="inlineStr">
        <is>
          <t xml:space="preserve">Grid Gen </t>
        </is>
      </c>
      <c r="F1297" t="inlineStr">
        <is>
          <t>LITTORAL</t>
        </is>
      </c>
      <c r="G1297" t="inlineStr">
        <is>
          <t>Douala</t>
        </is>
      </c>
      <c r="H1297" t="inlineStr">
        <is>
          <t>ZTE</t>
        </is>
      </c>
      <c r="I1297" t="n">
        <v>0</v>
      </c>
      <c r="J1297" t="n">
        <v>0</v>
      </c>
      <c r="K1297" t="n">
        <v>5.789686046592889e-17</v>
      </c>
      <c r="L1297" t="n">
        <v>0</v>
      </c>
      <c r="M1297" t="n">
        <v>0</v>
      </c>
      <c r="N1297" t="n">
        <v>0</v>
      </c>
      <c r="O1297" t="n">
        <v>0</v>
      </c>
      <c r="P1297" t="n">
        <v>0</v>
      </c>
      <c r="Q1297" t="n">
        <v>0</v>
      </c>
      <c r="R1297" t="inlineStr">
        <is>
          <t>Operationnel</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row>
    <row r="1298">
      <c r="A1298" t="inlineStr">
        <is>
          <t>Boko-IHS</t>
        </is>
      </c>
      <c r="B1298" t="inlineStr">
        <is>
          <t>LIT_633</t>
        </is>
      </c>
      <c r="C1298" t="inlineStr">
        <is>
          <t>Douala</t>
        </is>
      </c>
      <c r="D1298" t="inlineStr">
        <is>
          <t>IHS</t>
        </is>
      </c>
      <c r="E1298" t="inlineStr">
        <is>
          <t>Grid-Gen</t>
        </is>
      </c>
      <c r="F1298" t="inlineStr">
        <is>
          <t>LITTORAL</t>
        </is>
      </c>
      <c r="G1298" t="inlineStr">
        <is>
          <t>Douala</t>
        </is>
      </c>
      <c r="H1298" t="inlineStr">
        <is>
          <t>ZTE</t>
        </is>
      </c>
      <c r="I1298" t="n">
        <v>14.22199464662289</v>
      </c>
      <c r="J1298" t="n">
        <v>40.40230229458985</v>
      </c>
      <c r="K1298" t="n">
        <v>0</v>
      </c>
      <c r="L1298" t="n">
        <v>0</v>
      </c>
      <c r="M1298" t="n">
        <v>0</v>
      </c>
      <c r="N1298" t="n">
        <v>0</v>
      </c>
      <c r="O1298" t="n">
        <v>0</v>
      </c>
      <c r="P1298" t="n">
        <v>0</v>
      </c>
      <c r="Q1298" t="n">
        <v>0</v>
      </c>
      <c r="R1298" t="inlineStr">
        <is>
          <t>Operationnel</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row>
    <row r="1299">
      <c r="A1299" t="inlineStr">
        <is>
          <t>Bepanda</t>
        </is>
      </c>
      <c r="B1299" t="inlineStr">
        <is>
          <t>LIT_050</t>
        </is>
      </c>
      <c r="C1299" t="inlineStr">
        <is>
          <t>Douala</t>
        </is>
      </c>
      <c r="D1299" t="inlineStr">
        <is>
          <t>IHS</t>
        </is>
      </c>
      <c r="E1299" t="inlineStr">
        <is>
          <t>GridOnly</t>
        </is>
      </c>
      <c r="F1299" t="inlineStr">
        <is>
          <t>LITTORAL</t>
        </is>
      </c>
      <c r="G1299" t="inlineStr">
        <is>
          <t>Douala</t>
        </is>
      </c>
      <c r="H1299" t="inlineStr">
        <is>
          <t>ZTE</t>
        </is>
      </c>
      <c r="I1299" t="n">
        <v>13.86855689960706</v>
      </c>
      <c r="J1299" t="n">
        <v>38.72662534635721</v>
      </c>
      <c r="K1299" t="n">
        <v>0</v>
      </c>
      <c r="L1299" t="n">
        <v>0</v>
      </c>
      <c r="M1299" t="n">
        <v>0</v>
      </c>
      <c r="N1299" t="n">
        <v>0</v>
      </c>
      <c r="O1299" t="n">
        <v>0</v>
      </c>
      <c r="P1299" t="n">
        <v>0</v>
      </c>
      <c r="Q1299" t="n">
        <v>0</v>
      </c>
      <c r="R1299" t="inlineStr">
        <is>
          <t>Operationnel</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row>
    <row r="1300">
      <c r="A1300" t="inlineStr">
        <is>
          <t>Lendi-II</t>
        </is>
      </c>
      <c r="B1300" t="inlineStr">
        <is>
          <t>LIT_582</t>
        </is>
      </c>
      <c r="C1300" t="inlineStr">
        <is>
          <t>Douala</t>
        </is>
      </c>
      <c r="D1300" t="inlineStr">
        <is>
          <t>CAMUSAT</t>
        </is>
      </c>
      <c r="E1300" t="inlineStr">
        <is>
          <t>Good Grid + GE</t>
        </is>
      </c>
      <c r="F1300" t="inlineStr">
        <is>
          <t>LITTORAL</t>
        </is>
      </c>
      <c r="G1300" t="inlineStr">
        <is>
          <t>Douala</t>
        </is>
      </c>
      <c r="H1300" t="inlineStr">
        <is>
          <t>ZTE</t>
        </is>
      </c>
      <c r="I1300" t="n">
        <v>8.030333187799092</v>
      </c>
      <c r="J1300" t="n">
        <v>35.82881749150337</v>
      </c>
      <c r="K1300" t="n">
        <v>0</v>
      </c>
      <c r="L1300" t="n">
        <v>0</v>
      </c>
      <c r="M1300" t="n">
        <v>0</v>
      </c>
      <c r="N1300" t="n">
        <v>0</v>
      </c>
      <c r="O1300" t="n">
        <v>0</v>
      </c>
      <c r="P1300" t="n">
        <v>0</v>
      </c>
      <c r="Q1300" t="n">
        <v>0</v>
      </c>
      <c r="R1300" t="inlineStr">
        <is>
          <t>Operationnel</t>
        </is>
      </c>
      <c r="S1300" t="inlineStr"/>
      <c r="T1300" t="inlineStr"/>
      <c r="U1300" t="inlineStr"/>
      <c r="V1300" t="inlineStr"/>
      <c r="W1300" t="inlineStr"/>
      <c r="X1300" t="inlineStr">
        <is>
          <t>{05-25-2026 retour CAMUSAT}: Site impacté par son porteur LIT_774_Z_Lendi-Chefferie</t>
        </is>
      </c>
      <c r="Y1300" t="inlineStr">
        <is>
          <t>Site impacté par son porteur LIT_774_Z_Lendi-Chefferie</t>
        </is>
      </c>
      <c r="Z1300" t="inlineStr"/>
      <c r="AA1300" t="inlineStr"/>
      <c r="AB1300" t="inlineStr"/>
      <c r="AC1300" t="inlineStr">
        <is>
          <t>{05-25-2026 retour CAMUSAT}: Site impacté par son porteur LIT_774_Z_Lendi-Chefferie</t>
        </is>
      </c>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row>
    <row r="1301">
      <c r="A1301" t="inlineStr">
        <is>
          <t>Kribi-Bassiki</t>
        </is>
      </c>
      <c r="B1301" t="inlineStr">
        <is>
          <t>SUD_071</t>
        </is>
      </c>
      <c r="C1301" t="inlineStr">
        <is>
          <t>CENTRE</t>
        </is>
      </c>
      <c r="D1301" t="inlineStr">
        <is>
          <t>CAMUSAT</t>
        </is>
      </c>
      <c r="E1301" t="inlineStr">
        <is>
          <t>Good Grid no GE - 8h</t>
        </is>
      </c>
      <c r="F1301" t="inlineStr">
        <is>
          <t>SUD</t>
        </is>
      </c>
      <c r="G1301" t="inlineStr">
        <is>
          <t>Kribi</t>
        </is>
      </c>
      <c r="H1301" t="inlineStr">
        <is>
          <t>ZTE</t>
        </is>
      </c>
      <c r="I1301" t="n">
        <v>23.11426149934509</v>
      </c>
      <c r="J1301" t="n">
        <v>17.1129895015595</v>
      </c>
      <c r="K1301" t="n">
        <v>0</v>
      </c>
      <c r="L1301" t="n">
        <v>0</v>
      </c>
      <c r="M1301" t="n">
        <v>0</v>
      </c>
      <c r="N1301" t="n">
        <v>0</v>
      </c>
      <c r="O1301" t="n">
        <v>0</v>
      </c>
      <c r="P1301" t="n">
        <v>0</v>
      </c>
      <c r="Q1301" t="n">
        <v>0</v>
      </c>
      <c r="R1301" t="inlineStr">
        <is>
          <t>Operationnel</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row>
    <row r="1302">
      <c r="A1302" t="inlineStr">
        <is>
          <t>Ndogpassi-Lycee-II</t>
        </is>
      </c>
      <c r="B1302" t="inlineStr">
        <is>
          <t>LIT_409</t>
        </is>
      </c>
      <c r="C1302" t="inlineStr">
        <is>
          <t>Douala</t>
        </is>
      </c>
      <c r="D1302" t="inlineStr">
        <is>
          <t>IHS</t>
        </is>
      </c>
      <c r="E1302" t="inlineStr">
        <is>
          <t>Grid-Gen</t>
        </is>
      </c>
      <c r="F1302" t="inlineStr">
        <is>
          <t>LITTORAL</t>
        </is>
      </c>
      <c r="G1302" t="inlineStr">
        <is>
          <t>Douala</t>
        </is>
      </c>
      <c r="H1302" t="inlineStr">
        <is>
          <t>ZTE</t>
        </is>
      </c>
      <c r="I1302" t="n">
        <v>9.143224239726282</v>
      </c>
      <c r="J1302" t="n">
        <v>15.31763917781715</v>
      </c>
      <c r="K1302" t="n">
        <v>0</v>
      </c>
      <c r="L1302" t="n">
        <v>0</v>
      </c>
      <c r="M1302" t="n">
        <v>0</v>
      </c>
      <c r="N1302" t="n">
        <v>0</v>
      </c>
      <c r="O1302" t="n">
        <v>0</v>
      </c>
      <c r="P1302" t="n">
        <v>0</v>
      </c>
      <c r="Q1302" t="n">
        <v>0</v>
      </c>
      <c r="R1302" t="inlineStr">
        <is>
          <t>Operationnel</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row>
    <row r="1303">
      <c r="A1303" t="inlineStr">
        <is>
          <t>PK11</t>
        </is>
      </c>
      <c r="B1303" t="inlineStr">
        <is>
          <t>LIT_128</t>
        </is>
      </c>
      <c r="C1303" t="inlineStr">
        <is>
          <t>Douala</t>
        </is>
      </c>
      <c r="D1303" t="inlineStr">
        <is>
          <t>IHS</t>
        </is>
      </c>
      <c r="E1303" t="inlineStr">
        <is>
          <t>Grid-Gen</t>
        </is>
      </c>
      <c r="F1303" t="inlineStr">
        <is>
          <t>LITTORAL</t>
        </is>
      </c>
      <c r="G1303" t="inlineStr">
        <is>
          <t>Douala</t>
        </is>
      </c>
      <c r="H1303" t="inlineStr">
        <is>
          <t>ZTE</t>
        </is>
      </c>
      <c r="I1303" t="n">
        <v>4.755634457942031</v>
      </c>
      <c r="J1303" t="n">
        <v>14.60282707393424</v>
      </c>
      <c r="K1303" t="n">
        <v>0</v>
      </c>
      <c r="L1303" t="n">
        <v>0</v>
      </c>
      <c r="M1303" t="n">
        <v>0</v>
      </c>
      <c r="N1303" t="n">
        <v>0</v>
      </c>
      <c r="O1303" t="n">
        <v>0</v>
      </c>
      <c r="P1303" t="n">
        <v>0</v>
      </c>
      <c r="Q1303" t="n">
        <v>0</v>
      </c>
      <c r="R1303" t="inlineStr">
        <is>
          <t>Operationnel</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row>
    <row r="1304">
      <c r="A1304" t="inlineStr">
        <is>
          <t>Yambong</t>
        </is>
      </c>
      <c r="B1304" t="inlineStr">
        <is>
          <t>LIT_365</t>
        </is>
      </c>
      <c r="C1304" t="inlineStr">
        <is>
          <t>Douala</t>
        </is>
      </c>
      <c r="D1304" t="inlineStr">
        <is>
          <t>IHS</t>
        </is>
      </c>
      <c r="E1304" t="inlineStr">
        <is>
          <t>Grid-Gen</t>
        </is>
      </c>
      <c r="F1304" t="inlineStr">
        <is>
          <t>LITTORAL</t>
        </is>
      </c>
      <c r="G1304" t="inlineStr">
        <is>
          <t>Douala</t>
        </is>
      </c>
      <c r="H1304" t="inlineStr">
        <is>
          <t>ZTE</t>
        </is>
      </c>
      <c r="I1304" t="n">
        <v>2.920511909551898</v>
      </c>
      <c r="J1304" t="n">
        <v>14.46835058342108</v>
      </c>
      <c r="K1304" t="n">
        <v>0</v>
      </c>
      <c r="L1304" t="n">
        <v>0</v>
      </c>
      <c r="M1304" t="n">
        <v>0</v>
      </c>
      <c r="N1304" t="n">
        <v>0</v>
      </c>
      <c r="O1304" t="n">
        <v>0</v>
      </c>
      <c r="P1304" t="n">
        <v>0</v>
      </c>
      <c r="Q1304" t="n">
        <v>0</v>
      </c>
      <c r="R1304" t="inlineStr">
        <is>
          <t>Operationnel</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row>
    <row r="1305">
      <c r="A1305" t="inlineStr">
        <is>
          <t>Boko-Hospital-IHS</t>
        </is>
      </c>
      <c r="B1305" t="inlineStr">
        <is>
          <t>LIT_632</t>
        </is>
      </c>
      <c r="C1305" t="inlineStr">
        <is>
          <t>Douala</t>
        </is>
      </c>
      <c r="D1305" t="inlineStr">
        <is>
          <t>IHS</t>
        </is>
      </c>
      <c r="E1305" t="inlineStr">
        <is>
          <t>Grid-Gen</t>
        </is>
      </c>
      <c r="F1305" t="inlineStr">
        <is>
          <t>LITTORAL</t>
        </is>
      </c>
      <c r="G1305" t="inlineStr">
        <is>
          <t>Douala</t>
        </is>
      </c>
      <c r="H1305" t="inlineStr">
        <is>
          <t>ZTE</t>
        </is>
      </c>
      <c r="I1305" t="n">
        <v>1.628770692257864</v>
      </c>
      <c r="J1305" t="n">
        <v>14.24188075894679</v>
      </c>
      <c r="K1305" t="n">
        <v>0</v>
      </c>
      <c r="L1305" t="n">
        <v>0</v>
      </c>
      <c r="M1305" t="n">
        <v>0</v>
      </c>
      <c r="N1305" t="n">
        <v>0</v>
      </c>
      <c r="O1305" t="n">
        <v>0</v>
      </c>
      <c r="P1305" t="n">
        <v>0</v>
      </c>
      <c r="Q1305" t="n">
        <v>0</v>
      </c>
      <c r="R1305" t="inlineStr">
        <is>
          <t>Operationnel</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row>
    <row r="1306">
      <c r="A1306" t="inlineStr">
        <is>
          <t>Gra-Foulbere-Moussa-yaya</t>
        </is>
      </c>
      <c r="B1306" t="inlineStr">
        <is>
          <t>NRD_101</t>
        </is>
      </c>
      <c r="C1306" t="inlineStr">
        <is>
          <t>Garoua</t>
        </is>
      </c>
      <c r="D1306" t="inlineStr">
        <is>
          <t>IHS</t>
        </is>
      </c>
      <c r="E1306" t="inlineStr">
        <is>
          <t>Grid-Gen</t>
        </is>
      </c>
      <c r="F1306" t="inlineStr">
        <is>
          <t>NORD</t>
        </is>
      </c>
      <c r="G1306" t="inlineStr">
        <is>
          <t>Garoua</t>
        </is>
      </c>
      <c r="H1306" t="inlineStr">
        <is>
          <t>Huawei</t>
        </is>
      </c>
      <c r="I1306" t="n">
        <v>0.4262227016291274</v>
      </c>
      <c r="J1306" t="n">
        <v>13.33712507098361</v>
      </c>
      <c r="K1306" t="n">
        <v>0</v>
      </c>
      <c r="L1306" t="n">
        <v>0</v>
      </c>
      <c r="M1306" t="n">
        <v>0</v>
      </c>
      <c r="N1306" t="n">
        <v>0</v>
      </c>
      <c r="O1306" t="n">
        <v>0</v>
      </c>
      <c r="P1306" t="n">
        <v>0</v>
      </c>
      <c r="Q1306" t="n">
        <v>0</v>
      </c>
      <c r="R1306" t="inlineStr">
        <is>
          <t>Operationnel</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row>
    <row r="1307">
      <c r="A1307" t="inlineStr">
        <is>
          <t>Batchenga</t>
        </is>
      </c>
      <c r="B1307" t="inlineStr">
        <is>
          <t>CTR_032</t>
        </is>
      </c>
      <c r="C1307" t="inlineStr">
        <is>
          <t>CENTRE</t>
        </is>
      </c>
      <c r="D1307" t="inlineStr">
        <is>
          <t>CAMUSAT</t>
        </is>
      </c>
      <c r="E1307" t="inlineStr">
        <is>
          <t>Medium Grid + Solar + GE</t>
        </is>
      </c>
      <c r="F1307" t="inlineStr">
        <is>
          <t>CENTRE</t>
        </is>
      </c>
      <c r="G1307" t="inlineStr">
        <is>
          <t>Batchenga</t>
        </is>
      </c>
      <c r="H1307" t="inlineStr">
        <is>
          <t>NOKIA</t>
        </is>
      </c>
      <c r="I1307" t="n">
        <v>0</v>
      </c>
      <c r="J1307" t="n">
        <v>12.33153689179453</v>
      </c>
      <c r="K1307" t="n">
        <v>0</v>
      </c>
      <c r="L1307" t="n">
        <v>0</v>
      </c>
      <c r="M1307" t="n">
        <v>0</v>
      </c>
      <c r="N1307" t="n">
        <v>0</v>
      </c>
      <c r="O1307" t="n">
        <v>0</v>
      </c>
      <c r="P1307" t="n">
        <v>0</v>
      </c>
      <c r="Q1307" t="n">
        <v>0</v>
      </c>
      <c r="R1307" t="inlineStr">
        <is>
          <t>Operationnel</t>
        </is>
      </c>
      <c r="S1307" t="inlineStr"/>
      <c r="T1307" t="inlineStr"/>
      <c r="U1307" t="inlineStr"/>
      <c r="V1307" t="inlineStr"/>
      <c r="W1307" t="inlineStr"/>
      <c r="X1307" t="inlineStr">
        <is>
          <t xml:space="preserve">{05/25/2026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    {05/25/2026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    {05/25/2026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t>
        </is>
      </c>
      <c r="Y1307" t="inlineStr">
        <is>
          <t>25/05/2026 Un mail a ete envoyer au BO pour plus d'analyse.
23/05/2026 Power issue
22/05/2026 Feedback BO Gnoc Ce site a connu une grosse instabilité power entre le 18 et le 20/05 (baisse des tensions perçue au niveau des modules radio). Jusqu’à présent les tensions restent toujours basses.
Bien vouloir interpeller le powerco de ce site pour une stabilisation de l’énergie.
21/05/2026 Le FME s'etait rendusur le site mais apres intervention l'alarme persiste toujours. Le site a ete renvoyer au BO GNOC pour une analyses precise et pour avoir de nouvelle recommandation || En attente du feedback du BO RAN
25/05/2026 Un mail a ete envoyer au BO pour plus d'analyse.
23/05/2026 Power issue
22/05/2026 Feedback BO Gnoc Ce site a connu une grosse instabilité power entre le 18 et le 20/05 (baisse des tensions perçue au niveau des modules radio). Jusqu’à présent les tensions restent toujours basses.
Bien vouloir interpeller le powerco de ce site pour une stabilisation de l’énergie.
21/05/2026 Le FME s'etait rendusur le site mais apres intervention l'alarme persiste toujours. Le site a ete renvoyer au BO GNOC pour une analyses precise et pour avoir de nouvelle recommandation || En attente du feedback du BO RAN
25/05/2026 Un mail a ete envoyer au BO pour plus d'analyse.
23/05/2026 Power issue
22/05/2026 Feedback BO Gnoc Ce site a connu une grosse instabilité power entre le 18 et le 20/05 (baisse des tensions perçue au niveau des modules radio). Jusqu’à présent les tensions restent toujours basses.
Bien vouloir interpeller le powerco de ce site pour une stabilisation de l’énergie.
21/05/2026 Le FME s'etait rendusur le site mais apres intervention l'alarme persiste toujours. Le site a ete renvoyer au BO GNOC pour une analyses precise et pour avoir de nouvelle recommandation || En attente du feedback du BO RAN</t>
        </is>
      </c>
      <c r="Z1307" t="inlineStr"/>
      <c r="AA1307" t="inlineStr"/>
      <c r="AB1307" t="inlineStr"/>
      <c r="AC1307" t="inlineStr"/>
      <c r="AD1307" t="inlineStr"/>
      <c r="AE1307" t="inlineStr"/>
      <c r="AF1307" t="inlineStr">
        <is>
          <t xml:space="preserve">{05/25/2026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t>
        </is>
      </c>
      <c r="AG1307" t="inlineStr">
        <is>
          <t xml:space="preserve">{05/25/2026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t>
        </is>
      </c>
      <c r="AH1307" t="inlineStr">
        <is>
          <t xml:space="preserve">{05/25/2026 cell nokia}: 25/05/2026 : Un mail a ete envoyer au BO pour plus d'analyse.
23/05/2026 : Power issue 
22/05/2026 : Feedback BO Gnoc : Ce site a connu une grosse instabilité power entre le 18 et le 20/05 (baisse des tensions perçue au niveau des modules radio). Jusqu’à présent les tensions restent toujours basses.
Bien vouloir interpeller le powerco de ce site pour une stabilisation de l’énergie.
21/05/2026 : Le FME s'etait rendusur  le site mais apres intervention l'alarme persiste toujours. Le site a ete renvoyer au BO GNOC pour une analyses precise et pour avoir de nouvelle recommandation || En attente du feedback du BO RAN 
</t>
        </is>
      </c>
      <c r="AI1307" t="inlineStr"/>
      <c r="AJ1307" t="inlineStr"/>
      <c r="AK1307" t="inlineStr"/>
      <c r="AL1307" t="inlineStr"/>
      <c r="AM1307" t="inlineStr"/>
      <c r="AN1307" t="inlineStr"/>
      <c r="AO1307" t="inlineStr"/>
      <c r="AP1307" t="inlineStr"/>
      <c r="AQ1307" t="inlineStr"/>
      <c r="AR1307" t="inlineStr"/>
    </row>
    <row r="1308">
      <c r="A1308" t="inlineStr">
        <is>
          <t>Bonassama-New-IHS</t>
        </is>
      </c>
      <c r="B1308" t="inlineStr">
        <is>
          <t>LIT_589</t>
        </is>
      </c>
      <c r="C1308" t="inlineStr">
        <is>
          <t>Douala</t>
        </is>
      </c>
      <c r="D1308" t="inlineStr">
        <is>
          <t>IHS</t>
        </is>
      </c>
      <c r="E1308" t="inlineStr">
        <is>
          <t>Grid-Gen</t>
        </is>
      </c>
      <c r="F1308" t="inlineStr">
        <is>
          <t>LITTORAL</t>
        </is>
      </c>
      <c r="G1308" t="inlineStr">
        <is>
          <t>Douala</t>
        </is>
      </c>
      <c r="H1308" t="inlineStr">
        <is>
          <t>ZTE</t>
        </is>
      </c>
      <c r="I1308" t="n">
        <v>2.121375555384338</v>
      </c>
      <c r="J1308" t="n">
        <v>10.02165535209298</v>
      </c>
      <c r="K1308" t="n">
        <v>0</v>
      </c>
      <c r="L1308" t="n">
        <v>0</v>
      </c>
      <c r="M1308" t="n">
        <v>0</v>
      </c>
      <c r="N1308" t="n">
        <v>0</v>
      </c>
      <c r="O1308" t="n">
        <v>0</v>
      </c>
      <c r="P1308" t="n">
        <v>0</v>
      </c>
      <c r="Q1308" t="n">
        <v>0</v>
      </c>
      <c r="R1308" t="inlineStr">
        <is>
          <t>Operationnel</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row>
    <row r="1309">
      <c r="A1309" t="inlineStr">
        <is>
          <t>Biyemassi-Crf-IHS</t>
        </is>
      </c>
      <c r="B1309" t="inlineStr">
        <is>
          <t>CTR_538</t>
        </is>
      </c>
      <c r="C1309" t="inlineStr">
        <is>
          <t>Yaounde</t>
        </is>
      </c>
      <c r="D1309" t="inlineStr">
        <is>
          <t>IHS</t>
        </is>
      </c>
      <c r="E1309" t="inlineStr">
        <is>
          <t>Grid-Gen</t>
        </is>
      </c>
      <c r="F1309" t="inlineStr">
        <is>
          <t>CENTRE</t>
        </is>
      </c>
      <c r="G1309" t="inlineStr">
        <is>
          <t>Yaounde</t>
        </is>
      </c>
      <c r="H1309" t="inlineStr">
        <is>
          <t>ZTE</t>
        </is>
      </c>
      <c r="I1309" t="n">
        <v>3.510692486152844</v>
      </c>
      <c r="J1309" t="n">
        <v>9.128421124722845</v>
      </c>
      <c r="K1309" t="n">
        <v>0</v>
      </c>
      <c r="L1309" t="n">
        <v>0</v>
      </c>
      <c r="M1309" t="n">
        <v>0</v>
      </c>
      <c r="N1309" t="n">
        <v>0</v>
      </c>
      <c r="O1309" t="n">
        <v>0</v>
      </c>
      <c r="P1309" t="n">
        <v>0</v>
      </c>
      <c r="Q1309" t="n">
        <v>0</v>
      </c>
      <c r="R1309" t="inlineStr">
        <is>
          <t>Operationnel</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row>
    <row r="1310">
      <c r="A1310" t="inlineStr">
        <is>
          <t>Yassa-Village-Camtel</t>
        </is>
      </c>
      <c r="B1310" t="inlineStr">
        <is>
          <t>LIT_766</t>
        </is>
      </c>
      <c r="C1310" t="inlineStr">
        <is>
          <t>Douala</t>
        </is>
      </c>
      <c r="D1310" t="inlineStr">
        <is>
          <t>CAMUSAT</t>
        </is>
      </c>
      <c r="E1310" t="inlineStr">
        <is>
          <t>Good Grid no GE - 8h</t>
        </is>
      </c>
      <c r="F1310" t="inlineStr">
        <is>
          <t>LITTORAL</t>
        </is>
      </c>
      <c r="G1310" t="inlineStr">
        <is>
          <t>Douala</t>
        </is>
      </c>
      <c r="H1310" t="inlineStr">
        <is>
          <t>ZTE</t>
        </is>
      </c>
      <c r="I1310" t="n">
        <v>5.541180482431734</v>
      </c>
      <c r="J1310" t="n">
        <v>8.880834567520754</v>
      </c>
      <c r="K1310" t="n">
        <v>0</v>
      </c>
      <c r="L1310" t="n">
        <v>0</v>
      </c>
      <c r="M1310" t="n">
        <v>0</v>
      </c>
      <c r="N1310" t="n">
        <v>0</v>
      </c>
      <c r="O1310" t="n">
        <v>0</v>
      </c>
      <c r="P1310" t="n">
        <v>0</v>
      </c>
      <c r="Q1310" t="n">
        <v>0</v>
      </c>
      <c r="R1310" t="inlineStr">
        <is>
          <t>Operationnel</t>
        </is>
      </c>
      <c r="S1310" t="inlineStr"/>
      <c r="T1310" t="inlineStr"/>
      <c r="U1310" t="inlineStr"/>
      <c r="V1310" t="inlineStr"/>
      <c r="W1310" t="inlineStr"/>
      <c r="X1310" t="inlineStr">
        <is>
          <t>{05-25-2026 retour CAMUSAT}: Grid outage Grid only site</t>
        </is>
      </c>
      <c r="Y1310" t="inlineStr">
        <is>
          <t>Grid outage Grid only site</t>
        </is>
      </c>
      <c r="Z1310" t="inlineStr"/>
      <c r="AA1310" t="inlineStr"/>
      <c r="AB1310" t="inlineStr"/>
      <c r="AC1310" t="inlineStr">
        <is>
          <t>{05-25-2026 retour CAMUSAT}: Grid outage Grid only site</t>
        </is>
      </c>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row>
    <row r="1311">
      <c r="A1311" t="inlineStr">
        <is>
          <t>Oyak</t>
        </is>
      </c>
      <c r="B1311" t="inlineStr">
        <is>
          <t>LIT_222</t>
        </is>
      </c>
      <c r="C1311" t="inlineStr">
        <is>
          <t>Douala</t>
        </is>
      </c>
      <c r="D1311" t="inlineStr">
        <is>
          <t>IHS</t>
        </is>
      </c>
      <c r="E1311" t="inlineStr">
        <is>
          <t>Grid-Gen</t>
        </is>
      </c>
      <c r="F1311" t="inlineStr">
        <is>
          <t>LITTORAL</t>
        </is>
      </c>
      <c r="G1311" t="inlineStr">
        <is>
          <t>Douala</t>
        </is>
      </c>
      <c r="H1311" t="inlineStr">
        <is>
          <t>ZTE</t>
        </is>
      </c>
      <c r="I1311" t="n">
        <v>0.966786090351079</v>
      </c>
      <c r="J1311" t="n">
        <v>8.689696033193222</v>
      </c>
      <c r="K1311" t="n">
        <v>0</v>
      </c>
      <c r="L1311" t="n">
        <v>0</v>
      </c>
      <c r="M1311" t="n">
        <v>0</v>
      </c>
      <c r="N1311" t="n">
        <v>0</v>
      </c>
      <c r="O1311" t="n">
        <v>0</v>
      </c>
      <c r="P1311" t="n">
        <v>0</v>
      </c>
      <c r="Q1311" t="n">
        <v>0</v>
      </c>
      <c r="R1311" t="inlineStr">
        <is>
          <t>Operationnel</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row>
    <row r="1312">
      <c r="A1312" t="inlineStr">
        <is>
          <t>Scalom</t>
        </is>
      </c>
      <c r="B1312" t="inlineStr">
        <is>
          <t>CTR_210</t>
        </is>
      </c>
      <c r="C1312" t="inlineStr">
        <is>
          <t>Yaounde</t>
        </is>
      </c>
      <c r="D1312" t="inlineStr">
        <is>
          <t>IHS</t>
        </is>
      </c>
      <c r="E1312" t="inlineStr">
        <is>
          <t>Grid-Gen</t>
        </is>
      </c>
      <c r="F1312" t="inlineStr">
        <is>
          <t>CENTRE</t>
        </is>
      </c>
      <c r="G1312" t="inlineStr">
        <is>
          <t>Yaounde</t>
        </is>
      </c>
      <c r="H1312" t="inlineStr">
        <is>
          <t>ZTE</t>
        </is>
      </c>
      <c r="I1312" t="n">
        <v>3.510585475682941</v>
      </c>
      <c r="J1312" t="n">
        <v>8.645910915924015</v>
      </c>
      <c r="K1312" t="n">
        <v>0</v>
      </c>
      <c r="L1312" t="n">
        <v>0</v>
      </c>
      <c r="M1312" t="n">
        <v>0</v>
      </c>
      <c r="N1312" t="n">
        <v>0</v>
      </c>
      <c r="O1312" t="n">
        <v>0</v>
      </c>
      <c r="P1312" t="n">
        <v>0</v>
      </c>
      <c r="Q1312" t="n">
        <v>0</v>
      </c>
      <c r="R1312" t="inlineStr">
        <is>
          <t>Operationnel</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row>
    <row r="1313">
      <c r="A1313" t="inlineStr">
        <is>
          <t>Oyack-Lycee</t>
        </is>
      </c>
      <c r="B1313" t="inlineStr">
        <is>
          <t>LIT_299</t>
        </is>
      </c>
      <c r="C1313" t="inlineStr">
        <is>
          <t>Douala</t>
        </is>
      </c>
      <c r="D1313" t="inlineStr">
        <is>
          <t>IHS</t>
        </is>
      </c>
      <c r="E1313" t="inlineStr">
        <is>
          <t>Grid-Gen</t>
        </is>
      </c>
      <c r="F1313" t="inlineStr">
        <is>
          <t>LITTORAL</t>
        </is>
      </c>
      <c r="G1313" t="inlineStr">
        <is>
          <t>Douala</t>
        </is>
      </c>
      <c r="H1313" t="inlineStr">
        <is>
          <t>ZTE</t>
        </is>
      </c>
      <c r="I1313" t="n">
        <v>1.554202229812832</v>
      </c>
      <c r="J1313" t="n">
        <v>8.534156315187213</v>
      </c>
      <c r="K1313" t="n">
        <v>0</v>
      </c>
      <c r="L1313" t="n">
        <v>0</v>
      </c>
      <c r="M1313" t="n">
        <v>0</v>
      </c>
      <c r="N1313" t="n">
        <v>0</v>
      </c>
      <c r="O1313" t="n">
        <v>0</v>
      </c>
      <c r="P1313" t="n">
        <v>0</v>
      </c>
      <c r="Q1313" t="n">
        <v>0</v>
      </c>
      <c r="R1313" t="inlineStr">
        <is>
          <t>Operationnel</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row>
    <row r="1314">
      <c r="A1314" t="inlineStr">
        <is>
          <t>Bonaberi-Magzi-IHS</t>
        </is>
      </c>
      <c r="B1314" t="inlineStr">
        <is>
          <t>LIT_738</t>
        </is>
      </c>
      <c r="C1314" t="inlineStr">
        <is>
          <t>Douala</t>
        </is>
      </c>
      <c r="D1314" t="inlineStr">
        <is>
          <t>IHS</t>
        </is>
      </c>
      <c r="E1314" t="inlineStr">
        <is>
          <t>Grid-Gen</t>
        </is>
      </c>
      <c r="F1314" t="inlineStr">
        <is>
          <t>LITTORAL</t>
        </is>
      </c>
      <c r="G1314" t="inlineStr">
        <is>
          <t>Douala</t>
        </is>
      </c>
      <c r="H1314" t="inlineStr">
        <is>
          <t>ZTE</t>
        </is>
      </c>
      <c r="I1314" t="n">
        <v>1.487178005496057</v>
      </c>
      <c r="J1314" t="n">
        <v>7.361339400113575</v>
      </c>
      <c r="K1314" t="n">
        <v>0</v>
      </c>
      <c r="L1314" t="n">
        <v>0</v>
      </c>
      <c r="M1314" t="n">
        <v>0</v>
      </c>
      <c r="N1314" t="n">
        <v>0</v>
      </c>
      <c r="O1314" t="n">
        <v>0</v>
      </c>
      <c r="P1314" t="n">
        <v>0</v>
      </c>
      <c r="Q1314" t="n">
        <v>0</v>
      </c>
      <c r="R1314" t="inlineStr">
        <is>
          <t>Operationnel</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row>
    <row r="1315">
      <c r="A1315" t="inlineStr">
        <is>
          <t>Bilongue-II</t>
        </is>
      </c>
      <c r="B1315" t="inlineStr">
        <is>
          <t>LIT_451</t>
        </is>
      </c>
      <c r="C1315" t="inlineStr">
        <is>
          <t>Douala</t>
        </is>
      </c>
      <c r="D1315" t="inlineStr">
        <is>
          <t>IHS</t>
        </is>
      </c>
      <c r="E1315" t="inlineStr">
        <is>
          <t>Grid-Gen</t>
        </is>
      </c>
      <c r="F1315" t="inlineStr">
        <is>
          <t>LITTORAL</t>
        </is>
      </c>
      <c r="G1315" t="inlineStr">
        <is>
          <t>Douala</t>
        </is>
      </c>
      <c r="H1315" t="inlineStr">
        <is>
          <t>ZTE</t>
        </is>
      </c>
      <c r="I1315" t="n">
        <v>1.317726926402479</v>
      </c>
      <c r="J1315" t="n">
        <v>7.286931453373398</v>
      </c>
      <c r="K1315" t="n">
        <v>0</v>
      </c>
      <c r="L1315" t="n">
        <v>0</v>
      </c>
      <c r="M1315" t="n">
        <v>0</v>
      </c>
      <c r="N1315" t="n">
        <v>0</v>
      </c>
      <c r="O1315" t="n">
        <v>0</v>
      </c>
      <c r="P1315" t="n">
        <v>0</v>
      </c>
      <c r="Q1315" t="n">
        <v>0</v>
      </c>
      <c r="R1315" t="inlineStr">
        <is>
          <t>Operationnel</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row>
    <row r="1316">
      <c r="A1316" t="inlineStr">
        <is>
          <t>Base-Elf-New</t>
        </is>
      </c>
      <c r="B1316" t="inlineStr">
        <is>
          <t>LIT_151</t>
        </is>
      </c>
      <c r="C1316" t="inlineStr">
        <is>
          <t>Douala</t>
        </is>
      </c>
      <c r="D1316" t="inlineStr">
        <is>
          <t>IHS</t>
        </is>
      </c>
      <c r="E1316" t="inlineStr">
        <is>
          <t>Grid-Gen</t>
        </is>
      </c>
      <c r="F1316" t="inlineStr">
        <is>
          <t>LITTORAL</t>
        </is>
      </c>
      <c r="G1316" t="inlineStr">
        <is>
          <t>Douala</t>
        </is>
      </c>
      <c r="H1316" t="inlineStr">
        <is>
          <t>ZTE</t>
        </is>
      </c>
      <c r="I1316" t="n">
        <v>1.486321921736822</v>
      </c>
      <c r="J1316" t="n">
        <v>7.005814948934605</v>
      </c>
      <c r="K1316" t="n">
        <v>0</v>
      </c>
      <c r="L1316" t="n">
        <v>0</v>
      </c>
      <c r="M1316" t="n">
        <v>0</v>
      </c>
      <c r="N1316" t="n">
        <v>0</v>
      </c>
      <c r="O1316" t="n">
        <v>0</v>
      </c>
      <c r="P1316" t="n">
        <v>0</v>
      </c>
      <c r="Q1316" t="n">
        <v>0</v>
      </c>
      <c r="R1316" t="inlineStr">
        <is>
          <t>Operationnel</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row>
    <row r="1317">
      <c r="A1317" t="inlineStr">
        <is>
          <t>Nkometou-II</t>
        </is>
      </c>
      <c r="B1317" t="inlineStr">
        <is>
          <t>CTR_750</t>
        </is>
      </c>
      <c r="C1317" t="inlineStr">
        <is>
          <t>Yaounde</t>
        </is>
      </c>
      <c r="D1317" t="inlineStr">
        <is>
          <t>CAMUSAT</t>
        </is>
      </c>
      <c r="E1317" t="inlineStr">
        <is>
          <t>Hybrid Solar - S1</t>
        </is>
      </c>
      <c r="F1317" t="inlineStr">
        <is>
          <t>CENTRE</t>
        </is>
      </c>
      <c r="G1317" t="inlineStr">
        <is>
          <t>Yaounde</t>
        </is>
      </c>
      <c r="H1317" t="inlineStr">
        <is>
          <t>ZTE</t>
        </is>
      </c>
      <c r="I1317" t="n">
        <v>0</v>
      </c>
      <c r="J1317" t="n">
        <v>6.76186674770926</v>
      </c>
      <c r="K1317" t="n">
        <v>0</v>
      </c>
      <c r="L1317" t="n">
        <v>0</v>
      </c>
      <c r="M1317" t="n">
        <v>0</v>
      </c>
      <c r="N1317" t="n">
        <v>0</v>
      </c>
      <c r="O1317" t="n">
        <v>0</v>
      </c>
      <c r="P1317" t="n">
        <v>0</v>
      </c>
      <c r="Q1317" t="n">
        <v>0</v>
      </c>
      <c r="R1317" t="inlineStr">
        <is>
          <t>Operationnel</t>
        </is>
      </c>
      <c r="S1317" t="inlineStr"/>
      <c r="T1317" t="inlineStr"/>
      <c r="U1317" t="inlineStr"/>
      <c r="V1317" t="inlineStr"/>
      <c r="W1317" t="inlineStr"/>
      <c r="X1317" t="inlineStr">
        <is>
          <t xml:space="preserve">{05-25-2026 incident}:  {05-18-2026 groupe whatsapp incident}: impacted by    CTR_750_Z_Nkometou-II(CTR-750) ,Power issue || Action retour CAMUSAT attendu      ;    {05-25-2026 retour CAMUSAT}: No power issue </t>
        </is>
      </c>
      <c r="Y1317" t="inlineStr">
        <is>
          <t>{05-25-2026 incident} {05-18-2026 groupe whatsapp incident} impacted by CTR_750_Z_Nkometou-II(CTR-750) ,Power issue || Action retour CAMUSAT attendu No power issue</t>
        </is>
      </c>
      <c r="Z1317" t="inlineStr"/>
      <c r="AA1317" t="inlineStr">
        <is>
          <t xml:space="preserve">{05-25-2026 incident}:  {05-18-2026 groupe whatsapp incident}: impacted by    CTR_750_Z_Nkometou-II(CTR-750) ,Power issue || Action retour CAMUSAT attendu </t>
        </is>
      </c>
      <c r="AB1317" t="inlineStr"/>
      <c r="AC1317" t="inlineStr">
        <is>
          <t xml:space="preserve">{05-25-2026 retour CAMUSAT}: No power issue </t>
        </is>
      </c>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row>
    <row r="1318">
      <c r="A1318" t="inlineStr">
        <is>
          <t>LIT_850_Z_Ndogbassi-Taniere-Plus</t>
        </is>
      </c>
      <c r="B1318" t="inlineStr">
        <is>
          <t>LIT_850</t>
        </is>
      </c>
      <c r="C1318" t="inlineStr">
        <is>
          <t>Douala</t>
        </is>
      </c>
      <c r="D1318" t="inlineStr">
        <is>
          <t xml:space="preserve">ESCO </t>
        </is>
      </c>
      <c r="E1318" t="inlineStr">
        <is>
          <t>medium Grid GE</t>
        </is>
      </c>
      <c r="F1318" t="inlineStr">
        <is>
          <t>LITTORAL</t>
        </is>
      </c>
      <c r="G1318" t="inlineStr">
        <is>
          <t>Douala</t>
        </is>
      </c>
      <c r="H1318" t="inlineStr">
        <is>
          <t>ZTE</t>
        </is>
      </c>
      <c r="I1318" t="n">
        <v>1.62989430219186</v>
      </c>
      <c r="J1318" t="n">
        <v>6.637431406288792</v>
      </c>
      <c r="K1318" t="n">
        <v>0</v>
      </c>
      <c r="L1318" t="n">
        <v>0</v>
      </c>
      <c r="M1318" t="n">
        <v>0</v>
      </c>
      <c r="N1318" t="n">
        <v>0</v>
      </c>
      <c r="O1318" t="n">
        <v>0</v>
      </c>
      <c r="P1318" t="n">
        <v>0</v>
      </c>
      <c r="Q1318" t="n">
        <v>0</v>
      </c>
      <c r="R1318" t="inlineStr">
        <is>
          <t>Operationnel</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row>
    <row r="1319">
      <c r="A1319" t="inlineStr">
        <is>
          <t>Oyack-IHS</t>
        </is>
      </c>
      <c r="B1319" t="inlineStr">
        <is>
          <t>LIT_368</t>
        </is>
      </c>
      <c r="C1319" t="inlineStr">
        <is>
          <t>Douala</t>
        </is>
      </c>
      <c r="D1319" t="inlineStr">
        <is>
          <t>IHS</t>
        </is>
      </c>
      <c r="E1319" t="inlineStr">
        <is>
          <t>Grid-Gen</t>
        </is>
      </c>
      <c r="F1319" t="inlineStr">
        <is>
          <t>LITTORAL</t>
        </is>
      </c>
      <c r="G1319" t="inlineStr">
        <is>
          <t>Douala</t>
        </is>
      </c>
      <c r="H1319" t="inlineStr">
        <is>
          <t>ZTE</t>
        </is>
      </c>
      <c r="I1319" t="n">
        <v>1.363919779244535</v>
      </c>
      <c r="J1319" t="n">
        <v>6.588652467090713</v>
      </c>
      <c r="K1319" t="n">
        <v>0</v>
      </c>
      <c r="L1319" t="n">
        <v>0</v>
      </c>
      <c r="M1319" t="n">
        <v>0</v>
      </c>
      <c r="N1319" t="n">
        <v>0</v>
      </c>
      <c r="O1319" t="n">
        <v>0</v>
      </c>
      <c r="P1319" t="n">
        <v>0</v>
      </c>
      <c r="Q1319" t="n">
        <v>0</v>
      </c>
      <c r="R1319" t="inlineStr">
        <is>
          <t>Operationnel</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row>
    <row r="1320">
      <c r="A1320" t="inlineStr">
        <is>
          <t>CTR_953_Z_Akak-II</t>
        </is>
      </c>
      <c r="B1320" t="inlineStr">
        <is>
          <t>CTR_953</t>
        </is>
      </c>
      <c r="C1320" t="inlineStr">
        <is>
          <t>Yaounde</t>
        </is>
      </c>
      <c r="D1320" t="inlineStr">
        <is>
          <t>ESCO</t>
        </is>
      </c>
      <c r="E1320" t="inlineStr">
        <is>
          <t>Good Grid + Solar + GE</t>
        </is>
      </c>
      <c r="F1320" t="inlineStr">
        <is>
          <t>CTR</t>
        </is>
      </c>
      <c r="G1320" t="inlineStr">
        <is>
          <t>Yaoundé</t>
        </is>
      </c>
      <c r="H1320" t="inlineStr">
        <is>
          <t>ZTE</t>
        </is>
      </c>
      <c r="I1320" t="n">
        <v>0</v>
      </c>
      <c r="J1320" t="n">
        <v>6.456209175505732</v>
      </c>
      <c r="K1320" t="n">
        <v>0</v>
      </c>
      <c r="L1320" t="n">
        <v>0</v>
      </c>
      <c r="M1320" t="n">
        <v>0</v>
      </c>
      <c r="N1320" t="n">
        <v>0</v>
      </c>
      <c r="O1320" t="n">
        <v>0</v>
      </c>
      <c r="P1320" t="n">
        <v>0</v>
      </c>
      <c r="Q1320" t="n">
        <v>0</v>
      </c>
      <c r="R1320" t="inlineStr">
        <is>
          <t>Operationnel</t>
        </is>
      </c>
      <c r="S1320" t="inlineStr"/>
      <c r="T1320" t="inlineStr"/>
      <c r="U1320" t="inlineStr"/>
      <c r="V1320" t="inlineStr"/>
      <c r="W1320" t="inlineStr"/>
      <c r="X1320" t="inlineStr">
        <is>
          <t xml:space="preserve">{05-25-2026 retour CAMUSAT}: No power issue </t>
        </is>
      </c>
      <c r="Y1320" t="inlineStr">
        <is>
          <t>No power issue</t>
        </is>
      </c>
      <c r="Z1320" t="inlineStr"/>
      <c r="AA1320" t="inlineStr"/>
      <c r="AB1320" t="inlineStr"/>
      <c r="AC1320" t="inlineStr">
        <is>
          <t xml:space="preserve">{05-25-2026 retour CAMUSAT}: No power issue </t>
        </is>
      </c>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row>
    <row r="1321">
      <c r="A1321" t="inlineStr">
        <is>
          <t>Boko-Plage-IHS</t>
        </is>
      </c>
      <c r="B1321" t="inlineStr">
        <is>
          <t>LIT_363</t>
        </is>
      </c>
      <c r="C1321" t="inlineStr">
        <is>
          <t>Douala</t>
        </is>
      </c>
      <c r="D1321" t="inlineStr">
        <is>
          <t>CAMUSAT</t>
        </is>
      </c>
      <c r="E1321" t="inlineStr">
        <is>
          <t>Good Grid + GE</t>
        </is>
      </c>
      <c r="F1321" t="inlineStr">
        <is>
          <t>LITTORAL</t>
        </is>
      </c>
      <c r="G1321" t="inlineStr">
        <is>
          <t>Douala</t>
        </is>
      </c>
      <c r="H1321" t="inlineStr">
        <is>
          <t>ZTE</t>
        </is>
      </c>
      <c r="I1321" t="n">
        <v>0.5878441813413688</v>
      </c>
      <c r="J1321" t="n">
        <v>6.010243042179246</v>
      </c>
      <c r="K1321" t="n">
        <v>0</v>
      </c>
      <c r="L1321" t="n">
        <v>0</v>
      </c>
      <c r="M1321" t="n">
        <v>0</v>
      </c>
      <c r="N1321" t="n">
        <v>0</v>
      </c>
      <c r="O1321" t="n">
        <v>0</v>
      </c>
      <c r="P1321" t="n">
        <v>0</v>
      </c>
      <c r="Q1321" t="n">
        <v>0</v>
      </c>
      <c r="R1321" t="inlineStr">
        <is>
          <t>Operationnel</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row>
    <row r="1322">
      <c r="A1322" t="inlineStr">
        <is>
          <t>Nyom-Sud</t>
        </is>
      </c>
      <c r="B1322" t="inlineStr">
        <is>
          <t>CTR_707</t>
        </is>
      </c>
      <c r="C1322" t="inlineStr">
        <is>
          <t>Yaounde</t>
        </is>
      </c>
      <c r="D1322" t="inlineStr">
        <is>
          <t>CAMUSAT</t>
        </is>
      </c>
      <c r="E1322" t="inlineStr">
        <is>
          <t>Good Grid + GE</t>
        </is>
      </c>
      <c r="F1322" t="inlineStr">
        <is>
          <t>CENTRE</t>
        </is>
      </c>
      <c r="G1322" t="inlineStr">
        <is>
          <t>Yaounde</t>
        </is>
      </c>
      <c r="H1322" t="inlineStr">
        <is>
          <t>ZTE</t>
        </is>
      </c>
      <c r="I1322" t="n">
        <v>0.009809293074567687</v>
      </c>
      <c r="J1322" t="n">
        <v>5.73738417900141</v>
      </c>
      <c r="K1322" t="n">
        <v>0</v>
      </c>
      <c r="L1322" t="n">
        <v>0</v>
      </c>
      <c r="M1322" t="n">
        <v>0</v>
      </c>
      <c r="N1322" t="n">
        <v>0</v>
      </c>
      <c r="O1322" t="n">
        <v>0</v>
      </c>
      <c r="P1322" t="n">
        <v>0</v>
      </c>
      <c r="Q1322" t="n">
        <v>0</v>
      </c>
      <c r="R1322" t="inlineStr">
        <is>
          <t>Operationnel</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row>
    <row r="1323">
      <c r="A1323" t="inlineStr">
        <is>
          <t>Boko-Douala</t>
        </is>
      </c>
      <c r="B1323" t="inlineStr">
        <is>
          <t>LIT_240</t>
        </is>
      </c>
      <c r="C1323" t="inlineStr">
        <is>
          <t>Douala</t>
        </is>
      </c>
      <c r="D1323" t="inlineStr">
        <is>
          <t>IHS</t>
        </is>
      </c>
      <c r="E1323" t="inlineStr">
        <is>
          <t>Grid-Gen</t>
        </is>
      </c>
      <c r="F1323" t="inlineStr">
        <is>
          <t>LITTORAL</t>
        </is>
      </c>
      <c r="G1323" t="inlineStr">
        <is>
          <t>Douala</t>
        </is>
      </c>
      <c r="H1323" t="inlineStr">
        <is>
          <t>ZTE</t>
        </is>
      </c>
      <c r="I1323" t="n">
        <v>0.4311095130880937</v>
      </c>
      <c r="J1323" t="n">
        <v>5.649011365938709</v>
      </c>
      <c r="K1323" t="n">
        <v>0</v>
      </c>
      <c r="L1323" t="n">
        <v>0</v>
      </c>
      <c r="M1323" t="n">
        <v>0</v>
      </c>
      <c r="N1323" t="n">
        <v>0</v>
      </c>
      <c r="O1323" t="n">
        <v>0</v>
      </c>
      <c r="P1323" t="n">
        <v>0</v>
      </c>
      <c r="Q1323" t="n">
        <v>0</v>
      </c>
      <c r="R1323" t="inlineStr">
        <is>
          <t>Operationnel</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row>
    <row r="1324">
      <c r="A1324" t="inlineStr">
        <is>
          <t>Fontem</t>
        </is>
      </c>
      <c r="B1324" t="inlineStr">
        <is>
          <t>SUO_017</t>
        </is>
      </c>
      <c r="C1324" t="inlineStr">
        <is>
          <t>SUD-OUEST</t>
        </is>
      </c>
      <c r="D1324" t="inlineStr">
        <is>
          <t>IHS</t>
        </is>
      </c>
      <c r="E1324" t="inlineStr">
        <is>
          <t>Grid-Gen</t>
        </is>
      </c>
      <c r="F1324" t="inlineStr">
        <is>
          <t>SUD-OUEST</t>
        </is>
      </c>
      <c r="G1324" t="inlineStr">
        <is>
          <t>Fontem</t>
        </is>
      </c>
      <c r="H1324" t="inlineStr">
        <is>
          <t>NOKIA</t>
        </is>
      </c>
      <c r="I1324" t="n">
        <v>0</v>
      </c>
      <c r="J1324" t="n">
        <v>5.108251791355266</v>
      </c>
      <c r="K1324" t="n">
        <v>0</v>
      </c>
      <c r="L1324" t="n">
        <v>0</v>
      </c>
      <c r="M1324" t="n">
        <v>0</v>
      </c>
      <c r="N1324" t="n">
        <v>0</v>
      </c>
      <c r="O1324" t="n">
        <v>0</v>
      </c>
      <c r="P1324" t="n">
        <v>0</v>
      </c>
      <c r="Q1324" t="n">
        <v>0</v>
      </c>
      <c r="R1324" t="inlineStr">
        <is>
          <t>Insecurity</t>
        </is>
      </c>
      <c r="S1324" t="inlineStr"/>
      <c r="T1324" t="inlineStr"/>
      <c r="U1324" t="inlineStr"/>
      <c r="V1324" t="inlineStr"/>
      <c r="W1324" t="inlineStr"/>
      <c r="X1324" t="inlineStr">
        <is>
          <t>{05-25-2026 incident}: Upadate 6: d'apres le retour du PM , le vevel 0 ne peut pas se rendre sur site aujourdhui car il ya un lockdown declarer dans la zonne jusqu'au 21.05.2026. point EZCALADE a THEO pour Support</t>
        </is>
      </c>
      <c r="Y1324" t="inlineStr">
        <is>
          <t>{05-25-2026 incident} Upadate 6 d'apres le retour du PM , le vevel 0 ne peut pas se rendre sur site aujourdhui car il ya un lockdown declarer dans la zonne jusqu'au 21.05.2026. point EZCALADE a THEO pour Support</t>
        </is>
      </c>
      <c r="Z1324" t="inlineStr"/>
      <c r="AA1324" t="inlineStr">
        <is>
          <t>{05-25-2026 incident}: Upadate 6: d'apres le retour du PM , le vevel 0 ne peut pas se rendre sur site aujourdhui car il ya un lockdown declarer dans la zonne jusqu'au 21.05.2026. point EZCALADE a THEO pour Support</t>
        </is>
      </c>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row>
    <row r="1325">
      <c r="A1325" t="inlineStr">
        <is>
          <t>Mbanga-Pongo-IHS</t>
        </is>
      </c>
      <c r="B1325" t="inlineStr">
        <is>
          <t>LIT_598</t>
        </is>
      </c>
      <c r="C1325" t="inlineStr">
        <is>
          <t>LITTORAL</t>
        </is>
      </c>
      <c r="D1325" t="inlineStr">
        <is>
          <t>IHS</t>
        </is>
      </c>
      <c r="E1325" t="inlineStr">
        <is>
          <t>Hybrid-Gen</t>
        </is>
      </c>
      <c r="F1325" t="inlineStr">
        <is>
          <t>LITTORAL</t>
        </is>
      </c>
      <c r="G1325" t="inlineStr">
        <is>
          <t>Mbanga Pongo</t>
        </is>
      </c>
      <c r="H1325" t="inlineStr">
        <is>
          <t>ZTE</t>
        </is>
      </c>
      <c r="I1325" t="n">
        <v>0.5686179669152163</v>
      </c>
      <c r="J1325" t="n">
        <v>4.863251320509199</v>
      </c>
      <c r="K1325" t="n">
        <v>0</v>
      </c>
      <c r="L1325" t="n">
        <v>0</v>
      </c>
      <c r="M1325" t="n">
        <v>0</v>
      </c>
      <c r="N1325" t="n">
        <v>0</v>
      </c>
      <c r="O1325" t="n">
        <v>0</v>
      </c>
      <c r="P1325" t="n">
        <v>0</v>
      </c>
      <c r="Q1325" t="n">
        <v>0</v>
      </c>
      <c r="R1325" t="inlineStr">
        <is>
          <t>Operationnel</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row>
    <row r="1326">
      <c r="A1326" t="inlineStr">
        <is>
          <t>Logbaba-CAMTEL</t>
        </is>
      </c>
      <c r="B1326" t="inlineStr">
        <is>
          <t>LIT_253</t>
        </is>
      </c>
      <c r="C1326" t="inlineStr">
        <is>
          <t>Douala</t>
        </is>
      </c>
      <c r="D1326" t="inlineStr">
        <is>
          <t>CAMUSAT</t>
        </is>
      </c>
      <c r="E1326" t="inlineStr">
        <is>
          <t>Good Grid + GE</t>
        </is>
      </c>
      <c r="F1326" t="inlineStr">
        <is>
          <t>LITTORAL</t>
        </is>
      </c>
      <c r="G1326" t="inlineStr">
        <is>
          <t>Douala</t>
        </is>
      </c>
      <c r="H1326" t="inlineStr">
        <is>
          <t>ZTE</t>
        </is>
      </c>
      <c r="I1326" t="n">
        <v>1.415320474955269</v>
      </c>
      <c r="J1326" t="n">
        <v>4.409954969994264</v>
      </c>
      <c r="K1326" t="n">
        <v>0</v>
      </c>
      <c r="L1326" t="n">
        <v>0</v>
      </c>
      <c r="M1326" t="n">
        <v>0</v>
      </c>
      <c r="N1326" t="n">
        <v>0</v>
      </c>
      <c r="O1326" t="n">
        <v>0</v>
      </c>
      <c r="P1326" t="n">
        <v>0</v>
      </c>
      <c r="Q1326" t="n">
        <v>0</v>
      </c>
      <c r="R1326" t="inlineStr">
        <is>
          <t>Operationnel</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row>
    <row r="1327">
      <c r="A1327" t="inlineStr">
        <is>
          <t>Akak-IHS</t>
        </is>
      </c>
      <c r="B1327" t="inlineStr">
        <is>
          <t>CTR_513</t>
        </is>
      </c>
      <c r="C1327" t="inlineStr">
        <is>
          <t>Yaounde</t>
        </is>
      </c>
      <c r="D1327" t="inlineStr">
        <is>
          <t>IHS</t>
        </is>
      </c>
      <c r="E1327" t="inlineStr">
        <is>
          <t>Grid-Gen</t>
        </is>
      </c>
      <c r="F1327" t="inlineStr">
        <is>
          <t>CENTRE</t>
        </is>
      </c>
      <c r="G1327" t="inlineStr">
        <is>
          <t>Yaounde</t>
        </is>
      </c>
      <c r="H1327" t="inlineStr">
        <is>
          <t>ZTE</t>
        </is>
      </c>
      <c r="I1327" t="n">
        <v>0</v>
      </c>
      <c r="J1327" t="n">
        <v>4.244267092425655</v>
      </c>
      <c r="K1327" t="n">
        <v>0</v>
      </c>
      <c r="L1327" t="n">
        <v>0</v>
      </c>
      <c r="M1327" t="n">
        <v>0</v>
      </c>
      <c r="N1327" t="n">
        <v>0</v>
      </c>
      <c r="O1327" t="n">
        <v>0</v>
      </c>
      <c r="P1327" t="n">
        <v>0</v>
      </c>
      <c r="Q1327" t="n">
        <v>0</v>
      </c>
      <c r="R1327" t="inlineStr">
        <is>
          <t>Operationnel</t>
        </is>
      </c>
      <c r="S1327" t="inlineStr"/>
      <c r="T1327" t="inlineStr"/>
      <c r="U1327" t="inlineStr"/>
      <c r="V1327" t="inlineStr"/>
      <c r="W1327" t="inlineStr"/>
      <c r="X1327" t="inlineStr">
        <is>
          <t xml:space="preserve">{05-25-2026 incident}:  {05-18-2026 groupe whatsapp incident}: impacted by    CTR_750_Z_Nkometou-II(CTR-750) ,Power issue || Action retour CAMUSAT attendu </t>
        </is>
      </c>
      <c r="Y1327" t="inlineStr">
        <is>
          <t>{05-25-2026 incident} {05-18-2026 groupe whatsapp incident} impacted by CTR_750_Z_Nkometou-II(CTR-750) ,Power issue || Action retour CAMUSAT attendu</t>
        </is>
      </c>
      <c r="Z1327" t="inlineStr"/>
      <c r="AA1327" t="inlineStr">
        <is>
          <t xml:space="preserve">{05-25-2026 incident}:  {05-18-2026 groupe whatsapp incident}: impacted by    CTR_750_Z_Nkometou-II(CTR-750) ,Power issue || Action retour CAMUSAT attendu </t>
        </is>
      </c>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row>
    <row r="1328">
      <c r="A1328" t="inlineStr">
        <is>
          <t>ZI-Bassa-II</t>
        </is>
      </c>
      <c r="B1328" t="inlineStr">
        <is>
          <t>LIT_729</t>
        </is>
      </c>
      <c r="C1328" t="inlineStr">
        <is>
          <t>Douala</t>
        </is>
      </c>
      <c r="D1328" t="inlineStr">
        <is>
          <t>CAMUSAT</t>
        </is>
      </c>
      <c r="E1328" t="inlineStr">
        <is>
          <t>Good Grid + GE</t>
        </is>
      </c>
      <c r="F1328" t="inlineStr">
        <is>
          <t>LITTORAL</t>
        </is>
      </c>
      <c r="G1328" t="inlineStr">
        <is>
          <t>Douala</t>
        </is>
      </c>
      <c r="H1328" t="inlineStr">
        <is>
          <t>ZTE</t>
        </is>
      </c>
      <c r="I1328" t="n">
        <v>0.8262100030533656</v>
      </c>
      <c r="J1328" t="n">
        <v>3.983714433286819</v>
      </c>
      <c r="K1328" t="n">
        <v>0</v>
      </c>
      <c r="L1328" t="n">
        <v>0</v>
      </c>
      <c r="M1328" t="n">
        <v>0</v>
      </c>
      <c r="N1328" t="n">
        <v>0</v>
      </c>
      <c r="O1328" t="n">
        <v>0</v>
      </c>
      <c r="P1328" t="n">
        <v>0</v>
      </c>
      <c r="Q1328" t="n">
        <v>0</v>
      </c>
      <c r="R1328" t="inlineStr">
        <is>
          <t>Operationnel</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row>
    <row r="1329">
      <c r="A1329" t="inlineStr">
        <is>
          <t>Nyom-II-IHS</t>
        </is>
      </c>
      <c r="B1329" t="inlineStr">
        <is>
          <t>CTR_648</t>
        </is>
      </c>
      <c r="C1329" t="inlineStr">
        <is>
          <t>Yaounde</t>
        </is>
      </c>
      <c r="D1329" t="inlineStr">
        <is>
          <t>IHS</t>
        </is>
      </c>
      <c r="E1329" t="inlineStr">
        <is>
          <t>Grid-Gen</t>
        </is>
      </c>
      <c r="F1329" t="inlineStr">
        <is>
          <t>CENTRE</t>
        </is>
      </c>
      <c r="G1329" t="inlineStr">
        <is>
          <t>Yaounde</t>
        </is>
      </c>
      <c r="H1329" t="inlineStr">
        <is>
          <t>ZTE</t>
        </is>
      </c>
      <c r="I1329" t="n">
        <v>0</v>
      </c>
      <c r="J1329" t="n">
        <v>3.897820696110241</v>
      </c>
      <c r="K1329" t="n">
        <v>0</v>
      </c>
      <c r="L1329" t="n">
        <v>0</v>
      </c>
      <c r="M1329" t="n">
        <v>0</v>
      </c>
      <c r="N1329" t="n">
        <v>0</v>
      </c>
      <c r="O1329" t="n">
        <v>0</v>
      </c>
      <c r="P1329" t="n">
        <v>0</v>
      </c>
      <c r="Q1329" t="n">
        <v>0</v>
      </c>
      <c r="R1329" t="inlineStr">
        <is>
          <t>Operationnel</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row>
    <row r="1330">
      <c r="A1330" t="inlineStr">
        <is>
          <t>Nkoabang-II-IHS</t>
        </is>
      </c>
      <c r="B1330" t="inlineStr">
        <is>
          <t>CTR_458</t>
        </is>
      </c>
      <c r="C1330" t="inlineStr">
        <is>
          <t>Yaounde</t>
        </is>
      </c>
      <c r="D1330" t="inlineStr">
        <is>
          <t>IHS</t>
        </is>
      </c>
      <c r="E1330" t="inlineStr">
        <is>
          <t>Grid-Gen</t>
        </is>
      </c>
      <c r="F1330" t="inlineStr">
        <is>
          <t>CENTRE</t>
        </is>
      </c>
      <c r="G1330" t="inlineStr">
        <is>
          <t>Yaounde</t>
        </is>
      </c>
      <c r="H1330" t="inlineStr">
        <is>
          <t>ZTE</t>
        </is>
      </c>
      <c r="I1330" t="n">
        <v>0</v>
      </c>
      <c r="J1330" t="n">
        <v>3.573685982769888</v>
      </c>
      <c r="K1330" t="n">
        <v>0</v>
      </c>
      <c r="L1330" t="n">
        <v>0</v>
      </c>
      <c r="M1330" t="n">
        <v>0</v>
      </c>
      <c r="N1330" t="n">
        <v>0</v>
      </c>
      <c r="O1330" t="n">
        <v>0</v>
      </c>
      <c r="P1330" t="n">
        <v>0</v>
      </c>
      <c r="Q1330" t="n">
        <v>0</v>
      </c>
      <c r="R1330" t="inlineStr">
        <is>
          <t>Operationnel</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row>
    <row r="1331">
      <c r="A1331" t="inlineStr">
        <is>
          <t>Bonaminkano-IHS</t>
        </is>
      </c>
      <c r="B1331" t="inlineStr">
        <is>
          <t>LIT_130</t>
        </is>
      </c>
      <c r="C1331" t="inlineStr">
        <is>
          <t>Douala</t>
        </is>
      </c>
      <c r="D1331" t="inlineStr">
        <is>
          <t>IHS</t>
        </is>
      </c>
      <c r="E1331" t="inlineStr">
        <is>
          <t>Grid-Gen</t>
        </is>
      </c>
      <c r="F1331" t="inlineStr">
        <is>
          <t>LITTORAL</t>
        </is>
      </c>
      <c r="G1331" t="inlineStr">
        <is>
          <t>Douala</t>
        </is>
      </c>
      <c r="H1331" t="inlineStr">
        <is>
          <t>ZTE</t>
        </is>
      </c>
      <c r="I1331" t="n">
        <v>0</v>
      </c>
      <c r="J1331" t="n">
        <v>3.069149452249076</v>
      </c>
      <c r="K1331" t="n">
        <v>0</v>
      </c>
      <c r="L1331" t="n">
        <v>0</v>
      </c>
      <c r="M1331" t="n">
        <v>0</v>
      </c>
      <c r="N1331" t="n">
        <v>0</v>
      </c>
      <c r="O1331" t="n">
        <v>0</v>
      </c>
      <c r="P1331" t="n">
        <v>0</v>
      </c>
      <c r="Q1331" t="n">
        <v>0</v>
      </c>
      <c r="R1331" t="inlineStr">
        <is>
          <t>Operationnel</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row>
    <row r="1332">
      <c r="A1332" t="inlineStr">
        <is>
          <t>Shell-Nsimeyong</t>
        </is>
      </c>
      <c r="B1332" t="inlineStr">
        <is>
          <t>CTR_056</t>
        </is>
      </c>
      <c r="C1332" t="inlineStr">
        <is>
          <t>Yaounde</t>
        </is>
      </c>
      <c r="D1332" t="inlineStr">
        <is>
          <t>IHS</t>
        </is>
      </c>
      <c r="E1332" t="inlineStr">
        <is>
          <t>Grid-Gen</t>
        </is>
      </c>
      <c r="F1332" t="inlineStr">
        <is>
          <t>CENTRE</t>
        </is>
      </c>
      <c r="G1332" t="inlineStr">
        <is>
          <t>Yaounde</t>
        </is>
      </c>
      <c r="H1332" t="inlineStr">
        <is>
          <t>ZTE</t>
        </is>
      </c>
      <c r="I1332" t="n">
        <v>0.6352676545873253</v>
      </c>
      <c r="J1332" t="n">
        <v>3.018515664905988</v>
      </c>
      <c r="K1332" t="n">
        <v>0</v>
      </c>
      <c r="L1332" t="n">
        <v>0</v>
      </c>
      <c r="M1332" t="n">
        <v>0</v>
      </c>
      <c r="N1332" t="n">
        <v>0</v>
      </c>
      <c r="O1332" t="n">
        <v>0</v>
      </c>
      <c r="P1332" t="n">
        <v>0</v>
      </c>
      <c r="Q1332" t="n">
        <v>0</v>
      </c>
      <c r="R1332" t="inlineStr">
        <is>
          <t>Operationnel</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row>
    <row r="1333">
      <c r="A1333" t="inlineStr">
        <is>
          <t>Bberi-Abattoir</t>
        </is>
      </c>
      <c r="B1333" t="inlineStr">
        <is>
          <t>LIT_346</t>
        </is>
      </c>
      <c r="C1333" t="inlineStr">
        <is>
          <t>Douala</t>
        </is>
      </c>
      <c r="D1333" t="inlineStr">
        <is>
          <t>IHS</t>
        </is>
      </c>
      <c r="E1333" t="inlineStr">
        <is>
          <t>Grid-Gen</t>
        </is>
      </c>
      <c r="F1333" t="inlineStr">
        <is>
          <t>LITTORAL</t>
        </is>
      </c>
      <c r="G1333" t="inlineStr">
        <is>
          <t>Douala</t>
        </is>
      </c>
      <c r="H1333" t="inlineStr">
        <is>
          <t>ZTE</t>
        </is>
      </c>
      <c r="I1333" t="n">
        <v>4.314216269586485</v>
      </c>
      <c r="J1333" t="n">
        <v>2.81232432447857</v>
      </c>
      <c r="K1333" t="n">
        <v>0</v>
      </c>
      <c r="L1333" t="n">
        <v>0</v>
      </c>
      <c r="M1333" t="n">
        <v>0</v>
      </c>
      <c r="N1333" t="n">
        <v>0</v>
      </c>
      <c r="O1333" t="n">
        <v>0</v>
      </c>
      <c r="P1333" t="n">
        <v>0</v>
      </c>
      <c r="Q1333" t="n">
        <v>0</v>
      </c>
      <c r="R1333" t="inlineStr">
        <is>
          <t>Operationnel</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row>
    <row r="1334">
      <c r="A1334" t="inlineStr">
        <is>
          <t>Ndogp-Lycee</t>
        </is>
      </c>
      <c r="B1334" t="inlineStr">
        <is>
          <t>LIT_038</t>
        </is>
      </c>
      <c r="C1334" t="inlineStr">
        <is>
          <t>Douala</t>
        </is>
      </c>
      <c r="D1334" t="inlineStr">
        <is>
          <t>IHS</t>
        </is>
      </c>
      <c r="E1334" t="inlineStr">
        <is>
          <t>Grid-Gen</t>
        </is>
      </c>
      <c r="F1334" t="inlineStr">
        <is>
          <t>LITTORAL</t>
        </is>
      </c>
      <c r="G1334" t="inlineStr">
        <is>
          <t>Douala</t>
        </is>
      </c>
      <c r="H1334" t="inlineStr">
        <is>
          <t>ZTE</t>
        </is>
      </c>
      <c r="I1334" t="n">
        <v>1.000744079467402</v>
      </c>
      <c r="J1334" t="n">
        <v>2.798288117842783</v>
      </c>
      <c r="K1334" t="n">
        <v>0</v>
      </c>
      <c r="L1334" t="n">
        <v>0</v>
      </c>
      <c r="M1334" t="n">
        <v>0</v>
      </c>
      <c r="N1334" t="n">
        <v>0</v>
      </c>
      <c r="O1334" t="n">
        <v>0</v>
      </c>
      <c r="P1334" t="n">
        <v>0</v>
      </c>
      <c r="Q1334" t="n">
        <v>0</v>
      </c>
      <c r="R1334" t="inlineStr">
        <is>
          <t>Operationnel</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row>
    <row r="1335">
      <c r="A1335" t="inlineStr">
        <is>
          <t>Messassi-MTN-IHS</t>
        </is>
      </c>
      <c r="B1335" t="inlineStr">
        <is>
          <t>CTR_468</t>
        </is>
      </c>
      <c r="C1335" t="inlineStr">
        <is>
          <t>Yaounde</t>
        </is>
      </c>
      <c r="D1335" t="inlineStr">
        <is>
          <t>IHS</t>
        </is>
      </c>
      <c r="E1335" t="inlineStr">
        <is>
          <t>Grid-Gen</t>
        </is>
      </c>
      <c r="F1335" t="inlineStr">
        <is>
          <t>CENTRE</t>
        </is>
      </c>
      <c r="G1335" t="inlineStr">
        <is>
          <t>Yaounde</t>
        </is>
      </c>
      <c r="H1335" t="inlineStr">
        <is>
          <t>ZTE</t>
        </is>
      </c>
      <c r="I1335" t="n">
        <v>0</v>
      </c>
      <c r="J1335" t="n">
        <v>2.674708860181544</v>
      </c>
      <c r="K1335" t="n">
        <v>0</v>
      </c>
      <c r="L1335" t="n">
        <v>0</v>
      </c>
      <c r="M1335" t="n">
        <v>0</v>
      </c>
      <c r="N1335" t="n">
        <v>0</v>
      </c>
      <c r="O1335" t="n">
        <v>0</v>
      </c>
      <c r="P1335" t="n">
        <v>0</v>
      </c>
      <c r="Q1335" t="n">
        <v>0</v>
      </c>
      <c r="R1335" t="inlineStr">
        <is>
          <t>Operationnel</t>
        </is>
      </c>
      <c r="S1335" t="inlineStr"/>
      <c r="T1335" t="inlineStr"/>
      <c r="U1335" t="inlineStr"/>
      <c r="V1335" t="inlineStr"/>
      <c r="W1335" t="inlineStr"/>
      <c r="X1335" t="inlineStr">
        <is>
          <t>{05-25-2026 retour IHS}: IHS</t>
        </is>
      </c>
      <c r="Y1335" t="inlineStr">
        <is>
          <t>IHS</t>
        </is>
      </c>
      <c r="Z1335" t="inlineStr"/>
      <c r="AA1335" t="inlineStr"/>
      <c r="AB1335" t="inlineStr"/>
      <c r="AC1335" t="inlineStr"/>
      <c r="AD1335" t="inlineStr">
        <is>
          <t>{05-25-2026 retour IHS}: IHS</t>
        </is>
      </c>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row>
    <row r="1336">
      <c r="A1336" t="inlineStr">
        <is>
          <t>Ndogp-Nodal</t>
        </is>
      </c>
      <c r="B1336" t="inlineStr">
        <is>
          <t>LIT_093</t>
        </is>
      </c>
      <c r="C1336" t="inlineStr">
        <is>
          <t>Douala</t>
        </is>
      </c>
      <c r="D1336" t="inlineStr"/>
      <c r="E1336" t="inlineStr"/>
      <c r="F1336" t="inlineStr">
        <is>
          <t>LITTORAL</t>
        </is>
      </c>
      <c r="G1336" t="inlineStr">
        <is>
          <t>Douala</t>
        </is>
      </c>
      <c r="H1336" t="inlineStr">
        <is>
          <t>ZTE</t>
        </is>
      </c>
      <c r="I1336" t="n">
        <v>0.1688446864307872</v>
      </c>
      <c r="J1336" t="n">
        <v>1.844771325759846</v>
      </c>
      <c r="K1336" t="n">
        <v>0</v>
      </c>
      <c r="L1336" t="n">
        <v>0</v>
      </c>
      <c r="M1336" t="n">
        <v>0</v>
      </c>
      <c r="N1336" t="n">
        <v>0</v>
      </c>
      <c r="O1336" t="n">
        <v>0</v>
      </c>
      <c r="P1336" t="n">
        <v>0</v>
      </c>
      <c r="Q1336" t="n">
        <v>0</v>
      </c>
      <c r="R1336" t="inlineStr">
        <is>
          <t>Operationnel</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row>
    <row r="1337">
      <c r="A1337" t="inlineStr">
        <is>
          <t>Song-Kot-IHS</t>
        </is>
      </c>
      <c r="B1337" t="inlineStr">
        <is>
          <t>LIT_374</t>
        </is>
      </c>
      <c r="C1337" t="inlineStr">
        <is>
          <t>Douala</t>
        </is>
      </c>
      <c r="D1337" t="inlineStr">
        <is>
          <t>IHS</t>
        </is>
      </c>
      <c r="E1337" t="inlineStr">
        <is>
          <t>Grid-Gen</t>
        </is>
      </c>
      <c r="F1337" t="inlineStr">
        <is>
          <t>LITTORAL</t>
        </is>
      </c>
      <c r="G1337" t="inlineStr">
        <is>
          <t>Douala</t>
        </is>
      </c>
      <c r="H1337" t="inlineStr">
        <is>
          <t>ZTE</t>
        </is>
      </c>
      <c r="I1337" t="n">
        <v>0.05566327942859241</v>
      </c>
      <c r="J1337" t="n">
        <v>1.839777503830974</v>
      </c>
      <c r="K1337" t="n">
        <v>0</v>
      </c>
      <c r="L1337" t="n">
        <v>0</v>
      </c>
      <c r="M1337" t="n">
        <v>0</v>
      </c>
      <c r="N1337" t="n">
        <v>0</v>
      </c>
      <c r="O1337" t="n">
        <v>0</v>
      </c>
      <c r="P1337" t="n">
        <v>0</v>
      </c>
      <c r="Q1337" t="n">
        <v>0</v>
      </c>
      <c r="R1337" t="inlineStr">
        <is>
          <t>Operationnel</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row>
    <row r="1338">
      <c r="A1338" t="inlineStr">
        <is>
          <t>Logbaba</t>
        </is>
      </c>
      <c r="B1338" t="inlineStr">
        <is>
          <t>LIT_058</t>
        </is>
      </c>
      <c r="C1338" t="inlineStr">
        <is>
          <t>Douala</t>
        </is>
      </c>
      <c r="D1338" t="inlineStr">
        <is>
          <t>IHS</t>
        </is>
      </c>
      <c r="E1338" t="inlineStr">
        <is>
          <t>Grid-Gen</t>
        </is>
      </c>
      <c r="F1338" t="inlineStr">
        <is>
          <t>LITTORAL</t>
        </is>
      </c>
      <c r="G1338" t="inlineStr">
        <is>
          <t>Douala</t>
        </is>
      </c>
      <c r="H1338" t="inlineStr">
        <is>
          <t>ZTE</t>
        </is>
      </c>
      <c r="I1338" t="n">
        <v>0.1651171550624516</v>
      </c>
      <c r="J1338" t="n">
        <v>1.632123686981535</v>
      </c>
      <c r="K1338" t="n">
        <v>0</v>
      </c>
      <c r="L1338" t="n">
        <v>0</v>
      </c>
      <c r="M1338" t="n">
        <v>0</v>
      </c>
      <c r="N1338" t="n">
        <v>0</v>
      </c>
      <c r="O1338" t="n">
        <v>0</v>
      </c>
      <c r="P1338" t="n">
        <v>0</v>
      </c>
      <c r="Q1338" t="n">
        <v>0</v>
      </c>
      <c r="R1338" t="inlineStr">
        <is>
          <t>Operationnel</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row>
    <row r="1339">
      <c r="A1339" t="inlineStr">
        <is>
          <t>Ndogpassi-Crf-Lotus-MTN</t>
        </is>
      </c>
      <c r="B1339" t="inlineStr">
        <is>
          <t>LIT_683</t>
        </is>
      </c>
      <c r="C1339" t="inlineStr">
        <is>
          <t>Douala</t>
        </is>
      </c>
      <c r="D1339" t="inlineStr">
        <is>
          <t>MTN sharing</t>
        </is>
      </c>
      <c r="E1339" t="inlineStr">
        <is>
          <t>MTN sharing</t>
        </is>
      </c>
      <c r="F1339" t="inlineStr">
        <is>
          <t>LITTORAL</t>
        </is>
      </c>
      <c r="G1339" t="inlineStr">
        <is>
          <t>Douala</t>
        </is>
      </c>
      <c r="H1339" t="inlineStr">
        <is>
          <t>ZTE</t>
        </is>
      </c>
      <c r="I1339" t="n">
        <v>0.6895397979071601</v>
      </c>
      <c r="J1339" t="n">
        <v>1.611791697699703</v>
      </c>
      <c r="K1339" t="n">
        <v>0</v>
      </c>
      <c r="L1339" t="n">
        <v>0</v>
      </c>
      <c r="M1339" t="n">
        <v>0</v>
      </c>
      <c r="N1339" t="n">
        <v>0</v>
      </c>
      <c r="O1339" t="n">
        <v>0</v>
      </c>
      <c r="P1339" t="n">
        <v>0</v>
      </c>
      <c r="Q1339" t="n">
        <v>0</v>
      </c>
      <c r="R1339" t="inlineStr">
        <is>
          <t>Operationnel</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row>
    <row r="1340">
      <c r="A1340" t="inlineStr">
        <is>
          <t>Bertoua-Mokolo</t>
        </is>
      </c>
      <c r="B1340" t="inlineStr">
        <is>
          <t>EST_060</t>
        </is>
      </c>
      <c r="C1340" t="inlineStr">
        <is>
          <t>CENTRE</t>
        </is>
      </c>
      <c r="D1340" t="inlineStr">
        <is>
          <t>IHS</t>
        </is>
      </c>
      <c r="E1340" t="inlineStr">
        <is>
          <t>Grid-Gen</t>
        </is>
      </c>
      <c r="F1340" t="inlineStr">
        <is>
          <t>EST</t>
        </is>
      </c>
      <c r="G1340" t="inlineStr">
        <is>
          <t>Bertoua</t>
        </is>
      </c>
      <c r="H1340" t="inlineStr">
        <is>
          <t>ZTE</t>
        </is>
      </c>
      <c r="I1340" t="n">
        <v>0</v>
      </c>
      <c r="J1340" t="n">
        <v>1.548084797949966</v>
      </c>
      <c r="K1340" t="n">
        <v>0</v>
      </c>
      <c r="L1340" t="n">
        <v>0</v>
      </c>
      <c r="M1340" t="n">
        <v>0</v>
      </c>
      <c r="N1340" t="n">
        <v>0</v>
      </c>
      <c r="O1340" t="n">
        <v>0</v>
      </c>
      <c r="P1340" t="n">
        <v>0</v>
      </c>
      <c r="Q1340" t="n">
        <v>0</v>
      </c>
      <c r="R1340" t="inlineStr">
        <is>
          <t>Operationnel</t>
        </is>
      </c>
      <c r="S1340" t="inlineStr"/>
      <c r="T1340" t="inlineStr"/>
      <c r="U1340" t="inlineStr"/>
      <c r="V1340" t="inlineStr"/>
      <c r="W1340" t="inlineStr"/>
      <c r="X1340" t="inlineStr">
        <is>
          <t>{05-25-2026 incident}:  {05-18-2026 groupe whatsapp incident}: impacted by    EST_060_Z_Bertoua-Mokolo(EST-060)  ,Adeterminer sans action</t>
        </is>
      </c>
      <c r="Y1340" t="inlineStr">
        <is>
          <t>{05-25-2026 incident} {05-18-2026 groupe whatsapp incident} impacted by EST_060_Z_Bertoua-Mokolo(EST-060) ,Adeterminer sans action</t>
        </is>
      </c>
      <c r="Z1340" t="inlineStr"/>
      <c r="AA1340" t="inlineStr">
        <is>
          <t>{05-25-2026 incident}:  {05-18-2026 groupe whatsapp incident}: impacted by    EST_060_Z_Bertoua-Mokolo(EST-060)  ,Adeterminer sans action</t>
        </is>
      </c>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row>
    <row r="1341">
      <c r="A1341" t="inlineStr">
        <is>
          <t>EST_193_Z_Bertoua-Npoklota-Crf-ENIET</t>
        </is>
      </c>
      <c r="B1341" t="inlineStr">
        <is>
          <t>EST_193</t>
        </is>
      </c>
      <c r="C1341" t="inlineStr">
        <is>
          <t>CENTRE</t>
        </is>
      </c>
      <c r="D1341" t="inlineStr">
        <is>
          <t>ESCO</t>
        </is>
      </c>
      <c r="E1341" t="inlineStr">
        <is>
          <t>Bad Grid + Solar + GE</t>
        </is>
      </c>
      <c r="F1341" t="inlineStr">
        <is>
          <t>EST</t>
        </is>
      </c>
      <c r="G1341" t="inlineStr">
        <is>
          <t>Bertoua</t>
        </is>
      </c>
      <c r="H1341" t="inlineStr">
        <is>
          <t>ZTE</t>
        </is>
      </c>
      <c r="I1341" t="n">
        <v>0</v>
      </c>
      <c r="J1341" t="n">
        <v>1.538953237851458</v>
      </c>
      <c r="K1341" t="n">
        <v>0</v>
      </c>
      <c r="L1341" t="n">
        <v>0</v>
      </c>
      <c r="M1341" t="n">
        <v>0</v>
      </c>
      <c r="N1341" t="n">
        <v>0</v>
      </c>
      <c r="O1341" t="n">
        <v>0</v>
      </c>
      <c r="P1341" t="n">
        <v>0</v>
      </c>
      <c r="Q1341" t="n">
        <v>0</v>
      </c>
      <c r="R1341" t="inlineStr">
        <is>
          <t>Operationnel</t>
        </is>
      </c>
      <c r="S1341" t="inlineStr"/>
      <c r="T1341" t="inlineStr"/>
      <c r="U1341" t="inlineStr"/>
      <c r="V1341" t="inlineStr"/>
      <c r="W1341" t="inlineStr"/>
      <c r="X1341" t="inlineStr">
        <is>
          <t>{05-25-2026 incident}:  {05-18-2026 groupe whatsapp incident}: impacted by    EST_060_Z_Bertoua-Mokolo(EST-060)  ,Adeterminer sans action</t>
        </is>
      </c>
      <c r="Y1341" t="inlineStr">
        <is>
          <t>{05-25-2026 incident} {05-18-2026 groupe whatsapp incident} impacted by EST_060_Z_Bertoua-Mokolo(EST-060) ,Adeterminer sans action</t>
        </is>
      </c>
      <c r="Z1341" t="inlineStr"/>
      <c r="AA1341" t="inlineStr">
        <is>
          <t>{05-25-2026 incident}:  {05-18-2026 groupe whatsapp incident}: impacted by    EST_060_Z_Bertoua-Mokolo(EST-060)  ,Adeterminer sans action</t>
        </is>
      </c>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row>
    <row r="1342">
      <c r="A1342" t="inlineStr">
        <is>
          <t>Nyalla</t>
        </is>
      </c>
      <c r="B1342" t="inlineStr">
        <is>
          <t>LIT_059</t>
        </is>
      </c>
      <c r="C1342" t="inlineStr">
        <is>
          <t>Douala</t>
        </is>
      </c>
      <c r="D1342" t="inlineStr">
        <is>
          <t>IHS</t>
        </is>
      </c>
      <c r="E1342" t="inlineStr">
        <is>
          <t>Grid-Gen</t>
        </is>
      </c>
      <c r="F1342" t="inlineStr">
        <is>
          <t>LITTORAL</t>
        </is>
      </c>
      <c r="G1342" t="inlineStr">
        <is>
          <t>Douala</t>
        </is>
      </c>
      <c r="H1342" t="inlineStr">
        <is>
          <t>ZTE</t>
        </is>
      </c>
      <c r="I1342" t="n">
        <v>0.1133597577853686</v>
      </c>
      <c r="J1342" t="n">
        <v>1.502748028867145</v>
      </c>
      <c r="K1342" t="n">
        <v>0</v>
      </c>
      <c r="L1342" t="n">
        <v>0</v>
      </c>
      <c r="M1342" t="n">
        <v>0</v>
      </c>
      <c r="N1342" t="n">
        <v>0</v>
      </c>
      <c r="O1342" t="n">
        <v>0</v>
      </c>
      <c r="P1342" t="n">
        <v>0</v>
      </c>
      <c r="Q1342" t="n">
        <v>0</v>
      </c>
      <c r="R1342" t="inlineStr">
        <is>
          <t>Operationnel</t>
        </is>
      </c>
      <c r="S1342" t="inlineStr"/>
      <c r="T1342" t="inlineStr"/>
      <c r="U1342" t="inlineStr"/>
      <c r="V1342" t="inlineStr"/>
      <c r="W1342" t="inlineStr"/>
      <c r="X1342" t="inlineStr">
        <is>
          <t>{05-25-2026 retour IHS}: IHS</t>
        </is>
      </c>
      <c r="Y1342" t="inlineStr">
        <is>
          <t>IHS</t>
        </is>
      </c>
      <c r="Z1342" t="inlineStr"/>
      <c r="AA1342" t="inlineStr"/>
      <c r="AB1342" t="inlineStr"/>
      <c r="AC1342" t="inlineStr"/>
      <c r="AD1342" t="inlineStr">
        <is>
          <t>{05-25-2026 retour IHS}: IHS</t>
        </is>
      </c>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row>
    <row r="1343">
      <c r="A1343" t="inlineStr">
        <is>
          <t>Japoma-Village</t>
        </is>
      </c>
      <c r="B1343" t="inlineStr">
        <is>
          <t>LIT_254</t>
        </is>
      </c>
      <c r="C1343" t="inlineStr">
        <is>
          <t>Douala</t>
        </is>
      </c>
      <c r="D1343" t="inlineStr">
        <is>
          <t>IHS</t>
        </is>
      </c>
      <c r="E1343" t="inlineStr">
        <is>
          <t>Grid-Gen</t>
        </is>
      </c>
      <c r="F1343" t="inlineStr">
        <is>
          <t>LITTORAL</t>
        </is>
      </c>
      <c r="G1343" t="inlineStr">
        <is>
          <t>Douala</t>
        </is>
      </c>
      <c r="H1343" t="inlineStr">
        <is>
          <t>ZTE</t>
        </is>
      </c>
      <c r="I1343" t="n">
        <v>0.005029492085505645</v>
      </c>
      <c r="J1343" t="n">
        <v>1.126927258562977</v>
      </c>
      <c r="K1343" t="n">
        <v>0</v>
      </c>
      <c r="L1343" t="n">
        <v>0</v>
      </c>
      <c r="M1343" t="n">
        <v>0</v>
      </c>
      <c r="N1343" t="n">
        <v>0</v>
      </c>
      <c r="O1343" t="n">
        <v>0</v>
      </c>
      <c r="P1343" t="n">
        <v>0</v>
      </c>
      <c r="Q1343" t="n">
        <v>0</v>
      </c>
      <c r="R1343" t="inlineStr">
        <is>
          <t>Operationnel</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row>
    <row r="1344">
      <c r="A1344" t="inlineStr">
        <is>
          <t>Bertoua-Lycee-Technique</t>
        </is>
      </c>
      <c r="B1344" t="inlineStr">
        <is>
          <t>EST_131</t>
        </is>
      </c>
      <c r="C1344" t="inlineStr">
        <is>
          <t>CENTRE</t>
        </is>
      </c>
      <c r="D1344" t="inlineStr">
        <is>
          <t>CAMUSAT</t>
        </is>
      </c>
      <c r="E1344" t="inlineStr">
        <is>
          <t>Bad Grid + GE</t>
        </is>
      </c>
      <c r="F1344" t="inlineStr">
        <is>
          <t>EST</t>
        </is>
      </c>
      <c r="G1344" t="inlineStr">
        <is>
          <t>Bertoua</t>
        </is>
      </c>
      <c r="H1344" t="inlineStr">
        <is>
          <t>ZTE</t>
        </is>
      </c>
      <c r="I1344" t="n">
        <v>3.263979847788305</v>
      </c>
      <c r="J1344" t="n">
        <v>1.082410903082758</v>
      </c>
      <c r="K1344" t="n">
        <v>0</v>
      </c>
      <c r="L1344" t="n">
        <v>0</v>
      </c>
      <c r="M1344" t="n">
        <v>0</v>
      </c>
      <c r="N1344" t="n">
        <v>0</v>
      </c>
      <c r="O1344" t="n">
        <v>0</v>
      </c>
      <c r="P1344" t="n">
        <v>0</v>
      </c>
      <c r="Q1344" t="n">
        <v>0</v>
      </c>
      <c r="R1344" t="inlineStr">
        <is>
          <t>Operationnel</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row>
    <row r="1345">
      <c r="A1345" t="inlineStr">
        <is>
          <t>Maroua-Douggoy</t>
        </is>
      </c>
      <c r="B1345" t="inlineStr">
        <is>
          <t>EXN_016</t>
        </is>
      </c>
      <c r="C1345" t="inlineStr">
        <is>
          <t>Maroua</t>
        </is>
      </c>
      <c r="D1345" t="inlineStr">
        <is>
          <t>IHS</t>
        </is>
      </c>
      <c r="E1345" t="inlineStr">
        <is>
          <t>Grid-Gen</t>
        </is>
      </c>
      <c r="F1345" t="inlineStr">
        <is>
          <t>EXTREME-NORD</t>
        </is>
      </c>
      <c r="G1345" t="inlineStr">
        <is>
          <t>Maroua</t>
        </is>
      </c>
      <c r="H1345" t="inlineStr">
        <is>
          <t>Huawei</t>
        </is>
      </c>
      <c r="I1345" t="n">
        <v>0</v>
      </c>
      <c r="J1345" t="n">
        <v>0.9819994121558187</v>
      </c>
      <c r="K1345" t="n">
        <v>0</v>
      </c>
      <c r="L1345" t="n">
        <v>0</v>
      </c>
      <c r="M1345" t="n">
        <v>0</v>
      </c>
      <c r="N1345" t="n">
        <v>0</v>
      </c>
      <c r="O1345" t="n">
        <v>0</v>
      </c>
      <c r="P1345" t="n">
        <v>0</v>
      </c>
      <c r="Q1345" t="n">
        <v>0</v>
      </c>
      <c r="R1345" t="inlineStr">
        <is>
          <t>Operationnel</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row>
    <row r="1346">
      <c r="A1346" t="inlineStr">
        <is>
          <t>Logbaba-SONEL</t>
        </is>
      </c>
      <c r="B1346" t="inlineStr">
        <is>
          <t>LIT_342</t>
        </is>
      </c>
      <c r="C1346" t="inlineStr">
        <is>
          <t>Douala</t>
        </is>
      </c>
      <c r="D1346" t="inlineStr">
        <is>
          <t>IHS</t>
        </is>
      </c>
      <c r="E1346" t="inlineStr">
        <is>
          <t>Grid-GenLithium</t>
        </is>
      </c>
      <c r="F1346" t="inlineStr">
        <is>
          <t>LITTORAL</t>
        </is>
      </c>
      <c r="G1346" t="inlineStr">
        <is>
          <t>Douala</t>
        </is>
      </c>
      <c r="H1346" t="inlineStr">
        <is>
          <t>ZTE</t>
        </is>
      </c>
      <c r="I1346" t="n">
        <v>0.3113826323434149</v>
      </c>
      <c r="J1346" t="n">
        <v>0.9062538345418383</v>
      </c>
      <c r="K1346" t="n">
        <v>0</v>
      </c>
      <c r="L1346" t="n">
        <v>0</v>
      </c>
      <c r="M1346" t="n">
        <v>0</v>
      </c>
      <c r="N1346" t="n">
        <v>0</v>
      </c>
      <c r="O1346" t="n">
        <v>0</v>
      </c>
      <c r="P1346" t="n">
        <v>0</v>
      </c>
      <c r="Q1346" t="n">
        <v>0</v>
      </c>
      <c r="R1346" t="inlineStr">
        <is>
          <t>Operationnel</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row>
    <row r="1347">
      <c r="A1347" t="inlineStr">
        <is>
          <t>Tikondi-MTN</t>
        </is>
      </c>
      <c r="B1347" t="inlineStr">
        <is>
          <t>EST_040</t>
        </is>
      </c>
      <c r="C1347" t="inlineStr">
        <is>
          <t>CENTRE</t>
        </is>
      </c>
      <c r="D1347" t="inlineStr">
        <is>
          <t>IHS</t>
        </is>
      </c>
      <c r="E1347" t="inlineStr">
        <is>
          <t>Grid-Gen</t>
        </is>
      </c>
      <c r="F1347" t="inlineStr">
        <is>
          <t>EST</t>
        </is>
      </c>
      <c r="G1347" t="inlineStr">
        <is>
          <t>Tikondi</t>
        </is>
      </c>
      <c r="H1347" t="inlineStr">
        <is>
          <t>NOKIA</t>
        </is>
      </c>
      <c r="I1347" t="n">
        <v>0</v>
      </c>
      <c r="J1347" t="n">
        <v>0.842885801280131</v>
      </c>
      <c r="K1347" t="n">
        <v>0</v>
      </c>
      <c r="L1347" t="n">
        <v>0</v>
      </c>
      <c r="M1347" t="n">
        <v>0</v>
      </c>
      <c r="N1347" t="n">
        <v>0</v>
      </c>
      <c r="O1347" t="n">
        <v>0</v>
      </c>
      <c r="P1347" t="n">
        <v>0</v>
      </c>
      <c r="Q1347" t="n">
        <v>0</v>
      </c>
      <c r="R1347" t="inlineStr">
        <is>
          <t>Operationnel</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row>
    <row r="1348">
      <c r="A1348" t="inlineStr">
        <is>
          <t>Bonamatoumbe-II</t>
        </is>
      </c>
      <c r="B1348" t="inlineStr">
        <is>
          <t>LIT_364</t>
        </is>
      </c>
      <c r="C1348" t="inlineStr">
        <is>
          <t>Douala</t>
        </is>
      </c>
      <c r="D1348" t="inlineStr">
        <is>
          <t>IHS</t>
        </is>
      </c>
      <c r="E1348" t="inlineStr">
        <is>
          <t>Grid-Gen</t>
        </is>
      </c>
      <c r="F1348" t="inlineStr">
        <is>
          <t>LITTORAL</t>
        </is>
      </c>
      <c r="G1348" t="inlineStr">
        <is>
          <t>Douala</t>
        </is>
      </c>
      <c r="H1348" t="inlineStr">
        <is>
          <t>ZTE</t>
        </is>
      </c>
      <c r="I1348" t="n">
        <v>0.6004535817117682</v>
      </c>
      <c r="J1348" t="n">
        <v>0.8222327805885861</v>
      </c>
      <c r="K1348" t="n">
        <v>0</v>
      </c>
      <c r="L1348" t="n">
        <v>0</v>
      </c>
      <c r="M1348" t="n">
        <v>0</v>
      </c>
      <c r="N1348" t="n">
        <v>0</v>
      </c>
      <c r="O1348" t="n">
        <v>0</v>
      </c>
      <c r="P1348" t="n">
        <v>0</v>
      </c>
      <c r="Q1348" t="n">
        <v>0</v>
      </c>
      <c r="R1348" t="inlineStr">
        <is>
          <t>Operationnel</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row>
    <row r="1349">
      <c r="A1349" t="inlineStr">
        <is>
          <t>Ndogp-Ecole-Publique</t>
        </is>
      </c>
      <c r="B1349" t="inlineStr">
        <is>
          <t>LIT_693</t>
        </is>
      </c>
      <c r="C1349" t="inlineStr">
        <is>
          <t>Douala</t>
        </is>
      </c>
      <c r="D1349" t="inlineStr">
        <is>
          <t>CAMUSAT</t>
        </is>
      </c>
      <c r="E1349" t="inlineStr">
        <is>
          <t>Good Grid no GE - 8h</t>
        </is>
      </c>
      <c r="F1349" t="inlineStr">
        <is>
          <t>LITTORAL</t>
        </is>
      </c>
      <c r="G1349" t="inlineStr">
        <is>
          <t>Douala</t>
        </is>
      </c>
      <c r="H1349" t="inlineStr">
        <is>
          <t>ZTE</t>
        </is>
      </c>
      <c r="I1349" t="n">
        <v>0.4046779270217132</v>
      </c>
      <c r="J1349" t="n">
        <v>0.7386754386715856</v>
      </c>
      <c r="K1349" t="n">
        <v>0</v>
      </c>
      <c r="L1349" t="n">
        <v>0</v>
      </c>
      <c r="M1349" t="n">
        <v>0</v>
      </c>
      <c r="N1349" t="n">
        <v>0</v>
      </c>
      <c r="O1349" t="n">
        <v>0</v>
      </c>
      <c r="P1349" t="n">
        <v>0</v>
      </c>
      <c r="Q1349" t="n">
        <v>0</v>
      </c>
      <c r="R1349" t="inlineStr">
        <is>
          <t>Operationnel</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row>
    <row r="1350">
      <c r="A1350" t="inlineStr">
        <is>
          <t>Ngodi-Cimetiere</t>
        </is>
      </c>
      <c r="B1350" t="inlineStr">
        <is>
          <t>LIT_411</t>
        </is>
      </c>
      <c r="C1350" t="inlineStr">
        <is>
          <t>Douala</t>
        </is>
      </c>
      <c r="D1350" t="inlineStr">
        <is>
          <t>IHS</t>
        </is>
      </c>
      <c r="E1350" t="inlineStr">
        <is>
          <t>Grid-Lithium</t>
        </is>
      </c>
      <c r="F1350" t="inlineStr">
        <is>
          <t>LITTORAL</t>
        </is>
      </c>
      <c r="G1350" t="inlineStr">
        <is>
          <t>Douala</t>
        </is>
      </c>
      <c r="H1350" t="inlineStr">
        <is>
          <t>ZTE</t>
        </is>
      </c>
      <c r="I1350" t="n">
        <v>0.4956546615187497</v>
      </c>
      <c r="J1350" t="n">
        <v>0.7381760564786997</v>
      </c>
      <c r="K1350" t="n">
        <v>0</v>
      </c>
      <c r="L1350" t="n">
        <v>0</v>
      </c>
      <c r="M1350" t="n">
        <v>0</v>
      </c>
      <c r="N1350" t="n">
        <v>0</v>
      </c>
      <c r="O1350" t="n">
        <v>0</v>
      </c>
      <c r="P1350" t="n">
        <v>0</v>
      </c>
      <c r="Q1350" t="n">
        <v>0</v>
      </c>
      <c r="R1350" t="inlineStr">
        <is>
          <t>Operationnel</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row>
    <row r="1351">
      <c r="A1351" t="inlineStr">
        <is>
          <t>Bfsam-Akwa</t>
        </is>
      </c>
      <c r="B1351" t="inlineStr">
        <is>
          <t>OST_109</t>
        </is>
      </c>
      <c r="C1351" t="inlineStr">
        <is>
          <t>Bafoussam</t>
        </is>
      </c>
      <c r="D1351" t="inlineStr">
        <is>
          <t>IHS</t>
        </is>
      </c>
      <c r="E1351" t="inlineStr">
        <is>
          <t>GridOnly</t>
        </is>
      </c>
      <c r="F1351" t="inlineStr">
        <is>
          <t>OUEST</t>
        </is>
      </c>
      <c r="G1351" t="inlineStr">
        <is>
          <t>Bafoussam</t>
        </is>
      </c>
      <c r="H1351" t="inlineStr">
        <is>
          <t>Huawei</t>
        </is>
      </c>
      <c r="I1351" t="n">
        <v>0</v>
      </c>
      <c r="J1351" t="n">
        <v>0.7258698524396962</v>
      </c>
      <c r="K1351" t="n">
        <v>0</v>
      </c>
      <c r="L1351" t="n">
        <v>0</v>
      </c>
      <c r="M1351" t="n">
        <v>0</v>
      </c>
      <c r="N1351" t="n">
        <v>0</v>
      </c>
      <c r="O1351" t="n">
        <v>0</v>
      </c>
      <c r="P1351" t="n">
        <v>0</v>
      </c>
      <c r="Q1351" t="n">
        <v>0</v>
      </c>
      <c r="R1351" t="inlineStr">
        <is>
          <t>Operationnel</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row>
    <row r="1352">
      <c r="A1352" t="inlineStr">
        <is>
          <t>Nyalla-Pariso</t>
        </is>
      </c>
      <c r="B1352" t="inlineStr">
        <is>
          <t>LIT_179</t>
        </is>
      </c>
      <c r="C1352" t="inlineStr">
        <is>
          <t>Douala</t>
        </is>
      </c>
      <c r="D1352" t="inlineStr">
        <is>
          <t>IHS</t>
        </is>
      </c>
      <c r="E1352" t="inlineStr">
        <is>
          <t>Grid-Gen</t>
        </is>
      </c>
      <c r="F1352" t="inlineStr">
        <is>
          <t>LITTORAL</t>
        </is>
      </c>
      <c r="G1352" t="inlineStr">
        <is>
          <t>Douala</t>
        </is>
      </c>
      <c r="H1352" t="inlineStr">
        <is>
          <t>ZTE</t>
        </is>
      </c>
      <c r="I1352" t="n">
        <v>0.03313757551372134</v>
      </c>
      <c r="J1352" t="n">
        <v>0.7038792008743467</v>
      </c>
      <c r="K1352" t="n">
        <v>0</v>
      </c>
      <c r="L1352" t="n">
        <v>0</v>
      </c>
      <c r="M1352" t="n">
        <v>0</v>
      </c>
      <c r="N1352" t="n">
        <v>0</v>
      </c>
      <c r="O1352" t="n">
        <v>0</v>
      </c>
      <c r="P1352" t="n">
        <v>0</v>
      </c>
      <c r="Q1352" t="n">
        <v>0</v>
      </c>
      <c r="R1352" t="inlineStr">
        <is>
          <t>Operationnel</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row>
    <row r="1353">
      <c r="A1353" t="inlineStr">
        <is>
          <t>OST_347_H_Bfsam-Baleng-Lycee</t>
        </is>
      </c>
      <c r="B1353" t="inlineStr">
        <is>
          <t>OST_347</t>
        </is>
      </c>
      <c r="C1353" t="inlineStr"/>
      <c r="D1353" t="inlineStr">
        <is>
          <t>ESCO</t>
        </is>
      </c>
      <c r="E1353" t="inlineStr">
        <is>
          <t>Hybrid Solar - S1</t>
        </is>
      </c>
      <c r="F1353" t="inlineStr">
        <is>
          <t>OST</t>
        </is>
      </c>
      <c r="G1353" t="inlineStr">
        <is>
          <t>Bafoussam</t>
        </is>
      </c>
      <c r="H1353" t="inlineStr">
        <is>
          <t>Huawei</t>
        </is>
      </c>
      <c r="I1353" t="n">
        <v>3.994593831060431</v>
      </c>
      <c r="J1353" t="n">
        <v>0.3056040669685789</v>
      </c>
      <c r="K1353" t="n">
        <v>0</v>
      </c>
      <c r="L1353" t="n">
        <v>0</v>
      </c>
      <c r="M1353" t="n">
        <v>0</v>
      </c>
      <c r="N1353" t="n">
        <v>0</v>
      </c>
      <c r="O1353" t="n">
        <v>0</v>
      </c>
      <c r="P1353" t="n">
        <v>0</v>
      </c>
      <c r="Q1353" t="n">
        <v>0</v>
      </c>
      <c r="R1353" t="inlineStr">
        <is>
          <t>Operationnel</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row>
    <row r="1354">
      <c r="A1354" t="inlineStr">
        <is>
          <t>Bertoua-Crtv</t>
        </is>
      </c>
      <c r="B1354" t="inlineStr">
        <is>
          <t>EST_004</t>
        </is>
      </c>
      <c r="C1354" t="inlineStr">
        <is>
          <t>CENTRE</t>
        </is>
      </c>
      <c r="D1354" t="inlineStr">
        <is>
          <t>CAMUSAT</t>
        </is>
      </c>
      <c r="E1354" t="inlineStr">
        <is>
          <t>Good Grid + GE</t>
        </is>
      </c>
      <c r="F1354" t="inlineStr">
        <is>
          <t>EST</t>
        </is>
      </c>
      <c r="G1354" t="inlineStr">
        <is>
          <t>Bertoua</t>
        </is>
      </c>
      <c r="H1354" t="inlineStr">
        <is>
          <t>ZTE</t>
        </is>
      </c>
      <c r="I1354" t="n">
        <v>0</v>
      </c>
      <c r="J1354" t="n">
        <v>0.2483891357263722</v>
      </c>
      <c r="K1354" t="n">
        <v>0</v>
      </c>
      <c r="L1354" t="n">
        <v>0</v>
      </c>
      <c r="M1354" t="n">
        <v>0</v>
      </c>
      <c r="N1354" t="n">
        <v>0</v>
      </c>
      <c r="O1354" t="n">
        <v>0</v>
      </c>
      <c r="P1354" t="n">
        <v>0</v>
      </c>
      <c r="Q1354" t="n">
        <v>0</v>
      </c>
      <c r="R1354" t="inlineStr">
        <is>
          <t>Operationnel</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row>
    <row r="1355">
      <c r="A1355" t="inlineStr">
        <is>
          <t>Lendi-Chefferie</t>
        </is>
      </c>
      <c r="B1355" t="inlineStr">
        <is>
          <t>LIT_774</t>
        </is>
      </c>
      <c r="C1355" t="inlineStr">
        <is>
          <t>Douala</t>
        </is>
      </c>
      <c r="D1355" t="inlineStr">
        <is>
          <t>CAMUSAT</t>
        </is>
      </c>
      <c r="E1355" t="inlineStr">
        <is>
          <t>Good Grid + GE</t>
        </is>
      </c>
      <c r="F1355" t="inlineStr">
        <is>
          <t>LITTORAL</t>
        </is>
      </c>
      <c r="G1355" t="inlineStr">
        <is>
          <t>Douala</t>
        </is>
      </c>
      <c r="H1355" t="inlineStr">
        <is>
          <t>ZTE</t>
        </is>
      </c>
      <c r="I1355" t="n">
        <v>1.139679339559916</v>
      </c>
      <c r="J1355" t="n">
        <v>0.2029631912519656</v>
      </c>
      <c r="K1355" t="n">
        <v>0</v>
      </c>
      <c r="L1355" t="n">
        <v>0</v>
      </c>
      <c r="M1355" t="n">
        <v>0</v>
      </c>
      <c r="N1355" t="n">
        <v>0</v>
      </c>
      <c r="O1355" t="n">
        <v>0</v>
      </c>
      <c r="P1355" t="n">
        <v>0</v>
      </c>
      <c r="Q1355" t="n">
        <v>0</v>
      </c>
      <c r="R1355" t="inlineStr">
        <is>
          <t>Operationnel</t>
        </is>
      </c>
      <c r="S1355" t="inlineStr"/>
      <c r="T1355" t="inlineStr"/>
      <c r="U1355" t="inlineStr"/>
      <c r="V1355" t="inlineStr"/>
      <c r="W1355" t="inlineStr"/>
      <c r="X1355" t="inlineStr">
        <is>
          <t>{05-25-2026 retour CAMUSAT}: Prise d'air</t>
        </is>
      </c>
      <c r="Y1355" t="inlineStr">
        <is>
          <t>Prise d'air</t>
        </is>
      </c>
      <c r="Z1355" t="inlineStr"/>
      <c r="AA1355" t="inlineStr"/>
      <c r="AB1355" t="inlineStr"/>
      <c r="AC1355" t="inlineStr">
        <is>
          <t>{05-25-2026 retour CAMUSAT}: Prise d'air</t>
        </is>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row>
    <row r="1356">
      <c r="A1356" t="inlineStr">
        <is>
          <t>Kiiki</t>
        </is>
      </c>
      <c r="B1356" t="inlineStr">
        <is>
          <t>CTR_190</t>
        </is>
      </c>
      <c r="C1356" t="inlineStr">
        <is>
          <t>CENTRE</t>
        </is>
      </c>
      <c r="D1356" t="inlineStr">
        <is>
          <t>IHS</t>
        </is>
      </c>
      <c r="E1356" t="inlineStr">
        <is>
          <t>Grid-Gen</t>
        </is>
      </c>
      <c r="F1356" t="inlineStr">
        <is>
          <t>CENTRE</t>
        </is>
      </c>
      <c r="G1356" t="inlineStr">
        <is>
          <t>Kiiki</t>
        </is>
      </c>
      <c r="H1356" t="inlineStr">
        <is>
          <t>NOKIA</t>
        </is>
      </c>
      <c r="I1356" t="n">
        <v>0</v>
      </c>
      <c r="J1356" t="n">
        <v>0.1756576863480324</v>
      </c>
      <c r="K1356" t="n">
        <v>0</v>
      </c>
      <c r="L1356" t="n">
        <v>0</v>
      </c>
      <c r="M1356" t="n">
        <v>0</v>
      </c>
      <c r="N1356" t="n">
        <v>0</v>
      </c>
      <c r="O1356" t="n">
        <v>0</v>
      </c>
      <c r="P1356" t="n">
        <v>0</v>
      </c>
      <c r="Q1356" t="n">
        <v>0</v>
      </c>
      <c r="R1356" t="inlineStr">
        <is>
          <t>Operationnel</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row>
    <row r="1357">
      <c r="A1357" t="inlineStr">
        <is>
          <t>Nkwein-Clinic-St-Louis-MTN</t>
        </is>
      </c>
      <c r="B1357" t="inlineStr">
        <is>
          <t>NRO_244</t>
        </is>
      </c>
      <c r="C1357" t="inlineStr">
        <is>
          <t>NORD-OUEST</t>
        </is>
      </c>
      <c r="D1357" t="inlineStr">
        <is>
          <t>IHS</t>
        </is>
      </c>
      <c r="E1357" t="inlineStr">
        <is>
          <t>Grid-Gen</t>
        </is>
      </c>
      <c r="F1357" t="inlineStr">
        <is>
          <t>NORD-OUEST</t>
        </is>
      </c>
      <c r="G1357" t="inlineStr">
        <is>
          <t>Bamenda</t>
        </is>
      </c>
      <c r="H1357" t="inlineStr">
        <is>
          <t>Huawei</t>
        </is>
      </c>
      <c r="I1357" t="n">
        <v>2.223106842106765</v>
      </c>
      <c r="J1357" t="n">
        <v>0.1645464325562946</v>
      </c>
      <c r="K1357" t="n">
        <v>0</v>
      </c>
      <c r="L1357" t="n">
        <v>0</v>
      </c>
      <c r="M1357" t="n">
        <v>0</v>
      </c>
      <c r="N1357" t="n">
        <v>0</v>
      </c>
      <c r="O1357" t="n">
        <v>0</v>
      </c>
      <c r="P1357" t="n">
        <v>0</v>
      </c>
      <c r="Q1357" t="n">
        <v>0</v>
      </c>
      <c r="R1357" t="inlineStr">
        <is>
          <t>Operationnel</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row>
    <row r="1358">
      <c r="A1358" t="inlineStr">
        <is>
          <t>EST_001_Z_Bertoua</t>
        </is>
      </c>
      <c r="B1358" t="inlineStr">
        <is>
          <t>EST_001</t>
        </is>
      </c>
      <c r="C1358" t="inlineStr">
        <is>
          <t>CENTRE</t>
        </is>
      </c>
      <c r="D1358" t="inlineStr">
        <is>
          <t>OCM</t>
        </is>
      </c>
      <c r="E1358" t="inlineStr">
        <is>
          <t>Grid Gen</t>
        </is>
      </c>
      <c r="F1358" t="inlineStr">
        <is>
          <t>EST</t>
        </is>
      </c>
      <c r="G1358" t="inlineStr">
        <is>
          <t>Bertoua</t>
        </is>
      </c>
      <c r="H1358" t="inlineStr">
        <is>
          <t>ZTE</t>
        </is>
      </c>
      <c r="I1358" t="n">
        <v>0</v>
      </c>
      <c r="J1358" t="n">
        <v>0.151366309679739</v>
      </c>
      <c r="K1358" t="n">
        <v>0</v>
      </c>
      <c r="L1358" t="n">
        <v>0</v>
      </c>
      <c r="M1358" t="n">
        <v>0</v>
      </c>
      <c r="N1358" t="n">
        <v>0</v>
      </c>
      <c r="O1358" t="n">
        <v>0</v>
      </c>
      <c r="P1358" t="n">
        <v>0</v>
      </c>
      <c r="Q1358" t="n">
        <v>0</v>
      </c>
      <c r="R1358" t="inlineStr">
        <is>
          <t>Operationnel</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row>
    <row r="1359">
      <c r="A1359" t="inlineStr">
        <is>
          <t>Camatrans-New</t>
        </is>
      </c>
      <c r="B1359" t="inlineStr">
        <is>
          <t>LIT_311</t>
        </is>
      </c>
      <c r="C1359" t="inlineStr">
        <is>
          <t>Douala</t>
        </is>
      </c>
      <c r="D1359" t="inlineStr">
        <is>
          <t>IHS</t>
        </is>
      </c>
      <c r="E1359" t="inlineStr">
        <is>
          <t>Grid-Gen</t>
        </is>
      </c>
      <c r="F1359" t="inlineStr">
        <is>
          <t>LITTORAL</t>
        </is>
      </c>
      <c r="G1359" t="inlineStr">
        <is>
          <t>Douala</t>
        </is>
      </c>
      <c r="H1359" t="inlineStr">
        <is>
          <t>ZTE</t>
        </is>
      </c>
      <c r="I1359" t="n">
        <v>0</v>
      </c>
      <c r="J1359" t="n">
        <v>0.1480668201910206</v>
      </c>
      <c r="K1359" t="n">
        <v>0</v>
      </c>
      <c r="L1359" t="n">
        <v>0</v>
      </c>
      <c r="M1359" t="n">
        <v>0</v>
      </c>
      <c r="N1359" t="n">
        <v>0</v>
      </c>
      <c r="O1359" t="n">
        <v>0</v>
      </c>
      <c r="P1359" t="n">
        <v>0</v>
      </c>
      <c r="Q1359" t="n">
        <v>0</v>
      </c>
      <c r="R1359" t="inlineStr">
        <is>
          <t>Operationnel</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row>
    <row r="1360">
      <c r="A1360" t="inlineStr">
        <is>
          <t>Pingo-PK10-IHS-New</t>
        </is>
      </c>
      <c r="B1360" t="inlineStr">
        <is>
          <t>LIT_562</t>
        </is>
      </c>
      <c r="C1360" t="inlineStr">
        <is>
          <t>Douala</t>
        </is>
      </c>
      <c r="D1360" t="inlineStr">
        <is>
          <t>IHS</t>
        </is>
      </c>
      <c r="E1360" t="inlineStr">
        <is>
          <t>Grid-Gen</t>
        </is>
      </c>
      <c r="F1360" t="inlineStr">
        <is>
          <t>LITTORAL</t>
        </is>
      </c>
      <c r="G1360" t="inlineStr">
        <is>
          <t>Douala</t>
        </is>
      </c>
      <c r="H1360" t="inlineStr">
        <is>
          <t>ZTE</t>
        </is>
      </c>
      <c r="I1360" t="n">
        <v>0</v>
      </c>
      <c r="J1360" t="n">
        <v>0.1409862940990141</v>
      </c>
      <c r="K1360" t="n">
        <v>0</v>
      </c>
      <c r="L1360" t="n">
        <v>0</v>
      </c>
      <c r="M1360" t="n">
        <v>0</v>
      </c>
      <c r="N1360" t="n">
        <v>0</v>
      </c>
      <c r="O1360" t="n">
        <v>0</v>
      </c>
      <c r="P1360" t="n">
        <v>0</v>
      </c>
      <c r="Q1360" t="n">
        <v>0</v>
      </c>
      <c r="R1360" t="inlineStr">
        <is>
          <t>Operationnel</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row>
    <row r="1361">
      <c r="A1361" t="inlineStr">
        <is>
          <t>Bfsam-Eveche-Carrefour</t>
        </is>
      </c>
      <c r="B1361" t="inlineStr">
        <is>
          <t>OST_066</t>
        </is>
      </c>
      <c r="C1361" t="inlineStr">
        <is>
          <t>Bafoussam</t>
        </is>
      </c>
      <c r="D1361" t="inlineStr">
        <is>
          <t>IHS</t>
        </is>
      </c>
      <c r="E1361" t="inlineStr">
        <is>
          <t>Grid-Gen</t>
        </is>
      </c>
      <c r="F1361" t="inlineStr">
        <is>
          <t>OUEST</t>
        </is>
      </c>
      <c r="G1361" t="inlineStr">
        <is>
          <t>Bafoussam</t>
        </is>
      </c>
      <c r="H1361" t="inlineStr">
        <is>
          <t>Huawei</t>
        </is>
      </c>
      <c r="I1361" t="n">
        <v>0</v>
      </c>
      <c r="J1361" t="n">
        <v>0.1298393701506422</v>
      </c>
      <c r="K1361" t="n">
        <v>0</v>
      </c>
      <c r="L1361" t="n">
        <v>0</v>
      </c>
      <c r="M1361" t="n">
        <v>0</v>
      </c>
      <c r="N1361" t="n">
        <v>0</v>
      </c>
      <c r="O1361" t="n">
        <v>0</v>
      </c>
      <c r="P1361" t="n">
        <v>0</v>
      </c>
      <c r="Q1361" t="n">
        <v>0</v>
      </c>
      <c r="R1361" t="inlineStr">
        <is>
          <t>Operationnel</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row>
    <row r="1362">
      <c r="A1362" t="inlineStr">
        <is>
          <t>Bfsam-Tamdja</t>
        </is>
      </c>
      <c r="B1362" t="inlineStr">
        <is>
          <t>OST_019</t>
        </is>
      </c>
      <c r="C1362" t="inlineStr">
        <is>
          <t>Bafoussam</t>
        </is>
      </c>
      <c r="D1362" t="inlineStr">
        <is>
          <t>CAMUSAT</t>
        </is>
      </c>
      <c r="E1362" t="inlineStr">
        <is>
          <t>Good Grid + GE</t>
        </is>
      </c>
      <c r="F1362" t="inlineStr">
        <is>
          <t>OUEST</t>
        </is>
      </c>
      <c r="G1362" t="inlineStr">
        <is>
          <t>Bafoussam</t>
        </is>
      </c>
      <c r="H1362" t="inlineStr">
        <is>
          <t>Huawei</t>
        </is>
      </c>
      <c r="I1362" t="n">
        <v>0</v>
      </c>
      <c r="J1362" t="n">
        <v>0.1213677079498792</v>
      </c>
      <c r="K1362" t="n">
        <v>0</v>
      </c>
      <c r="L1362" t="n">
        <v>0</v>
      </c>
      <c r="M1362" t="n">
        <v>0</v>
      </c>
      <c r="N1362" t="n">
        <v>0</v>
      </c>
      <c r="O1362" t="n">
        <v>0</v>
      </c>
      <c r="P1362" t="n">
        <v>0</v>
      </c>
      <c r="Q1362" t="n">
        <v>0</v>
      </c>
      <c r="R1362" t="inlineStr">
        <is>
          <t>Operationnel</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row>
    <row r="1363">
      <c r="A1363" t="inlineStr">
        <is>
          <t>Bfsam-Dienso</t>
        </is>
      </c>
      <c r="B1363" t="inlineStr">
        <is>
          <t>OST_120</t>
        </is>
      </c>
      <c r="C1363" t="inlineStr">
        <is>
          <t>Bafoussam</t>
        </is>
      </c>
      <c r="D1363" t="inlineStr">
        <is>
          <t>IHS</t>
        </is>
      </c>
      <c r="E1363" t="inlineStr">
        <is>
          <t>Grid-Gen (LL)</t>
        </is>
      </c>
      <c r="F1363" t="inlineStr">
        <is>
          <t>OUEST</t>
        </is>
      </c>
      <c r="G1363" t="inlineStr">
        <is>
          <t>Bafoussam</t>
        </is>
      </c>
      <c r="H1363" t="inlineStr">
        <is>
          <t>Huawei</t>
        </is>
      </c>
      <c r="I1363" t="n">
        <v>0</v>
      </c>
      <c r="J1363" t="n">
        <v>0.1151254305387906</v>
      </c>
      <c r="K1363" t="n">
        <v>0</v>
      </c>
      <c r="L1363" t="n">
        <v>0</v>
      </c>
      <c r="M1363" t="n">
        <v>0</v>
      </c>
      <c r="N1363" t="n">
        <v>0</v>
      </c>
      <c r="O1363" t="n">
        <v>0</v>
      </c>
      <c r="P1363" t="n">
        <v>0</v>
      </c>
      <c r="Q1363" t="n">
        <v>0</v>
      </c>
      <c r="R1363" t="inlineStr">
        <is>
          <t>Operationnel</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row>
    <row r="1364">
      <c r="A1364" t="inlineStr">
        <is>
          <t>Bfsam-Ndiandam</t>
        </is>
      </c>
      <c r="B1364" t="inlineStr">
        <is>
          <t>OST_119</t>
        </is>
      </c>
      <c r="C1364" t="inlineStr">
        <is>
          <t>Bafoussam</t>
        </is>
      </c>
      <c r="D1364" t="inlineStr">
        <is>
          <t>IHS</t>
        </is>
      </c>
      <c r="E1364" t="inlineStr">
        <is>
          <t>GridOnly</t>
        </is>
      </c>
      <c r="F1364" t="inlineStr">
        <is>
          <t>OUEST</t>
        </is>
      </c>
      <c r="G1364" t="inlineStr">
        <is>
          <t>Bafoussam</t>
        </is>
      </c>
      <c r="H1364" t="inlineStr">
        <is>
          <t>Huawei</t>
        </is>
      </c>
      <c r="I1364" t="n">
        <v>0</v>
      </c>
      <c r="J1364" t="n">
        <v>0.1133240876287336</v>
      </c>
      <c r="K1364" t="n">
        <v>0</v>
      </c>
      <c r="L1364" t="n">
        <v>0</v>
      </c>
      <c r="M1364" t="n">
        <v>0</v>
      </c>
      <c r="N1364" t="n">
        <v>0</v>
      </c>
      <c r="O1364" t="n">
        <v>0</v>
      </c>
      <c r="P1364" t="n">
        <v>0</v>
      </c>
      <c r="Q1364" t="n">
        <v>0</v>
      </c>
      <c r="R1364" t="inlineStr">
        <is>
          <t>Operationnel</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row>
    <row r="1365">
      <c r="A1365" t="inlineStr">
        <is>
          <t>Bfsam-Ndiandam-School</t>
        </is>
      </c>
      <c r="B1365" t="inlineStr">
        <is>
          <t>OST_270</t>
        </is>
      </c>
      <c r="C1365" t="inlineStr">
        <is>
          <t>Bafoussam</t>
        </is>
      </c>
      <c r="D1365" t="inlineStr">
        <is>
          <t>CAMUSAT</t>
        </is>
      </c>
      <c r="E1365" t="inlineStr">
        <is>
          <t>Good Grid no GE - 8h</t>
        </is>
      </c>
      <c r="F1365" t="inlineStr">
        <is>
          <t>OUEST</t>
        </is>
      </c>
      <c r="G1365" t="inlineStr">
        <is>
          <t>Bafoussam</t>
        </is>
      </c>
      <c r="H1365" t="inlineStr">
        <is>
          <t>Huawei</t>
        </is>
      </c>
      <c r="I1365" t="n">
        <v>0</v>
      </c>
      <c r="J1365" t="n">
        <v>0.1129852211407031</v>
      </c>
      <c r="K1365" t="n">
        <v>0</v>
      </c>
      <c r="L1365" t="n">
        <v>0</v>
      </c>
      <c r="M1365" t="n">
        <v>0</v>
      </c>
      <c r="N1365" t="n">
        <v>0</v>
      </c>
      <c r="O1365" t="n">
        <v>0</v>
      </c>
      <c r="P1365" t="n">
        <v>0</v>
      </c>
      <c r="Q1365" t="n">
        <v>0</v>
      </c>
      <c r="R1365" t="inlineStr">
        <is>
          <t>Operationnel</t>
        </is>
      </c>
      <c r="S1365" t="inlineStr"/>
      <c r="T1365" t="inlineStr"/>
      <c r="U1365" t="inlineStr"/>
      <c r="V1365" t="inlineStr"/>
      <c r="W1365" t="inlineStr"/>
      <c r="X1365" t="inlineStr">
        <is>
          <t xml:space="preserve">{05-25-2026 retour CAMUSAT}: No power issue </t>
        </is>
      </c>
      <c r="Y1365" t="inlineStr">
        <is>
          <t>No power issue</t>
        </is>
      </c>
      <c r="Z1365" t="inlineStr"/>
      <c r="AA1365" t="inlineStr"/>
      <c r="AB1365" t="inlineStr"/>
      <c r="AC1365" t="inlineStr">
        <is>
          <t xml:space="preserve">{05-25-2026 retour CAMUSAT}: No power issue </t>
        </is>
      </c>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row>
    <row r="1366">
      <c r="A1366" t="inlineStr">
        <is>
          <t>Port-SUD</t>
        </is>
      </c>
      <c r="B1366" t="inlineStr">
        <is>
          <t>LIT_640</t>
        </is>
      </c>
      <c r="C1366" t="inlineStr">
        <is>
          <t>Douala</t>
        </is>
      </c>
      <c r="D1366" t="inlineStr">
        <is>
          <t>CAMUSAT</t>
        </is>
      </c>
      <c r="E1366" t="inlineStr">
        <is>
          <t>Good Grid + GE</t>
        </is>
      </c>
      <c r="F1366" t="inlineStr">
        <is>
          <t>LITTORAL</t>
        </is>
      </c>
      <c r="G1366" t="inlineStr">
        <is>
          <t>Douala</t>
        </is>
      </c>
      <c r="H1366" t="inlineStr">
        <is>
          <t>ZTE</t>
        </is>
      </c>
      <c r="I1366" t="n">
        <v>0</v>
      </c>
      <c r="J1366" t="n">
        <v>0.1052091269943182</v>
      </c>
      <c r="K1366" t="n">
        <v>0</v>
      </c>
      <c r="L1366" t="n">
        <v>0</v>
      </c>
      <c r="M1366" t="n">
        <v>0</v>
      </c>
      <c r="N1366" t="n">
        <v>0</v>
      </c>
      <c r="O1366" t="n">
        <v>0</v>
      </c>
      <c r="P1366" t="n">
        <v>0</v>
      </c>
      <c r="Q1366" t="n">
        <v>0</v>
      </c>
      <c r="R1366" t="inlineStr">
        <is>
          <t>Operationnel</t>
        </is>
      </c>
      <c r="S1366" t="inlineStr"/>
      <c r="T1366" t="inlineStr"/>
      <c r="U1366" t="inlineStr"/>
      <c r="V1366" t="inlineStr"/>
      <c r="W1366" t="inlineStr"/>
      <c r="X1366" t="inlineStr">
        <is>
          <t xml:space="preserve">{05-25-2026 retour CAMUSAT}: No power issue </t>
        </is>
      </c>
      <c r="Y1366" t="inlineStr">
        <is>
          <t>No power issue</t>
        </is>
      </c>
      <c r="Z1366" t="inlineStr"/>
      <c r="AA1366" t="inlineStr"/>
      <c r="AB1366" t="inlineStr"/>
      <c r="AC1366" t="inlineStr">
        <is>
          <t xml:space="preserve">{05-25-2026 retour CAMUSAT}: No power issue </t>
        </is>
      </c>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row>
    <row r="1367">
      <c r="A1367" t="inlineStr">
        <is>
          <t>Bfsam-Banengo</t>
        </is>
      </c>
      <c r="B1367" t="inlineStr">
        <is>
          <t>OST_003</t>
        </is>
      </c>
      <c r="C1367" t="inlineStr">
        <is>
          <t>Bafoussam</t>
        </is>
      </c>
      <c r="D1367" t="inlineStr">
        <is>
          <t>OCM/Strategique</t>
        </is>
      </c>
      <c r="E1367" t="inlineStr"/>
      <c r="F1367" t="inlineStr">
        <is>
          <t>OUEST</t>
        </is>
      </c>
      <c r="G1367" t="inlineStr">
        <is>
          <t>Bafoussam</t>
        </is>
      </c>
      <c r="H1367" t="inlineStr">
        <is>
          <t>Huawei</t>
        </is>
      </c>
      <c r="I1367" t="n">
        <v>0</v>
      </c>
      <c r="J1367" t="n">
        <v>0.09185065333458892</v>
      </c>
      <c r="K1367" t="n">
        <v>0</v>
      </c>
      <c r="L1367" t="n">
        <v>0</v>
      </c>
      <c r="M1367" t="n">
        <v>0</v>
      </c>
      <c r="N1367" t="n">
        <v>0</v>
      </c>
      <c r="O1367" t="n">
        <v>0</v>
      </c>
      <c r="P1367" t="n">
        <v>0</v>
      </c>
      <c r="Q1367" t="n">
        <v>0</v>
      </c>
      <c r="R1367" t="inlineStr">
        <is>
          <t>Operationnel</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row>
    <row r="1368">
      <c r="A1368" t="inlineStr">
        <is>
          <t>Bfsam-Tyo-II</t>
        </is>
      </c>
      <c r="B1368" t="inlineStr">
        <is>
          <t>OST_232</t>
        </is>
      </c>
      <c r="C1368" t="inlineStr">
        <is>
          <t>Bafoussam</t>
        </is>
      </c>
      <c r="D1368" t="inlineStr">
        <is>
          <t>CAMUSAT</t>
        </is>
      </c>
      <c r="E1368" t="inlineStr">
        <is>
          <t>Good Grid + GE</t>
        </is>
      </c>
      <c r="F1368" t="inlineStr">
        <is>
          <t>OUEST</t>
        </is>
      </c>
      <c r="G1368" t="inlineStr">
        <is>
          <t>Bafoussam</t>
        </is>
      </c>
      <c r="H1368" t="inlineStr">
        <is>
          <t>Huawei</t>
        </is>
      </c>
      <c r="I1368" t="n">
        <v>0</v>
      </c>
      <c r="J1368" t="n">
        <v>0.08428858012801306</v>
      </c>
      <c r="K1368" t="n">
        <v>0</v>
      </c>
      <c r="L1368" t="n">
        <v>0</v>
      </c>
      <c r="M1368" t="n">
        <v>0</v>
      </c>
      <c r="N1368" t="n">
        <v>0</v>
      </c>
      <c r="O1368" t="n">
        <v>0</v>
      </c>
      <c r="P1368" t="n">
        <v>0</v>
      </c>
      <c r="Q1368" t="n">
        <v>0</v>
      </c>
      <c r="R1368" t="inlineStr">
        <is>
          <t>Operationnel</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row>
    <row r="1369">
      <c r="A1369" t="inlineStr">
        <is>
          <t>Bfsam-Njinkwo</t>
        </is>
      </c>
      <c r="B1369" t="inlineStr">
        <is>
          <t>OST_076</t>
        </is>
      </c>
      <c r="C1369" t="inlineStr">
        <is>
          <t>Bafoussam</t>
        </is>
      </c>
      <c r="D1369" t="inlineStr">
        <is>
          <t>IHS</t>
        </is>
      </c>
      <c r="E1369" t="inlineStr">
        <is>
          <t>Grid-Gen</t>
        </is>
      </c>
      <c r="F1369" t="inlineStr">
        <is>
          <t>OUEST</t>
        </is>
      </c>
      <c r="G1369" t="inlineStr">
        <is>
          <t>Bafoussam</t>
        </is>
      </c>
      <c r="H1369" t="inlineStr">
        <is>
          <t>Huawei</t>
        </is>
      </c>
      <c r="I1369" t="n">
        <v>0</v>
      </c>
      <c r="J1369" t="n">
        <v>0.08293311417589097</v>
      </c>
      <c r="K1369" t="n">
        <v>0</v>
      </c>
      <c r="L1369" t="n">
        <v>0</v>
      </c>
      <c r="M1369" t="n">
        <v>0</v>
      </c>
      <c r="N1369" t="n">
        <v>0</v>
      </c>
      <c r="O1369" t="n">
        <v>0</v>
      </c>
      <c r="P1369" t="n">
        <v>0</v>
      </c>
      <c r="Q1369" t="n">
        <v>0</v>
      </c>
      <c r="R1369" t="inlineStr">
        <is>
          <t>Operationnel</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row>
    <row r="1370">
      <c r="A1370" t="inlineStr">
        <is>
          <t>Bfsam-Tougang-EEC</t>
        </is>
      </c>
      <c r="B1370" t="inlineStr">
        <is>
          <t>OST_077</t>
        </is>
      </c>
      <c r="C1370" t="inlineStr">
        <is>
          <t>Bafoussam</t>
        </is>
      </c>
      <c r="D1370" t="inlineStr">
        <is>
          <t>IHS</t>
        </is>
      </c>
      <c r="E1370" t="inlineStr">
        <is>
          <t>Grid-Gen</t>
        </is>
      </c>
      <c r="F1370" t="inlineStr">
        <is>
          <t>OUEST</t>
        </is>
      </c>
      <c r="G1370" t="inlineStr">
        <is>
          <t>Bafoussam</t>
        </is>
      </c>
      <c r="H1370" t="inlineStr">
        <is>
          <t>Huawei</t>
        </is>
      </c>
      <c r="I1370" t="n">
        <v>0</v>
      </c>
      <c r="J1370" t="n">
        <v>0.07740423989749824</v>
      </c>
      <c r="K1370" t="n">
        <v>0</v>
      </c>
      <c r="L1370" t="n">
        <v>0</v>
      </c>
      <c r="M1370" t="n">
        <v>0</v>
      </c>
      <c r="N1370" t="n">
        <v>0</v>
      </c>
      <c r="O1370" t="n">
        <v>0</v>
      </c>
      <c r="P1370" t="n">
        <v>0</v>
      </c>
      <c r="Q1370" t="n">
        <v>0</v>
      </c>
      <c r="R1370" t="inlineStr">
        <is>
          <t>Operationnel</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row>
    <row r="1371">
      <c r="A1371" t="inlineStr">
        <is>
          <t>Bfsam-Centre</t>
        </is>
      </c>
      <c r="B1371" t="inlineStr">
        <is>
          <t>OST_078</t>
        </is>
      </c>
      <c r="C1371" t="inlineStr">
        <is>
          <t>Bafoussam</t>
        </is>
      </c>
      <c r="D1371" t="inlineStr">
        <is>
          <t>IHS</t>
        </is>
      </c>
      <c r="E1371" t="inlineStr">
        <is>
          <t>GridOnly</t>
        </is>
      </c>
      <c r="F1371" t="inlineStr">
        <is>
          <t>OUEST</t>
        </is>
      </c>
      <c r="G1371" t="inlineStr">
        <is>
          <t>Bafoussam</t>
        </is>
      </c>
      <c r="H1371" t="inlineStr">
        <is>
          <t>Huawei</t>
        </is>
      </c>
      <c r="I1371" t="n">
        <v>0</v>
      </c>
      <c r="J1371" t="n">
        <v>0.07401557501719301</v>
      </c>
      <c r="K1371" t="n">
        <v>0</v>
      </c>
      <c r="L1371" t="n">
        <v>0</v>
      </c>
      <c r="M1371" t="n">
        <v>0</v>
      </c>
      <c r="N1371" t="n">
        <v>0</v>
      </c>
      <c r="O1371" t="n">
        <v>0</v>
      </c>
      <c r="P1371" t="n">
        <v>0</v>
      </c>
      <c r="Q1371" t="n">
        <v>0</v>
      </c>
      <c r="R1371" t="inlineStr">
        <is>
          <t>Operationnel</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row>
    <row r="1372">
      <c r="A1372" t="inlineStr">
        <is>
          <t>Base-Navale</t>
        </is>
      </c>
      <c r="B1372" t="inlineStr">
        <is>
          <t>LIT_347</t>
        </is>
      </c>
      <c r="C1372" t="inlineStr">
        <is>
          <t>Douala</t>
        </is>
      </c>
      <c r="D1372" t="inlineStr">
        <is>
          <t>IHS</t>
        </is>
      </c>
      <c r="E1372" t="inlineStr">
        <is>
          <t>Grid-Gen</t>
        </is>
      </c>
      <c r="F1372" t="inlineStr">
        <is>
          <t>LITTORAL</t>
        </is>
      </c>
      <c r="G1372" t="inlineStr">
        <is>
          <t>Douala</t>
        </is>
      </c>
      <c r="H1372" t="inlineStr">
        <is>
          <t>ZTE</t>
        </is>
      </c>
      <c r="I1372" t="n">
        <v>0</v>
      </c>
      <c r="J1372" t="n">
        <v>0.06975299129933539</v>
      </c>
      <c r="K1372" t="n">
        <v>0</v>
      </c>
      <c r="L1372" t="n">
        <v>0</v>
      </c>
      <c r="M1372" t="n">
        <v>0</v>
      </c>
      <c r="N1372" t="n">
        <v>0</v>
      </c>
      <c r="O1372" t="n">
        <v>0</v>
      </c>
      <c r="P1372" t="n">
        <v>0</v>
      </c>
      <c r="Q1372" t="n">
        <v>0</v>
      </c>
      <c r="R1372" t="inlineStr">
        <is>
          <t>Operationnel</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row>
    <row r="1373">
      <c r="A1373" t="inlineStr">
        <is>
          <t>Douroum-IHS</t>
        </is>
      </c>
      <c r="B1373" t="inlineStr">
        <is>
          <t>NRD_122</t>
        </is>
      </c>
      <c r="C1373" t="inlineStr">
        <is>
          <t>NORD</t>
        </is>
      </c>
      <c r="D1373" t="inlineStr">
        <is>
          <t>IHS</t>
        </is>
      </c>
      <c r="E1373" t="inlineStr">
        <is>
          <t>Grid-Gen</t>
        </is>
      </c>
      <c r="F1373" t="inlineStr">
        <is>
          <t>NORD</t>
        </is>
      </c>
      <c r="G1373" t="inlineStr">
        <is>
          <t>Douroum</t>
        </is>
      </c>
      <c r="H1373" t="inlineStr">
        <is>
          <t>NOKIA</t>
        </is>
      </c>
      <c r="I1373" t="n">
        <v>0.7054130176096427</v>
      </c>
      <c r="J1373" t="n">
        <v>0.05437915378973998</v>
      </c>
      <c r="K1373" t="n">
        <v>0</v>
      </c>
      <c r="L1373" t="n">
        <v>0</v>
      </c>
      <c r="M1373" t="n">
        <v>0</v>
      </c>
      <c r="N1373" t="n">
        <v>0</v>
      </c>
      <c r="O1373" t="n">
        <v>0</v>
      </c>
      <c r="P1373" t="n">
        <v>0</v>
      </c>
      <c r="Q1373" t="n">
        <v>0</v>
      </c>
      <c r="R1373" t="inlineStr">
        <is>
          <t>Operationnel</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row>
    <row r="1374">
      <c r="A1374" t="inlineStr">
        <is>
          <t>Bfsam-Marche-New</t>
        </is>
      </c>
      <c r="B1374" t="inlineStr">
        <is>
          <t>OST_223</t>
        </is>
      </c>
      <c r="C1374" t="inlineStr">
        <is>
          <t>Bafoussam</t>
        </is>
      </c>
      <c r="D1374" t="inlineStr">
        <is>
          <t>IHS</t>
        </is>
      </c>
      <c r="E1374" t="inlineStr">
        <is>
          <t>Grid-Gen</t>
        </is>
      </c>
      <c r="F1374" t="inlineStr">
        <is>
          <t>OUEST</t>
        </is>
      </c>
      <c r="G1374" t="inlineStr">
        <is>
          <t>Bafoussam</t>
        </is>
      </c>
      <c r="H1374" t="inlineStr">
        <is>
          <t>Huawei</t>
        </is>
      </c>
      <c r="I1374" t="n">
        <v>0</v>
      </c>
      <c r="J1374" t="n">
        <v>0.05161471665054376</v>
      </c>
      <c r="K1374" t="n">
        <v>0</v>
      </c>
      <c r="L1374" t="n">
        <v>0</v>
      </c>
      <c r="M1374" t="n">
        <v>0</v>
      </c>
      <c r="N1374" t="n">
        <v>0</v>
      </c>
      <c r="O1374" t="n">
        <v>0</v>
      </c>
      <c r="P1374" t="n">
        <v>0</v>
      </c>
      <c r="Q1374" t="n">
        <v>0</v>
      </c>
      <c r="R1374" t="inlineStr">
        <is>
          <t>Operationnel</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row>
    <row r="1375">
      <c r="A1375" t="inlineStr">
        <is>
          <t>Bfsam-Stade</t>
        </is>
      </c>
      <c r="B1375" t="inlineStr">
        <is>
          <t>OST_110</t>
        </is>
      </c>
      <c r="C1375" t="inlineStr">
        <is>
          <t>Bafoussam</t>
        </is>
      </c>
      <c r="D1375" t="inlineStr">
        <is>
          <t>IHS</t>
        </is>
      </c>
      <c r="E1375" t="inlineStr">
        <is>
          <t>GridOnly</t>
        </is>
      </c>
      <c r="F1375" t="inlineStr">
        <is>
          <t>OUEST</t>
        </is>
      </c>
      <c r="G1375" t="inlineStr">
        <is>
          <t>Bafoussam</t>
        </is>
      </c>
      <c r="H1375" t="inlineStr">
        <is>
          <t>Huawei</t>
        </is>
      </c>
      <c r="I1375" t="n">
        <v>0</v>
      </c>
      <c r="J1375" t="n">
        <v>0.0505624470298174</v>
      </c>
      <c r="K1375" t="n">
        <v>0</v>
      </c>
      <c r="L1375" t="n">
        <v>0</v>
      </c>
      <c r="M1375" t="n">
        <v>0</v>
      </c>
      <c r="N1375" t="n">
        <v>0</v>
      </c>
      <c r="O1375" t="n">
        <v>0</v>
      </c>
      <c r="P1375" t="n">
        <v>0</v>
      </c>
      <c r="Q1375" t="n">
        <v>0</v>
      </c>
      <c r="R1375" t="inlineStr">
        <is>
          <t>Operationnel</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row>
    <row r="1376">
      <c r="A1376" t="inlineStr">
        <is>
          <t>Bfsam-Tougang</t>
        </is>
      </c>
      <c r="B1376" t="inlineStr">
        <is>
          <t>OST_064</t>
        </is>
      </c>
      <c r="C1376" t="inlineStr">
        <is>
          <t>Bafoussam</t>
        </is>
      </c>
      <c r="D1376" t="inlineStr">
        <is>
          <t>IHS</t>
        </is>
      </c>
      <c r="E1376" t="inlineStr">
        <is>
          <t>Grid-Gen</t>
        </is>
      </c>
      <c r="F1376" t="inlineStr">
        <is>
          <t>OUEST</t>
        </is>
      </c>
      <c r="G1376" t="inlineStr">
        <is>
          <t>Bafoussam</t>
        </is>
      </c>
      <c r="H1376" t="inlineStr">
        <is>
          <t>Huawei</t>
        </is>
      </c>
      <c r="I1376" t="n">
        <v>0</v>
      </c>
      <c r="J1376" t="n">
        <v>0.04984904389712157</v>
      </c>
      <c r="K1376" t="n">
        <v>0</v>
      </c>
      <c r="L1376" t="n">
        <v>0</v>
      </c>
      <c r="M1376" t="n">
        <v>0</v>
      </c>
      <c r="N1376" t="n">
        <v>0</v>
      </c>
      <c r="O1376" t="n">
        <v>0</v>
      </c>
      <c r="P1376" t="n">
        <v>0</v>
      </c>
      <c r="Q1376" t="n">
        <v>0</v>
      </c>
      <c r="R1376" t="inlineStr">
        <is>
          <t>Operationnel</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row>
    <row r="1377">
      <c r="A1377" t="inlineStr">
        <is>
          <t>Bfsam-Tayim-IHS</t>
        </is>
      </c>
      <c r="B1377" t="inlineStr">
        <is>
          <t>OST_213</t>
        </is>
      </c>
      <c r="C1377" t="inlineStr">
        <is>
          <t>Bafoussam</t>
        </is>
      </c>
      <c r="D1377" t="inlineStr">
        <is>
          <t>IHS</t>
        </is>
      </c>
      <c r="E1377" t="inlineStr">
        <is>
          <t>Grid-Gen</t>
        </is>
      </c>
      <c r="F1377" t="inlineStr">
        <is>
          <t>OUEST</t>
        </is>
      </c>
      <c r="G1377" t="inlineStr">
        <is>
          <t>Bafoussam</t>
        </is>
      </c>
      <c r="H1377" t="inlineStr">
        <is>
          <t>Huawei</t>
        </is>
      </c>
      <c r="I1377" t="n">
        <v>0</v>
      </c>
      <c r="J1377" t="n">
        <v>0.0496171878789954</v>
      </c>
      <c r="K1377" t="n">
        <v>0</v>
      </c>
      <c r="L1377" t="n">
        <v>0</v>
      </c>
      <c r="M1377" t="n">
        <v>0</v>
      </c>
      <c r="N1377" t="n">
        <v>0</v>
      </c>
      <c r="O1377" t="n">
        <v>0</v>
      </c>
      <c r="P1377" t="n">
        <v>0</v>
      </c>
      <c r="Q1377" t="n">
        <v>0</v>
      </c>
      <c r="R1377" t="inlineStr">
        <is>
          <t>Operationnel</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row>
    <row r="1378">
      <c r="A1378" t="inlineStr">
        <is>
          <t>Bfsam-Ndjinga</t>
        </is>
      </c>
      <c r="B1378" t="inlineStr">
        <is>
          <t>OST_075</t>
        </is>
      </c>
      <c r="C1378" t="inlineStr">
        <is>
          <t>Bafoussam</t>
        </is>
      </c>
      <c r="D1378" t="inlineStr">
        <is>
          <t>IHS</t>
        </is>
      </c>
      <c r="E1378" t="inlineStr">
        <is>
          <t>Grid-Gen</t>
        </is>
      </c>
      <c r="F1378" t="inlineStr">
        <is>
          <t>OUEST</t>
        </is>
      </c>
      <c r="G1378" t="inlineStr">
        <is>
          <t>Bafoussam</t>
        </is>
      </c>
      <c r="H1378" t="inlineStr">
        <is>
          <t>Huawei</t>
        </is>
      </c>
      <c r="I1378" t="n">
        <v>0</v>
      </c>
      <c r="J1378" t="n">
        <v>0.04895728998125178</v>
      </c>
      <c r="K1378" t="n">
        <v>0</v>
      </c>
      <c r="L1378" t="n">
        <v>0</v>
      </c>
      <c r="M1378" t="n">
        <v>0</v>
      </c>
      <c r="N1378" t="n">
        <v>0</v>
      </c>
      <c r="O1378" t="n">
        <v>0</v>
      </c>
      <c r="P1378" t="n">
        <v>0</v>
      </c>
      <c r="Q1378" t="n">
        <v>0</v>
      </c>
      <c r="R1378" t="inlineStr">
        <is>
          <t>Operationnel</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row>
    <row r="1379">
      <c r="A1379" t="inlineStr">
        <is>
          <t>Bfsam-Leproserie-IHS</t>
        </is>
      </c>
      <c r="B1379" t="inlineStr">
        <is>
          <t>OST_166</t>
        </is>
      </c>
      <c r="C1379" t="inlineStr">
        <is>
          <t>Bafoussam</t>
        </is>
      </c>
      <c r="D1379" t="inlineStr">
        <is>
          <t>IHS</t>
        </is>
      </c>
      <c r="E1379" t="inlineStr">
        <is>
          <t>Grid-Gen</t>
        </is>
      </c>
      <c r="F1379" t="inlineStr">
        <is>
          <t>OUEST</t>
        </is>
      </c>
      <c r="G1379" t="inlineStr">
        <is>
          <t>Bafoussam</t>
        </is>
      </c>
      <c r="H1379" t="inlineStr">
        <is>
          <t>Huawei</t>
        </is>
      </c>
      <c r="I1379" t="n">
        <v>0</v>
      </c>
      <c r="J1379" t="n">
        <v>0.0487789391980778</v>
      </c>
      <c r="K1379" t="n">
        <v>0</v>
      </c>
      <c r="L1379" t="n">
        <v>0</v>
      </c>
      <c r="M1379" t="n">
        <v>0</v>
      </c>
      <c r="N1379" t="n">
        <v>0</v>
      </c>
      <c r="O1379" t="n">
        <v>0</v>
      </c>
      <c r="P1379" t="n">
        <v>0</v>
      </c>
      <c r="Q1379" t="n">
        <v>0</v>
      </c>
      <c r="R1379" t="inlineStr">
        <is>
          <t>Operationnel</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row>
    <row r="1380">
      <c r="A1380" t="inlineStr">
        <is>
          <t>Bfsam-Tayim-II</t>
        </is>
      </c>
      <c r="B1380" t="inlineStr">
        <is>
          <t>OST_291</t>
        </is>
      </c>
      <c r="C1380" t="inlineStr">
        <is>
          <t>Bafoussam</t>
        </is>
      </c>
      <c r="D1380" t="inlineStr">
        <is>
          <t>CAMUSAT</t>
        </is>
      </c>
      <c r="E1380" t="inlineStr">
        <is>
          <t>Good Grid no GE - 8h</t>
        </is>
      </c>
      <c r="F1380" t="inlineStr">
        <is>
          <t>OUEST</t>
        </is>
      </c>
      <c r="G1380" t="inlineStr">
        <is>
          <t>Bafoussam</t>
        </is>
      </c>
      <c r="H1380" t="inlineStr">
        <is>
          <t>Huawei</t>
        </is>
      </c>
      <c r="I1380" t="n">
        <v>0</v>
      </c>
      <c r="J1380" t="n">
        <v>0.04824388684855593</v>
      </c>
      <c r="K1380" t="n">
        <v>0</v>
      </c>
      <c r="L1380" t="n">
        <v>0</v>
      </c>
      <c r="M1380" t="n">
        <v>0</v>
      </c>
      <c r="N1380" t="n">
        <v>0</v>
      </c>
      <c r="O1380" t="n">
        <v>0</v>
      </c>
      <c r="P1380" t="n">
        <v>0</v>
      </c>
      <c r="Q1380" t="n">
        <v>0</v>
      </c>
      <c r="R1380" t="inlineStr">
        <is>
          <t>Operationnel</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row>
    <row r="1381">
      <c r="A1381" t="inlineStr">
        <is>
          <t>Bfsam-Bamendzi-II</t>
        </is>
      </c>
      <c r="B1381" t="inlineStr">
        <is>
          <t>OST_135</t>
        </is>
      </c>
      <c r="C1381" t="inlineStr">
        <is>
          <t>Bafoussam</t>
        </is>
      </c>
      <c r="D1381" t="inlineStr">
        <is>
          <t>IHS</t>
        </is>
      </c>
      <c r="E1381" t="inlineStr">
        <is>
          <t>GridOnly</t>
        </is>
      </c>
      <c r="F1381" t="inlineStr">
        <is>
          <t>OUEST</t>
        </is>
      </c>
      <c r="G1381" t="inlineStr">
        <is>
          <t>Bafoussam</t>
        </is>
      </c>
      <c r="H1381" t="inlineStr">
        <is>
          <t>Huawei</t>
        </is>
      </c>
      <c r="I1381" t="n">
        <v>0</v>
      </c>
      <c r="J1381" t="n">
        <v>0.04574697588412051</v>
      </c>
      <c r="K1381" t="n">
        <v>0</v>
      </c>
      <c r="L1381" t="n">
        <v>0</v>
      </c>
      <c r="M1381" t="n">
        <v>0</v>
      </c>
      <c r="N1381" t="n">
        <v>0</v>
      </c>
      <c r="O1381" t="n">
        <v>0</v>
      </c>
      <c r="P1381" t="n">
        <v>0</v>
      </c>
      <c r="Q1381" t="n">
        <v>0</v>
      </c>
      <c r="R1381" t="inlineStr">
        <is>
          <t>Operationnel</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row>
    <row r="1382">
      <c r="A1382" t="inlineStr">
        <is>
          <t>Bfsam-Bamendzi</t>
        </is>
      </c>
      <c r="B1382" t="inlineStr">
        <is>
          <t>OST_024</t>
        </is>
      </c>
      <c r="C1382" t="inlineStr">
        <is>
          <t>Bafoussam</t>
        </is>
      </c>
      <c r="D1382" t="inlineStr">
        <is>
          <t>IHS</t>
        </is>
      </c>
      <c r="E1382" t="inlineStr">
        <is>
          <t>Grid-Gen</t>
        </is>
      </c>
      <c r="F1382" t="inlineStr">
        <is>
          <t>OUEST</t>
        </is>
      </c>
      <c r="G1382" t="inlineStr">
        <is>
          <t>Bafoussam</t>
        </is>
      </c>
      <c r="H1382" t="inlineStr">
        <is>
          <t>Huawei</t>
        </is>
      </c>
      <c r="I1382" t="n">
        <v>0</v>
      </c>
      <c r="J1382" t="n">
        <v>0.04253666178698923</v>
      </c>
      <c r="K1382" t="n">
        <v>0</v>
      </c>
      <c r="L1382" t="n">
        <v>0</v>
      </c>
      <c r="M1382" t="n">
        <v>0</v>
      </c>
      <c r="N1382" t="n">
        <v>0</v>
      </c>
      <c r="O1382" t="n">
        <v>0</v>
      </c>
      <c r="P1382" t="n">
        <v>0</v>
      </c>
      <c r="Q1382" t="n">
        <v>0</v>
      </c>
      <c r="R1382" t="inlineStr">
        <is>
          <t>Operationnel</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row>
    <row r="1383">
      <c r="A1383" t="inlineStr">
        <is>
          <t>CHR-Bafoussam</t>
        </is>
      </c>
      <c r="B1383" t="inlineStr">
        <is>
          <t>OST_307</t>
        </is>
      </c>
      <c r="C1383" t="inlineStr">
        <is>
          <t>Bafoussam</t>
        </is>
      </c>
      <c r="D1383" t="inlineStr">
        <is>
          <t>CAMUSAT</t>
        </is>
      </c>
      <c r="E1383" t="inlineStr">
        <is>
          <t>Medium Grid + GE</t>
        </is>
      </c>
      <c r="F1383" t="inlineStr">
        <is>
          <t>OUEST</t>
        </is>
      </c>
      <c r="G1383" t="inlineStr">
        <is>
          <t>Bafoussam</t>
        </is>
      </c>
      <c r="H1383" t="inlineStr">
        <is>
          <t>NOKIA</t>
        </is>
      </c>
      <c r="I1383" t="n">
        <v>0</v>
      </c>
      <c r="J1383" t="n">
        <v>0.04134171153972348</v>
      </c>
      <c r="K1383" t="n">
        <v>0</v>
      </c>
      <c r="L1383" t="n">
        <v>0</v>
      </c>
      <c r="M1383" t="n">
        <v>0</v>
      </c>
      <c r="N1383" t="n">
        <v>0</v>
      </c>
      <c r="O1383" t="n">
        <v>0</v>
      </c>
      <c r="P1383" t="n">
        <v>0</v>
      </c>
      <c r="Q1383" t="n">
        <v>0</v>
      </c>
      <c r="R1383" t="inlineStr">
        <is>
          <t>Operationnel</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row>
    <row r="1384">
      <c r="A1384" t="inlineStr">
        <is>
          <t>Kouedjou-IHS</t>
        </is>
      </c>
      <c r="B1384" t="inlineStr">
        <is>
          <t>LIT_502</t>
        </is>
      </c>
      <c r="C1384" t="inlineStr">
        <is>
          <t>LITTORAL</t>
        </is>
      </c>
      <c r="D1384" t="inlineStr">
        <is>
          <t>IHS</t>
        </is>
      </c>
      <c r="E1384" t="inlineStr">
        <is>
          <t>Gen Only</t>
        </is>
      </c>
      <c r="F1384" t="inlineStr">
        <is>
          <t>LITTORAL</t>
        </is>
      </c>
      <c r="G1384" t="inlineStr">
        <is>
          <t>Kouedjou</t>
        </is>
      </c>
      <c r="H1384" t="inlineStr">
        <is>
          <t>NOKIA</t>
        </is>
      </c>
      <c r="I1384" t="n">
        <v>0</v>
      </c>
      <c r="J1384" t="n">
        <v>0.03909575093416311</v>
      </c>
      <c r="K1384" t="n">
        <v>0</v>
      </c>
      <c r="L1384" t="n">
        <v>0</v>
      </c>
      <c r="M1384" t="n">
        <v>0</v>
      </c>
      <c r="N1384" t="n">
        <v>0</v>
      </c>
      <c r="O1384" t="n">
        <v>0</v>
      </c>
      <c r="P1384" t="n">
        <v>0</v>
      </c>
      <c r="Q1384" t="n">
        <v>0</v>
      </c>
      <c r="R1384" t="inlineStr">
        <is>
          <t>Operationnel</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row>
    <row r="1385">
      <c r="A1385" t="inlineStr">
        <is>
          <t>SGC_Bonanjo</t>
        </is>
      </c>
      <c r="B1385" t="inlineStr">
        <is>
          <t>LIT_742</t>
        </is>
      </c>
      <c r="C1385" t="inlineStr">
        <is>
          <t>Douala</t>
        </is>
      </c>
      <c r="D1385" t="inlineStr">
        <is>
          <t>CAMUSAT</t>
        </is>
      </c>
      <c r="E1385" t="inlineStr">
        <is>
          <t>Good Grid no GE - 8h</t>
        </is>
      </c>
      <c r="F1385" t="inlineStr">
        <is>
          <t>LITTORAL</t>
        </is>
      </c>
      <c r="G1385" t="inlineStr">
        <is>
          <t>Douala</t>
        </is>
      </c>
      <c r="H1385" t="inlineStr">
        <is>
          <t>ZTE</t>
        </is>
      </c>
      <c r="I1385" t="n">
        <v>0.005564544435027366</v>
      </c>
      <c r="J1385" t="n">
        <v>0.03713263305681827</v>
      </c>
      <c r="K1385" t="n">
        <v>0</v>
      </c>
      <c r="L1385" t="n">
        <v>0</v>
      </c>
      <c r="M1385" t="n">
        <v>0</v>
      </c>
      <c r="N1385" t="n">
        <v>0</v>
      </c>
      <c r="O1385" t="n">
        <v>0</v>
      </c>
      <c r="P1385" t="n">
        <v>0</v>
      </c>
      <c r="Q1385" t="n">
        <v>0</v>
      </c>
      <c r="R1385" t="inlineStr">
        <is>
          <t>Operationnel</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row>
    <row r="1386">
      <c r="A1386" t="inlineStr">
        <is>
          <t>Bapa</t>
        </is>
      </c>
      <c r="B1386" t="inlineStr">
        <is>
          <t>OST_259</t>
        </is>
      </c>
      <c r="C1386" t="inlineStr">
        <is>
          <t>OUEST</t>
        </is>
      </c>
      <c r="D1386" t="inlineStr">
        <is>
          <t>CAMUSAT</t>
        </is>
      </c>
      <c r="E1386" t="inlineStr">
        <is>
          <t>Hybrid Solar - S1</t>
        </is>
      </c>
      <c r="F1386" t="inlineStr">
        <is>
          <t>OUEST</t>
        </is>
      </c>
      <c r="G1386" t="inlineStr">
        <is>
          <t>Bapa</t>
        </is>
      </c>
      <c r="H1386" t="inlineStr">
        <is>
          <t>NOKIA</t>
        </is>
      </c>
      <c r="I1386" t="n">
        <v>0</v>
      </c>
      <c r="J1386" t="n">
        <v>0.03536696030339585</v>
      </c>
      <c r="K1386" t="n">
        <v>0</v>
      </c>
      <c r="L1386" t="n">
        <v>0</v>
      </c>
      <c r="M1386" t="n">
        <v>0</v>
      </c>
      <c r="N1386" t="n">
        <v>0</v>
      </c>
      <c r="O1386" t="n">
        <v>0</v>
      </c>
      <c r="P1386" t="n">
        <v>0</v>
      </c>
      <c r="Q1386" t="n">
        <v>0</v>
      </c>
      <c r="R1386" t="inlineStr">
        <is>
          <t>Operationnel</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row>
    <row r="1387">
      <c r="A1387" t="inlineStr">
        <is>
          <t>Zokok</t>
        </is>
      </c>
      <c r="B1387" t="inlineStr">
        <is>
          <t>EXN_009</t>
        </is>
      </c>
      <c r="C1387" t="inlineStr">
        <is>
          <t>Maroua</t>
        </is>
      </c>
      <c r="D1387" t="inlineStr">
        <is>
          <t>OCM/Strategique</t>
        </is>
      </c>
      <c r="E1387" t="inlineStr"/>
      <c r="F1387" t="inlineStr">
        <is>
          <t>EXTREME-NORD</t>
        </is>
      </c>
      <c r="G1387" t="inlineStr">
        <is>
          <t>Maroua</t>
        </is>
      </c>
      <c r="H1387" t="inlineStr">
        <is>
          <t>Huawei</t>
        </is>
      </c>
      <c r="I1387" t="n">
        <v>0</v>
      </c>
      <c r="J1387" t="n">
        <v>0.0270201436508548</v>
      </c>
      <c r="K1387" t="n">
        <v>0</v>
      </c>
      <c r="L1387" t="n">
        <v>0</v>
      </c>
      <c r="M1387" t="n">
        <v>0</v>
      </c>
      <c r="N1387" t="n">
        <v>0</v>
      </c>
      <c r="O1387" t="n">
        <v>0</v>
      </c>
      <c r="P1387" t="n">
        <v>0</v>
      </c>
      <c r="Q1387" t="n">
        <v>0</v>
      </c>
      <c r="R1387" t="inlineStr">
        <is>
          <t>Operationnel</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row>
    <row r="1388">
      <c r="A1388" t="inlineStr">
        <is>
          <t>Bati</t>
        </is>
      </c>
      <c r="B1388" t="inlineStr">
        <is>
          <t>OST_215</t>
        </is>
      </c>
      <c r="C1388" t="inlineStr">
        <is>
          <t>OUEST</t>
        </is>
      </c>
      <c r="D1388" t="inlineStr">
        <is>
          <t>IHS</t>
        </is>
      </c>
      <c r="E1388" t="inlineStr">
        <is>
          <t>Grid-Gen</t>
        </is>
      </c>
      <c r="F1388" t="inlineStr">
        <is>
          <t>OUEST</t>
        </is>
      </c>
      <c r="G1388" t="inlineStr">
        <is>
          <t>Bati</t>
        </is>
      </c>
      <c r="H1388" t="inlineStr">
        <is>
          <t>NOKIA</t>
        </is>
      </c>
      <c r="I1388" t="n">
        <v>0</v>
      </c>
      <c r="J1388" t="n">
        <v>0.02033198928183126</v>
      </c>
      <c r="K1388" t="n">
        <v>0</v>
      </c>
      <c r="L1388" t="n">
        <v>0</v>
      </c>
      <c r="M1388" t="n">
        <v>0</v>
      </c>
      <c r="N1388" t="n">
        <v>0</v>
      </c>
      <c r="O1388" t="n">
        <v>0</v>
      </c>
      <c r="P1388" t="n">
        <v>0</v>
      </c>
      <c r="Q1388" t="n">
        <v>0</v>
      </c>
      <c r="R1388" t="inlineStr">
        <is>
          <t>Operationnel</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row>
    <row r="1389">
      <c r="A1389" t="inlineStr">
        <is>
          <t>Buea-Universite</t>
        </is>
      </c>
      <c r="B1389" t="inlineStr">
        <is>
          <t>SUO_062</t>
        </is>
      </c>
      <c r="C1389" t="inlineStr">
        <is>
          <t>SUD-OUEST</t>
        </is>
      </c>
      <c r="D1389" t="inlineStr">
        <is>
          <t>IHS</t>
        </is>
      </c>
      <c r="E1389" t="inlineStr">
        <is>
          <t>Grid-Gen</t>
        </is>
      </c>
      <c r="F1389" t="inlineStr">
        <is>
          <t>SUD-OUEST</t>
        </is>
      </c>
      <c r="G1389" t="inlineStr">
        <is>
          <t>Buea</t>
        </is>
      </c>
      <c r="H1389" t="inlineStr">
        <is>
          <t>Huawei</t>
        </is>
      </c>
      <c r="I1389" t="n">
        <v>0</v>
      </c>
      <c r="J1389" t="n">
        <v>0.003299489488718242</v>
      </c>
      <c r="K1389" t="n">
        <v>0</v>
      </c>
      <c r="L1389" t="n">
        <v>0</v>
      </c>
      <c r="M1389" t="n">
        <v>0</v>
      </c>
      <c r="N1389" t="n">
        <v>0</v>
      </c>
      <c r="O1389" t="n">
        <v>0</v>
      </c>
      <c r="P1389" t="n">
        <v>0</v>
      </c>
      <c r="Q1389" t="n">
        <v>0</v>
      </c>
      <c r="R1389" t="inlineStr">
        <is>
          <t>Operationnel</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row>
    <row r="1390">
      <c r="A1390" t="inlineStr">
        <is>
          <t>Galle</t>
        </is>
      </c>
      <c r="B1390" t="inlineStr">
        <is>
          <t>ADM_028</t>
        </is>
      </c>
      <c r="C1390" t="inlineStr">
        <is>
          <t>ADAMAOUA</t>
        </is>
      </c>
      <c r="D1390" t="inlineStr">
        <is>
          <t>IHS</t>
        </is>
      </c>
      <c r="E1390" t="inlineStr">
        <is>
          <t>Grid-Gen</t>
        </is>
      </c>
      <c r="F1390" t="inlineStr">
        <is>
          <t>ADAMAOUA</t>
        </is>
      </c>
      <c r="G1390" t="inlineStr">
        <is>
          <t>Galle</t>
        </is>
      </c>
      <c r="H1390" t="inlineStr">
        <is>
          <t>NOKIA</t>
        </is>
      </c>
      <c r="I1390" t="n">
        <v>0</v>
      </c>
      <c r="J1390" t="n">
        <v>0.0004280418796174818</v>
      </c>
      <c r="K1390" t="n">
        <v>0</v>
      </c>
      <c r="L1390" t="n">
        <v>0</v>
      </c>
      <c r="M1390" t="n">
        <v>0</v>
      </c>
      <c r="N1390" t="n">
        <v>0</v>
      </c>
      <c r="O1390" t="n">
        <v>0</v>
      </c>
      <c r="P1390" t="n">
        <v>0</v>
      </c>
      <c r="Q1390" t="n">
        <v>0</v>
      </c>
      <c r="R1390" t="inlineStr">
        <is>
          <t>Operationnel</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row>
    <row r="1391">
      <c r="A1391" t="inlineStr">
        <is>
          <t>Mboppi-New</t>
        </is>
      </c>
      <c r="B1391" t="inlineStr">
        <is>
          <t>LIT_736</t>
        </is>
      </c>
      <c r="C1391" t="inlineStr">
        <is>
          <t>Douala</t>
        </is>
      </c>
      <c r="D1391" t="inlineStr">
        <is>
          <t>CAMUSAT</t>
        </is>
      </c>
      <c r="E1391" t="inlineStr">
        <is>
          <t>Good Grid no GE - 8h</t>
        </is>
      </c>
      <c r="F1391" t="inlineStr">
        <is>
          <t>LITTORAL</t>
        </is>
      </c>
      <c r="G1391" t="inlineStr">
        <is>
          <t>Douala</t>
        </is>
      </c>
      <c r="H1391" t="inlineStr">
        <is>
          <t>ZTE</t>
        </is>
      </c>
      <c r="I1391" t="n">
        <v>0</v>
      </c>
      <c r="J1391" t="n">
        <v>2.894843023296444e-17</v>
      </c>
      <c r="K1391" t="n">
        <v>0</v>
      </c>
      <c r="L1391" t="n">
        <v>0</v>
      </c>
      <c r="M1391" t="n">
        <v>0</v>
      </c>
      <c r="N1391" t="n">
        <v>0</v>
      </c>
      <c r="O1391" t="n">
        <v>0</v>
      </c>
      <c r="P1391" t="n">
        <v>0</v>
      </c>
      <c r="Q1391" t="n">
        <v>0</v>
      </c>
      <c r="R1391" t="inlineStr">
        <is>
          <t>Operationnel</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row>
    <row r="1392">
      <c r="A1392" t="inlineStr">
        <is>
          <t>Kayo-Elie</t>
        </is>
      </c>
      <c r="B1392" t="inlineStr">
        <is>
          <t>LIT_047</t>
        </is>
      </c>
      <c r="C1392" t="inlineStr">
        <is>
          <t>Douala</t>
        </is>
      </c>
      <c r="D1392" t="inlineStr">
        <is>
          <t>IHS</t>
        </is>
      </c>
      <c r="E1392" t="inlineStr">
        <is>
          <t>Grid-Gen</t>
        </is>
      </c>
      <c r="F1392" t="inlineStr">
        <is>
          <t>LITTORAL</t>
        </is>
      </c>
      <c r="G1392" t="inlineStr">
        <is>
          <t>Douala</t>
        </is>
      </c>
      <c r="H1392" t="inlineStr">
        <is>
          <t>ZTE</t>
        </is>
      </c>
      <c r="I1392" t="n">
        <v>49.91514069736582</v>
      </c>
      <c r="J1392" t="n">
        <v>0</v>
      </c>
      <c r="K1392" t="n">
        <v>0</v>
      </c>
      <c r="L1392" t="n">
        <v>0</v>
      </c>
      <c r="M1392" t="n">
        <v>0</v>
      </c>
      <c r="N1392" t="n">
        <v>0</v>
      </c>
      <c r="O1392" t="n">
        <v>0</v>
      </c>
      <c r="P1392" t="n">
        <v>0</v>
      </c>
      <c r="Q1392" t="n">
        <v>0</v>
      </c>
      <c r="R1392" t="inlineStr">
        <is>
          <t>Operationnel</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row>
    <row r="1393">
      <c r="A1393" t="inlineStr">
        <is>
          <t>PK19</t>
        </is>
      </c>
      <c r="B1393" t="inlineStr">
        <is>
          <t>LIT_584</t>
        </is>
      </c>
      <c r="C1393" t="inlineStr">
        <is>
          <t>Douala</t>
        </is>
      </c>
      <c r="D1393" t="inlineStr">
        <is>
          <t>CAMUSAT</t>
        </is>
      </c>
      <c r="E1393" t="inlineStr">
        <is>
          <t>HGB</t>
        </is>
      </c>
      <c r="F1393" t="inlineStr">
        <is>
          <t>LITTORAL</t>
        </is>
      </c>
      <c r="G1393" t="inlineStr">
        <is>
          <t>Douala</t>
        </is>
      </c>
      <c r="H1393" t="inlineStr">
        <is>
          <t>ZTE</t>
        </is>
      </c>
      <c r="I1393" t="n">
        <v>41.59917873031365</v>
      </c>
      <c r="J1393" t="n">
        <v>0</v>
      </c>
      <c r="K1393" t="n">
        <v>0</v>
      </c>
      <c r="L1393" t="n">
        <v>0</v>
      </c>
      <c r="M1393" t="n">
        <v>0</v>
      </c>
      <c r="N1393" t="n">
        <v>0</v>
      </c>
      <c r="O1393" t="n">
        <v>0</v>
      </c>
      <c r="P1393" t="n">
        <v>0</v>
      </c>
      <c r="Q1393" t="n">
        <v>0</v>
      </c>
      <c r="R1393" t="inlineStr">
        <is>
          <t>Operationnel</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row>
    <row r="1394">
      <c r="A1394" t="inlineStr">
        <is>
          <t>Emene-City</t>
        </is>
      </c>
      <c r="B1394" t="inlineStr">
        <is>
          <t>LIT_384</t>
        </is>
      </c>
      <c r="C1394" t="inlineStr">
        <is>
          <t>Douala</t>
        </is>
      </c>
      <c r="D1394" t="inlineStr">
        <is>
          <t>IHS</t>
        </is>
      </c>
      <c r="E1394" t="inlineStr">
        <is>
          <t>Grid-Gen</t>
        </is>
      </c>
      <c r="F1394" t="inlineStr">
        <is>
          <t>LITTORAL</t>
        </is>
      </c>
      <c r="G1394" t="inlineStr">
        <is>
          <t>Douala</t>
        </is>
      </c>
      <c r="H1394" t="inlineStr">
        <is>
          <t>ZTE</t>
        </is>
      </c>
      <c r="I1394" t="n">
        <v>20.15258622903664</v>
      </c>
      <c r="J1394" t="n">
        <v>0</v>
      </c>
      <c r="K1394" t="n">
        <v>0</v>
      </c>
      <c r="L1394" t="n">
        <v>0</v>
      </c>
      <c r="M1394" t="n">
        <v>0</v>
      </c>
      <c r="N1394" t="n">
        <v>0</v>
      </c>
      <c r="O1394" t="n">
        <v>0</v>
      </c>
      <c r="P1394" t="n">
        <v>0</v>
      </c>
      <c r="Q1394" t="n">
        <v>0</v>
      </c>
      <c r="R1394" t="inlineStr">
        <is>
          <t>Operationnel</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row>
    <row r="1395">
      <c r="A1395" t="inlineStr">
        <is>
          <t>Nyalla-Kilimandjaro</t>
        </is>
      </c>
      <c r="B1395" t="inlineStr">
        <is>
          <t>LIT_343</t>
        </is>
      </c>
      <c r="C1395" t="inlineStr">
        <is>
          <t>Douala</t>
        </is>
      </c>
      <c r="D1395" t="inlineStr">
        <is>
          <t>IHS</t>
        </is>
      </c>
      <c r="E1395" t="inlineStr">
        <is>
          <t>Grid-Gen</t>
        </is>
      </c>
      <c r="F1395" t="inlineStr">
        <is>
          <t>LITTORAL</t>
        </is>
      </c>
      <c r="G1395" t="inlineStr">
        <is>
          <t>Douala</t>
        </is>
      </c>
      <c r="H1395" t="inlineStr">
        <is>
          <t>ZTE</t>
        </is>
      </c>
      <c r="I1395" t="n">
        <v>5.381164159768058</v>
      </c>
      <c r="J1395" t="n">
        <v>0</v>
      </c>
      <c r="K1395" t="n">
        <v>0</v>
      </c>
      <c r="L1395" t="n">
        <v>0</v>
      </c>
      <c r="M1395" t="n">
        <v>0</v>
      </c>
      <c r="N1395" t="n">
        <v>0</v>
      </c>
      <c r="O1395" t="n">
        <v>0</v>
      </c>
      <c r="P1395" t="n">
        <v>0</v>
      </c>
      <c r="Q1395" t="n">
        <v>0</v>
      </c>
      <c r="R1395" t="inlineStr">
        <is>
          <t>Operationnel</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row>
    <row r="1396">
      <c r="A1396" t="inlineStr">
        <is>
          <t>Bep-Yonyong</t>
        </is>
      </c>
      <c r="B1396" t="inlineStr">
        <is>
          <t>LIT_092</t>
        </is>
      </c>
      <c r="C1396" t="inlineStr">
        <is>
          <t>Douala</t>
        </is>
      </c>
      <c r="D1396" t="inlineStr">
        <is>
          <t>IHS</t>
        </is>
      </c>
      <c r="E1396" t="inlineStr">
        <is>
          <t>GridOnly</t>
        </is>
      </c>
      <c r="F1396" t="inlineStr">
        <is>
          <t>LITTORAL</t>
        </is>
      </c>
      <c r="G1396" t="inlineStr">
        <is>
          <t>Douala</t>
        </is>
      </c>
      <c r="H1396" t="inlineStr">
        <is>
          <t>ZTE</t>
        </is>
      </c>
      <c r="I1396" t="n">
        <v>5.225463926057193</v>
      </c>
      <c r="J1396" t="n">
        <v>0</v>
      </c>
      <c r="K1396" t="n">
        <v>0</v>
      </c>
      <c r="L1396" t="n">
        <v>0</v>
      </c>
      <c r="M1396" t="n">
        <v>0</v>
      </c>
      <c r="N1396" t="n">
        <v>0</v>
      </c>
      <c r="O1396" t="n">
        <v>0</v>
      </c>
      <c r="P1396" t="n">
        <v>0</v>
      </c>
      <c r="Q1396" t="n">
        <v>0</v>
      </c>
      <c r="R1396" t="inlineStr">
        <is>
          <t>Operationnel</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row>
    <row r="1397">
      <c r="A1397" t="inlineStr">
        <is>
          <t>Bepanda-Ambiance</t>
        </is>
      </c>
      <c r="B1397" t="inlineStr">
        <is>
          <t>LIT_687</t>
        </is>
      </c>
      <c r="C1397" t="inlineStr">
        <is>
          <t>Douala</t>
        </is>
      </c>
      <c r="D1397" t="inlineStr">
        <is>
          <t>CAMUSAT</t>
        </is>
      </c>
      <c r="E1397" t="inlineStr">
        <is>
          <t>Good Grid no GE - 8h</t>
        </is>
      </c>
      <c r="F1397" t="inlineStr">
        <is>
          <t>LITTORAL</t>
        </is>
      </c>
      <c r="G1397" t="inlineStr">
        <is>
          <t>Douala</t>
        </is>
      </c>
      <c r="H1397" t="inlineStr">
        <is>
          <t>ZTE</t>
        </is>
      </c>
      <c r="I1397" t="n">
        <v>4.742918047101728</v>
      </c>
      <c r="J1397" t="n">
        <v>0</v>
      </c>
      <c r="K1397" t="n">
        <v>0</v>
      </c>
      <c r="L1397" t="n">
        <v>0</v>
      </c>
      <c r="M1397" t="n">
        <v>0</v>
      </c>
      <c r="N1397" t="n">
        <v>0</v>
      </c>
      <c r="O1397" t="n">
        <v>0</v>
      </c>
      <c r="P1397" t="n">
        <v>0</v>
      </c>
      <c r="Q1397" t="n">
        <v>0</v>
      </c>
      <c r="R1397" t="inlineStr">
        <is>
          <t>Operationnel</t>
        </is>
      </c>
      <c r="S1397" t="inlineStr"/>
      <c r="T1397" t="inlineStr"/>
      <c r="U1397" t="inlineStr"/>
      <c r="V1397" t="inlineStr"/>
      <c r="W1397" t="inlineStr"/>
      <c r="X1397" t="inlineStr">
        <is>
          <t xml:space="preserve">{05-25-2026 retour CAMUSAT}: No power issue </t>
        </is>
      </c>
      <c r="Y1397" t="inlineStr">
        <is>
          <t>No power issue</t>
        </is>
      </c>
      <c r="Z1397" t="inlineStr"/>
      <c r="AA1397" t="inlineStr"/>
      <c r="AB1397" t="inlineStr"/>
      <c r="AC1397" t="inlineStr">
        <is>
          <t xml:space="preserve">{05-25-2026 retour CAMUSAT}: No power issue </t>
        </is>
      </c>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row>
    <row r="1398">
      <c r="A1398" t="inlineStr">
        <is>
          <t>Lendi-Entree</t>
        </is>
      </c>
      <c r="B1398" t="inlineStr">
        <is>
          <t>LIT_297</t>
        </is>
      </c>
      <c r="C1398" t="inlineStr">
        <is>
          <t>Douala</t>
        </is>
      </c>
      <c r="D1398" t="inlineStr">
        <is>
          <t>IHS</t>
        </is>
      </c>
      <c r="E1398" t="inlineStr">
        <is>
          <t>Grid-Gen</t>
        </is>
      </c>
      <c r="F1398" t="inlineStr">
        <is>
          <t>LITTORAL</t>
        </is>
      </c>
      <c r="G1398" t="inlineStr">
        <is>
          <t>Douala</t>
        </is>
      </c>
      <c r="H1398" t="inlineStr">
        <is>
          <t>ZTE</t>
        </is>
      </c>
      <c r="I1398" t="n">
        <v>2.041741930697167</v>
      </c>
      <c r="J1398" t="n">
        <v>0</v>
      </c>
      <c r="K1398" t="n">
        <v>0</v>
      </c>
      <c r="L1398" t="n">
        <v>0</v>
      </c>
      <c r="M1398" t="n">
        <v>0</v>
      </c>
      <c r="N1398" t="n">
        <v>0</v>
      </c>
      <c r="O1398" t="n">
        <v>0</v>
      </c>
      <c r="P1398" t="n">
        <v>0</v>
      </c>
      <c r="Q1398" t="n">
        <v>0</v>
      </c>
      <c r="R1398" t="inlineStr">
        <is>
          <t>Operationnel</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row>
    <row r="1399">
      <c r="A1399" t="inlineStr">
        <is>
          <t>EXN_355_H_Maroua-Hedjere-Miskine</t>
        </is>
      </c>
      <c r="B1399" t="inlineStr">
        <is>
          <t>EXN_355</t>
        </is>
      </c>
      <c r="C1399" t="inlineStr">
        <is>
          <t>Maroua</t>
        </is>
      </c>
      <c r="D1399" t="inlineStr">
        <is>
          <t>ESCO</t>
        </is>
      </c>
      <c r="E1399" t="inlineStr">
        <is>
          <t>Hybrid Solar - S3</t>
        </is>
      </c>
      <c r="F1399" t="inlineStr">
        <is>
          <t>EXN</t>
        </is>
      </c>
      <c r="G1399" t="inlineStr">
        <is>
          <t>Maroua</t>
        </is>
      </c>
      <c r="H1399" t="inlineStr">
        <is>
          <t>Huawei</t>
        </is>
      </c>
      <c r="I1399" t="n">
        <v>2.012117865611972</v>
      </c>
      <c r="J1399" t="n">
        <v>0</v>
      </c>
      <c r="K1399" t="n">
        <v>0</v>
      </c>
      <c r="L1399" t="n">
        <v>0</v>
      </c>
      <c r="M1399" t="n">
        <v>0</v>
      </c>
      <c r="N1399" t="n">
        <v>0</v>
      </c>
      <c r="O1399" t="n">
        <v>0</v>
      </c>
      <c r="P1399" t="n">
        <v>0</v>
      </c>
      <c r="Q1399" t="n">
        <v>0</v>
      </c>
      <c r="R1399" t="inlineStr">
        <is>
          <t>Operationnel</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row>
    <row r="1400">
      <c r="A1400" t="inlineStr">
        <is>
          <t>Garoua-Foulbere</t>
        </is>
      </c>
      <c r="B1400" t="inlineStr">
        <is>
          <t>NRD_045</t>
        </is>
      </c>
      <c r="C1400" t="inlineStr">
        <is>
          <t>Garoua</t>
        </is>
      </c>
      <c r="D1400" t="inlineStr">
        <is>
          <t>IHS</t>
        </is>
      </c>
      <c r="E1400" t="inlineStr">
        <is>
          <t>Grid-Gen</t>
        </is>
      </c>
      <c r="F1400" t="inlineStr">
        <is>
          <t>NORD</t>
        </is>
      </c>
      <c r="G1400" t="inlineStr">
        <is>
          <t>Garoua</t>
        </is>
      </c>
      <c r="H1400" t="inlineStr">
        <is>
          <t>Huawei</t>
        </is>
      </c>
      <c r="I1400" t="n">
        <v>1.898472746573525</v>
      </c>
      <c r="J1400" t="n">
        <v>0</v>
      </c>
      <c r="K1400" t="n">
        <v>0</v>
      </c>
      <c r="L1400" t="n">
        <v>0</v>
      </c>
      <c r="M1400" t="n">
        <v>0</v>
      </c>
      <c r="N1400" t="n">
        <v>0</v>
      </c>
      <c r="O1400" t="n">
        <v>0</v>
      </c>
      <c r="P1400" t="n">
        <v>0</v>
      </c>
      <c r="Q1400" t="n">
        <v>0</v>
      </c>
      <c r="R1400" t="inlineStr">
        <is>
          <t>Operationnel</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row>
    <row r="1401">
      <c r="A1401" t="inlineStr">
        <is>
          <t>Ngong-Marche</t>
        </is>
      </c>
      <c r="B1401" t="inlineStr">
        <is>
          <t>NRD_132</t>
        </is>
      </c>
      <c r="C1401" t="inlineStr">
        <is>
          <t>NORD</t>
        </is>
      </c>
      <c r="D1401" t="inlineStr">
        <is>
          <t>CAMUSAT</t>
        </is>
      </c>
      <c r="E1401" t="inlineStr">
        <is>
          <t>Good Grid + GE</t>
        </is>
      </c>
      <c r="F1401" t="inlineStr">
        <is>
          <t>NORD</t>
        </is>
      </c>
      <c r="G1401" t="inlineStr">
        <is>
          <t>Ngong</t>
        </is>
      </c>
      <c r="H1401" t="inlineStr">
        <is>
          <t>Huawei</t>
        </is>
      </c>
      <c r="I1401" t="n">
        <v>1.676764888009976</v>
      </c>
      <c r="J1401" t="n">
        <v>0</v>
      </c>
      <c r="K1401" t="n">
        <v>0</v>
      </c>
      <c r="L1401" t="n">
        <v>0</v>
      </c>
      <c r="M1401" t="n">
        <v>0</v>
      </c>
      <c r="N1401" t="n">
        <v>0</v>
      </c>
      <c r="O1401" t="n">
        <v>0</v>
      </c>
      <c r="P1401" t="n">
        <v>0</v>
      </c>
      <c r="Q1401" t="n">
        <v>0</v>
      </c>
      <c r="R1401" t="inlineStr">
        <is>
          <t>Operationnel</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row>
    <row r="1402">
      <c r="A1402" t="inlineStr">
        <is>
          <t>Bfsam-Gouache-IHS</t>
        </is>
      </c>
      <c r="B1402" t="inlineStr">
        <is>
          <t>OST_121</t>
        </is>
      </c>
      <c r="C1402" t="inlineStr">
        <is>
          <t>Bafoussam</t>
        </is>
      </c>
      <c r="D1402" t="inlineStr">
        <is>
          <t>IHS</t>
        </is>
      </c>
      <c r="E1402" t="inlineStr">
        <is>
          <t>Grid-Gen</t>
        </is>
      </c>
      <c r="F1402" t="inlineStr">
        <is>
          <t>OUEST</t>
        </is>
      </c>
      <c r="G1402" t="inlineStr">
        <is>
          <t>Bafoussam</t>
        </is>
      </c>
      <c r="H1402" t="inlineStr">
        <is>
          <t>Huawei</t>
        </is>
      </c>
      <c r="I1402" t="n">
        <v>0.7880429354541378</v>
      </c>
      <c r="J1402" t="n">
        <v>0</v>
      </c>
      <c r="K1402" t="n">
        <v>0</v>
      </c>
      <c r="L1402" t="n">
        <v>0</v>
      </c>
      <c r="M1402" t="n">
        <v>0</v>
      </c>
      <c r="N1402" t="n">
        <v>0</v>
      </c>
      <c r="O1402" t="n">
        <v>0</v>
      </c>
      <c r="P1402" t="n">
        <v>0</v>
      </c>
      <c r="Q1402" t="n">
        <v>0</v>
      </c>
      <c r="R1402" t="inlineStr">
        <is>
          <t>Operationnel</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row>
    <row r="1403">
      <c r="A1403" t="inlineStr">
        <is>
          <t>Foumban-Kounga</t>
        </is>
      </c>
      <c r="B1403" t="inlineStr">
        <is>
          <t>OST_028</t>
        </is>
      </c>
      <c r="C1403" t="inlineStr">
        <is>
          <t>OUEST</t>
        </is>
      </c>
      <c r="D1403" t="inlineStr">
        <is>
          <t>IHS</t>
        </is>
      </c>
      <c r="E1403" t="inlineStr">
        <is>
          <t>Grid-Gen</t>
        </is>
      </c>
      <c r="F1403" t="inlineStr">
        <is>
          <t>OUEST</t>
        </is>
      </c>
      <c r="G1403" t="inlineStr">
        <is>
          <t>Foumban</t>
        </is>
      </c>
      <c r="H1403" t="inlineStr">
        <is>
          <t>Huawei</t>
        </is>
      </c>
      <c r="I1403" t="n">
        <v>0.6827803032248676</v>
      </c>
      <c r="J1403" t="n">
        <v>0</v>
      </c>
      <c r="K1403" t="n">
        <v>0</v>
      </c>
      <c r="L1403" t="n">
        <v>0</v>
      </c>
      <c r="M1403" t="n">
        <v>0</v>
      </c>
      <c r="N1403" t="n">
        <v>0</v>
      </c>
      <c r="O1403" t="n">
        <v>0</v>
      </c>
      <c r="P1403" t="n">
        <v>0</v>
      </c>
      <c r="Q1403" t="n">
        <v>0</v>
      </c>
      <c r="R1403" t="inlineStr">
        <is>
          <t>Operationnel</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row>
    <row r="1404">
      <c r="A1404" t="inlineStr">
        <is>
          <t>Zanay-IHS</t>
        </is>
      </c>
      <c r="B1404" t="inlineStr">
        <is>
          <t>EXN_131</t>
        </is>
      </c>
      <c r="C1404" t="inlineStr">
        <is>
          <t>EXTREME-NORD</t>
        </is>
      </c>
      <c r="D1404" t="inlineStr">
        <is>
          <t>IHS</t>
        </is>
      </c>
      <c r="E1404" t="inlineStr">
        <is>
          <t>Grid-Gen</t>
        </is>
      </c>
      <c r="F1404" t="inlineStr">
        <is>
          <t>EXTREME-NORD</t>
        </is>
      </c>
      <c r="G1404" t="inlineStr">
        <is>
          <t>Zanay</t>
        </is>
      </c>
      <c r="H1404" t="inlineStr">
        <is>
          <t>NOKIA</t>
        </is>
      </c>
      <c r="I1404" t="n">
        <v>0.6074627674905045</v>
      </c>
      <c r="J1404" t="n">
        <v>0</v>
      </c>
      <c r="K1404" t="n">
        <v>0</v>
      </c>
      <c r="L1404" t="n">
        <v>0</v>
      </c>
      <c r="M1404" t="n">
        <v>0</v>
      </c>
      <c r="N1404" t="n">
        <v>0</v>
      </c>
      <c r="O1404" t="n">
        <v>0</v>
      </c>
      <c r="P1404" t="n">
        <v>0</v>
      </c>
      <c r="Q1404" t="n">
        <v>0</v>
      </c>
      <c r="R1404" t="inlineStr">
        <is>
          <t>Insecurity</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row>
    <row r="1405">
      <c r="A1405" t="inlineStr">
        <is>
          <t>Down-Beach</t>
        </is>
      </c>
      <c r="B1405" t="inlineStr">
        <is>
          <t>SUO_014</t>
        </is>
      </c>
      <c r="C1405" t="inlineStr">
        <is>
          <t>SUD-OUEST</t>
        </is>
      </c>
      <c r="D1405" t="inlineStr">
        <is>
          <t>IHS</t>
        </is>
      </c>
      <c r="E1405" t="inlineStr">
        <is>
          <t>Grid-Gen</t>
        </is>
      </c>
      <c r="F1405" t="inlineStr">
        <is>
          <t>SUD-OUEST</t>
        </is>
      </c>
      <c r="G1405" t="inlineStr">
        <is>
          <t>Limbe</t>
        </is>
      </c>
      <c r="H1405" t="inlineStr">
        <is>
          <t>Huawei</t>
        </is>
      </c>
      <c r="I1405" t="n">
        <v>0.5943896550838533</v>
      </c>
      <c r="J1405" t="n">
        <v>0</v>
      </c>
      <c r="K1405" t="n">
        <v>0</v>
      </c>
      <c r="L1405" t="n">
        <v>0</v>
      </c>
      <c r="M1405" t="n">
        <v>0</v>
      </c>
      <c r="N1405" t="n">
        <v>0</v>
      </c>
      <c r="O1405" t="n">
        <v>0</v>
      </c>
      <c r="P1405" t="n">
        <v>0</v>
      </c>
      <c r="Q1405" t="n">
        <v>0</v>
      </c>
      <c r="R1405" t="inlineStr">
        <is>
          <t>Operationnel</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row>
    <row r="1406">
      <c r="A1406" t="inlineStr">
        <is>
          <t>Bberi-Excellence</t>
        </is>
      </c>
      <c r="B1406" t="inlineStr">
        <is>
          <t>LIT_645</t>
        </is>
      </c>
      <c r="C1406" t="inlineStr">
        <is>
          <t>Douala</t>
        </is>
      </c>
      <c r="D1406" t="inlineStr">
        <is>
          <t>CAMUSAT</t>
        </is>
      </c>
      <c r="E1406" t="inlineStr">
        <is>
          <t>Good Grid no GE - 8h</t>
        </is>
      </c>
      <c r="F1406" t="inlineStr">
        <is>
          <t>LITTORAL</t>
        </is>
      </c>
      <c r="G1406" t="inlineStr">
        <is>
          <t>Douala</t>
        </is>
      </c>
      <c r="H1406" t="inlineStr">
        <is>
          <t>ZTE</t>
        </is>
      </c>
      <c r="I1406" t="n">
        <v>0.5863103646060739</v>
      </c>
      <c r="J1406" t="n">
        <v>0</v>
      </c>
      <c r="K1406" t="n">
        <v>0</v>
      </c>
      <c r="L1406" t="n">
        <v>0</v>
      </c>
      <c r="M1406" t="n">
        <v>0</v>
      </c>
      <c r="N1406" t="n">
        <v>0</v>
      </c>
      <c r="O1406" t="n">
        <v>0</v>
      </c>
      <c r="P1406" t="n">
        <v>0</v>
      </c>
      <c r="Q1406" t="n">
        <v>0</v>
      </c>
      <c r="R1406" t="inlineStr">
        <is>
          <t>Operationnel</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row>
    <row r="1407">
      <c r="A1407" t="inlineStr">
        <is>
          <t>Mousgoy-IHS</t>
        </is>
      </c>
      <c r="B1407" t="inlineStr">
        <is>
          <t>EXN_136</t>
        </is>
      </c>
      <c r="C1407" t="inlineStr">
        <is>
          <t>EXTREME-NORD</t>
        </is>
      </c>
      <c r="D1407" t="inlineStr">
        <is>
          <t>IHS</t>
        </is>
      </c>
      <c r="E1407" t="inlineStr">
        <is>
          <t>Hybrid-Gen</t>
        </is>
      </c>
      <c r="F1407" t="inlineStr">
        <is>
          <t>EXTREME-NORD</t>
        </is>
      </c>
      <c r="G1407" t="inlineStr">
        <is>
          <t>Mousgoy</t>
        </is>
      </c>
      <c r="H1407" t="inlineStr">
        <is>
          <t>NOKIA</t>
        </is>
      </c>
      <c r="I1407" t="n">
        <v>0.5661923962640506</v>
      </c>
      <c r="J1407" t="n">
        <v>0</v>
      </c>
      <c r="K1407" t="n">
        <v>0</v>
      </c>
      <c r="L1407" t="n">
        <v>0</v>
      </c>
      <c r="M1407" t="n">
        <v>0</v>
      </c>
      <c r="N1407" t="n">
        <v>0</v>
      </c>
      <c r="O1407" t="n">
        <v>0</v>
      </c>
      <c r="P1407" t="n">
        <v>0</v>
      </c>
      <c r="Q1407" t="n">
        <v>0</v>
      </c>
      <c r="R1407" t="inlineStr">
        <is>
          <t>Insecurity</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row>
    <row r="1408">
      <c r="A1408" t="inlineStr">
        <is>
          <t>Kumba-Nkamlikum</t>
        </is>
      </c>
      <c r="B1408" t="inlineStr">
        <is>
          <t>SUO_216</t>
        </is>
      </c>
      <c r="C1408" t="inlineStr">
        <is>
          <t>SUD-OUEST</t>
        </is>
      </c>
      <c r="D1408" t="inlineStr">
        <is>
          <t>IHS</t>
        </is>
      </c>
      <c r="E1408" t="inlineStr">
        <is>
          <t>Grid-Gen</t>
        </is>
      </c>
      <c r="F1408" t="inlineStr">
        <is>
          <t>SUD-OUEST</t>
        </is>
      </c>
      <c r="G1408" t="inlineStr">
        <is>
          <t>Kumba</t>
        </is>
      </c>
      <c r="H1408" t="inlineStr">
        <is>
          <t>Huawei</t>
        </is>
      </c>
      <c r="I1408" t="n">
        <v>0.5268482134958751</v>
      </c>
      <c r="J1408" t="n">
        <v>0</v>
      </c>
      <c r="K1408" t="n">
        <v>0</v>
      </c>
      <c r="L1408" t="n">
        <v>0</v>
      </c>
      <c r="M1408" t="n">
        <v>0</v>
      </c>
      <c r="N1408" t="n">
        <v>0</v>
      </c>
      <c r="O1408" t="n">
        <v>0</v>
      </c>
      <c r="P1408" t="n">
        <v>0</v>
      </c>
      <c r="Q1408" t="n">
        <v>0</v>
      </c>
      <c r="R1408" t="inlineStr">
        <is>
          <t>Operationnel</t>
        </is>
      </c>
      <c r="S1408" t="inlineStr"/>
      <c r="T1408" t="inlineStr"/>
      <c r="U1408" t="inlineStr"/>
      <c r="V1408" t="inlineStr"/>
      <c r="W1408" t="inlineStr"/>
      <c r="X1408" t="inlineStr">
        <is>
          <t>{None hourly IHS}: 25/05/2026 10:22..12:03:45..Grid outage. Gen stopped due to low fuel</t>
        </is>
      </c>
      <c r="Y1408" t="inlineStr">
        <is>
          <t>25/05/2026 10 22.12 03 45.Grid outage. Gen stopped due to low fuel</t>
        </is>
      </c>
      <c r="Z1408" t="inlineStr"/>
      <c r="AA1408" t="inlineStr"/>
      <c r="AB1408" t="inlineStr"/>
      <c r="AC1408" t="inlineStr"/>
      <c r="AD1408" t="inlineStr"/>
      <c r="AE1408" t="inlineStr">
        <is>
          <t>{None hourly IHS}: 25/05/2026 10:22..12:03:45..Grid outage. Gen stopped due to low fuel</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row>
    <row r="1409">
      <c r="A1409" t="inlineStr">
        <is>
          <t>Dembo</t>
        </is>
      </c>
      <c r="B1409" t="inlineStr">
        <is>
          <t>NRD_024</t>
        </is>
      </c>
      <c r="C1409" t="inlineStr">
        <is>
          <t>NORD</t>
        </is>
      </c>
      <c r="D1409" t="inlineStr">
        <is>
          <t>IHS</t>
        </is>
      </c>
      <c r="E1409" t="inlineStr">
        <is>
          <t>Solar-Gen</t>
        </is>
      </c>
      <c r="F1409" t="inlineStr">
        <is>
          <t>NORD</t>
        </is>
      </c>
      <c r="G1409" t="inlineStr">
        <is>
          <t>Dembo</t>
        </is>
      </c>
      <c r="H1409" t="inlineStr">
        <is>
          <t>NOKIA</t>
        </is>
      </c>
      <c r="I1409" t="n">
        <v>0.4285412618103888</v>
      </c>
      <c r="J1409" t="n">
        <v>0</v>
      </c>
      <c r="K1409" t="n">
        <v>0</v>
      </c>
      <c r="L1409" t="n">
        <v>0</v>
      </c>
      <c r="M1409" t="n">
        <v>0</v>
      </c>
      <c r="N1409" t="n">
        <v>0</v>
      </c>
      <c r="O1409" t="n">
        <v>0</v>
      </c>
      <c r="P1409" t="n">
        <v>0</v>
      </c>
      <c r="Q1409" t="n">
        <v>0</v>
      </c>
      <c r="R1409" t="inlineStr">
        <is>
          <t>Operationnel</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row>
    <row r="1410">
      <c r="A1410" t="inlineStr">
        <is>
          <t>Mendankwe</t>
        </is>
      </c>
      <c r="B1410" t="inlineStr">
        <is>
          <t>NRO_229</t>
        </is>
      </c>
      <c r="C1410" t="inlineStr">
        <is>
          <t>NORD-OUEST</t>
        </is>
      </c>
      <c r="D1410" t="inlineStr">
        <is>
          <t>IHS</t>
        </is>
      </c>
      <c r="E1410" t="inlineStr">
        <is>
          <t>Grid-Gen</t>
        </is>
      </c>
      <c r="F1410" t="inlineStr">
        <is>
          <t>NORD-OUEST</t>
        </is>
      </c>
      <c r="G1410" t="inlineStr">
        <is>
          <t>Bamenda</t>
        </is>
      </c>
      <c r="H1410" t="inlineStr">
        <is>
          <t>Huawei</t>
        </is>
      </c>
      <c r="I1410" t="n">
        <v>0.3452692811464673</v>
      </c>
      <c r="J1410" t="n">
        <v>0</v>
      </c>
      <c r="K1410" t="n">
        <v>0</v>
      </c>
      <c r="L1410" t="n">
        <v>0</v>
      </c>
      <c r="M1410" t="n">
        <v>0</v>
      </c>
      <c r="N1410" t="n">
        <v>0</v>
      </c>
      <c r="O1410" t="n">
        <v>0</v>
      </c>
      <c r="P1410" t="n">
        <v>0</v>
      </c>
      <c r="Q1410" t="n">
        <v>0</v>
      </c>
      <c r="R1410" t="inlineStr">
        <is>
          <t>Operationnel</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row>
    <row r="1411">
      <c r="A1411" t="inlineStr">
        <is>
          <t>Tcheboa-MTN-IHS</t>
        </is>
      </c>
      <c r="B1411" t="inlineStr">
        <is>
          <t>NRD_025</t>
        </is>
      </c>
      <c r="C1411" t="inlineStr">
        <is>
          <t>NORD</t>
        </is>
      </c>
      <c r="D1411" t="inlineStr">
        <is>
          <t>IHS</t>
        </is>
      </c>
      <c r="E1411" t="inlineStr">
        <is>
          <t>Grid-Hybrid-Gen</t>
        </is>
      </c>
      <c r="F1411" t="inlineStr">
        <is>
          <t>NORD</t>
        </is>
      </c>
      <c r="G1411" t="inlineStr">
        <is>
          <t>Ngong</t>
        </is>
      </c>
      <c r="H1411" t="inlineStr">
        <is>
          <t>NOKIA</t>
        </is>
      </c>
      <c r="I1411" t="n">
        <v>0.342860606206471</v>
      </c>
      <c r="J1411" t="n">
        <v>0</v>
      </c>
      <c r="K1411" t="n">
        <v>0</v>
      </c>
      <c r="L1411" t="n">
        <v>0</v>
      </c>
      <c r="M1411" t="n">
        <v>0</v>
      </c>
      <c r="N1411" t="n">
        <v>0</v>
      </c>
      <c r="O1411" t="n">
        <v>0</v>
      </c>
      <c r="P1411" t="n">
        <v>0</v>
      </c>
      <c r="Q1411" t="n">
        <v>0</v>
      </c>
      <c r="R1411" t="inlineStr">
        <is>
          <t>Operationnel</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row>
    <row r="1412">
      <c r="A1412" t="inlineStr">
        <is>
          <t>Emombo-Tchad</t>
        </is>
      </c>
      <c r="B1412" t="inlineStr">
        <is>
          <t>CTR_417</t>
        </is>
      </c>
      <c r="C1412" t="inlineStr">
        <is>
          <t>Yaounde</t>
        </is>
      </c>
      <c r="D1412" t="inlineStr">
        <is>
          <t>IHS</t>
        </is>
      </c>
      <c r="E1412" t="inlineStr">
        <is>
          <t>GridOnly</t>
        </is>
      </c>
      <c r="F1412" t="inlineStr">
        <is>
          <t>CENTRE</t>
        </is>
      </c>
      <c r="G1412" t="inlineStr">
        <is>
          <t>Yaounde</t>
        </is>
      </c>
      <c r="H1412" t="inlineStr">
        <is>
          <t>ZTE</t>
        </is>
      </c>
      <c r="I1412" t="n">
        <v>0.2699517454121044</v>
      </c>
      <c r="J1412" t="n">
        <v>0</v>
      </c>
      <c r="K1412" t="n">
        <v>0</v>
      </c>
      <c r="L1412" t="n">
        <v>0</v>
      </c>
      <c r="M1412" t="n">
        <v>0</v>
      </c>
      <c r="N1412" t="n">
        <v>0</v>
      </c>
      <c r="O1412" t="n">
        <v>0</v>
      </c>
      <c r="P1412" t="n">
        <v>0</v>
      </c>
      <c r="Q1412" t="n">
        <v>0</v>
      </c>
      <c r="R1412" t="inlineStr">
        <is>
          <t>Operationnel</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row>
    <row r="1413">
      <c r="A1413" t="inlineStr">
        <is>
          <t>Bidzar-MTN</t>
        </is>
      </c>
      <c r="B1413" t="inlineStr">
        <is>
          <t>NRD_027</t>
        </is>
      </c>
      <c r="C1413" t="inlineStr">
        <is>
          <t>NORD</t>
        </is>
      </c>
      <c r="D1413" t="inlineStr">
        <is>
          <t>IHS</t>
        </is>
      </c>
      <c r="E1413" t="inlineStr">
        <is>
          <t>Gen Only</t>
        </is>
      </c>
      <c r="F1413" t="inlineStr">
        <is>
          <t>NORD</t>
        </is>
      </c>
      <c r="G1413" t="inlineStr">
        <is>
          <t>Bidzar</t>
        </is>
      </c>
      <c r="H1413" t="inlineStr">
        <is>
          <t>NOKIA</t>
        </is>
      </c>
      <c r="I1413" t="n">
        <v>0.251331923648743</v>
      </c>
      <c r="J1413" t="n">
        <v>0</v>
      </c>
      <c r="K1413" t="n">
        <v>0</v>
      </c>
      <c r="L1413" t="n">
        <v>0</v>
      </c>
      <c r="M1413" t="n">
        <v>0</v>
      </c>
      <c r="N1413" t="n">
        <v>0</v>
      </c>
      <c r="O1413" t="n">
        <v>0</v>
      </c>
      <c r="P1413" t="n">
        <v>0</v>
      </c>
      <c r="Q1413" t="n">
        <v>0</v>
      </c>
      <c r="R1413" t="inlineStr">
        <is>
          <t>Operationnel</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row>
    <row r="1414">
      <c r="A1414" t="inlineStr">
        <is>
          <t>Bafia-CRTV</t>
        </is>
      </c>
      <c r="B1414" t="inlineStr">
        <is>
          <t>CTR_101</t>
        </is>
      </c>
      <c r="C1414" t="inlineStr">
        <is>
          <t>CENTRE</t>
        </is>
      </c>
      <c r="D1414" t="inlineStr">
        <is>
          <t>CAMUSAT</t>
        </is>
      </c>
      <c r="E1414" t="inlineStr">
        <is>
          <t>Medium Grid + GE</t>
        </is>
      </c>
      <c r="F1414" t="inlineStr">
        <is>
          <t>CENTRE</t>
        </is>
      </c>
      <c r="G1414" t="inlineStr">
        <is>
          <t>Bafia</t>
        </is>
      </c>
      <c r="H1414" t="inlineStr">
        <is>
          <t>ZTE</t>
        </is>
      </c>
      <c r="I1414" t="n">
        <v>0.1064040772415841</v>
      </c>
      <c r="J1414" t="n">
        <v>0</v>
      </c>
      <c r="K1414" t="n">
        <v>0</v>
      </c>
      <c r="L1414" t="n">
        <v>0</v>
      </c>
      <c r="M1414" t="n">
        <v>0</v>
      </c>
      <c r="N1414" t="n">
        <v>0</v>
      </c>
      <c r="O1414" t="n">
        <v>0</v>
      </c>
      <c r="P1414" t="n">
        <v>0</v>
      </c>
      <c r="Q1414" t="n">
        <v>0</v>
      </c>
      <c r="R1414" t="inlineStr">
        <is>
          <t>EXCLU</t>
        </is>
      </c>
      <c r="S1414" t="inlineStr">
        <is>
          <t>site vandalise</t>
        </is>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row>
    <row r="1415">
      <c r="A1415" t="inlineStr">
        <is>
          <t>Mile16-Buea-HIS</t>
        </is>
      </c>
      <c r="B1415" t="inlineStr">
        <is>
          <t>SUO_243</t>
        </is>
      </c>
      <c r="C1415" t="inlineStr">
        <is>
          <t>SUD-OUEST</t>
        </is>
      </c>
      <c r="D1415" t="inlineStr">
        <is>
          <t>IHS</t>
        </is>
      </c>
      <c r="E1415" t="inlineStr">
        <is>
          <t>Grid-Gen</t>
        </is>
      </c>
      <c r="F1415" t="inlineStr">
        <is>
          <t>SUD-OUEST</t>
        </is>
      </c>
      <c r="G1415" t="inlineStr">
        <is>
          <t>Buea</t>
        </is>
      </c>
      <c r="H1415" t="inlineStr">
        <is>
          <t>Huawei</t>
        </is>
      </c>
      <c r="I1415" t="n">
        <v>0.06160236050828546</v>
      </c>
      <c r="J1415" t="n">
        <v>0</v>
      </c>
      <c r="K1415" t="n">
        <v>0</v>
      </c>
      <c r="L1415" t="n">
        <v>0</v>
      </c>
      <c r="M1415" t="n">
        <v>0</v>
      </c>
      <c r="N1415" t="n">
        <v>0</v>
      </c>
      <c r="O1415" t="n">
        <v>0</v>
      </c>
      <c r="P1415" t="n">
        <v>0</v>
      </c>
      <c r="Q1415" t="n">
        <v>0</v>
      </c>
      <c r="R1415" t="inlineStr">
        <is>
          <t>Operationnel</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row>
    <row r="1416">
      <c r="A1416" t="inlineStr">
        <is>
          <t>Mbidou-IHS</t>
        </is>
      </c>
      <c r="B1416" t="inlineStr">
        <is>
          <t>ADM_079</t>
        </is>
      </c>
      <c r="C1416" t="inlineStr">
        <is>
          <t>ADAMAOUA</t>
        </is>
      </c>
      <c r="D1416" t="inlineStr">
        <is>
          <t>IHS</t>
        </is>
      </c>
      <c r="E1416" t="inlineStr">
        <is>
          <t>Grid-Gen</t>
        </is>
      </c>
      <c r="F1416" t="inlineStr">
        <is>
          <t>ADAMAOUA</t>
        </is>
      </c>
      <c r="G1416" t="inlineStr">
        <is>
          <t>Mbidou</t>
        </is>
      </c>
      <c r="H1416" t="inlineStr">
        <is>
          <t>NOKIA</t>
        </is>
      </c>
      <c r="I1416" t="n">
        <v>0.02363523168279845</v>
      </c>
      <c r="J1416" t="n">
        <v>0</v>
      </c>
      <c r="K1416" t="n">
        <v>0</v>
      </c>
      <c r="L1416" t="n">
        <v>0</v>
      </c>
      <c r="M1416" t="n">
        <v>0</v>
      </c>
      <c r="N1416" t="n">
        <v>0</v>
      </c>
      <c r="O1416" t="n">
        <v>0</v>
      </c>
      <c r="P1416" t="n">
        <v>0</v>
      </c>
      <c r="Q1416" t="n">
        <v>0</v>
      </c>
      <c r="R1416" t="inlineStr">
        <is>
          <t>Operationnel</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row>
    <row r="1417">
      <c r="A1417" t="inlineStr">
        <is>
          <t>NRD_262_H_Gra-Doualare-Ancien-LAWANAT</t>
        </is>
      </c>
      <c r="B1417" t="inlineStr">
        <is>
          <t>NRD_262</t>
        </is>
      </c>
      <c r="C1417" t="inlineStr"/>
      <c r="D1417" t="inlineStr">
        <is>
          <t>ESCO</t>
        </is>
      </c>
      <c r="E1417" t="inlineStr">
        <is>
          <t>Good Grid + Solar + GE</t>
        </is>
      </c>
      <c r="F1417" t="inlineStr">
        <is>
          <t>NRD</t>
        </is>
      </c>
      <c r="G1417" t="inlineStr">
        <is>
          <t>Garoua</t>
        </is>
      </c>
      <c r="H1417" t="inlineStr">
        <is>
          <t>Huawei</t>
        </is>
      </c>
      <c r="I1417" t="n">
        <v>0.02166962015563603</v>
      </c>
      <c r="J1417" t="n">
        <v>0</v>
      </c>
      <c r="K1417" t="n">
        <v>0</v>
      </c>
      <c r="L1417" t="n">
        <v>0</v>
      </c>
      <c r="M1417" t="n">
        <v>0</v>
      </c>
      <c r="N1417" t="n">
        <v>0</v>
      </c>
      <c r="O1417" t="n">
        <v>0</v>
      </c>
      <c r="P1417" t="n">
        <v>0</v>
      </c>
      <c r="Q1417" t="n">
        <v>0</v>
      </c>
      <c r="R1417" t="inlineStr">
        <is>
          <t>Operationnel</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row>
    <row r="1418">
      <c r="A1418" t="inlineStr">
        <is>
          <t>Goyoum</t>
        </is>
      </c>
      <c r="B1418" t="inlineStr">
        <is>
          <t>EST_023</t>
        </is>
      </c>
      <c r="C1418" t="inlineStr">
        <is>
          <t>CENTRE</t>
        </is>
      </c>
      <c r="D1418" t="inlineStr">
        <is>
          <t>ESCO</t>
        </is>
      </c>
      <c r="E1418" t="inlineStr">
        <is>
          <t>Hybrid Solar - S2</t>
        </is>
      </c>
      <c r="F1418" t="inlineStr">
        <is>
          <t>EST</t>
        </is>
      </c>
      <c r="G1418" t="inlineStr">
        <is>
          <t>Goyoum</t>
        </is>
      </c>
      <c r="H1418" t="inlineStr">
        <is>
          <t>NOKIA</t>
        </is>
      </c>
      <c r="I1418" t="n">
        <v>0.02042116467341826</v>
      </c>
      <c r="J1418" t="n">
        <v>0</v>
      </c>
      <c r="K1418" t="n">
        <v>0</v>
      </c>
      <c r="L1418" t="n">
        <v>0</v>
      </c>
      <c r="M1418" t="n">
        <v>0</v>
      </c>
      <c r="N1418" t="n">
        <v>0</v>
      </c>
      <c r="O1418" t="n">
        <v>0</v>
      </c>
      <c r="P1418" t="n">
        <v>0</v>
      </c>
      <c r="Q1418" t="n">
        <v>0</v>
      </c>
      <c r="R1418" t="inlineStr">
        <is>
          <t>Operationnel</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row>
    <row r="1419">
      <c r="A1419" t="inlineStr">
        <is>
          <t>Bagam-IHS</t>
        </is>
      </c>
      <c r="B1419" t="inlineStr">
        <is>
          <t>OST_160</t>
        </is>
      </c>
      <c r="C1419" t="inlineStr">
        <is>
          <t>OUEST</t>
        </is>
      </c>
      <c r="D1419" t="inlineStr">
        <is>
          <t>IHS</t>
        </is>
      </c>
      <c r="E1419" t="inlineStr">
        <is>
          <t>Grid-Gen</t>
        </is>
      </c>
      <c r="F1419" t="inlineStr">
        <is>
          <t>OUEST</t>
        </is>
      </c>
      <c r="G1419" t="inlineStr">
        <is>
          <t>Bagam</t>
        </is>
      </c>
      <c r="H1419" t="inlineStr">
        <is>
          <t>NOKIA</t>
        </is>
      </c>
      <c r="I1419" t="n">
        <v>0.005154337633727526</v>
      </c>
      <c r="J1419" t="n">
        <v>0</v>
      </c>
      <c r="K1419" t="n">
        <v>0</v>
      </c>
      <c r="L1419" t="n">
        <v>0</v>
      </c>
      <c r="M1419" t="n">
        <v>0</v>
      </c>
      <c r="N1419" t="n">
        <v>0</v>
      </c>
      <c r="O1419" t="n">
        <v>0</v>
      </c>
      <c r="P1419" t="n">
        <v>0</v>
      </c>
      <c r="Q1419" t="n">
        <v>0</v>
      </c>
      <c r="R1419" t="inlineStr">
        <is>
          <t>Operationnel</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row>
    <row r="1420">
      <c r="A1420" t="inlineStr">
        <is>
          <t>Bsadi-ZoneA-New</t>
        </is>
      </c>
      <c r="B1420" t="inlineStr">
        <is>
          <t>LIT_277</t>
        </is>
      </c>
      <c r="C1420" t="inlineStr">
        <is>
          <t>Douala</t>
        </is>
      </c>
      <c r="D1420" t="inlineStr">
        <is>
          <t>IHS</t>
        </is>
      </c>
      <c r="E1420" t="inlineStr">
        <is>
          <t>GridOnly</t>
        </is>
      </c>
      <c r="F1420" t="inlineStr">
        <is>
          <t>LITTORAL</t>
        </is>
      </c>
      <c r="G1420" t="inlineStr">
        <is>
          <t>Douala</t>
        </is>
      </c>
      <c r="H1420" t="inlineStr">
        <is>
          <t>ZTE</t>
        </is>
      </c>
      <c r="I1420" t="n">
        <v>0</v>
      </c>
      <c r="J1420" t="n">
        <v>0</v>
      </c>
      <c r="K1420" t="n">
        <v>0</v>
      </c>
      <c r="L1420" t="n">
        <v>0</v>
      </c>
      <c r="M1420" t="n">
        <v>0</v>
      </c>
      <c r="N1420" t="n">
        <v>0</v>
      </c>
      <c r="O1420" t="n">
        <v>0</v>
      </c>
      <c r="P1420" t="n">
        <v>0</v>
      </c>
      <c r="Q1420" t="n">
        <v>0</v>
      </c>
      <c r="R1420" t="inlineStr">
        <is>
          <t>Operationnel</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row>
    <row r="1421">
      <c r="A1421" t="inlineStr">
        <is>
          <t>Makepe-AES</t>
        </is>
      </c>
      <c r="B1421" t="inlineStr">
        <is>
          <t>LIT_357</t>
        </is>
      </c>
      <c r="C1421" t="inlineStr">
        <is>
          <t>Douala</t>
        </is>
      </c>
      <c r="D1421" t="inlineStr">
        <is>
          <t>IHS</t>
        </is>
      </c>
      <c r="E1421" t="inlineStr">
        <is>
          <t>Grid-Gen</t>
        </is>
      </c>
      <c r="F1421" t="inlineStr">
        <is>
          <t>LITTORAL</t>
        </is>
      </c>
      <c r="G1421" t="inlineStr">
        <is>
          <t>Douala</t>
        </is>
      </c>
      <c r="H1421" t="inlineStr">
        <is>
          <t>ZTE</t>
        </is>
      </c>
      <c r="I1421" t="n">
        <v>0</v>
      </c>
      <c r="J1421" t="n">
        <v>0</v>
      </c>
      <c r="K1421" t="n">
        <v>0</v>
      </c>
      <c r="L1421" t="n">
        <v>0</v>
      </c>
      <c r="M1421" t="n">
        <v>0</v>
      </c>
      <c r="N1421" t="n">
        <v>0</v>
      </c>
      <c r="O1421" t="n">
        <v>0</v>
      </c>
      <c r="P1421" t="n">
        <v>0</v>
      </c>
      <c r="Q1421" t="n">
        <v>0</v>
      </c>
      <c r="R1421" t="inlineStr">
        <is>
          <t>Operationnel</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row>
    <row r="1422">
      <c r="A1422" t="inlineStr">
        <is>
          <t>LIT_862_Z_Bonamatoumbe-Village</t>
        </is>
      </c>
      <c r="B1422" t="inlineStr">
        <is>
          <t>LIT_862</t>
        </is>
      </c>
      <c r="C1422" t="inlineStr">
        <is>
          <t>Douala</t>
        </is>
      </c>
      <c r="D1422" t="inlineStr">
        <is>
          <t>ESCO</t>
        </is>
      </c>
      <c r="E1422" t="inlineStr">
        <is>
          <t>GE</t>
        </is>
      </c>
      <c r="F1422" t="inlineStr">
        <is>
          <t>LITTORAL</t>
        </is>
      </c>
      <c r="G1422" t="inlineStr">
        <is>
          <t>Douala</t>
        </is>
      </c>
      <c r="H1422" t="inlineStr">
        <is>
          <t>ZTE</t>
        </is>
      </c>
      <c r="I1422" t="n">
        <v>0</v>
      </c>
      <c r="J1422" t="n">
        <v>0</v>
      </c>
      <c r="K1422" t="n">
        <v>0</v>
      </c>
      <c r="L1422" t="n">
        <v>0</v>
      </c>
      <c r="M1422" t="n">
        <v>0</v>
      </c>
      <c r="N1422" t="n">
        <v>0</v>
      </c>
      <c r="O1422" t="n">
        <v>0</v>
      </c>
      <c r="P1422" t="n">
        <v>0</v>
      </c>
      <c r="Q1422" t="n">
        <v>0</v>
      </c>
      <c r="R1422" t="inlineStr">
        <is>
          <t>Operationnel</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row>
    <row r="1423">
      <c r="A1423" t="inlineStr">
        <is>
          <t>Nkolbong</t>
        </is>
      </c>
      <c r="B1423" t="inlineStr">
        <is>
          <t>CTR_271</t>
        </is>
      </c>
      <c r="C1423" t="inlineStr">
        <is>
          <t>Yaounde</t>
        </is>
      </c>
      <c r="D1423" t="inlineStr">
        <is>
          <t>IHS</t>
        </is>
      </c>
      <c r="E1423" t="inlineStr">
        <is>
          <t>Grid-Gen</t>
        </is>
      </c>
      <c r="F1423" t="inlineStr">
        <is>
          <t>CENTRE</t>
        </is>
      </c>
      <c r="G1423" t="inlineStr">
        <is>
          <t>Yaounde</t>
        </is>
      </c>
      <c r="H1423" t="inlineStr">
        <is>
          <t>ZTE</t>
        </is>
      </c>
      <c r="I1423" t="n">
        <v>0</v>
      </c>
      <c r="J1423" t="n">
        <v>0</v>
      </c>
      <c r="K1423" t="n">
        <v>0</v>
      </c>
      <c r="L1423" t="n">
        <v>0</v>
      </c>
      <c r="M1423" t="n">
        <v>0</v>
      </c>
      <c r="N1423" t="n">
        <v>0</v>
      </c>
      <c r="O1423" t="n">
        <v>0</v>
      </c>
      <c r="P1423" t="n">
        <v>0</v>
      </c>
      <c r="Q1423" t="n">
        <v>0</v>
      </c>
      <c r="R1423" t="inlineStr">
        <is>
          <t>Operationnel</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row>
    <row r="1424">
      <c r="A1424" t="inlineStr">
        <is>
          <t>Mbouda-Marche-Ignames</t>
        </is>
      </c>
      <c r="B1424" t="inlineStr">
        <is>
          <t>OST_297</t>
        </is>
      </c>
      <c r="C1424" t="inlineStr">
        <is>
          <t>OUEST</t>
        </is>
      </c>
      <c r="D1424" t="inlineStr">
        <is>
          <t>CAMUSAT</t>
        </is>
      </c>
      <c r="E1424" t="inlineStr">
        <is>
          <t>Medium Grid + Solar + GE</t>
        </is>
      </c>
      <c r="F1424" t="inlineStr">
        <is>
          <t>OUEST</t>
        </is>
      </c>
      <c r="G1424" t="inlineStr">
        <is>
          <t>Mbouda</t>
        </is>
      </c>
      <c r="H1424" t="inlineStr">
        <is>
          <t>Huawei</t>
        </is>
      </c>
      <c r="I1424" t="n">
        <v>0</v>
      </c>
      <c r="J1424" t="n">
        <v>0</v>
      </c>
      <c r="K1424" t="n">
        <v>0</v>
      </c>
      <c r="L1424" t="n">
        <v>0</v>
      </c>
      <c r="M1424" t="n">
        <v>0</v>
      </c>
      <c r="N1424" t="n">
        <v>0</v>
      </c>
      <c r="O1424" t="n">
        <v>0</v>
      </c>
      <c r="P1424" t="n">
        <v>0</v>
      </c>
      <c r="Q1424" t="n">
        <v>0</v>
      </c>
      <c r="R1424" t="inlineStr">
        <is>
          <t>Operationnel</t>
        </is>
      </c>
      <c r="S1424" t="inlineStr"/>
      <c r="T1424" t="inlineStr"/>
      <c r="U1424" t="inlineStr"/>
      <c r="V1424" t="inlineStr"/>
      <c r="W1424" t="inlineStr"/>
      <c r="X1424" t="inlineStr">
        <is>
          <t xml:space="preserve">{05-25-2026 retour CAMUSAT}: No power issue </t>
        </is>
      </c>
      <c r="Y1424" t="inlineStr">
        <is>
          <t>No power issue</t>
        </is>
      </c>
      <c r="Z1424" t="inlineStr"/>
      <c r="AA1424" t="inlineStr"/>
      <c r="AB1424" t="inlineStr"/>
      <c r="AC1424" t="inlineStr">
        <is>
          <t xml:space="preserve">{05-25-2026 retour CAMUSAT}: No power issue </t>
        </is>
      </c>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row>
    <row r="1425">
      <c r="A1425" t="inlineStr">
        <is>
          <t>Bonangang</t>
        </is>
      </c>
      <c r="B1425" t="inlineStr">
        <is>
          <t>LIT_358</t>
        </is>
      </c>
      <c r="C1425" t="inlineStr">
        <is>
          <t>Douala</t>
        </is>
      </c>
      <c r="D1425" t="inlineStr">
        <is>
          <t>IHS</t>
        </is>
      </c>
      <c r="E1425" t="inlineStr">
        <is>
          <t>Grid-Gen</t>
        </is>
      </c>
      <c r="F1425" t="inlineStr">
        <is>
          <t>LITTORAL</t>
        </is>
      </c>
      <c r="G1425" t="inlineStr">
        <is>
          <t>Douala</t>
        </is>
      </c>
      <c r="H1425" t="inlineStr">
        <is>
          <t>ZTE</t>
        </is>
      </c>
      <c r="I1425" t="n">
        <v>0</v>
      </c>
      <c r="J1425" t="n">
        <v>0</v>
      </c>
      <c r="K1425" t="n">
        <v>0</v>
      </c>
      <c r="L1425" t="n">
        <v>0</v>
      </c>
      <c r="M1425" t="n">
        <v>0</v>
      </c>
      <c r="N1425" t="n">
        <v>0</v>
      </c>
      <c r="O1425" t="n">
        <v>0</v>
      </c>
      <c r="P1425" t="n">
        <v>0</v>
      </c>
      <c r="Q1425" t="n">
        <v>0</v>
      </c>
      <c r="R1425" t="inlineStr">
        <is>
          <t>Operationnel</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row>
    <row r="1426">
      <c r="A1426" t="inlineStr">
        <is>
          <t>Edea-Lom</t>
        </is>
      </c>
      <c r="B1426" t="inlineStr">
        <is>
          <t>LIT_321</t>
        </is>
      </c>
      <c r="C1426" t="inlineStr">
        <is>
          <t>LITTORAL</t>
        </is>
      </c>
      <c r="D1426" t="inlineStr">
        <is>
          <t>IHS</t>
        </is>
      </c>
      <c r="E1426" t="inlineStr">
        <is>
          <t>Grid-Gen</t>
        </is>
      </c>
      <c r="F1426" t="inlineStr">
        <is>
          <t>LITTORAL</t>
        </is>
      </c>
      <c r="G1426" t="inlineStr">
        <is>
          <t>Edea</t>
        </is>
      </c>
      <c r="H1426" t="inlineStr">
        <is>
          <t>ZTE</t>
        </is>
      </c>
      <c r="I1426" t="n">
        <v>0</v>
      </c>
      <c r="J1426" t="n">
        <v>0</v>
      </c>
      <c r="K1426" t="n">
        <v>0</v>
      </c>
      <c r="L1426" t="n">
        <v>0</v>
      </c>
      <c r="M1426" t="n">
        <v>0</v>
      </c>
      <c r="N1426" t="n">
        <v>0</v>
      </c>
      <c r="O1426" t="n">
        <v>0</v>
      </c>
      <c r="P1426" t="n">
        <v>0</v>
      </c>
      <c r="Q1426" t="n">
        <v>0</v>
      </c>
      <c r="R1426" t="inlineStr">
        <is>
          <t>Operationnel</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row>
    <row r="1427">
      <c r="A1427" t="inlineStr">
        <is>
          <t>Dschang-St-Augustin</t>
        </is>
      </c>
      <c r="B1427" t="inlineStr">
        <is>
          <t>OST_084</t>
        </is>
      </c>
      <c r="C1427" t="inlineStr">
        <is>
          <t>OUEST</t>
        </is>
      </c>
      <c r="D1427" t="inlineStr">
        <is>
          <t>IHS</t>
        </is>
      </c>
      <c r="E1427" t="inlineStr">
        <is>
          <t>Grid-Gen</t>
        </is>
      </c>
      <c r="F1427" t="inlineStr">
        <is>
          <t>OUEST</t>
        </is>
      </c>
      <c r="G1427" t="inlineStr">
        <is>
          <t>Dschang</t>
        </is>
      </c>
      <c r="H1427" t="inlineStr">
        <is>
          <t>Huawei</t>
        </is>
      </c>
      <c r="I1427" t="n">
        <v>0</v>
      </c>
      <c r="J1427" t="n">
        <v>0</v>
      </c>
      <c r="K1427" t="n">
        <v>0</v>
      </c>
      <c r="L1427" t="n">
        <v>0</v>
      </c>
      <c r="M1427" t="n">
        <v>0</v>
      </c>
      <c r="N1427" t="n">
        <v>0</v>
      </c>
      <c r="O1427" t="n">
        <v>0</v>
      </c>
      <c r="P1427" t="n">
        <v>0</v>
      </c>
      <c r="Q1427" t="n">
        <v>0</v>
      </c>
      <c r="R1427" t="inlineStr">
        <is>
          <t>Operationnel</t>
        </is>
      </c>
      <c r="S1427" t="inlineStr"/>
      <c r="T1427" t="inlineStr"/>
      <c r="U1427" t="inlineStr"/>
      <c r="V1427" t="inlineStr"/>
      <c r="W1427" t="inlineStr"/>
      <c r="X1427" t="inlineStr">
        <is>
          <t>{05-25-2026 retour IHS}: IHS</t>
        </is>
      </c>
      <c r="Y1427" t="inlineStr">
        <is>
          <t>IHS</t>
        </is>
      </c>
      <c r="Z1427" t="inlineStr"/>
      <c r="AA1427" t="inlineStr"/>
      <c r="AB1427" t="inlineStr"/>
      <c r="AC1427" t="inlineStr"/>
      <c r="AD1427" t="inlineStr">
        <is>
          <t>{05-25-2026 retour IHS}: IHS</t>
        </is>
      </c>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row>
    <row r="1428">
      <c r="A1428" t="inlineStr">
        <is>
          <t>Logpom-II</t>
        </is>
      </c>
      <c r="B1428" t="inlineStr">
        <is>
          <t>LIT_274</t>
        </is>
      </c>
      <c r="C1428" t="inlineStr">
        <is>
          <t>Douala</t>
        </is>
      </c>
      <c r="D1428" t="inlineStr">
        <is>
          <t>IHS</t>
        </is>
      </c>
      <c r="E1428" t="inlineStr">
        <is>
          <t>Grid-Gen</t>
        </is>
      </c>
      <c r="F1428" t="inlineStr">
        <is>
          <t>LITTORAL</t>
        </is>
      </c>
      <c r="G1428" t="inlineStr">
        <is>
          <t>Douala</t>
        </is>
      </c>
      <c r="H1428" t="inlineStr">
        <is>
          <t>ZTE</t>
        </is>
      </c>
      <c r="I1428" t="n">
        <v>0</v>
      </c>
      <c r="J1428" t="n">
        <v>0</v>
      </c>
      <c r="K1428" t="n">
        <v>0</v>
      </c>
      <c r="L1428" t="n">
        <v>0</v>
      </c>
      <c r="M1428" t="n">
        <v>0</v>
      </c>
      <c r="N1428" t="n">
        <v>0</v>
      </c>
      <c r="O1428" t="n">
        <v>0</v>
      </c>
      <c r="P1428" t="n">
        <v>0</v>
      </c>
      <c r="Q1428" t="n">
        <v>0</v>
      </c>
      <c r="R1428" t="inlineStr">
        <is>
          <t>Operationnel</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row>
    <row r="1429">
      <c r="A1429" t="inlineStr">
        <is>
          <t>Dschang-Rectorat-MTN</t>
        </is>
      </c>
      <c r="B1429" t="inlineStr">
        <is>
          <t>OST_097</t>
        </is>
      </c>
      <c r="C1429" t="inlineStr">
        <is>
          <t>OUEST</t>
        </is>
      </c>
      <c r="D1429" t="inlineStr">
        <is>
          <t>IHS</t>
        </is>
      </c>
      <c r="E1429" t="inlineStr">
        <is>
          <t>Grid-Gen</t>
        </is>
      </c>
      <c r="F1429" t="inlineStr">
        <is>
          <t>OUEST</t>
        </is>
      </c>
      <c r="G1429" t="inlineStr">
        <is>
          <t>Dschang</t>
        </is>
      </c>
      <c r="H1429" t="inlineStr">
        <is>
          <t>Huawei</t>
        </is>
      </c>
      <c r="I1429" t="n">
        <v>0</v>
      </c>
      <c r="J1429" t="n">
        <v>0</v>
      </c>
      <c r="K1429" t="n">
        <v>0</v>
      </c>
      <c r="L1429" t="n">
        <v>0</v>
      </c>
      <c r="M1429" t="n">
        <v>0</v>
      </c>
      <c r="N1429" t="n">
        <v>0</v>
      </c>
      <c r="O1429" t="n">
        <v>0</v>
      </c>
      <c r="P1429" t="n">
        <v>0</v>
      </c>
      <c r="Q1429" t="n">
        <v>0</v>
      </c>
      <c r="R1429" t="inlineStr">
        <is>
          <t>Operationnel</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row>
    <row r="1430">
      <c r="A1430" t="inlineStr">
        <is>
          <t>Dschang</t>
        </is>
      </c>
      <c r="B1430" t="inlineStr">
        <is>
          <t>OST_011</t>
        </is>
      </c>
      <c r="C1430" t="inlineStr">
        <is>
          <t>OUEST</t>
        </is>
      </c>
      <c r="D1430" t="inlineStr">
        <is>
          <t>CAMUSAT</t>
        </is>
      </c>
      <c r="E1430" t="inlineStr">
        <is>
          <t>Medium Grid + Solar + GE</t>
        </is>
      </c>
      <c r="F1430" t="inlineStr">
        <is>
          <t>OUEST</t>
        </is>
      </c>
      <c r="G1430" t="inlineStr">
        <is>
          <t>Dschang</t>
        </is>
      </c>
      <c r="H1430" t="inlineStr">
        <is>
          <t>Huawei</t>
        </is>
      </c>
      <c r="I1430" t="n">
        <v>0</v>
      </c>
      <c r="J1430" t="n">
        <v>0</v>
      </c>
      <c r="K1430" t="n">
        <v>0</v>
      </c>
      <c r="L1430" t="n">
        <v>0</v>
      </c>
      <c r="M1430" t="n">
        <v>0</v>
      </c>
      <c r="N1430" t="n">
        <v>0</v>
      </c>
      <c r="O1430" t="n">
        <v>0</v>
      </c>
      <c r="P1430" t="n">
        <v>0</v>
      </c>
      <c r="Q1430" t="n">
        <v>0</v>
      </c>
      <c r="R1430" t="inlineStr">
        <is>
          <t>Operationnel</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row>
    <row r="1431">
      <c r="A1431" t="inlineStr">
        <is>
          <t>Nkeng-Likok-II</t>
        </is>
      </c>
      <c r="B1431" t="inlineStr">
        <is>
          <t>LIT_658</t>
        </is>
      </c>
      <c r="C1431" t="inlineStr">
        <is>
          <t>LITTORAL</t>
        </is>
      </c>
      <c r="D1431" t="inlineStr">
        <is>
          <t>CAMUSAT</t>
        </is>
      </c>
      <c r="E1431" t="inlineStr">
        <is>
          <t>Hybrid Solar - S3</t>
        </is>
      </c>
      <c r="F1431" t="inlineStr">
        <is>
          <t>LITTORAL</t>
        </is>
      </c>
      <c r="G1431" t="inlineStr">
        <is>
          <t>Nkeng-Likok-II</t>
        </is>
      </c>
      <c r="H1431" t="inlineStr">
        <is>
          <t>NOKIA</t>
        </is>
      </c>
      <c r="I1431" t="n">
        <v>0</v>
      </c>
      <c r="J1431" t="n">
        <v>0</v>
      </c>
      <c r="K1431" t="n">
        <v>0</v>
      </c>
      <c r="L1431" t="n">
        <v>0</v>
      </c>
      <c r="M1431" t="n">
        <v>0</v>
      </c>
      <c r="N1431" t="n">
        <v>0</v>
      </c>
      <c r="O1431" t="n">
        <v>0</v>
      </c>
      <c r="P1431" t="n">
        <v>0</v>
      </c>
      <c r="Q1431" t="n">
        <v>0</v>
      </c>
      <c r="R1431" t="inlineStr">
        <is>
          <t>EXCLU</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row>
    <row r="1432">
      <c r="A1432" t="inlineStr">
        <is>
          <t>Denver</t>
        </is>
      </c>
      <c r="B1432" t="inlineStr">
        <is>
          <t>LIT_106</t>
        </is>
      </c>
      <c r="C1432" t="inlineStr">
        <is>
          <t>Douala</t>
        </is>
      </c>
      <c r="D1432" t="inlineStr">
        <is>
          <t>IHS</t>
        </is>
      </c>
      <c r="E1432" t="inlineStr">
        <is>
          <t>Grid-Gen</t>
        </is>
      </c>
      <c r="F1432" t="inlineStr">
        <is>
          <t>LITTORAL</t>
        </is>
      </c>
      <c r="G1432" t="inlineStr">
        <is>
          <t>Douala</t>
        </is>
      </c>
      <c r="H1432" t="inlineStr">
        <is>
          <t>ZTE</t>
        </is>
      </c>
      <c r="I1432" t="n">
        <v>0</v>
      </c>
      <c r="J1432" t="n">
        <v>0</v>
      </c>
      <c r="K1432" t="n">
        <v>0</v>
      </c>
      <c r="L1432" t="n">
        <v>0</v>
      </c>
      <c r="M1432" t="n">
        <v>0</v>
      </c>
      <c r="N1432" t="n">
        <v>0</v>
      </c>
      <c r="O1432" t="n">
        <v>0</v>
      </c>
      <c r="P1432" t="n">
        <v>0</v>
      </c>
      <c r="Q1432" t="n">
        <v>0</v>
      </c>
      <c r="R1432" t="inlineStr">
        <is>
          <t>Operationnel</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row>
    <row r="1433">
      <c r="A1433" t="inlineStr">
        <is>
          <t>Marche-Congo</t>
        </is>
      </c>
      <c r="B1433" t="inlineStr">
        <is>
          <t>LIT_547</t>
        </is>
      </c>
      <c r="C1433" t="inlineStr">
        <is>
          <t>Douala</t>
        </is>
      </c>
      <c r="D1433" t="inlineStr">
        <is>
          <t>CAMUSAT</t>
        </is>
      </c>
      <c r="E1433" t="inlineStr">
        <is>
          <t>Good Grid no GE - 8h</t>
        </is>
      </c>
      <c r="F1433" t="inlineStr">
        <is>
          <t>LITTORAL</t>
        </is>
      </c>
      <c r="G1433" t="inlineStr">
        <is>
          <t>Douala</t>
        </is>
      </c>
      <c r="H1433" t="inlineStr">
        <is>
          <t>ZTE</t>
        </is>
      </c>
      <c r="I1433" t="n">
        <v>0</v>
      </c>
      <c r="J1433" t="n">
        <v>0</v>
      </c>
      <c r="K1433" t="n">
        <v>0</v>
      </c>
      <c r="L1433" t="n">
        <v>0</v>
      </c>
      <c r="M1433" t="n">
        <v>0</v>
      </c>
      <c r="N1433" t="n">
        <v>0</v>
      </c>
      <c r="O1433" t="n">
        <v>0</v>
      </c>
      <c r="P1433" t="n">
        <v>0</v>
      </c>
      <c r="Q1433" t="n">
        <v>0</v>
      </c>
      <c r="R1433" t="inlineStr">
        <is>
          <t>Operationnel</t>
        </is>
      </c>
      <c r="S1433" t="inlineStr"/>
      <c r="T1433" t="inlineStr"/>
      <c r="U1433" t="inlineStr"/>
      <c r="V1433" t="inlineStr"/>
      <c r="W1433" t="inlineStr"/>
      <c r="X1433" t="inlineStr">
        <is>
          <t>{05-25-2026 retour CAMUSAT}: Grid outage Grid only site</t>
        </is>
      </c>
      <c r="Y1433" t="inlineStr">
        <is>
          <t>Grid outage Grid only site</t>
        </is>
      </c>
      <c r="Z1433" t="inlineStr"/>
      <c r="AA1433" t="inlineStr"/>
      <c r="AB1433" t="inlineStr"/>
      <c r="AC1433" t="inlineStr">
        <is>
          <t>{05-25-2026 retour CAMUSAT}: Grid outage Grid only site</t>
        </is>
      </c>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row>
    <row r="1434">
      <c r="A1434" t="inlineStr">
        <is>
          <t>Denver2</t>
        </is>
      </c>
      <c r="B1434" t="inlineStr">
        <is>
          <t>LIT_486</t>
        </is>
      </c>
      <c r="C1434" t="inlineStr">
        <is>
          <t>Douala</t>
        </is>
      </c>
      <c r="D1434" t="inlineStr">
        <is>
          <t>IHS</t>
        </is>
      </c>
      <c r="E1434" t="inlineStr">
        <is>
          <t>GridOnly</t>
        </is>
      </c>
      <c r="F1434" t="inlineStr">
        <is>
          <t>LITTORAL</t>
        </is>
      </c>
      <c r="G1434" t="inlineStr">
        <is>
          <t>Douala</t>
        </is>
      </c>
      <c r="H1434" t="inlineStr">
        <is>
          <t>ZTE</t>
        </is>
      </c>
      <c r="I1434" t="n">
        <v>0</v>
      </c>
      <c r="J1434" t="n">
        <v>0</v>
      </c>
      <c r="K1434" t="n">
        <v>0</v>
      </c>
      <c r="L1434" t="n">
        <v>0</v>
      </c>
      <c r="M1434" t="n">
        <v>0</v>
      </c>
      <c r="N1434" t="n">
        <v>0</v>
      </c>
      <c r="O1434" t="n">
        <v>0</v>
      </c>
      <c r="P1434" t="n">
        <v>0</v>
      </c>
      <c r="Q1434" t="n">
        <v>0</v>
      </c>
      <c r="R1434" t="inlineStr">
        <is>
          <t>Operationnel</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row>
    <row r="1435">
      <c r="A1435" t="inlineStr">
        <is>
          <t>Beedi</t>
        </is>
      </c>
      <c r="B1435" t="inlineStr">
        <is>
          <t>LIT_127</t>
        </is>
      </c>
      <c r="C1435" t="inlineStr">
        <is>
          <t>Douala</t>
        </is>
      </c>
      <c r="D1435" t="inlineStr">
        <is>
          <t>IHS</t>
        </is>
      </c>
      <c r="E1435" t="inlineStr">
        <is>
          <t>Grid-Gen</t>
        </is>
      </c>
      <c r="F1435" t="inlineStr">
        <is>
          <t>LITTORAL</t>
        </is>
      </c>
      <c r="G1435" t="inlineStr">
        <is>
          <t>Douala</t>
        </is>
      </c>
      <c r="H1435" t="inlineStr">
        <is>
          <t>ZTE</t>
        </is>
      </c>
      <c r="I1435" t="n">
        <v>0</v>
      </c>
      <c r="J1435" t="n">
        <v>0</v>
      </c>
      <c r="K1435" t="n">
        <v>0</v>
      </c>
      <c r="L1435" t="n">
        <v>0</v>
      </c>
      <c r="M1435" t="n">
        <v>0</v>
      </c>
      <c r="N1435" t="n">
        <v>0</v>
      </c>
      <c r="O1435" t="n">
        <v>0</v>
      </c>
      <c r="P1435" t="n">
        <v>0</v>
      </c>
      <c r="Q1435" t="n">
        <v>0</v>
      </c>
      <c r="R1435" t="inlineStr">
        <is>
          <t>Operationnel</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row>
    <row r="1436">
      <c r="A1436" t="inlineStr">
        <is>
          <t>Ngodi-Cite</t>
        </is>
      </c>
      <c r="B1436" t="inlineStr">
        <is>
          <t>LIT_626</t>
        </is>
      </c>
      <c r="C1436" t="inlineStr">
        <is>
          <t>Douala</t>
        </is>
      </c>
      <c r="D1436" t="inlineStr">
        <is>
          <t>CAMUSAT</t>
        </is>
      </c>
      <c r="E1436" t="inlineStr">
        <is>
          <t>Good Grid no GE - 8h</t>
        </is>
      </c>
      <c r="F1436" t="inlineStr">
        <is>
          <t>LITTORAL</t>
        </is>
      </c>
      <c r="G1436" t="inlineStr">
        <is>
          <t>Douala</t>
        </is>
      </c>
      <c r="H1436" t="inlineStr">
        <is>
          <t>ZTE</t>
        </is>
      </c>
      <c r="I1436" t="n">
        <v>0</v>
      </c>
      <c r="J1436" t="n">
        <v>0</v>
      </c>
      <c r="K1436" t="n">
        <v>0</v>
      </c>
      <c r="L1436" t="n">
        <v>0</v>
      </c>
      <c r="M1436" t="n">
        <v>0</v>
      </c>
      <c r="N1436" t="n">
        <v>0</v>
      </c>
      <c r="O1436" t="n">
        <v>0</v>
      </c>
      <c r="P1436" t="n">
        <v>0</v>
      </c>
      <c r="Q1436" t="n">
        <v>0</v>
      </c>
      <c r="R1436" t="inlineStr">
        <is>
          <t>Operationnel</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row>
    <row r="1437">
      <c r="A1437" t="inlineStr">
        <is>
          <t>Koloko</t>
        </is>
      </c>
      <c r="B1437" t="inlineStr">
        <is>
          <t>LIT_079</t>
        </is>
      </c>
      <c r="C1437" t="inlineStr">
        <is>
          <t>Douala</t>
        </is>
      </c>
      <c r="D1437" t="inlineStr">
        <is>
          <t>IHS</t>
        </is>
      </c>
      <c r="E1437" t="inlineStr">
        <is>
          <t>Grid-Gen</t>
        </is>
      </c>
      <c r="F1437" t="inlineStr">
        <is>
          <t>LITTORAL</t>
        </is>
      </c>
      <c r="G1437" t="inlineStr">
        <is>
          <t>Douala</t>
        </is>
      </c>
      <c r="H1437" t="inlineStr">
        <is>
          <t>ZTE</t>
        </is>
      </c>
      <c r="I1437" t="n">
        <v>0</v>
      </c>
      <c r="J1437" t="n">
        <v>0</v>
      </c>
      <c r="K1437" t="n">
        <v>0</v>
      </c>
      <c r="L1437" t="n">
        <v>0</v>
      </c>
      <c r="M1437" t="n">
        <v>0</v>
      </c>
      <c r="N1437" t="n">
        <v>0</v>
      </c>
      <c r="O1437" t="n">
        <v>0</v>
      </c>
      <c r="P1437" t="n">
        <v>0</v>
      </c>
      <c r="Q1437" t="n">
        <v>0</v>
      </c>
      <c r="R1437" t="inlineStr">
        <is>
          <t>Operationnel</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row>
    <row r="1438">
      <c r="A1438" t="inlineStr">
        <is>
          <t>Sable</t>
        </is>
      </c>
      <c r="B1438" t="inlineStr">
        <is>
          <t>LIT_267</t>
        </is>
      </c>
      <c r="C1438" t="inlineStr">
        <is>
          <t>Douala</t>
        </is>
      </c>
      <c r="D1438" t="inlineStr">
        <is>
          <t>IHS</t>
        </is>
      </c>
      <c r="E1438" t="inlineStr">
        <is>
          <t>Grid-Gen</t>
        </is>
      </c>
      <c r="F1438" t="inlineStr">
        <is>
          <t>LITTORAL</t>
        </is>
      </c>
      <c r="G1438" t="inlineStr">
        <is>
          <t>Douala</t>
        </is>
      </c>
      <c r="H1438" t="inlineStr">
        <is>
          <t>ZTE</t>
        </is>
      </c>
      <c r="I1438" t="n">
        <v>0</v>
      </c>
      <c r="J1438" t="n">
        <v>0</v>
      </c>
      <c r="K1438" t="n">
        <v>0</v>
      </c>
      <c r="L1438" t="n">
        <v>0</v>
      </c>
      <c r="M1438" t="n">
        <v>0</v>
      </c>
      <c r="N1438" t="n">
        <v>0</v>
      </c>
      <c r="O1438" t="n">
        <v>0</v>
      </c>
      <c r="P1438" t="n">
        <v>0</v>
      </c>
      <c r="Q1438" t="n">
        <v>0</v>
      </c>
      <c r="R1438" t="inlineStr">
        <is>
          <t>Operationnel</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row>
    <row r="1439">
      <c r="A1439" t="inlineStr">
        <is>
          <t>Ndoumbi</t>
        </is>
      </c>
      <c r="B1439" t="inlineStr">
        <is>
          <t>EST_185</t>
        </is>
      </c>
      <c r="C1439" t="inlineStr">
        <is>
          <t>CENTRE</t>
        </is>
      </c>
      <c r="D1439" t="inlineStr">
        <is>
          <t>ESCO</t>
        </is>
      </c>
      <c r="E1439" t="inlineStr">
        <is>
          <t>Hybrid Solar - S3</t>
        </is>
      </c>
      <c r="F1439" t="inlineStr">
        <is>
          <t>EST</t>
        </is>
      </c>
      <c r="G1439" t="inlineStr">
        <is>
          <t>Ndoumbi</t>
        </is>
      </c>
      <c r="H1439" t="inlineStr">
        <is>
          <t>NOKIA</t>
        </is>
      </c>
      <c r="I1439" t="n">
        <v>0</v>
      </c>
      <c r="J1439" t="n">
        <v>0</v>
      </c>
      <c r="K1439" t="n">
        <v>0</v>
      </c>
      <c r="L1439" t="n">
        <v>0</v>
      </c>
      <c r="M1439" t="n">
        <v>0</v>
      </c>
      <c r="N1439" t="n">
        <v>0</v>
      </c>
      <c r="O1439" t="n">
        <v>0</v>
      </c>
      <c r="P1439" t="n">
        <v>0</v>
      </c>
      <c r="Q1439" t="n">
        <v>0</v>
      </c>
      <c r="R1439" t="inlineStr">
        <is>
          <t>Operationnel</t>
        </is>
      </c>
      <c r="S1439" t="inlineStr"/>
      <c r="T1439" t="inlineStr"/>
      <c r="U1439" t="inlineStr"/>
      <c r="V1439" t="inlineStr"/>
      <c r="W1439" t="inlineStr"/>
      <c r="X1439" t="inlineStr">
        <is>
          <t xml:space="preserve">{05-25-2026 retour CAMUSAT}: No power issue </t>
        </is>
      </c>
      <c r="Y1439" t="inlineStr">
        <is>
          <t>No power issue</t>
        </is>
      </c>
      <c r="Z1439" t="inlineStr"/>
      <c r="AA1439" t="inlineStr"/>
      <c r="AB1439" t="inlineStr"/>
      <c r="AC1439" t="inlineStr">
        <is>
          <t xml:space="preserve">{05-25-2026 retour CAMUSAT}: No power issue </t>
        </is>
      </c>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row>
    <row r="1440">
      <c r="A1440" t="inlineStr">
        <is>
          <t>Bamenda-CRTV</t>
        </is>
      </c>
      <c r="B1440" t="inlineStr">
        <is>
          <t>NRO_008</t>
        </is>
      </c>
      <c r="C1440" t="inlineStr">
        <is>
          <t>NORD-OUEST</t>
        </is>
      </c>
      <c r="D1440" t="inlineStr">
        <is>
          <t>CAMUSAT</t>
        </is>
      </c>
      <c r="E1440" t="inlineStr">
        <is>
          <t>Good Grid + GE</t>
        </is>
      </c>
      <c r="F1440" t="inlineStr">
        <is>
          <t>NORD-OUEST</t>
        </is>
      </c>
      <c r="G1440" t="inlineStr">
        <is>
          <t>Bamenda</t>
        </is>
      </c>
      <c r="H1440" t="inlineStr">
        <is>
          <t>Huawei</t>
        </is>
      </c>
      <c r="I1440" t="n">
        <v>0</v>
      </c>
      <c r="J1440" t="n">
        <v>0</v>
      </c>
      <c r="K1440" t="n">
        <v>0</v>
      </c>
      <c r="L1440" t="n">
        <v>0</v>
      </c>
      <c r="M1440" t="n">
        <v>0</v>
      </c>
      <c r="N1440" t="n">
        <v>0</v>
      </c>
      <c r="O1440" t="n">
        <v>0</v>
      </c>
      <c r="P1440" t="n">
        <v>0</v>
      </c>
      <c r="Q1440" t="n">
        <v>0</v>
      </c>
      <c r="R1440" t="inlineStr">
        <is>
          <t>Operationnel</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row>
    <row r="1441">
      <c r="A1441" t="inlineStr">
        <is>
          <t>LIT_863_Z_Kotto-Logpom-New</t>
        </is>
      </c>
      <c r="B1441" t="inlineStr">
        <is>
          <t>LIT_863</t>
        </is>
      </c>
      <c r="C1441" t="inlineStr">
        <is>
          <t>Douala</t>
        </is>
      </c>
      <c r="D1441" t="inlineStr"/>
      <c r="E1441" t="inlineStr"/>
      <c r="F1441" t="inlineStr">
        <is>
          <t>LITTORAL</t>
        </is>
      </c>
      <c r="G1441" t="inlineStr">
        <is>
          <t>Douala</t>
        </is>
      </c>
      <c r="H1441" t="inlineStr">
        <is>
          <t>ZTE</t>
        </is>
      </c>
      <c r="I1441" t="n">
        <v>0</v>
      </c>
      <c r="J1441" t="n">
        <v>0</v>
      </c>
      <c r="K1441" t="n">
        <v>0</v>
      </c>
      <c r="L1441" t="n">
        <v>0</v>
      </c>
      <c r="M1441" t="n">
        <v>0</v>
      </c>
      <c r="N1441" t="n">
        <v>0</v>
      </c>
      <c r="O1441" t="n">
        <v>0</v>
      </c>
      <c r="P1441" t="n">
        <v>0</v>
      </c>
      <c r="Q1441" t="n">
        <v>0</v>
      </c>
      <c r="R1441" t="inlineStr">
        <is>
          <t>Operationnel</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row>
    <row r="1442">
      <c r="A1442" t="inlineStr">
        <is>
          <t>Soa-II</t>
        </is>
      </c>
      <c r="B1442" t="inlineStr">
        <is>
          <t>CTR_317</t>
        </is>
      </c>
      <c r="C1442" t="inlineStr">
        <is>
          <t>Yaounde</t>
        </is>
      </c>
      <c r="D1442" t="inlineStr">
        <is>
          <t>IHS</t>
        </is>
      </c>
      <c r="E1442" t="inlineStr">
        <is>
          <t>Grid-Gen</t>
        </is>
      </c>
      <c r="F1442" t="inlineStr">
        <is>
          <t>CENTRE</t>
        </is>
      </c>
      <c r="G1442" t="inlineStr">
        <is>
          <t>Yaounde</t>
        </is>
      </c>
      <c r="H1442" t="inlineStr">
        <is>
          <t>ZTE</t>
        </is>
      </c>
      <c r="I1442" t="n">
        <v>0</v>
      </c>
      <c r="J1442" t="n">
        <v>0</v>
      </c>
      <c r="K1442" t="n">
        <v>0</v>
      </c>
      <c r="L1442" t="n">
        <v>0</v>
      </c>
      <c r="M1442" t="n">
        <v>0</v>
      </c>
      <c r="N1442" t="n">
        <v>0</v>
      </c>
      <c r="O1442" t="n">
        <v>0</v>
      </c>
      <c r="P1442" t="n">
        <v>0</v>
      </c>
      <c r="Q1442" t="n">
        <v>0</v>
      </c>
      <c r="R1442" t="inlineStr">
        <is>
          <t>Operationnel</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row>
    <row r="1443">
      <c r="A1443" t="inlineStr">
        <is>
          <t>Foumban-Kounga-II</t>
        </is>
      </c>
      <c r="B1443" t="inlineStr">
        <is>
          <t>OST_233</t>
        </is>
      </c>
      <c r="C1443" t="inlineStr">
        <is>
          <t>OUEST</t>
        </is>
      </c>
      <c r="D1443" t="inlineStr">
        <is>
          <t>CAMUSAT</t>
        </is>
      </c>
      <c r="E1443" t="inlineStr">
        <is>
          <t>Medium Grid + GE</t>
        </is>
      </c>
      <c r="F1443" t="inlineStr">
        <is>
          <t>OUEST</t>
        </is>
      </c>
      <c r="G1443" t="inlineStr">
        <is>
          <t>Foumban</t>
        </is>
      </c>
      <c r="H1443" t="inlineStr">
        <is>
          <t>Huawei</t>
        </is>
      </c>
      <c r="I1443" t="n">
        <v>0</v>
      </c>
      <c r="J1443" t="n">
        <v>0</v>
      </c>
      <c r="K1443" t="n">
        <v>0</v>
      </c>
      <c r="L1443" t="n">
        <v>0</v>
      </c>
      <c r="M1443" t="n">
        <v>0</v>
      </c>
      <c r="N1443" t="n">
        <v>0</v>
      </c>
      <c r="O1443" t="n">
        <v>0</v>
      </c>
      <c r="P1443" t="n">
        <v>0</v>
      </c>
      <c r="Q1443" t="n">
        <v>0</v>
      </c>
      <c r="R1443" t="inlineStr">
        <is>
          <t>Operationnel</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row>
    <row r="1444">
      <c r="A1444" t="inlineStr">
        <is>
          <t>Soa</t>
        </is>
      </c>
      <c r="B1444" t="inlineStr">
        <is>
          <t>CTR_031</t>
        </is>
      </c>
      <c r="C1444" t="inlineStr">
        <is>
          <t>Yaounde</t>
        </is>
      </c>
      <c r="D1444" t="inlineStr">
        <is>
          <t>IHS</t>
        </is>
      </c>
      <c r="E1444" t="inlineStr">
        <is>
          <t>Grid-Gen</t>
        </is>
      </c>
      <c r="F1444" t="inlineStr">
        <is>
          <t>CENTRE</t>
        </is>
      </c>
      <c r="G1444" t="inlineStr">
        <is>
          <t>Yaounde</t>
        </is>
      </c>
      <c r="H1444" t="inlineStr">
        <is>
          <t>ZTE</t>
        </is>
      </c>
      <c r="I1444" t="n">
        <v>0</v>
      </c>
      <c r="J1444" t="n">
        <v>0</v>
      </c>
      <c r="K1444" t="n">
        <v>0</v>
      </c>
      <c r="L1444" t="n">
        <v>0</v>
      </c>
      <c r="M1444" t="n">
        <v>0</v>
      </c>
      <c r="N1444" t="n">
        <v>0</v>
      </c>
      <c r="O1444" t="n">
        <v>0</v>
      </c>
      <c r="P1444" t="n">
        <v>0</v>
      </c>
      <c r="Q1444" t="n">
        <v>0</v>
      </c>
      <c r="R1444" t="inlineStr">
        <is>
          <t>Operationnel</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row>
    <row r="1445">
      <c r="A1445" t="inlineStr">
        <is>
          <t>Sonara</t>
        </is>
      </c>
      <c r="B1445" t="inlineStr">
        <is>
          <t>SUO_171</t>
        </is>
      </c>
      <c r="C1445" t="inlineStr">
        <is>
          <t>SUD-OUEST</t>
        </is>
      </c>
      <c r="D1445" t="inlineStr">
        <is>
          <t>CAMUSAT</t>
        </is>
      </c>
      <c r="E1445" t="inlineStr">
        <is>
          <t>Medium Grid + GE</t>
        </is>
      </c>
      <c r="F1445" t="inlineStr">
        <is>
          <t>SUD-OUEST</t>
        </is>
      </c>
      <c r="G1445" t="inlineStr">
        <is>
          <t>Limbe</t>
        </is>
      </c>
      <c r="H1445" t="inlineStr">
        <is>
          <t>Huawei</t>
        </is>
      </c>
      <c r="I1445" t="n">
        <v>0</v>
      </c>
      <c r="J1445" t="n">
        <v>0</v>
      </c>
      <c r="K1445" t="n">
        <v>0</v>
      </c>
      <c r="L1445" t="n">
        <v>0</v>
      </c>
      <c r="M1445" t="n">
        <v>0</v>
      </c>
      <c r="N1445" t="n">
        <v>0</v>
      </c>
      <c r="O1445" t="n">
        <v>0</v>
      </c>
      <c r="P1445" t="n">
        <v>0</v>
      </c>
      <c r="Q1445" t="n">
        <v>0</v>
      </c>
      <c r="R1445" t="inlineStr">
        <is>
          <t>Operationnel</t>
        </is>
      </c>
      <c r="S1445" t="inlineStr"/>
      <c r="T1445" t="inlineStr"/>
      <c r="U1445" t="inlineStr"/>
      <c r="V1445" t="inlineStr"/>
      <c r="W1445" t="inlineStr"/>
      <c r="X1445" t="inlineStr">
        <is>
          <t>{05-25-2026 retour CAMUSAT}: Génératrice faulty</t>
        </is>
      </c>
      <c r="Y1445" t="inlineStr">
        <is>
          <t>Génératrice faulty</t>
        </is>
      </c>
      <c r="Z1445" t="inlineStr"/>
      <c r="AA1445" t="inlineStr"/>
      <c r="AB1445" t="inlineStr"/>
      <c r="AC1445" t="inlineStr">
        <is>
          <t>{05-25-2026 retour CAMUSAT}: Génératrice faulty</t>
        </is>
      </c>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row>
    <row r="1446">
      <c r="A1446" t="inlineStr">
        <is>
          <t>Montee-Des-Soeurs-IHS</t>
        </is>
      </c>
      <c r="B1446" t="inlineStr">
        <is>
          <t>CTR_149</t>
        </is>
      </c>
      <c r="C1446" t="inlineStr">
        <is>
          <t>Yaounde</t>
        </is>
      </c>
      <c r="D1446" t="inlineStr">
        <is>
          <t>IHS</t>
        </is>
      </c>
      <c r="E1446" t="inlineStr">
        <is>
          <t>Grid-Gen</t>
        </is>
      </c>
      <c r="F1446" t="inlineStr">
        <is>
          <t>CENTRE</t>
        </is>
      </c>
      <c r="G1446" t="inlineStr">
        <is>
          <t>Yaounde</t>
        </is>
      </c>
      <c r="H1446" t="inlineStr">
        <is>
          <t>ZTE</t>
        </is>
      </c>
      <c r="I1446" t="n">
        <v>0</v>
      </c>
      <c r="J1446" t="n">
        <v>0</v>
      </c>
      <c r="K1446" t="n">
        <v>0</v>
      </c>
      <c r="L1446" t="n">
        <v>0</v>
      </c>
      <c r="M1446" t="n">
        <v>0</v>
      </c>
      <c r="N1446" t="n">
        <v>0</v>
      </c>
      <c r="O1446" t="n">
        <v>0</v>
      </c>
      <c r="P1446" t="n">
        <v>0</v>
      </c>
      <c r="Q1446" t="n">
        <v>0</v>
      </c>
      <c r="R1446" t="inlineStr">
        <is>
          <t>Operationnel</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row>
    <row r="1447">
      <c r="A1447" t="inlineStr">
        <is>
          <t>Ekombitie-II</t>
        </is>
      </c>
      <c r="B1447" t="inlineStr">
        <is>
          <t>CTR_723</t>
        </is>
      </c>
      <c r="C1447" t="inlineStr">
        <is>
          <t>Yaounde</t>
        </is>
      </c>
      <c r="D1447" t="inlineStr">
        <is>
          <t>CAMUSAT</t>
        </is>
      </c>
      <c r="E1447" t="inlineStr">
        <is>
          <t>Good Grid + GE</t>
        </is>
      </c>
      <c r="F1447" t="inlineStr">
        <is>
          <t>CENTRE</t>
        </is>
      </c>
      <c r="G1447" t="inlineStr">
        <is>
          <t>Yaounde</t>
        </is>
      </c>
      <c r="H1447" t="inlineStr">
        <is>
          <t>ZTE</t>
        </is>
      </c>
      <c r="I1447" t="n">
        <v>0</v>
      </c>
      <c r="J1447" t="n">
        <v>0</v>
      </c>
      <c r="K1447" t="n">
        <v>0</v>
      </c>
      <c r="L1447" t="n">
        <v>0</v>
      </c>
      <c r="M1447" t="n">
        <v>0</v>
      </c>
      <c r="N1447" t="n">
        <v>0</v>
      </c>
      <c r="O1447" t="n">
        <v>0</v>
      </c>
      <c r="P1447" t="n">
        <v>0</v>
      </c>
      <c r="Q1447" t="n">
        <v>0</v>
      </c>
      <c r="R1447" t="inlineStr">
        <is>
          <t>Operationnel</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row>
    <row r="1448">
      <c r="A1448" t="inlineStr">
        <is>
          <t>BBeri-Dikolo-Centre-Equestre</t>
        </is>
      </c>
      <c r="B1448" t="inlineStr">
        <is>
          <t>LIT_681</t>
        </is>
      </c>
      <c r="C1448" t="inlineStr">
        <is>
          <t>Douala</t>
        </is>
      </c>
      <c r="D1448" t="inlineStr">
        <is>
          <t>CAMUSAT</t>
        </is>
      </c>
      <c r="E1448" t="inlineStr">
        <is>
          <t>Good Grid no GE - 8h</t>
        </is>
      </c>
      <c r="F1448" t="inlineStr">
        <is>
          <t>LITTORAL</t>
        </is>
      </c>
      <c r="G1448" t="inlineStr">
        <is>
          <t>Douala</t>
        </is>
      </c>
      <c r="H1448" t="inlineStr">
        <is>
          <t>ZTE</t>
        </is>
      </c>
      <c r="I1448" t="n">
        <v>0</v>
      </c>
      <c r="J1448" t="n">
        <v>0</v>
      </c>
      <c r="K1448" t="n">
        <v>0</v>
      </c>
      <c r="L1448" t="n">
        <v>0</v>
      </c>
      <c r="M1448" t="n">
        <v>0</v>
      </c>
      <c r="N1448" t="n">
        <v>0</v>
      </c>
      <c r="O1448" t="n">
        <v>0</v>
      </c>
      <c r="P1448" t="n">
        <v>0</v>
      </c>
      <c r="Q1448" t="n">
        <v>0</v>
      </c>
      <c r="R1448" t="inlineStr">
        <is>
          <t>Operationnel</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row>
    <row r="1449">
      <c r="A1449" t="inlineStr">
        <is>
          <t>SOA-Vallee</t>
        </is>
      </c>
      <c r="B1449" t="inlineStr">
        <is>
          <t>CTR_714</t>
        </is>
      </c>
      <c r="C1449" t="inlineStr">
        <is>
          <t>Yaounde</t>
        </is>
      </c>
      <c r="D1449" t="inlineStr">
        <is>
          <t>CAMUSAT</t>
        </is>
      </c>
      <c r="E1449" t="inlineStr">
        <is>
          <t>Good Grid + GE</t>
        </is>
      </c>
      <c r="F1449" t="inlineStr">
        <is>
          <t>CENTRE</t>
        </is>
      </c>
      <c r="G1449" t="inlineStr">
        <is>
          <t>Yaounde</t>
        </is>
      </c>
      <c r="H1449" t="inlineStr">
        <is>
          <t>ZTE</t>
        </is>
      </c>
      <c r="I1449" t="n">
        <v>0</v>
      </c>
      <c r="J1449" t="n">
        <v>0</v>
      </c>
      <c r="K1449" t="n">
        <v>0</v>
      </c>
      <c r="L1449" t="n">
        <v>0</v>
      </c>
      <c r="M1449" t="n">
        <v>0</v>
      </c>
      <c r="N1449" t="n">
        <v>0</v>
      </c>
      <c r="O1449" t="n">
        <v>0</v>
      </c>
      <c r="P1449" t="n">
        <v>0</v>
      </c>
      <c r="Q1449" t="n">
        <v>0</v>
      </c>
      <c r="R1449" t="inlineStr">
        <is>
          <t>Operationnel</t>
        </is>
      </c>
      <c r="S1449" t="inlineStr"/>
      <c r="T1449" t="inlineStr"/>
      <c r="U1449" t="inlineStr"/>
      <c r="V1449" t="inlineStr"/>
      <c r="W1449" t="inlineStr"/>
      <c r="X1449" t="inlineStr">
        <is>
          <t xml:space="preserve">{05-25-2026 retour CAMUSAT}: No power issue </t>
        </is>
      </c>
      <c r="Y1449" t="inlineStr">
        <is>
          <t>No power issue</t>
        </is>
      </c>
      <c r="Z1449" t="inlineStr"/>
      <c r="AA1449" t="inlineStr"/>
      <c r="AB1449" t="inlineStr"/>
      <c r="AC1449" t="inlineStr">
        <is>
          <t xml:space="preserve">{05-25-2026 retour CAMUSAT}: No power issue </t>
        </is>
      </c>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row>
    <row r="1450">
      <c r="A1450" t="inlineStr">
        <is>
          <t>Ange-raphael-II</t>
        </is>
      </c>
      <c r="B1450" t="inlineStr">
        <is>
          <t>LIT_696</t>
        </is>
      </c>
      <c r="C1450" t="inlineStr">
        <is>
          <t>Douala</t>
        </is>
      </c>
      <c r="D1450" t="inlineStr">
        <is>
          <t>CAMUSAT</t>
        </is>
      </c>
      <c r="E1450" t="inlineStr">
        <is>
          <t>Good Grid no GE - 8h</t>
        </is>
      </c>
      <c r="F1450" t="inlineStr">
        <is>
          <t>LITTORAL</t>
        </is>
      </c>
      <c r="G1450" t="inlineStr">
        <is>
          <t>Douala</t>
        </is>
      </c>
      <c r="H1450" t="inlineStr">
        <is>
          <t>ZTE</t>
        </is>
      </c>
      <c r="I1450" t="n">
        <v>0</v>
      </c>
      <c r="J1450" t="n">
        <v>0</v>
      </c>
      <c r="K1450" t="n">
        <v>0</v>
      </c>
      <c r="L1450" t="n">
        <v>0</v>
      </c>
      <c r="M1450" t="n">
        <v>0</v>
      </c>
      <c r="N1450" t="n">
        <v>0</v>
      </c>
      <c r="O1450" t="n">
        <v>0</v>
      </c>
      <c r="P1450" t="n">
        <v>0</v>
      </c>
      <c r="Q1450" t="n">
        <v>0</v>
      </c>
      <c r="R1450" t="inlineStr">
        <is>
          <t>Operationnel</t>
        </is>
      </c>
      <c r="S1450" t="inlineStr"/>
      <c r="T1450" t="inlineStr"/>
      <c r="U1450" t="inlineStr"/>
      <c r="V1450" t="inlineStr"/>
      <c r="W1450" t="inlineStr"/>
      <c r="X1450" t="inlineStr">
        <is>
          <t>{05-25-2026 retour CAMUSAT}: Insuffisance de redresseurs</t>
        </is>
      </c>
      <c r="Y1450" t="inlineStr">
        <is>
          <t>Insuffisance de redresseurs</t>
        </is>
      </c>
      <c r="Z1450" t="inlineStr"/>
      <c r="AA1450" t="inlineStr"/>
      <c r="AB1450" t="inlineStr"/>
      <c r="AC1450" t="inlineStr">
        <is>
          <t>{05-25-2026 retour CAMUSAT}: Insuffisance de redresseurs</t>
        </is>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row>
    <row r="1451">
      <c r="A1451" t="inlineStr">
        <is>
          <t>Yassa-Dispensaire</t>
        </is>
      </c>
      <c r="B1451" t="inlineStr">
        <is>
          <t>LIT_639</t>
        </is>
      </c>
      <c r="C1451" t="inlineStr">
        <is>
          <t>Douala</t>
        </is>
      </c>
      <c r="D1451" t="inlineStr">
        <is>
          <t>CAMUSAT</t>
        </is>
      </c>
      <c r="E1451" t="inlineStr">
        <is>
          <t>Good Grid + GE</t>
        </is>
      </c>
      <c r="F1451" t="inlineStr">
        <is>
          <t>LITTORAL</t>
        </is>
      </c>
      <c r="G1451" t="inlineStr">
        <is>
          <t>Douala</t>
        </is>
      </c>
      <c r="H1451" t="inlineStr">
        <is>
          <t>ZTE</t>
        </is>
      </c>
      <c r="I1451" t="n">
        <v>0</v>
      </c>
      <c r="J1451" t="n">
        <v>0</v>
      </c>
      <c r="K1451" t="n">
        <v>0</v>
      </c>
      <c r="L1451" t="n">
        <v>0</v>
      </c>
      <c r="M1451" t="n">
        <v>0</v>
      </c>
      <c r="N1451" t="n">
        <v>0</v>
      </c>
      <c r="O1451" t="n">
        <v>0</v>
      </c>
      <c r="P1451" t="n">
        <v>0</v>
      </c>
      <c r="Q1451" t="n">
        <v>0</v>
      </c>
      <c r="R1451" t="inlineStr">
        <is>
          <t>Operationnel</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row>
    <row r="1452">
      <c r="A1452" t="inlineStr">
        <is>
          <t>Logpom-Andem-IHS</t>
        </is>
      </c>
      <c r="B1452" t="inlineStr">
        <is>
          <t>LIT_140</t>
        </is>
      </c>
      <c r="C1452" t="inlineStr">
        <is>
          <t>Douala</t>
        </is>
      </c>
      <c r="D1452" t="inlineStr">
        <is>
          <t>IHS</t>
        </is>
      </c>
      <c r="E1452" t="inlineStr">
        <is>
          <t>Grid-Gen</t>
        </is>
      </c>
      <c r="F1452" t="inlineStr">
        <is>
          <t>LITTORAL</t>
        </is>
      </c>
      <c r="G1452" t="inlineStr">
        <is>
          <t>Douala</t>
        </is>
      </c>
      <c r="H1452" t="inlineStr">
        <is>
          <t>ZTE</t>
        </is>
      </c>
      <c r="I1452" t="n">
        <v>0</v>
      </c>
      <c r="J1452" t="n">
        <v>0</v>
      </c>
      <c r="K1452" t="n">
        <v>0</v>
      </c>
      <c r="L1452" t="n">
        <v>0</v>
      </c>
      <c r="M1452" t="n">
        <v>0</v>
      </c>
      <c r="N1452" t="n">
        <v>0</v>
      </c>
      <c r="O1452" t="n">
        <v>0</v>
      </c>
      <c r="P1452" t="n">
        <v>0</v>
      </c>
      <c r="Q1452" t="n">
        <v>0</v>
      </c>
      <c r="R1452" t="inlineStr">
        <is>
          <t>Operationnel</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row>
    <row r="1453">
      <c r="A1453" t="inlineStr">
        <is>
          <t>Edea-Ekite</t>
        </is>
      </c>
      <c r="B1453" t="inlineStr">
        <is>
          <t>LIT_322</t>
        </is>
      </c>
      <c r="C1453" t="inlineStr">
        <is>
          <t>LITTORAL</t>
        </is>
      </c>
      <c r="D1453" t="inlineStr">
        <is>
          <t>IHS</t>
        </is>
      </c>
      <c r="E1453" t="inlineStr">
        <is>
          <t>Grid-Gen</t>
        </is>
      </c>
      <c r="F1453" t="inlineStr">
        <is>
          <t>LITTORAL</t>
        </is>
      </c>
      <c r="G1453" t="inlineStr">
        <is>
          <t>Edea</t>
        </is>
      </c>
      <c r="H1453" t="inlineStr">
        <is>
          <t>ZTE</t>
        </is>
      </c>
      <c r="I1453" t="n">
        <v>0</v>
      </c>
      <c r="J1453" t="n">
        <v>0</v>
      </c>
      <c r="K1453" t="n">
        <v>0</v>
      </c>
      <c r="L1453" t="n">
        <v>0</v>
      </c>
      <c r="M1453" t="n">
        <v>0</v>
      </c>
      <c r="N1453" t="n">
        <v>0</v>
      </c>
      <c r="O1453" t="n">
        <v>0</v>
      </c>
      <c r="P1453" t="n">
        <v>0</v>
      </c>
      <c r="Q1453" t="n">
        <v>0</v>
      </c>
      <c r="R1453" t="inlineStr">
        <is>
          <t>Operationnel</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row>
    <row r="1454">
      <c r="A1454" t="inlineStr">
        <is>
          <t>Bep-Safari</t>
        </is>
      </c>
      <c r="B1454" t="inlineStr">
        <is>
          <t>LIT_524</t>
        </is>
      </c>
      <c r="C1454" t="inlineStr">
        <is>
          <t>Douala</t>
        </is>
      </c>
      <c r="D1454" t="inlineStr">
        <is>
          <t>IHS</t>
        </is>
      </c>
      <c r="E1454" t="inlineStr">
        <is>
          <t>Grid-Gen</t>
        </is>
      </c>
      <c r="F1454" t="inlineStr">
        <is>
          <t>LITTORAL</t>
        </is>
      </c>
      <c r="G1454" t="inlineStr">
        <is>
          <t>Douala</t>
        </is>
      </c>
      <c r="H1454" t="inlineStr">
        <is>
          <t>ZTE</t>
        </is>
      </c>
      <c r="I1454" t="n">
        <v>0</v>
      </c>
      <c r="J1454" t="n">
        <v>0</v>
      </c>
      <c r="K1454" t="n">
        <v>0</v>
      </c>
      <c r="L1454" t="n">
        <v>0</v>
      </c>
      <c r="M1454" t="n">
        <v>0</v>
      </c>
      <c r="N1454" t="n">
        <v>0</v>
      </c>
      <c r="O1454" t="n">
        <v>0</v>
      </c>
      <c r="P1454" t="n">
        <v>0</v>
      </c>
      <c r="Q1454" t="n">
        <v>0</v>
      </c>
      <c r="R1454" t="inlineStr">
        <is>
          <t>Operationnel</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row>
    <row r="1455">
      <c r="A1455" t="inlineStr">
        <is>
          <t>Fongo-Tongo</t>
        </is>
      </c>
      <c r="B1455" t="inlineStr">
        <is>
          <t>SUO_136</t>
        </is>
      </c>
      <c r="C1455" t="inlineStr">
        <is>
          <t>SUD-OUEST</t>
        </is>
      </c>
      <c r="D1455" t="inlineStr">
        <is>
          <t>IHS</t>
        </is>
      </c>
      <c r="E1455" t="inlineStr">
        <is>
          <t>Grid-Gen</t>
        </is>
      </c>
      <c r="F1455" t="inlineStr">
        <is>
          <t>SUD-OUEST</t>
        </is>
      </c>
      <c r="G1455" t="inlineStr">
        <is>
          <t>Fongo-Tongo</t>
        </is>
      </c>
      <c r="H1455" t="inlineStr">
        <is>
          <t>NOKIA</t>
        </is>
      </c>
      <c r="I1455" t="n">
        <v>0</v>
      </c>
      <c r="J1455" t="n">
        <v>0</v>
      </c>
      <c r="K1455" t="n">
        <v>0</v>
      </c>
      <c r="L1455" t="n">
        <v>0</v>
      </c>
      <c r="M1455" t="n">
        <v>0</v>
      </c>
      <c r="N1455" t="n">
        <v>0</v>
      </c>
      <c r="O1455" t="n">
        <v>0</v>
      </c>
      <c r="P1455" t="n">
        <v>0</v>
      </c>
      <c r="Q1455" t="n">
        <v>0</v>
      </c>
      <c r="R1455" t="inlineStr">
        <is>
          <t>Insecurity</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row>
    <row r="1456">
      <c r="A1456" t="inlineStr">
        <is>
          <t>be</t>
        </is>
      </c>
      <c r="B1456" t="inlineStr">
        <is>
          <t>SUD_240</t>
        </is>
      </c>
      <c r="C1456" t="inlineStr">
        <is>
          <t>CENTRE</t>
        </is>
      </c>
      <c r="D1456" t="inlineStr">
        <is>
          <t>IHS</t>
        </is>
      </c>
      <c r="E1456" t="inlineStr">
        <is>
          <t>Grid-Gen</t>
        </is>
      </c>
      <c r="F1456" t="inlineStr">
        <is>
          <t>SUD</t>
        </is>
      </c>
      <c r="G1456" t="inlineStr">
        <is>
          <t>Kribi</t>
        </is>
      </c>
      <c r="H1456" t="inlineStr">
        <is>
          <t>ZTE</t>
        </is>
      </c>
      <c r="I1456" t="n">
        <v>0</v>
      </c>
      <c r="J1456" t="n">
        <v>0</v>
      </c>
      <c r="K1456" t="n">
        <v>0</v>
      </c>
      <c r="L1456" t="n">
        <v>0</v>
      </c>
      <c r="M1456" t="n">
        <v>0</v>
      </c>
      <c r="N1456" t="n">
        <v>0</v>
      </c>
      <c r="O1456" t="n">
        <v>0</v>
      </c>
      <c r="P1456" t="n">
        <v>0</v>
      </c>
      <c r="Q1456" t="n">
        <v>0</v>
      </c>
      <c r="R1456" t="inlineStr">
        <is>
          <t>Operationnel</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row>
    <row r="1457">
      <c r="A1457" t="inlineStr">
        <is>
          <t>Bonamouti</t>
        </is>
      </c>
      <c r="B1457" t="inlineStr">
        <is>
          <t>LIT_120</t>
        </is>
      </c>
      <c r="C1457" t="inlineStr">
        <is>
          <t>Douala</t>
        </is>
      </c>
      <c r="D1457" t="inlineStr">
        <is>
          <t>IHS</t>
        </is>
      </c>
      <c r="E1457" t="inlineStr">
        <is>
          <t>GridOnly</t>
        </is>
      </c>
      <c r="F1457" t="inlineStr">
        <is>
          <t>LITTORAL</t>
        </is>
      </c>
      <c r="G1457" t="inlineStr">
        <is>
          <t>Douala</t>
        </is>
      </c>
      <c r="H1457" t="inlineStr">
        <is>
          <t>ZTE</t>
        </is>
      </c>
      <c r="I1457" t="n">
        <v>0</v>
      </c>
      <c r="J1457" t="n">
        <v>0</v>
      </c>
      <c r="K1457" t="n">
        <v>0</v>
      </c>
      <c r="L1457" t="n">
        <v>0</v>
      </c>
      <c r="M1457" t="n">
        <v>0</v>
      </c>
      <c r="N1457" t="n">
        <v>0</v>
      </c>
      <c r="O1457" t="n">
        <v>0</v>
      </c>
      <c r="P1457" t="n">
        <v>0</v>
      </c>
      <c r="Q1457" t="n">
        <v>0</v>
      </c>
      <c r="R1457" t="inlineStr">
        <is>
          <t>Operationnel</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row>
    <row r="1458">
      <c r="A1458" t="inlineStr">
        <is>
          <t>Ucac-Icam</t>
        </is>
      </c>
      <c r="B1458" t="inlineStr">
        <is>
          <t>LIT_758</t>
        </is>
      </c>
      <c r="C1458" t="inlineStr">
        <is>
          <t>Douala</t>
        </is>
      </c>
      <c r="D1458" t="inlineStr">
        <is>
          <t>CAMUSAT</t>
        </is>
      </c>
      <c r="E1458" t="inlineStr">
        <is>
          <t>Medium Grid + GE</t>
        </is>
      </c>
      <c r="F1458" t="inlineStr">
        <is>
          <t>LITTORAL</t>
        </is>
      </c>
      <c r="G1458" t="inlineStr">
        <is>
          <t>Douala</t>
        </is>
      </c>
      <c r="H1458" t="inlineStr">
        <is>
          <t>ZTE</t>
        </is>
      </c>
      <c r="I1458" t="n">
        <v>0</v>
      </c>
      <c r="J1458" t="n">
        <v>0</v>
      </c>
      <c r="K1458" t="n">
        <v>0</v>
      </c>
      <c r="L1458" t="n">
        <v>0</v>
      </c>
      <c r="M1458" t="n">
        <v>0</v>
      </c>
      <c r="N1458" t="n">
        <v>0</v>
      </c>
      <c r="O1458" t="n">
        <v>0</v>
      </c>
      <c r="P1458" t="n">
        <v>0</v>
      </c>
      <c r="Q1458" t="n">
        <v>0</v>
      </c>
      <c r="R1458" t="inlineStr">
        <is>
          <t>Operationnel</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row>
    <row r="1459">
      <c r="A1459" t="inlineStr">
        <is>
          <t>Bonawon</t>
        </is>
      </c>
      <c r="B1459" t="inlineStr">
        <is>
          <t>LIT_400</t>
        </is>
      </c>
      <c r="C1459" t="inlineStr">
        <is>
          <t>Douala</t>
        </is>
      </c>
      <c r="D1459" t="inlineStr">
        <is>
          <t>IHS</t>
        </is>
      </c>
      <c r="E1459" t="inlineStr">
        <is>
          <t>Grid-Gen</t>
        </is>
      </c>
      <c r="F1459" t="inlineStr">
        <is>
          <t>LITTORAL</t>
        </is>
      </c>
      <c r="G1459" t="inlineStr">
        <is>
          <t>Douala</t>
        </is>
      </c>
      <c r="H1459" t="inlineStr">
        <is>
          <t>ZTE</t>
        </is>
      </c>
      <c r="I1459" t="n">
        <v>0</v>
      </c>
      <c r="J1459" t="n">
        <v>0</v>
      </c>
      <c r="K1459" t="n">
        <v>0</v>
      </c>
      <c r="L1459" t="n">
        <v>0</v>
      </c>
      <c r="M1459" t="n">
        <v>0</v>
      </c>
      <c r="N1459" t="n">
        <v>0</v>
      </c>
      <c r="O1459" t="n">
        <v>0</v>
      </c>
      <c r="P1459" t="n">
        <v>0</v>
      </c>
      <c r="Q1459" t="n">
        <v>0</v>
      </c>
      <c r="R1459" t="inlineStr">
        <is>
          <t>Operationnel</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row>
    <row r="1460">
      <c r="A1460" t="inlineStr">
        <is>
          <t>Mbouda-Lepi</t>
        </is>
      </c>
      <c r="B1460" t="inlineStr">
        <is>
          <t>OST_071</t>
        </is>
      </c>
      <c r="C1460" t="inlineStr">
        <is>
          <t>OUEST</t>
        </is>
      </c>
      <c r="D1460" t="inlineStr">
        <is>
          <t>IHS</t>
        </is>
      </c>
      <c r="E1460" t="inlineStr">
        <is>
          <t>Grid-Gen</t>
        </is>
      </c>
      <c r="F1460" t="inlineStr">
        <is>
          <t>OUEST</t>
        </is>
      </c>
      <c r="G1460" t="inlineStr">
        <is>
          <t>Mbouda</t>
        </is>
      </c>
      <c r="H1460" t="inlineStr">
        <is>
          <t>Huawei</t>
        </is>
      </c>
      <c r="I1460" t="n">
        <v>0</v>
      </c>
      <c r="J1460" t="n">
        <v>0</v>
      </c>
      <c r="K1460" t="n">
        <v>0</v>
      </c>
      <c r="L1460" t="n">
        <v>0</v>
      </c>
      <c r="M1460" t="n">
        <v>0</v>
      </c>
      <c r="N1460" t="n">
        <v>0</v>
      </c>
      <c r="O1460" t="n">
        <v>0</v>
      </c>
      <c r="P1460" t="n">
        <v>0</v>
      </c>
      <c r="Q1460" t="n">
        <v>0</v>
      </c>
      <c r="R1460" t="inlineStr">
        <is>
          <t>Operationnel</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row>
    <row r="1461">
      <c r="A1461" t="inlineStr">
        <is>
          <t>Mbouda</t>
        </is>
      </c>
      <c r="B1461" t="inlineStr">
        <is>
          <t>OST_141</t>
        </is>
      </c>
      <c r="C1461" t="inlineStr">
        <is>
          <t>OUEST</t>
        </is>
      </c>
      <c r="D1461" t="inlineStr">
        <is>
          <t>CAMUSAT</t>
        </is>
      </c>
      <c r="E1461" t="inlineStr"/>
      <c r="F1461" t="inlineStr">
        <is>
          <t>OUEST</t>
        </is>
      </c>
      <c r="G1461" t="inlineStr">
        <is>
          <t>Mbouda</t>
        </is>
      </c>
      <c r="H1461" t="inlineStr">
        <is>
          <t>Huawei</t>
        </is>
      </c>
      <c r="I1461" t="n">
        <v>0</v>
      </c>
      <c r="J1461" t="n">
        <v>0</v>
      </c>
      <c r="K1461" t="n">
        <v>0</v>
      </c>
      <c r="L1461" t="n">
        <v>0</v>
      </c>
      <c r="M1461" t="n">
        <v>0</v>
      </c>
      <c r="N1461" t="n">
        <v>0</v>
      </c>
      <c r="O1461" t="n">
        <v>0</v>
      </c>
      <c r="P1461" t="n">
        <v>0</v>
      </c>
      <c r="Q1461" t="n">
        <v>0</v>
      </c>
      <c r="R1461" t="inlineStr">
        <is>
          <t>Operationnel</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row>
    <row r="1462">
      <c r="A1462" t="inlineStr">
        <is>
          <t>Mbouda-Batang-IHS</t>
        </is>
      </c>
      <c r="B1462" t="inlineStr">
        <is>
          <t>OST_142</t>
        </is>
      </c>
      <c r="C1462" t="inlineStr">
        <is>
          <t>OUEST</t>
        </is>
      </c>
      <c r="D1462" t="inlineStr">
        <is>
          <t>IHS</t>
        </is>
      </c>
      <c r="E1462" t="inlineStr">
        <is>
          <t>Grid-Gen</t>
        </is>
      </c>
      <c r="F1462" t="inlineStr">
        <is>
          <t>OUEST</t>
        </is>
      </c>
      <c r="G1462" t="inlineStr">
        <is>
          <t>Mbouda</t>
        </is>
      </c>
      <c r="H1462" t="inlineStr">
        <is>
          <t>Huawei</t>
        </is>
      </c>
      <c r="I1462" t="n">
        <v>0</v>
      </c>
      <c r="J1462" t="n">
        <v>0</v>
      </c>
      <c r="K1462" t="n">
        <v>0</v>
      </c>
      <c r="L1462" t="n">
        <v>0</v>
      </c>
      <c r="M1462" t="n">
        <v>0</v>
      </c>
      <c r="N1462" t="n">
        <v>0</v>
      </c>
      <c r="O1462" t="n">
        <v>0</v>
      </c>
      <c r="P1462" t="n">
        <v>0</v>
      </c>
      <c r="Q1462" t="n">
        <v>0</v>
      </c>
      <c r="R1462" t="inlineStr">
        <is>
          <t>Operationnel</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row>
    <row r="1463">
      <c r="A1463" t="inlineStr">
        <is>
          <t>LIT_869_Z_Bonamikano</t>
        </is>
      </c>
      <c r="B1463" t="inlineStr">
        <is>
          <t>LIT_869</t>
        </is>
      </c>
      <c r="C1463" t="inlineStr">
        <is>
          <t>Douala</t>
        </is>
      </c>
      <c r="D1463" t="inlineStr">
        <is>
          <t>I_HS</t>
        </is>
      </c>
      <c r="E1463" t="inlineStr">
        <is>
          <t>Grid-Gen</t>
        </is>
      </c>
      <c r="F1463" t="inlineStr">
        <is>
          <t>LITTORAL</t>
        </is>
      </c>
      <c r="G1463" t="inlineStr">
        <is>
          <t>Douala</t>
        </is>
      </c>
      <c r="H1463" t="inlineStr">
        <is>
          <t>ZTE</t>
        </is>
      </c>
      <c r="I1463" t="n">
        <v>0</v>
      </c>
      <c r="J1463" t="n">
        <v>0</v>
      </c>
      <c r="K1463" t="n">
        <v>0</v>
      </c>
      <c r="L1463" t="n">
        <v>0</v>
      </c>
      <c r="M1463" t="n">
        <v>0</v>
      </c>
      <c r="N1463" t="n">
        <v>0</v>
      </c>
      <c r="O1463" t="n">
        <v>0</v>
      </c>
      <c r="P1463" t="n">
        <v>0</v>
      </c>
      <c r="Q1463" t="n">
        <v>0</v>
      </c>
      <c r="R1463" t="inlineStr">
        <is>
          <t>Operationnel</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row>
    <row r="1464">
      <c r="A1464" t="inlineStr">
        <is>
          <t>Bonaloka-IHS</t>
        </is>
      </c>
      <c r="B1464" t="inlineStr">
        <is>
          <t>LIT_156</t>
        </is>
      </c>
      <c r="C1464" t="inlineStr">
        <is>
          <t>Douala</t>
        </is>
      </c>
      <c r="D1464" t="inlineStr">
        <is>
          <t>IHS</t>
        </is>
      </c>
      <c r="E1464" t="inlineStr">
        <is>
          <t>Grid-Gen</t>
        </is>
      </c>
      <c r="F1464" t="inlineStr">
        <is>
          <t>LITTORAL</t>
        </is>
      </c>
      <c r="G1464" t="inlineStr">
        <is>
          <t>Douala</t>
        </is>
      </c>
      <c r="H1464" t="inlineStr">
        <is>
          <t>ZTE</t>
        </is>
      </c>
      <c r="I1464" t="n">
        <v>0</v>
      </c>
      <c r="J1464" t="n">
        <v>0</v>
      </c>
      <c r="K1464" t="n">
        <v>0</v>
      </c>
      <c r="L1464" t="n">
        <v>0</v>
      </c>
      <c r="M1464" t="n">
        <v>0</v>
      </c>
      <c r="N1464" t="n">
        <v>0</v>
      </c>
      <c r="O1464" t="n">
        <v>0</v>
      </c>
      <c r="P1464" t="n">
        <v>0</v>
      </c>
      <c r="Q1464" t="n">
        <v>0</v>
      </c>
      <c r="R1464" t="inlineStr">
        <is>
          <t>Operationnel</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row>
    <row r="1465">
      <c r="A1465" t="inlineStr">
        <is>
          <t>Ngog-Mbog</t>
        </is>
      </c>
      <c r="B1465" t="inlineStr">
        <is>
          <t>LIT_121</t>
        </is>
      </c>
      <c r="C1465" t="inlineStr">
        <is>
          <t>LITTORAL</t>
        </is>
      </c>
      <c r="D1465" t="inlineStr">
        <is>
          <t>IHS</t>
        </is>
      </c>
      <c r="E1465" t="inlineStr">
        <is>
          <t>Hybrid-Gen</t>
        </is>
      </c>
      <c r="F1465" t="inlineStr">
        <is>
          <t>LITTORAL</t>
        </is>
      </c>
      <c r="G1465" t="inlineStr">
        <is>
          <t>Ngog-Mbog</t>
        </is>
      </c>
      <c r="H1465" t="inlineStr">
        <is>
          <t>NOKIA</t>
        </is>
      </c>
      <c r="I1465" t="n">
        <v>0</v>
      </c>
      <c r="J1465" t="n">
        <v>0</v>
      </c>
      <c r="K1465" t="n">
        <v>0</v>
      </c>
      <c r="L1465" t="n">
        <v>0</v>
      </c>
      <c r="M1465" t="n">
        <v>0</v>
      </c>
      <c r="N1465" t="n">
        <v>0</v>
      </c>
      <c r="O1465" t="n">
        <v>0</v>
      </c>
      <c r="P1465" t="n">
        <v>0</v>
      </c>
      <c r="Q1465" t="n">
        <v>0</v>
      </c>
      <c r="R1465" t="inlineStr">
        <is>
          <t>Operationnel</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row>
    <row r="1466">
      <c r="A1466" t="inlineStr">
        <is>
          <t>Afeme-Nord</t>
        </is>
      </c>
      <c r="B1466" t="inlineStr">
        <is>
          <t>CTR_591</t>
        </is>
      </c>
      <c r="C1466" t="inlineStr">
        <is>
          <t>Yaounde</t>
        </is>
      </c>
      <c r="D1466" t="inlineStr">
        <is>
          <t>IHS</t>
        </is>
      </c>
      <c r="E1466" t="inlineStr">
        <is>
          <t>Grid-Gen</t>
        </is>
      </c>
      <c r="F1466" t="inlineStr">
        <is>
          <t>CENTRE</t>
        </is>
      </c>
      <c r="G1466" t="inlineStr">
        <is>
          <t>Yaounde</t>
        </is>
      </c>
      <c r="H1466" t="inlineStr">
        <is>
          <t>ZTE</t>
        </is>
      </c>
      <c r="I1466" t="n">
        <v>0</v>
      </c>
      <c r="J1466" t="n">
        <v>0</v>
      </c>
      <c r="K1466" t="n">
        <v>0</v>
      </c>
      <c r="L1466" t="n">
        <v>0</v>
      </c>
      <c r="M1466" t="n">
        <v>0</v>
      </c>
      <c r="N1466" t="n">
        <v>0</v>
      </c>
      <c r="O1466" t="n">
        <v>0</v>
      </c>
      <c r="P1466" t="n">
        <v>0</v>
      </c>
      <c r="Q1466" t="n">
        <v>0</v>
      </c>
      <c r="R1466" t="inlineStr">
        <is>
          <t>Operationnel</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row>
    <row r="1467">
      <c r="A1467" t="inlineStr">
        <is>
          <t>Galdi</t>
        </is>
      </c>
      <c r="B1467" t="inlineStr">
        <is>
          <t>ADM_031</t>
        </is>
      </c>
      <c r="C1467" t="inlineStr">
        <is>
          <t>ADAMAOUA</t>
        </is>
      </c>
      <c r="D1467" t="inlineStr">
        <is>
          <t>IHS</t>
        </is>
      </c>
      <c r="E1467" t="inlineStr">
        <is>
          <t>Grid-Gen</t>
        </is>
      </c>
      <c r="F1467" t="inlineStr">
        <is>
          <t>ADAMAOUA</t>
        </is>
      </c>
      <c r="G1467" t="inlineStr">
        <is>
          <t>Galdi</t>
        </is>
      </c>
      <c r="H1467" t="inlineStr">
        <is>
          <t>NOKIA</t>
        </is>
      </c>
      <c r="I1467" t="n">
        <v>0</v>
      </c>
      <c r="J1467" t="n">
        <v>0</v>
      </c>
      <c r="K1467" t="n">
        <v>0</v>
      </c>
      <c r="L1467" t="n">
        <v>0</v>
      </c>
      <c r="M1467" t="n">
        <v>0</v>
      </c>
      <c r="N1467" t="n">
        <v>0</v>
      </c>
      <c r="O1467" t="n">
        <v>0</v>
      </c>
      <c r="P1467" t="n">
        <v>0</v>
      </c>
      <c r="Q1467" t="n">
        <v>0</v>
      </c>
      <c r="R1467" t="inlineStr">
        <is>
          <t>Operationnel</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row>
    <row r="1468">
      <c r="A1468" t="inlineStr">
        <is>
          <t>Camp-Yabassi-IHS</t>
        </is>
      </c>
      <c r="B1468" t="inlineStr">
        <is>
          <t>LIT_587</t>
        </is>
      </c>
      <c r="C1468" t="inlineStr">
        <is>
          <t>Douala</t>
        </is>
      </c>
      <c r="D1468" t="inlineStr">
        <is>
          <t>IHS</t>
        </is>
      </c>
      <c r="E1468" t="inlineStr">
        <is>
          <t>Grid-Gen</t>
        </is>
      </c>
      <c r="F1468" t="inlineStr">
        <is>
          <t>LITTORAL</t>
        </is>
      </c>
      <c r="G1468" t="inlineStr">
        <is>
          <t>Douala</t>
        </is>
      </c>
      <c r="H1468" t="inlineStr">
        <is>
          <t>ZTE</t>
        </is>
      </c>
      <c r="I1468" t="n">
        <v>0</v>
      </c>
      <c r="J1468" t="n">
        <v>0</v>
      </c>
      <c r="K1468" t="n">
        <v>0</v>
      </c>
      <c r="L1468" t="n">
        <v>0</v>
      </c>
      <c r="M1468" t="n">
        <v>0</v>
      </c>
      <c r="N1468" t="n">
        <v>0</v>
      </c>
      <c r="O1468" t="n">
        <v>0</v>
      </c>
      <c r="P1468" t="n">
        <v>0</v>
      </c>
      <c r="Q1468" t="n">
        <v>0</v>
      </c>
      <c r="R1468" t="inlineStr">
        <is>
          <t>Operationnel</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row>
    <row r="1469">
      <c r="A1469" t="inlineStr">
        <is>
          <t>e-Technique</t>
        </is>
      </c>
      <c r="B1469" t="inlineStr">
        <is>
          <t>SUD_057</t>
        </is>
      </c>
      <c r="C1469" t="inlineStr">
        <is>
          <t>CENTRE</t>
        </is>
      </c>
      <c r="D1469" t="inlineStr">
        <is>
          <t>IHS</t>
        </is>
      </c>
      <c r="E1469" t="inlineStr">
        <is>
          <t>Grid-Gen</t>
        </is>
      </c>
      <c r="F1469" t="inlineStr">
        <is>
          <t>SUD</t>
        </is>
      </c>
      <c r="G1469" t="inlineStr">
        <is>
          <t>Kribi</t>
        </is>
      </c>
      <c r="H1469" t="inlineStr">
        <is>
          <t>ZTE</t>
        </is>
      </c>
      <c r="I1469" t="n">
        <v>0</v>
      </c>
      <c r="J1469" t="n">
        <v>0</v>
      </c>
      <c r="K1469" t="n">
        <v>0</v>
      </c>
      <c r="L1469" t="n">
        <v>0</v>
      </c>
      <c r="M1469" t="n">
        <v>0</v>
      </c>
      <c r="N1469" t="n">
        <v>0</v>
      </c>
      <c r="O1469" t="n">
        <v>0</v>
      </c>
      <c r="P1469" t="n">
        <v>0</v>
      </c>
      <c r="Q1469" t="n">
        <v>0</v>
      </c>
      <c r="R1469" t="inlineStr">
        <is>
          <t>Operationnel</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row>
    <row r="1470">
      <c r="A1470" t="inlineStr">
        <is>
          <t>Bonadibong-Crf-Tif</t>
        </is>
      </c>
      <c r="B1470" t="inlineStr">
        <is>
          <t>LIT_412</t>
        </is>
      </c>
      <c r="C1470" t="inlineStr">
        <is>
          <t>Douala</t>
        </is>
      </c>
      <c r="D1470" t="inlineStr">
        <is>
          <t>IHS</t>
        </is>
      </c>
      <c r="E1470" t="inlineStr">
        <is>
          <t>GridOnly</t>
        </is>
      </c>
      <c r="F1470" t="inlineStr">
        <is>
          <t>LITTORAL</t>
        </is>
      </c>
      <c r="G1470" t="inlineStr">
        <is>
          <t>Douala</t>
        </is>
      </c>
      <c r="H1470" t="inlineStr">
        <is>
          <t>ZTE</t>
        </is>
      </c>
      <c r="I1470" t="n">
        <v>0</v>
      </c>
      <c r="J1470" t="n">
        <v>0</v>
      </c>
      <c r="K1470" t="n">
        <v>0</v>
      </c>
      <c r="L1470" t="n">
        <v>0</v>
      </c>
      <c r="M1470" t="n">
        <v>0</v>
      </c>
      <c r="N1470" t="n">
        <v>0</v>
      </c>
      <c r="O1470" t="n">
        <v>0</v>
      </c>
      <c r="P1470" t="n">
        <v>0</v>
      </c>
      <c r="Q1470" t="n">
        <v>0</v>
      </c>
      <c r="R1470" t="inlineStr">
        <is>
          <t>Operationnel</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row>
    <row r="1471">
      <c r="A1471" t="inlineStr">
        <is>
          <t>Edea-Nkakanzock</t>
        </is>
      </c>
      <c r="B1471" t="inlineStr">
        <is>
          <t>LIT_314</t>
        </is>
      </c>
      <c r="C1471" t="inlineStr">
        <is>
          <t>LITTORAL</t>
        </is>
      </c>
      <c r="D1471" t="inlineStr">
        <is>
          <t>IHS</t>
        </is>
      </c>
      <c r="E1471" t="inlineStr">
        <is>
          <t>Grid-Gen</t>
        </is>
      </c>
      <c r="F1471" t="inlineStr">
        <is>
          <t>LITTORAL</t>
        </is>
      </c>
      <c r="G1471" t="inlineStr">
        <is>
          <t>Edea</t>
        </is>
      </c>
      <c r="H1471" t="inlineStr">
        <is>
          <t>ZTE</t>
        </is>
      </c>
      <c r="I1471" t="n">
        <v>0</v>
      </c>
      <c r="J1471" t="n">
        <v>0</v>
      </c>
      <c r="K1471" t="n">
        <v>0</v>
      </c>
      <c r="L1471" t="n">
        <v>0</v>
      </c>
      <c r="M1471" t="n">
        <v>0</v>
      </c>
      <c r="N1471" t="n">
        <v>0</v>
      </c>
      <c r="O1471" t="n">
        <v>0</v>
      </c>
      <c r="P1471" t="n">
        <v>0</v>
      </c>
      <c r="Q1471" t="n">
        <v>0</v>
      </c>
      <c r="R1471" t="inlineStr">
        <is>
          <t>Operationnel</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row>
    <row r="1472">
      <c r="A1472" t="inlineStr">
        <is>
          <t>De-La-Salle</t>
        </is>
      </c>
      <c r="B1472" t="inlineStr">
        <is>
          <t>LIT_245</t>
        </is>
      </c>
      <c r="C1472" t="inlineStr">
        <is>
          <t>Douala</t>
        </is>
      </c>
      <c r="D1472" t="inlineStr">
        <is>
          <t>IHS</t>
        </is>
      </c>
      <c r="E1472" t="inlineStr">
        <is>
          <t>Grid-GenLithium</t>
        </is>
      </c>
      <c r="F1472" t="inlineStr">
        <is>
          <t>LITTORAL</t>
        </is>
      </c>
      <c r="G1472" t="inlineStr">
        <is>
          <t>Douala</t>
        </is>
      </c>
      <c r="H1472" t="inlineStr">
        <is>
          <t>ZTE</t>
        </is>
      </c>
      <c r="I1472" t="n">
        <v>0</v>
      </c>
      <c r="J1472" t="n">
        <v>0</v>
      </c>
      <c r="K1472" t="n">
        <v>0</v>
      </c>
      <c r="L1472" t="n">
        <v>0</v>
      </c>
      <c r="M1472" t="n">
        <v>0</v>
      </c>
      <c r="N1472" t="n">
        <v>0</v>
      </c>
      <c r="O1472" t="n">
        <v>0</v>
      </c>
      <c r="P1472" t="n">
        <v>0</v>
      </c>
      <c r="Q1472" t="n">
        <v>0</v>
      </c>
      <c r="R1472" t="inlineStr">
        <is>
          <t>Operationnel</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row>
    <row r="1473">
      <c r="A1473" t="inlineStr">
        <is>
          <t>Laquintinie-Camtel</t>
        </is>
      </c>
      <c r="B1473" t="inlineStr">
        <is>
          <t>LIT_644</t>
        </is>
      </c>
      <c r="C1473" t="inlineStr">
        <is>
          <t>Douala</t>
        </is>
      </c>
      <c r="D1473" t="inlineStr">
        <is>
          <t>CAMUSAT</t>
        </is>
      </c>
      <c r="E1473" t="inlineStr">
        <is>
          <t>Good Grid no GE - 8h</t>
        </is>
      </c>
      <c r="F1473" t="inlineStr">
        <is>
          <t>LITTORAL</t>
        </is>
      </c>
      <c r="G1473" t="inlineStr">
        <is>
          <t>Douala</t>
        </is>
      </c>
      <c r="H1473" t="inlineStr">
        <is>
          <t>ZTE</t>
        </is>
      </c>
      <c r="I1473" t="n">
        <v>0</v>
      </c>
      <c r="J1473" t="n">
        <v>0</v>
      </c>
      <c r="K1473" t="n">
        <v>0</v>
      </c>
      <c r="L1473" t="n">
        <v>0</v>
      </c>
      <c r="M1473" t="n">
        <v>0</v>
      </c>
      <c r="N1473" t="n">
        <v>0</v>
      </c>
      <c r="O1473" t="n">
        <v>0</v>
      </c>
      <c r="P1473" t="n">
        <v>0</v>
      </c>
      <c r="Q1473" t="n">
        <v>0</v>
      </c>
      <c r="R1473" t="inlineStr">
        <is>
          <t>Operationnel</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row>
    <row r="1474">
      <c r="A1474" t="inlineStr">
        <is>
          <t>Odza-PK10</t>
        </is>
      </c>
      <c r="B1474" t="inlineStr">
        <is>
          <t>CTR_330</t>
        </is>
      </c>
      <c r="C1474" t="inlineStr">
        <is>
          <t>Yaounde</t>
        </is>
      </c>
      <c r="D1474" t="inlineStr">
        <is>
          <t>IHS</t>
        </is>
      </c>
      <c r="E1474" t="inlineStr">
        <is>
          <t>Grid-Gen</t>
        </is>
      </c>
      <c r="F1474" t="inlineStr">
        <is>
          <t>CENTRE</t>
        </is>
      </c>
      <c r="G1474" t="inlineStr">
        <is>
          <t>Yaounde</t>
        </is>
      </c>
      <c r="H1474" t="inlineStr">
        <is>
          <t>ZTE</t>
        </is>
      </c>
      <c r="I1474" t="n">
        <v>0</v>
      </c>
      <c r="J1474" t="n">
        <v>0</v>
      </c>
      <c r="K1474" t="n">
        <v>0</v>
      </c>
      <c r="L1474" t="n">
        <v>0</v>
      </c>
      <c r="M1474" t="n">
        <v>0</v>
      </c>
      <c r="N1474" t="n">
        <v>0</v>
      </c>
      <c r="O1474" t="n">
        <v>0</v>
      </c>
      <c r="P1474" t="n">
        <v>0</v>
      </c>
      <c r="Q1474" t="n">
        <v>0</v>
      </c>
      <c r="R1474" t="inlineStr">
        <is>
          <t>Operationnel</t>
        </is>
      </c>
      <c r="S1474" t="inlineStr"/>
      <c r="T1474" t="inlineStr"/>
      <c r="U1474" t="inlineStr"/>
      <c r="V1474" t="inlineStr"/>
      <c r="W1474" t="inlineStr"/>
      <c r="X1474" t="inlineStr">
        <is>
          <t>{None hourly IHS}: 25/05/2026 22:17..0:42:29..FME isinformed and managing ETA ASAP     ;    {05-25-2026 ticket}: INC-20260525-00018881..Grid Outage</t>
        </is>
      </c>
      <c r="Y1474" t="inlineStr">
        <is>
          <t>25/05/2026 22 17.0 42 29.FME isinformed and managing ETA ASAP .Grid Outage</t>
        </is>
      </c>
      <c r="Z1474" t="inlineStr"/>
      <c r="AA1474" t="inlineStr"/>
      <c r="AB1474" t="inlineStr"/>
      <c r="AC1474" t="inlineStr"/>
      <c r="AD1474" t="inlineStr"/>
      <c r="AE1474" t="inlineStr">
        <is>
          <t>{None hourly IHS}: 25/05/2026 22:17..0:42:29..FME isinformed and managing ETA ASAP</t>
        </is>
      </c>
      <c r="AF1474" t="inlineStr"/>
      <c r="AG1474" t="inlineStr"/>
      <c r="AH1474" t="inlineStr"/>
      <c r="AI1474" t="inlineStr"/>
      <c r="AJ1474" t="inlineStr"/>
      <c r="AK1474" t="inlineStr"/>
      <c r="AL1474" t="inlineStr"/>
      <c r="AM1474" t="inlineStr"/>
      <c r="AN1474" t="inlineStr"/>
      <c r="AO1474" t="inlineStr"/>
      <c r="AP1474" t="inlineStr"/>
      <c r="AQ1474" t="inlineStr">
        <is>
          <t>{05-25-2026 ticket}: INC-20260525-00018881..Grid Outage</t>
        </is>
      </c>
      <c r="AR1474" t="inlineStr"/>
    </row>
    <row r="1475">
      <c r="A1475" t="inlineStr">
        <is>
          <t>Ikiliwindi-MTN</t>
        </is>
      </c>
      <c r="B1475" t="inlineStr">
        <is>
          <t>SUO_048</t>
        </is>
      </c>
      <c r="C1475" t="inlineStr">
        <is>
          <t>SUD-OUEST</t>
        </is>
      </c>
      <c r="D1475" t="inlineStr">
        <is>
          <t>IHS</t>
        </is>
      </c>
      <c r="E1475" t="inlineStr">
        <is>
          <t>Gen Only</t>
        </is>
      </c>
      <c r="F1475" t="inlineStr">
        <is>
          <t>SUD-OUEST</t>
        </is>
      </c>
      <c r="G1475" t="inlineStr">
        <is>
          <t>Ikiliwindi</t>
        </is>
      </c>
      <c r="H1475" t="inlineStr">
        <is>
          <t>NOKIA</t>
        </is>
      </c>
      <c r="I1475" t="n">
        <v>0</v>
      </c>
      <c r="J1475" t="n">
        <v>0</v>
      </c>
      <c r="K1475" t="n">
        <v>0</v>
      </c>
      <c r="L1475" t="n">
        <v>0</v>
      </c>
      <c r="M1475" t="n">
        <v>0</v>
      </c>
      <c r="N1475" t="n">
        <v>0</v>
      </c>
      <c r="O1475" t="n">
        <v>0</v>
      </c>
      <c r="P1475" t="n">
        <v>0</v>
      </c>
      <c r="Q1475" t="n">
        <v>0</v>
      </c>
      <c r="R1475" t="inlineStr">
        <is>
          <t>Insecurity</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row>
    <row r="1476">
      <c r="A1476" t="inlineStr">
        <is>
          <t>Maroua-Douggoy-II</t>
        </is>
      </c>
      <c r="B1476" t="inlineStr">
        <is>
          <t>EXN_212</t>
        </is>
      </c>
      <c r="C1476" t="inlineStr">
        <is>
          <t>Maroua</t>
        </is>
      </c>
      <c r="D1476" t="inlineStr">
        <is>
          <t>CAMUSAT</t>
        </is>
      </c>
      <c r="E1476" t="inlineStr">
        <is>
          <t>Bad Grid + GE</t>
        </is>
      </c>
      <c r="F1476" t="inlineStr">
        <is>
          <t>EXTREME-NORD</t>
        </is>
      </c>
      <c r="G1476" t="inlineStr">
        <is>
          <t>Maroua</t>
        </is>
      </c>
      <c r="H1476" t="inlineStr">
        <is>
          <t>Huawei</t>
        </is>
      </c>
      <c r="I1476" t="n">
        <v>0</v>
      </c>
      <c r="J1476" t="n">
        <v>0</v>
      </c>
      <c r="K1476" t="n">
        <v>0</v>
      </c>
      <c r="L1476" t="n">
        <v>0</v>
      </c>
      <c r="M1476" t="n">
        <v>0</v>
      </c>
      <c r="N1476" t="n">
        <v>0</v>
      </c>
      <c r="O1476" t="n">
        <v>0</v>
      </c>
      <c r="P1476" t="n">
        <v>0</v>
      </c>
      <c r="Q1476" t="n">
        <v>0</v>
      </c>
      <c r="R1476" t="inlineStr">
        <is>
          <t>Operationnel</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row>
    <row r="1477">
      <c r="A1477" t="inlineStr">
        <is>
          <t>Mabanda4-IHS</t>
        </is>
      </c>
      <c r="B1477" t="inlineStr">
        <is>
          <t>LIT_489</t>
        </is>
      </c>
      <c r="C1477" t="inlineStr">
        <is>
          <t>Douala</t>
        </is>
      </c>
      <c r="D1477" t="inlineStr">
        <is>
          <t>IHS</t>
        </is>
      </c>
      <c r="E1477" t="inlineStr">
        <is>
          <t>Grid-Gen</t>
        </is>
      </c>
      <c r="F1477" t="inlineStr">
        <is>
          <t>LITTORAL</t>
        </is>
      </c>
      <c r="G1477" t="inlineStr">
        <is>
          <t>Douala</t>
        </is>
      </c>
      <c r="H1477" t="inlineStr">
        <is>
          <t>ZTE</t>
        </is>
      </c>
      <c r="I1477" t="n">
        <v>0</v>
      </c>
      <c r="J1477" t="n">
        <v>0</v>
      </c>
      <c r="K1477" t="n">
        <v>0</v>
      </c>
      <c r="L1477" t="n">
        <v>0</v>
      </c>
      <c r="M1477" t="n">
        <v>0</v>
      </c>
      <c r="N1477" t="n">
        <v>0</v>
      </c>
      <c r="O1477" t="n">
        <v>0</v>
      </c>
      <c r="P1477" t="n">
        <v>0</v>
      </c>
      <c r="Q1477" t="n">
        <v>0</v>
      </c>
      <c r="R1477" t="inlineStr">
        <is>
          <t>Operationnel</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row>
    <row r="1478">
      <c r="A1478" t="inlineStr">
        <is>
          <t>Soa-UNIV-MTN</t>
        </is>
      </c>
      <c r="B1478" t="inlineStr">
        <is>
          <t>CTR_431</t>
        </is>
      </c>
      <c r="C1478" t="inlineStr">
        <is>
          <t>Yaounde</t>
        </is>
      </c>
      <c r="D1478" t="inlineStr">
        <is>
          <t>IHS</t>
        </is>
      </c>
      <c r="E1478" t="inlineStr">
        <is>
          <t>Grid-Gen</t>
        </is>
      </c>
      <c r="F1478" t="inlineStr">
        <is>
          <t>CENTRE</t>
        </is>
      </c>
      <c r="G1478" t="inlineStr">
        <is>
          <t>Yaounde</t>
        </is>
      </c>
      <c r="H1478" t="inlineStr">
        <is>
          <t>ZTE</t>
        </is>
      </c>
      <c r="I1478" t="n">
        <v>0</v>
      </c>
      <c r="J1478" t="n">
        <v>0</v>
      </c>
      <c r="K1478" t="n">
        <v>0</v>
      </c>
      <c r="L1478" t="n">
        <v>0</v>
      </c>
      <c r="M1478" t="n">
        <v>0</v>
      </c>
      <c r="N1478" t="n">
        <v>0</v>
      </c>
      <c r="O1478" t="n">
        <v>0</v>
      </c>
      <c r="P1478" t="n">
        <v>0</v>
      </c>
      <c r="Q1478" t="n">
        <v>0</v>
      </c>
      <c r="R1478" t="inlineStr">
        <is>
          <t>Operationnel</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row>
    <row r="1479">
      <c r="A1479" t="inlineStr">
        <is>
          <t>Nkometou</t>
        </is>
      </c>
      <c r="B1479" t="inlineStr">
        <is>
          <t>CTR_061</t>
        </is>
      </c>
      <c r="C1479" t="inlineStr">
        <is>
          <t>CENTRE</t>
        </is>
      </c>
      <c r="D1479" t="inlineStr">
        <is>
          <t>IHS</t>
        </is>
      </c>
      <c r="E1479" t="inlineStr">
        <is>
          <t>Grid-Gen</t>
        </is>
      </c>
      <c r="F1479" t="inlineStr">
        <is>
          <t>CENTRE</t>
        </is>
      </c>
      <c r="G1479" t="inlineStr">
        <is>
          <t>Nkometou</t>
        </is>
      </c>
      <c r="H1479" t="inlineStr">
        <is>
          <t>ZTE</t>
        </is>
      </c>
      <c r="I1479" t="n">
        <v>0</v>
      </c>
      <c r="J1479" t="n">
        <v>0</v>
      </c>
      <c r="K1479" t="n">
        <v>0</v>
      </c>
      <c r="L1479" t="n">
        <v>0</v>
      </c>
      <c r="M1479" t="n">
        <v>0</v>
      </c>
      <c r="N1479" t="n">
        <v>0</v>
      </c>
      <c r="O1479" t="n">
        <v>0</v>
      </c>
      <c r="P1479" t="n">
        <v>0</v>
      </c>
      <c r="Q1479" t="n">
        <v>0</v>
      </c>
      <c r="R1479" t="inlineStr">
        <is>
          <t>Operationnel</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row>
    <row r="1480">
      <c r="A1480" t="inlineStr">
        <is>
          <t>Baaba-II</t>
        </is>
      </c>
      <c r="B1480" t="inlineStr">
        <is>
          <t>CTR_879</t>
        </is>
      </c>
      <c r="C1480" t="inlineStr">
        <is>
          <t>CENTRE</t>
        </is>
      </c>
      <c r="D1480" t="inlineStr">
        <is>
          <t>CAMUSAT</t>
        </is>
      </c>
      <c r="E1480" t="inlineStr">
        <is>
          <t>Hybrid Solar - S3</t>
        </is>
      </c>
      <c r="F1480" t="inlineStr">
        <is>
          <t>CENTRE</t>
        </is>
      </c>
      <c r="G1480" t="inlineStr">
        <is>
          <t>Baaba</t>
        </is>
      </c>
      <c r="H1480" t="inlineStr">
        <is>
          <t>ZTE</t>
        </is>
      </c>
      <c r="I1480" t="n">
        <v>0</v>
      </c>
      <c r="J1480" t="n">
        <v>0</v>
      </c>
      <c r="K1480" t="n">
        <v>0</v>
      </c>
      <c r="L1480" t="n">
        <v>0</v>
      </c>
      <c r="M1480" t="n">
        <v>0</v>
      </c>
      <c r="N1480" t="n">
        <v>0</v>
      </c>
      <c r="O1480" t="n">
        <v>0</v>
      </c>
      <c r="P1480" t="n">
        <v>0</v>
      </c>
      <c r="Q1480" t="n">
        <v>0</v>
      </c>
      <c r="R1480" t="inlineStr">
        <is>
          <t>Operationnel</t>
        </is>
      </c>
      <c r="S1480" t="inlineStr"/>
      <c r="T1480" t="inlineStr"/>
      <c r="U1480" t="inlineStr"/>
      <c r="V1480" t="inlineStr"/>
      <c r="W1480" t="inlineStr"/>
      <c r="X1480" t="inlineStr">
        <is>
          <t xml:space="preserve">{05-25-2026 retour CAMUSAT}: No power issue </t>
        </is>
      </c>
      <c r="Y1480" t="inlineStr">
        <is>
          <t>No power issue</t>
        </is>
      </c>
      <c r="Z1480" t="inlineStr"/>
      <c r="AA1480" t="inlineStr"/>
      <c r="AB1480" t="inlineStr"/>
      <c r="AC1480" t="inlineStr">
        <is>
          <t xml:space="preserve">{05-25-2026 retour CAMUSAT}: No power issue </t>
        </is>
      </c>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row>
    <row r="1481">
      <c r="A1481" t="inlineStr">
        <is>
          <t>Ebogo-II</t>
        </is>
      </c>
      <c r="B1481" t="inlineStr">
        <is>
          <t>CTR_867</t>
        </is>
      </c>
      <c r="C1481" t="inlineStr">
        <is>
          <t>CENTRE</t>
        </is>
      </c>
      <c r="D1481" t="inlineStr">
        <is>
          <t>CAMUSAT</t>
        </is>
      </c>
      <c r="E1481" t="inlineStr">
        <is>
          <t>HGB</t>
        </is>
      </c>
      <c r="F1481" t="inlineStr">
        <is>
          <t>CENTRE</t>
        </is>
      </c>
      <c r="G1481" t="inlineStr">
        <is>
          <t>Ebogo</t>
        </is>
      </c>
      <c r="H1481" t="inlineStr">
        <is>
          <t>ZTE</t>
        </is>
      </c>
      <c r="I1481" t="n">
        <v>0</v>
      </c>
      <c r="J1481" t="n">
        <v>0</v>
      </c>
      <c r="K1481" t="n">
        <v>0</v>
      </c>
      <c r="L1481" t="n">
        <v>0</v>
      </c>
      <c r="M1481" t="n">
        <v>0</v>
      </c>
      <c r="N1481" t="n">
        <v>0</v>
      </c>
      <c r="O1481" t="n">
        <v>0</v>
      </c>
      <c r="P1481" t="n">
        <v>0</v>
      </c>
      <c r="Q1481" t="n">
        <v>0</v>
      </c>
      <c r="R1481" t="inlineStr">
        <is>
          <t>Operationnel</t>
        </is>
      </c>
      <c r="S1481" t="inlineStr"/>
      <c r="T1481" t="inlineStr"/>
      <c r="U1481" t="inlineStr"/>
      <c r="V1481" t="inlineStr"/>
      <c r="W1481" t="inlineStr"/>
      <c r="X1481" t="inlineStr">
        <is>
          <t xml:space="preserve">{05-25-2026 retour CAMUSAT}: No power issue </t>
        </is>
      </c>
      <c r="Y1481" t="inlineStr">
        <is>
          <t>No power issue</t>
        </is>
      </c>
      <c r="Z1481" t="inlineStr"/>
      <c r="AA1481" t="inlineStr"/>
      <c r="AB1481" t="inlineStr"/>
      <c r="AC1481" t="inlineStr">
        <is>
          <t xml:space="preserve">{05-25-2026 retour CAMUSAT}: No power issue </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row>
    <row r="1482">
      <c r="A1482" t="inlineStr">
        <is>
          <t>Maroua-Djoudandou</t>
        </is>
      </c>
      <c r="B1482" t="inlineStr">
        <is>
          <t>EXN_090</t>
        </is>
      </c>
      <c r="C1482" t="inlineStr">
        <is>
          <t>Maroua</t>
        </is>
      </c>
      <c r="D1482" t="inlineStr">
        <is>
          <t>IHS</t>
        </is>
      </c>
      <c r="E1482" t="inlineStr">
        <is>
          <t>Grid-Gen</t>
        </is>
      </c>
      <c r="F1482" t="inlineStr">
        <is>
          <t>EXTREME-NORD</t>
        </is>
      </c>
      <c r="G1482" t="inlineStr">
        <is>
          <t>Maroua</t>
        </is>
      </c>
      <c r="H1482" t="inlineStr">
        <is>
          <t>Huawei</t>
        </is>
      </c>
      <c r="I1482" t="n">
        <v>0</v>
      </c>
      <c r="J1482" t="n">
        <v>0</v>
      </c>
      <c r="K1482" t="n">
        <v>0</v>
      </c>
      <c r="L1482" t="n">
        <v>0</v>
      </c>
      <c r="M1482" t="n">
        <v>0</v>
      </c>
      <c r="N1482" t="n">
        <v>0</v>
      </c>
      <c r="O1482" t="n">
        <v>0</v>
      </c>
      <c r="P1482" t="n">
        <v>0</v>
      </c>
      <c r="Q1482" t="n">
        <v>0</v>
      </c>
      <c r="R1482" t="inlineStr">
        <is>
          <t>Operationnel</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row>
    <row r="1483">
      <c r="A1483" t="inlineStr">
        <is>
          <t>Soa-Town-IHS</t>
        </is>
      </c>
      <c r="B1483" t="inlineStr">
        <is>
          <t>CTR_649</t>
        </is>
      </c>
      <c r="C1483" t="inlineStr">
        <is>
          <t>Yaounde</t>
        </is>
      </c>
      <c r="D1483" t="inlineStr">
        <is>
          <t>IHS</t>
        </is>
      </c>
      <c r="E1483" t="inlineStr">
        <is>
          <t>Grid-Gen</t>
        </is>
      </c>
      <c r="F1483" t="inlineStr">
        <is>
          <t>CENTRE</t>
        </is>
      </c>
      <c r="G1483" t="inlineStr">
        <is>
          <t>Yaounde</t>
        </is>
      </c>
      <c r="H1483" t="inlineStr">
        <is>
          <t>ZTE</t>
        </is>
      </c>
      <c r="I1483" t="n">
        <v>0</v>
      </c>
      <c r="J1483" t="n">
        <v>0</v>
      </c>
      <c r="K1483" t="n">
        <v>0</v>
      </c>
      <c r="L1483" t="n">
        <v>0</v>
      </c>
      <c r="M1483" t="n">
        <v>0</v>
      </c>
      <c r="N1483" t="n">
        <v>0</v>
      </c>
      <c r="O1483" t="n">
        <v>0</v>
      </c>
      <c r="P1483" t="n">
        <v>0</v>
      </c>
      <c r="Q1483" t="n">
        <v>0</v>
      </c>
      <c r="R1483" t="inlineStr">
        <is>
          <t>Operationnel</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row>
    <row r="1484">
      <c r="A1484" t="inlineStr">
        <is>
          <t>Bamenda-Sisia-Quater-IHS</t>
        </is>
      </c>
      <c r="B1484" t="inlineStr">
        <is>
          <t>NRO_118</t>
        </is>
      </c>
      <c r="C1484" t="inlineStr">
        <is>
          <t>NORD-OUEST</t>
        </is>
      </c>
      <c r="D1484" t="inlineStr">
        <is>
          <t>IHS</t>
        </is>
      </c>
      <c r="E1484" t="inlineStr">
        <is>
          <t>Grid-Gen</t>
        </is>
      </c>
      <c r="F1484" t="inlineStr">
        <is>
          <t>NORD-OUEST</t>
        </is>
      </c>
      <c r="G1484" t="inlineStr">
        <is>
          <t>Bamenda</t>
        </is>
      </c>
      <c r="H1484" t="inlineStr">
        <is>
          <t>Huawei</t>
        </is>
      </c>
      <c r="I1484" t="n">
        <v>0</v>
      </c>
      <c r="J1484" t="n">
        <v>0</v>
      </c>
      <c r="K1484" t="n">
        <v>0</v>
      </c>
      <c r="L1484" t="n">
        <v>0</v>
      </c>
      <c r="M1484" t="n">
        <v>0</v>
      </c>
      <c r="N1484" t="n">
        <v>0</v>
      </c>
      <c r="O1484" t="n">
        <v>0</v>
      </c>
      <c r="P1484" t="n">
        <v>0</v>
      </c>
      <c r="Q1484" t="n">
        <v>0</v>
      </c>
      <c r="R1484" t="inlineStr">
        <is>
          <t>Operationnel</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row>
    <row r="1485">
      <c r="A1485" t="inlineStr">
        <is>
          <t>PK18-Crf-Lapaix</t>
        </is>
      </c>
      <c r="B1485" t="inlineStr">
        <is>
          <t>LIT_731</t>
        </is>
      </c>
      <c r="C1485" t="inlineStr">
        <is>
          <t>Douala</t>
        </is>
      </c>
      <c r="D1485" t="inlineStr">
        <is>
          <t>CAMUSAT</t>
        </is>
      </c>
      <c r="E1485" t="inlineStr">
        <is>
          <t>Good Grid + GE</t>
        </is>
      </c>
      <c r="F1485" t="inlineStr">
        <is>
          <t>LITTORAL</t>
        </is>
      </c>
      <c r="G1485" t="inlineStr">
        <is>
          <t>Douala</t>
        </is>
      </c>
      <c r="H1485" t="inlineStr">
        <is>
          <t>ZTE</t>
        </is>
      </c>
      <c r="I1485" t="n">
        <v>0</v>
      </c>
      <c r="J1485" t="n">
        <v>0</v>
      </c>
      <c r="K1485" t="n">
        <v>0</v>
      </c>
      <c r="L1485" t="n">
        <v>0</v>
      </c>
      <c r="M1485" t="n">
        <v>0</v>
      </c>
      <c r="N1485" t="n">
        <v>0</v>
      </c>
      <c r="O1485" t="n">
        <v>0</v>
      </c>
      <c r="P1485" t="n">
        <v>0</v>
      </c>
      <c r="Q1485" t="n">
        <v>0</v>
      </c>
      <c r="R1485" t="inlineStr">
        <is>
          <t>Operationnel</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row>
    <row r="1486">
      <c r="A1486" t="inlineStr">
        <is>
          <t>Upper-Mawo-IHS</t>
        </is>
      </c>
      <c r="B1486" t="inlineStr">
        <is>
          <t>SUO_166</t>
        </is>
      </c>
      <c r="C1486" t="inlineStr">
        <is>
          <t>SUD-OUEST</t>
        </is>
      </c>
      <c r="D1486" t="inlineStr">
        <is>
          <t>IHS</t>
        </is>
      </c>
      <c r="E1486" t="inlineStr">
        <is>
          <t>Grid-Gen</t>
        </is>
      </c>
      <c r="F1486" t="inlineStr">
        <is>
          <t>SUD-OUEST</t>
        </is>
      </c>
      <c r="G1486" t="inlineStr">
        <is>
          <t>Limbe</t>
        </is>
      </c>
      <c r="H1486" t="inlineStr">
        <is>
          <t>Huawei</t>
        </is>
      </c>
      <c r="I1486" t="n">
        <v>0</v>
      </c>
      <c r="J1486" t="n">
        <v>0</v>
      </c>
      <c r="K1486" t="n">
        <v>0</v>
      </c>
      <c r="L1486" t="n">
        <v>0</v>
      </c>
      <c r="M1486" t="n">
        <v>0</v>
      </c>
      <c r="N1486" t="n">
        <v>0</v>
      </c>
      <c r="O1486" t="n">
        <v>0</v>
      </c>
      <c r="P1486" t="n">
        <v>0</v>
      </c>
      <c r="Q1486" t="n">
        <v>0</v>
      </c>
      <c r="R1486" t="inlineStr">
        <is>
          <t>Operationnel</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row>
    <row r="1487">
      <c r="A1487" t="inlineStr">
        <is>
          <t>Colline-du-loup</t>
        </is>
      </c>
      <c r="B1487" t="inlineStr">
        <is>
          <t>LIT_133</t>
        </is>
      </c>
      <c r="C1487" t="inlineStr">
        <is>
          <t>LITTORAL</t>
        </is>
      </c>
      <c r="D1487" t="inlineStr">
        <is>
          <t>IHS</t>
        </is>
      </c>
      <c r="E1487" t="inlineStr">
        <is>
          <t>Solar-Gen</t>
        </is>
      </c>
      <c r="F1487" t="inlineStr">
        <is>
          <t>LITTORAL</t>
        </is>
      </c>
      <c r="G1487" t="inlineStr">
        <is>
          <t>Ebodje</t>
        </is>
      </c>
      <c r="H1487" t="inlineStr">
        <is>
          <t>NOKIA</t>
        </is>
      </c>
      <c r="I1487" t="n">
        <v>0</v>
      </c>
      <c r="J1487" t="n">
        <v>0</v>
      </c>
      <c r="K1487" t="n">
        <v>0</v>
      </c>
      <c r="L1487" t="n">
        <v>0</v>
      </c>
      <c r="M1487" t="n">
        <v>0</v>
      </c>
      <c r="N1487" t="n">
        <v>0</v>
      </c>
      <c r="O1487" t="n">
        <v>0</v>
      </c>
      <c r="P1487" t="n">
        <v>0</v>
      </c>
      <c r="Q1487" t="n">
        <v>0</v>
      </c>
      <c r="R1487" t="inlineStr">
        <is>
          <t>Operationnel</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row>
    <row r="1488">
      <c r="A1488" t="inlineStr">
        <is>
          <t>Bfsam-Kamkouop</t>
        </is>
      </c>
      <c r="B1488" t="inlineStr">
        <is>
          <t>OST_002</t>
        </is>
      </c>
      <c r="C1488" t="inlineStr">
        <is>
          <t>Bafoussam</t>
        </is>
      </c>
      <c r="D1488" t="inlineStr">
        <is>
          <t>IHS</t>
        </is>
      </c>
      <c r="E1488" t="inlineStr">
        <is>
          <t>Grid-Gen</t>
        </is>
      </c>
      <c r="F1488" t="inlineStr">
        <is>
          <t>OUEST</t>
        </is>
      </c>
      <c r="G1488" t="inlineStr">
        <is>
          <t>Bafoussam</t>
        </is>
      </c>
      <c r="H1488" t="inlineStr">
        <is>
          <t>Huawei</t>
        </is>
      </c>
      <c r="I1488" t="n">
        <v>0</v>
      </c>
      <c r="J1488" t="n">
        <v>0</v>
      </c>
      <c r="K1488" t="n">
        <v>0</v>
      </c>
      <c r="L1488" t="n">
        <v>0</v>
      </c>
      <c r="M1488" t="n">
        <v>0</v>
      </c>
      <c r="N1488" t="n">
        <v>0</v>
      </c>
      <c r="O1488" t="n">
        <v>0</v>
      </c>
      <c r="P1488" t="n">
        <v>0</v>
      </c>
      <c r="Q1488" t="n">
        <v>0</v>
      </c>
      <c r="R1488" t="inlineStr">
        <is>
          <t>Operationnel</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row>
    <row r="1489">
      <c r="A1489" t="inlineStr">
        <is>
          <t>OST_360_H_Bandjoun-Yom-V</t>
        </is>
      </c>
      <c r="B1489" t="inlineStr">
        <is>
          <t>OST_360</t>
        </is>
      </c>
      <c r="C1489" t="inlineStr">
        <is>
          <t>OUEST</t>
        </is>
      </c>
      <c r="D1489" t="inlineStr">
        <is>
          <t>ESCO</t>
        </is>
      </c>
      <c r="E1489" t="inlineStr">
        <is>
          <t>Hybrid Solar - S1</t>
        </is>
      </c>
      <c r="F1489" t="inlineStr">
        <is>
          <t>OST</t>
        </is>
      </c>
      <c r="G1489" t="inlineStr">
        <is>
          <t>Bandjoun</t>
        </is>
      </c>
      <c r="H1489" t="inlineStr">
        <is>
          <t>Huawei</t>
        </is>
      </c>
      <c r="I1489" t="n">
        <v>0</v>
      </c>
      <c r="J1489" t="n">
        <v>0</v>
      </c>
      <c r="K1489" t="n">
        <v>0</v>
      </c>
      <c r="L1489" t="n">
        <v>0</v>
      </c>
      <c r="M1489" t="n">
        <v>0</v>
      </c>
      <c r="N1489" t="n">
        <v>0</v>
      </c>
      <c r="O1489" t="n">
        <v>0</v>
      </c>
      <c r="P1489" t="n">
        <v>0</v>
      </c>
      <c r="Q1489" t="n">
        <v>0</v>
      </c>
      <c r="R1489" t="inlineStr">
        <is>
          <t>Operationnel</t>
        </is>
      </c>
      <c r="S1489" t="inlineStr"/>
      <c r="T1489" t="inlineStr"/>
      <c r="U1489" t="inlineStr"/>
      <c r="V1489" t="inlineStr"/>
      <c r="W1489" t="inlineStr"/>
      <c r="X1489" t="inlineStr">
        <is>
          <t xml:space="preserve">{05-25-2026 retour CAMUSAT}: No power issue </t>
        </is>
      </c>
      <c r="Y1489" t="inlineStr">
        <is>
          <t>No power issue</t>
        </is>
      </c>
      <c r="Z1489" t="inlineStr"/>
      <c r="AA1489" t="inlineStr"/>
      <c r="AB1489" t="inlineStr"/>
      <c r="AC1489" t="inlineStr">
        <is>
          <t xml:space="preserve">{05-25-2026 retour CAMUSAT}: No power issue </t>
        </is>
      </c>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row>
    <row r="1490">
      <c r="A1490" t="inlineStr">
        <is>
          <t>Lemla</t>
        </is>
      </c>
      <c r="B1490" t="inlineStr">
        <is>
          <t>OST_261</t>
        </is>
      </c>
      <c r="C1490" t="inlineStr">
        <is>
          <t>OUEST</t>
        </is>
      </c>
      <c r="D1490" t="inlineStr">
        <is>
          <t>CAMUSAT</t>
        </is>
      </c>
      <c r="E1490" t="inlineStr">
        <is>
          <t>Hybrid Solar - S3</t>
        </is>
      </c>
      <c r="F1490" t="inlineStr">
        <is>
          <t>OUEST</t>
        </is>
      </c>
      <c r="G1490" t="inlineStr">
        <is>
          <t>Bandjoun</t>
        </is>
      </c>
      <c r="H1490" t="inlineStr">
        <is>
          <t>Huawei</t>
        </is>
      </c>
      <c r="I1490" t="n">
        <v>0</v>
      </c>
      <c r="J1490" t="n">
        <v>0</v>
      </c>
      <c r="K1490" t="n">
        <v>0</v>
      </c>
      <c r="L1490" t="n">
        <v>0</v>
      </c>
      <c r="M1490" t="n">
        <v>0</v>
      </c>
      <c r="N1490" t="n">
        <v>0</v>
      </c>
      <c r="O1490" t="n">
        <v>0</v>
      </c>
      <c r="P1490" t="n">
        <v>0</v>
      </c>
      <c r="Q1490" t="n">
        <v>0</v>
      </c>
      <c r="R1490" t="inlineStr">
        <is>
          <t>Operationnel</t>
        </is>
      </c>
      <c r="S1490" t="inlineStr"/>
      <c r="T1490" t="inlineStr"/>
      <c r="U1490" t="inlineStr"/>
      <c r="V1490" t="inlineStr"/>
      <c r="W1490" t="inlineStr"/>
      <c r="X1490" t="inlineStr">
        <is>
          <t xml:space="preserve">{05-25-2026 retour CAMUSAT}: No power issue </t>
        </is>
      </c>
      <c r="Y1490" t="inlineStr">
        <is>
          <t>No power issue</t>
        </is>
      </c>
      <c r="Z1490" t="inlineStr"/>
      <c r="AA1490" t="inlineStr"/>
      <c r="AB1490" t="inlineStr"/>
      <c r="AC1490" t="inlineStr">
        <is>
          <t xml:space="preserve">{05-25-2026 retour CAMUSAT}: No power issue </t>
        </is>
      </c>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row>
    <row r="1491">
      <c r="A1491" t="inlineStr">
        <is>
          <t>Tombel-MTN</t>
        </is>
      </c>
      <c r="B1491" t="inlineStr">
        <is>
          <t>LIT_225</t>
        </is>
      </c>
      <c r="C1491" t="inlineStr">
        <is>
          <t>SUD-OUEST</t>
        </is>
      </c>
      <c r="D1491" t="inlineStr">
        <is>
          <t>IHS</t>
        </is>
      </c>
      <c r="E1491" t="inlineStr">
        <is>
          <t>Grid-Gen</t>
        </is>
      </c>
      <c r="F1491" t="inlineStr">
        <is>
          <t>LITTORAL</t>
        </is>
      </c>
      <c r="G1491" t="inlineStr">
        <is>
          <t>Tombel</t>
        </is>
      </c>
      <c r="H1491" t="inlineStr">
        <is>
          <t>NOKIA</t>
        </is>
      </c>
      <c r="I1491" t="n">
        <v>0</v>
      </c>
      <c r="J1491" t="n">
        <v>0</v>
      </c>
      <c r="K1491" t="n">
        <v>0</v>
      </c>
      <c r="L1491" t="n">
        <v>0</v>
      </c>
      <c r="M1491" t="n">
        <v>0</v>
      </c>
      <c r="N1491" t="n">
        <v>0</v>
      </c>
      <c r="O1491" t="n">
        <v>0</v>
      </c>
      <c r="P1491" t="n">
        <v>0</v>
      </c>
      <c r="Q1491" t="n">
        <v>0</v>
      </c>
      <c r="R1491" t="inlineStr">
        <is>
          <t>Operationnel</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row>
    <row r="1492">
      <c r="A1492" t="inlineStr">
        <is>
          <t>Bfsam-Kouogouo</t>
        </is>
      </c>
      <c r="B1492" t="inlineStr">
        <is>
          <t>OST_065</t>
        </is>
      </c>
      <c r="C1492" t="inlineStr">
        <is>
          <t>Bafoussam</t>
        </is>
      </c>
      <c r="D1492" t="inlineStr">
        <is>
          <t>IHS</t>
        </is>
      </c>
      <c r="E1492" t="inlineStr">
        <is>
          <t>Grid-Gen</t>
        </is>
      </c>
      <c r="F1492" t="inlineStr">
        <is>
          <t>OUEST</t>
        </is>
      </c>
      <c r="G1492" t="inlineStr">
        <is>
          <t>Bafoussam</t>
        </is>
      </c>
      <c r="H1492" t="inlineStr">
        <is>
          <t>Huawei</t>
        </is>
      </c>
      <c r="I1492" t="n">
        <v>0</v>
      </c>
      <c r="J1492" t="n">
        <v>0</v>
      </c>
      <c r="K1492" t="n">
        <v>0</v>
      </c>
      <c r="L1492" t="n">
        <v>0</v>
      </c>
      <c r="M1492" t="n">
        <v>0</v>
      </c>
      <c r="N1492" t="n">
        <v>0</v>
      </c>
      <c r="O1492" t="n">
        <v>0</v>
      </c>
      <c r="P1492" t="n">
        <v>0</v>
      </c>
      <c r="Q1492" t="n">
        <v>0</v>
      </c>
      <c r="R1492" t="inlineStr">
        <is>
          <t>Operationnel</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row>
    <row r="1493">
      <c r="A1493" t="inlineStr">
        <is>
          <t>Bfsam-Q-Admin</t>
        </is>
      </c>
      <c r="B1493" t="inlineStr">
        <is>
          <t>OST_111</t>
        </is>
      </c>
      <c r="C1493" t="inlineStr">
        <is>
          <t>Bafoussam</t>
        </is>
      </c>
      <c r="D1493" t="inlineStr">
        <is>
          <t>IHS</t>
        </is>
      </c>
      <c r="E1493" t="inlineStr">
        <is>
          <t>Grid-Gen</t>
        </is>
      </c>
      <c r="F1493" t="inlineStr">
        <is>
          <t>OUEST</t>
        </is>
      </c>
      <c r="G1493" t="inlineStr">
        <is>
          <t>Bafoussam</t>
        </is>
      </c>
      <c r="H1493" t="inlineStr">
        <is>
          <t>Huawei</t>
        </is>
      </c>
      <c r="I1493" t="n">
        <v>0</v>
      </c>
      <c r="J1493" t="n">
        <v>0</v>
      </c>
      <c r="K1493" t="n">
        <v>0</v>
      </c>
      <c r="L1493" t="n">
        <v>0</v>
      </c>
      <c r="M1493" t="n">
        <v>0</v>
      </c>
      <c r="N1493" t="n">
        <v>0</v>
      </c>
      <c r="O1493" t="n">
        <v>0</v>
      </c>
      <c r="P1493" t="n">
        <v>0</v>
      </c>
      <c r="Q1493" t="n">
        <v>0</v>
      </c>
      <c r="R1493" t="inlineStr">
        <is>
          <t>Operationnel</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row>
    <row r="1494">
      <c r="A1494" t="inlineStr">
        <is>
          <t>Maroua-Ouro-Tchede</t>
        </is>
      </c>
      <c r="B1494" t="inlineStr">
        <is>
          <t>EXN_092</t>
        </is>
      </c>
      <c r="C1494" t="inlineStr">
        <is>
          <t>Maroua</t>
        </is>
      </c>
      <c r="D1494" t="inlineStr">
        <is>
          <t>IHS</t>
        </is>
      </c>
      <c r="E1494" t="inlineStr">
        <is>
          <t>Grid-Gen</t>
        </is>
      </c>
      <c r="F1494" t="inlineStr">
        <is>
          <t>EXTREME-NORD</t>
        </is>
      </c>
      <c r="G1494" t="inlineStr">
        <is>
          <t>Maroua</t>
        </is>
      </c>
      <c r="H1494" t="inlineStr">
        <is>
          <t>Huawei</t>
        </is>
      </c>
      <c r="I1494" t="n">
        <v>0</v>
      </c>
      <c r="J1494" t="n">
        <v>0</v>
      </c>
      <c r="K1494" t="n">
        <v>0</v>
      </c>
      <c r="L1494" t="n">
        <v>0</v>
      </c>
      <c r="M1494" t="n">
        <v>0</v>
      </c>
      <c r="N1494" t="n">
        <v>0</v>
      </c>
      <c r="O1494" t="n">
        <v>0</v>
      </c>
      <c r="P1494" t="n">
        <v>0</v>
      </c>
      <c r="Q1494" t="n">
        <v>0</v>
      </c>
      <c r="R1494" t="inlineStr">
        <is>
          <t>Operationnel</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row>
    <row r="1495">
      <c r="A1495" t="inlineStr">
        <is>
          <t>Bfsam-Brasserie</t>
        </is>
      </c>
      <c r="B1495" t="inlineStr">
        <is>
          <t>OST_134</t>
        </is>
      </c>
      <c r="C1495" t="inlineStr">
        <is>
          <t>Bafoussam</t>
        </is>
      </c>
      <c r="D1495" t="inlineStr">
        <is>
          <t>IHS</t>
        </is>
      </c>
      <c r="E1495" t="inlineStr">
        <is>
          <t>Grid-Gen</t>
        </is>
      </c>
      <c r="F1495" t="inlineStr">
        <is>
          <t>OUEST</t>
        </is>
      </c>
      <c r="G1495" t="inlineStr">
        <is>
          <t>Bafoussam</t>
        </is>
      </c>
      <c r="H1495" t="inlineStr">
        <is>
          <t>Huawei</t>
        </is>
      </c>
      <c r="I1495" t="n">
        <v>0</v>
      </c>
      <c r="J1495" t="n">
        <v>0</v>
      </c>
      <c r="K1495" t="n">
        <v>0</v>
      </c>
      <c r="L1495" t="n">
        <v>0</v>
      </c>
      <c r="M1495" t="n">
        <v>0</v>
      </c>
      <c r="N1495" t="n">
        <v>0</v>
      </c>
      <c r="O1495" t="n">
        <v>0</v>
      </c>
      <c r="P1495" t="n">
        <v>0</v>
      </c>
      <c r="Q1495" t="n">
        <v>0</v>
      </c>
      <c r="R1495" t="inlineStr">
        <is>
          <t>Operationnel</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row>
    <row r="1496">
      <c r="A1496" t="inlineStr">
        <is>
          <t>Bfsam-Centre-II</t>
        </is>
      </c>
      <c r="B1496" t="inlineStr">
        <is>
          <t>OST_170</t>
        </is>
      </c>
      <c r="C1496" t="inlineStr">
        <is>
          <t>Bafoussam</t>
        </is>
      </c>
      <c r="D1496" t="inlineStr">
        <is>
          <t>IHS</t>
        </is>
      </c>
      <c r="E1496" t="inlineStr">
        <is>
          <t>GridOnly</t>
        </is>
      </c>
      <c r="F1496" t="inlineStr">
        <is>
          <t>OUEST</t>
        </is>
      </c>
      <c r="G1496" t="inlineStr">
        <is>
          <t>Bafoussam</t>
        </is>
      </c>
      <c r="H1496" t="inlineStr">
        <is>
          <t>Huawei</t>
        </is>
      </c>
      <c r="I1496" t="n">
        <v>0</v>
      </c>
      <c r="J1496" t="n">
        <v>0</v>
      </c>
      <c r="K1496" t="n">
        <v>0</v>
      </c>
      <c r="L1496" t="n">
        <v>0</v>
      </c>
      <c r="M1496" t="n">
        <v>0</v>
      </c>
      <c r="N1496" t="n">
        <v>0</v>
      </c>
      <c r="O1496" t="n">
        <v>0</v>
      </c>
      <c r="P1496" t="n">
        <v>0</v>
      </c>
      <c r="Q1496" t="n">
        <v>0</v>
      </c>
      <c r="R1496" t="inlineStr">
        <is>
          <t>Operationnel</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row>
    <row r="1497">
      <c r="A1497" t="inlineStr">
        <is>
          <t>Bfsam-Toket</t>
        </is>
      </c>
      <c r="B1497" t="inlineStr">
        <is>
          <t>OST_045</t>
        </is>
      </c>
      <c r="C1497" t="inlineStr">
        <is>
          <t>Bafoussam</t>
        </is>
      </c>
      <c r="D1497" t="inlineStr">
        <is>
          <t>IHS</t>
        </is>
      </c>
      <c r="E1497" t="inlineStr">
        <is>
          <t>Grid-Gen</t>
        </is>
      </c>
      <c r="F1497" t="inlineStr">
        <is>
          <t>OUEST</t>
        </is>
      </c>
      <c r="G1497" t="inlineStr">
        <is>
          <t>Bafoussam</t>
        </is>
      </c>
      <c r="H1497" t="inlineStr">
        <is>
          <t>Huawei</t>
        </is>
      </c>
      <c r="I1497" t="n">
        <v>0</v>
      </c>
      <c r="J1497" t="n">
        <v>0</v>
      </c>
      <c r="K1497" t="n">
        <v>0</v>
      </c>
      <c r="L1497" t="n">
        <v>0</v>
      </c>
      <c r="M1497" t="n">
        <v>0</v>
      </c>
      <c r="N1497" t="n">
        <v>0</v>
      </c>
      <c r="O1497" t="n">
        <v>0</v>
      </c>
      <c r="P1497" t="n">
        <v>0</v>
      </c>
      <c r="Q1497" t="n">
        <v>0</v>
      </c>
      <c r="R1497" t="inlineStr">
        <is>
          <t>Operationnel</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row>
    <row r="1498">
      <c r="A1498" t="inlineStr">
        <is>
          <t>Bfsam-Nylon</t>
        </is>
      </c>
      <c r="B1498" t="inlineStr">
        <is>
          <t>OST_107</t>
        </is>
      </c>
      <c r="C1498" t="inlineStr">
        <is>
          <t>Bafoussam</t>
        </is>
      </c>
      <c r="D1498" t="inlineStr">
        <is>
          <t>IHS</t>
        </is>
      </c>
      <c r="E1498" t="inlineStr">
        <is>
          <t>Grid-Gen</t>
        </is>
      </c>
      <c r="F1498" t="inlineStr">
        <is>
          <t>OUEST</t>
        </is>
      </c>
      <c r="G1498" t="inlineStr">
        <is>
          <t>Bafoussam</t>
        </is>
      </c>
      <c r="H1498" t="inlineStr">
        <is>
          <t>Huawei</t>
        </is>
      </c>
      <c r="I1498" t="n">
        <v>0</v>
      </c>
      <c r="J1498" t="n">
        <v>0</v>
      </c>
      <c r="K1498" t="n">
        <v>0</v>
      </c>
      <c r="L1498" t="n">
        <v>0</v>
      </c>
      <c r="M1498" t="n">
        <v>0</v>
      </c>
      <c r="N1498" t="n">
        <v>0</v>
      </c>
      <c r="O1498" t="n">
        <v>0</v>
      </c>
      <c r="P1498" t="n">
        <v>0</v>
      </c>
      <c r="Q1498" t="n">
        <v>0</v>
      </c>
      <c r="R1498" t="inlineStr">
        <is>
          <t>Operationnel</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row>
    <row r="1499">
      <c r="A1499" t="inlineStr">
        <is>
          <t>Bfsam-Megom</t>
        </is>
      </c>
      <c r="B1499" t="inlineStr">
        <is>
          <t>OST_238</t>
        </is>
      </c>
      <c r="C1499" t="inlineStr">
        <is>
          <t>Bafoussam</t>
        </is>
      </c>
      <c r="D1499" t="inlineStr">
        <is>
          <t>CAMUSAT</t>
        </is>
      </c>
      <c r="E1499" t="inlineStr">
        <is>
          <t>Good Grid no GE - 8h</t>
        </is>
      </c>
      <c r="F1499" t="inlineStr">
        <is>
          <t>OUEST</t>
        </is>
      </c>
      <c r="G1499" t="inlineStr">
        <is>
          <t>Bafoussam</t>
        </is>
      </c>
      <c r="H1499" t="inlineStr">
        <is>
          <t>Huawei</t>
        </is>
      </c>
      <c r="I1499" t="n">
        <v>0</v>
      </c>
      <c r="J1499" t="n">
        <v>0</v>
      </c>
      <c r="K1499" t="n">
        <v>0</v>
      </c>
      <c r="L1499" t="n">
        <v>0</v>
      </c>
      <c r="M1499" t="n">
        <v>0</v>
      </c>
      <c r="N1499" t="n">
        <v>0</v>
      </c>
      <c r="O1499" t="n">
        <v>0</v>
      </c>
      <c r="P1499" t="n">
        <v>0</v>
      </c>
      <c r="Q1499" t="n">
        <v>0</v>
      </c>
      <c r="R1499" t="inlineStr">
        <is>
          <t>Operationnel</t>
        </is>
      </c>
      <c r="S1499" t="inlineStr"/>
      <c r="T1499" t="inlineStr"/>
      <c r="U1499" t="inlineStr"/>
      <c r="V1499" t="inlineStr"/>
      <c r="W1499" t="inlineStr"/>
      <c r="X1499" t="inlineStr">
        <is>
          <t xml:space="preserve">{05-25-2026 retour CAMUSAT}: No power issue </t>
        </is>
      </c>
      <c r="Y1499" t="inlineStr">
        <is>
          <t>No power issue</t>
        </is>
      </c>
      <c r="Z1499" t="inlineStr"/>
      <c r="AA1499" t="inlineStr"/>
      <c r="AB1499" t="inlineStr"/>
      <c r="AC1499" t="inlineStr">
        <is>
          <t xml:space="preserve">{05-25-2026 retour CAMUSAT}: No power issue </t>
        </is>
      </c>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row>
    <row r="1500">
      <c r="A1500" t="inlineStr">
        <is>
          <t>Bfsam-Tyo</t>
        </is>
      </c>
      <c r="B1500" t="inlineStr">
        <is>
          <t>OST_118</t>
        </is>
      </c>
      <c r="C1500" t="inlineStr">
        <is>
          <t>Bafoussam</t>
        </is>
      </c>
      <c r="D1500" t="inlineStr">
        <is>
          <t>IHS</t>
        </is>
      </c>
      <c r="E1500" t="inlineStr">
        <is>
          <t>Grid-Gen</t>
        </is>
      </c>
      <c r="F1500" t="inlineStr">
        <is>
          <t>OUEST</t>
        </is>
      </c>
      <c r="G1500" t="inlineStr">
        <is>
          <t>Bafoussam</t>
        </is>
      </c>
      <c r="H1500" t="inlineStr">
        <is>
          <t>Huawei</t>
        </is>
      </c>
      <c r="I1500" t="n">
        <v>0</v>
      </c>
      <c r="J1500" t="n">
        <v>0</v>
      </c>
      <c r="K1500" t="n">
        <v>0</v>
      </c>
      <c r="L1500" t="n">
        <v>0</v>
      </c>
      <c r="M1500" t="n">
        <v>0</v>
      </c>
      <c r="N1500" t="n">
        <v>0</v>
      </c>
      <c r="O1500" t="n">
        <v>0</v>
      </c>
      <c r="P1500" t="n">
        <v>0</v>
      </c>
      <c r="Q1500" t="n">
        <v>0</v>
      </c>
      <c r="R1500" t="inlineStr">
        <is>
          <t>Operationnel</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row>
    <row r="1501">
      <c r="A1501" t="inlineStr">
        <is>
          <t>vence</t>
        </is>
      </c>
      <c r="B1501" t="inlineStr">
        <is>
          <t>CTR_326</t>
        </is>
      </c>
      <c r="C1501" t="inlineStr">
        <is>
          <t>Yaounde</t>
        </is>
      </c>
      <c r="D1501" t="inlineStr">
        <is>
          <t>IHS</t>
        </is>
      </c>
      <c r="E1501" t="inlineStr">
        <is>
          <t>Grid-Gen</t>
        </is>
      </c>
      <c r="F1501" t="inlineStr">
        <is>
          <t>CENTRE</t>
        </is>
      </c>
      <c r="G1501" t="inlineStr">
        <is>
          <t>Yaounde</t>
        </is>
      </c>
      <c r="H1501" t="inlineStr">
        <is>
          <t>ZTE</t>
        </is>
      </c>
      <c r="I1501" t="n">
        <v>0</v>
      </c>
      <c r="J1501" t="n">
        <v>0</v>
      </c>
      <c r="K1501" t="n">
        <v>0</v>
      </c>
      <c r="L1501" t="n">
        <v>0</v>
      </c>
      <c r="M1501" t="n">
        <v>0</v>
      </c>
      <c r="N1501" t="n">
        <v>0</v>
      </c>
      <c r="O1501" t="n">
        <v>0</v>
      </c>
      <c r="P1501" t="n">
        <v>0</v>
      </c>
      <c r="Q1501" t="n">
        <v>0</v>
      </c>
      <c r="R1501" t="inlineStr">
        <is>
          <t>Operationnel</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row>
    <row r="1502">
      <c r="A1502" t="inlineStr">
        <is>
          <t>Ngd-Agence</t>
        </is>
      </c>
      <c r="B1502" t="inlineStr">
        <is>
          <t>ADM_026</t>
        </is>
      </c>
      <c r="C1502" t="inlineStr">
        <is>
          <t>Ngaoundere</t>
        </is>
      </c>
      <c r="D1502" t="inlineStr">
        <is>
          <t>OCM/Strategique</t>
        </is>
      </c>
      <c r="E1502" t="inlineStr"/>
      <c r="F1502" t="inlineStr">
        <is>
          <t>ADAMAOUA</t>
        </is>
      </c>
      <c r="G1502" t="inlineStr">
        <is>
          <t>Ngaoundere</t>
        </is>
      </c>
      <c r="H1502" t="inlineStr">
        <is>
          <t>Huawei</t>
        </is>
      </c>
      <c r="I1502" t="n">
        <v>0</v>
      </c>
      <c r="J1502" t="n">
        <v>0</v>
      </c>
      <c r="K1502" t="n">
        <v>0</v>
      </c>
      <c r="L1502" t="n">
        <v>0</v>
      </c>
      <c r="M1502" t="n">
        <v>0</v>
      </c>
      <c r="N1502" t="n">
        <v>0</v>
      </c>
      <c r="O1502" t="n">
        <v>0</v>
      </c>
      <c r="P1502" t="n">
        <v>0</v>
      </c>
      <c r="Q1502" t="n">
        <v>0</v>
      </c>
      <c r="R1502" t="inlineStr">
        <is>
          <t>Operationnel</t>
        </is>
      </c>
      <c r="S1502" t="inlineStr"/>
      <c r="T1502" t="inlineStr"/>
      <c r="U1502" t="inlineStr"/>
      <c r="V1502" t="inlineStr"/>
      <c r="W1502" t="inlineStr"/>
      <c r="X1502" t="inlineStr">
        <is>
          <t>{05/25/2026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Y1502" t="inlineStr">
        <is>
          <t>18/05/2026 Spare pas disponible au HW SPMS || Mail sent to OCM SPMS || Feedback OCM SPMS attendu
15/05/2026 Relance faite ce jour au HW SPMS
13/05/2026 Check de toute la chaine antennaire en cours || ETR 13H || RF Jumper MQ5 || Cde passee a HW SPMS || Feedback HW SPMS attendu
12/05/2026 Fme sur Site || Intervention en cours || Remplacement RF Jumpers OK, mais pas de changement. VSWR toujours dispo || Suite des checks interrompus par la forte pluie dans la ville
11/05/2026 Escalade faite au Rm || Feedback Rm attendu || EtA 16h
09/05/2026 Spare pas encore disponible a ngaoundere
08/05/2026 Spare pas disponible au whare house ngaoudere || Spare en cours d'expedition entre maroua pour ngaoundere ce jour
07/05/2026 Fme sur site || Intervention en cours || Feedback Fme jumper faulty || Commande en cours
06/05/2026 Besoin d'analyse BO RAN || check and clean jumper port 1 RRU 81 || Fme active || ETA demain 07/05/2026 18/05/2026 Spare pas disponible au HW SPMS || Mail sent to OCM SPMS || Feedback OCM SPMS attendu
15/05/2026 Relance faite ce jour au HW SPMS
13/05/2026 Check de toute la chaine antennaire en cours || ETR 13H || RF Jumper MQ5 || Cde passee a HW SPMS || Feedback HW SPMS attendu
12/05/2026 Fme sur Site || Intervention en cours || Remplacement RF Jumpers OK, mais pas de changement. VSWR toujours dispo || Suite des checks interrompus par la forte pluie dans la ville
11/05/2026 Escalade faite au Rm || Feedback Rm attendu || EtA 16h
09/05/2026 Spare pas encore disponible a ngaoundere
08/05/2026 Spare pas disponible au whare house ngaoudere || Spare en cours d'expedition entre maroua pour ngaoundere ce jour
07/05/2026 Fme sur site || Intervention en cours || Feedback Fme jumper faulty || Commande en cours
06/05/2026 Besoin d'analyse BO RAN || check and clean jumper port 1 RRU 81 || Fme active || ETA demain 07/05/2026 18/05/2026 Spare pas disponible au HW SPMS || Mail sent to OCM SPMS || Feedback OCM SPMS attendu
15/05/2026 Relance faite ce jour au HW SPMS
13/05/2026 Check de toute la chaine antennaire en cours || ETR 13H || RF Jumper MQ5 || Cde passee a HW SPMS || Feedback HW SPMS attendu
12/05/2026 Fme sur Site || Intervention en cours || Remplacement RF Jumpers OK, mais pas de changement. VSWR toujours dispo || Suite des checks interrompus par la forte pluie dans la ville
11/05/2026 Escalade faite au Rm || Feedback Rm attendu || EtA 16h
09/05/2026 Spare pas encore disponible a ngaoundere
08/05/2026 Spare pas disponible au whare house ngaoudere || Spare en cours d'expedition entre maroua pour ngaoundere ce jour
07/05/2026 Fme sur site || Intervention en cours || Feedback Fme jumper faulty || Commande en cours
06/05/2026 Besoin d'analyse BO RAN || check and clean jumper port 1 RRU 81 || Fme active || ETA demain 07/05/2026</t>
        </is>
      </c>
      <c r="Z1502" t="inlineStr"/>
      <c r="AA1502" t="inlineStr"/>
      <c r="AB1502" t="inlineStr"/>
      <c r="AC1502" t="inlineStr"/>
      <c r="AD1502" t="inlineStr"/>
      <c r="AE1502" t="inlineStr"/>
      <c r="AF1502" t="inlineStr"/>
      <c r="AG1502" t="inlineStr"/>
      <c r="AH1502" t="inlineStr"/>
      <c r="AI1502" t="inlineStr"/>
      <c r="AJ1502" t="inlineStr"/>
      <c r="AK1502" t="inlineStr"/>
      <c r="AL1502" t="inlineStr">
        <is>
          <t>{05/25/2026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M1502" t="inlineStr">
        <is>
          <t>{05/25/2026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N1502" t="inlineStr">
        <is>
          <t>{05/25/2026 cell huawei}: 18/05/2026 : Spare pas disponible au HW SPMS || Mail sent to OCM SPMS || Feedback OCM SPMS attendu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O1502" t="inlineStr"/>
      <c r="AP1502" t="inlineStr"/>
      <c r="AQ1502" t="inlineStr"/>
      <c r="AR1502" t="inlineStr"/>
    </row>
    <row r="1503">
      <c r="A1503" t="inlineStr">
        <is>
          <t>Kumba-Centre</t>
        </is>
      </c>
      <c r="B1503" t="inlineStr">
        <is>
          <t>SUO_071</t>
        </is>
      </c>
      <c r="C1503" t="inlineStr">
        <is>
          <t>SUD-OUEST</t>
        </is>
      </c>
      <c r="D1503" t="inlineStr">
        <is>
          <t>IHS</t>
        </is>
      </c>
      <c r="E1503" t="inlineStr">
        <is>
          <t>Grid-Gen</t>
        </is>
      </c>
      <c r="F1503" t="inlineStr">
        <is>
          <t>SUD-OUEST</t>
        </is>
      </c>
      <c r="G1503" t="inlineStr">
        <is>
          <t>Kumba</t>
        </is>
      </c>
      <c r="H1503" t="inlineStr">
        <is>
          <t>Huawei</t>
        </is>
      </c>
      <c r="I1503" t="n">
        <v>0</v>
      </c>
      <c r="J1503" t="n">
        <v>0</v>
      </c>
      <c r="K1503" t="n">
        <v>0</v>
      </c>
      <c r="L1503" t="n">
        <v>0</v>
      </c>
      <c r="M1503" t="n">
        <v>0</v>
      </c>
      <c r="N1503" t="n">
        <v>0</v>
      </c>
      <c r="O1503" t="n">
        <v>0</v>
      </c>
      <c r="P1503" t="n">
        <v>0</v>
      </c>
      <c r="Q1503" t="n">
        <v>0</v>
      </c>
      <c r="R1503" t="inlineStr">
        <is>
          <t>Operationnel</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row>
    <row r="1504">
      <c r="A1504" t="inlineStr">
        <is>
          <t>T-junction-IHS</t>
        </is>
      </c>
      <c r="B1504" t="inlineStr">
        <is>
          <t>NRO_124</t>
        </is>
      </c>
      <c r="C1504" t="inlineStr">
        <is>
          <t>NORD-OUEST</t>
        </is>
      </c>
      <c r="D1504" t="inlineStr">
        <is>
          <t>IHS</t>
        </is>
      </c>
      <c r="E1504" t="inlineStr">
        <is>
          <t>Grid-Gen</t>
        </is>
      </c>
      <c r="F1504" t="inlineStr">
        <is>
          <t>NORD-OUEST</t>
        </is>
      </c>
      <c r="G1504" t="inlineStr">
        <is>
          <t>Bamenda</t>
        </is>
      </c>
      <c r="H1504" t="inlineStr">
        <is>
          <t>Huawei</t>
        </is>
      </c>
      <c r="I1504" t="n">
        <v>0</v>
      </c>
      <c r="J1504" t="n">
        <v>0</v>
      </c>
      <c r="K1504" t="n">
        <v>0</v>
      </c>
      <c r="L1504" t="n">
        <v>0</v>
      </c>
      <c r="M1504" t="n">
        <v>0</v>
      </c>
      <c r="N1504" t="n">
        <v>0</v>
      </c>
      <c r="O1504" t="n">
        <v>0</v>
      </c>
      <c r="P1504" t="n">
        <v>0</v>
      </c>
      <c r="Q1504" t="n">
        <v>0</v>
      </c>
      <c r="R1504" t="inlineStr">
        <is>
          <t>Operationnel</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row>
    <row r="1505">
      <c r="A1505" t="inlineStr">
        <is>
          <t>Kumba-Barombi-Kang-II-IHS</t>
        </is>
      </c>
      <c r="B1505" t="inlineStr">
        <is>
          <t>SUO_108</t>
        </is>
      </c>
      <c r="C1505" t="inlineStr">
        <is>
          <t>SUD-OUEST</t>
        </is>
      </c>
      <c r="D1505" t="inlineStr">
        <is>
          <t>IHS</t>
        </is>
      </c>
      <c r="E1505" t="inlineStr">
        <is>
          <t>Grid-Gen</t>
        </is>
      </c>
      <c r="F1505" t="inlineStr">
        <is>
          <t>SUD-OUEST</t>
        </is>
      </c>
      <c r="G1505" t="inlineStr">
        <is>
          <t>Kumba</t>
        </is>
      </c>
      <c r="H1505" t="inlineStr">
        <is>
          <t>Huawei</t>
        </is>
      </c>
      <c r="I1505" t="n">
        <v>0</v>
      </c>
      <c r="J1505" t="n">
        <v>0</v>
      </c>
      <c r="K1505" t="n">
        <v>0</v>
      </c>
      <c r="L1505" t="n">
        <v>0</v>
      </c>
      <c r="M1505" t="n">
        <v>0</v>
      </c>
      <c r="N1505" t="n">
        <v>0</v>
      </c>
      <c r="O1505" t="n">
        <v>0</v>
      </c>
      <c r="P1505" t="n">
        <v>0</v>
      </c>
      <c r="Q1505" t="n">
        <v>0</v>
      </c>
      <c r="R1505" t="inlineStr">
        <is>
          <t>Operationnel</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row>
    <row r="1506">
      <c r="A1506" t="inlineStr">
        <is>
          <t>Cite-Sic-II</t>
        </is>
      </c>
      <c r="B1506" t="inlineStr">
        <is>
          <t>LIT_161</t>
        </is>
      </c>
      <c r="C1506" t="inlineStr">
        <is>
          <t>Douala</t>
        </is>
      </c>
      <c r="D1506" t="inlineStr">
        <is>
          <t>IHS</t>
        </is>
      </c>
      <c r="E1506" t="inlineStr">
        <is>
          <t>GridOnly</t>
        </is>
      </c>
      <c r="F1506" t="inlineStr">
        <is>
          <t>LITTORAL</t>
        </is>
      </c>
      <c r="G1506" t="inlineStr">
        <is>
          <t>Douala</t>
        </is>
      </c>
      <c r="H1506" t="inlineStr">
        <is>
          <t>ZTE</t>
        </is>
      </c>
      <c r="I1506" t="n">
        <v>0</v>
      </c>
      <c r="J1506" t="n">
        <v>0</v>
      </c>
      <c r="K1506" t="n">
        <v>0</v>
      </c>
      <c r="L1506" t="n">
        <v>0</v>
      </c>
      <c r="M1506" t="n">
        <v>0</v>
      </c>
      <c r="N1506" t="n">
        <v>0</v>
      </c>
      <c r="O1506" t="n">
        <v>0</v>
      </c>
      <c r="P1506" t="n">
        <v>0</v>
      </c>
      <c r="Q1506" t="n">
        <v>0</v>
      </c>
      <c r="R1506" t="inlineStr">
        <is>
          <t>Operationnel</t>
        </is>
      </c>
      <c r="S1506" t="inlineStr"/>
      <c r="T1506" t="inlineStr"/>
      <c r="U1506" t="inlineStr"/>
      <c r="V1506" t="inlineStr"/>
      <c r="W1506" t="inlineStr"/>
      <c r="X1506" t="inlineStr">
        <is>
          <t>{05-25-2026 retour IHS}: IHS</t>
        </is>
      </c>
      <c r="Y1506" t="inlineStr">
        <is>
          <t>IHS</t>
        </is>
      </c>
      <c r="Z1506" t="inlineStr"/>
      <c r="AA1506" t="inlineStr"/>
      <c r="AB1506" t="inlineStr"/>
      <c r="AC1506" t="inlineStr"/>
      <c r="AD1506" t="inlineStr">
        <is>
          <t>{05-25-2026 retour IHS}: IHS</t>
        </is>
      </c>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row>
    <row r="1507">
      <c r="A1507" t="inlineStr">
        <is>
          <t>Limbon-IHS</t>
        </is>
      </c>
      <c r="B1507" t="inlineStr">
        <is>
          <t>ADM_080</t>
        </is>
      </c>
      <c r="C1507" t="inlineStr">
        <is>
          <t>ADAMAOUA</t>
        </is>
      </c>
      <c r="D1507" t="inlineStr">
        <is>
          <t>IHS</t>
        </is>
      </c>
      <c r="E1507" t="inlineStr">
        <is>
          <t>Grid-Gen</t>
        </is>
      </c>
      <c r="F1507" t="inlineStr">
        <is>
          <t>ADAMAOUA</t>
        </is>
      </c>
      <c r="G1507" t="inlineStr">
        <is>
          <t>Limbon</t>
        </is>
      </c>
      <c r="H1507" t="inlineStr">
        <is>
          <t>NOKIA</t>
        </is>
      </c>
      <c r="I1507" t="n">
        <v>0</v>
      </c>
      <c r="J1507" t="n">
        <v>0</v>
      </c>
      <c r="K1507" t="n">
        <v>0</v>
      </c>
      <c r="L1507" t="n">
        <v>0</v>
      </c>
      <c r="M1507" t="n">
        <v>0</v>
      </c>
      <c r="N1507" t="n">
        <v>0</v>
      </c>
      <c r="O1507" t="n">
        <v>0</v>
      </c>
      <c r="P1507" t="n">
        <v>0</v>
      </c>
      <c r="Q1507" t="n">
        <v>0</v>
      </c>
      <c r="R1507" t="inlineStr">
        <is>
          <t>Operationnel</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row>
    <row r="1508">
      <c r="A1508" t="inlineStr">
        <is>
          <t>Ngwelle-II</t>
        </is>
      </c>
      <c r="B1508" t="inlineStr">
        <is>
          <t>LIT_377</t>
        </is>
      </c>
      <c r="C1508" t="inlineStr">
        <is>
          <t>Douala</t>
        </is>
      </c>
      <c r="D1508" t="inlineStr">
        <is>
          <t>IHS</t>
        </is>
      </c>
      <c r="E1508" t="inlineStr">
        <is>
          <t>Grid-Gen</t>
        </is>
      </c>
      <c r="F1508" t="inlineStr">
        <is>
          <t>LITTORAL</t>
        </is>
      </c>
      <c r="G1508" t="inlineStr">
        <is>
          <t>Douala</t>
        </is>
      </c>
      <c r="H1508" t="inlineStr">
        <is>
          <t>ZTE</t>
        </is>
      </c>
      <c r="I1508" t="n">
        <v>0</v>
      </c>
      <c r="J1508" t="n">
        <v>0</v>
      </c>
      <c r="K1508" t="n">
        <v>0</v>
      </c>
      <c r="L1508" t="n">
        <v>0</v>
      </c>
      <c r="M1508" t="n">
        <v>0</v>
      </c>
      <c r="N1508" t="n">
        <v>0</v>
      </c>
      <c r="O1508" t="n">
        <v>0</v>
      </c>
      <c r="P1508" t="n">
        <v>0</v>
      </c>
      <c r="Q1508" t="n">
        <v>0</v>
      </c>
      <c r="R1508" t="inlineStr">
        <is>
          <t>Operationnel</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row>
    <row r="1509">
      <c r="A1509" t="inlineStr">
        <is>
          <t>Indoor-Orange-shop-PlaYce</t>
        </is>
      </c>
      <c r="B1509" t="inlineStr">
        <is>
          <t>CTR_882</t>
        </is>
      </c>
      <c r="C1509" t="inlineStr">
        <is>
          <t>Yaounde</t>
        </is>
      </c>
      <c r="D1509" t="inlineStr"/>
      <c r="E1509" t="inlineStr"/>
      <c r="F1509" t="inlineStr">
        <is>
          <t>CENTRE</t>
        </is>
      </c>
      <c r="G1509" t="inlineStr">
        <is>
          <t>Yaounde</t>
        </is>
      </c>
      <c r="H1509" t="inlineStr">
        <is>
          <t>ZTE</t>
        </is>
      </c>
      <c r="I1509" t="n">
        <v>0</v>
      </c>
      <c r="J1509" t="n">
        <v>0</v>
      </c>
      <c r="K1509" t="n">
        <v>0</v>
      </c>
      <c r="L1509" t="n">
        <v>0</v>
      </c>
      <c r="M1509" t="n">
        <v>0</v>
      </c>
      <c r="N1509" t="n">
        <v>0</v>
      </c>
      <c r="O1509" t="n">
        <v>0</v>
      </c>
      <c r="P1509" t="n">
        <v>0</v>
      </c>
      <c r="Q1509" t="n">
        <v>0</v>
      </c>
      <c r="R1509" t="inlineStr">
        <is>
          <t>Operationnel</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row>
    <row r="1510">
      <c r="A1510" t="inlineStr">
        <is>
          <t>PK17-University-IHS</t>
        </is>
      </c>
      <c r="B1510" t="inlineStr">
        <is>
          <t>LIT_234</t>
        </is>
      </c>
      <c r="C1510" t="inlineStr">
        <is>
          <t>Douala</t>
        </is>
      </c>
      <c r="D1510" t="inlineStr">
        <is>
          <t>IHS</t>
        </is>
      </c>
      <c r="E1510" t="inlineStr">
        <is>
          <t>Grid-Gen</t>
        </is>
      </c>
      <c r="F1510" t="inlineStr">
        <is>
          <t>LITTORAL</t>
        </is>
      </c>
      <c r="G1510" t="inlineStr">
        <is>
          <t>Douala</t>
        </is>
      </c>
      <c r="H1510" t="inlineStr">
        <is>
          <t>ZTE</t>
        </is>
      </c>
      <c r="I1510" t="n">
        <v>0</v>
      </c>
      <c r="J1510" t="n">
        <v>0</v>
      </c>
      <c r="K1510" t="n">
        <v>0</v>
      </c>
      <c r="L1510" t="n">
        <v>0</v>
      </c>
      <c r="M1510" t="n">
        <v>0</v>
      </c>
      <c r="N1510" t="n">
        <v>0</v>
      </c>
      <c r="O1510" t="n">
        <v>0</v>
      </c>
      <c r="P1510" t="n">
        <v>0</v>
      </c>
      <c r="Q1510" t="n">
        <v>0</v>
      </c>
      <c r="R1510" t="inlineStr">
        <is>
          <t>Operationnel</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row>
    <row r="1511">
      <c r="A1511" t="inlineStr">
        <is>
          <t>Akwa-Palace-Micro</t>
        </is>
      </c>
      <c r="B1511" t="inlineStr">
        <is>
          <t>LIT_705</t>
        </is>
      </c>
      <c r="C1511" t="inlineStr">
        <is>
          <t>Douala</t>
        </is>
      </c>
      <c r="D1511" t="inlineStr">
        <is>
          <t>CAMUSAT</t>
        </is>
      </c>
      <c r="E1511" t="inlineStr">
        <is>
          <t>Good Grid no GE - 8h</t>
        </is>
      </c>
      <c r="F1511" t="inlineStr">
        <is>
          <t>LITTORAL</t>
        </is>
      </c>
      <c r="G1511" t="inlineStr">
        <is>
          <t>Douala</t>
        </is>
      </c>
      <c r="H1511" t="inlineStr">
        <is>
          <t>ZTE</t>
        </is>
      </c>
      <c r="I1511" t="n">
        <v>0</v>
      </c>
      <c r="J1511" t="n">
        <v>0</v>
      </c>
      <c r="K1511" t="n">
        <v>0</v>
      </c>
      <c r="L1511" t="n">
        <v>0</v>
      </c>
      <c r="M1511" t="n">
        <v>0</v>
      </c>
      <c r="N1511" t="n">
        <v>0</v>
      </c>
      <c r="O1511" t="n">
        <v>0</v>
      </c>
      <c r="P1511" t="n">
        <v>0</v>
      </c>
      <c r="Q1511" t="n">
        <v>0</v>
      </c>
      <c r="R1511" t="inlineStr">
        <is>
          <t>Operationnel</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row>
    <row r="1512">
      <c r="A1512" t="inlineStr">
        <is>
          <t>Bafang</t>
        </is>
      </c>
      <c r="B1512" t="inlineStr">
        <is>
          <t>OST_015</t>
        </is>
      </c>
      <c r="C1512" t="inlineStr">
        <is>
          <t>OUEST</t>
        </is>
      </c>
      <c r="D1512" t="inlineStr">
        <is>
          <t>IHS</t>
        </is>
      </c>
      <c r="E1512" t="inlineStr">
        <is>
          <t>Grid-Gen</t>
        </is>
      </c>
      <c r="F1512" t="inlineStr">
        <is>
          <t>OUEST</t>
        </is>
      </c>
      <c r="G1512" t="inlineStr">
        <is>
          <t>Bafang</t>
        </is>
      </c>
      <c r="H1512" t="inlineStr">
        <is>
          <t>Huawei</t>
        </is>
      </c>
      <c r="I1512" t="n">
        <v>0</v>
      </c>
      <c r="J1512" t="n">
        <v>0</v>
      </c>
      <c r="K1512" t="n">
        <v>0</v>
      </c>
      <c r="L1512" t="n">
        <v>0</v>
      </c>
      <c r="M1512" t="n">
        <v>0</v>
      </c>
      <c r="N1512" t="n">
        <v>0</v>
      </c>
      <c r="O1512" t="n">
        <v>0</v>
      </c>
      <c r="P1512" t="n">
        <v>0</v>
      </c>
      <c r="Q1512" t="n">
        <v>0</v>
      </c>
      <c r="R1512" t="inlineStr">
        <is>
          <t>Operationnel</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row>
    <row r="1513">
      <c r="A1513" t="inlineStr">
        <is>
          <t>Evidence-building-IHS</t>
        </is>
      </c>
      <c r="B1513" t="inlineStr">
        <is>
          <t>NRO_123</t>
        </is>
      </c>
      <c r="C1513" t="inlineStr">
        <is>
          <t>NORD-OUEST</t>
        </is>
      </c>
      <c r="D1513" t="inlineStr">
        <is>
          <t>IHS</t>
        </is>
      </c>
      <c r="E1513" t="inlineStr">
        <is>
          <t>Grid-Gen</t>
        </is>
      </c>
      <c r="F1513" t="inlineStr">
        <is>
          <t>NORD-OUEST</t>
        </is>
      </c>
      <c r="G1513" t="inlineStr">
        <is>
          <t>Bamenda</t>
        </is>
      </c>
      <c r="H1513" t="inlineStr">
        <is>
          <t>Huawei</t>
        </is>
      </c>
      <c r="I1513" t="n">
        <v>0</v>
      </c>
      <c r="J1513" t="n">
        <v>0</v>
      </c>
      <c r="K1513" t="n">
        <v>0</v>
      </c>
      <c r="L1513" t="n">
        <v>0</v>
      </c>
      <c r="M1513" t="n">
        <v>0</v>
      </c>
      <c r="N1513" t="n">
        <v>0</v>
      </c>
      <c r="O1513" t="n">
        <v>0</v>
      </c>
      <c r="P1513" t="n">
        <v>0</v>
      </c>
      <c r="Q1513" t="n">
        <v>0</v>
      </c>
      <c r="R1513" t="inlineStr">
        <is>
          <t>Operationnel</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row>
    <row r="1514">
      <c r="A1514" t="inlineStr">
        <is>
          <t>Bitotol-Ecole-Publique</t>
        </is>
      </c>
      <c r="B1514" t="inlineStr">
        <is>
          <t>CTR_794</t>
        </is>
      </c>
      <c r="C1514" t="inlineStr">
        <is>
          <t>Yaounde</t>
        </is>
      </c>
      <c r="D1514" t="inlineStr">
        <is>
          <t xml:space="preserve">ESCO </t>
        </is>
      </c>
      <c r="E1514" t="inlineStr">
        <is>
          <t>Good Grid no GE 8H</t>
        </is>
      </c>
      <c r="F1514" t="inlineStr">
        <is>
          <t>CENTRE</t>
        </is>
      </c>
      <c r="G1514" t="inlineStr">
        <is>
          <t>Yaounde</t>
        </is>
      </c>
      <c r="H1514" t="inlineStr">
        <is>
          <t>ZTE</t>
        </is>
      </c>
      <c r="I1514" t="n">
        <v>0</v>
      </c>
      <c r="J1514" t="n">
        <v>0</v>
      </c>
      <c r="K1514" t="n">
        <v>0</v>
      </c>
      <c r="L1514" t="n">
        <v>0</v>
      </c>
      <c r="M1514" t="n">
        <v>0</v>
      </c>
      <c r="N1514" t="n">
        <v>0</v>
      </c>
      <c r="O1514" t="n">
        <v>0</v>
      </c>
      <c r="P1514" t="n">
        <v>0</v>
      </c>
      <c r="Q1514" t="n">
        <v>0</v>
      </c>
      <c r="R1514" t="inlineStr">
        <is>
          <t>Operationnel</t>
        </is>
      </c>
      <c r="S1514" t="inlineStr"/>
      <c r="T1514" t="inlineStr"/>
      <c r="U1514" t="inlineStr"/>
      <c r="V1514" t="inlineStr"/>
      <c r="W1514" t="inlineStr"/>
      <c r="X1514" t="inlineStr">
        <is>
          <t>{05-25-2026 retour CAMUSAT}: No power issue      ;    {05-25-2026 retour IHS}: IHS</t>
        </is>
      </c>
      <c r="Y1514" t="inlineStr">
        <is>
          <t>No power issue IHS</t>
        </is>
      </c>
      <c r="Z1514" t="inlineStr"/>
      <c r="AA1514" t="inlineStr"/>
      <c r="AB1514" t="inlineStr"/>
      <c r="AC1514" t="inlineStr">
        <is>
          <t xml:space="preserve">{05-25-2026 retour CAMUSAT}: No power issue </t>
        </is>
      </c>
      <c r="AD1514" t="inlineStr">
        <is>
          <t>{05-25-2026 retour IHS}: IHS</t>
        </is>
      </c>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row>
    <row r="1515">
      <c r="A1515" t="inlineStr">
        <is>
          <t>Montee-Jouvence-II-IHS</t>
        </is>
      </c>
      <c r="B1515" t="inlineStr">
        <is>
          <t>CTR_154</t>
        </is>
      </c>
      <c r="C1515" t="inlineStr">
        <is>
          <t>Yaounde</t>
        </is>
      </c>
      <c r="D1515" t="inlineStr">
        <is>
          <t>IHS</t>
        </is>
      </c>
      <c r="E1515" t="inlineStr">
        <is>
          <t>Grid-Gen</t>
        </is>
      </c>
      <c r="F1515" t="inlineStr">
        <is>
          <t>CENTRE</t>
        </is>
      </c>
      <c r="G1515" t="inlineStr">
        <is>
          <t>Yaounde</t>
        </is>
      </c>
      <c r="H1515" t="inlineStr">
        <is>
          <t>ZTE</t>
        </is>
      </c>
      <c r="I1515" t="n">
        <v>0</v>
      </c>
      <c r="J1515" t="n">
        <v>0</v>
      </c>
      <c r="K1515" t="n">
        <v>0</v>
      </c>
      <c r="L1515" t="n">
        <v>0</v>
      </c>
      <c r="M1515" t="n">
        <v>0</v>
      </c>
      <c r="N1515" t="n">
        <v>0</v>
      </c>
      <c r="O1515" t="n">
        <v>0</v>
      </c>
      <c r="P1515" t="n">
        <v>0</v>
      </c>
      <c r="Q1515" t="n">
        <v>0</v>
      </c>
      <c r="R1515" t="inlineStr">
        <is>
          <t>Operationnel</t>
        </is>
      </c>
      <c r="S1515" t="inlineStr"/>
      <c r="T1515" t="inlineStr"/>
      <c r="U1515" t="inlineStr"/>
      <c r="V1515" t="inlineStr"/>
      <c r="W1515" t="inlineStr"/>
      <c r="X1515" t="inlineStr">
        <is>
          <t>{05-25-2026 retour IHS}: IHS</t>
        </is>
      </c>
      <c r="Y1515" t="inlineStr">
        <is>
          <t>IHS</t>
        </is>
      </c>
      <c r="Z1515" t="inlineStr"/>
      <c r="AA1515" t="inlineStr"/>
      <c r="AB1515" t="inlineStr"/>
      <c r="AC1515" t="inlineStr"/>
      <c r="AD1515" t="inlineStr">
        <is>
          <t>{05-25-2026 retour IHS}: IHS</t>
        </is>
      </c>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row>
    <row r="1516">
      <c r="A1516" t="inlineStr">
        <is>
          <t>Bonamoussongo-IHS</t>
        </is>
      </c>
      <c r="B1516" t="inlineStr">
        <is>
          <t>LIT_154</t>
        </is>
      </c>
      <c r="C1516" t="inlineStr">
        <is>
          <t>Douala</t>
        </is>
      </c>
      <c r="D1516" t="inlineStr">
        <is>
          <t>IHS</t>
        </is>
      </c>
      <c r="E1516" t="inlineStr">
        <is>
          <t>Grid-Gen</t>
        </is>
      </c>
      <c r="F1516" t="inlineStr">
        <is>
          <t>LITTORAL</t>
        </is>
      </c>
      <c r="G1516" t="inlineStr">
        <is>
          <t>Douala</t>
        </is>
      </c>
      <c r="H1516" t="inlineStr">
        <is>
          <t>ZTE</t>
        </is>
      </c>
      <c r="I1516" t="n">
        <v>0</v>
      </c>
      <c r="J1516" t="n">
        <v>0</v>
      </c>
      <c r="K1516" t="n">
        <v>0</v>
      </c>
      <c r="L1516" t="n">
        <v>0</v>
      </c>
      <c r="M1516" t="n">
        <v>0</v>
      </c>
      <c r="N1516" t="n">
        <v>0</v>
      </c>
      <c r="O1516" t="n">
        <v>0</v>
      </c>
      <c r="P1516" t="n">
        <v>0</v>
      </c>
      <c r="Q1516" t="n">
        <v>0</v>
      </c>
      <c r="R1516" t="inlineStr">
        <is>
          <t>Operationnel</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row>
    <row r="1517">
      <c r="A1517" t="inlineStr">
        <is>
          <t>Nkong-CRTV-II</t>
        </is>
      </c>
      <c r="B1517" t="inlineStr">
        <is>
          <t>LIT_558</t>
        </is>
      </c>
      <c r="C1517" t="inlineStr">
        <is>
          <t>LITTORAL</t>
        </is>
      </c>
      <c r="D1517" t="inlineStr">
        <is>
          <t>IHS</t>
        </is>
      </c>
      <c r="E1517" t="inlineStr">
        <is>
          <t>Grid-Gen</t>
        </is>
      </c>
      <c r="F1517" t="inlineStr">
        <is>
          <t>LITTORAL</t>
        </is>
      </c>
      <c r="G1517" t="inlineStr">
        <is>
          <t>Nkongsamba</t>
        </is>
      </c>
      <c r="H1517" t="inlineStr">
        <is>
          <t>ZTE</t>
        </is>
      </c>
      <c r="I1517" t="n">
        <v>0</v>
      </c>
      <c r="J1517" t="n">
        <v>0</v>
      </c>
      <c r="K1517" t="n">
        <v>0</v>
      </c>
      <c r="L1517" t="n">
        <v>0</v>
      </c>
      <c r="M1517" t="n">
        <v>0</v>
      </c>
      <c r="N1517" t="n">
        <v>0</v>
      </c>
      <c r="O1517" t="n">
        <v>0</v>
      </c>
      <c r="P1517" t="n">
        <v>0</v>
      </c>
      <c r="Q1517" t="n">
        <v>0</v>
      </c>
      <c r="R1517" t="inlineStr">
        <is>
          <t>Operationnel</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row>
    <row r="1518">
      <c r="A1518" t="inlineStr">
        <is>
          <t>Cellucam-New</t>
        </is>
      </c>
      <c r="B1518" t="inlineStr">
        <is>
          <t>LIT_209</t>
        </is>
      </c>
      <c r="C1518" t="inlineStr">
        <is>
          <t>LITTORAL</t>
        </is>
      </c>
      <c r="D1518" t="inlineStr">
        <is>
          <t>CAMUSAT</t>
        </is>
      </c>
      <c r="E1518" t="inlineStr">
        <is>
          <t>Grid-Gen</t>
        </is>
      </c>
      <c r="F1518" t="inlineStr">
        <is>
          <t>LITTORAL</t>
        </is>
      </c>
      <c r="G1518" t="inlineStr">
        <is>
          <t>Edea</t>
        </is>
      </c>
      <c r="H1518" t="inlineStr">
        <is>
          <t>ZTE</t>
        </is>
      </c>
      <c r="I1518" t="n">
        <v>0</v>
      </c>
      <c r="J1518" t="n">
        <v>0</v>
      </c>
      <c r="K1518" t="n">
        <v>0</v>
      </c>
      <c r="L1518" t="n">
        <v>0</v>
      </c>
      <c r="M1518" t="n">
        <v>0</v>
      </c>
      <c r="N1518" t="n">
        <v>0</v>
      </c>
      <c r="O1518" t="n">
        <v>0</v>
      </c>
      <c r="P1518" t="n">
        <v>0</v>
      </c>
      <c r="Q1518" t="n">
        <v>0</v>
      </c>
      <c r="R1518" t="inlineStr">
        <is>
          <t>Operationnel</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row>
    <row r="1519">
      <c r="A1519" t="inlineStr">
        <is>
          <t>Edea-Beon</t>
        </is>
      </c>
      <c r="B1519" t="inlineStr">
        <is>
          <t>LIT_186</t>
        </is>
      </c>
      <c r="C1519" t="inlineStr">
        <is>
          <t>LITTORAL</t>
        </is>
      </c>
      <c r="D1519" t="inlineStr">
        <is>
          <t>IHS</t>
        </is>
      </c>
      <c r="E1519" t="inlineStr">
        <is>
          <t>Grid-Gen</t>
        </is>
      </c>
      <c r="F1519" t="inlineStr">
        <is>
          <t>LITTORAL</t>
        </is>
      </c>
      <c r="G1519" t="inlineStr">
        <is>
          <t>Edea</t>
        </is>
      </c>
      <c r="H1519" t="inlineStr">
        <is>
          <t>ZTE</t>
        </is>
      </c>
      <c r="I1519" t="n">
        <v>0</v>
      </c>
      <c r="J1519" t="n">
        <v>0</v>
      </c>
      <c r="K1519" t="n">
        <v>0</v>
      </c>
      <c r="L1519" t="n">
        <v>0</v>
      </c>
      <c r="M1519" t="n">
        <v>0</v>
      </c>
      <c r="N1519" t="n">
        <v>0</v>
      </c>
      <c r="O1519" t="n">
        <v>0</v>
      </c>
      <c r="P1519" t="n">
        <v>0</v>
      </c>
      <c r="Q1519" t="n">
        <v>0</v>
      </c>
      <c r="R1519" t="inlineStr">
        <is>
          <t>Operationnel</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row>
    <row r="1520">
      <c r="A1520" t="inlineStr">
        <is>
          <t>Scalom-EHS-IHS</t>
        </is>
      </c>
      <c r="B1520" t="inlineStr">
        <is>
          <t>CTR_155</t>
        </is>
      </c>
      <c r="C1520" t="inlineStr">
        <is>
          <t>Yaounde</t>
        </is>
      </c>
      <c r="D1520" t="inlineStr">
        <is>
          <t>IHS</t>
        </is>
      </c>
      <c r="E1520" t="inlineStr">
        <is>
          <t>Grid-Lithium</t>
        </is>
      </c>
      <c r="F1520" t="inlineStr">
        <is>
          <t>CENTRE</t>
        </is>
      </c>
      <c r="G1520" t="inlineStr">
        <is>
          <t>Yaounde</t>
        </is>
      </c>
      <c r="H1520" t="inlineStr">
        <is>
          <t>ZTE</t>
        </is>
      </c>
      <c r="I1520" t="n">
        <v>0</v>
      </c>
      <c r="J1520" t="n">
        <v>0</v>
      </c>
      <c r="K1520" t="n">
        <v>0</v>
      </c>
      <c r="L1520" t="n">
        <v>0</v>
      </c>
      <c r="M1520" t="n">
        <v>0</v>
      </c>
      <c r="N1520" t="n">
        <v>0</v>
      </c>
      <c r="O1520" t="n">
        <v>0</v>
      </c>
      <c r="P1520" t="n">
        <v>0</v>
      </c>
      <c r="Q1520" t="n">
        <v>0</v>
      </c>
      <c r="R1520" t="inlineStr">
        <is>
          <t>Operationnel</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row>
    <row r="1521">
      <c r="A1521" t="inlineStr">
        <is>
          <t>EXN_368_H_Maroua-Walya-Mosquee</t>
        </is>
      </c>
      <c r="B1521" t="inlineStr">
        <is>
          <t>EXN_368</t>
        </is>
      </c>
      <c r="C1521" t="inlineStr"/>
      <c r="D1521" t="inlineStr">
        <is>
          <t>ESCO</t>
        </is>
      </c>
      <c r="E1521" t="inlineStr">
        <is>
          <t>Hybrid Solar - S1</t>
        </is>
      </c>
      <c r="F1521" t="inlineStr">
        <is>
          <t>EXN</t>
        </is>
      </c>
      <c r="G1521" t="inlineStr">
        <is>
          <t>Maroua</t>
        </is>
      </c>
      <c r="H1521" t="inlineStr">
        <is>
          <t>Huawei</t>
        </is>
      </c>
      <c r="I1521" t="n">
        <v>0</v>
      </c>
      <c r="J1521" t="n">
        <v>0</v>
      </c>
      <c r="K1521" t="n">
        <v>0</v>
      </c>
      <c r="L1521" t="n">
        <v>0</v>
      </c>
      <c r="M1521" t="n">
        <v>0</v>
      </c>
      <c r="N1521" t="n">
        <v>0</v>
      </c>
      <c r="O1521" t="n">
        <v>0</v>
      </c>
      <c r="P1521" t="n">
        <v>0</v>
      </c>
      <c r="Q1521" t="n">
        <v>0</v>
      </c>
      <c r="R1521" t="inlineStr">
        <is>
          <t>Operationnel</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row>
    <row r="1522">
      <c r="A1522" t="inlineStr">
        <is>
          <t>Tongolo</t>
        </is>
      </c>
      <c r="B1522" t="inlineStr">
        <is>
          <t>CTR_390</t>
        </is>
      </c>
      <c r="C1522" t="inlineStr">
        <is>
          <t>Yaounde</t>
        </is>
      </c>
      <c r="D1522" t="inlineStr">
        <is>
          <t>IHS</t>
        </is>
      </c>
      <c r="E1522" t="inlineStr">
        <is>
          <t>Grid-Gen</t>
        </is>
      </c>
      <c r="F1522" t="inlineStr">
        <is>
          <t>CENTRE</t>
        </is>
      </c>
      <c r="G1522" t="inlineStr">
        <is>
          <t>Yaounde</t>
        </is>
      </c>
      <c r="H1522" t="inlineStr">
        <is>
          <t>ZTE</t>
        </is>
      </c>
      <c r="I1522" t="n">
        <v>0</v>
      </c>
      <c r="J1522" t="n">
        <v>0</v>
      </c>
      <c r="K1522" t="n">
        <v>0</v>
      </c>
      <c r="L1522" t="n">
        <v>0</v>
      </c>
      <c r="M1522" t="n">
        <v>0</v>
      </c>
      <c r="N1522" t="n">
        <v>0</v>
      </c>
      <c r="O1522" t="n">
        <v>0</v>
      </c>
      <c r="P1522" t="n">
        <v>0</v>
      </c>
      <c r="Q1522" t="n">
        <v>0</v>
      </c>
      <c r="R1522" t="inlineStr">
        <is>
          <t>Operationnel</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row>
    <row r="1523">
      <c r="A1523" t="inlineStr">
        <is>
          <t>Logbessou-OCM</t>
        </is>
      </c>
      <c r="B1523" t="inlineStr">
        <is>
          <t>LIT_680</t>
        </is>
      </c>
      <c r="C1523" t="inlineStr">
        <is>
          <t>Douala</t>
        </is>
      </c>
      <c r="D1523" t="inlineStr">
        <is>
          <t>CAMUSAT</t>
        </is>
      </c>
      <c r="E1523" t="inlineStr">
        <is>
          <t>Good Grid + GE</t>
        </is>
      </c>
      <c r="F1523" t="inlineStr">
        <is>
          <t>LITTORAL</t>
        </is>
      </c>
      <c r="G1523" t="inlineStr">
        <is>
          <t>Douala</t>
        </is>
      </c>
      <c r="H1523" t="inlineStr">
        <is>
          <t>ZTE</t>
        </is>
      </c>
      <c r="I1523" t="n">
        <v>0</v>
      </c>
      <c r="J1523" t="n">
        <v>0</v>
      </c>
      <c r="K1523" t="n">
        <v>0</v>
      </c>
      <c r="L1523" t="n">
        <v>0</v>
      </c>
      <c r="M1523" t="n">
        <v>0</v>
      </c>
      <c r="N1523" t="n">
        <v>0</v>
      </c>
      <c r="O1523" t="n">
        <v>0</v>
      </c>
      <c r="P1523" t="n">
        <v>0</v>
      </c>
      <c r="Q1523" t="n">
        <v>0</v>
      </c>
      <c r="R1523" t="inlineStr">
        <is>
          <t>Operationnel</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row>
    <row r="1524">
      <c r="A1524" t="inlineStr">
        <is>
          <t>Logbessou-Sunshine-City</t>
        </is>
      </c>
      <c r="B1524" t="inlineStr">
        <is>
          <t>LIT_638</t>
        </is>
      </c>
      <c r="C1524" t="inlineStr">
        <is>
          <t>Douala</t>
        </is>
      </c>
      <c r="D1524" t="inlineStr">
        <is>
          <t>CAMUSAT</t>
        </is>
      </c>
      <c r="E1524" t="inlineStr">
        <is>
          <t>Good Grid + GE</t>
        </is>
      </c>
      <c r="F1524" t="inlineStr">
        <is>
          <t>LITTORAL</t>
        </is>
      </c>
      <c r="G1524" t="inlineStr">
        <is>
          <t>Douala</t>
        </is>
      </c>
      <c r="H1524" t="inlineStr">
        <is>
          <t>ZTE</t>
        </is>
      </c>
      <c r="I1524" t="n">
        <v>0</v>
      </c>
      <c r="J1524" t="n">
        <v>0</v>
      </c>
      <c r="K1524" t="n">
        <v>0</v>
      </c>
      <c r="L1524" t="n">
        <v>0</v>
      </c>
      <c r="M1524" t="n">
        <v>0</v>
      </c>
      <c r="N1524" t="n">
        <v>0</v>
      </c>
      <c r="O1524" t="n">
        <v>0</v>
      </c>
      <c r="P1524" t="n">
        <v>0</v>
      </c>
      <c r="Q1524" t="n">
        <v>0</v>
      </c>
      <c r="R1524" t="inlineStr">
        <is>
          <t>Operationnel</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row>
    <row r="1525">
      <c r="A1525" t="inlineStr">
        <is>
          <t>Ngd-La-Gare</t>
        </is>
      </c>
      <c r="B1525" t="inlineStr">
        <is>
          <t>ADM_002</t>
        </is>
      </c>
      <c r="C1525" t="inlineStr">
        <is>
          <t>Ngaoundere</t>
        </is>
      </c>
      <c r="D1525" t="inlineStr">
        <is>
          <t>OCM/Strategique</t>
        </is>
      </c>
      <c r="E1525" t="inlineStr"/>
      <c r="F1525" t="inlineStr">
        <is>
          <t>ADAMAOUA</t>
        </is>
      </c>
      <c r="G1525" t="inlineStr">
        <is>
          <t>Ngaoundere</t>
        </is>
      </c>
      <c r="H1525" t="inlineStr">
        <is>
          <t>Huawei</t>
        </is>
      </c>
      <c r="I1525" t="n">
        <v>0</v>
      </c>
      <c r="J1525" t="n">
        <v>0</v>
      </c>
      <c r="K1525" t="n">
        <v>0</v>
      </c>
      <c r="L1525" t="n">
        <v>0</v>
      </c>
      <c r="M1525" t="n">
        <v>0</v>
      </c>
      <c r="N1525" t="n">
        <v>0</v>
      </c>
      <c r="O1525" t="n">
        <v>0</v>
      </c>
      <c r="P1525" t="n">
        <v>0</v>
      </c>
      <c r="Q1525" t="n">
        <v>0</v>
      </c>
      <c r="R1525" t="inlineStr">
        <is>
          <t>Operationnel</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row>
    <row r="1526">
      <c r="A1526" t="inlineStr">
        <is>
          <t>Bondjo-Hill-IHS</t>
        </is>
      </c>
      <c r="B1526" t="inlineStr">
        <is>
          <t>SUO_167</t>
        </is>
      </c>
      <c r="C1526" t="inlineStr">
        <is>
          <t>SUD-OUEST</t>
        </is>
      </c>
      <c r="D1526" t="inlineStr">
        <is>
          <t>IHS</t>
        </is>
      </c>
      <c r="E1526" t="inlineStr">
        <is>
          <t>Grid-Gen</t>
        </is>
      </c>
      <c r="F1526" t="inlineStr">
        <is>
          <t>SUD-OUEST</t>
        </is>
      </c>
      <c r="G1526" t="inlineStr">
        <is>
          <t>Limbe</t>
        </is>
      </c>
      <c r="H1526" t="inlineStr">
        <is>
          <t>Huawei</t>
        </is>
      </c>
      <c r="I1526" t="n">
        <v>0</v>
      </c>
      <c r="J1526" t="n">
        <v>0</v>
      </c>
      <c r="K1526" t="n">
        <v>0</v>
      </c>
      <c r="L1526" t="n">
        <v>0</v>
      </c>
      <c r="M1526" t="n">
        <v>0</v>
      </c>
      <c r="N1526" t="n">
        <v>0</v>
      </c>
      <c r="O1526" t="n">
        <v>0</v>
      </c>
      <c r="P1526" t="n">
        <v>0</v>
      </c>
      <c r="Q1526" t="n">
        <v>0</v>
      </c>
      <c r="R1526" t="inlineStr">
        <is>
          <t>Operationnel</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row>
    <row r="1527">
      <c r="A1527" t="inlineStr">
        <is>
          <t>Garoua-Plage</t>
        </is>
      </c>
      <c r="B1527" t="inlineStr">
        <is>
          <t>NRD_053</t>
        </is>
      </c>
      <c r="C1527" t="inlineStr">
        <is>
          <t>Garoua</t>
        </is>
      </c>
      <c r="D1527" t="inlineStr">
        <is>
          <t>IHS</t>
        </is>
      </c>
      <c r="E1527" t="inlineStr">
        <is>
          <t>Grid-Gen</t>
        </is>
      </c>
      <c r="F1527" t="inlineStr">
        <is>
          <t>NORD</t>
        </is>
      </c>
      <c r="G1527" t="inlineStr">
        <is>
          <t>Garoua</t>
        </is>
      </c>
      <c r="H1527" t="inlineStr">
        <is>
          <t>Huawei</t>
        </is>
      </c>
      <c r="I1527" t="n">
        <v>0</v>
      </c>
      <c r="J1527" t="n">
        <v>0</v>
      </c>
      <c r="K1527" t="n">
        <v>0</v>
      </c>
      <c r="L1527" t="n">
        <v>0</v>
      </c>
      <c r="M1527" t="n">
        <v>0</v>
      </c>
      <c r="N1527" t="n">
        <v>0</v>
      </c>
      <c r="O1527" t="n">
        <v>0</v>
      </c>
      <c r="P1527" t="n">
        <v>0</v>
      </c>
      <c r="Q1527" t="n">
        <v>0</v>
      </c>
      <c r="R1527" t="inlineStr">
        <is>
          <t>Operationnel</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row>
    <row r="1528">
      <c r="A1528" t="inlineStr">
        <is>
          <t>Nkong-8Bis-MTN</t>
        </is>
      </c>
      <c r="B1528" t="inlineStr">
        <is>
          <t>LIT_288</t>
        </is>
      </c>
      <c r="C1528" t="inlineStr">
        <is>
          <t>LITTORAL</t>
        </is>
      </c>
      <c r="D1528" t="inlineStr">
        <is>
          <t>IHS</t>
        </is>
      </c>
      <c r="E1528" t="inlineStr">
        <is>
          <t>Grid-Gen</t>
        </is>
      </c>
      <c r="F1528" t="inlineStr">
        <is>
          <t>LITTORAL</t>
        </is>
      </c>
      <c r="G1528" t="inlineStr">
        <is>
          <t>Nkongsamba</t>
        </is>
      </c>
      <c r="H1528" t="inlineStr">
        <is>
          <t>ZTE</t>
        </is>
      </c>
      <c r="I1528" t="n">
        <v>0</v>
      </c>
      <c r="J1528" t="n">
        <v>0</v>
      </c>
      <c r="K1528" t="n">
        <v>0</v>
      </c>
      <c r="L1528" t="n">
        <v>0</v>
      </c>
      <c r="M1528" t="n">
        <v>0</v>
      </c>
      <c r="N1528" t="n">
        <v>0</v>
      </c>
      <c r="O1528" t="n">
        <v>0</v>
      </c>
      <c r="P1528" t="n">
        <v>0</v>
      </c>
      <c r="Q1528" t="n">
        <v>0</v>
      </c>
      <c r="R1528" t="inlineStr">
        <is>
          <t>Operationnel</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row>
    <row r="1529">
      <c r="A1529" t="inlineStr">
        <is>
          <t>Emombo</t>
        </is>
      </c>
      <c r="B1529" t="inlineStr">
        <is>
          <t>CTR_212</t>
        </is>
      </c>
      <c r="C1529" t="inlineStr">
        <is>
          <t>Yaounde</t>
        </is>
      </c>
      <c r="D1529" t="inlineStr">
        <is>
          <t>IHS</t>
        </is>
      </c>
      <c r="E1529" t="inlineStr">
        <is>
          <t>Grid-Gen</t>
        </is>
      </c>
      <c r="F1529" t="inlineStr">
        <is>
          <t>CENTRE</t>
        </is>
      </c>
      <c r="G1529" t="inlineStr">
        <is>
          <t>Yaounde</t>
        </is>
      </c>
      <c r="H1529" t="inlineStr">
        <is>
          <t>ZTE</t>
        </is>
      </c>
      <c r="I1529" t="n">
        <v>0</v>
      </c>
      <c r="J1529" t="n">
        <v>0</v>
      </c>
      <c r="K1529" t="n">
        <v>0</v>
      </c>
      <c r="L1529" t="n">
        <v>0</v>
      </c>
      <c r="M1529" t="n">
        <v>0</v>
      </c>
      <c r="N1529" t="n">
        <v>0</v>
      </c>
      <c r="O1529" t="n">
        <v>0</v>
      </c>
      <c r="P1529" t="n">
        <v>0</v>
      </c>
      <c r="Q1529" t="n">
        <v>0</v>
      </c>
      <c r="R1529" t="inlineStr">
        <is>
          <t>Operationnel</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row>
    <row r="1530">
      <c r="A1530" t="inlineStr">
        <is>
          <t>Limbe-Ngueme</t>
        </is>
      </c>
      <c r="B1530" t="inlineStr">
        <is>
          <t>SUO_235</t>
        </is>
      </c>
      <c r="C1530" t="inlineStr">
        <is>
          <t>SUD-OUEST</t>
        </is>
      </c>
      <c r="D1530" t="inlineStr">
        <is>
          <t>CAMUSAT</t>
        </is>
      </c>
      <c r="E1530" t="inlineStr">
        <is>
          <t>Medium Grid + GE</t>
        </is>
      </c>
      <c r="F1530" t="inlineStr">
        <is>
          <t>SUD-OUEST</t>
        </is>
      </c>
      <c r="G1530" t="inlineStr">
        <is>
          <t>Limbe</t>
        </is>
      </c>
      <c r="H1530" t="inlineStr">
        <is>
          <t>Huawei</t>
        </is>
      </c>
      <c r="I1530" t="n">
        <v>0</v>
      </c>
      <c r="J1530" t="n">
        <v>0</v>
      </c>
      <c r="K1530" t="n">
        <v>0</v>
      </c>
      <c r="L1530" t="n">
        <v>0</v>
      </c>
      <c r="M1530" t="n">
        <v>0</v>
      </c>
      <c r="N1530" t="n">
        <v>0</v>
      </c>
      <c r="O1530" t="n">
        <v>0</v>
      </c>
      <c r="P1530" t="n">
        <v>0</v>
      </c>
      <c r="Q1530" t="n">
        <v>0</v>
      </c>
      <c r="R1530" t="inlineStr">
        <is>
          <t>Operationnel</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row>
    <row r="1531">
      <c r="A1531" t="inlineStr">
        <is>
          <t>Limbe-Fini-Hotel</t>
        </is>
      </c>
      <c r="B1531" t="inlineStr">
        <is>
          <t>SUO_078</t>
        </is>
      </c>
      <c r="C1531" t="inlineStr">
        <is>
          <t>SUD-OUEST</t>
        </is>
      </c>
      <c r="D1531" t="inlineStr">
        <is>
          <t>IHS</t>
        </is>
      </c>
      <c r="E1531" t="inlineStr">
        <is>
          <t>Grid-Gen</t>
        </is>
      </c>
      <c r="F1531" t="inlineStr">
        <is>
          <t>SUD-OUEST</t>
        </is>
      </c>
      <c r="G1531" t="inlineStr">
        <is>
          <t>Limbe</t>
        </is>
      </c>
      <c r="H1531" t="inlineStr">
        <is>
          <t>Huawei</t>
        </is>
      </c>
      <c r="I1531" t="n">
        <v>0</v>
      </c>
      <c r="J1531" t="n">
        <v>0</v>
      </c>
      <c r="K1531" t="n">
        <v>0</v>
      </c>
      <c r="L1531" t="n">
        <v>0</v>
      </c>
      <c r="M1531" t="n">
        <v>0</v>
      </c>
      <c r="N1531" t="n">
        <v>0</v>
      </c>
      <c r="O1531" t="n">
        <v>0</v>
      </c>
      <c r="P1531" t="n">
        <v>0</v>
      </c>
      <c r="Q1531" t="n">
        <v>0</v>
      </c>
      <c r="R1531" t="inlineStr">
        <is>
          <t>Operationnel</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row>
    <row r="1532">
      <c r="A1532" t="inlineStr">
        <is>
          <t>Limbe-Down-Beach-II</t>
        </is>
      </c>
      <c r="B1532" t="inlineStr">
        <is>
          <t>SUO_050</t>
        </is>
      </c>
      <c r="C1532" t="inlineStr">
        <is>
          <t>SUD-OUEST</t>
        </is>
      </c>
      <c r="D1532" t="inlineStr">
        <is>
          <t>IHS</t>
        </is>
      </c>
      <c r="E1532" t="inlineStr">
        <is>
          <t>GridOnly</t>
        </is>
      </c>
      <c r="F1532" t="inlineStr">
        <is>
          <t>SUD-OUEST</t>
        </is>
      </c>
      <c r="G1532" t="inlineStr">
        <is>
          <t>Limbe</t>
        </is>
      </c>
      <c r="H1532" t="inlineStr">
        <is>
          <t>Huawei</t>
        </is>
      </c>
      <c r="I1532" t="n">
        <v>0</v>
      </c>
      <c r="J1532" t="n">
        <v>0</v>
      </c>
      <c r="K1532" t="n">
        <v>0</v>
      </c>
      <c r="L1532" t="n">
        <v>0</v>
      </c>
      <c r="M1532" t="n">
        <v>0</v>
      </c>
      <c r="N1532" t="n">
        <v>0</v>
      </c>
      <c r="O1532" t="n">
        <v>0</v>
      </c>
      <c r="P1532" t="n">
        <v>0</v>
      </c>
      <c r="Q1532" t="n">
        <v>0</v>
      </c>
      <c r="R1532" t="inlineStr">
        <is>
          <t>Operationnel</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row>
    <row r="1533">
      <c r="A1533" t="inlineStr">
        <is>
          <t>Limbe-Bota-IHS</t>
        </is>
      </c>
      <c r="B1533" t="inlineStr">
        <is>
          <t>SUO_207</t>
        </is>
      </c>
      <c r="C1533" t="inlineStr">
        <is>
          <t>SUD-OUEST</t>
        </is>
      </c>
      <c r="D1533" t="inlineStr">
        <is>
          <t>IHS</t>
        </is>
      </c>
      <c r="E1533" t="inlineStr">
        <is>
          <t>Grid-Gen</t>
        </is>
      </c>
      <c r="F1533" t="inlineStr">
        <is>
          <t>SUD-OUEST</t>
        </is>
      </c>
      <c r="G1533" t="inlineStr">
        <is>
          <t>Limbe</t>
        </is>
      </c>
      <c r="H1533" t="inlineStr">
        <is>
          <t>Huawei</t>
        </is>
      </c>
      <c r="I1533" t="n">
        <v>0</v>
      </c>
      <c r="J1533" t="n">
        <v>0</v>
      </c>
      <c r="K1533" t="n">
        <v>0</v>
      </c>
      <c r="L1533" t="n">
        <v>0</v>
      </c>
      <c r="M1533" t="n">
        <v>0</v>
      </c>
      <c r="N1533" t="n">
        <v>0</v>
      </c>
      <c r="O1533" t="n">
        <v>0</v>
      </c>
      <c r="P1533" t="n">
        <v>0</v>
      </c>
      <c r="Q1533" t="n">
        <v>0</v>
      </c>
      <c r="R1533" t="inlineStr">
        <is>
          <t>Operationnel</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row>
    <row r="1534">
      <c r="A1534" t="inlineStr">
        <is>
          <t>Limbe-Kie</t>
        </is>
      </c>
      <c r="B1534" t="inlineStr">
        <is>
          <t>SUO_002</t>
        </is>
      </c>
      <c r="C1534" t="inlineStr">
        <is>
          <t>SUD-OUEST</t>
        </is>
      </c>
      <c r="D1534" t="inlineStr">
        <is>
          <t>IHS</t>
        </is>
      </c>
      <c r="E1534" t="inlineStr">
        <is>
          <t>Grid-Gen</t>
        </is>
      </c>
      <c r="F1534" t="inlineStr">
        <is>
          <t>SUD-OUEST</t>
        </is>
      </c>
      <c r="G1534" t="inlineStr">
        <is>
          <t>Limbe</t>
        </is>
      </c>
      <c r="H1534" t="inlineStr">
        <is>
          <t>Huawei</t>
        </is>
      </c>
      <c r="I1534" t="n">
        <v>0</v>
      </c>
      <c r="J1534" t="n">
        <v>0</v>
      </c>
      <c r="K1534" t="n">
        <v>0</v>
      </c>
      <c r="L1534" t="n">
        <v>0</v>
      </c>
      <c r="M1534" t="n">
        <v>0</v>
      </c>
      <c r="N1534" t="n">
        <v>0</v>
      </c>
      <c r="O1534" t="n">
        <v>0</v>
      </c>
      <c r="P1534" t="n">
        <v>0</v>
      </c>
      <c r="Q1534" t="n">
        <v>0</v>
      </c>
      <c r="R1534" t="inlineStr">
        <is>
          <t>Operationnel</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row>
    <row r="1535">
      <c r="A1535" t="inlineStr">
        <is>
          <t>Limbe-UQ</t>
        </is>
      </c>
      <c r="B1535" t="inlineStr">
        <is>
          <t>SUO_003</t>
        </is>
      </c>
      <c r="C1535" t="inlineStr">
        <is>
          <t>SUD-OUEST</t>
        </is>
      </c>
      <c r="D1535" t="inlineStr">
        <is>
          <t>IHS</t>
        </is>
      </c>
      <c r="E1535" t="inlineStr">
        <is>
          <t>Grid-Gen</t>
        </is>
      </c>
      <c r="F1535" t="inlineStr">
        <is>
          <t>SUD-OUEST</t>
        </is>
      </c>
      <c r="G1535" t="inlineStr">
        <is>
          <t>Limbe</t>
        </is>
      </c>
      <c r="H1535" t="inlineStr">
        <is>
          <t>Huawei</t>
        </is>
      </c>
      <c r="I1535" t="n">
        <v>0</v>
      </c>
      <c r="J1535" t="n">
        <v>0</v>
      </c>
      <c r="K1535" t="n">
        <v>0</v>
      </c>
      <c r="L1535" t="n">
        <v>0</v>
      </c>
      <c r="M1535" t="n">
        <v>0</v>
      </c>
      <c r="N1535" t="n">
        <v>0</v>
      </c>
      <c r="O1535" t="n">
        <v>0</v>
      </c>
      <c r="P1535" t="n">
        <v>0</v>
      </c>
      <c r="Q1535" t="n">
        <v>0</v>
      </c>
      <c r="R1535" t="inlineStr">
        <is>
          <t>Operationnel</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row>
    <row r="1536">
      <c r="A1536" t="inlineStr">
        <is>
          <t>Meiganga-EELC-MTN-IHS</t>
        </is>
      </c>
      <c r="B1536" t="inlineStr">
        <is>
          <t>ADM_106</t>
        </is>
      </c>
      <c r="C1536" t="inlineStr">
        <is>
          <t>NGAOUNDERE</t>
        </is>
      </c>
      <c r="D1536" t="inlineStr">
        <is>
          <t>IHS</t>
        </is>
      </c>
      <c r="E1536" t="inlineStr">
        <is>
          <t>Grid-Gen</t>
        </is>
      </c>
      <c r="F1536" t="inlineStr">
        <is>
          <t>ADAMAOUA</t>
        </is>
      </c>
      <c r="G1536" t="inlineStr">
        <is>
          <t>Meiganga</t>
        </is>
      </c>
      <c r="H1536" t="inlineStr">
        <is>
          <t>Huawei</t>
        </is>
      </c>
      <c r="I1536" t="n">
        <v>0</v>
      </c>
      <c r="J1536" t="n">
        <v>0</v>
      </c>
      <c r="K1536" t="n">
        <v>0</v>
      </c>
      <c r="L1536" t="n">
        <v>0</v>
      </c>
      <c r="M1536" t="n">
        <v>0</v>
      </c>
      <c r="N1536" t="n">
        <v>0</v>
      </c>
      <c r="O1536" t="n">
        <v>0</v>
      </c>
      <c r="P1536" t="n">
        <v>0</v>
      </c>
      <c r="Q1536" t="n">
        <v>0</v>
      </c>
      <c r="R1536" t="inlineStr">
        <is>
          <t>Operationnel</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row>
    <row r="1537">
      <c r="A1537" t="inlineStr">
        <is>
          <t>Ngam</t>
        </is>
      </c>
      <c r="B1537" t="inlineStr">
        <is>
          <t>ADM_023</t>
        </is>
      </c>
      <c r="C1537" t="inlineStr">
        <is>
          <t>ADAMAOUA</t>
        </is>
      </c>
      <c r="D1537" t="inlineStr">
        <is>
          <t>IHS</t>
        </is>
      </c>
      <c r="E1537" t="inlineStr">
        <is>
          <t>Hybrid-Gen</t>
        </is>
      </c>
      <c r="F1537" t="inlineStr">
        <is>
          <t>ADAMAOUA</t>
        </is>
      </c>
      <c r="G1537" t="inlineStr">
        <is>
          <t>Ngam</t>
        </is>
      </c>
      <c r="H1537" t="inlineStr">
        <is>
          <t>NOKIA</t>
        </is>
      </c>
      <c r="I1537" t="n">
        <v>0</v>
      </c>
      <c r="J1537" t="n">
        <v>0</v>
      </c>
      <c r="K1537" t="n">
        <v>0</v>
      </c>
      <c r="L1537" t="n">
        <v>0</v>
      </c>
      <c r="M1537" t="n">
        <v>0</v>
      </c>
      <c r="N1537" t="n">
        <v>0</v>
      </c>
      <c r="O1537" t="n">
        <v>0</v>
      </c>
      <c r="P1537" t="n">
        <v>0</v>
      </c>
      <c r="Q1537" t="n">
        <v>0</v>
      </c>
      <c r="R1537" t="inlineStr">
        <is>
          <t>Operationnel</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row>
    <row r="1538">
      <c r="A1538" t="inlineStr">
        <is>
          <t>Meiganga-Markt-MTN-IHS</t>
        </is>
      </c>
      <c r="B1538" t="inlineStr">
        <is>
          <t>ADM_107</t>
        </is>
      </c>
      <c r="C1538" t="inlineStr">
        <is>
          <t>ADAMAOUA</t>
        </is>
      </c>
      <c r="D1538" t="inlineStr">
        <is>
          <t>IHS</t>
        </is>
      </c>
      <c r="E1538" t="inlineStr">
        <is>
          <t>Grid-Gen</t>
        </is>
      </c>
      <c r="F1538" t="inlineStr">
        <is>
          <t>ADAMAOUA</t>
        </is>
      </c>
      <c r="G1538" t="inlineStr">
        <is>
          <t>Meiganga</t>
        </is>
      </c>
      <c r="H1538" t="inlineStr">
        <is>
          <t>Huawei</t>
        </is>
      </c>
      <c r="I1538" t="n">
        <v>0</v>
      </c>
      <c r="J1538" t="n">
        <v>0</v>
      </c>
      <c r="K1538" t="n">
        <v>0</v>
      </c>
      <c r="L1538" t="n">
        <v>0</v>
      </c>
      <c r="M1538" t="n">
        <v>0</v>
      </c>
      <c r="N1538" t="n">
        <v>0</v>
      </c>
      <c r="O1538" t="n">
        <v>0</v>
      </c>
      <c r="P1538" t="n">
        <v>0</v>
      </c>
      <c r="Q1538" t="n">
        <v>0</v>
      </c>
      <c r="R1538" t="inlineStr">
        <is>
          <t>Operationnel</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row>
    <row r="1539">
      <c r="A1539" t="inlineStr">
        <is>
          <t>Douala-Grand-Mall-FZ</t>
        </is>
      </c>
      <c r="B1539" t="inlineStr">
        <is>
          <t>LIT_727</t>
        </is>
      </c>
      <c r="C1539" t="inlineStr">
        <is>
          <t>Douala</t>
        </is>
      </c>
      <c r="D1539" t="inlineStr"/>
      <c r="E1539" t="inlineStr"/>
      <c r="F1539" t="inlineStr">
        <is>
          <t>LITTORAL</t>
        </is>
      </c>
      <c r="G1539" t="inlineStr">
        <is>
          <t>Douala</t>
        </is>
      </c>
      <c r="H1539" t="inlineStr">
        <is>
          <t>ZTE</t>
        </is>
      </c>
      <c r="I1539" t="n">
        <v>0</v>
      </c>
      <c r="J1539" t="n">
        <v>0</v>
      </c>
      <c r="K1539" t="n">
        <v>0</v>
      </c>
      <c r="L1539" t="n">
        <v>0</v>
      </c>
      <c r="M1539" t="n">
        <v>0</v>
      </c>
      <c r="N1539" t="n">
        <v>0</v>
      </c>
      <c r="O1539" t="n">
        <v>0</v>
      </c>
      <c r="P1539" t="n">
        <v>0</v>
      </c>
      <c r="Q1539" t="n">
        <v>0</v>
      </c>
      <c r="R1539" t="inlineStr">
        <is>
          <t>Operationnel</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row>
    <row r="1540">
      <c r="A1540" t="inlineStr">
        <is>
          <t>EST_064_N_Garga-Salari-MTN</t>
        </is>
      </c>
      <c r="B1540" t="inlineStr">
        <is>
          <t>EST_064</t>
        </is>
      </c>
      <c r="C1540" t="inlineStr">
        <is>
          <t>CENTRE</t>
        </is>
      </c>
      <c r="D1540" t="inlineStr">
        <is>
          <t>IHS</t>
        </is>
      </c>
      <c r="E1540" t="inlineStr">
        <is>
          <t>Solar-Gen</t>
        </is>
      </c>
      <c r="F1540" t="inlineStr">
        <is>
          <t>EST</t>
        </is>
      </c>
      <c r="G1540" t="inlineStr">
        <is>
          <t>Garga-Salari</t>
        </is>
      </c>
      <c r="H1540" t="inlineStr">
        <is>
          <t>NOKIA</t>
        </is>
      </c>
      <c r="I1540" t="n">
        <v>0</v>
      </c>
      <c r="J1540" t="n">
        <v>0</v>
      </c>
      <c r="K1540" t="n">
        <v>0</v>
      </c>
      <c r="L1540" t="n">
        <v>0</v>
      </c>
      <c r="M1540" t="n">
        <v>0</v>
      </c>
      <c r="N1540" t="n">
        <v>0</v>
      </c>
      <c r="O1540" t="n">
        <v>0</v>
      </c>
      <c r="P1540" t="n">
        <v>0</v>
      </c>
      <c r="Q1540" t="n">
        <v>0</v>
      </c>
      <c r="R1540" t="inlineStr">
        <is>
          <t>Operationnel</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row>
    <row r="1541">
      <c r="A1541" t="inlineStr">
        <is>
          <t>Meidougou-MTN</t>
        </is>
      </c>
      <c r="B1541" t="inlineStr">
        <is>
          <t>ADM_062</t>
        </is>
      </c>
      <c r="C1541" t="inlineStr">
        <is>
          <t>ADAMAOUA</t>
        </is>
      </c>
      <c r="D1541" t="inlineStr">
        <is>
          <t>IHS</t>
        </is>
      </c>
      <c r="E1541" t="inlineStr">
        <is>
          <t>Grid-Gen</t>
        </is>
      </c>
      <c r="F1541" t="inlineStr">
        <is>
          <t>ADAMAOUA</t>
        </is>
      </c>
      <c r="G1541" t="inlineStr">
        <is>
          <t>Meidougou</t>
        </is>
      </c>
      <c r="H1541" t="inlineStr">
        <is>
          <t>NOKIA</t>
        </is>
      </c>
      <c r="I1541" t="n">
        <v>0</v>
      </c>
      <c r="J1541" t="n">
        <v>0</v>
      </c>
      <c r="K1541" t="n">
        <v>0</v>
      </c>
      <c r="L1541" t="n">
        <v>0</v>
      </c>
      <c r="M1541" t="n">
        <v>0</v>
      </c>
      <c r="N1541" t="n">
        <v>0</v>
      </c>
      <c r="O1541" t="n">
        <v>0</v>
      </c>
      <c r="P1541" t="n">
        <v>0</v>
      </c>
      <c r="Q1541" t="n">
        <v>0</v>
      </c>
      <c r="R1541" t="inlineStr">
        <is>
          <t>Operationnel</t>
        </is>
      </c>
      <c r="S1541" t="inlineStr"/>
      <c r="T1541" t="inlineStr"/>
      <c r="U1541" t="inlineStr"/>
      <c r="V1541" t="inlineStr"/>
      <c r="W1541" t="inlineStr"/>
      <c r="X1541" t="inlineStr">
        <is>
          <t>{05-25-2026 ticket}: INC-20260525-00021255..Grid Outage</t>
        </is>
      </c>
      <c r="Y1541" t="inlineStr">
        <is>
          <t>.Grid Outage</t>
        </is>
      </c>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is>
          <t>{05-25-2026 ticket}: INC-20260525-00021255..Grid Outage</t>
        </is>
      </c>
      <c r="AR1541" t="inlineStr"/>
    </row>
    <row r="1542">
      <c r="A1542" t="inlineStr">
        <is>
          <t>Bobongo</t>
        </is>
      </c>
      <c r="B1542" t="inlineStr">
        <is>
          <t>LIT_250</t>
        </is>
      </c>
      <c r="C1542" t="inlineStr">
        <is>
          <t>Douala</t>
        </is>
      </c>
      <c r="D1542" t="inlineStr">
        <is>
          <t>IHS</t>
        </is>
      </c>
      <c r="E1542" t="inlineStr">
        <is>
          <t>Grid-Gen</t>
        </is>
      </c>
      <c r="F1542" t="inlineStr">
        <is>
          <t>LITTORAL</t>
        </is>
      </c>
      <c r="G1542" t="inlineStr">
        <is>
          <t>Douala</t>
        </is>
      </c>
      <c r="H1542" t="inlineStr">
        <is>
          <t>ZTE</t>
        </is>
      </c>
      <c r="I1542" t="n">
        <v>0</v>
      </c>
      <c r="J1542" t="n">
        <v>0</v>
      </c>
      <c r="K1542" t="n">
        <v>0</v>
      </c>
      <c r="L1542" t="n">
        <v>0</v>
      </c>
      <c r="M1542" t="n">
        <v>0</v>
      </c>
      <c r="N1542" t="n">
        <v>0</v>
      </c>
      <c r="O1542" t="n">
        <v>0</v>
      </c>
      <c r="P1542" t="n">
        <v>0</v>
      </c>
      <c r="Q1542" t="n">
        <v>0</v>
      </c>
      <c r="R1542" t="inlineStr">
        <is>
          <t>Operationnel</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row>
    <row r="1543">
      <c r="A1543" t="inlineStr">
        <is>
          <t>Nkoabang</t>
        </is>
      </c>
      <c r="B1543" t="inlineStr">
        <is>
          <t>CTR_084</t>
        </is>
      </c>
      <c r="C1543" t="inlineStr">
        <is>
          <t>Yaounde</t>
        </is>
      </c>
      <c r="D1543" t="inlineStr">
        <is>
          <t>IHS</t>
        </is>
      </c>
      <c r="E1543" t="inlineStr">
        <is>
          <t>Grid-Gen</t>
        </is>
      </c>
      <c r="F1543" t="inlineStr">
        <is>
          <t>CENTRE</t>
        </is>
      </c>
      <c r="G1543" t="inlineStr">
        <is>
          <t>Yaounde</t>
        </is>
      </c>
      <c r="H1543" t="inlineStr">
        <is>
          <t>ZTE</t>
        </is>
      </c>
      <c r="I1543" t="n">
        <v>0</v>
      </c>
      <c r="J1543" t="n">
        <v>0</v>
      </c>
      <c r="K1543" t="n">
        <v>0</v>
      </c>
      <c r="L1543" t="n">
        <v>0</v>
      </c>
      <c r="M1543" t="n">
        <v>0</v>
      </c>
      <c r="N1543" t="n">
        <v>0</v>
      </c>
      <c r="O1543" t="n">
        <v>0</v>
      </c>
      <c r="P1543" t="n">
        <v>0</v>
      </c>
      <c r="Q1543" t="n">
        <v>0</v>
      </c>
      <c r="R1543" t="inlineStr">
        <is>
          <t>Operationnel</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row>
    <row r="1544">
      <c r="A1544" t="inlineStr">
        <is>
          <t>LIT_834_Z_Ngodi-Bakoko-IHS</t>
        </is>
      </c>
      <c r="B1544" t="inlineStr">
        <is>
          <t>LIT_834</t>
        </is>
      </c>
      <c r="C1544" t="inlineStr">
        <is>
          <t>Douala</t>
        </is>
      </c>
      <c r="D1544" t="inlineStr">
        <is>
          <t>ESCO</t>
        </is>
      </c>
      <c r="E1544" t="inlineStr">
        <is>
          <t>Grid-Gen</t>
        </is>
      </c>
      <c r="F1544" t="inlineStr">
        <is>
          <t>LITTORAL</t>
        </is>
      </c>
      <c r="G1544" t="inlineStr">
        <is>
          <t>Douala</t>
        </is>
      </c>
      <c r="H1544" t="inlineStr">
        <is>
          <t>ZTE</t>
        </is>
      </c>
      <c r="I1544" t="n">
        <v>0</v>
      </c>
      <c r="J1544" t="n">
        <v>0</v>
      </c>
      <c r="K1544" t="n">
        <v>0</v>
      </c>
      <c r="L1544" t="n">
        <v>0</v>
      </c>
      <c r="M1544" t="n">
        <v>0</v>
      </c>
      <c r="N1544" t="n">
        <v>0</v>
      </c>
      <c r="O1544" t="n">
        <v>0</v>
      </c>
      <c r="P1544" t="n">
        <v>0</v>
      </c>
      <c r="Q1544" t="n">
        <v>0</v>
      </c>
      <c r="R1544" t="inlineStr">
        <is>
          <t>Operationnel</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row>
    <row r="1545">
      <c r="A1545" t="inlineStr">
        <is>
          <t>Bonewonda-Chefferie</t>
        </is>
      </c>
      <c r="B1545" t="inlineStr">
        <is>
          <t>LIT_379</t>
        </is>
      </c>
      <c r="C1545" t="inlineStr">
        <is>
          <t>Douala</t>
        </is>
      </c>
      <c r="D1545" t="inlineStr">
        <is>
          <t>IHS</t>
        </is>
      </c>
      <c r="E1545" t="inlineStr">
        <is>
          <t>GridOnly</t>
        </is>
      </c>
      <c r="F1545" t="inlineStr">
        <is>
          <t>LITTORAL</t>
        </is>
      </c>
      <c r="G1545" t="inlineStr">
        <is>
          <t>Douala</t>
        </is>
      </c>
      <c r="H1545" t="inlineStr">
        <is>
          <t>ZTE</t>
        </is>
      </c>
      <c r="I1545" t="n">
        <v>0</v>
      </c>
      <c r="J1545" t="n">
        <v>0</v>
      </c>
      <c r="K1545" t="n">
        <v>0</v>
      </c>
      <c r="L1545" t="n">
        <v>0</v>
      </c>
      <c r="M1545" t="n">
        <v>0</v>
      </c>
      <c r="N1545" t="n">
        <v>0</v>
      </c>
      <c r="O1545" t="n">
        <v>0</v>
      </c>
      <c r="P1545" t="n">
        <v>0</v>
      </c>
      <c r="Q1545" t="n">
        <v>0</v>
      </c>
      <c r="R1545" t="inlineStr">
        <is>
          <t>Operationnel</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row>
    <row r="1546">
      <c r="A1546" t="inlineStr">
        <is>
          <t>SUD_191_Z_Kribi-Terre-Promise</t>
        </is>
      </c>
      <c r="B1546" t="inlineStr">
        <is>
          <t>SUD_191</t>
        </is>
      </c>
      <c r="C1546" t="inlineStr">
        <is>
          <t>CENTRE</t>
        </is>
      </c>
      <c r="D1546" t="inlineStr">
        <is>
          <t>ESCO</t>
        </is>
      </c>
      <c r="E1546" t="inlineStr">
        <is>
          <t>Hybrid Solar - S1</t>
        </is>
      </c>
      <c r="F1546" t="inlineStr">
        <is>
          <t>SUD</t>
        </is>
      </c>
      <c r="G1546" t="inlineStr">
        <is>
          <t>Kribi</t>
        </is>
      </c>
      <c r="H1546" t="inlineStr">
        <is>
          <t>ZTE</t>
        </is>
      </c>
      <c r="I1546" t="n">
        <v>0</v>
      </c>
      <c r="J1546" t="n">
        <v>0</v>
      </c>
      <c r="K1546" t="n">
        <v>0</v>
      </c>
      <c r="L1546" t="n">
        <v>0</v>
      </c>
      <c r="M1546" t="n">
        <v>0</v>
      </c>
      <c r="N1546" t="n">
        <v>0</v>
      </c>
      <c r="O1546" t="n">
        <v>0</v>
      </c>
      <c r="P1546" t="n">
        <v>0</v>
      </c>
      <c r="Q1546" t="n">
        <v>0</v>
      </c>
      <c r="R1546" t="inlineStr">
        <is>
          <t>EXCLU</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row>
    <row r="1547">
      <c r="A1547" t="inlineStr">
        <is>
          <t>Aeroport</t>
        </is>
      </c>
      <c r="B1547" t="inlineStr">
        <is>
          <t>LIT_033</t>
        </is>
      </c>
      <c r="C1547" t="inlineStr">
        <is>
          <t>Douala</t>
        </is>
      </c>
      <c r="D1547" t="inlineStr">
        <is>
          <t>IHS</t>
        </is>
      </c>
      <c r="E1547" t="inlineStr">
        <is>
          <t>Grid-Gen (LL)</t>
        </is>
      </c>
      <c r="F1547" t="inlineStr">
        <is>
          <t>LITTORAL</t>
        </is>
      </c>
      <c r="G1547" t="inlineStr">
        <is>
          <t>Douala</t>
        </is>
      </c>
      <c r="H1547" t="inlineStr">
        <is>
          <t>ZTE</t>
        </is>
      </c>
      <c r="I1547" t="n">
        <v>0</v>
      </c>
      <c r="J1547" t="n">
        <v>0</v>
      </c>
      <c r="K1547" t="n">
        <v>0</v>
      </c>
      <c r="L1547" t="n">
        <v>0</v>
      </c>
      <c r="M1547" t="n">
        <v>0</v>
      </c>
      <c r="N1547" t="n">
        <v>0</v>
      </c>
      <c r="O1547" t="n">
        <v>0</v>
      </c>
      <c r="P1547" t="n">
        <v>0</v>
      </c>
      <c r="Q1547" t="n">
        <v>0</v>
      </c>
      <c r="R1547" t="inlineStr">
        <is>
          <t>Operationnel</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row>
    <row r="1548">
      <c r="A1548" t="inlineStr">
        <is>
          <t>Bep-Cafrad</t>
        </is>
      </c>
      <c r="B1548" t="inlineStr">
        <is>
          <t>LIT_649</t>
        </is>
      </c>
      <c r="C1548" t="inlineStr">
        <is>
          <t>Douala</t>
        </is>
      </c>
      <c r="D1548" t="inlineStr">
        <is>
          <t>CAMUSAT</t>
        </is>
      </c>
      <c r="E1548" t="inlineStr">
        <is>
          <t>Good Grid no GE - 12h</t>
        </is>
      </c>
      <c r="F1548" t="inlineStr">
        <is>
          <t>LITTORAL</t>
        </is>
      </c>
      <c r="G1548" t="inlineStr">
        <is>
          <t>Douala</t>
        </is>
      </c>
      <c r="H1548" t="inlineStr">
        <is>
          <t>ZTE</t>
        </is>
      </c>
      <c r="I1548" t="n">
        <v>0</v>
      </c>
      <c r="J1548" t="n">
        <v>0</v>
      </c>
      <c r="K1548" t="n">
        <v>0</v>
      </c>
      <c r="L1548" t="n">
        <v>0</v>
      </c>
      <c r="M1548" t="n">
        <v>0</v>
      </c>
      <c r="N1548" t="n">
        <v>0</v>
      </c>
      <c r="O1548" t="n">
        <v>0</v>
      </c>
      <c r="P1548" t="n">
        <v>0</v>
      </c>
      <c r="Q1548" t="n">
        <v>0</v>
      </c>
      <c r="R1548" t="inlineStr">
        <is>
          <t>Operationnel</t>
        </is>
      </c>
      <c r="S1548" t="inlineStr"/>
      <c r="T1548" t="inlineStr"/>
      <c r="U1548" t="inlineStr"/>
      <c r="V1548" t="inlineStr"/>
      <c r="W1548" t="inlineStr"/>
      <c r="X1548" t="inlineStr">
        <is>
          <t>{05-25-2026 retour CAMUSAT}: Grid outage Grid only site</t>
        </is>
      </c>
      <c r="Y1548" t="inlineStr">
        <is>
          <t>Grid outage Grid only site</t>
        </is>
      </c>
      <c r="Z1548" t="inlineStr"/>
      <c r="AA1548" t="inlineStr"/>
      <c r="AB1548" t="inlineStr"/>
      <c r="AC1548" t="inlineStr">
        <is>
          <t>{05-25-2026 retour CAMUSAT}: Grid outage Grid only site</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row>
    <row r="1549">
      <c r="A1549" t="inlineStr">
        <is>
          <t>Camp-Yabassi</t>
        </is>
      </c>
      <c r="B1549" t="inlineStr">
        <is>
          <t>LIT_162</t>
        </is>
      </c>
      <c r="C1549" t="inlineStr">
        <is>
          <t>Douala</t>
        </is>
      </c>
      <c r="D1549" t="inlineStr">
        <is>
          <t>IHS</t>
        </is>
      </c>
      <c r="E1549" t="inlineStr">
        <is>
          <t>Grid-Gen-Lithium</t>
        </is>
      </c>
      <c r="F1549" t="inlineStr">
        <is>
          <t>LITTORAL</t>
        </is>
      </c>
      <c r="G1549" t="inlineStr">
        <is>
          <t>Douala</t>
        </is>
      </c>
      <c r="H1549" t="inlineStr">
        <is>
          <t>ZTE</t>
        </is>
      </c>
      <c r="I1549" t="n">
        <v>0</v>
      </c>
      <c r="J1549" t="n">
        <v>0</v>
      </c>
      <c r="K1549" t="n">
        <v>0</v>
      </c>
      <c r="L1549" t="n">
        <v>0</v>
      </c>
      <c r="M1549" t="n">
        <v>0</v>
      </c>
      <c r="N1549" t="n">
        <v>0</v>
      </c>
      <c r="O1549" t="n">
        <v>0</v>
      </c>
      <c r="P1549" t="n">
        <v>0</v>
      </c>
      <c r="Q1549" t="n">
        <v>0</v>
      </c>
      <c r="R1549" t="inlineStr">
        <is>
          <t>Operationnel</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row>
    <row r="1550">
      <c r="A1550" t="inlineStr">
        <is>
          <t>Bois-Des-Singes</t>
        </is>
      </c>
      <c r="B1550" t="inlineStr">
        <is>
          <t>LIT_564</t>
        </is>
      </c>
      <c r="C1550" t="inlineStr">
        <is>
          <t>Douala</t>
        </is>
      </c>
      <c r="D1550" t="inlineStr">
        <is>
          <t>CAMUSAT</t>
        </is>
      </c>
      <c r="E1550" t="inlineStr">
        <is>
          <t>Medium Grid + GE</t>
        </is>
      </c>
      <c r="F1550" t="inlineStr">
        <is>
          <t>LITTORAL</t>
        </is>
      </c>
      <c r="G1550" t="inlineStr">
        <is>
          <t>Douala</t>
        </is>
      </c>
      <c r="H1550" t="inlineStr">
        <is>
          <t>ZTE</t>
        </is>
      </c>
      <c r="I1550" t="n">
        <v>0</v>
      </c>
      <c r="J1550" t="n">
        <v>0</v>
      </c>
      <c r="K1550" t="n">
        <v>0</v>
      </c>
      <c r="L1550" t="n">
        <v>0</v>
      </c>
      <c r="M1550" t="n">
        <v>0</v>
      </c>
      <c r="N1550" t="n">
        <v>0</v>
      </c>
      <c r="O1550" t="n">
        <v>0</v>
      </c>
      <c r="P1550" t="n">
        <v>0</v>
      </c>
      <c r="Q1550" t="n">
        <v>0</v>
      </c>
      <c r="R1550" t="inlineStr">
        <is>
          <t>Operationnel</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row>
    <row r="1551">
      <c r="A1551" t="inlineStr">
        <is>
          <t>Cinema-ABC</t>
        </is>
      </c>
      <c r="B1551" t="inlineStr">
        <is>
          <t>LIT_061</t>
        </is>
      </c>
      <c r="C1551" t="inlineStr">
        <is>
          <t>Douala</t>
        </is>
      </c>
      <c r="D1551" t="inlineStr">
        <is>
          <t>IHS</t>
        </is>
      </c>
      <c r="E1551" t="inlineStr">
        <is>
          <t>Grid-Lithium</t>
        </is>
      </c>
      <c r="F1551" t="inlineStr">
        <is>
          <t>LITTORAL</t>
        </is>
      </c>
      <c r="G1551" t="inlineStr">
        <is>
          <t>Douala</t>
        </is>
      </c>
      <c r="H1551" t="inlineStr">
        <is>
          <t>ZTE</t>
        </is>
      </c>
      <c r="I1551" t="n">
        <v>0</v>
      </c>
      <c r="J1551" t="n">
        <v>0</v>
      </c>
      <c r="K1551" t="n">
        <v>0</v>
      </c>
      <c r="L1551" t="n">
        <v>0</v>
      </c>
      <c r="M1551" t="n">
        <v>0</v>
      </c>
      <c r="N1551" t="n">
        <v>0</v>
      </c>
      <c r="O1551" t="n">
        <v>0</v>
      </c>
      <c r="P1551" t="n">
        <v>0</v>
      </c>
      <c r="Q1551" t="n">
        <v>0</v>
      </c>
      <c r="R1551" t="inlineStr">
        <is>
          <t>Operationnel</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row>
    <row r="1552">
      <c r="A1552" t="inlineStr">
        <is>
          <t>Garoua-Djamboutou-Village-IHS</t>
        </is>
      </c>
      <c r="B1552" t="inlineStr">
        <is>
          <t>NRD_086</t>
        </is>
      </c>
      <c r="C1552" t="inlineStr">
        <is>
          <t>Garoua</t>
        </is>
      </c>
      <c r="D1552" t="inlineStr">
        <is>
          <t>IHS</t>
        </is>
      </c>
      <c r="E1552" t="inlineStr">
        <is>
          <t>Grid-Gen</t>
        </is>
      </c>
      <c r="F1552" t="inlineStr">
        <is>
          <t>NORD</t>
        </is>
      </c>
      <c r="G1552" t="inlineStr">
        <is>
          <t>Garoua</t>
        </is>
      </c>
      <c r="H1552" t="inlineStr">
        <is>
          <t>Huawei</t>
        </is>
      </c>
      <c r="I1552" t="n">
        <v>0</v>
      </c>
      <c r="J1552" t="n">
        <v>0</v>
      </c>
      <c r="K1552" t="n">
        <v>0</v>
      </c>
      <c r="L1552" t="n">
        <v>0</v>
      </c>
      <c r="M1552" t="n">
        <v>0</v>
      </c>
      <c r="N1552" t="n">
        <v>0</v>
      </c>
      <c r="O1552" t="n">
        <v>0</v>
      </c>
      <c r="P1552" t="n">
        <v>0</v>
      </c>
      <c r="Q1552" t="n">
        <v>0</v>
      </c>
      <c r="R1552" t="inlineStr">
        <is>
          <t>Operationnel</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row>
    <row r="1553">
      <c r="A1553" t="inlineStr">
        <is>
          <t>SABC-Bali</t>
        </is>
      </c>
      <c r="B1553" t="inlineStr">
        <is>
          <t>LIT_242</t>
        </is>
      </c>
      <c r="C1553" t="inlineStr">
        <is>
          <t>Douala</t>
        </is>
      </c>
      <c r="D1553" t="inlineStr">
        <is>
          <t>IHS</t>
        </is>
      </c>
      <c r="E1553" t="inlineStr">
        <is>
          <t>Grid-Gen</t>
        </is>
      </c>
      <c r="F1553" t="inlineStr">
        <is>
          <t>LITTORAL</t>
        </is>
      </c>
      <c r="G1553" t="inlineStr">
        <is>
          <t>Douala</t>
        </is>
      </c>
      <c r="H1553" t="inlineStr">
        <is>
          <t>ZTE</t>
        </is>
      </c>
      <c r="I1553" t="n">
        <v>0</v>
      </c>
      <c r="J1553" t="n">
        <v>0</v>
      </c>
      <c r="K1553" t="n">
        <v>0</v>
      </c>
      <c r="L1553" t="n">
        <v>0</v>
      </c>
      <c r="M1553" t="n">
        <v>0</v>
      </c>
      <c r="N1553" t="n">
        <v>0</v>
      </c>
      <c r="O1553" t="n">
        <v>0</v>
      </c>
      <c r="P1553" t="n">
        <v>0</v>
      </c>
      <c r="Q1553" t="n">
        <v>0</v>
      </c>
      <c r="R1553" t="inlineStr">
        <is>
          <t>Operationnel</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row>
    <row r="1554">
      <c r="A1554" t="inlineStr">
        <is>
          <t>Emana-MTN</t>
        </is>
      </c>
      <c r="B1554" t="inlineStr">
        <is>
          <t>CTR_370</t>
        </is>
      </c>
      <c r="C1554" t="inlineStr">
        <is>
          <t>Yaounde</t>
        </is>
      </c>
      <c r="D1554" t="inlineStr">
        <is>
          <t>IHS</t>
        </is>
      </c>
      <c r="E1554" t="inlineStr">
        <is>
          <t>Grid-Gen</t>
        </is>
      </c>
      <c r="F1554" t="inlineStr">
        <is>
          <t>CENTRE</t>
        </is>
      </c>
      <c r="G1554" t="inlineStr">
        <is>
          <t>Yaounde</t>
        </is>
      </c>
      <c r="H1554" t="inlineStr">
        <is>
          <t>ZTE</t>
        </is>
      </c>
      <c r="I1554" t="n">
        <v>0</v>
      </c>
      <c r="J1554" t="n">
        <v>0</v>
      </c>
      <c r="K1554" t="n">
        <v>0</v>
      </c>
      <c r="L1554" t="n">
        <v>0</v>
      </c>
      <c r="M1554" t="n">
        <v>0</v>
      </c>
      <c r="N1554" t="n">
        <v>0</v>
      </c>
      <c r="O1554" t="n">
        <v>0</v>
      </c>
      <c r="P1554" t="n">
        <v>0</v>
      </c>
      <c r="Q1554" t="n">
        <v>0</v>
      </c>
      <c r="R1554" t="inlineStr">
        <is>
          <t>Operationnel</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row>
    <row r="1555">
      <c r="A1555" t="inlineStr">
        <is>
          <t>Bberi-Warehouse-IHS</t>
        </is>
      </c>
      <c r="B1555" t="inlineStr">
        <is>
          <t>LIT_597</t>
        </is>
      </c>
      <c r="C1555" t="inlineStr">
        <is>
          <t>Douala</t>
        </is>
      </c>
      <c r="D1555" t="inlineStr">
        <is>
          <t>IHS</t>
        </is>
      </c>
      <c r="E1555" t="inlineStr">
        <is>
          <t>Grid-Gen</t>
        </is>
      </c>
      <c r="F1555" t="inlineStr">
        <is>
          <t>LITTORAL</t>
        </is>
      </c>
      <c r="G1555" t="inlineStr">
        <is>
          <t>Douala</t>
        </is>
      </c>
      <c r="H1555" t="inlineStr">
        <is>
          <t>ZTE</t>
        </is>
      </c>
      <c r="I1555" t="n">
        <v>0</v>
      </c>
      <c r="J1555" t="n">
        <v>0</v>
      </c>
      <c r="K1555" t="n">
        <v>0</v>
      </c>
      <c r="L1555" t="n">
        <v>0</v>
      </c>
      <c r="M1555" t="n">
        <v>0</v>
      </c>
      <c r="N1555" t="n">
        <v>0</v>
      </c>
      <c r="O1555" t="n">
        <v>0</v>
      </c>
      <c r="P1555" t="n">
        <v>0</v>
      </c>
      <c r="Q1555" t="n">
        <v>0</v>
      </c>
      <c r="R1555" t="inlineStr">
        <is>
          <t>Operationnel</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row>
    <row r="1556">
      <c r="A1556" t="inlineStr">
        <is>
          <t>Kumba-CCAS-IHS</t>
        </is>
      </c>
      <c r="B1556" t="inlineStr">
        <is>
          <t>SUO_109</t>
        </is>
      </c>
      <c r="C1556" t="inlineStr">
        <is>
          <t>SUD-OUEST</t>
        </is>
      </c>
      <c r="D1556" t="inlineStr">
        <is>
          <t>IHS</t>
        </is>
      </c>
      <c r="E1556" t="inlineStr">
        <is>
          <t>Grid-Gen</t>
        </is>
      </c>
      <c r="F1556" t="inlineStr">
        <is>
          <t>SUD-OUEST</t>
        </is>
      </c>
      <c r="G1556" t="inlineStr">
        <is>
          <t>Kumba</t>
        </is>
      </c>
      <c r="H1556" t="inlineStr">
        <is>
          <t>Huawei</t>
        </is>
      </c>
      <c r="I1556" t="n">
        <v>0</v>
      </c>
      <c r="J1556" t="n">
        <v>0</v>
      </c>
      <c r="K1556" t="n">
        <v>0</v>
      </c>
      <c r="L1556" t="n">
        <v>0</v>
      </c>
      <c r="M1556" t="n">
        <v>0</v>
      </c>
      <c r="N1556" t="n">
        <v>0</v>
      </c>
      <c r="O1556" t="n">
        <v>0</v>
      </c>
      <c r="P1556" t="n">
        <v>0</v>
      </c>
      <c r="Q1556" t="n">
        <v>0</v>
      </c>
      <c r="R1556" t="inlineStr">
        <is>
          <t>Operationnel</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row>
    <row r="1557">
      <c r="A1557" t="inlineStr">
        <is>
          <t>NEW-BELL-CAMTEL</t>
        </is>
      </c>
      <c r="B1557" t="inlineStr">
        <is>
          <t>LIT_752</t>
        </is>
      </c>
      <c r="C1557" t="inlineStr">
        <is>
          <t>Douala</t>
        </is>
      </c>
      <c r="D1557" t="inlineStr">
        <is>
          <t>CAMUSAT</t>
        </is>
      </c>
      <c r="E1557" t="inlineStr">
        <is>
          <t>Good Grid + GE</t>
        </is>
      </c>
      <c r="F1557" t="inlineStr">
        <is>
          <t>LITTORAL</t>
        </is>
      </c>
      <c r="G1557" t="inlineStr">
        <is>
          <t>Douala</t>
        </is>
      </c>
      <c r="H1557" t="inlineStr">
        <is>
          <t>ZTE</t>
        </is>
      </c>
      <c r="I1557" t="n">
        <v>0</v>
      </c>
      <c r="J1557" t="n">
        <v>0</v>
      </c>
      <c r="K1557" t="n">
        <v>0</v>
      </c>
      <c r="L1557" t="n">
        <v>0</v>
      </c>
      <c r="M1557" t="n">
        <v>0</v>
      </c>
      <c r="N1557" t="n">
        <v>0</v>
      </c>
      <c r="O1557" t="n">
        <v>0</v>
      </c>
      <c r="P1557" t="n">
        <v>0</v>
      </c>
      <c r="Q1557" t="n">
        <v>0</v>
      </c>
      <c r="R1557" t="inlineStr">
        <is>
          <t>Operationnel</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row>
    <row r="1558">
      <c r="A1558" t="inlineStr">
        <is>
          <t>IPD</t>
        </is>
      </c>
      <c r="B1558" t="inlineStr">
        <is>
          <t>LIT_100</t>
        </is>
      </c>
      <c r="C1558" t="inlineStr">
        <is>
          <t>Douala</t>
        </is>
      </c>
      <c r="D1558" t="inlineStr"/>
      <c r="E1558" t="inlineStr"/>
      <c r="F1558" t="inlineStr">
        <is>
          <t>LITTORAL</t>
        </is>
      </c>
      <c r="G1558" t="inlineStr">
        <is>
          <t>Douala</t>
        </is>
      </c>
      <c r="H1558" t="inlineStr">
        <is>
          <t>ZTE</t>
        </is>
      </c>
      <c r="I1558" t="n">
        <v>0</v>
      </c>
      <c r="J1558" t="n">
        <v>0</v>
      </c>
      <c r="K1558" t="n">
        <v>0</v>
      </c>
      <c r="L1558" t="n">
        <v>0</v>
      </c>
      <c r="M1558" t="n">
        <v>0</v>
      </c>
      <c r="N1558" t="n">
        <v>0</v>
      </c>
      <c r="O1558" t="n">
        <v>0</v>
      </c>
      <c r="P1558" t="n">
        <v>0</v>
      </c>
      <c r="Q1558" t="n">
        <v>0</v>
      </c>
      <c r="R1558" t="inlineStr">
        <is>
          <t>Operationnel</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row>
    <row r="1559">
      <c r="A1559" t="inlineStr">
        <is>
          <t>Soboum-IHS</t>
        </is>
      </c>
      <c r="B1559" t="inlineStr">
        <is>
          <t>LIT_579</t>
        </is>
      </c>
      <c r="C1559" t="inlineStr">
        <is>
          <t>Douala</t>
        </is>
      </c>
      <c r="D1559" t="inlineStr">
        <is>
          <t>IHS</t>
        </is>
      </c>
      <c r="E1559" t="inlineStr">
        <is>
          <t>Grid-Gen</t>
        </is>
      </c>
      <c r="F1559" t="inlineStr">
        <is>
          <t>LITTORAL</t>
        </is>
      </c>
      <c r="G1559" t="inlineStr">
        <is>
          <t>Douala</t>
        </is>
      </c>
      <c r="H1559" t="inlineStr">
        <is>
          <t>ZTE</t>
        </is>
      </c>
      <c r="I1559" t="n">
        <v>0</v>
      </c>
      <c r="J1559" t="n">
        <v>0</v>
      </c>
      <c r="K1559" t="n">
        <v>0</v>
      </c>
      <c r="L1559" t="n">
        <v>0</v>
      </c>
      <c r="M1559" t="n">
        <v>0</v>
      </c>
      <c r="N1559" t="n">
        <v>0</v>
      </c>
      <c r="O1559" t="n">
        <v>0</v>
      </c>
      <c r="P1559" t="n">
        <v>0</v>
      </c>
      <c r="Q1559" t="n">
        <v>0</v>
      </c>
      <c r="R1559" t="inlineStr">
        <is>
          <t>Operationnel</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row>
    <row r="1560">
      <c r="A1560" t="inlineStr">
        <is>
          <t>Nkong</t>
        </is>
      </c>
      <c r="B1560" t="inlineStr">
        <is>
          <t>LIT_021</t>
        </is>
      </c>
      <c r="C1560" t="inlineStr">
        <is>
          <t>LITTORAL</t>
        </is>
      </c>
      <c r="D1560" t="inlineStr">
        <is>
          <t>IHS</t>
        </is>
      </c>
      <c r="E1560" t="inlineStr">
        <is>
          <t>Grid-Gen</t>
        </is>
      </c>
      <c r="F1560" t="inlineStr">
        <is>
          <t>LITTORAL</t>
        </is>
      </c>
      <c r="G1560" t="inlineStr">
        <is>
          <t>Nkongsamba</t>
        </is>
      </c>
      <c r="H1560" t="inlineStr">
        <is>
          <t>ZTE</t>
        </is>
      </c>
      <c r="I1560" t="n">
        <v>0</v>
      </c>
      <c r="J1560" t="n">
        <v>0</v>
      </c>
      <c r="K1560" t="n">
        <v>0</v>
      </c>
      <c r="L1560" t="n">
        <v>0</v>
      </c>
      <c r="M1560" t="n">
        <v>0</v>
      </c>
      <c r="N1560" t="n">
        <v>0</v>
      </c>
      <c r="O1560" t="n">
        <v>0</v>
      </c>
      <c r="P1560" t="n">
        <v>0</v>
      </c>
      <c r="Q1560" t="n">
        <v>0</v>
      </c>
      <c r="R1560" t="inlineStr">
        <is>
          <t>Operationnel</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row>
    <row r="1561">
      <c r="A1561" t="inlineStr">
        <is>
          <t>Newb-Srce-Quartier</t>
        </is>
      </c>
      <c r="B1561" t="inlineStr">
        <is>
          <t>LIT_095</t>
        </is>
      </c>
      <c r="C1561" t="inlineStr">
        <is>
          <t>Douala</t>
        </is>
      </c>
      <c r="D1561" t="inlineStr">
        <is>
          <t>IHS</t>
        </is>
      </c>
      <c r="E1561" t="inlineStr">
        <is>
          <t>GridOnly</t>
        </is>
      </c>
      <c r="F1561" t="inlineStr">
        <is>
          <t>LITTORAL</t>
        </is>
      </c>
      <c r="G1561" t="inlineStr">
        <is>
          <t>Douala</t>
        </is>
      </c>
      <c r="H1561" t="inlineStr">
        <is>
          <t>ZTE</t>
        </is>
      </c>
      <c r="I1561" t="n">
        <v>0</v>
      </c>
      <c r="J1561" t="n">
        <v>0</v>
      </c>
      <c r="K1561" t="n">
        <v>0</v>
      </c>
      <c r="L1561" t="n">
        <v>0</v>
      </c>
      <c r="M1561" t="n">
        <v>0</v>
      </c>
      <c r="N1561" t="n">
        <v>0</v>
      </c>
      <c r="O1561" t="n">
        <v>0</v>
      </c>
      <c r="P1561" t="n">
        <v>0</v>
      </c>
      <c r="Q1561" t="n">
        <v>0</v>
      </c>
      <c r="R1561" t="inlineStr">
        <is>
          <t>Operationnel</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row>
    <row r="1562">
      <c r="A1562" t="inlineStr">
        <is>
          <t>Emana-Lycee2-MTN-IHS</t>
        </is>
      </c>
      <c r="B1562" t="inlineStr">
        <is>
          <t>CTR_518</t>
        </is>
      </c>
      <c r="C1562" t="inlineStr">
        <is>
          <t>Yaounde</t>
        </is>
      </c>
      <c r="D1562" t="inlineStr">
        <is>
          <t>IHS</t>
        </is>
      </c>
      <c r="E1562" t="inlineStr">
        <is>
          <t>Grid-Gen</t>
        </is>
      </c>
      <c r="F1562" t="inlineStr">
        <is>
          <t>CENTRE</t>
        </is>
      </c>
      <c r="G1562" t="inlineStr">
        <is>
          <t>Yaounde</t>
        </is>
      </c>
      <c r="H1562" t="inlineStr">
        <is>
          <t>ZTE</t>
        </is>
      </c>
      <c r="I1562" t="n">
        <v>0</v>
      </c>
      <c r="J1562" t="n">
        <v>0</v>
      </c>
      <c r="K1562" t="n">
        <v>0</v>
      </c>
      <c r="L1562" t="n">
        <v>0</v>
      </c>
      <c r="M1562" t="n">
        <v>0</v>
      </c>
      <c r="N1562" t="n">
        <v>0</v>
      </c>
      <c r="O1562" t="n">
        <v>0</v>
      </c>
      <c r="P1562" t="n">
        <v>0</v>
      </c>
      <c r="Q1562" t="n">
        <v>0</v>
      </c>
      <c r="R1562" t="inlineStr">
        <is>
          <t>Operationnel</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row>
    <row r="1563">
      <c r="A1563" t="inlineStr">
        <is>
          <t>Bpriso-Hydrocarbure</t>
        </is>
      </c>
      <c r="B1563" t="inlineStr">
        <is>
          <t>LIT_676</t>
        </is>
      </c>
      <c r="C1563" t="inlineStr">
        <is>
          <t>Douala</t>
        </is>
      </c>
      <c r="D1563" t="inlineStr">
        <is>
          <t>CAMUSAT</t>
        </is>
      </c>
      <c r="E1563" t="inlineStr">
        <is>
          <t>Good Grid no GE - 8h</t>
        </is>
      </c>
      <c r="F1563" t="inlineStr">
        <is>
          <t>LITTORAL</t>
        </is>
      </c>
      <c r="G1563" t="inlineStr">
        <is>
          <t>Douala</t>
        </is>
      </c>
      <c r="H1563" t="inlineStr">
        <is>
          <t>ZTE</t>
        </is>
      </c>
      <c r="I1563" t="n">
        <v>0</v>
      </c>
      <c r="J1563" t="n">
        <v>0</v>
      </c>
      <c r="K1563" t="n">
        <v>0</v>
      </c>
      <c r="L1563" t="n">
        <v>0</v>
      </c>
      <c r="M1563" t="n">
        <v>0</v>
      </c>
      <c r="N1563" t="n">
        <v>0</v>
      </c>
      <c r="O1563" t="n">
        <v>0</v>
      </c>
      <c r="P1563" t="n">
        <v>0</v>
      </c>
      <c r="Q1563" t="n">
        <v>0</v>
      </c>
      <c r="R1563" t="inlineStr">
        <is>
          <t>Operationnel</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row>
    <row r="1564">
      <c r="A1564" t="inlineStr">
        <is>
          <t>Madagascar-Nodal</t>
        </is>
      </c>
      <c r="B1564" t="inlineStr">
        <is>
          <t>LIT_814</t>
        </is>
      </c>
      <c r="C1564" t="inlineStr">
        <is>
          <t>Douala</t>
        </is>
      </c>
      <c r="D1564" t="inlineStr"/>
      <c r="E1564" t="inlineStr"/>
      <c r="F1564" t="inlineStr">
        <is>
          <t>LITTORAL</t>
        </is>
      </c>
      <c r="G1564" t="inlineStr">
        <is>
          <t>Douala</t>
        </is>
      </c>
      <c r="H1564" t="inlineStr">
        <is>
          <t>ZTE</t>
        </is>
      </c>
      <c r="I1564" t="n">
        <v>0</v>
      </c>
      <c r="J1564" t="n">
        <v>0</v>
      </c>
      <c r="K1564" t="n">
        <v>0</v>
      </c>
      <c r="L1564" t="n">
        <v>0</v>
      </c>
      <c r="M1564" t="n">
        <v>0</v>
      </c>
      <c r="N1564" t="n">
        <v>0</v>
      </c>
      <c r="O1564" t="n">
        <v>0</v>
      </c>
      <c r="P1564" t="n">
        <v>0</v>
      </c>
      <c r="Q1564" t="n">
        <v>0</v>
      </c>
      <c r="R1564" t="inlineStr">
        <is>
          <t>Operationnel</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row>
    <row r="1565">
      <c r="A1565" t="inlineStr">
        <is>
          <t>CTR_1052_Z_Santa-Barbara-Gottam-IHS</t>
        </is>
      </c>
      <c r="B1565" t="inlineStr">
        <is>
          <t>CTR_1052</t>
        </is>
      </c>
      <c r="C1565" t="inlineStr">
        <is>
          <t>Yaounde</t>
        </is>
      </c>
      <c r="D1565" t="inlineStr">
        <is>
          <t>IHS</t>
        </is>
      </c>
      <c r="E1565" t="inlineStr"/>
      <c r="F1565" t="inlineStr">
        <is>
          <t>CTR</t>
        </is>
      </c>
      <c r="G1565" t="inlineStr">
        <is>
          <t>Yaoundé</t>
        </is>
      </c>
      <c r="H1565" t="inlineStr">
        <is>
          <t>ZTE</t>
        </is>
      </c>
      <c r="I1565" t="n">
        <v>0</v>
      </c>
      <c r="J1565" t="n">
        <v>0</v>
      </c>
      <c r="K1565" t="n">
        <v>0</v>
      </c>
      <c r="L1565" t="n">
        <v>0</v>
      </c>
      <c r="M1565" t="n">
        <v>0</v>
      </c>
      <c r="N1565" t="n">
        <v>0</v>
      </c>
      <c r="O1565" t="n">
        <v>0</v>
      </c>
      <c r="P1565" t="n">
        <v>0</v>
      </c>
      <c r="Q1565" t="n">
        <v>0</v>
      </c>
      <c r="R1565" t="inlineStr">
        <is>
          <t>Operationnel</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row>
    <row r="1566">
      <c r="A1566" t="inlineStr">
        <is>
          <t>LIT_263_Z_CCC</t>
        </is>
      </c>
      <c r="B1566" t="inlineStr">
        <is>
          <t>LIT_263</t>
        </is>
      </c>
      <c r="C1566" t="inlineStr">
        <is>
          <t>Douala</t>
        </is>
      </c>
      <c r="D1566" t="inlineStr">
        <is>
          <t>IHS</t>
        </is>
      </c>
      <c r="E1566" t="inlineStr">
        <is>
          <t>Grid-Gen</t>
        </is>
      </c>
      <c r="F1566" t="inlineStr">
        <is>
          <t>LITTORAL</t>
        </is>
      </c>
      <c r="G1566" t="inlineStr">
        <is>
          <t>Douala</t>
        </is>
      </c>
      <c r="H1566" t="inlineStr">
        <is>
          <t>ZTE</t>
        </is>
      </c>
      <c r="I1566" t="n">
        <v>0</v>
      </c>
      <c r="J1566" t="n">
        <v>0</v>
      </c>
      <c r="K1566" t="n">
        <v>0</v>
      </c>
      <c r="L1566" t="n">
        <v>0</v>
      </c>
      <c r="M1566" t="n">
        <v>0</v>
      </c>
      <c r="N1566" t="n">
        <v>0</v>
      </c>
      <c r="O1566" t="n">
        <v>0</v>
      </c>
      <c r="P1566" t="n">
        <v>0</v>
      </c>
      <c r="Q1566" t="n">
        <v>0</v>
      </c>
      <c r="R1566" t="inlineStr">
        <is>
          <t>Operationnel</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row>
    <row r="1567">
      <c r="A1567" t="inlineStr">
        <is>
          <t>Nkong-C-Fultang</t>
        </is>
      </c>
      <c r="B1567" t="inlineStr">
        <is>
          <t>LIT_353</t>
        </is>
      </c>
      <c r="C1567" t="inlineStr">
        <is>
          <t>LITTORAL</t>
        </is>
      </c>
      <c r="D1567" t="inlineStr"/>
      <c r="E1567" t="inlineStr"/>
      <c r="F1567" t="inlineStr">
        <is>
          <t>LITTORAL</t>
        </is>
      </c>
      <c r="G1567" t="inlineStr">
        <is>
          <t>Nkongsamba</t>
        </is>
      </c>
      <c r="H1567" t="inlineStr">
        <is>
          <t>ZTE</t>
        </is>
      </c>
      <c r="I1567" t="n">
        <v>0</v>
      </c>
      <c r="J1567" t="n">
        <v>0</v>
      </c>
      <c r="K1567" t="n">
        <v>0</v>
      </c>
      <c r="L1567" t="n">
        <v>0</v>
      </c>
      <c r="M1567" t="n">
        <v>0</v>
      </c>
      <c r="N1567" t="n">
        <v>0</v>
      </c>
      <c r="O1567" t="n">
        <v>0</v>
      </c>
      <c r="P1567" t="n">
        <v>0</v>
      </c>
      <c r="Q1567" t="n">
        <v>0</v>
      </c>
      <c r="R1567" t="inlineStr">
        <is>
          <t>Operationnel</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row>
    <row r="1568">
      <c r="A1568" t="inlineStr">
        <is>
          <t>Pont-Emana-MTN</t>
        </is>
      </c>
      <c r="B1568" t="inlineStr">
        <is>
          <t>CTR_799</t>
        </is>
      </c>
      <c r="C1568" t="inlineStr">
        <is>
          <t>Yaounde</t>
        </is>
      </c>
      <c r="D1568" t="inlineStr"/>
      <c r="E1568" t="inlineStr"/>
      <c r="F1568" t="inlineStr">
        <is>
          <t>CENTRE</t>
        </is>
      </c>
      <c r="G1568" t="inlineStr">
        <is>
          <t>Yaounde</t>
        </is>
      </c>
      <c r="H1568" t="inlineStr">
        <is>
          <t>ZTE</t>
        </is>
      </c>
      <c r="I1568" t="n">
        <v>0</v>
      </c>
      <c r="J1568" t="n">
        <v>0</v>
      </c>
      <c r="K1568" t="n">
        <v>0</v>
      </c>
      <c r="L1568" t="n">
        <v>0</v>
      </c>
      <c r="M1568" t="n">
        <v>0</v>
      </c>
      <c r="N1568" t="n">
        <v>0</v>
      </c>
      <c r="O1568" t="n">
        <v>0</v>
      </c>
      <c r="P1568" t="n">
        <v>0</v>
      </c>
      <c r="Q1568" t="n">
        <v>0</v>
      </c>
      <c r="R1568" t="inlineStr">
        <is>
          <t>Operationnel</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row>
    <row r="1569">
      <c r="A1569" t="inlineStr">
        <is>
          <t>Chevreuil</t>
        </is>
      </c>
      <c r="B1569" t="inlineStr">
        <is>
          <t>LIT_018</t>
        </is>
      </c>
      <c r="C1569" t="inlineStr">
        <is>
          <t>Douala</t>
        </is>
      </c>
      <c r="D1569" t="inlineStr">
        <is>
          <t>IHS</t>
        </is>
      </c>
      <c r="E1569" t="inlineStr">
        <is>
          <t>Grid-Gen</t>
        </is>
      </c>
      <c r="F1569" t="inlineStr">
        <is>
          <t>LITTORAL</t>
        </is>
      </c>
      <c r="G1569" t="inlineStr">
        <is>
          <t>Douala</t>
        </is>
      </c>
      <c r="H1569" t="inlineStr">
        <is>
          <t>ZTE</t>
        </is>
      </c>
      <c r="I1569" t="n">
        <v>0</v>
      </c>
      <c r="J1569" t="n">
        <v>0</v>
      </c>
      <c r="K1569" t="n">
        <v>0</v>
      </c>
      <c r="L1569" t="n">
        <v>0</v>
      </c>
      <c r="M1569" t="n">
        <v>0</v>
      </c>
      <c r="N1569" t="n">
        <v>0</v>
      </c>
      <c r="O1569" t="n">
        <v>0</v>
      </c>
      <c r="P1569" t="n">
        <v>0</v>
      </c>
      <c r="Q1569" t="n">
        <v>0</v>
      </c>
      <c r="R1569" t="inlineStr">
        <is>
          <t>Operationnel</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row>
    <row r="1570">
      <c r="A1570" t="inlineStr">
        <is>
          <t>Mbingo-IHS</t>
        </is>
      </c>
      <c r="B1570" t="inlineStr">
        <is>
          <t>NRO_031</t>
        </is>
      </c>
      <c r="C1570" t="inlineStr">
        <is>
          <t>NORD-OUEST</t>
        </is>
      </c>
      <c r="D1570" t="inlineStr">
        <is>
          <t>IHS</t>
        </is>
      </c>
      <c r="E1570" t="inlineStr">
        <is>
          <t>Grid-Gen</t>
        </is>
      </c>
      <c r="F1570" t="inlineStr">
        <is>
          <t>NORD-OUEST</t>
        </is>
      </c>
      <c r="G1570" t="inlineStr">
        <is>
          <t>Mbingo</t>
        </is>
      </c>
      <c r="H1570" t="inlineStr">
        <is>
          <t>NOKIA</t>
        </is>
      </c>
      <c r="I1570" t="n">
        <v>0</v>
      </c>
      <c r="J1570" t="n">
        <v>0</v>
      </c>
      <c r="K1570" t="n">
        <v>0</v>
      </c>
      <c r="L1570" t="n">
        <v>0</v>
      </c>
      <c r="M1570" t="n">
        <v>0</v>
      </c>
      <c r="N1570" t="n">
        <v>0</v>
      </c>
      <c r="O1570" t="n">
        <v>0</v>
      </c>
      <c r="P1570" t="n">
        <v>0</v>
      </c>
      <c r="Q1570" t="n">
        <v>0</v>
      </c>
      <c r="R1570" t="inlineStr">
        <is>
          <t>Insecurity</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row>
    <row r="1571">
      <c r="A1571" t="inlineStr">
        <is>
          <t>Youpwe</t>
        </is>
      </c>
      <c r="B1571" t="inlineStr">
        <is>
          <t>LIT_268</t>
        </is>
      </c>
      <c r="C1571" t="inlineStr">
        <is>
          <t>Douala</t>
        </is>
      </c>
      <c r="D1571" t="inlineStr">
        <is>
          <t>IHS</t>
        </is>
      </c>
      <c r="E1571" t="inlineStr">
        <is>
          <t>Grid-Gen</t>
        </is>
      </c>
      <c r="F1571" t="inlineStr">
        <is>
          <t>LITTORAL</t>
        </is>
      </c>
      <c r="G1571" t="inlineStr">
        <is>
          <t>Douala</t>
        </is>
      </c>
      <c r="H1571" t="inlineStr">
        <is>
          <t>ZTE</t>
        </is>
      </c>
      <c r="I1571" t="n">
        <v>0</v>
      </c>
      <c r="J1571" t="n">
        <v>0</v>
      </c>
      <c r="K1571" t="n">
        <v>0</v>
      </c>
      <c r="L1571" t="n">
        <v>0</v>
      </c>
      <c r="M1571" t="n">
        <v>0</v>
      </c>
      <c r="N1571" t="n">
        <v>0</v>
      </c>
      <c r="O1571" t="n">
        <v>0</v>
      </c>
      <c r="P1571" t="n">
        <v>0</v>
      </c>
      <c r="Q1571" t="n">
        <v>0</v>
      </c>
      <c r="R1571" t="inlineStr">
        <is>
          <t>Operationnel</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row>
    <row r="1572">
      <c r="A1572" t="inlineStr">
        <is>
          <t>Shell-Newbell</t>
        </is>
      </c>
      <c r="B1572" t="inlineStr">
        <is>
          <t>LIT_053</t>
        </is>
      </c>
      <c r="C1572" t="inlineStr">
        <is>
          <t>Douala</t>
        </is>
      </c>
      <c r="D1572" t="inlineStr">
        <is>
          <t>IHS</t>
        </is>
      </c>
      <c r="E1572" t="inlineStr">
        <is>
          <t>Grid-Gen</t>
        </is>
      </c>
      <c r="F1572" t="inlineStr">
        <is>
          <t>LITTORAL</t>
        </is>
      </c>
      <c r="G1572" t="inlineStr">
        <is>
          <t>Douala</t>
        </is>
      </c>
      <c r="H1572" t="inlineStr">
        <is>
          <t>ZTE</t>
        </is>
      </c>
      <c r="I1572" t="n">
        <v>0</v>
      </c>
      <c r="J1572" t="n">
        <v>0</v>
      </c>
      <c r="K1572" t="n">
        <v>0</v>
      </c>
      <c r="L1572" t="n">
        <v>0</v>
      </c>
      <c r="M1572" t="n">
        <v>0</v>
      </c>
      <c r="N1572" t="n">
        <v>0</v>
      </c>
      <c r="O1572" t="n">
        <v>0</v>
      </c>
      <c r="P1572" t="n">
        <v>0</v>
      </c>
      <c r="Q1572" t="n">
        <v>0</v>
      </c>
      <c r="R1572" t="inlineStr">
        <is>
          <t>Operationnel</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row>
    <row r="1573">
      <c r="A1573" t="inlineStr">
        <is>
          <t>Ancien-Aeroport</t>
        </is>
      </c>
      <c r="B1573" t="inlineStr">
        <is>
          <t>LIT_055</t>
        </is>
      </c>
      <c r="C1573" t="inlineStr">
        <is>
          <t>Douala</t>
        </is>
      </c>
      <c r="D1573" t="inlineStr">
        <is>
          <t>IHS</t>
        </is>
      </c>
      <c r="E1573" t="inlineStr">
        <is>
          <t>Grid-Gen</t>
        </is>
      </c>
      <c r="F1573" t="inlineStr">
        <is>
          <t>LITTORAL</t>
        </is>
      </c>
      <c r="G1573" t="inlineStr">
        <is>
          <t>Douala</t>
        </is>
      </c>
      <c r="H1573" t="inlineStr">
        <is>
          <t>ZTE</t>
        </is>
      </c>
      <c r="I1573" t="n">
        <v>0</v>
      </c>
      <c r="J1573" t="n">
        <v>0</v>
      </c>
      <c r="K1573" t="n">
        <v>0</v>
      </c>
      <c r="L1573" t="n">
        <v>0</v>
      </c>
      <c r="M1573" t="n">
        <v>0</v>
      </c>
      <c r="N1573" t="n">
        <v>0</v>
      </c>
      <c r="O1573" t="n">
        <v>0</v>
      </c>
      <c r="P1573" t="n">
        <v>0</v>
      </c>
      <c r="Q1573" t="n">
        <v>0</v>
      </c>
      <c r="R1573" t="inlineStr">
        <is>
          <t>Operationnel</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row>
    <row r="1574">
      <c r="A1574" t="inlineStr">
        <is>
          <t>Damas</t>
        </is>
      </c>
      <c r="B1574" t="inlineStr">
        <is>
          <t>CTR_074</t>
        </is>
      </c>
      <c r="C1574" t="inlineStr">
        <is>
          <t>Yaounde</t>
        </is>
      </c>
      <c r="D1574" t="inlineStr">
        <is>
          <t>IHS</t>
        </is>
      </c>
      <c r="E1574" t="inlineStr">
        <is>
          <t>Grid-Gen</t>
        </is>
      </c>
      <c r="F1574" t="inlineStr">
        <is>
          <t>CENTRE</t>
        </is>
      </c>
      <c r="G1574" t="inlineStr">
        <is>
          <t>Yaounde</t>
        </is>
      </c>
      <c r="H1574" t="inlineStr">
        <is>
          <t>ZTE</t>
        </is>
      </c>
      <c r="I1574" t="n">
        <v>0</v>
      </c>
      <c r="J1574" t="n">
        <v>0</v>
      </c>
      <c r="K1574" t="n">
        <v>0</v>
      </c>
      <c r="L1574" t="n">
        <v>0</v>
      </c>
      <c r="M1574" t="n">
        <v>0</v>
      </c>
      <c r="N1574" t="n">
        <v>0</v>
      </c>
      <c r="O1574" t="n">
        <v>0</v>
      </c>
      <c r="P1574" t="n">
        <v>0</v>
      </c>
      <c r="Q1574" t="n">
        <v>0</v>
      </c>
      <c r="R1574" t="inlineStr">
        <is>
          <t>Operationnel</t>
        </is>
      </c>
      <c r="S1574" t="inlineStr"/>
      <c r="T1574" t="inlineStr"/>
      <c r="U1574" t="inlineStr"/>
      <c r="V1574" t="inlineStr"/>
      <c r="W1574" t="inlineStr"/>
      <c r="X1574" t="inlineStr">
        <is>
          <t>{05-25-2026 retour IHS}: IHS</t>
        </is>
      </c>
      <c r="Y1574" t="inlineStr">
        <is>
          <t>IHS</t>
        </is>
      </c>
      <c r="Z1574" t="inlineStr"/>
      <c r="AA1574" t="inlineStr"/>
      <c r="AB1574" t="inlineStr"/>
      <c r="AC1574" t="inlineStr"/>
      <c r="AD1574" t="inlineStr">
        <is>
          <t>{05-25-2026 retour IHS}: IHS</t>
        </is>
      </c>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row>
    <row r="1575">
      <c r="A1575" t="inlineStr">
        <is>
          <t>Garoua-Lidire</t>
        </is>
      </c>
      <c r="B1575" t="inlineStr">
        <is>
          <t>NRD_075</t>
        </is>
      </c>
      <c r="C1575" t="inlineStr">
        <is>
          <t>Garoua</t>
        </is>
      </c>
      <c r="D1575" t="inlineStr">
        <is>
          <t>IHS</t>
        </is>
      </c>
      <c r="E1575" t="inlineStr">
        <is>
          <t>Grid-Gen</t>
        </is>
      </c>
      <c r="F1575" t="inlineStr">
        <is>
          <t>NORD</t>
        </is>
      </c>
      <c r="G1575" t="inlineStr">
        <is>
          <t>Garoua</t>
        </is>
      </c>
      <c r="H1575" t="inlineStr">
        <is>
          <t>Huawei</t>
        </is>
      </c>
      <c r="I1575" t="n">
        <v>0</v>
      </c>
      <c r="J1575" t="n">
        <v>0</v>
      </c>
      <c r="K1575" t="n">
        <v>0</v>
      </c>
      <c r="L1575" t="n">
        <v>0</v>
      </c>
      <c r="M1575" t="n">
        <v>0</v>
      </c>
      <c r="N1575" t="n">
        <v>0</v>
      </c>
      <c r="O1575" t="n">
        <v>0</v>
      </c>
      <c r="P1575" t="n">
        <v>0</v>
      </c>
      <c r="Q1575" t="n">
        <v>0</v>
      </c>
      <c r="R1575" t="inlineStr">
        <is>
          <t>Operationnel</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row>
    <row r="1576">
      <c r="A1576" t="inlineStr">
        <is>
          <t>Sim-barriere</t>
        </is>
      </c>
      <c r="B1576" t="inlineStr">
        <is>
          <t>CTR_748</t>
        </is>
      </c>
      <c r="C1576" t="inlineStr">
        <is>
          <t>Yaounde</t>
        </is>
      </c>
      <c r="D1576" t="inlineStr">
        <is>
          <t>CAMUSAT</t>
        </is>
      </c>
      <c r="E1576" t="inlineStr">
        <is>
          <t>Good Grid + GE</t>
        </is>
      </c>
      <c r="F1576" t="inlineStr">
        <is>
          <t>CENTRE</t>
        </is>
      </c>
      <c r="G1576" t="inlineStr">
        <is>
          <t>Yaounde</t>
        </is>
      </c>
      <c r="H1576" t="inlineStr">
        <is>
          <t>ZTE</t>
        </is>
      </c>
      <c r="I1576" t="n">
        <v>0</v>
      </c>
      <c r="J1576" t="n">
        <v>0</v>
      </c>
      <c r="K1576" t="n">
        <v>0</v>
      </c>
      <c r="L1576" t="n">
        <v>0</v>
      </c>
      <c r="M1576" t="n">
        <v>0</v>
      </c>
      <c r="N1576" t="n">
        <v>0</v>
      </c>
      <c r="O1576" t="n">
        <v>0</v>
      </c>
      <c r="P1576" t="n">
        <v>0</v>
      </c>
      <c r="Q1576" t="n">
        <v>0</v>
      </c>
      <c r="R1576" t="inlineStr">
        <is>
          <t>Operationnel</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row>
    <row r="1577">
      <c r="A1577" t="inlineStr">
        <is>
          <t>Bonewonda-II</t>
        </is>
      </c>
      <c r="B1577" t="inlineStr">
        <is>
          <t>LIT_378</t>
        </is>
      </c>
      <c r="C1577" t="inlineStr">
        <is>
          <t>Douala</t>
        </is>
      </c>
      <c r="D1577" t="inlineStr">
        <is>
          <t>IHS</t>
        </is>
      </c>
      <c r="E1577" t="inlineStr">
        <is>
          <t>Grid-Gen</t>
        </is>
      </c>
      <c r="F1577" t="inlineStr">
        <is>
          <t>LITTORAL</t>
        </is>
      </c>
      <c r="G1577" t="inlineStr">
        <is>
          <t>Douala</t>
        </is>
      </c>
      <c r="H1577" t="inlineStr">
        <is>
          <t>ZTE</t>
        </is>
      </c>
      <c r="I1577" t="n">
        <v>0</v>
      </c>
      <c r="J1577" t="n">
        <v>0</v>
      </c>
      <c r="K1577" t="n">
        <v>0</v>
      </c>
      <c r="L1577" t="n">
        <v>0</v>
      </c>
      <c r="M1577" t="n">
        <v>0</v>
      </c>
      <c r="N1577" t="n">
        <v>0</v>
      </c>
      <c r="O1577" t="n">
        <v>0</v>
      </c>
      <c r="P1577" t="n">
        <v>0</v>
      </c>
      <c r="Q1577" t="n">
        <v>0</v>
      </c>
      <c r="R1577" t="inlineStr">
        <is>
          <t>Operationnel</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row>
    <row r="1578">
      <c r="A1578" t="inlineStr">
        <is>
          <t>Crf-Patrick-Mboma</t>
        </is>
      </c>
      <c r="B1578" t="inlineStr">
        <is>
          <t>LIT_697</t>
        </is>
      </c>
      <c r="C1578" t="inlineStr">
        <is>
          <t>Douala</t>
        </is>
      </c>
      <c r="D1578" t="inlineStr">
        <is>
          <t>CAMUSAT</t>
        </is>
      </c>
      <c r="E1578" t="inlineStr">
        <is>
          <t>Good Grid + GE</t>
        </is>
      </c>
      <c r="F1578" t="inlineStr">
        <is>
          <t>LITTORAL</t>
        </is>
      </c>
      <c r="G1578" t="inlineStr">
        <is>
          <t>Douala</t>
        </is>
      </c>
      <c r="H1578" t="inlineStr">
        <is>
          <t>ZTE</t>
        </is>
      </c>
      <c r="I1578" t="n">
        <v>0</v>
      </c>
      <c r="J1578" t="n">
        <v>0</v>
      </c>
      <c r="K1578" t="n">
        <v>0</v>
      </c>
      <c r="L1578" t="n">
        <v>0</v>
      </c>
      <c r="M1578" t="n">
        <v>0</v>
      </c>
      <c r="N1578" t="n">
        <v>0</v>
      </c>
      <c r="O1578" t="n">
        <v>0</v>
      </c>
      <c r="P1578" t="n">
        <v>0</v>
      </c>
      <c r="Q1578" t="n">
        <v>0</v>
      </c>
      <c r="R1578" t="inlineStr">
        <is>
          <t>Operationnel</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row>
    <row r="1579">
      <c r="A1579" t="inlineStr">
        <is>
          <t>Nkongmondo</t>
        </is>
      </c>
      <c r="B1579" t="inlineStr">
        <is>
          <t>LIT_091</t>
        </is>
      </c>
      <c r="C1579" t="inlineStr">
        <is>
          <t>Douala</t>
        </is>
      </c>
      <c r="D1579" t="inlineStr">
        <is>
          <t>IHS</t>
        </is>
      </c>
      <c r="E1579" t="inlineStr">
        <is>
          <t>GridOnly</t>
        </is>
      </c>
      <c r="F1579" t="inlineStr">
        <is>
          <t>LITTORAL</t>
        </is>
      </c>
      <c r="G1579" t="inlineStr">
        <is>
          <t>Douala</t>
        </is>
      </c>
      <c r="H1579" t="inlineStr">
        <is>
          <t>ZTE</t>
        </is>
      </c>
      <c r="I1579" t="n">
        <v>0</v>
      </c>
      <c r="J1579" t="n">
        <v>0</v>
      </c>
      <c r="K1579" t="n">
        <v>0</v>
      </c>
      <c r="L1579" t="n">
        <v>0</v>
      </c>
      <c r="M1579" t="n">
        <v>0</v>
      </c>
      <c r="N1579" t="n">
        <v>0</v>
      </c>
      <c r="O1579" t="n">
        <v>0</v>
      </c>
      <c r="P1579" t="n">
        <v>0</v>
      </c>
      <c r="Q1579" t="n">
        <v>0</v>
      </c>
      <c r="R1579" t="inlineStr">
        <is>
          <t>Operationnel</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row>
    <row r="1580">
      <c r="A1580" t="inlineStr">
        <is>
          <t>CTR_950_Z_Nkolbisson-Claretains</t>
        </is>
      </c>
      <c r="B1580" t="inlineStr">
        <is>
          <t>CTR_950</t>
        </is>
      </c>
      <c r="C1580" t="inlineStr">
        <is>
          <t>Yaounde</t>
        </is>
      </c>
      <c r="D1580" t="inlineStr">
        <is>
          <t>ESCO</t>
        </is>
      </c>
      <c r="E1580" t="inlineStr"/>
      <c r="F1580" t="inlineStr">
        <is>
          <t>CENTRE</t>
        </is>
      </c>
      <c r="G1580" t="inlineStr">
        <is>
          <t>Yaounde</t>
        </is>
      </c>
      <c r="H1580" t="inlineStr">
        <is>
          <t>ZTE</t>
        </is>
      </c>
      <c r="I1580" t="n">
        <v>0</v>
      </c>
      <c r="J1580" t="n">
        <v>0</v>
      </c>
      <c r="K1580" t="n">
        <v>0</v>
      </c>
      <c r="L1580" t="n">
        <v>0</v>
      </c>
      <c r="M1580" t="n">
        <v>0</v>
      </c>
      <c r="N1580" t="n">
        <v>0</v>
      </c>
      <c r="O1580" t="n">
        <v>0</v>
      </c>
      <c r="P1580" t="n">
        <v>0</v>
      </c>
      <c r="Q1580" t="n">
        <v>0</v>
      </c>
      <c r="R1580" t="inlineStr">
        <is>
          <t>Operationnel</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row>
    <row r="1581">
      <c r="A1581" t="inlineStr">
        <is>
          <t>Miende-MTN</t>
        </is>
      </c>
      <c r="B1581" t="inlineStr">
        <is>
          <t>CTR_307</t>
        </is>
      </c>
      <c r="C1581" t="inlineStr">
        <is>
          <t>CENTRE</t>
        </is>
      </c>
      <c r="D1581" t="inlineStr">
        <is>
          <t>IHS</t>
        </is>
      </c>
      <c r="E1581" t="inlineStr"/>
      <c r="F1581" t="inlineStr">
        <is>
          <t>CENTRE</t>
        </is>
      </c>
      <c r="G1581" t="inlineStr">
        <is>
          <t>Miende</t>
        </is>
      </c>
      <c r="H1581" t="inlineStr">
        <is>
          <t>NOKIA</t>
        </is>
      </c>
      <c r="I1581" t="n">
        <v>0</v>
      </c>
      <c r="J1581" t="n">
        <v>0</v>
      </c>
      <c r="K1581" t="n">
        <v>0</v>
      </c>
      <c r="L1581" t="n">
        <v>0</v>
      </c>
      <c r="M1581" t="n">
        <v>0</v>
      </c>
      <c r="N1581" t="n">
        <v>0</v>
      </c>
      <c r="O1581" t="n">
        <v>0</v>
      </c>
      <c r="P1581" t="n">
        <v>0</v>
      </c>
      <c r="Q1581" t="n">
        <v>0</v>
      </c>
      <c r="R1581" t="inlineStr">
        <is>
          <t>Operationnel</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row>
    <row r="1582">
      <c r="A1582" t="inlineStr">
        <is>
          <t>Camp-Sonel</t>
        </is>
      </c>
      <c r="B1582" t="inlineStr">
        <is>
          <t>CTR_595</t>
        </is>
      </c>
      <c r="C1582" t="inlineStr">
        <is>
          <t>Yaounde</t>
        </is>
      </c>
      <c r="D1582" t="inlineStr">
        <is>
          <t>CAMUSAT</t>
        </is>
      </c>
      <c r="E1582" t="inlineStr">
        <is>
          <t>Good Grid no GE - 8h</t>
        </is>
      </c>
      <c r="F1582" t="inlineStr">
        <is>
          <t>CENTRE</t>
        </is>
      </c>
      <c r="G1582" t="inlineStr">
        <is>
          <t>Yaounde</t>
        </is>
      </c>
      <c r="H1582" t="inlineStr">
        <is>
          <t>ZTE</t>
        </is>
      </c>
      <c r="I1582" t="n">
        <v>0</v>
      </c>
      <c r="J1582" t="n">
        <v>0</v>
      </c>
      <c r="K1582" t="n">
        <v>0</v>
      </c>
      <c r="L1582" t="n">
        <v>0</v>
      </c>
      <c r="M1582" t="n">
        <v>0</v>
      </c>
      <c r="N1582" t="n">
        <v>0</v>
      </c>
      <c r="O1582" t="n">
        <v>0</v>
      </c>
      <c r="P1582" t="n">
        <v>0</v>
      </c>
      <c r="Q1582" t="n">
        <v>0</v>
      </c>
      <c r="R1582" t="inlineStr">
        <is>
          <t>Operationnel</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row>
    <row r="1583">
      <c r="A1583" t="inlineStr">
        <is>
          <t>Maroua-University-IHS</t>
        </is>
      </c>
      <c r="B1583" t="inlineStr">
        <is>
          <t>EXN_117</t>
        </is>
      </c>
      <c r="C1583" t="inlineStr">
        <is>
          <t>Maroua</t>
        </is>
      </c>
      <c r="D1583" t="inlineStr">
        <is>
          <t>IHS</t>
        </is>
      </c>
      <c r="E1583" t="inlineStr">
        <is>
          <t>Grid-Gen</t>
        </is>
      </c>
      <c r="F1583" t="inlineStr">
        <is>
          <t>EXTREME-NORD</t>
        </is>
      </c>
      <c r="G1583" t="inlineStr">
        <is>
          <t>Maroua</t>
        </is>
      </c>
      <c r="H1583" t="inlineStr">
        <is>
          <t>Huawei</t>
        </is>
      </c>
      <c r="I1583" t="n">
        <v>0</v>
      </c>
      <c r="J1583" t="n">
        <v>0</v>
      </c>
      <c r="K1583" t="n">
        <v>0</v>
      </c>
      <c r="L1583" t="n">
        <v>0</v>
      </c>
      <c r="M1583" t="n">
        <v>0</v>
      </c>
      <c r="N1583" t="n">
        <v>0</v>
      </c>
      <c r="O1583" t="n">
        <v>0</v>
      </c>
      <c r="P1583" t="n">
        <v>0</v>
      </c>
      <c r="Q1583" t="n">
        <v>0</v>
      </c>
      <c r="R1583" t="inlineStr">
        <is>
          <t>Operationnel</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row>
    <row r="1584">
      <c r="A1584" t="inlineStr">
        <is>
          <t>H-Plateau-New</t>
        </is>
      </c>
      <c r="B1584" t="inlineStr">
        <is>
          <t>CTR_484</t>
        </is>
      </c>
      <c r="C1584" t="inlineStr">
        <is>
          <t>Yaounde</t>
        </is>
      </c>
      <c r="D1584" t="inlineStr">
        <is>
          <t>IHS</t>
        </is>
      </c>
      <c r="E1584" t="inlineStr">
        <is>
          <t>Grid-Gen</t>
        </is>
      </c>
      <c r="F1584" t="inlineStr">
        <is>
          <t>CENTRE</t>
        </is>
      </c>
      <c r="G1584" t="inlineStr">
        <is>
          <t>Yaounde</t>
        </is>
      </c>
      <c r="H1584" t="inlineStr">
        <is>
          <t>ZTE</t>
        </is>
      </c>
      <c r="I1584" t="n">
        <v>0</v>
      </c>
      <c r="J1584" t="n">
        <v>0</v>
      </c>
      <c r="K1584" t="n">
        <v>0</v>
      </c>
      <c r="L1584" t="n">
        <v>0</v>
      </c>
      <c r="M1584" t="n">
        <v>0</v>
      </c>
      <c r="N1584" t="n">
        <v>0</v>
      </c>
      <c r="O1584" t="n">
        <v>0</v>
      </c>
      <c r="P1584" t="n">
        <v>0</v>
      </c>
      <c r="Q1584" t="n">
        <v>0</v>
      </c>
      <c r="R1584" t="inlineStr">
        <is>
          <t>Operationnel</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row>
    <row r="1585">
      <c r="A1585" t="inlineStr">
        <is>
          <t>CTR_947_Z_Nkoabang-Tradex</t>
        </is>
      </c>
      <c r="B1585" t="inlineStr">
        <is>
          <t>CTR_947</t>
        </is>
      </c>
      <c r="C1585" t="inlineStr">
        <is>
          <t>Yaounde</t>
        </is>
      </c>
      <c r="D1585" t="inlineStr">
        <is>
          <t>ESCO</t>
        </is>
      </c>
      <c r="E1585" t="inlineStr">
        <is>
          <t>meduim grid + GE</t>
        </is>
      </c>
      <c r="F1585" t="inlineStr">
        <is>
          <t>CENTRE</t>
        </is>
      </c>
      <c r="G1585" t="inlineStr">
        <is>
          <t>Yaoundé</t>
        </is>
      </c>
      <c r="H1585" t="inlineStr">
        <is>
          <t>ZTE</t>
        </is>
      </c>
      <c r="I1585" t="n">
        <v>0</v>
      </c>
      <c r="J1585" t="n">
        <v>0</v>
      </c>
      <c r="K1585" t="n">
        <v>0</v>
      </c>
      <c r="L1585" t="n">
        <v>0</v>
      </c>
      <c r="M1585" t="n">
        <v>0</v>
      </c>
      <c r="N1585" t="n">
        <v>0</v>
      </c>
      <c r="O1585" t="n">
        <v>0</v>
      </c>
      <c r="P1585" t="n">
        <v>0</v>
      </c>
      <c r="Q1585" t="n">
        <v>0</v>
      </c>
      <c r="R1585" t="inlineStr">
        <is>
          <t>Operationnel</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row>
    <row r="1586">
      <c r="A1586" t="inlineStr">
        <is>
          <t>Mimboman-Liberte-IHS</t>
        </is>
      </c>
      <c r="B1586" t="inlineStr">
        <is>
          <t>CTR_552</t>
        </is>
      </c>
      <c r="C1586" t="inlineStr">
        <is>
          <t>Yaounde</t>
        </is>
      </c>
      <c r="D1586" t="inlineStr">
        <is>
          <t>IHS</t>
        </is>
      </c>
      <c r="E1586" t="inlineStr">
        <is>
          <t>Grid-Gen</t>
        </is>
      </c>
      <c r="F1586" t="inlineStr">
        <is>
          <t>CENTRE</t>
        </is>
      </c>
      <c r="G1586" t="inlineStr">
        <is>
          <t>Yaounde</t>
        </is>
      </c>
      <c r="H1586" t="inlineStr">
        <is>
          <t>ZTE</t>
        </is>
      </c>
      <c r="I1586" t="n">
        <v>0</v>
      </c>
      <c r="J1586" t="n">
        <v>0</v>
      </c>
      <c r="K1586" t="n">
        <v>0</v>
      </c>
      <c r="L1586" t="n">
        <v>0</v>
      </c>
      <c r="M1586" t="n">
        <v>0</v>
      </c>
      <c r="N1586" t="n">
        <v>0</v>
      </c>
      <c r="O1586" t="n">
        <v>0</v>
      </c>
      <c r="P1586" t="n">
        <v>0</v>
      </c>
      <c r="Q1586" t="n">
        <v>0</v>
      </c>
      <c r="R1586" t="inlineStr">
        <is>
          <t>Operationnel</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row>
    <row r="1587">
      <c r="A1587" t="inlineStr">
        <is>
          <t>Mvog-Ada-TKC</t>
        </is>
      </c>
      <c r="B1587" t="inlineStr">
        <is>
          <t>CTR_096</t>
        </is>
      </c>
      <c r="C1587" t="inlineStr">
        <is>
          <t>Yaounde</t>
        </is>
      </c>
      <c r="D1587" t="inlineStr">
        <is>
          <t>IHS</t>
        </is>
      </c>
      <c r="E1587" t="inlineStr">
        <is>
          <t>Grid-Lithium</t>
        </is>
      </c>
      <c r="F1587" t="inlineStr">
        <is>
          <t>CENTRE</t>
        </is>
      </c>
      <c r="G1587" t="inlineStr">
        <is>
          <t>Yaounde</t>
        </is>
      </c>
      <c r="H1587" t="inlineStr">
        <is>
          <t>ZTE</t>
        </is>
      </c>
      <c r="I1587" t="n">
        <v>0</v>
      </c>
      <c r="J1587" t="n">
        <v>0</v>
      </c>
      <c r="K1587" t="n">
        <v>0</v>
      </c>
      <c r="L1587" t="n">
        <v>0</v>
      </c>
      <c r="M1587" t="n">
        <v>0</v>
      </c>
      <c r="N1587" t="n">
        <v>0</v>
      </c>
      <c r="O1587" t="n">
        <v>0</v>
      </c>
      <c r="P1587" t="n">
        <v>0</v>
      </c>
      <c r="Q1587" t="n">
        <v>0</v>
      </c>
      <c r="R1587" t="inlineStr">
        <is>
          <t>Operationnel</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row>
    <row r="1588">
      <c r="A1588" t="inlineStr">
        <is>
          <t>Mimboman-Don-Bosco</t>
        </is>
      </c>
      <c r="B1588" t="inlineStr">
        <is>
          <t>CTR_654</t>
        </is>
      </c>
      <c r="C1588" t="inlineStr">
        <is>
          <t>Yaounde</t>
        </is>
      </c>
      <c r="D1588" t="inlineStr">
        <is>
          <t>CAMUSAT</t>
        </is>
      </c>
      <c r="E1588" t="inlineStr">
        <is>
          <t>Good Grid no GE - 8h</t>
        </is>
      </c>
      <c r="F1588" t="inlineStr">
        <is>
          <t>CENTRE</t>
        </is>
      </c>
      <c r="G1588" t="inlineStr">
        <is>
          <t>Yaounde</t>
        </is>
      </c>
      <c r="H1588" t="inlineStr">
        <is>
          <t>ZTE</t>
        </is>
      </c>
      <c r="I1588" t="n">
        <v>0</v>
      </c>
      <c r="J1588" t="n">
        <v>0</v>
      </c>
      <c r="K1588" t="n">
        <v>0</v>
      </c>
      <c r="L1588" t="n">
        <v>0</v>
      </c>
      <c r="M1588" t="n">
        <v>0</v>
      </c>
      <c r="N1588" t="n">
        <v>0</v>
      </c>
      <c r="O1588" t="n">
        <v>0</v>
      </c>
      <c r="P1588" t="n">
        <v>0</v>
      </c>
      <c r="Q1588" t="n">
        <v>0</v>
      </c>
      <c r="R1588" t="inlineStr">
        <is>
          <t>Operationnel</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row>
    <row r="1589">
      <c r="A1589" t="inlineStr">
        <is>
          <t>Berunda-MTN</t>
        </is>
      </c>
      <c r="B1589" t="inlineStr">
        <is>
          <t>SUO_066</t>
        </is>
      </c>
      <c r="C1589" t="inlineStr">
        <is>
          <t>SUD-OUEST</t>
        </is>
      </c>
      <c r="D1589" t="inlineStr">
        <is>
          <t>IHS</t>
        </is>
      </c>
      <c r="E1589" t="inlineStr">
        <is>
          <t>Grid-Gen</t>
        </is>
      </c>
      <c r="F1589" t="inlineStr">
        <is>
          <t>SUD-OUEST</t>
        </is>
      </c>
      <c r="G1589" t="inlineStr">
        <is>
          <t>Buea</t>
        </is>
      </c>
      <c r="H1589" t="inlineStr">
        <is>
          <t>Huawei</t>
        </is>
      </c>
      <c r="I1589" t="n">
        <v>0</v>
      </c>
      <c r="J1589" t="n">
        <v>0</v>
      </c>
      <c r="K1589" t="n">
        <v>0</v>
      </c>
      <c r="L1589" t="n">
        <v>0</v>
      </c>
      <c r="M1589" t="n">
        <v>0</v>
      </c>
      <c r="N1589" t="n">
        <v>0</v>
      </c>
      <c r="O1589" t="n">
        <v>0</v>
      </c>
      <c r="P1589" t="n">
        <v>0</v>
      </c>
      <c r="Q1589" t="n">
        <v>0</v>
      </c>
      <c r="R1589" t="inlineStr">
        <is>
          <t>Operationnel</t>
        </is>
      </c>
      <c r="S1589" t="inlineStr"/>
      <c r="T1589" t="inlineStr"/>
      <c r="U1589" t="inlineStr"/>
      <c r="V1589" t="inlineStr"/>
      <c r="W1589" t="inlineStr"/>
      <c r="X1589" t="inlineStr">
        <is>
          <t>{05-25-2026 retour IHS}: IHS</t>
        </is>
      </c>
      <c r="Y1589" t="inlineStr">
        <is>
          <t>IHS</t>
        </is>
      </c>
      <c r="Z1589" t="inlineStr"/>
      <c r="AA1589" t="inlineStr"/>
      <c r="AB1589" t="inlineStr"/>
      <c r="AC1589" t="inlineStr"/>
      <c r="AD1589" t="inlineStr">
        <is>
          <t>{05-25-2026 retour IHS}: IHS</t>
        </is>
      </c>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row>
    <row r="1590">
      <c r="A1590" t="inlineStr">
        <is>
          <t>Bonewonda</t>
        </is>
      </c>
      <c r="B1590" t="inlineStr">
        <is>
          <t>LIT_074</t>
        </is>
      </c>
      <c r="C1590" t="inlineStr">
        <is>
          <t>Douala</t>
        </is>
      </c>
      <c r="D1590" t="inlineStr">
        <is>
          <t>IHS</t>
        </is>
      </c>
      <c r="E1590" t="inlineStr">
        <is>
          <t>Grid-Gen</t>
        </is>
      </c>
      <c r="F1590" t="inlineStr">
        <is>
          <t>LITTORAL</t>
        </is>
      </c>
      <c r="G1590" t="inlineStr">
        <is>
          <t>Douala</t>
        </is>
      </c>
      <c r="H1590" t="inlineStr">
        <is>
          <t>ZTE</t>
        </is>
      </c>
      <c r="I1590" t="n">
        <v>0</v>
      </c>
      <c r="J1590" t="n">
        <v>0</v>
      </c>
      <c r="K1590" t="n">
        <v>0</v>
      </c>
      <c r="L1590" t="n">
        <v>0</v>
      </c>
      <c r="M1590" t="n">
        <v>0</v>
      </c>
      <c r="N1590" t="n">
        <v>0</v>
      </c>
      <c r="O1590" t="n">
        <v>0</v>
      </c>
      <c r="P1590" t="n">
        <v>0</v>
      </c>
      <c r="Q1590" t="n">
        <v>0</v>
      </c>
      <c r="R1590" t="inlineStr">
        <is>
          <t>Operationnel</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row>
    <row r="1591">
      <c r="A1591" t="inlineStr">
        <is>
          <t>Oyomabang-Ecole-IHS</t>
        </is>
      </c>
      <c r="B1591" t="inlineStr">
        <is>
          <t>CTR_553</t>
        </is>
      </c>
      <c r="C1591" t="inlineStr">
        <is>
          <t>Yaounde</t>
        </is>
      </c>
      <c r="D1591" t="inlineStr">
        <is>
          <t>IHS</t>
        </is>
      </c>
      <c r="E1591" t="inlineStr">
        <is>
          <t>Grid-Gen</t>
        </is>
      </c>
      <c r="F1591" t="inlineStr">
        <is>
          <t>CENTRE</t>
        </is>
      </c>
      <c r="G1591" t="inlineStr">
        <is>
          <t>Yaounde</t>
        </is>
      </c>
      <c r="H1591" t="inlineStr">
        <is>
          <t>ZTE</t>
        </is>
      </c>
      <c r="I1591" t="n">
        <v>0</v>
      </c>
      <c r="J1591" t="n">
        <v>0</v>
      </c>
      <c r="K1591" t="n">
        <v>0</v>
      </c>
      <c r="L1591" t="n">
        <v>0</v>
      </c>
      <c r="M1591" t="n">
        <v>0</v>
      </c>
      <c r="N1591" t="n">
        <v>0</v>
      </c>
      <c r="O1591" t="n">
        <v>0</v>
      </c>
      <c r="P1591" t="n">
        <v>0</v>
      </c>
      <c r="Q1591" t="n">
        <v>0</v>
      </c>
      <c r="R1591" t="inlineStr">
        <is>
          <t>Operationnel</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row>
    <row r="1592">
      <c r="A1592" t="inlineStr">
        <is>
          <t>Minisite_Crf-Nkoabang</t>
        </is>
      </c>
      <c r="B1592" t="inlineStr">
        <is>
          <t>CTR_881</t>
        </is>
      </c>
      <c r="C1592" t="inlineStr">
        <is>
          <t>Yaounde</t>
        </is>
      </c>
      <c r="D1592" t="inlineStr">
        <is>
          <t>IHS</t>
        </is>
      </c>
      <c r="E1592" t="inlineStr">
        <is>
          <t>Grid + Solar</t>
        </is>
      </c>
      <c r="F1592" t="inlineStr">
        <is>
          <t>CENTRE</t>
        </is>
      </c>
      <c r="G1592" t="inlineStr">
        <is>
          <t>Yaounde</t>
        </is>
      </c>
      <c r="H1592" t="inlineStr">
        <is>
          <t>ZTE</t>
        </is>
      </c>
      <c r="I1592" t="n">
        <v>0</v>
      </c>
      <c r="J1592" t="n">
        <v>0</v>
      </c>
      <c r="K1592" t="n">
        <v>0</v>
      </c>
      <c r="L1592" t="n">
        <v>0</v>
      </c>
      <c r="M1592" t="n">
        <v>0</v>
      </c>
      <c r="N1592" t="n">
        <v>0</v>
      </c>
      <c r="O1592" t="n">
        <v>0</v>
      </c>
      <c r="P1592" t="n">
        <v>0</v>
      </c>
      <c r="Q1592" t="n">
        <v>0</v>
      </c>
      <c r="R1592" t="inlineStr">
        <is>
          <t>Operationnel</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row>
    <row r="1593">
      <c r="A1593" t="inlineStr">
        <is>
          <t>Indoor-Agence-Ngaoundere</t>
        </is>
      </c>
      <c r="B1593" t="inlineStr">
        <is>
          <t>ADM_176</t>
        </is>
      </c>
      <c r="C1593" t="inlineStr">
        <is>
          <t>Ngaoundere</t>
        </is>
      </c>
      <c r="D1593" t="inlineStr"/>
      <c r="E1593" t="inlineStr"/>
      <c r="F1593" t="inlineStr">
        <is>
          <t>ADAMAOUA</t>
        </is>
      </c>
      <c r="G1593" t="inlineStr">
        <is>
          <t>Ngaoundere</t>
        </is>
      </c>
      <c r="H1593" t="inlineStr">
        <is>
          <t>Huawei</t>
        </is>
      </c>
      <c r="I1593" t="n">
        <v>0</v>
      </c>
      <c r="J1593" t="n">
        <v>0</v>
      </c>
      <c r="K1593" t="n">
        <v>0</v>
      </c>
      <c r="L1593" t="n">
        <v>0</v>
      </c>
      <c r="M1593" t="n">
        <v>0</v>
      </c>
      <c r="N1593" t="n">
        <v>0</v>
      </c>
      <c r="O1593" t="n">
        <v>0</v>
      </c>
      <c r="P1593" t="n">
        <v>0</v>
      </c>
      <c r="Q1593" t="n">
        <v>0</v>
      </c>
      <c r="R1593" t="inlineStr">
        <is>
          <t>Operationnel</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row>
    <row r="1594">
      <c r="A1594" t="inlineStr">
        <is>
          <t>Ngonga</t>
        </is>
      </c>
      <c r="B1594" t="inlineStr">
        <is>
          <t>LIT_135</t>
        </is>
      </c>
      <c r="C1594" t="inlineStr">
        <is>
          <t>LITTORAL</t>
        </is>
      </c>
      <c r="D1594" t="inlineStr">
        <is>
          <t>IHS</t>
        </is>
      </c>
      <c r="E1594" t="inlineStr">
        <is>
          <t>Grid-Gen</t>
        </is>
      </c>
      <c r="F1594" t="inlineStr">
        <is>
          <t>LITTORAL</t>
        </is>
      </c>
      <c r="G1594" t="inlineStr">
        <is>
          <t>Ngonga</t>
        </is>
      </c>
      <c r="H1594" t="inlineStr">
        <is>
          <t>NOKIA</t>
        </is>
      </c>
      <c r="I1594" t="n">
        <v>0</v>
      </c>
      <c r="J1594" t="n">
        <v>0</v>
      </c>
      <c r="K1594" t="n">
        <v>0</v>
      </c>
      <c r="L1594" t="n">
        <v>0</v>
      </c>
      <c r="M1594" t="n">
        <v>0</v>
      </c>
      <c r="N1594" t="n">
        <v>0</v>
      </c>
      <c r="O1594" t="n">
        <v>0</v>
      </c>
      <c r="P1594" t="n">
        <v>0</v>
      </c>
      <c r="Q1594" t="n">
        <v>0</v>
      </c>
      <c r="R1594" t="inlineStr">
        <is>
          <t>Operationnel</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row>
    <row r="1595">
      <c r="A1595" t="inlineStr">
        <is>
          <t>Carrefour-Diderot</t>
        </is>
      </c>
      <c r="B1595" t="inlineStr">
        <is>
          <t>CTR_841</t>
        </is>
      </c>
      <c r="C1595" t="inlineStr">
        <is>
          <t>Yaounde</t>
        </is>
      </c>
      <c r="D1595" t="inlineStr">
        <is>
          <t>CAMUSAT</t>
        </is>
      </c>
      <c r="E1595" t="inlineStr">
        <is>
          <t>Good Grid no GE - 8h</t>
        </is>
      </c>
      <c r="F1595" t="inlineStr">
        <is>
          <t>CENTRE</t>
        </is>
      </c>
      <c r="G1595" t="inlineStr">
        <is>
          <t>Yaounde</t>
        </is>
      </c>
      <c r="H1595" t="inlineStr">
        <is>
          <t>ZTE</t>
        </is>
      </c>
      <c r="I1595" t="n">
        <v>0</v>
      </c>
      <c r="J1595" t="n">
        <v>0</v>
      </c>
      <c r="K1595" t="n">
        <v>0</v>
      </c>
      <c r="L1595" t="n">
        <v>0</v>
      </c>
      <c r="M1595" t="n">
        <v>0</v>
      </c>
      <c r="N1595" t="n">
        <v>0</v>
      </c>
      <c r="O1595" t="n">
        <v>0</v>
      </c>
      <c r="P1595" t="n">
        <v>0</v>
      </c>
      <c r="Q1595" t="n">
        <v>0</v>
      </c>
      <c r="R1595" t="inlineStr">
        <is>
          <t>Operationnel</t>
        </is>
      </c>
      <c r="S1595" t="inlineStr"/>
      <c r="T1595" t="inlineStr"/>
      <c r="U1595" t="inlineStr"/>
      <c r="V1595" t="inlineStr"/>
      <c r="W1595" t="inlineStr"/>
      <c r="X1595" t="inlineStr">
        <is>
          <t>{05-25-2026 retour CAMUSAT}: Grid outage Grid only site</t>
        </is>
      </c>
      <c r="Y1595" t="inlineStr">
        <is>
          <t>Grid outage Grid only site</t>
        </is>
      </c>
      <c r="Z1595" t="inlineStr"/>
      <c r="AA1595" t="inlineStr"/>
      <c r="AB1595" t="inlineStr"/>
      <c r="AC1595" t="inlineStr">
        <is>
          <t>{05-25-2026 retour CAMUSAT}: Grid outage Grid only site</t>
        </is>
      </c>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row>
    <row r="1596">
      <c r="A1596" t="inlineStr">
        <is>
          <t>Logpom-Bilingual-School</t>
        </is>
      </c>
      <c r="B1596" t="inlineStr">
        <is>
          <t>LIT_650</t>
        </is>
      </c>
      <c r="C1596" t="inlineStr">
        <is>
          <t>Douala</t>
        </is>
      </c>
      <c r="D1596" t="inlineStr">
        <is>
          <t>CAMUSAT</t>
        </is>
      </c>
      <c r="E1596" t="inlineStr">
        <is>
          <t>Good Grid no GE - 8h</t>
        </is>
      </c>
      <c r="F1596" t="inlineStr">
        <is>
          <t>LITTORAL</t>
        </is>
      </c>
      <c r="G1596" t="inlineStr">
        <is>
          <t>Douala</t>
        </is>
      </c>
      <c r="H1596" t="inlineStr">
        <is>
          <t>ZTE</t>
        </is>
      </c>
      <c r="I1596" t="n">
        <v>0</v>
      </c>
      <c r="J1596" t="n">
        <v>0</v>
      </c>
      <c r="K1596" t="n">
        <v>0</v>
      </c>
      <c r="L1596" t="n">
        <v>0</v>
      </c>
      <c r="M1596" t="n">
        <v>0</v>
      </c>
      <c r="N1596" t="n">
        <v>0</v>
      </c>
      <c r="O1596" t="n">
        <v>0</v>
      </c>
      <c r="P1596" t="n">
        <v>0</v>
      </c>
      <c r="Q1596" t="n">
        <v>0</v>
      </c>
      <c r="R1596" t="inlineStr">
        <is>
          <t>Operationnel</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row>
    <row r="1597">
      <c r="A1597" t="inlineStr">
        <is>
          <t>Kumba-Kossala2-IHS</t>
        </is>
      </c>
      <c r="B1597" t="inlineStr">
        <is>
          <t>SUO_114</t>
        </is>
      </c>
      <c r="C1597" t="inlineStr">
        <is>
          <t>SUD-OUEST</t>
        </is>
      </c>
      <c r="D1597" t="inlineStr">
        <is>
          <t>IHS</t>
        </is>
      </c>
      <c r="E1597" t="inlineStr">
        <is>
          <t>Grid-Gen</t>
        </is>
      </c>
      <c r="F1597" t="inlineStr">
        <is>
          <t>SUD-OUEST</t>
        </is>
      </c>
      <c r="G1597" t="inlineStr">
        <is>
          <t>Kumba</t>
        </is>
      </c>
      <c r="H1597" t="inlineStr">
        <is>
          <t>Huawei</t>
        </is>
      </c>
      <c r="I1597" t="n">
        <v>0</v>
      </c>
      <c r="J1597" t="n">
        <v>0</v>
      </c>
      <c r="K1597" t="n">
        <v>0</v>
      </c>
      <c r="L1597" t="n">
        <v>0</v>
      </c>
      <c r="M1597" t="n">
        <v>0</v>
      </c>
      <c r="N1597" t="n">
        <v>0</v>
      </c>
      <c r="O1597" t="n">
        <v>0</v>
      </c>
      <c r="P1597" t="n">
        <v>0</v>
      </c>
      <c r="Q1597" t="n">
        <v>0</v>
      </c>
      <c r="R1597" t="inlineStr">
        <is>
          <t>Operationnel</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row>
    <row r="1598">
      <c r="A1598" t="inlineStr">
        <is>
          <t>Kumba-Mbo-Street-IHS</t>
        </is>
      </c>
      <c r="B1598" t="inlineStr">
        <is>
          <t>SUO_116</t>
        </is>
      </c>
      <c r="C1598" t="inlineStr">
        <is>
          <t>SUD-OUEST</t>
        </is>
      </c>
      <c r="D1598" t="inlineStr">
        <is>
          <t>IHS</t>
        </is>
      </c>
      <c r="E1598" t="inlineStr">
        <is>
          <t>Grid-Gen</t>
        </is>
      </c>
      <c r="F1598" t="inlineStr">
        <is>
          <t>SUD-OUEST</t>
        </is>
      </c>
      <c r="G1598" t="inlineStr">
        <is>
          <t>Kumba</t>
        </is>
      </c>
      <c r="H1598" t="inlineStr">
        <is>
          <t>Huawei</t>
        </is>
      </c>
      <c r="I1598" t="n">
        <v>0</v>
      </c>
      <c r="J1598" t="n">
        <v>0</v>
      </c>
      <c r="K1598" t="n">
        <v>0</v>
      </c>
      <c r="L1598" t="n">
        <v>0</v>
      </c>
      <c r="M1598" t="n">
        <v>0</v>
      </c>
      <c r="N1598" t="n">
        <v>0</v>
      </c>
      <c r="O1598" t="n">
        <v>0</v>
      </c>
      <c r="P1598" t="n">
        <v>0</v>
      </c>
      <c r="Q1598" t="n">
        <v>0</v>
      </c>
      <c r="R1598" t="inlineStr">
        <is>
          <t>Operationnel</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row>
    <row r="1599">
      <c r="A1599" t="inlineStr">
        <is>
          <t>Kumba-Station-IHS</t>
        </is>
      </c>
      <c r="B1599" t="inlineStr">
        <is>
          <t>SUO_126</t>
        </is>
      </c>
      <c r="C1599" t="inlineStr">
        <is>
          <t>SUD-OUEST</t>
        </is>
      </c>
      <c r="D1599" t="inlineStr">
        <is>
          <t>IHS</t>
        </is>
      </c>
      <c r="E1599" t="inlineStr">
        <is>
          <t>Grid-Gen</t>
        </is>
      </c>
      <c r="F1599" t="inlineStr">
        <is>
          <t>SUD-OUEST</t>
        </is>
      </c>
      <c r="G1599" t="inlineStr">
        <is>
          <t>Kumba</t>
        </is>
      </c>
      <c r="H1599" t="inlineStr">
        <is>
          <t>Huawei</t>
        </is>
      </c>
      <c r="I1599" t="n">
        <v>0</v>
      </c>
      <c r="J1599" t="n">
        <v>0</v>
      </c>
      <c r="K1599" t="n">
        <v>0</v>
      </c>
      <c r="L1599" t="n">
        <v>0</v>
      </c>
      <c r="M1599" t="n">
        <v>0</v>
      </c>
      <c r="N1599" t="n">
        <v>0</v>
      </c>
      <c r="O1599" t="n">
        <v>0</v>
      </c>
      <c r="P1599" t="n">
        <v>0</v>
      </c>
      <c r="Q1599" t="n">
        <v>0</v>
      </c>
      <c r="R1599" t="inlineStr">
        <is>
          <t>Operationnel</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row>
    <row r="1600">
      <c r="A1600" t="inlineStr">
        <is>
          <t>Kumba-Kossala-IHS</t>
        </is>
      </c>
      <c r="B1600" t="inlineStr">
        <is>
          <t>SUO_113</t>
        </is>
      </c>
      <c r="C1600" t="inlineStr">
        <is>
          <t>SUD-OUEST</t>
        </is>
      </c>
      <c r="D1600" t="inlineStr">
        <is>
          <t>IHS</t>
        </is>
      </c>
      <c r="E1600" t="inlineStr">
        <is>
          <t>Grid-Gen</t>
        </is>
      </c>
      <c r="F1600" t="inlineStr">
        <is>
          <t>SUD-OUEST</t>
        </is>
      </c>
      <c r="G1600" t="inlineStr">
        <is>
          <t>Kumba</t>
        </is>
      </c>
      <c r="H1600" t="inlineStr">
        <is>
          <t>Huawei</t>
        </is>
      </c>
      <c r="I1600" t="n">
        <v>0</v>
      </c>
      <c r="J1600" t="n">
        <v>0</v>
      </c>
      <c r="K1600" t="n">
        <v>0</v>
      </c>
      <c r="L1600" t="n">
        <v>0</v>
      </c>
      <c r="M1600" t="n">
        <v>0</v>
      </c>
      <c r="N1600" t="n">
        <v>0</v>
      </c>
      <c r="O1600" t="n">
        <v>0</v>
      </c>
      <c r="P1600" t="n">
        <v>0</v>
      </c>
      <c r="Q1600" t="n">
        <v>0</v>
      </c>
      <c r="R1600" t="inlineStr">
        <is>
          <t>Operationnel</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row>
    <row r="1601">
      <c r="A1601" t="inlineStr">
        <is>
          <t>Kumba-Makata-IHS</t>
        </is>
      </c>
      <c r="B1601" t="inlineStr">
        <is>
          <t>SUO_111</t>
        </is>
      </c>
      <c r="C1601" t="inlineStr">
        <is>
          <t>SUD-OUEST</t>
        </is>
      </c>
      <c r="D1601" t="inlineStr">
        <is>
          <t>IHS</t>
        </is>
      </c>
      <c r="E1601" t="inlineStr">
        <is>
          <t>Grid-Gen</t>
        </is>
      </c>
      <c r="F1601" t="inlineStr">
        <is>
          <t>SUD-OUEST</t>
        </is>
      </c>
      <c r="G1601" t="inlineStr">
        <is>
          <t>Kumba</t>
        </is>
      </c>
      <c r="H1601" t="inlineStr">
        <is>
          <t>Huawei</t>
        </is>
      </c>
      <c r="I1601" t="n">
        <v>0</v>
      </c>
      <c r="J1601" t="n">
        <v>0</v>
      </c>
      <c r="K1601" t="n">
        <v>0</v>
      </c>
      <c r="L1601" t="n">
        <v>0</v>
      </c>
      <c r="M1601" t="n">
        <v>0</v>
      </c>
      <c r="N1601" t="n">
        <v>0</v>
      </c>
      <c r="O1601" t="n">
        <v>0</v>
      </c>
      <c r="P1601" t="n">
        <v>0</v>
      </c>
      <c r="Q1601" t="n">
        <v>0</v>
      </c>
      <c r="R1601" t="inlineStr">
        <is>
          <t>Operationnel</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row>
    <row r="1602">
      <c r="A1602" t="inlineStr">
        <is>
          <t>H-Astoria</t>
        </is>
      </c>
      <c r="B1602" t="inlineStr">
        <is>
          <t>LIT_244</t>
        </is>
      </c>
      <c r="C1602" t="inlineStr">
        <is>
          <t>Douala</t>
        </is>
      </c>
      <c r="D1602" t="inlineStr">
        <is>
          <t>IHS</t>
        </is>
      </c>
      <c r="E1602" t="inlineStr">
        <is>
          <t>Grid-Gen (LL)</t>
        </is>
      </c>
      <c r="F1602" t="inlineStr">
        <is>
          <t>LITTORAL</t>
        </is>
      </c>
      <c r="G1602" t="inlineStr">
        <is>
          <t>Douala</t>
        </is>
      </c>
      <c r="H1602" t="inlineStr">
        <is>
          <t>ZTE</t>
        </is>
      </c>
      <c r="I1602" t="n">
        <v>0</v>
      </c>
      <c r="J1602" t="n">
        <v>0</v>
      </c>
      <c r="K1602" t="n">
        <v>0</v>
      </c>
      <c r="L1602" t="n">
        <v>0</v>
      </c>
      <c r="M1602" t="n">
        <v>0</v>
      </c>
      <c r="N1602" t="n">
        <v>0</v>
      </c>
      <c r="O1602" t="n">
        <v>0</v>
      </c>
      <c r="P1602" t="n">
        <v>0</v>
      </c>
      <c r="Q1602" t="n">
        <v>0</v>
      </c>
      <c r="R1602" t="inlineStr">
        <is>
          <t>Operationnel</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row>
    <row r="1603">
      <c r="A1603" t="inlineStr">
        <is>
          <t>Bamenda-GRA-IHS</t>
        </is>
      </c>
      <c r="B1603" t="inlineStr">
        <is>
          <t>NRO_130</t>
        </is>
      </c>
      <c r="C1603" t="inlineStr">
        <is>
          <t>NORD-OUEST</t>
        </is>
      </c>
      <c r="D1603" t="inlineStr">
        <is>
          <t>IHS</t>
        </is>
      </c>
      <c r="E1603" t="inlineStr">
        <is>
          <t>Grid-Gen</t>
        </is>
      </c>
      <c r="F1603" t="inlineStr">
        <is>
          <t>NORD-OUEST</t>
        </is>
      </c>
      <c r="G1603" t="inlineStr">
        <is>
          <t>Bamenda</t>
        </is>
      </c>
      <c r="H1603" t="inlineStr">
        <is>
          <t>Huawei</t>
        </is>
      </c>
      <c r="I1603" t="n">
        <v>0</v>
      </c>
      <c r="J1603" t="n">
        <v>0</v>
      </c>
      <c r="K1603" t="n">
        <v>0</v>
      </c>
      <c r="L1603" t="n">
        <v>0</v>
      </c>
      <c r="M1603" t="n">
        <v>0</v>
      </c>
      <c r="N1603" t="n">
        <v>0</v>
      </c>
      <c r="O1603" t="n">
        <v>0</v>
      </c>
      <c r="P1603" t="n">
        <v>0</v>
      </c>
      <c r="Q1603" t="n">
        <v>0</v>
      </c>
      <c r="R1603" t="inlineStr">
        <is>
          <t>Operationnel</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row>
    <row r="1604">
      <c r="A1604" t="inlineStr">
        <is>
          <t>Ossombe-MTN</t>
        </is>
      </c>
      <c r="B1604" t="inlineStr">
        <is>
          <t>CTR_405</t>
        </is>
      </c>
      <c r="C1604" t="inlineStr">
        <is>
          <t>CENTRE</t>
        </is>
      </c>
      <c r="D1604" t="inlineStr">
        <is>
          <t>IHS</t>
        </is>
      </c>
      <c r="E1604" t="inlineStr">
        <is>
          <t>Hybrid-Gen</t>
        </is>
      </c>
      <c r="F1604" t="inlineStr">
        <is>
          <t>CENTRE</t>
        </is>
      </c>
      <c r="G1604" t="inlineStr">
        <is>
          <t>Ossombe</t>
        </is>
      </c>
      <c r="H1604" t="inlineStr">
        <is>
          <t>NOKIA</t>
        </is>
      </c>
      <c r="I1604" t="n">
        <v>0</v>
      </c>
      <c r="J1604" t="n">
        <v>0</v>
      </c>
      <c r="K1604" t="n">
        <v>0</v>
      </c>
      <c r="L1604" t="n">
        <v>0</v>
      </c>
      <c r="M1604" t="n">
        <v>0</v>
      </c>
      <c r="N1604" t="n">
        <v>0</v>
      </c>
      <c r="O1604" t="n">
        <v>0</v>
      </c>
      <c r="P1604" t="n">
        <v>0</v>
      </c>
      <c r="Q1604" t="n">
        <v>0</v>
      </c>
      <c r="R1604" t="inlineStr">
        <is>
          <t>Operationnel</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row>
    <row r="1605">
      <c r="A1605" t="inlineStr">
        <is>
          <t>Bobongo-Itba-HIS</t>
        </is>
      </c>
      <c r="B1605" t="inlineStr">
        <is>
          <t>LIT_426</t>
        </is>
      </c>
      <c r="C1605" t="inlineStr">
        <is>
          <t>Douala</t>
        </is>
      </c>
      <c r="D1605" t="inlineStr">
        <is>
          <t>IHS</t>
        </is>
      </c>
      <c r="E1605" t="inlineStr">
        <is>
          <t>Grid-Gen</t>
        </is>
      </c>
      <c r="F1605" t="inlineStr">
        <is>
          <t>LITTORAL</t>
        </is>
      </c>
      <c r="G1605" t="inlineStr">
        <is>
          <t>Douala</t>
        </is>
      </c>
      <c r="H1605" t="inlineStr">
        <is>
          <t>ZTE</t>
        </is>
      </c>
      <c r="I1605" t="n">
        <v>0</v>
      </c>
      <c r="J1605" t="n">
        <v>0</v>
      </c>
      <c r="K1605" t="n">
        <v>0</v>
      </c>
      <c r="L1605" t="n">
        <v>0</v>
      </c>
      <c r="M1605" t="n">
        <v>0</v>
      </c>
      <c r="N1605" t="n">
        <v>0</v>
      </c>
      <c r="O1605" t="n">
        <v>0</v>
      </c>
      <c r="P1605" t="n">
        <v>0</v>
      </c>
      <c r="Q1605" t="n">
        <v>0</v>
      </c>
      <c r="R1605" t="inlineStr">
        <is>
          <t>Operationnel</t>
        </is>
      </c>
      <c r="S1605" t="inlineStr"/>
      <c r="T1605" t="inlineStr"/>
      <c r="U1605" t="inlineStr"/>
      <c r="V1605" t="inlineStr"/>
      <c r="W1605" t="inlineStr"/>
      <c r="X1605" t="inlineStr">
        <is>
          <t>{05-25-2026 retour IHS}: IHS</t>
        </is>
      </c>
      <c r="Y1605" t="inlineStr">
        <is>
          <t>IHS</t>
        </is>
      </c>
      <c r="Z1605" t="inlineStr"/>
      <c r="AA1605" t="inlineStr"/>
      <c r="AB1605" t="inlineStr"/>
      <c r="AC1605" t="inlineStr"/>
      <c r="AD1605" t="inlineStr">
        <is>
          <t>{05-25-2026 retour IHS}: IHS</t>
        </is>
      </c>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row>
    <row r="1606">
      <c r="A1606" t="inlineStr">
        <is>
          <t>Gd-Moulin</t>
        </is>
      </c>
      <c r="B1606" t="inlineStr">
        <is>
          <t>LIT_054</t>
        </is>
      </c>
      <c r="C1606" t="inlineStr">
        <is>
          <t>Douala</t>
        </is>
      </c>
      <c r="D1606" t="inlineStr">
        <is>
          <t>IHS</t>
        </is>
      </c>
      <c r="E1606" t="inlineStr">
        <is>
          <t>Grid-Gen</t>
        </is>
      </c>
      <c r="F1606" t="inlineStr">
        <is>
          <t>LITTORAL</t>
        </is>
      </c>
      <c r="G1606" t="inlineStr">
        <is>
          <t>Douala</t>
        </is>
      </c>
      <c r="H1606" t="inlineStr">
        <is>
          <t>ZTE</t>
        </is>
      </c>
      <c r="I1606" t="n">
        <v>0</v>
      </c>
      <c r="J1606" t="n">
        <v>0</v>
      </c>
      <c r="K1606" t="n">
        <v>0</v>
      </c>
      <c r="L1606" t="n">
        <v>0</v>
      </c>
      <c r="M1606" t="n">
        <v>0</v>
      </c>
      <c r="N1606" t="n">
        <v>0</v>
      </c>
      <c r="O1606" t="n">
        <v>0</v>
      </c>
      <c r="P1606" t="n">
        <v>0</v>
      </c>
      <c r="Q1606" t="n">
        <v>0</v>
      </c>
      <c r="R1606" t="inlineStr">
        <is>
          <t>Operationnel</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row>
    <row r="1607">
      <c r="A1607" t="inlineStr">
        <is>
          <t>Makepe-Maturite</t>
        </is>
      </c>
      <c r="B1607" t="inlineStr">
        <is>
          <t>LIT_401</t>
        </is>
      </c>
      <c r="C1607" t="inlineStr">
        <is>
          <t>Douala</t>
        </is>
      </c>
      <c r="D1607" t="inlineStr">
        <is>
          <t>IHS</t>
        </is>
      </c>
      <c r="E1607" t="inlineStr">
        <is>
          <t>Grid-Gen</t>
        </is>
      </c>
      <c r="F1607" t="inlineStr">
        <is>
          <t>LITTORAL</t>
        </is>
      </c>
      <c r="G1607" t="inlineStr">
        <is>
          <t>Douala</t>
        </is>
      </c>
      <c r="H1607" t="inlineStr">
        <is>
          <t>ZTE</t>
        </is>
      </c>
      <c r="I1607" t="n">
        <v>0</v>
      </c>
      <c r="J1607" t="n">
        <v>0</v>
      </c>
      <c r="K1607" t="n">
        <v>0</v>
      </c>
      <c r="L1607" t="n">
        <v>0</v>
      </c>
      <c r="M1607" t="n">
        <v>0</v>
      </c>
      <c r="N1607" t="n">
        <v>0</v>
      </c>
      <c r="O1607" t="n">
        <v>0</v>
      </c>
      <c r="P1607" t="n">
        <v>0</v>
      </c>
      <c r="Q1607" t="n">
        <v>0</v>
      </c>
      <c r="R1607" t="inlineStr">
        <is>
          <t>Operationnel</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row>
    <row r="1608">
      <c r="A1608" t="inlineStr">
        <is>
          <t>Kumba-Mabanda</t>
        </is>
      </c>
      <c r="B1608" t="inlineStr">
        <is>
          <t>SUO_027</t>
        </is>
      </c>
      <c r="C1608" t="inlineStr">
        <is>
          <t>SUD-OUEST</t>
        </is>
      </c>
      <c r="D1608" t="inlineStr">
        <is>
          <t>IHS</t>
        </is>
      </c>
      <c r="E1608" t="inlineStr">
        <is>
          <t>Grid-Gen</t>
        </is>
      </c>
      <c r="F1608" t="inlineStr">
        <is>
          <t>SUD-OUEST</t>
        </is>
      </c>
      <c r="G1608" t="inlineStr">
        <is>
          <t>Kumba</t>
        </is>
      </c>
      <c r="H1608" t="inlineStr">
        <is>
          <t>Huawei</t>
        </is>
      </c>
      <c r="I1608" t="n">
        <v>0</v>
      </c>
      <c r="J1608" t="n">
        <v>0</v>
      </c>
      <c r="K1608" t="n">
        <v>0</v>
      </c>
      <c r="L1608" t="n">
        <v>0</v>
      </c>
      <c r="M1608" t="n">
        <v>0</v>
      </c>
      <c r="N1608" t="n">
        <v>0</v>
      </c>
      <c r="O1608" t="n">
        <v>0</v>
      </c>
      <c r="P1608" t="n">
        <v>0</v>
      </c>
      <c r="Q1608" t="n">
        <v>0</v>
      </c>
      <c r="R1608" t="inlineStr">
        <is>
          <t>Operationnel</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row>
    <row r="1609">
      <c r="A1609" t="inlineStr">
        <is>
          <t>Edea-Ville</t>
        </is>
      </c>
      <c r="B1609" t="inlineStr">
        <is>
          <t>LIT_078</t>
        </is>
      </c>
      <c r="C1609" t="inlineStr">
        <is>
          <t>LITTORAL</t>
        </is>
      </c>
      <c r="D1609" t="inlineStr">
        <is>
          <t>IHS</t>
        </is>
      </c>
      <c r="E1609" t="inlineStr">
        <is>
          <t>Grid-Gen</t>
        </is>
      </c>
      <c r="F1609" t="inlineStr">
        <is>
          <t>LITTORAL</t>
        </is>
      </c>
      <c r="G1609" t="inlineStr">
        <is>
          <t>Edea</t>
        </is>
      </c>
      <c r="H1609" t="inlineStr">
        <is>
          <t>ZTE</t>
        </is>
      </c>
      <c r="I1609" t="n">
        <v>0</v>
      </c>
      <c r="J1609" t="n">
        <v>0</v>
      </c>
      <c r="K1609" t="n">
        <v>0</v>
      </c>
      <c r="L1609" t="n">
        <v>0</v>
      </c>
      <c r="M1609" t="n">
        <v>0</v>
      </c>
      <c r="N1609" t="n">
        <v>0</v>
      </c>
      <c r="O1609" t="n">
        <v>0</v>
      </c>
      <c r="P1609" t="n">
        <v>0</v>
      </c>
      <c r="Q1609" t="n">
        <v>0</v>
      </c>
      <c r="R1609" t="inlineStr">
        <is>
          <t>Operationnel</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row>
    <row r="1610">
      <c r="A1610" t="inlineStr">
        <is>
          <t>Olembe-Terminus</t>
        </is>
      </c>
      <c r="B1610" t="inlineStr">
        <is>
          <t>CTR_383</t>
        </is>
      </c>
      <c r="C1610" t="inlineStr">
        <is>
          <t>Yaounde</t>
        </is>
      </c>
      <c r="D1610" t="inlineStr">
        <is>
          <t>IHS</t>
        </is>
      </c>
      <c r="E1610" t="inlineStr">
        <is>
          <t>Grid-Gen</t>
        </is>
      </c>
      <c r="F1610" t="inlineStr">
        <is>
          <t>CENTRE</t>
        </is>
      </c>
      <c r="G1610" t="inlineStr">
        <is>
          <t>Yaounde</t>
        </is>
      </c>
      <c r="H1610" t="inlineStr">
        <is>
          <t>ZTE</t>
        </is>
      </c>
      <c r="I1610" t="n">
        <v>0</v>
      </c>
      <c r="J1610" t="n">
        <v>0</v>
      </c>
      <c r="K1610" t="n">
        <v>0</v>
      </c>
      <c r="L1610" t="n">
        <v>0</v>
      </c>
      <c r="M1610" t="n">
        <v>0</v>
      </c>
      <c r="N1610" t="n">
        <v>0</v>
      </c>
      <c r="O1610" t="n">
        <v>0</v>
      </c>
      <c r="P1610" t="n">
        <v>0</v>
      </c>
      <c r="Q1610" t="n">
        <v>0</v>
      </c>
      <c r="R1610" t="inlineStr">
        <is>
          <t>Operationnel</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row>
    <row r="1611">
      <c r="A1611" t="inlineStr">
        <is>
          <t>Malangue</t>
        </is>
      </c>
      <c r="B1611" t="inlineStr">
        <is>
          <t>LIT_449</t>
        </is>
      </c>
      <c r="C1611" t="inlineStr">
        <is>
          <t>Douala</t>
        </is>
      </c>
      <c r="D1611" t="inlineStr">
        <is>
          <t>IHS</t>
        </is>
      </c>
      <c r="E1611" t="inlineStr">
        <is>
          <t>Grid-Gen</t>
        </is>
      </c>
      <c r="F1611" t="inlineStr">
        <is>
          <t>LITTORAL</t>
        </is>
      </c>
      <c r="G1611" t="inlineStr">
        <is>
          <t>Douala</t>
        </is>
      </c>
      <c r="H1611" t="inlineStr">
        <is>
          <t>ZTE</t>
        </is>
      </c>
      <c r="I1611" t="n">
        <v>0</v>
      </c>
      <c r="J1611" t="n">
        <v>0</v>
      </c>
      <c r="K1611" t="n">
        <v>0</v>
      </c>
      <c r="L1611" t="n">
        <v>0</v>
      </c>
      <c r="M1611" t="n">
        <v>0</v>
      </c>
      <c r="N1611" t="n">
        <v>0</v>
      </c>
      <c r="O1611" t="n">
        <v>0</v>
      </c>
      <c r="P1611" t="n">
        <v>0</v>
      </c>
      <c r="Q1611" t="n">
        <v>0</v>
      </c>
      <c r="R1611" t="inlineStr">
        <is>
          <t>Operationnel</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row>
    <row r="1612">
      <c r="A1612" t="inlineStr">
        <is>
          <t>C-D-Palmiers-II</t>
        </is>
      </c>
      <c r="B1612" t="inlineStr">
        <is>
          <t>LIT_371</t>
        </is>
      </c>
      <c r="C1612" t="inlineStr">
        <is>
          <t>Douala</t>
        </is>
      </c>
      <c r="D1612" t="inlineStr">
        <is>
          <t>CAMUSAT</t>
        </is>
      </c>
      <c r="E1612" t="inlineStr">
        <is>
          <t>Grid-Gen</t>
        </is>
      </c>
      <c r="F1612" t="inlineStr">
        <is>
          <t>LITTORAL</t>
        </is>
      </c>
      <c r="G1612" t="inlineStr">
        <is>
          <t>Douala</t>
        </is>
      </c>
      <c r="H1612" t="inlineStr">
        <is>
          <t>ZTE</t>
        </is>
      </c>
      <c r="I1612" t="n">
        <v>0</v>
      </c>
      <c r="J1612" t="n">
        <v>0</v>
      </c>
      <c r="K1612" t="n">
        <v>0</v>
      </c>
      <c r="L1612" t="n">
        <v>0</v>
      </c>
      <c r="M1612" t="n">
        <v>0</v>
      </c>
      <c r="N1612" t="n">
        <v>0</v>
      </c>
      <c r="O1612" t="n">
        <v>0</v>
      </c>
      <c r="P1612" t="n">
        <v>0</v>
      </c>
      <c r="Q1612" t="n">
        <v>0</v>
      </c>
      <c r="R1612" t="inlineStr">
        <is>
          <t>Operationnel</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row>
    <row r="1613">
      <c r="A1613" t="inlineStr">
        <is>
          <t>Bonamikengue</t>
        </is>
      </c>
      <c r="B1613" t="inlineStr">
        <is>
          <t>LIT_336</t>
        </is>
      </c>
      <c r="C1613" t="inlineStr">
        <is>
          <t>Douala</t>
        </is>
      </c>
      <c r="D1613" t="inlineStr">
        <is>
          <t>IHS</t>
        </is>
      </c>
      <c r="E1613" t="inlineStr">
        <is>
          <t>Grid-Gen</t>
        </is>
      </c>
      <c r="F1613" t="inlineStr">
        <is>
          <t>LITTORAL</t>
        </is>
      </c>
      <c r="G1613" t="inlineStr">
        <is>
          <t>Douala</t>
        </is>
      </c>
      <c r="H1613" t="inlineStr">
        <is>
          <t>ZTE</t>
        </is>
      </c>
      <c r="I1613" t="n">
        <v>0</v>
      </c>
      <c r="J1613" t="n">
        <v>0</v>
      </c>
      <c r="K1613" t="n">
        <v>0</v>
      </c>
      <c r="L1613" t="n">
        <v>0</v>
      </c>
      <c r="M1613" t="n">
        <v>0</v>
      </c>
      <c r="N1613" t="n">
        <v>0</v>
      </c>
      <c r="O1613" t="n">
        <v>0</v>
      </c>
      <c r="P1613" t="n">
        <v>0</v>
      </c>
      <c r="Q1613" t="n">
        <v>0</v>
      </c>
      <c r="R1613" t="inlineStr">
        <is>
          <t>Operationnel</t>
        </is>
      </c>
      <c r="S1613" t="inlineStr"/>
      <c r="T1613" t="inlineStr"/>
      <c r="U1613" t="inlineStr"/>
      <c r="V1613" t="inlineStr"/>
      <c r="W1613" t="inlineStr"/>
      <c r="X1613" t="inlineStr">
        <is>
          <t>{05-25-2026 retour IHS}: IHS</t>
        </is>
      </c>
      <c r="Y1613" t="inlineStr">
        <is>
          <t>IHS</t>
        </is>
      </c>
      <c r="Z1613" t="inlineStr"/>
      <c r="AA1613" t="inlineStr"/>
      <c r="AB1613" t="inlineStr"/>
      <c r="AC1613" t="inlineStr"/>
      <c r="AD1613" t="inlineStr">
        <is>
          <t>{05-25-2026 retour IHS}: IHS</t>
        </is>
      </c>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row>
    <row r="1614">
      <c r="A1614" t="inlineStr">
        <is>
          <t>Bepanda-TSF</t>
        </is>
      </c>
      <c r="B1614" t="inlineStr">
        <is>
          <t>LIT_366</t>
        </is>
      </c>
      <c r="C1614" t="inlineStr">
        <is>
          <t>Douala</t>
        </is>
      </c>
      <c r="D1614" t="inlineStr">
        <is>
          <t>IHS</t>
        </is>
      </c>
      <c r="E1614" t="inlineStr">
        <is>
          <t>GridOnly</t>
        </is>
      </c>
      <c r="F1614" t="inlineStr">
        <is>
          <t>LITTORAL</t>
        </is>
      </c>
      <c r="G1614" t="inlineStr">
        <is>
          <t>Douala</t>
        </is>
      </c>
      <c r="H1614" t="inlineStr">
        <is>
          <t>ZTE</t>
        </is>
      </c>
      <c r="I1614" t="n">
        <v>0</v>
      </c>
      <c r="J1614" t="n">
        <v>0</v>
      </c>
      <c r="K1614" t="n">
        <v>0</v>
      </c>
      <c r="L1614" t="n">
        <v>0</v>
      </c>
      <c r="M1614" t="n">
        <v>0</v>
      </c>
      <c r="N1614" t="n">
        <v>0</v>
      </c>
      <c r="O1614" t="n">
        <v>0</v>
      </c>
      <c r="P1614" t="n">
        <v>0</v>
      </c>
      <c r="Q1614" t="n">
        <v>0</v>
      </c>
      <c r="R1614" t="inlineStr">
        <is>
          <t>Operationnel</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row>
    <row r="1615">
      <c r="A1615" t="inlineStr">
        <is>
          <t>Edea-Peage-IHS</t>
        </is>
      </c>
      <c r="B1615" t="inlineStr">
        <is>
          <t>LIT_749</t>
        </is>
      </c>
      <c r="C1615" t="inlineStr">
        <is>
          <t>LITTORAL</t>
        </is>
      </c>
      <c r="D1615" t="inlineStr"/>
      <c r="E1615" t="inlineStr"/>
      <c r="F1615" t="inlineStr">
        <is>
          <t>LITTORAL</t>
        </is>
      </c>
      <c r="G1615" t="inlineStr">
        <is>
          <t>Edea</t>
        </is>
      </c>
      <c r="H1615" t="inlineStr">
        <is>
          <t>ZTE</t>
        </is>
      </c>
      <c r="I1615" t="n">
        <v>0</v>
      </c>
      <c r="J1615" t="n">
        <v>0</v>
      </c>
      <c r="K1615" t="n">
        <v>0</v>
      </c>
      <c r="L1615" t="n">
        <v>0</v>
      </c>
      <c r="M1615" t="n">
        <v>0</v>
      </c>
      <c r="N1615" t="n">
        <v>0</v>
      </c>
      <c r="O1615" t="n">
        <v>0</v>
      </c>
      <c r="P1615" t="n">
        <v>0</v>
      </c>
      <c r="Q1615" t="n">
        <v>0</v>
      </c>
      <c r="R1615" t="inlineStr">
        <is>
          <t>Operationnel</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row>
    <row r="1616">
      <c r="A1616" t="inlineStr">
        <is>
          <t>Makepe-Ecole-Sira</t>
        </is>
      </c>
      <c r="B1616" t="inlineStr">
        <is>
          <t>LIT_167</t>
        </is>
      </c>
      <c r="C1616" t="inlineStr">
        <is>
          <t>Douala</t>
        </is>
      </c>
      <c r="D1616" t="inlineStr">
        <is>
          <t>IHS</t>
        </is>
      </c>
      <c r="E1616" t="inlineStr">
        <is>
          <t>Grid-Gen</t>
        </is>
      </c>
      <c r="F1616" t="inlineStr">
        <is>
          <t>LITTORAL</t>
        </is>
      </c>
      <c r="G1616" t="inlineStr">
        <is>
          <t>Douala</t>
        </is>
      </c>
      <c r="H1616" t="inlineStr">
        <is>
          <t>ZTE</t>
        </is>
      </c>
      <c r="I1616" t="n">
        <v>0</v>
      </c>
      <c r="J1616" t="n">
        <v>0</v>
      </c>
      <c r="K1616" t="n">
        <v>0</v>
      </c>
      <c r="L1616" t="n">
        <v>0</v>
      </c>
      <c r="M1616" t="n">
        <v>0</v>
      </c>
      <c r="N1616" t="n">
        <v>0</v>
      </c>
      <c r="O1616" t="n">
        <v>0</v>
      </c>
      <c r="P1616" t="n">
        <v>0</v>
      </c>
      <c r="Q1616" t="n">
        <v>0</v>
      </c>
      <c r="R1616" t="inlineStr">
        <is>
          <t>Operationnel</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row>
    <row r="1617">
      <c r="A1617" t="inlineStr">
        <is>
          <t>Bep-Axe-Lrd</t>
        </is>
      </c>
      <c r="B1617" t="inlineStr">
        <is>
          <t>LIT_097</t>
        </is>
      </c>
      <c r="C1617" t="inlineStr">
        <is>
          <t>Douala</t>
        </is>
      </c>
      <c r="D1617" t="inlineStr">
        <is>
          <t>IHS</t>
        </is>
      </c>
      <c r="E1617" t="inlineStr">
        <is>
          <t>GridOnly</t>
        </is>
      </c>
      <c r="F1617" t="inlineStr">
        <is>
          <t>LITTORAL</t>
        </is>
      </c>
      <c r="G1617" t="inlineStr">
        <is>
          <t>Douala</t>
        </is>
      </c>
      <c r="H1617" t="inlineStr">
        <is>
          <t>ZTE</t>
        </is>
      </c>
      <c r="I1617" t="n">
        <v>0</v>
      </c>
      <c r="J1617" t="n">
        <v>0</v>
      </c>
      <c r="K1617" t="n">
        <v>0</v>
      </c>
      <c r="L1617" t="n">
        <v>0</v>
      </c>
      <c r="M1617" t="n">
        <v>0</v>
      </c>
      <c r="N1617" t="n">
        <v>0</v>
      </c>
      <c r="O1617" t="n">
        <v>0</v>
      </c>
      <c r="P1617" t="n">
        <v>0</v>
      </c>
      <c r="Q1617" t="n">
        <v>0</v>
      </c>
      <c r="R1617" t="inlineStr">
        <is>
          <t>Operationnel</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row>
    <row r="1618">
      <c r="A1618" t="inlineStr">
        <is>
          <t>Bepanda-Omnisport</t>
        </is>
      </c>
      <c r="B1618" t="inlineStr">
        <is>
          <t>LIT_405</t>
        </is>
      </c>
      <c r="C1618" t="inlineStr">
        <is>
          <t>Douala</t>
        </is>
      </c>
      <c r="D1618" t="inlineStr">
        <is>
          <t>CAMUSAT</t>
        </is>
      </c>
      <c r="E1618" t="inlineStr">
        <is>
          <t>Grid-Gen</t>
        </is>
      </c>
      <c r="F1618" t="inlineStr">
        <is>
          <t>LITTORAL</t>
        </is>
      </c>
      <c r="G1618" t="inlineStr">
        <is>
          <t>Douala</t>
        </is>
      </c>
      <c r="H1618" t="inlineStr">
        <is>
          <t>ZTE</t>
        </is>
      </c>
      <c r="I1618" t="n">
        <v>0</v>
      </c>
      <c r="J1618" t="n">
        <v>0</v>
      </c>
      <c r="K1618" t="n">
        <v>0</v>
      </c>
      <c r="L1618" t="n">
        <v>0</v>
      </c>
      <c r="M1618" t="n">
        <v>0</v>
      </c>
      <c r="N1618" t="n">
        <v>0</v>
      </c>
      <c r="O1618" t="n">
        <v>0</v>
      </c>
      <c r="P1618" t="n">
        <v>0</v>
      </c>
      <c r="Q1618" t="n">
        <v>0</v>
      </c>
      <c r="R1618" t="inlineStr">
        <is>
          <t>Operationnel</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row>
    <row r="1619">
      <c r="A1619" t="inlineStr">
        <is>
          <t>Bessengue</t>
        </is>
      </c>
      <c r="B1619" t="inlineStr">
        <is>
          <t>LIT_022</t>
        </is>
      </c>
      <c r="C1619" t="inlineStr">
        <is>
          <t>Douala</t>
        </is>
      </c>
      <c r="D1619" t="inlineStr">
        <is>
          <t>CAMUSAT</t>
        </is>
      </c>
      <c r="E1619" t="inlineStr">
        <is>
          <t>Good grid 100%</t>
        </is>
      </c>
      <c r="F1619" t="inlineStr">
        <is>
          <t>LITTORAL</t>
        </is>
      </c>
      <c r="G1619" t="inlineStr">
        <is>
          <t>Douala</t>
        </is>
      </c>
      <c r="H1619" t="inlineStr">
        <is>
          <t>ZTE</t>
        </is>
      </c>
      <c r="I1619" t="n">
        <v>0</v>
      </c>
      <c r="J1619" t="n">
        <v>0</v>
      </c>
      <c r="K1619" t="n">
        <v>0</v>
      </c>
      <c r="L1619" t="n">
        <v>0</v>
      </c>
      <c r="M1619" t="n">
        <v>0</v>
      </c>
      <c r="N1619" t="n">
        <v>0</v>
      </c>
      <c r="O1619" t="n">
        <v>0</v>
      </c>
      <c r="P1619" t="n">
        <v>0</v>
      </c>
      <c r="Q1619" t="n">
        <v>0</v>
      </c>
      <c r="R1619" t="inlineStr">
        <is>
          <t>Operationnel</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row>
    <row r="1620">
      <c r="A1620" t="inlineStr">
        <is>
          <t>Omnisport</t>
        </is>
      </c>
      <c r="B1620" t="inlineStr">
        <is>
          <t>LIT_102</t>
        </is>
      </c>
      <c r="C1620" t="inlineStr">
        <is>
          <t>Douala</t>
        </is>
      </c>
      <c r="D1620" t="inlineStr">
        <is>
          <t>IHS</t>
        </is>
      </c>
      <c r="E1620" t="inlineStr">
        <is>
          <t>GridOnly</t>
        </is>
      </c>
      <c r="F1620" t="inlineStr">
        <is>
          <t>LITTORAL</t>
        </is>
      </c>
      <c r="G1620" t="inlineStr">
        <is>
          <t>Douala</t>
        </is>
      </c>
      <c r="H1620" t="inlineStr">
        <is>
          <t>ZTE</t>
        </is>
      </c>
      <c r="I1620" t="n">
        <v>0</v>
      </c>
      <c r="J1620" t="n">
        <v>0</v>
      </c>
      <c r="K1620" t="n">
        <v>0</v>
      </c>
      <c r="L1620" t="n">
        <v>0</v>
      </c>
      <c r="M1620" t="n">
        <v>0</v>
      </c>
      <c r="N1620" t="n">
        <v>0</v>
      </c>
      <c r="O1620" t="n">
        <v>0</v>
      </c>
      <c r="P1620" t="n">
        <v>0</v>
      </c>
      <c r="Q1620" t="n">
        <v>0</v>
      </c>
      <c r="R1620" t="inlineStr">
        <is>
          <t>Operationnel</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row>
    <row r="1621">
      <c r="A1621" t="inlineStr">
        <is>
          <t>Maroua-Zokok-Palar-IHS</t>
        </is>
      </c>
      <c r="B1621" t="inlineStr">
        <is>
          <t>EXN_116</t>
        </is>
      </c>
      <c r="C1621" t="inlineStr">
        <is>
          <t>Maroua</t>
        </is>
      </c>
      <c r="D1621" t="inlineStr">
        <is>
          <t>IHS</t>
        </is>
      </c>
      <c r="E1621" t="inlineStr">
        <is>
          <t>Grid-Gen</t>
        </is>
      </c>
      <c r="F1621" t="inlineStr">
        <is>
          <t>EXTREME-NORD</t>
        </is>
      </c>
      <c r="G1621" t="inlineStr">
        <is>
          <t>Maroua</t>
        </is>
      </c>
      <c r="H1621" t="inlineStr">
        <is>
          <t>Huawei</t>
        </is>
      </c>
      <c r="I1621" t="n">
        <v>0</v>
      </c>
      <c r="J1621" t="n">
        <v>0</v>
      </c>
      <c r="K1621" t="n">
        <v>0</v>
      </c>
      <c r="L1621" t="n">
        <v>0</v>
      </c>
      <c r="M1621" t="n">
        <v>0</v>
      </c>
      <c r="N1621" t="n">
        <v>0</v>
      </c>
      <c r="O1621" t="n">
        <v>0</v>
      </c>
      <c r="P1621" t="n">
        <v>0</v>
      </c>
      <c r="Q1621" t="n">
        <v>0</v>
      </c>
      <c r="R1621" t="inlineStr">
        <is>
          <t>Operationnel</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row>
    <row r="1622">
      <c r="A1622" t="inlineStr">
        <is>
          <t>Nkolfoulou-II-IHS</t>
        </is>
      </c>
      <c r="B1622" t="inlineStr">
        <is>
          <t>CTR_621</t>
        </is>
      </c>
      <c r="C1622" t="inlineStr">
        <is>
          <t>Yaounde</t>
        </is>
      </c>
      <c r="D1622" t="inlineStr">
        <is>
          <t>IHS</t>
        </is>
      </c>
      <c r="E1622" t="inlineStr">
        <is>
          <t>Grid-Gen</t>
        </is>
      </c>
      <c r="F1622" t="inlineStr">
        <is>
          <t>CENTRE</t>
        </is>
      </c>
      <c r="G1622" t="inlineStr">
        <is>
          <t>Yaounde</t>
        </is>
      </c>
      <c r="H1622" t="inlineStr">
        <is>
          <t>ZTE</t>
        </is>
      </c>
      <c r="I1622" t="n">
        <v>0</v>
      </c>
      <c r="J1622" t="n">
        <v>0</v>
      </c>
      <c r="K1622" t="n">
        <v>0</v>
      </c>
      <c r="L1622" t="n">
        <v>0</v>
      </c>
      <c r="M1622" t="n">
        <v>0</v>
      </c>
      <c r="N1622" t="n">
        <v>0</v>
      </c>
      <c r="O1622" t="n">
        <v>0</v>
      </c>
      <c r="P1622" t="n">
        <v>0</v>
      </c>
      <c r="Q1622" t="n">
        <v>0</v>
      </c>
      <c r="R1622" t="inlineStr">
        <is>
          <t>Operationnel</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row>
    <row r="1623">
      <c r="A1623" t="inlineStr">
        <is>
          <t>Nkolfoulou</t>
        </is>
      </c>
      <c r="B1623" t="inlineStr">
        <is>
          <t>CTR_214</t>
        </is>
      </c>
      <c r="C1623" t="inlineStr">
        <is>
          <t>Yaounde</t>
        </is>
      </c>
      <c r="D1623" t="inlineStr">
        <is>
          <t>IHS</t>
        </is>
      </c>
      <c r="E1623" t="inlineStr">
        <is>
          <t>Grid-Gen</t>
        </is>
      </c>
      <c r="F1623" t="inlineStr">
        <is>
          <t>CENTRE</t>
        </is>
      </c>
      <c r="G1623" t="inlineStr">
        <is>
          <t>Yaounde</t>
        </is>
      </c>
      <c r="H1623" t="inlineStr">
        <is>
          <t>ZTE</t>
        </is>
      </c>
      <c r="I1623" t="n">
        <v>0</v>
      </c>
      <c r="J1623" t="n">
        <v>0</v>
      </c>
      <c r="K1623" t="n">
        <v>0</v>
      </c>
      <c r="L1623" t="n">
        <v>0</v>
      </c>
      <c r="M1623" t="n">
        <v>0</v>
      </c>
      <c r="N1623" t="n">
        <v>0</v>
      </c>
      <c r="O1623" t="n">
        <v>0</v>
      </c>
      <c r="P1623" t="n">
        <v>0</v>
      </c>
      <c r="Q1623" t="n">
        <v>0</v>
      </c>
      <c r="R1623" t="inlineStr">
        <is>
          <t>Operationnel</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row>
    <row r="1624">
      <c r="A1624" t="inlineStr">
        <is>
          <t>Mulang-IHS</t>
        </is>
      </c>
      <c r="B1624" t="inlineStr">
        <is>
          <t>NRO_120</t>
        </is>
      </c>
      <c r="C1624" t="inlineStr">
        <is>
          <t>NORD-OUEST</t>
        </is>
      </c>
      <c r="D1624" t="inlineStr">
        <is>
          <t>IHS</t>
        </is>
      </c>
      <c r="E1624" t="inlineStr">
        <is>
          <t>Grid-Gen</t>
        </is>
      </c>
      <c r="F1624" t="inlineStr">
        <is>
          <t>NORD-OUEST</t>
        </is>
      </c>
      <c r="G1624" t="inlineStr">
        <is>
          <t>Bamenda</t>
        </is>
      </c>
      <c r="H1624" t="inlineStr">
        <is>
          <t>Huawei</t>
        </is>
      </c>
      <c r="I1624" t="n">
        <v>0</v>
      </c>
      <c r="J1624" t="n">
        <v>0</v>
      </c>
      <c r="K1624" t="n">
        <v>0</v>
      </c>
      <c r="L1624" t="n">
        <v>0</v>
      </c>
      <c r="M1624" t="n">
        <v>0</v>
      </c>
      <c r="N1624" t="n">
        <v>0</v>
      </c>
      <c r="O1624" t="n">
        <v>0</v>
      </c>
      <c r="P1624" t="n">
        <v>0</v>
      </c>
      <c r="Q1624" t="n">
        <v>0</v>
      </c>
      <c r="R1624" t="inlineStr">
        <is>
          <t>Operationnel</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row>
    <row r="1625">
      <c r="A1625" t="inlineStr">
        <is>
          <t>Deido-Pharmacie-La-Rive</t>
        </is>
      </c>
      <c r="B1625" t="inlineStr">
        <is>
          <t>LIT_436</t>
        </is>
      </c>
      <c r="C1625" t="inlineStr">
        <is>
          <t>Douala</t>
        </is>
      </c>
      <c r="D1625" t="inlineStr">
        <is>
          <t>IHS</t>
        </is>
      </c>
      <c r="E1625" t="inlineStr">
        <is>
          <t>Grid-Gen</t>
        </is>
      </c>
      <c r="F1625" t="inlineStr">
        <is>
          <t>LITTORAL</t>
        </is>
      </c>
      <c r="G1625" t="inlineStr">
        <is>
          <t>Douala</t>
        </is>
      </c>
      <c r="H1625" t="inlineStr">
        <is>
          <t>ZTE</t>
        </is>
      </c>
      <c r="I1625" t="n">
        <v>0</v>
      </c>
      <c r="J1625" t="n">
        <v>0</v>
      </c>
      <c r="K1625" t="n">
        <v>0</v>
      </c>
      <c r="L1625" t="n">
        <v>0</v>
      </c>
      <c r="M1625" t="n">
        <v>0</v>
      </c>
      <c r="N1625" t="n">
        <v>0</v>
      </c>
      <c r="O1625" t="n">
        <v>0</v>
      </c>
      <c r="P1625" t="n">
        <v>0</v>
      </c>
      <c r="Q1625" t="n">
        <v>0</v>
      </c>
      <c r="R1625" t="inlineStr">
        <is>
          <t>Operationnel</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row>
    <row r="1626">
      <c r="A1626" t="inlineStr">
        <is>
          <t>YATCHIKA-IHS</t>
        </is>
      </c>
      <c r="B1626" t="inlineStr">
        <is>
          <t>LIT_482</t>
        </is>
      </c>
      <c r="C1626" t="inlineStr">
        <is>
          <t>Douala</t>
        </is>
      </c>
      <c r="D1626" t="inlineStr">
        <is>
          <t>IHS</t>
        </is>
      </c>
      <c r="E1626" t="inlineStr">
        <is>
          <t>Grid-Gen</t>
        </is>
      </c>
      <c r="F1626" t="inlineStr">
        <is>
          <t>LITTORAL</t>
        </is>
      </c>
      <c r="G1626" t="inlineStr">
        <is>
          <t>Douala</t>
        </is>
      </c>
      <c r="H1626" t="inlineStr">
        <is>
          <t>ZTE</t>
        </is>
      </c>
      <c r="I1626" t="n">
        <v>0</v>
      </c>
      <c r="J1626" t="n">
        <v>0</v>
      </c>
      <c r="K1626" t="n">
        <v>0</v>
      </c>
      <c r="L1626" t="n">
        <v>0</v>
      </c>
      <c r="M1626" t="n">
        <v>0</v>
      </c>
      <c r="N1626" t="n">
        <v>0</v>
      </c>
      <c r="O1626" t="n">
        <v>0</v>
      </c>
      <c r="P1626" t="n">
        <v>0</v>
      </c>
      <c r="Q1626" t="n">
        <v>0</v>
      </c>
      <c r="R1626" t="inlineStr">
        <is>
          <t>Operationnel</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row>
    <row r="1627">
      <c r="A1627" t="inlineStr">
        <is>
          <t>Deido-plage</t>
        </is>
      </c>
      <c r="B1627" t="inlineStr">
        <is>
          <t>LIT_345</t>
        </is>
      </c>
      <c r="C1627" t="inlineStr">
        <is>
          <t>Douala</t>
        </is>
      </c>
      <c r="D1627" t="inlineStr">
        <is>
          <t>IHS</t>
        </is>
      </c>
      <c r="E1627" t="inlineStr">
        <is>
          <t>Grid-Gen</t>
        </is>
      </c>
      <c r="F1627" t="inlineStr">
        <is>
          <t>LITTORAL</t>
        </is>
      </c>
      <c r="G1627" t="inlineStr">
        <is>
          <t>Douala</t>
        </is>
      </c>
      <c r="H1627" t="inlineStr">
        <is>
          <t>ZTE</t>
        </is>
      </c>
      <c r="I1627" t="n">
        <v>0</v>
      </c>
      <c r="J1627" t="n">
        <v>0</v>
      </c>
      <c r="K1627" t="n">
        <v>0</v>
      </c>
      <c r="L1627" t="n">
        <v>0</v>
      </c>
      <c r="M1627" t="n">
        <v>0</v>
      </c>
      <c r="N1627" t="n">
        <v>0</v>
      </c>
      <c r="O1627" t="n">
        <v>0</v>
      </c>
      <c r="P1627" t="n">
        <v>0</v>
      </c>
      <c r="Q1627" t="n">
        <v>0</v>
      </c>
      <c r="R1627" t="inlineStr">
        <is>
          <t>Operationnel</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row>
    <row r="1628">
      <c r="A1628" t="inlineStr">
        <is>
          <t>Spectrum-Bonanjo-IHS</t>
        </is>
      </c>
      <c r="B1628" t="inlineStr">
        <is>
          <t>LIT_429</t>
        </is>
      </c>
      <c r="C1628" t="inlineStr">
        <is>
          <t>Douala</t>
        </is>
      </c>
      <c r="D1628" t="inlineStr">
        <is>
          <t>IHS</t>
        </is>
      </c>
      <c r="E1628" t="inlineStr">
        <is>
          <t>Grid-Gen</t>
        </is>
      </c>
      <c r="F1628" t="inlineStr">
        <is>
          <t>LITTORAL</t>
        </is>
      </c>
      <c r="G1628" t="inlineStr">
        <is>
          <t>Douala</t>
        </is>
      </c>
      <c r="H1628" t="inlineStr">
        <is>
          <t>ZTE</t>
        </is>
      </c>
      <c r="I1628" t="n">
        <v>0</v>
      </c>
      <c r="J1628" t="n">
        <v>0</v>
      </c>
      <c r="K1628" t="n">
        <v>0</v>
      </c>
      <c r="L1628" t="n">
        <v>0</v>
      </c>
      <c r="M1628" t="n">
        <v>0</v>
      </c>
      <c r="N1628" t="n">
        <v>0</v>
      </c>
      <c r="O1628" t="n">
        <v>0</v>
      </c>
      <c r="P1628" t="n">
        <v>0</v>
      </c>
      <c r="Q1628" t="n">
        <v>0</v>
      </c>
      <c r="R1628" t="inlineStr">
        <is>
          <t>Operationnel</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row>
    <row r="1629">
      <c r="A1629" t="inlineStr">
        <is>
          <t>Bonateki-New</t>
        </is>
      </c>
      <c r="B1629" t="inlineStr">
        <is>
          <t>LIT_527</t>
        </is>
      </c>
      <c r="C1629" t="inlineStr">
        <is>
          <t>Douala</t>
        </is>
      </c>
      <c r="D1629" t="inlineStr">
        <is>
          <t>IHS</t>
        </is>
      </c>
      <c r="E1629" t="inlineStr">
        <is>
          <t>Grid-Gen</t>
        </is>
      </c>
      <c r="F1629" t="inlineStr">
        <is>
          <t>LITTORAL</t>
        </is>
      </c>
      <c r="G1629" t="inlineStr">
        <is>
          <t>Douala</t>
        </is>
      </c>
      <c r="H1629" t="inlineStr">
        <is>
          <t>ZTE</t>
        </is>
      </c>
      <c r="I1629" t="n">
        <v>0</v>
      </c>
      <c r="J1629" t="n">
        <v>0</v>
      </c>
      <c r="K1629" t="n">
        <v>0</v>
      </c>
      <c r="L1629" t="n">
        <v>0</v>
      </c>
      <c r="M1629" t="n">
        <v>0</v>
      </c>
      <c r="N1629" t="n">
        <v>0</v>
      </c>
      <c r="O1629" t="n">
        <v>0</v>
      </c>
      <c r="P1629" t="n">
        <v>0</v>
      </c>
      <c r="Q1629" t="n">
        <v>0</v>
      </c>
      <c r="R1629" t="inlineStr">
        <is>
          <t>Operationnel</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row>
    <row r="1630">
      <c r="A1630" t="inlineStr">
        <is>
          <t>Marche-Mboppi</t>
        </is>
      </c>
      <c r="B1630" t="inlineStr">
        <is>
          <t>LIT_236</t>
        </is>
      </c>
      <c r="C1630" t="inlineStr">
        <is>
          <t>Douala</t>
        </is>
      </c>
      <c r="D1630" t="inlineStr">
        <is>
          <t>IHS</t>
        </is>
      </c>
      <c r="E1630" t="inlineStr">
        <is>
          <t>Grid-Gen</t>
        </is>
      </c>
      <c r="F1630" t="inlineStr">
        <is>
          <t>LITTORAL</t>
        </is>
      </c>
      <c r="G1630" t="inlineStr">
        <is>
          <t>Douala</t>
        </is>
      </c>
      <c r="H1630" t="inlineStr">
        <is>
          <t>ZTE</t>
        </is>
      </c>
      <c r="I1630" t="n">
        <v>0</v>
      </c>
      <c r="J1630" t="n">
        <v>0</v>
      </c>
      <c r="K1630" t="n">
        <v>0</v>
      </c>
      <c r="L1630" t="n">
        <v>0</v>
      </c>
      <c r="M1630" t="n">
        <v>0</v>
      </c>
      <c r="N1630" t="n">
        <v>0</v>
      </c>
      <c r="O1630" t="n">
        <v>0</v>
      </c>
      <c r="P1630" t="n">
        <v>0</v>
      </c>
      <c r="Q1630" t="n">
        <v>0</v>
      </c>
      <c r="R1630" t="inlineStr">
        <is>
          <t>Operationnel</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row>
    <row r="1631">
      <c r="A1631" t="inlineStr">
        <is>
          <t>Minoterie</t>
        </is>
      </c>
      <c r="B1631" t="inlineStr">
        <is>
          <t>LIT_023</t>
        </is>
      </c>
      <c r="C1631" t="inlineStr">
        <is>
          <t>Douala</t>
        </is>
      </c>
      <c r="D1631" t="inlineStr">
        <is>
          <t>IHS</t>
        </is>
      </c>
      <c r="E1631" t="inlineStr">
        <is>
          <t>Grid-Gen</t>
        </is>
      </c>
      <c r="F1631" t="inlineStr">
        <is>
          <t>LITTORAL</t>
        </is>
      </c>
      <c r="G1631" t="inlineStr">
        <is>
          <t>Douala</t>
        </is>
      </c>
      <c r="H1631" t="inlineStr">
        <is>
          <t>ZTE</t>
        </is>
      </c>
      <c r="I1631" t="n">
        <v>0</v>
      </c>
      <c r="J1631" t="n">
        <v>0</v>
      </c>
      <c r="K1631" t="n">
        <v>0</v>
      </c>
      <c r="L1631" t="n">
        <v>0</v>
      </c>
      <c r="M1631" t="n">
        <v>0</v>
      </c>
      <c r="N1631" t="n">
        <v>0</v>
      </c>
      <c r="O1631" t="n">
        <v>0</v>
      </c>
      <c r="P1631" t="n">
        <v>0</v>
      </c>
      <c r="Q1631" t="n">
        <v>0</v>
      </c>
      <c r="R1631" t="inlineStr">
        <is>
          <t>Operationnel</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row>
    <row r="1632">
      <c r="A1632" t="inlineStr">
        <is>
          <t>Bpriso-ASECNA</t>
        </is>
      </c>
      <c r="B1632" t="inlineStr">
        <is>
          <t>LIT_060</t>
        </is>
      </c>
      <c r="C1632" t="inlineStr">
        <is>
          <t>Douala</t>
        </is>
      </c>
      <c r="D1632" t="inlineStr">
        <is>
          <t>IHS</t>
        </is>
      </c>
      <c r="E1632" t="inlineStr">
        <is>
          <t>Grid-Gen</t>
        </is>
      </c>
      <c r="F1632" t="inlineStr">
        <is>
          <t>LITTORAL</t>
        </is>
      </c>
      <c r="G1632" t="inlineStr">
        <is>
          <t>Douala</t>
        </is>
      </c>
      <c r="H1632" t="inlineStr">
        <is>
          <t>ZTE</t>
        </is>
      </c>
      <c r="I1632" t="n">
        <v>0</v>
      </c>
      <c r="J1632" t="n">
        <v>0</v>
      </c>
      <c r="K1632" t="n">
        <v>0</v>
      </c>
      <c r="L1632" t="n">
        <v>0</v>
      </c>
      <c r="M1632" t="n">
        <v>0</v>
      </c>
      <c r="N1632" t="n">
        <v>0</v>
      </c>
      <c r="O1632" t="n">
        <v>0</v>
      </c>
      <c r="P1632" t="n">
        <v>0</v>
      </c>
      <c r="Q1632" t="n">
        <v>0</v>
      </c>
      <c r="R1632" t="inlineStr">
        <is>
          <t>Operationnel</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row>
    <row r="1633">
      <c r="A1633" t="inlineStr">
        <is>
          <t>BICEC-Indoor</t>
        </is>
      </c>
      <c r="B1633" t="inlineStr">
        <is>
          <t>LIT_700</t>
        </is>
      </c>
      <c r="C1633" t="inlineStr">
        <is>
          <t>Douala</t>
        </is>
      </c>
      <c r="D1633" t="inlineStr">
        <is>
          <t>CAMUSAT</t>
        </is>
      </c>
      <c r="E1633" t="inlineStr">
        <is>
          <t>Good Grid no GE - 8h</t>
        </is>
      </c>
      <c r="F1633" t="inlineStr">
        <is>
          <t>LITTORAL</t>
        </is>
      </c>
      <c r="G1633" t="inlineStr">
        <is>
          <t>Douala</t>
        </is>
      </c>
      <c r="H1633" t="inlineStr">
        <is>
          <t>ZTE</t>
        </is>
      </c>
      <c r="I1633" t="n">
        <v>0</v>
      </c>
      <c r="J1633" t="n">
        <v>0</v>
      </c>
      <c r="K1633" t="n">
        <v>0</v>
      </c>
      <c r="L1633" t="n">
        <v>0</v>
      </c>
      <c r="M1633" t="n">
        <v>0</v>
      </c>
      <c r="N1633" t="n">
        <v>0</v>
      </c>
      <c r="O1633" t="n">
        <v>0</v>
      </c>
      <c r="P1633" t="n">
        <v>0</v>
      </c>
      <c r="Q1633" t="n">
        <v>0</v>
      </c>
      <c r="R1633" t="inlineStr">
        <is>
          <t>Operationnel</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row>
    <row r="1634">
      <c r="A1634" t="inlineStr">
        <is>
          <t>KRIBI-MAKAO</t>
        </is>
      </c>
      <c r="B1634" t="inlineStr">
        <is>
          <t>SUD_095</t>
        </is>
      </c>
      <c r="C1634" t="inlineStr">
        <is>
          <t>CENTRE</t>
        </is>
      </c>
      <c r="D1634" t="inlineStr">
        <is>
          <t>CAMUSAT</t>
        </is>
      </c>
      <c r="E1634" t="inlineStr">
        <is>
          <t>Good Grid + GE</t>
        </is>
      </c>
      <c r="F1634" t="inlineStr">
        <is>
          <t>SUD</t>
        </is>
      </c>
      <c r="G1634" t="inlineStr">
        <is>
          <t>Kribi</t>
        </is>
      </c>
      <c r="H1634" t="inlineStr">
        <is>
          <t>ZTE</t>
        </is>
      </c>
      <c r="I1634" t="n">
        <v>0</v>
      </c>
      <c r="J1634" t="n">
        <v>0</v>
      </c>
      <c r="K1634" t="n">
        <v>0</v>
      </c>
      <c r="L1634" t="n">
        <v>0</v>
      </c>
      <c r="M1634" t="n">
        <v>0</v>
      </c>
      <c r="N1634" t="n">
        <v>0</v>
      </c>
      <c r="O1634" t="n">
        <v>0</v>
      </c>
      <c r="P1634" t="n">
        <v>0</v>
      </c>
      <c r="Q1634" t="n">
        <v>0</v>
      </c>
      <c r="R1634" t="inlineStr">
        <is>
          <t>Operationnel</t>
        </is>
      </c>
      <c r="S1634" t="inlineStr"/>
      <c r="T1634" t="inlineStr"/>
      <c r="U1634" t="inlineStr"/>
      <c r="V1634" t="inlineStr"/>
      <c r="W1634" t="inlineStr"/>
      <c r="X1634" t="inlineStr">
        <is>
          <t xml:space="preserve">{05-25-2026 retour CAMUSAT}: No power issue </t>
        </is>
      </c>
      <c r="Y1634" t="inlineStr">
        <is>
          <t>No power issue</t>
        </is>
      </c>
      <c r="Z1634" t="inlineStr"/>
      <c r="AA1634" t="inlineStr"/>
      <c r="AB1634" t="inlineStr"/>
      <c r="AC1634" t="inlineStr">
        <is>
          <t xml:space="preserve">{05-25-2026 retour CAMUSAT}: No power issue </t>
        </is>
      </c>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row>
    <row r="1635">
      <c r="A1635" t="inlineStr">
        <is>
          <t>Garoua-Mairie</t>
        </is>
      </c>
      <c r="B1635" t="inlineStr">
        <is>
          <t>NRD_142</t>
        </is>
      </c>
      <c r="C1635" t="inlineStr">
        <is>
          <t>Garoua</t>
        </is>
      </c>
      <c r="D1635" t="inlineStr">
        <is>
          <t>CAMUSAT</t>
        </is>
      </c>
      <c r="E1635" t="inlineStr">
        <is>
          <t>Bad Grid + GE</t>
        </is>
      </c>
      <c r="F1635" t="inlineStr">
        <is>
          <t>NORD</t>
        </is>
      </c>
      <c r="G1635" t="inlineStr">
        <is>
          <t>Garoua</t>
        </is>
      </c>
      <c r="H1635" t="inlineStr">
        <is>
          <t>Huawei</t>
        </is>
      </c>
      <c r="I1635" t="n">
        <v>0</v>
      </c>
      <c r="J1635" t="n">
        <v>0</v>
      </c>
      <c r="K1635" t="n">
        <v>0</v>
      </c>
      <c r="L1635" t="n">
        <v>0</v>
      </c>
      <c r="M1635" t="n">
        <v>0</v>
      </c>
      <c r="N1635" t="n">
        <v>0</v>
      </c>
      <c r="O1635" t="n">
        <v>0</v>
      </c>
      <c r="P1635" t="n">
        <v>0</v>
      </c>
      <c r="Q1635" t="n">
        <v>0</v>
      </c>
      <c r="R1635" t="inlineStr">
        <is>
          <t>Operationnel</t>
        </is>
      </c>
      <c r="S1635" t="inlineStr"/>
      <c r="T1635" t="inlineStr"/>
      <c r="U1635" t="inlineStr"/>
      <c r="V1635" t="inlineStr"/>
      <c r="W1635" t="inlineStr"/>
      <c r="X1635" t="inlineStr">
        <is>
          <t xml:space="preserve">{05-25-2026 retour CAMUSAT}: No power issue </t>
        </is>
      </c>
      <c r="Y1635" t="inlineStr">
        <is>
          <t>No power issue</t>
        </is>
      </c>
      <c r="Z1635" t="inlineStr"/>
      <c r="AA1635" t="inlineStr"/>
      <c r="AB1635" t="inlineStr"/>
      <c r="AC1635" t="inlineStr">
        <is>
          <t xml:space="preserve">{05-25-2026 retour CAMUSAT}: No power issue </t>
        </is>
      </c>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row>
    <row r="1636">
      <c r="A1636" t="inlineStr">
        <is>
          <t>Kouen</t>
        </is>
      </c>
      <c r="B1636" t="inlineStr">
        <is>
          <t>EST_071</t>
        </is>
      </c>
      <c r="C1636" t="inlineStr">
        <is>
          <t>CENTRE</t>
        </is>
      </c>
      <c r="D1636" t="inlineStr">
        <is>
          <t>IHS</t>
        </is>
      </c>
      <c r="E1636" t="inlineStr">
        <is>
          <t>Gen Only</t>
        </is>
      </c>
      <c r="F1636" t="inlineStr">
        <is>
          <t>EST</t>
        </is>
      </c>
      <c r="G1636" t="inlineStr">
        <is>
          <t>Kouen</t>
        </is>
      </c>
      <c r="H1636" t="inlineStr">
        <is>
          <t>NOKIA</t>
        </is>
      </c>
      <c r="I1636" t="n">
        <v>0</v>
      </c>
      <c r="J1636" t="n">
        <v>0</v>
      </c>
      <c r="K1636" t="n">
        <v>0</v>
      </c>
      <c r="L1636" t="n">
        <v>0</v>
      </c>
      <c r="M1636" t="n">
        <v>0</v>
      </c>
      <c r="N1636" t="n">
        <v>0</v>
      </c>
      <c r="O1636" t="n">
        <v>0</v>
      </c>
      <c r="P1636" t="n">
        <v>0</v>
      </c>
      <c r="Q1636" t="n">
        <v>0</v>
      </c>
      <c r="R1636" t="inlineStr">
        <is>
          <t>Operationnel</t>
        </is>
      </c>
      <c r="S1636" t="inlineStr"/>
      <c r="T1636" t="inlineStr"/>
      <c r="U1636" t="inlineStr"/>
      <c r="V1636" t="inlineStr"/>
      <c r="W1636" t="inlineStr"/>
      <c r="X1636" t="inlineStr">
        <is>
          <t>{05-25-2026 ticket}: INC-20260525-00028100</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is>
          <t>{05-25-2026 ticket}: INC-20260525-00028100</t>
        </is>
      </c>
      <c r="AR1636" t="inlineStr"/>
    </row>
    <row r="1637">
      <c r="A1637" t="inlineStr">
        <is>
          <t>Messassi</t>
        </is>
      </c>
      <c r="B1637" t="inlineStr">
        <is>
          <t>CTR_337</t>
        </is>
      </c>
      <c r="C1637" t="inlineStr">
        <is>
          <t>Yaounde</t>
        </is>
      </c>
      <c r="D1637" t="inlineStr">
        <is>
          <t>IHS</t>
        </is>
      </c>
      <c r="E1637" t="inlineStr">
        <is>
          <t>Grid-Gen</t>
        </is>
      </c>
      <c r="F1637" t="inlineStr">
        <is>
          <t>CENTRE</t>
        </is>
      </c>
      <c r="G1637" t="inlineStr">
        <is>
          <t>Yaounde</t>
        </is>
      </c>
      <c r="H1637" t="inlineStr">
        <is>
          <t>ZTE</t>
        </is>
      </c>
      <c r="I1637" t="n">
        <v>0</v>
      </c>
      <c r="J1637" t="n">
        <v>0</v>
      </c>
      <c r="K1637" t="n">
        <v>0</v>
      </c>
      <c r="L1637" t="n">
        <v>0</v>
      </c>
      <c r="M1637" t="n">
        <v>0</v>
      </c>
      <c r="N1637" t="n">
        <v>0</v>
      </c>
      <c r="O1637" t="n">
        <v>0</v>
      </c>
      <c r="P1637" t="n">
        <v>0</v>
      </c>
      <c r="Q1637" t="n">
        <v>0</v>
      </c>
      <c r="R1637" t="inlineStr">
        <is>
          <t>Operationnel</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row>
    <row r="1638">
      <c r="A1638" t="inlineStr">
        <is>
          <t>Rd-Pt-Express</t>
        </is>
      </c>
      <c r="B1638" t="inlineStr">
        <is>
          <t>CTR_012</t>
        </is>
      </c>
      <c r="C1638" t="inlineStr">
        <is>
          <t>Yaounde</t>
        </is>
      </c>
      <c r="D1638" t="inlineStr">
        <is>
          <t>IHS</t>
        </is>
      </c>
      <c r="E1638" t="inlineStr">
        <is>
          <t>GridOnly</t>
        </is>
      </c>
      <c r="F1638" t="inlineStr">
        <is>
          <t>CENTRE</t>
        </is>
      </c>
      <c r="G1638" t="inlineStr">
        <is>
          <t>Yaounde</t>
        </is>
      </c>
      <c r="H1638" t="inlineStr">
        <is>
          <t>ZTE</t>
        </is>
      </c>
      <c r="I1638" t="n">
        <v>0</v>
      </c>
      <c r="J1638" t="n">
        <v>0</v>
      </c>
      <c r="K1638" t="n">
        <v>0</v>
      </c>
      <c r="L1638" t="n">
        <v>0</v>
      </c>
      <c r="M1638" t="n">
        <v>0</v>
      </c>
      <c r="N1638" t="n">
        <v>0</v>
      </c>
      <c r="O1638" t="n">
        <v>0</v>
      </c>
      <c r="P1638" t="n">
        <v>0</v>
      </c>
      <c r="Q1638" t="n">
        <v>0</v>
      </c>
      <c r="R1638" t="inlineStr">
        <is>
          <t>Operationnel</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row>
    <row r="1639">
      <c r="A1639" t="inlineStr">
        <is>
          <t>Bpriso-Vanitex-New</t>
        </is>
      </c>
      <c r="B1639" t="inlineStr">
        <is>
          <t>LIT_410</t>
        </is>
      </c>
      <c r="C1639" t="inlineStr">
        <is>
          <t>Douala</t>
        </is>
      </c>
      <c r="D1639" t="inlineStr">
        <is>
          <t>IHS</t>
        </is>
      </c>
      <c r="E1639" t="inlineStr">
        <is>
          <t>Grid-Gen</t>
        </is>
      </c>
      <c r="F1639" t="inlineStr">
        <is>
          <t>LITTORAL</t>
        </is>
      </c>
      <c r="G1639" t="inlineStr">
        <is>
          <t>Douala</t>
        </is>
      </c>
      <c r="H1639" t="inlineStr">
        <is>
          <t>ZTE</t>
        </is>
      </c>
      <c r="I1639" t="n">
        <v>0</v>
      </c>
      <c r="J1639" t="n">
        <v>0</v>
      </c>
      <c r="K1639" t="n">
        <v>0</v>
      </c>
      <c r="L1639" t="n">
        <v>0</v>
      </c>
      <c r="M1639" t="n">
        <v>0</v>
      </c>
      <c r="N1639" t="n">
        <v>0</v>
      </c>
      <c r="O1639" t="n">
        <v>0</v>
      </c>
      <c r="P1639" t="n">
        <v>0</v>
      </c>
      <c r="Q1639" t="n">
        <v>0</v>
      </c>
      <c r="R1639" t="inlineStr">
        <is>
          <t>Operationnel</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row>
    <row r="1640">
      <c r="A1640" t="inlineStr">
        <is>
          <t>Nkozoa</t>
        </is>
      </c>
      <c r="B1640" t="inlineStr">
        <is>
          <t>CTR_079</t>
        </is>
      </c>
      <c r="C1640" t="inlineStr">
        <is>
          <t>Yaounde</t>
        </is>
      </c>
      <c r="D1640" t="inlineStr">
        <is>
          <t>IHS</t>
        </is>
      </c>
      <c r="E1640" t="inlineStr">
        <is>
          <t>Grid-Gen</t>
        </is>
      </c>
      <c r="F1640" t="inlineStr">
        <is>
          <t>CENTRE</t>
        </is>
      </c>
      <c r="G1640" t="inlineStr">
        <is>
          <t>Yaounde</t>
        </is>
      </c>
      <c r="H1640" t="inlineStr">
        <is>
          <t>ZTE</t>
        </is>
      </c>
      <c r="I1640" t="n">
        <v>0</v>
      </c>
      <c r="J1640" t="n">
        <v>0</v>
      </c>
      <c r="K1640" t="n">
        <v>0</v>
      </c>
      <c r="L1640" t="n">
        <v>0</v>
      </c>
      <c r="M1640" t="n">
        <v>0</v>
      </c>
      <c r="N1640" t="n">
        <v>0</v>
      </c>
      <c r="O1640" t="n">
        <v>0</v>
      </c>
      <c r="P1640" t="n">
        <v>0</v>
      </c>
      <c r="Q1640" t="n">
        <v>0</v>
      </c>
      <c r="R1640" t="inlineStr">
        <is>
          <t>Operationnel</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row>
    <row r="1641">
      <c r="A1641" t="inlineStr">
        <is>
          <t>Foumban-Njinka</t>
        </is>
      </c>
      <c r="B1641" t="inlineStr">
        <is>
          <t>OST_101</t>
        </is>
      </c>
      <c r="C1641" t="inlineStr">
        <is>
          <t>OUEST</t>
        </is>
      </c>
      <c r="D1641" t="inlineStr">
        <is>
          <t>IHS</t>
        </is>
      </c>
      <c r="E1641" t="inlineStr">
        <is>
          <t>Grid-Gen</t>
        </is>
      </c>
      <c r="F1641" t="inlineStr">
        <is>
          <t>OUEST</t>
        </is>
      </c>
      <c r="G1641" t="inlineStr">
        <is>
          <t>Foumban</t>
        </is>
      </c>
      <c r="H1641" t="inlineStr">
        <is>
          <t>Huawei</t>
        </is>
      </c>
      <c r="I1641" t="n">
        <v>0</v>
      </c>
      <c r="J1641" t="n">
        <v>0</v>
      </c>
      <c r="K1641" t="n">
        <v>0</v>
      </c>
      <c r="L1641" t="n">
        <v>0</v>
      </c>
      <c r="M1641" t="n">
        <v>0</v>
      </c>
      <c r="N1641" t="n">
        <v>0</v>
      </c>
      <c r="O1641" t="n">
        <v>0</v>
      </c>
      <c r="P1641" t="n">
        <v>0</v>
      </c>
      <c r="Q1641" t="n">
        <v>0</v>
      </c>
      <c r="R1641" t="inlineStr">
        <is>
          <t>Operationnel</t>
        </is>
      </c>
      <c r="S1641" t="inlineStr"/>
      <c r="T1641" t="inlineStr"/>
      <c r="U1641" t="inlineStr"/>
      <c r="V1641" t="inlineStr"/>
      <c r="W1641" t="inlineStr"/>
      <c r="X1641" t="inlineStr">
        <is>
          <t xml:space="preserve">{05-25-2026 dashboard_cell}: 17/03/2026 : Week 12
14/03/2026 : Swape en cours </t>
        </is>
      </c>
      <c r="Y1641" t="inlineStr">
        <is>
          <t>{05-25-2026 dashboard_cell} 17/03/2026 Week 12
14/03/2026 Swape en cours</t>
        </is>
      </c>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is>
          <t xml:space="preserve">{05-25-2026 dashboard_cell}: 17/03/2026 : Week 12
14/03/2026 : Swape en cours </t>
        </is>
      </c>
    </row>
    <row r="1642">
      <c r="A1642" t="inlineStr">
        <is>
          <t>Edea-Bisseke</t>
        </is>
      </c>
      <c r="B1642" t="inlineStr">
        <is>
          <t>LIT_313</t>
        </is>
      </c>
      <c r="C1642" t="inlineStr">
        <is>
          <t>LITTORAL</t>
        </is>
      </c>
      <c r="D1642" t="inlineStr">
        <is>
          <t>IHS</t>
        </is>
      </c>
      <c r="E1642" t="inlineStr">
        <is>
          <t>Grid-Gen</t>
        </is>
      </c>
      <c r="F1642" t="inlineStr">
        <is>
          <t>LITTORAL</t>
        </is>
      </c>
      <c r="G1642" t="inlineStr">
        <is>
          <t>Edea</t>
        </is>
      </c>
      <c r="H1642" t="inlineStr">
        <is>
          <t>ZTE</t>
        </is>
      </c>
      <c r="I1642" t="n">
        <v>0</v>
      </c>
      <c r="J1642" t="n">
        <v>0</v>
      </c>
      <c r="K1642" t="n">
        <v>0</v>
      </c>
      <c r="L1642" t="n">
        <v>0</v>
      </c>
      <c r="M1642" t="n">
        <v>0</v>
      </c>
      <c r="N1642" t="n">
        <v>0</v>
      </c>
      <c r="O1642" t="n">
        <v>0</v>
      </c>
      <c r="P1642" t="n">
        <v>0</v>
      </c>
      <c r="Q1642" t="n">
        <v>0</v>
      </c>
      <c r="R1642" t="inlineStr">
        <is>
          <t>Operationnel</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row>
    <row r="1643">
      <c r="A1643" t="inlineStr">
        <is>
          <t>Bonendale-II</t>
        </is>
      </c>
      <c r="B1643" t="inlineStr">
        <is>
          <t>LIT_641</t>
        </is>
      </c>
      <c r="C1643" t="inlineStr">
        <is>
          <t>Douala</t>
        </is>
      </c>
      <c r="D1643" t="inlineStr">
        <is>
          <t>CAMUSAT</t>
        </is>
      </c>
      <c r="E1643" t="inlineStr">
        <is>
          <t>Good Grid + GE</t>
        </is>
      </c>
      <c r="F1643" t="inlineStr">
        <is>
          <t>LITTORAL</t>
        </is>
      </c>
      <c r="G1643" t="inlineStr">
        <is>
          <t>Douala</t>
        </is>
      </c>
      <c r="H1643" t="inlineStr">
        <is>
          <t>ZTE</t>
        </is>
      </c>
      <c r="I1643" t="n">
        <v>0</v>
      </c>
      <c r="J1643" t="n">
        <v>0</v>
      </c>
      <c r="K1643" t="n">
        <v>0</v>
      </c>
      <c r="L1643" t="n">
        <v>0</v>
      </c>
      <c r="M1643" t="n">
        <v>0</v>
      </c>
      <c r="N1643" t="n">
        <v>0</v>
      </c>
      <c r="O1643" t="n">
        <v>0</v>
      </c>
      <c r="P1643" t="n">
        <v>0</v>
      </c>
      <c r="Q1643" t="n">
        <v>0</v>
      </c>
      <c r="R1643" t="inlineStr">
        <is>
          <t>Operationnel</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row>
    <row r="1644">
      <c r="A1644" t="inlineStr">
        <is>
          <t>Maroua-Makabaye</t>
        </is>
      </c>
      <c r="B1644" t="inlineStr">
        <is>
          <t>EXN_234</t>
        </is>
      </c>
      <c r="C1644" t="inlineStr">
        <is>
          <t>Maroua</t>
        </is>
      </c>
      <c r="D1644" t="inlineStr">
        <is>
          <t>CAMUSAT</t>
        </is>
      </c>
      <c r="E1644" t="inlineStr">
        <is>
          <t>Medium Grid + GE</t>
        </is>
      </c>
      <c r="F1644" t="inlineStr">
        <is>
          <t>EXTREME-NORD</t>
        </is>
      </c>
      <c r="G1644" t="inlineStr">
        <is>
          <t>Maroua</t>
        </is>
      </c>
      <c r="H1644" t="inlineStr">
        <is>
          <t>Huawei</t>
        </is>
      </c>
      <c r="I1644" t="n">
        <v>0</v>
      </c>
      <c r="J1644" t="n">
        <v>0</v>
      </c>
      <c r="K1644" t="n">
        <v>0</v>
      </c>
      <c r="L1644" t="n">
        <v>0</v>
      </c>
      <c r="M1644" t="n">
        <v>0</v>
      </c>
      <c r="N1644" t="n">
        <v>0</v>
      </c>
      <c r="O1644" t="n">
        <v>0</v>
      </c>
      <c r="P1644" t="n">
        <v>0</v>
      </c>
      <c r="Q1644" t="n">
        <v>0</v>
      </c>
      <c r="R1644" t="inlineStr">
        <is>
          <t>Operationnel</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row>
    <row r="1645">
      <c r="A1645" t="inlineStr">
        <is>
          <t>PK10-Marche</t>
        </is>
      </c>
      <c r="B1645" t="inlineStr">
        <is>
          <t>LIT_278</t>
        </is>
      </c>
      <c r="C1645" t="inlineStr">
        <is>
          <t>Douala</t>
        </is>
      </c>
      <c r="D1645" t="inlineStr">
        <is>
          <t>IHS</t>
        </is>
      </c>
      <c r="E1645" t="inlineStr">
        <is>
          <t>Grid-Gen-Lithium</t>
        </is>
      </c>
      <c r="F1645" t="inlineStr">
        <is>
          <t>LITTORAL</t>
        </is>
      </c>
      <c r="G1645" t="inlineStr">
        <is>
          <t>Douala</t>
        </is>
      </c>
      <c r="H1645" t="inlineStr">
        <is>
          <t>ZTE</t>
        </is>
      </c>
      <c r="I1645" t="n">
        <v>0</v>
      </c>
      <c r="J1645" t="n">
        <v>0</v>
      </c>
      <c r="K1645" t="n">
        <v>0</v>
      </c>
      <c r="L1645" t="n">
        <v>0</v>
      </c>
      <c r="M1645" t="n">
        <v>0</v>
      </c>
      <c r="N1645" t="n">
        <v>0</v>
      </c>
      <c r="O1645" t="n">
        <v>0</v>
      </c>
      <c r="P1645" t="n">
        <v>0</v>
      </c>
      <c r="Q1645" t="n">
        <v>0</v>
      </c>
      <c r="R1645" t="inlineStr">
        <is>
          <t>Operationnel</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row>
    <row r="1646">
      <c r="A1646" t="inlineStr">
        <is>
          <t>Foumban-Ndjisse</t>
        </is>
      </c>
      <c r="B1646" t="inlineStr">
        <is>
          <t>OST_083</t>
        </is>
      </c>
      <c r="C1646" t="inlineStr">
        <is>
          <t>OUEST</t>
        </is>
      </c>
      <c r="D1646" t="inlineStr">
        <is>
          <t>IHS</t>
        </is>
      </c>
      <c r="E1646" t="inlineStr">
        <is>
          <t>Grid-Gen</t>
        </is>
      </c>
      <c r="F1646" t="inlineStr">
        <is>
          <t>OUEST</t>
        </is>
      </c>
      <c r="G1646" t="inlineStr">
        <is>
          <t>Foumban</t>
        </is>
      </c>
      <c r="H1646" t="inlineStr">
        <is>
          <t>Huawei</t>
        </is>
      </c>
      <c r="I1646" t="n">
        <v>0</v>
      </c>
      <c r="J1646" t="n">
        <v>0</v>
      </c>
      <c r="K1646" t="n">
        <v>0</v>
      </c>
      <c r="L1646" t="n">
        <v>0</v>
      </c>
      <c r="M1646" t="n">
        <v>0</v>
      </c>
      <c r="N1646" t="n">
        <v>0</v>
      </c>
      <c r="O1646" t="n">
        <v>0</v>
      </c>
      <c r="P1646" t="n">
        <v>0</v>
      </c>
      <c r="Q1646" t="n">
        <v>0</v>
      </c>
      <c r="R1646" t="inlineStr">
        <is>
          <t>Operationnel</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row>
    <row r="1647">
      <c r="A1647" t="inlineStr">
        <is>
          <t>Parcours-Vita</t>
        </is>
      </c>
      <c r="B1647" t="inlineStr">
        <is>
          <t>LIT_666</t>
        </is>
      </c>
      <c r="C1647" t="inlineStr">
        <is>
          <t>Douala</t>
        </is>
      </c>
      <c r="D1647" t="inlineStr">
        <is>
          <t>CAMUSAT</t>
        </is>
      </c>
      <c r="E1647" t="inlineStr">
        <is>
          <t>Good Grid no GE - 12h</t>
        </is>
      </c>
      <c r="F1647" t="inlineStr">
        <is>
          <t>LITTORAL</t>
        </is>
      </c>
      <c r="G1647" t="inlineStr">
        <is>
          <t>Douala</t>
        </is>
      </c>
      <c r="H1647" t="inlineStr">
        <is>
          <t>ZTE</t>
        </is>
      </c>
      <c r="I1647" t="n">
        <v>0</v>
      </c>
      <c r="J1647" t="n">
        <v>0</v>
      </c>
      <c r="K1647" t="n">
        <v>0</v>
      </c>
      <c r="L1647" t="n">
        <v>0</v>
      </c>
      <c r="M1647" t="n">
        <v>0</v>
      </c>
      <c r="N1647" t="n">
        <v>0</v>
      </c>
      <c r="O1647" t="n">
        <v>0</v>
      </c>
      <c r="P1647" t="n">
        <v>0</v>
      </c>
      <c r="Q1647" t="n">
        <v>0</v>
      </c>
      <c r="R1647" t="inlineStr">
        <is>
          <t>Operationnel</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row>
    <row r="1648">
      <c r="A1648" t="inlineStr">
        <is>
          <t>Foumban-Ndjisse-III</t>
        </is>
      </c>
      <c r="B1648" t="inlineStr">
        <is>
          <t>OST_229</t>
        </is>
      </c>
      <c r="C1648" t="inlineStr">
        <is>
          <t>OUEST</t>
        </is>
      </c>
      <c r="D1648" t="inlineStr">
        <is>
          <t>CAMUSAT</t>
        </is>
      </c>
      <c r="E1648" t="inlineStr">
        <is>
          <t>HGB</t>
        </is>
      </c>
      <c r="F1648" t="inlineStr">
        <is>
          <t>OUEST</t>
        </is>
      </c>
      <c r="G1648" t="inlineStr">
        <is>
          <t>Foumban</t>
        </is>
      </c>
      <c r="H1648" t="inlineStr">
        <is>
          <t>Huawei</t>
        </is>
      </c>
      <c r="I1648" t="n">
        <v>0</v>
      </c>
      <c r="J1648" t="n">
        <v>0</v>
      </c>
      <c r="K1648" t="n">
        <v>0</v>
      </c>
      <c r="L1648" t="n">
        <v>0</v>
      </c>
      <c r="M1648" t="n">
        <v>0</v>
      </c>
      <c r="N1648" t="n">
        <v>0</v>
      </c>
      <c r="O1648" t="n">
        <v>0</v>
      </c>
      <c r="P1648" t="n">
        <v>0</v>
      </c>
      <c r="Q1648" t="n">
        <v>0</v>
      </c>
      <c r="R1648" t="inlineStr">
        <is>
          <t>Operationnel</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row>
    <row r="1649">
      <c r="A1649" t="inlineStr">
        <is>
          <t>Rond-point</t>
        </is>
      </c>
      <c r="B1649" t="inlineStr">
        <is>
          <t>LIT_048</t>
        </is>
      </c>
      <c r="C1649" t="inlineStr">
        <is>
          <t>Douala</t>
        </is>
      </c>
      <c r="D1649" t="inlineStr">
        <is>
          <t>IHS</t>
        </is>
      </c>
      <c r="E1649" t="inlineStr">
        <is>
          <t>Grid-Gen</t>
        </is>
      </c>
      <c r="F1649" t="inlineStr">
        <is>
          <t>LITTORAL</t>
        </is>
      </c>
      <c r="G1649" t="inlineStr">
        <is>
          <t>Douala</t>
        </is>
      </c>
      <c r="H1649" t="inlineStr">
        <is>
          <t>ZTE</t>
        </is>
      </c>
      <c r="I1649" t="n">
        <v>0</v>
      </c>
      <c r="J1649" t="n">
        <v>0</v>
      </c>
      <c r="K1649" t="n">
        <v>0</v>
      </c>
      <c r="L1649" t="n">
        <v>0</v>
      </c>
      <c r="M1649" t="n">
        <v>0</v>
      </c>
      <c r="N1649" t="n">
        <v>0</v>
      </c>
      <c r="O1649" t="n">
        <v>0</v>
      </c>
      <c r="P1649" t="n">
        <v>0</v>
      </c>
      <c r="Q1649" t="n">
        <v>0</v>
      </c>
      <c r="R1649" t="inlineStr">
        <is>
          <t>Operationnel</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row>
    <row r="1650">
      <c r="A1650" t="inlineStr">
        <is>
          <t>Bpriso-Croissanterie</t>
        </is>
      </c>
      <c r="B1650" t="inlineStr">
        <is>
          <t>LIT_675</t>
        </is>
      </c>
      <c r="C1650" t="inlineStr">
        <is>
          <t>Douala</t>
        </is>
      </c>
      <c r="D1650" t="inlineStr">
        <is>
          <t>CAMUSAT</t>
        </is>
      </c>
      <c r="E1650" t="inlineStr">
        <is>
          <t>Good Grid + GE</t>
        </is>
      </c>
      <c r="F1650" t="inlineStr">
        <is>
          <t>LITTORAL</t>
        </is>
      </c>
      <c r="G1650" t="inlineStr">
        <is>
          <t>Douala</t>
        </is>
      </c>
      <c r="H1650" t="inlineStr">
        <is>
          <t>ZTE</t>
        </is>
      </c>
      <c r="I1650" t="n">
        <v>0</v>
      </c>
      <c r="J1650" t="n">
        <v>0</v>
      </c>
      <c r="K1650" t="n">
        <v>0</v>
      </c>
      <c r="L1650" t="n">
        <v>0</v>
      </c>
      <c r="M1650" t="n">
        <v>0</v>
      </c>
      <c r="N1650" t="n">
        <v>0</v>
      </c>
      <c r="O1650" t="n">
        <v>0</v>
      </c>
      <c r="P1650" t="n">
        <v>0</v>
      </c>
      <c r="Q1650" t="n">
        <v>0</v>
      </c>
      <c r="R1650" t="inlineStr">
        <is>
          <t>Operationnel</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row>
    <row r="1651">
      <c r="A1651" t="inlineStr">
        <is>
          <t>Reserve-Benoue</t>
        </is>
      </c>
      <c r="B1651" t="inlineStr">
        <is>
          <t>NRD_168</t>
        </is>
      </c>
      <c r="C1651" t="inlineStr">
        <is>
          <t>NORD</t>
        </is>
      </c>
      <c r="D1651" t="inlineStr">
        <is>
          <t>CAMUSAT</t>
        </is>
      </c>
      <c r="E1651" t="inlineStr">
        <is>
          <t>Hybrid Solar - S3</t>
        </is>
      </c>
      <c r="F1651" t="inlineStr">
        <is>
          <t>NORD</t>
        </is>
      </c>
      <c r="G1651" t="inlineStr">
        <is>
          <t>Reserve Benoue</t>
        </is>
      </c>
      <c r="H1651" t="inlineStr">
        <is>
          <t>HUAWEI</t>
        </is>
      </c>
      <c r="I1651" t="n">
        <v>0</v>
      </c>
      <c r="J1651" t="n">
        <v>0</v>
      </c>
      <c r="K1651" t="n">
        <v>0</v>
      </c>
      <c r="L1651" t="n">
        <v>0</v>
      </c>
      <c r="M1651" t="n">
        <v>0</v>
      </c>
      <c r="N1651" t="n">
        <v>0</v>
      </c>
      <c r="O1651" t="n">
        <v>0</v>
      </c>
      <c r="P1651" t="n">
        <v>0</v>
      </c>
      <c r="Q1651" t="n">
        <v>0</v>
      </c>
      <c r="R1651" t="inlineStr">
        <is>
          <t>Operationnel</t>
        </is>
      </c>
      <c r="S1651" t="inlineStr"/>
      <c r="T1651" t="inlineStr"/>
      <c r="U1651" t="inlineStr"/>
      <c r="V1651" t="inlineStr"/>
      <c r="W1651" t="inlineStr"/>
      <c r="X1651" t="inlineStr">
        <is>
          <t>{05-25-2026 ocm ran 22H}: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{05-25-2026 ocm ran 17H}: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Y1651" t="inlineStr">
        <is>
          <t>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{05-25-2026 ocm ran 22H}: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AP1651" t="inlineStr">
        <is>
          <t>{05-25-2026 ocm ran 17H}: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is>
      </c>
      <c r="AQ1651" t="inlineStr"/>
      <c r="AR1651" t="inlineStr"/>
    </row>
    <row r="1652">
      <c r="A1652" t="inlineStr">
        <is>
          <t>Okolo</t>
        </is>
      </c>
      <c r="B1652" t="inlineStr">
        <is>
          <t>CTR_213</t>
        </is>
      </c>
      <c r="C1652" t="inlineStr">
        <is>
          <t>Yaounde</t>
        </is>
      </c>
      <c r="D1652" t="inlineStr">
        <is>
          <t>IHS</t>
        </is>
      </c>
      <c r="E1652" t="inlineStr">
        <is>
          <t>Grid-Gen</t>
        </is>
      </c>
      <c r="F1652" t="inlineStr">
        <is>
          <t>CENTRE</t>
        </is>
      </c>
      <c r="G1652" t="inlineStr">
        <is>
          <t>Yaounde</t>
        </is>
      </c>
      <c r="H1652" t="inlineStr">
        <is>
          <t>ZTE</t>
        </is>
      </c>
      <c r="I1652" t="n">
        <v>0</v>
      </c>
      <c r="J1652" t="n">
        <v>0</v>
      </c>
      <c r="K1652" t="n">
        <v>0</v>
      </c>
      <c r="L1652" t="n">
        <v>0</v>
      </c>
      <c r="M1652" t="n">
        <v>0</v>
      </c>
      <c r="N1652" t="n">
        <v>0</v>
      </c>
      <c r="O1652" t="n">
        <v>0</v>
      </c>
      <c r="P1652" t="n">
        <v>0</v>
      </c>
      <c r="Q1652" t="n">
        <v>0</v>
      </c>
      <c r="R1652" t="inlineStr">
        <is>
          <t>Operationnel</t>
        </is>
      </c>
      <c r="S1652" t="inlineStr"/>
      <c r="T1652" t="inlineStr"/>
      <c r="U1652" t="inlineStr"/>
      <c r="V1652" t="inlineStr"/>
      <c r="W1652" t="inlineStr"/>
      <c r="X1652" t="inlineStr">
        <is>
          <t>{05-25-2026 retour IHS}: IHS</t>
        </is>
      </c>
      <c r="Y1652" t="inlineStr">
        <is>
          <t>IHS</t>
        </is>
      </c>
      <c r="Z1652" t="inlineStr"/>
      <c r="AA1652" t="inlineStr"/>
      <c r="AB1652" t="inlineStr"/>
      <c r="AC1652" t="inlineStr"/>
      <c r="AD1652" t="inlineStr">
        <is>
          <t>{05-25-2026 retour IHS}: IHS</t>
        </is>
      </c>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row>
    <row r="1653">
      <c r="A1653" t="inlineStr">
        <is>
          <t>PK9</t>
        </is>
      </c>
      <c r="B1653" t="inlineStr">
        <is>
          <t>LIT_370</t>
        </is>
      </c>
      <c r="C1653" t="inlineStr">
        <is>
          <t>Douala</t>
        </is>
      </c>
      <c r="D1653" t="inlineStr">
        <is>
          <t>IHS</t>
        </is>
      </c>
      <c r="E1653" t="inlineStr">
        <is>
          <t>Grid-Gen</t>
        </is>
      </c>
      <c r="F1653" t="inlineStr">
        <is>
          <t>LITTORAL</t>
        </is>
      </c>
      <c r="G1653" t="inlineStr">
        <is>
          <t>Douala</t>
        </is>
      </c>
      <c r="H1653" t="inlineStr">
        <is>
          <t>ZTE</t>
        </is>
      </c>
      <c r="I1653" t="n">
        <v>0</v>
      </c>
      <c r="J1653" t="n">
        <v>0</v>
      </c>
      <c r="K1653" t="n">
        <v>0</v>
      </c>
      <c r="L1653" t="n">
        <v>0</v>
      </c>
      <c r="M1653" t="n">
        <v>0</v>
      </c>
      <c r="N1653" t="n">
        <v>0</v>
      </c>
      <c r="O1653" t="n">
        <v>0</v>
      </c>
      <c r="P1653" t="n">
        <v>0</v>
      </c>
      <c r="Q1653" t="n">
        <v>0</v>
      </c>
      <c r="R1653" t="inlineStr">
        <is>
          <t>Operationnel</t>
        </is>
      </c>
      <c r="S1653" t="inlineStr"/>
      <c r="T1653" t="inlineStr"/>
      <c r="U1653" t="inlineStr"/>
      <c r="V1653" t="inlineStr"/>
      <c r="W1653" t="inlineStr"/>
      <c r="X1653" t="inlineStr">
        <is>
          <t>{05-25-2026 retour IHS}: IHS</t>
        </is>
      </c>
      <c r="Y1653" t="inlineStr">
        <is>
          <t>IHS</t>
        </is>
      </c>
      <c r="Z1653" t="inlineStr"/>
      <c r="AA1653" t="inlineStr"/>
      <c r="AB1653" t="inlineStr"/>
      <c r="AC1653" t="inlineStr"/>
      <c r="AD1653" t="inlineStr">
        <is>
          <t>{05-25-2026 retour IHS}: IHS</t>
        </is>
      </c>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row>
    <row r="1654">
      <c r="A1654" t="inlineStr">
        <is>
          <t>Mankon-II</t>
        </is>
      </c>
      <c r="B1654" t="inlineStr">
        <is>
          <t>NRO_141</t>
        </is>
      </c>
      <c r="C1654" t="inlineStr">
        <is>
          <t>NORD-OUEST</t>
        </is>
      </c>
      <c r="D1654" t="inlineStr">
        <is>
          <t>CAMUSAT</t>
        </is>
      </c>
      <c r="E1654" t="inlineStr">
        <is>
          <t>HGB</t>
        </is>
      </c>
      <c r="F1654" t="inlineStr">
        <is>
          <t>NORD-OUEST</t>
        </is>
      </c>
      <c r="G1654" t="inlineStr">
        <is>
          <t>Bamenda</t>
        </is>
      </c>
      <c r="H1654" t="inlineStr">
        <is>
          <t>HUAWEI</t>
        </is>
      </c>
      <c r="I1654" t="n">
        <v>0</v>
      </c>
      <c r="J1654" t="n">
        <v>0</v>
      </c>
      <c r="K1654" t="n">
        <v>0</v>
      </c>
      <c r="L1654" t="n">
        <v>0</v>
      </c>
      <c r="M1654" t="n">
        <v>0</v>
      </c>
      <c r="N1654" t="n">
        <v>0</v>
      </c>
      <c r="O1654" t="n">
        <v>0</v>
      </c>
      <c r="P1654" t="n">
        <v>0</v>
      </c>
      <c r="Q1654" t="n">
        <v>0</v>
      </c>
      <c r="R1654" t="inlineStr">
        <is>
          <t>Operationnel</t>
        </is>
      </c>
      <c r="S1654" t="inlineStr"/>
      <c r="T1654" t="inlineStr"/>
      <c r="U1654" t="inlineStr"/>
      <c r="V1654" t="inlineStr"/>
      <c r="W1654" t="inlineStr"/>
      <c r="X1654" t="inlineStr">
        <is>
          <t>{05/25/2026 cell huawei}: 25/05/2026 : Besoin d'analyse BO RAN || intabilite des radio due to power || Mail snt to camusat || up after power return</t>
        </is>
      </c>
      <c r="Y1654" t="inlineStr">
        <is>
          <t>25/05/2026 Besoin d'analyse BO RAN || intabilite des radio due to power || Mail snt to camusat || up after power return</t>
        </is>
      </c>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is>
          <t>{05/25/2026 cell huawei}: 25/05/2026 : Besoin d'analyse BO RAN || intabilite des radio due to power || Mail snt to camusat || up after power return</t>
        </is>
      </c>
      <c r="AN1654" t="inlineStr"/>
      <c r="AO1654" t="inlineStr"/>
      <c r="AP1654" t="inlineStr"/>
      <c r="AQ1654" t="inlineStr"/>
      <c r="AR1654" t="inlineStr"/>
    </row>
    <row r="1655">
      <c r="A1655" t="inlineStr">
        <is>
          <t>Mayo-Oulo</t>
        </is>
      </c>
      <c r="B1655" t="inlineStr">
        <is>
          <t>NRD_010</t>
        </is>
      </c>
      <c r="C1655" t="inlineStr">
        <is>
          <t>NORD</t>
        </is>
      </c>
      <c r="D1655" t="inlineStr">
        <is>
          <t>IHS</t>
        </is>
      </c>
      <c r="E1655" t="inlineStr">
        <is>
          <t>Grid-Gen</t>
        </is>
      </c>
      <c r="F1655" t="inlineStr">
        <is>
          <t>NORD</t>
        </is>
      </c>
      <c r="G1655" t="inlineStr">
        <is>
          <t>Mayo-Oulo</t>
        </is>
      </c>
      <c r="H1655" t="inlineStr">
        <is>
          <t>HUAWEI</t>
        </is>
      </c>
      <c r="I1655" t="n">
        <v>0</v>
      </c>
      <c r="J1655" t="n">
        <v>0</v>
      </c>
      <c r="K1655" t="n">
        <v>0</v>
      </c>
      <c r="L1655" t="n">
        <v>0</v>
      </c>
      <c r="M1655" t="n">
        <v>0</v>
      </c>
      <c r="N1655" t="n">
        <v>0</v>
      </c>
      <c r="O1655" t="n">
        <v>0</v>
      </c>
      <c r="P1655" t="n">
        <v>0</v>
      </c>
      <c r="Q1655" t="n">
        <v>0</v>
      </c>
      <c r="R1655" t="inlineStr">
        <is>
          <t>Operationnel</t>
        </is>
      </c>
      <c r="S1655" t="inlineStr"/>
      <c r="T1655" t="inlineStr"/>
      <c r="U1655" t="inlineStr"/>
      <c r="V1655" t="inlineStr"/>
      <c r="W1655" t="inlineStr"/>
      <c r="X1655" t="inlineStr">
        <is>
          <t>{05-25-2026 retour IHS}: IHS</t>
        </is>
      </c>
      <c r="Y1655" t="inlineStr">
        <is>
          <t>IHS</t>
        </is>
      </c>
      <c r="Z1655" t="inlineStr"/>
      <c r="AA1655" t="inlineStr"/>
      <c r="AB1655" t="inlineStr"/>
      <c r="AC1655" t="inlineStr"/>
      <c r="AD1655" t="inlineStr">
        <is>
          <t>{05-25-2026 retour IHS}: IHS</t>
        </is>
      </c>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row>
    <row r="1656">
      <c r="A1656" t="inlineStr">
        <is>
          <t>Lagdo-Ville</t>
        </is>
      </c>
      <c r="B1656" t="inlineStr">
        <is>
          <t>NRD_131</t>
        </is>
      </c>
      <c r="C1656" t="inlineStr">
        <is>
          <t>NORD</t>
        </is>
      </c>
      <c r="D1656" t="inlineStr">
        <is>
          <t>CAMUSAT</t>
        </is>
      </c>
      <c r="E1656" t="inlineStr">
        <is>
          <t>Good Grid + GE</t>
        </is>
      </c>
      <c r="F1656" t="inlineStr">
        <is>
          <t>NORD</t>
        </is>
      </c>
      <c r="G1656" t="inlineStr">
        <is>
          <t>Lagdo</t>
        </is>
      </c>
      <c r="H1656" t="inlineStr">
        <is>
          <t>HUAWEI</t>
        </is>
      </c>
      <c r="I1656" t="n">
        <v>0</v>
      </c>
      <c r="J1656" t="n">
        <v>0</v>
      </c>
      <c r="K1656" t="n">
        <v>0</v>
      </c>
      <c r="L1656" t="n">
        <v>0</v>
      </c>
      <c r="M1656" t="n">
        <v>0</v>
      </c>
      <c r="N1656" t="n">
        <v>0</v>
      </c>
      <c r="O1656" t="n">
        <v>0</v>
      </c>
      <c r="P1656" t="n">
        <v>0</v>
      </c>
      <c r="Q1656" t="n">
        <v>0</v>
      </c>
      <c r="R1656" t="inlineStr">
        <is>
          <t>Operationnel</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row>
    <row r="1657">
      <c r="A1657" t="inlineStr">
        <is>
          <t>PK10-Genie-Militaire</t>
        </is>
      </c>
      <c r="B1657" t="inlineStr">
        <is>
          <t>LIT_447</t>
        </is>
      </c>
      <c r="C1657" t="inlineStr">
        <is>
          <t>Douala</t>
        </is>
      </c>
      <c r="D1657" t="inlineStr">
        <is>
          <t>IHS</t>
        </is>
      </c>
      <c r="E1657" t="inlineStr">
        <is>
          <t>Grid-Gen</t>
        </is>
      </c>
      <c r="F1657" t="inlineStr">
        <is>
          <t>LITTORAL</t>
        </is>
      </c>
      <c r="G1657" t="inlineStr">
        <is>
          <t>Douala</t>
        </is>
      </c>
      <c r="H1657" t="inlineStr">
        <is>
          <t>ZTE</t>
        </is>
      </c>
      <c r="I1657" t="n">
        <v>0</v>
      </c>
      <c r="J1657" t="n">
        <v>0</v>
      </c>
      <c r="K1657" t="n">
        <v>0</v>
      </c>
      <c r="L1657" t="n">
        <v>0</v>
      </c>
      <c r="M1657" t="n">
        <v>0</v>
      </c>
      <c r="N1657" t="n">
        <v>0</v>
      </c>
      <c r="O1657" t="n">
        <v>0</v>
      </c>
      <c r="P1657" t="n">
        <v>0</v>
      </c>
      <c r="Q1657" t="n">
        <v>0</v>
      </c>
      <c r="R1657" t="inlineStr">
        <is>
          <t>Operationnel</t>
        </is>
      </c>
      <c r="S1657" t="inlineStr"/>
      <c r="T1657" t="inlineStr"/>
      <c r="U1657" t="inlineStr"/>
      <c r="V1657" t="inlineStr"/>
      <c r="W1657" t="inlineStr"/>
      <c r="X1657" t="inlineStr">
        <is>
          <t>{05-25-2026 retour IHS}: IHS</t>
        </is>
      </c>
      <c r="Y1657" t="inlineStr">
        <is>
          <t>IHS</t>
        </is>
      </c>
      <c r="Z1657" t="inlineStr"/>
      <c r="AA1657" t="inlineStr"/>
      <c r="AB1657" t="inlineStr"/>
      <c r="AC1657" t="inlineStr"/>
      <c r="AD1657" t="inlineStr">
        <is>
          <t>{05-25-2026 retour IHS}: IHS</t>
        </is>
      </c>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row>
    <row r="1658">
      <c r="A1658" t="inlineStr">
        <is>
          <t>Zone-Papass</t>
        </is>
      </c>
      <c r="B1658" t="inlineStr">
        <is>
          <t>LIT_270</t>
        </is>
      </c>
      <c r="C1658" t="inlineStr">
        <is>
          <t>Douala</t>
        </is>
      </c>
      <c r="D1658" t="inlineStr">
        <is>
          <t>IHS</t>
        </is>
      </c>
      <c r="E1658" t="inlineStr">
        <is>
          <t>Grid-Gen</t>
        </is>
      </c>
      <c r="F1658" t="inlineStr">
        <is>
          <t>LITTORAL</t>
        </is>
      </c>
      <c r="G1658" t="inlineStr">
        <is>
          <t>Douala</t>
        </is>
      </c>
      <c r="H1658" t="inlineStr">
        <is>
          <t>ZTE</t>
        </is>
      </c>
      <c r="I1658" t="n">
        <v>0</v>
      </c>
      <c r="J1658" t="n">
        <v>0</v>
      </c>
      <c r="K1658" t="n">
        <v>0</v>
      </c>
      <c r="L1658" t="n">
        <v>0</v>
      </c>
      <c r="M1658" t="n">
        <v>0</v>
      </c>
      <c r="N1658" t="n">
        <v>0</v>
      </c>
      <c r="O1658" t="n">
        <v>0</v>
      </c>
      <c r="P1658" t="n">
        <v>0</v>
      </c>
      <c r="Q1658" t="n">
        <v>0</v>
      </c>
      <c r="R1658" t="inlineStr">
        <is>
          <t>Operationnel</t>
        </is>
      </c>
      <c r="S1658" t="inlineStr"/>
      <c r="T1658" t="inlineStr"/>
      <c r="U1658" t="inlineStr"/>
      <c r="V1658" t="inlineStr"/>
      <c r="W1658" t="inlineStr"/>
      <c r="X1658" t="inlineStr">
        <is>
          <t>{05-25-2026 retour IHS}: IHS</t>
        </is>
      </c>
      <c r="Y1658" t="inlineStr">
        <is>
          <t>IHS</t>
        </is>
      </c>
      <c r="Z1658" t="inlineStr"/>
      <c r="AA1658" t="inlineStr"/>
      <c r="AB1658" t="inlineStr"/>
      <c r="AC1658" t="inlineStr"/>
      <c r="AD1658" t="inlineStr">
        <is>
          <t>{05-25-2026 retour IHS}: IHS</t>
        </is>
      </c>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row>
    <row r="1659">
      <c r="A1659" t="inlineStr">
        <is>
          <t>Sakdje</t>
        </is>
      </c>
      <c r="B1659" t="inlineStr">
        <is>
          <t>NRD_172</t>
        </is>
      </c>
      <c r="C1659" t="inlineStr">
        <is>
          <t>NORD</t>
        </is>
      </c>
      <c r="D1659" t="inlineStr">
        <is>
          <t>CAMUSAT</t>
        </is>
      </c>
      <c r="E1659" t="inlineStr">
        <is>
          <t>Hybrid Solar - S3</t>
        </is>
      </c>
      <c r="F1659" t="inlineStr">
        <is>
          <t>NORD</t>
        </is>
      </c>
      <c r="G1659" t="inlineStr">
        <is>
          <t>Sakdje</t>
        </is>
      </c>
      <c r="H1659" t="inlineStr">
        <is>
          <t>HUAWEI</t>
        </is>
      </c>
      <c r="I1659" t="n">
        <v>0</v>
      </c>
      <c r="J1659" t="n">
        <v>0</v>
      </c>
      <c r="K1659" t="n">
        <v>0</v>
      </c>
      <c r="L1659" t="n">
        <v>0</v>
      </c>
      <c r="M1659" t="n">
        <v>0</v>
      </c>
      <c r="N1659" t="n">
        <v>0</v>
      </c>
      <c r="O1659" t="n">
        <v>0</v>
      </c>
      <c r="P1659" t="n">
        <v>0</v>
      </c>
      <c r="Q1659" t="n">
        <v>0</v>
      </c>
      <c r="R1659" t="inlineStr">
        <is>
          <t>Operationnel</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row>
    <row r="1660">
      <c r="A1660" t="inlineStr">
        <is>
          <t>Tchollire-Centre</t>
        </is>
      </c>
      <c r="B1660" t="inlineStr">
        <is>
          <t>NRD_180</t>
        </is>
      </c>
      <c r="C1660" t="inlineStr">
        <is>
          <t>NORD</t>
        </is>
      </c>
      <c r="D1660" t="inlineStr">
        <is>
          <t>CAMUSAT</t>
        </is>
      </c>
      <c r="E1660" t="inlineStr">
        <is>
          <t>HGB</t>
        </is>
      </c>
      <c r="F1660" t="inlineStr">
        <is>
          <t>NORD</t>
        </is>
      </c>
      <c r="G1660" t="inlineStr">
        <is>
          <t>Tchollire</t>
        </is>
      </c>
      <c r="H1660" t="inlineStr">
        <is>
          <t>HUAWEI</t>
        </is>
      </c>
      <c r="I1660" t="n">
        <v>0</v>
      </c>
      <c r="J1660" t="n">
        <v>0</v>
      </c>
      <c r="K1660" t="n">
        <v>0</v>
      </c>
      <c r="L1660" t="n">
        <v>0</v>
      </c>
      <c r="M1660" t="n">
        <v>0</v>
      </c>
      <c r="N1660" t="n">
        <v>0</v>
      </c>
      <c r="O1660" t="n">
        <v>0</v>
      </c>
      <c r="P1660" t="n">
        <v>0</v>
      </c>
      <c r="Q1660" t="n">
        <v>0</v>
      </c>
      <c r="R1660" t="inlineStr">
        <is>
          <t>Operationnel</t>
        </is>
      </c>
      <c r="S1660" t="inlineStr"/>
      <c r="T1660" t="inlineStr"/>
      <c r="U1660" t="inlineStr"/>
      <c r="V1660" t="inlineStr"/>
      <c r="W1660" t="inlineStr"/>
      <c r="X1660" t="inlineStr">
        <is>
          <t>{05-25-2026 ocm ran 22H}: 25.05.26: ODU 3DB29118AA faulty, carte core Evo 1G faulty (pas disponible en stock) et carte EAC faulty (pas disponible en stock)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CM-20260520-00002569; FME Franc activé pour investigations, update ASAP     ;    {05-25-2026 ocm ran 17H}: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CM-20260520-00002569; FME Franc activé pour investigations, update ASAP</t>
        </is>
      </c>
      <c r="Y1660" t="inlineStr">
        <is>
          <t>25.05.26 ODU 3DB29118AA faulty, carte core Evo 1G faulty (pas disponible en stock) et carte EAC faulty (pas disponible en stock)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FME Franc activé pour investigations, update ASAP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FME Franc activé pour investigations, update ASAP</t>
        </is>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{05-25-2026 ocm ran 22H}: 25.05.26: ODU 3DB29118AA faulty, carte core Evo 1G faulty (pas disponible en stock) et carte EAC faulty (pas disponible en stock)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CM-20260520-00002569; FME Franc activé pour investigations, update ASAP</t>
        </is>
      </c>
      <c r="AP1660" t="inlineStr">
        <is>
          <t>{05-25-2026 ocm ran 17H}: 24/05/2026 Site foudroyé, carte core Evo, carte EAC et ODU en defaut, commande en cours, update ASAP
23/05/2026 Site foudroyé, plusieurs breaker faulty, FME activé pour inventaire, ETA 15H 
22.05.26: Site foudroyé, plusieurs breaker faulty,  FME activé pour inventaire, ETA 23/05/2026
21.05.26: Site foudroyé, plusieurs breaker faulty, inventaire en cours, updates ASAP
20.05.26: Site frappé par la foudre, plusieurs CB faulty, investigations en cours
20.05.26: Besoin d'un FME sur site pour vérifier le chaine antennaire de l'ODU 3.1; CM-20260520-00002569; FME Franc activé pour investigations, update ASAP</t>
        </is>
      </c>
      <c r="AQ1660" t="inlineStr"/>
      <c r="AR1660" t="inlineStr"/>
    </row>
    <row r="1661">
      <c r="A1661" t="inlineStr">
        <is>
          <t>Kribi-Ndjibo</t>
        </is>
      </c>
      <c r="B1661" t="inlineStr">
        <is>
          <t>SUD_081</t>
        </is>
      </c>
      <c r="C1661" t="inlineStr">
        <is>
          <t>LITTORAL</t>
        </is>
      </c>
      <c r="D1661" t="inlineStr">
        <is>
          <t>CAMUSAT</t>
        </is>
      </c>
      <c r="E1661" t="inlineStr">
        <is>
          <t>Good Grid + Solar + GE</t>
        </is>
      </c>
      <c r="F1661" t="inlineStr">
        <is>
          <t>SUD</t>
        </is>
      </c>
      <c r="G1661" t="inlineStr">
        <is>
          <t>Kribi</t>
        </is>
      </c>
      <c r="H1661" t="inlineStr">
        <is>
          <t>ZTE</t>
        </is>
      </c>
      <c r="I1661" t="n">
        <v>0</v>
      </c>
      <c r="J1661" t="n">
        <v>0</v>
      </c>
      <c r="K1661" t="n">
        <v>0</v>
      </c>
      <c r="L1661" t="n">
        <v>0</v>
      </c>
      <c r="M1661" t="n">
        <v>0</v>
      </c>
      <c r="N1661" t="n">
        <v>0</v>
      </c>
      <c r="O1661" t="n">
        <v>0</v>
      </c>
      <c r="P1661" t="n">
        <v>0</v>
      </c>
      <c r="Q1661" t="n">
        <v>0</v>
      </c>
      <c r="R1661" t="inlineStr">
        <is>
          <t>Operationnel</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row>
    <row r="1662">
      <c r="A1662" t="inlineStr">
        <is>
          <t>Bankim</t>
        </is>
      </c>
      <c r="B1662" t="inlineStr">
        <is>
          <t>ADM_012</t>
        </is>
      </c>
      <c r="C1662" t="inlineStr">
        <is>
          <t>ADAMAOUA</t>
        </is>
      </c>
      <c r="D1662" t="inlineStr">
        <is>
          <t>IHS</t>
        </is>
      </c>
      <c r="E1662" t="inlineStr">
        <is>
          <t>Grid-Gen</t>
        </is>
      </c>
      <c r="F1662" t="inlineStr">
        <is>
          <t>ADAMAOUA</t>
        </is>
      </c>
      <c r="G1662" t="inlineStr">
        <is>
          <t>Bankim</t>
        </is>
      </c>
      <c r="H1662" t="inlineStr">
        <is>
          <t>Huawei</t>
        </is>
      </c>
      <c r="I1662" t="n">
        <v>0</v>
      </c>
      <c r="J1662" t="n">
        <v>0</v>
      </c>
      <c r="K1662" t="n">
        <v>0</v>
      </c>
      <c r="L1662" t="n">
        <v>0</v>
      </c>
      <c r="M1662" t="n">
        <v>0</v>
      </c>
      <c r="N1662" t="n">
        <v>0</v>
      </c>
      <c r="O1662" t="n">
        <v>0</v>
      </c>
      <c r="P1662" t="n">
        <v>0</v>
      </c>
      <c r="Q1662" t="n">
        <v>0</v>
      </c>
      <c r="R1662" t="inlineStr">
        <is>
          <t>Operationnel</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row>
    <row r="1663">
      <c r="A1663" t="inlineStr">
        <is>
          <t>Mbamti-Katarko</t>
        </is>
      </c>
      <c r="B1663" t="inlineStr">
        <is>
          <t>ADM_163</t>
        </is>
      </c>
      <c r="C1663" t="inlineStr">
        <is>
          <t>ADAMAOUA</t>
        </is>
      </c>
      <c r="D1663" t="inlineStr">
        <is>
          <t>CAMUSAT</t>
        </is>
      </c>
      <c r="E1663" t="inlineStr">
        <is>
          <t>HGB</t>
        </is>
      </c>
      <c r="F1663" t="inlineStr">
        <is>
          <t>ADAMAOUA</t>
        </is>
      </c>
      <c r="G1663" t="inlineStr">
        <is>
          <t>Mbamti</t>
        </is>
      </c>
      <c r="H1663" t="inlineStr">
        <is>
          <t>HUAWEI</t>
        </is>
      </c>
      <c r="I1663" t="n">
        <v>0</v>
      </c>
      <c r="J1663" t="n">
        <v>0</v>
      </c>
      <c r="K1663" t="n">
        <v>0</v>
      </c>
      <c r="L1663" t="n">
        <v>0</v>
      </c>
      <c r="M1663" t="n">
        <v>0</v>
      </c>
      <c r="N1663" t="n">
        <v>0</v>
      </c>
      <c r="O1663" t="n">
        <v>0</v>
      </c>
      <c r="P1663" t="n">
        <v>0</v>
      </c>
      <c r="Q1663" t="n">
        <v>0</v>
      </c>
      <c r="R1663" t="inlineStr">
        <is>
          <t>Operationnel</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row>
    <row r="1664">
      <c r="A1664" t="inlineStr">
        <is>
          <t>Limbe-Bimbia-CRTV</t>
        </is>
      </c>
      <c r="B1664" t="inlineStr">
        <is>
          <t>SUO_081</t>
        </is>
      </c>
      <c r="C1664" t="inlineStr">
        <is>
          <t>SUD-OUEST</t>
        </is>
      </c>
      <c r="D1664" t="inlineStr">
        <is>
          <t>CAMUSAT</t>
        </is>
      </c>
      <c r="E1664" t="inlineStr">
        <is>
          <t>Bad Grid solar + SE</t>
        </is>
      </c>
      <c r="F1664" t="inlineStr">
        <is>
          <t>SUD-OUEST</t>
        </is>
      </c>
      <c r="G1664" t="inlineStr">
        <is>
          <t>Limbe</t>
        </is>
      </c>
      <c r="H1664" t="inlineStr">
        <is>
          <t>HUAWEI</t>
        </is>
      </c>
      <c r="I1664" t="n">
        <v>0</v>
      </c>
      <c r="J1664" t="n">
        <v>0</v>
      </c>
      <c r="K1664" t="n">
        <v>0</v>
      </c>
      <c r="L1664" t="n">
        <v>0</v>
      </c>
      <c r="M1664" t="n">
        <v>0</v>
      </c>
      <c r="N1664" t="n">
        <v>0</v>
      </c>
      <c r="O1664" t="n">
        <v>0</v>
      </c>
      <c r="P1664" t="n">
        <v>0</v>
      </c>
      <c r="Q1664" t="n">
        <v>0</v>
      </c>
      <c r="R1664" t="inlineStr">
        <is>
          <t>Operationnel</t>
        </is>
      </c>
      <c r="S1664" t="inlineStr"/>
      <c r="T1664" t="inlineStr"/>
      <c r="U1664" t="inlineStr"/>
      <c r="V1664" t="inlineStr"/>
      <c r="W1664" t="inlineStr"/>
      <c r="X1664" t="inlineStr">
        <is>
          <t>{05/25/2026 cell huawei}: 25/05/2026 : Besoin d'analyse BO RAN     ;    {05/25/2026 cell huawei}: 25/05/2026 : Besoin d'analyse BO RAN || Feedback BO RAN : Site unstable due to transmission</t>
        </is>
      </c>
      <c r="Y1664" t="inlineStr">
        <is>
          <t>25/05/2026 Besoin d'analyse BO RAN 25/05/2026 Besoin d'analyse BO RAN || Feedback BO RAN Site unstable due to transmission</t>
        </is>
      </c>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is>
          <t>{05/25/2026 cell huawei}: 25/05/2026 : Besoin d'analyse BO RAN</t>
        </is>
      </c>
      <c r="AN1664" t="inlineStr">
        <is>
          <t>{05/25/2026 cell huawei}: 25/05/2026 : Besoin d'analyse BO RAN || Feedback BO RAN : Site unstable due to transmission</t>
        </is>
      </c>
      <c r="AO1664" t="inlineStr"/>
      <c r="AP1664" t="inlineStr"/>
      <c r="AQ1664" t="inlineStr"/>
      <c r="AR1664" t="inlineStr"/>
    </row>
    <row r="1665">
      <c r="A1665" t="inlineStr">
        <is>
          <t>Magba</t>
        </is>
      </c>
      <c r="B1665" t="inlineStr">
        <is>
          <t>OST_023</t>
        </is>
      </c>
      <c r="C1665" t="inlineStr">
        <is>
          <t>OUEST</t>
        </is>
      </c>
      <c r="D1665" t="inlineStr">
        <is>
          <t>ESCO</t>
        </is>
      </c>
      <c r="E1665" t="inlineStr">
        <is>
          <t>Bad Grid + Solar + GE</t>
        </is>
      </c>
      <c r="F1665" t="inlineStr">
        <is>
          <t>OUEST</t>
        </is>
      </c>
      <c r="G1665" t="inlineStr">
        <is>
          <t>Magba</t>
        </is>
      </c>
      <c r="H1665" t="inlineStr">
        <is>
          <t>HUAWEI</t>
        </is>
      </c>
      <c r="I1665" t="n">
        <v>0</v>
      </c>
      <c r="J1665" t="n">
        <v>0</v>
      </c>
      <c r="K1665" t="n">
        <v>0</v>
      </c>
      <c r="L1665" t="n">
        <v>0</v>
      </c>
      <c r="M1665" t="n">
        <v>0</v>
      </c>
      <c r="N1665" t="n">
        <v>0</v>
      </c>
      <c r="O1665" t="n">
        <v>0</v>
      </c>
      <c r="P1665" t="n">
        <v>0</v>
      </c>
      <c r="Q1665" t="n">
        <v>0</v>
      </c>
      <c r="R1665" t="inlineStr">
        <is>
          <t>Operationnel</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row>
    <row r="1666">
      <c r="A1666" t="inlineStr">
        <is>
          <t>Mbouda-CEBEC-MTN</t>
        </is>
      </c>
      <c r="B1666" t="inlineStr">
        <is>
          <t>OST_313</t>
        </is>
      </c>
      <c r="C1666" t="inlineStr">
        <is>
          <t>OUEST</t>
        </is>
      </c>
      <c r="D1666" t="inlineStr">
        <is>
          <t>MTN</t>
        </is>
      </c>
      <c r="E1666" t="inlineStr"/>
      <c r="F1666" t="inlineStr">
        <is>
          <t>OUEST</t>
        </is>
      </c>
      <c r="G1666" t="inlineStr">
        <is>
          <t>Mbouda</t>
        </is>
      </c>
      <c r="H1666" t="inlineStr">
        <is>
          <t>Huawei</t>
        </is>
      </c>
      <c r="I1666" t="n">
        <v>0</v>
      </c>
      <c r="J1666" t="n">
        <v>0</v>
      </c>
      <c r="K1666" t="n">
        <v>0</v>
      </c>
      <c r="L1666" t="n">
        <v>0</v>
      </c>
      <c r="M1666" t="n">
        <v>0</v>
      </c>
      <c r="N1666" t="n">
        <v>0</v>
      </c>
      <c r="O1666" t="n">
        <v>0</v>
      </c>
      <c r="P1666" t="n">
        <v>0</v>
      </c>
      <c r="Q1666" t="n">
        <v>0</v>
      </c>
      <c r="R1666" t="inlineStr">
        <is>
          <t>Operationnel</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row>
    <row r="1667">
      <c r="A1667" t="inlineStr">
        <is>
          <t>Molyko-Paramount-Street-IHS</t>
        </is>
      </c>
      <c r="B1667" t="inlineStr">
        <is>
          <t>SUO_179</t>
        </is>
      </c>
      <c r="C1667" t="inlineStr">
        <is>
          <t>SUD-OUEST</t>
        </is>
      </c>
      <c r="D1667" t="inlineStr">
        <is>
          <t>IHS</t>
        </is>
      </c>
      <c r="E1667" t="inlineStr">
        <is>
          <t>Grid-Gen</t>
        </is>
      </c>
      <c r="F1667" t="inlineStr">
        <is>
          <t>SUD-OUEST</t>
        </is>
      </c>
      <c r="G1667" t="inlineStr">
        <is>
          <t>Buea</t>
        </is>
      </c>
      <c r="H1667" t="inlineStr">
        <is>
          <t>Huawei</t>
        </is>
      </c>
      <c r="I1667" t="n">
        <v>0</v>
      </c>
      <c r="J1667" t="n">
        <v>0</v>
      </c>
      <c r="K1667" t="n">
        <v>0</v>
      </c>
      <c r="L1667" t="n">
        <v>0</v>
      </c>
      <c r="M1667" t="n">
        <v>0</v>
      </c>
      <c r="N1667" t="n">
        <v>0</v>
      </c>
      <c r="O1667" t="n">
        <v>0</v>
      </c>
      <c r="P1667" t="n">
        <v>0</v>
      </c>
      <c r="Q1667" t="n">
        <v>0</v>
      </c>
      <c r="R1667" t="inlineStr">
        <is>
          <t>Operationnel</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row>
    <row r="1668">
      <c r="A1668" t="inlineStr">
        <is>
          <t>Buea-David-Square</t>
        </is>
      </c>
      <c r="B1668" t="inlineStr">
        <is>
          <t>SUO_077</t>
        </is>
      </c>
      <c r="C1668" t="inlineStr">
        <is>
          <t>SUD-OUEST</t>
        </is>
      </c>
      <c r="D1668" t="inlineStr">
        <is>
          <t>IHS</t>
        </is>
      </c>
      <c r="E1668" t="inlineStr">
        <is>
          <t>Grid-Gen</t>
        </is>
      </c>
      <c r="F1668" t="inlineStr">
        <is>
          <t>SUD-OUEST</t>
        </is>
      </c>
      <c r="G1668" t="inlineStr">
        <is>
          <t>Buea</t>
        </is>
      </c>
      <c r="H1668" t="inlineStr">
        <is>
          <t>Huawei</t>
        </is>
      </c>
      <c r="I1668" t="n">
        <v>0</v>
      </c>
      <c r="J1668" t="n">
        <v>0</v>
      </c>
      <c r="K1668" t="n">
        <v>0</v>
      </c>
      <c r="L1668" t="n">
        <v>0</v>
      </c>
      <c r="M1668" t="n">
        <v>0</v>
      </c>
      <c r="N1668" t="n">
        <v>0</v>
      </c>
      <c r="O1668" t="n">
        <v>0</v>
      </c>
      <c r="P1668" t="n">
        <v>0</v>
      </c>
      <c r="Q1668" t="n">
        <v>0</v>
      </c>
      <c r="R1668" t="inlineStr">
        <is>
          <t>Operationnel</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row>
    <row r="1669">
      <c r="A1669" t="inlineStr">
        <is>
          <t>Mountain-Hotel-IHS</t>
        </is>
      </c>
      <c r="B1669" t="inlineStr">
        <is>
          <t>SUO_202</t>
        </is>
      </c>
      <c r="C1669" t="inlineStr">
        <is>
          <t>SUD-OUEST</t>
        </is>
      </c>
      <c r="D1669" t="inlineStr">
        <is>
          <t>IHS</t>
        </is>
      </c>
      <c r="E1669" t="inlineStr">
        <is>
          <t>Grid-Gen (LL)</t>
        </is>
      </c>
      <c r="F1669" t="inlineStr">
        <is>
          <t>SUD-OUEST</t>
        </is>
      </c>
      <c r="G1669" t="inlineStr">
        <is>
          <t>Buea</t>
        </is>
      </c>
      <c r="H1669" t="inlineStr">
        <is>
          <t>Huawei</t>
        </is>
      </c>
      <c r="I1669" t="n">
        <v>0</v>
      </c>
      <c r="J1669" t="n">
        <v>0</v>
      </c>
      <c r="K1669" t="n">
        <v>0</v>
      </c>
      <c r="L1669" t="n">
        <v>0</v>
      </c>
      <c r="M1669" t="n">
        <v>0</v>
      </c>
      <c r="N1669" t="n">
        <v>0</v>
      </c>
      <c r="O1669" t="n">
        <v>0</v>
      </c>
      <c r="P1669" t="n">
        <v>0</v>
      </c>
      <c r="Q1669" t="n">
        <v>0</v>
      </c>
      <c r="R1669" t="inlineStr">
        <is>
          <t>Operationnel</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row>
    <row r="1670">
      <c r="A1670" t="inlineStr">
        <is>
          <t>Buea-Street2</t>
        </is>
      </c>
      <c r="B1670" t="inlineStr">
        <is>
          <t>SUO_240</t>
        </is>
      </c>
      <c r="C1670" t="inlineStr">
        <is>
          <t>SUD-OUEST</t>
        </is>
      </c>
      <c r="D1670" t="inlineStr">
        <is>
          <t>CAMUSAT</t>
        </is>
      </c>
      <c r="E1670" t="inlineStr">
        <is>
          <t>Medium Grid + GE</t>
        </is>
      </c>
      <c r="F1670" t="inlineStr">
        <is>
          <t>SUD-OUEST</t>
        </is>
      </c>
      <c r="G1670" t="inlineStr">
        <is>
          <t>Buea</t>
        </is>
      </c>
      <c r="H1670" t="inlineStr">
        <is>
          <t>Huawei</t>
        </is>
      </c>
      <c r="I1670" t="n">
        <v>0</v>
      </c>
      <c r="J1670" t="n">
        <v>0</v>
      </c>
      <c r="K1670" t="n">
        <v>0</v>
      </c>
      <c r="L1670" t="n">
        <v>0</v>
      </c>
      <c r="M1670" t="n">
        <v>0</v>
      </c>
      <c r="N1670" t="n">
        <v>0</v>
      </c>
      <c r="O1670" t="n">
        <v>0</v>
      </c>
      <c r="P1670" t="n">
        <v>0</v>
      </c>
      <c r="Q1670" t="n">
        <v>0</v>
      </c>
      <c r="R1670" t="inlineStr">
        <is>
          <t>Operationnel</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row>
    <row r="1671">
      <c r="A1671" t="inlineStr">
        <is>
          <t>Buea-Soppo-University-IHS</t>
        </is>
      </c>
      <c r="B1671" t="inlineStr">
        <is>
          <t>SUO_199</t>
        </is>
      </c>
      <c r="C1671" t="inlineStr">
        <is>
          <t>SUD-OUEST</t>
        </is>
      </c>
      <c r="D1671" t="inlineStr">
        <is>
          <t>IHS</t>
        </is>
      </c>
      <c r="E1671" t="inlineStr">
        <is>
          <t>Grid-Gen</t>
        </is>
      </c>
      <c r="F1671" t="inlineStr">
        <is>
          <t>SUD-OUEST</t>
        </is>
      </c>
      <c r="G1671" t="inlineStr">
        <is>
          <t>Buea</t>
        </is>
      </c>
      <c r="H1671" t="inlineStr">
        <is>
          <t>Huawei</t>
        </is>
      </c>
      <c r="I1671" t="n">
        <v>0</v>
      </c>
      <c r="J1671" t="n">
        <v>0</v>
      </c>
      <c r="K1671" t="n">
        <v>0</v>
      </c>
      <c r="L1671" t="n">
        <v>0</v>
      </c>
      <c r="M1671" t="n">
        <v>0</v>
      </c>
      <c r="N1671" t="n">
        <v>0</v>
      </c>
      <c r="O1671" t="n">
        <v>0</v>
      </c>
      <c r="P1671" t="n">
        <v>0</v>
      </c>
      <c r="Q1671" t="n">
        <v>0</v>
      </c>
      <c r="R1671" t="inlineStr">
        <is>
          <t>Operationnel</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row>
    <row r="1672">
      <c r="A1672" t="inlineStr">
        <is>
          <t>Buea-Centre-Ville</t>
        </is>
      </c>
      <c r="B1672" t="inlineStr">
        <is>
          <t>SUO_063</t>
        </is>
      </c>
      <c r="C1672" t="inlineStr">
        <is>
          <t>SUD-OUEST</t>
        </is>
      </c>
      <c r="D1672" t="inlineStr">
        <is>
          <t>IHS</t>
        </is>
      </c>
      <c r="E1672" t="inlineStr">
        <is>
          <t>Grid-Gen</t>
        </is>
      </c>
      <c r="F1672" t="inlineStr">
        <is>
          <t>SUD-OUEST</t>
        </is>
      </c>
      <c r="G1672" t="inlineStr">
        <is>
          <t>Buea</t>
        </is>
      </c>
      <c r="H1672" t="inlineStr">
        <is>
          <t>Huawei</t>
        </is>
      </c>
      <c r="I1672" t="n">
        <v>0</v>
      </c>
      <c r="J1672" t="n">
        <v>0</v>
      </c>
      <c r="K1672" t="n">
        <v>0</v>
      </c>
      <c r="L1672" t="n">
        <v>0</v>
      </c>
      <c r="M1672" t="n">
        <v>0</v>
      </c>
      <c r="N1672" t="n">
        <v>0</v>
      </c>
      <c r="O1672" t="n">
        <v>0</v>
      </c>
      <c r="P1672" t="n">
        <v>0</v>
      </c>
      <c r="Q1672" t="n">
        <v>0</v>
      </c>
      <c r="R1672" t="inlineStr">
        <is>
          <t>Operationnel</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row>
    <row r="1673">
      <c r="A1673" t="inlineStr">
        <is>
          <t>CDC-Delmonte-IHS</t>
        </is>
      </c>
      <c r="B1673" t="inlineStr">
        <is>
          <t>LIT_173</t>
        </is>
      </c>
      <c r="C1673" t="inlineStr">
        <is>
          <t>SUD-OUEST</t>
        </is>
      </c>
      <c r="D1673" t="inlineStr">
        <is>
          <t>IHS</t>
        </is>
      </c>
      <c r="E1673" t="inlineStr">
        <is>
          <t>Grid-Gen</t>
        </is>
      </c>
      <c r="F1673" t="inlineStr">
        <is>
          <t>LITTORAL</t>
        </is>
      </c>
      <c r="G1673" t="inlineStr">
        <is>
          <t>CDC-Delmonte</t>
        </is>
      </c>
      <c r="H1673" t="inlineStr">
        <is>
          <t>HUAWEI</t>
        </is>
      </c>
      <c r="I1673" t="n">
        <v>0</v>
      </c>
      <c r="J1673" t="n">
        <v>0</v>
      </c>
      <c r="K1673" t="n">
        <v>0</v>
      </c>
      <c r="L1673" t="n">
        <v>0</v>
      </c>
      <c r="M1673" t="n">
        <v>0</v>
      </c>
      <c r="N1673" t="n">
        <v>0</v>
      </c>
      <c r="O1673" t="n">
        <v>0</v>
      </c>
      <c r="P1673" t="n">
        <v>0</v>
      </c>
      <c r="Q1673" t="n">
        <v>0</v>
      </c>
      <c r="R1673" t="inlineStr">
        <is>
          <t>Operationnel</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row>
    <row r="1674">
      <c r="A1674" t="inlineStr">
        <is>
          <t>BANKA</t>
        </is>
      </c>
      <c r="B1674" t="inlineStr">
        <is>
          <t>OST_286</t>
        </is>
      </c>
      <c r="C1674" t="inlineStr">
        <is>
          <t>OUEST</t>
        </is>
      </c>
      <c r="D1674" t="inlineStr">
        <is>
          <t>CAMUSAT</t>
        </is>
      </c>
      <c r="E1674" t="inlineStr">
        <is>
          <t>Bad Grid + GE</t>
        </is>
      </c>
      <c r="F1674" t="inlineStr">
        <is>
          <t>OUEST</t>
        </is>
      </c>
      <c r="G1674" t="inlineStr">
        <is>
          <t>Banka</t>
        </is>
      </c>
      <c r="H1674" t="inlineStr">
        <is>
          <t>HUAWEI</t>
        </is>
      </c>
      <c r="I1674" t="n">
        <v>0</v>
      </c>
      <c r="J1674" t="n">
        <v>0</v>
      </c>
      <c r="K1674" t="n">
        <v>0</v>
      </c>
      <c r="L1674" t="n">
        <v>0</v>
      </c>
      <c r="M1674" t="n">
        <v>0</v>
      </c>
      <c r="N1674" t="n">
        <v>0</v>
      </c>
      <c r="O1674" t="n">
        <v>0</v>
      </c>
      <c r="P1674" t="n">
        <v>0</v>
      </c>
      <c r="Q1674" t="n">
        <v>0</v>
      </c>
      <c r="R1674" t="inlineStr">
        <is>
          <t>Operationnel</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row>
    <row r="1675">
      <c r="A1675" t="inlineStr">
        <is>
          <t>Mamegnam</t>
        </is>
      </c>
      <c r="B1675" t="inlineStr">
        <is>
          <t>OST_272</t>
        </is>
      </c>
      <c r="C1675" t="inlineStr">
        <is>
          <t>OUEST</t>
        </is>
      </c>
      <c r="D1675" t="inlineStr">
        <is>
          <t>CAMUSAT</t>
        </is>
      </c>
      <c r="E1675" t="inlineStr">
        <is>
          <t>Hybrid Solar - S3</t>
        </is>
      </c>
      <c r="F1675" t="inlineStr">
        <is>
          <t>OUEST</t>
        </is>
      </c>
      <c r="G1675" t="inlineStr">
        <is>
          <t>Mamegnam</t>
        </is>
      </c>
      <c r="H1675" t="inlineStr">
        <is>
          <t>HUAWEI</t>
        </is>
      </c>
      <c r="I1675" t="n">
        <v>0</v>
      </c>
      <c r="J1675" t="n">
        <v>0</v>
      </c>
      <c r="K1675" t="n">
        <v>0</v>
      </c>
      <c r="L1675" t="n">
        <v>0</v>
      </c>
      <c r="M1675" t="n">
        <v>0</v>
      </c>
      <c r="N1675" t="n">
        <v>0</v>
      </c>
      <c r="O1675" t="n">
        <v>0</v>
      </c>
      <c r="P1675" t="n">
        <v>0</v>
      </c>
      <c r="Q1675" t="n">
        <v>0</v>
      </c>
      <c r="R1675" t="inlineStr">
        <is>
          <t>Operationnel</t>
        </is>
      </c>
      <c r="S1675" t="inlineStr"/>
      <c r="T1675" t="inlineStr"/>
      <c r="U1675" t="inlineStr"/>
      <c r="V1675" t="inlineStr"/>
      <c r="W1675" t="inlineStr"/>
      <c r="X1675" t="inlineStr">
        <is>
          <t>{05-25-2026 ocm ran 22H}: Power status check Ongoing</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{05-25-2026 ocm ran 22H}: Power status check Ongoing</t>
        </is>
      </c>
      <c r="AP1675" t="inlineStr"/>
      <c r="AQ1675" t="inlineStr"/>
      <c r="AR1675" t="inlineStr"/>
    </row>
    <row r="1676">
      <c r="A1676" t="inlineStr">
        <is>
          <t>Massangam</t>
        </is>
      </c>
      <c r="B1676" t="inlineStr">
        <is>
          <t>OST_057</t>
        </is>
      </c>
      <c r="C1676" t="inlineStr">
        <is>
          <t>OUEST</t>
        </is>
      </c>
      <c r="D1676" t="inlineStr">
        <is>
          <t>IHS</t>
        </is>
      </c>
      <c r="E1676" t="inlineStr">
        <is>
          <t>Solar-Grid-Gen</t>
        </is>
      </c>
      <c r="F1676" t="inlineStr">
        <is>
          <t>OUEST</t>
        </is>
      </c>
      <c r="G1676" t="inlineStr">
        <is>
          <t>Massangam</t>
        </is>
      </c>
      <c r="H1676" t="inlineStr">
        <is>
          <t>Huawei</t>
        </is>
      </c>
      <c r="I1676" t="n">
        <v>0</v>
      </c>
      <c r="J1676" t="n">
        <v>0</v>
      </c>
      <c r="K1676" t="n">
        <v>0</v>
      </c>
      <c r="L1676" t="n">
        <v>0</v>
      </c>
      <c r="M1676" t="n">
        <v>0</v>
      </c>
      <c r="N1676" t="n">
        <v>0</v>
      </c>
      <c r="O1676" t="n">
        <v>0</v>
      </c>
      <c r="P1676" t="n">
        <v>0</v>
      </c>
      <c r="Q1676" t="n">
        <v>0</v>
      </c>
      <c r="R1676" t="inlineStr">
        <is>
          <t>Operationnel</t>
        </is>
      </c>
      <c r="S1676" t="inlineStr"/>
      <c r="T1676" t="inlineStr"/>
      <c r="U1676" t="inlineStr"/>
      <c r="V1676" t="inlineStr"/>
      <c r="W1676" t="inlineStr"/>
      <c r="X1676" t="inlineStr">
        <is>
          <t>{None hourly IHS}: 25/05/2026 00:32..5:50:50..50.4V..SUP Achille is informed and managing     ;    {05-25-2026 ocm ran 22H}: 25.05.26: Besoin d'un FME sur site pour vérifier le statut de la BBU et son interco avec le MPR S1P5; CM-20260525-00006182; FME Wylli activé pour investigations, update ASAP     ;    {05-25-2026 ocm ran 17H}: 25.05.26: Besoin d'un FME sur site pour vérifier le statut de la BBU et son interco avec le MPR S1P5; CM-20260525-00006182; FME Wylli activé pour investigations, update ASAP</t>
        </is>
      </c>
      <c r="Y1676" t="inlineStr">
        <is>
          <t>25/05/2026 00 32.5 50 50.50.4V.SUP Achille is informed and managing 25.05.26 Besoin d'un FME sur site pour vérifier le statut de la BBU et son interco avec le MPR S1P5; FME Wylli activé pour investigations, update ASAP 25.05.26 Besoin d'un FME sur site pour vérifier le statut de la BBU et son interco avec le MPR S1P5; FME Wylli activé pour investigations, update ASAP</t>
        </is>
      </c>
      <c r="Z1676" t="inlineStr"/>
      <c r="AA1676" t="inlineStr"/>
      <c r="AB1676" t="inlineStr"/>
      <c r="AC1676" t="inlineStr"/>
      <c r="AD1676" t="inlineStr"/>
      <c r="AE1676" t="inlineStr">
        <is>
          <t>{None hourly IHS}: 25/05/2026 00:32..5:50:50..50.4V..SUP Achille is informed and managing</t>
        </is>
      </c>
      <c r="AF1676" t="inlineStr"/>
      <c r="AG1676" t="inlineStr"/>
      <c r="AH1676" t="inlineStr"/>
      <c r="AI1676" t="inlineStr"/>
      <c r="AJ1676" t="inlineStr"/>
      <c r="AK1676" t="inlineStr"/>
      <c r="AL1676" t="inlineStr"/>
      <c r="AM1676" t="inlineStr"/>
      <c r="AN1676" t="inlineStr"/>
      <c r="AO1676" t="inlineStr">
        <is>
          <t>{05-25-2026 ocm ran 22H}: 25.05.26: Besoin d'un FME sur site pour vérifier le statut de la BBU et son interco avec le MPR S1P5; CM-20260525-00006182; FME Wylli activé pour investigations, update ASAP</t>
        </is>
      </c>
      <c r="AP1676" t="inlineStr">
        <is>
          <t>{05-25-2026 ocm ran 17H}: 25.05.26: Besoin d'un FME sur site pour vérifier le statut de la BBU et son interco avec le MPR S1P5; CM-20260525-00006182; FME Wylli activé pour investigations, update ASAP</t>
        </is>
      </c>
      <c r="AQ1676" t="inlineStr"/>
      <c r="AR1676" t="inlineStr"/>
    </row>
    <row r="1677">
      <c r="A1677" t="inlineStr">
        <is>
          <t>Lamape</t>
        </is>
      </c>
      <c r="B1677" t="inlineStr">
        <is>
          <t>OST_027</t>
        </is>
      </c>
      <c r="C1677" t="inlineStr">
        <is>
          <t>OUEST</t>
        </is>
      </c>
      <c r="D1677" t="inlineStr">
        <is>
          <t>IHS</t>
        </is>
      </c>
      <c r="E1677" t="inlineStr">
        <is>
          <t>Grid-Gen</t>
        </is>
      </c>
      <c r="F1677" t="inlineStr">
        <is>
          <t>OUEST</t>
        </is>
      </c>
      <c r="G1677" t="inlineStr">
        <is>
          <t>Lamape</t>
        </is>
      </c>
      <c r="H1677" t="inlineStr">
        <is>
          <t>Huawei</t>
        </is>
      </c>
      <c r="I1677" t="n">
        <v>0</v>
      </c>
      <c r="J1677" t="n">
        <v>0</v>
      </c>
      <c r="K1677" t="n">
        <v>0</v>
      </c>
      <c r="L1677" t="n">
        <v>0</v>
      </c>
      <c r="M1677" t="n">
        <v>0</v>
      </c>
      <c r="N1677" t="n">
        <v>0</v>
      </c>
      <c r="O1677" t="n">
        <v>0</v>
      </c>
      <c r="P1677" t="n">
        <v>0</v>
      </c>
      <c r="Q1677" t="n">
        <v>0</v>
      </c>
      <c r="R1677" t="inlineStr">
        <is>
          <t>Operationnel</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row>
    <row r="1678">
      <c r="A1678" t="inlineStr">
        <is>
          <t>Mboulai-MTN</t>
        </is>
      </c>
      <c r="B1678" t="inlineStr">
        <is>
          <t>ADM_029</t>
        </is>
      </c>
      <c r="C1678" t="inlineStr">
        <is>
          <t>ADAMAOUA</t>
        </is>
      </c>
      <c r="D1678" t="inlineStr">
        <is>
          <t>IHS</t>
        </is>
      </c>
      <c r="E1678" t="inlineStr">
        <is>
          <t>Gen Only</t>
        </is>
      </c>
      <c r="F1678" t="inlineStr">
        <is>
          <t>ADAMAOUA</t>
        </is>
      </c>
      <c r="G1678" t="inlineStr">
        <is>
          <t>Mboulai</t>
        </is>
      </c>
      <c r="H1678" t="inlineStr">
        <is>
          <t>NOKIA</t>
        </is>
      </c>
      <c r="I1678" t="n">
        <v>0</v>
      </c>
      <c r="J1678" t="n">
        <v>0</v>
      </c>
      <c r="K1678" t="n">
        <v>0</v>
      </c>
      <c r="L1678" t="n">
        <v>0</v>
      </c>
      <c r="M1678" t="n">
        <v>0</v>
      </c>
      <c r="N1678" t="n">
        <v>0</v>
      </c>
      <c r="O1678" t="n">
        <v>0</v>
      </c>
      <c r="P1678" t="n">
        <v>0</v>
      </c>
      <c r="Q1678" t="n">
        <v>0</v>
      </c>
      <c r="R1678" t="inlineStr">
        <is>
          <t>Operationnel</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row>
    <row r="1679">
      <c r="A1679" t="inlineStr">
        <is>
          <t>Tibati-Market-MTN-IHS</t>
        </is>
      </c>
      <c r="B1679" t="inlineStr">
        <is>
          <t>ADM_105</t>
        </is>
      </c>
      <c r="C1679" t="inlineStr">
        <is>
          <t>ADAMAOUA</t>
        </is>
      </c>
      <c r="D1679" t="inlineStr">
        <is>
          <t>IHS</t>
        </is>
      </c>
      <c r="E1679" t="inlineStr">
        <is>
          <t>Grid-Gen</t>
        </is>
      </c>
      <c r="F1679" t="inlineStr">
        <is>
          <t>ADAMAOUA</t>
        </is>
      </c>
      <c r="G1679" t="inlineStr">
        <is>
          <t>Tibati</t>
        </is>
      </c>
      <c r="H1679" t="inlineStr">
        <is>
          <t>HUAWEI</t>
        </is>
      </c>
      <c r="I1679" t="n">
        <v>0</v>
      </c>
      <c r="J1679" t="n">
        <v>0</v>
      </c>
      <c r="K1679" t="n">
        <v>0</v>
      </c>
      <c r="L1679" t="n">
        <v>0</v>
      </c>
      <c r="M1679" t="n">
        <v>0</v>
      </c>
      <c r="N1679" t="n">
        <v>0</v>
      </c>
      <c r="O1679" t="n">
        <v>0</v>
      </c>
      <c r="P1679" t="n">
        <v>0</v>
      </c>
      <c r="Q1679" t="n">
        <v>0</v>
      </c>
      <c r="R1679" t="inlineStr">
        <is>
          <t>Operationnel</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row>
    <row r="1680">
      <c r="A1680" t="inlineStr">
        <is>
          <t>Tibati-II</t>
        </is>
      </c>
      <c r="B1680" t="inlineStr">
        <is>
          <t>ADM_044</t>
        </is>
      </c>
      <c r="C1680" t="inlineStr">
        <is>
          <t>ADAMAOUA</t>
        </is>
      </c>
      <c r="D1680" t="inlineStr">
        <is>
          <t>IHS</t>
        </is>
      </c>
      <c r="E1680" t="inlineStr">
        <is>
          <t>Grid-Gen</t>
        </is>
      </c>
      <c r="F1680" t="inlineStr">
        <is>
          <t>ADAMAOUA</t>
        </is>
      </c>
      <c r="G1680" t="inlineStr">
        <is>
          <t>Tibati</t>
        </is>
      </c>
      <c r="H1680" t="inlineStr">
        <is>
          <t>HUAWEI</t>
        </is>
      </c>
      <c r="I1680" t="n">
        <v>0</v>
      </c>
      <c r="J1680" t="n">
        <v>0</v>
      </c>
      <c r="K1680" t="n">
        <v>0</v>
      </c>
      <c r="L1680" t="n">
        <v>0</v>
      </c>
      <c r="M1680" t="n">
        <v>0</v>
      </c>
      <c r="N1680" t="n">
        <v>0</v>
      </c>
      <c r="O1680" t="n">
        <v>0</v>
      </c>
      <c r="P1680" t="n">
        <v>0</v>
      </c>
      <c r="Q1680" t="n">
        <v>0</v>
      </c>
      <c r="R1680" t="inlineStr">
        <is>
          <t>Operationnel</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row>
    <row r="1681">
      <c r="A1681" t="inlineStr">
        <is>
          <t>Tignere</t>
        </is>
      </c>
      <c r="B1681" t="inlineStr">
        <is>
          <t>ADM_011</t>
        </is>
      </c>
      <c r="C1681" t="inlineStr">
        <is>
          <t>ADAMAOUA</t>
        </is>
      </c>
      <c r="D1681" t="inlineStr">
        <is>
          <t>IHS</t>
        </is>
      </c>
      <c r="E1681" t="inlineStr">
        <is>
          <t>Grid-Gen</t>
        </is>
      </c>
      <c r="F1681" t="inlineStr">
        <is>
          <t>ADAMAOUA</t>
        </is>
      </c>
      <c r="G1681" t="inlineStr">
        <is>
          <t>Tignere</t>
        </is>
      </c>
      <c r="H1681" t="inlineStr">
        <is>
          <t>HUAWEI</t>
        </is>
      </c>
      <c r="I1681" t="n">
        <v>0</v>
      </c>
      <c r="J1681" t="n">
        <v>0</v>
      </c>
      <c r="K1681" t="n">
        <v>0</v>
      </c>
      <c r="L1681" t="n">
        <v>0</v>
      </c>
      <c r="M1681" t="n">
        <v>0</v>
      </c>
      <c r="N1681" t="n">
        <v>0</v>
      </c>
      <c r="O1681" t="n">
        <v>0</v>
      </c>
      <c r="P1681" t="n">
        <v>0</v>
      </c>
      <c r="Q1681" t="n">
        <v>0</v>
      </c>
      <c r="R1681" t="inlineStr">
        <is>
          <t>Operationnel</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row>
    <row r="1682">
      <c r="A1682" t="inlineStr">
        <is>
          <t>Borongo</t>
        </is>
      </c>
      <c r="B1682" t="inlineStr">
        <is>
          <t>ADM_162</t>
        </is>
      </c>
      <c r="C1682" t="inlineStr">
        <is>
          <t>ADAMAOUA</t>
        </is>
      </c>
      <c r="D1682" t="inlineStr">
        <is>
          <t>CAMUSAT</t>
        </is>
      </c>
      <c r="E1682" t="inlineStr">
        <is>
          <t>Bad Grid + GE</t>
        </is>
      </c>
      <c r="F1682" t="inlineStr">
        <is>
          <t>ADAMAOUA</t>
        </is>
      </c>
      <c r="G1682" t="inlineStr">
        <is>
          <t>Borongo</t>
        </is>
      </c>
      <c r="H1682" t="inlineStr">
        <is>
          <t>HUAWEI</t>
        </is>
      </c>
      <c r="I1682" t="n">
        <v>0</v>
      </c>
      <c r="J1682" t="n">
        <v>0</v>
      </c>
      <c r="K1682" t="n">
        <v>0</v>
      </c>
      <c r="L1682" t="n">
        <v>0</v>
      </c>
      <c r="M1682" t="n">
        <v>0</v>
      </c>
      <c r="N1682" t="n">
        <v>0</v>
      </c>
      <c r="O1682" t="n">
        <v>0</v>
      </c>
      <c r="P1682" t="n">
        <v>0</v>
      </c>
      <c r="Q1682" t="n">
        <v>0</v>
      </c>
      <c r="R1682" t="inlineStr">
        <is>
          <t>Operationnel</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row>
    <row r="1683">
      <c r="A1683" t="inlineStr">
        <is>
          <t>Bonadibong</t>
        </is>
      </c>
      <c r="B1683" t="inlineStr">
        <is>
          <t>LIT_126</t>
        </is>
      </c>
      <c r="C1683" t="inlineStr">
        <is>
          <t>Douala</t>
        </is>
      </c>
      <c r="D1683" t="inlineStr">
        <is>
          <t>IHS</t>
        </is>
      </c>
      <c r="E1683" t="inlineStr">
        <is>
          <t>Grid-Gen</t>
        </is>
      </c>
      <c r="F1683" t="inlineStr">
        <is>
          <t>LITTORAL</t>
        </is>
      </c>
      <c r="G1683" t="inlineStr">
        <is>
          <t>Douala</t>
        </is>
      </c>
      <c r="H1683" t="inlineStr">
        <is>
          <t>ZTE</t>
        </is>
      </c>
      <c r="I1683" t="n">
        <v>0</v>
      </c>
      <c r="J1683" t="n">
        <v>0</v>
      </c>
      <c r="K1683" t="n">
        <v>0</v>
      </c>
      <c r="L1683" t="n">
        <v>0</v>
      </c>
      <c r="M1683" t="n">
        <v>0</v>
      </c>
      <c r="N1683" t="n">
        <v>0</v>
      </c>
      <c r="O1683" t="n">
        <v>0</v>
      </c>
      <c r="P1683" t="n">
        <v>0</v>
      </c>
      <c r="Q1683" t="n">
        <v>0</v>
      </c>
      <c r="R1683" t="inlineStr">
        <is>
          <t>Operationnel</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row>
    <row r="1684">
      <c r="A1684" t="inlineStr">
        <is>
          <t>Djoa-IHS</t>
        </is>
      </c>
      <c r="B1684" t="inlineStr">
        <is>
          <t>ADM_187</t>
        </is>
      </c>
      <c r="C1684" t="inlineStr">
        <is>
          <t>ADAMAOUA</t>
        </is>
      </c>
      <c r="D1684" t="inlineStr"/>
      <c r="E1684" t="inlineStr"/>
      <c r="F1684" t="inlineStr">
        <is>
          <t>ADAMAOUA</t>
        </is>
      </c>
      <c r="G1684" t="inlineStr">
        <is>
          <t>Tibati</t>
        </is>
      </c>
      <c r="H1684" t="inlineStr">
        <is>
          <t>HUAWEI</t>
        </is>
      </c>
      <c r="I1684" t="n">
        <v>0</v>
      </c>
      <c r="J1684" t="n">
        <v>0</v>
      </c>
      <c r="K1684" t="n">
        <v>0</v>
      </c>
      <c r="L1684" t="n">
        <v>0</v>
      </c>
      <c r="M1684" t="n">
        <v>0</v>
      </c>
      <c r="N1684" t="n">
        <v>0</v>
      </c>
      <c r="O1684" t="n">
        <v>0</v>
      </c>
      <c r="P1684" t="n">
        <v>0</v>
      </c>
      <c r="Q1684" t="n">
        <v>0</v>
      </c>
      <c r="R1684" t="inlineStr">
        <is>
          <t>Operationnel</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row>
    <row r="1685">
      <c r="A1685" t="inlineStr">
        <is>
          <t>Mile4</t>
        </is>
      </c>
      <c r="B1685" t="inlineStr">
        <is>
          <t>SUO_021</t>
        </is>
      </c>
      <c r="C1685" t="inlineStr">
        <is>
          <t>SUD-OUEST</t>
        </is>
      </c>
      <c r="D1685" t="inlineStr">
        <is>
          <t>IHS</t>
        </is>
      </c>
      <c r="E1685" t="inlineStr">
        <is>
          <t>Grid-Gen</t>
        </is>
      </c>
      <c r="F1685" t="inlineStr">
        <is>
          <t>SUD-OUEST</t>
        </is>
      </c>
      <c r="G1685" t="inlineStr">
        <is>
          <t>Limbe</t>
        </is>
      </c>
      <c r="H1685" t="inlineStr">
        <is>
          <t>HUAWEI</t>
        </is>
      </c>
      <c r="I1685" t="n">
        <v>0</v>
      </c>
      <c r="J1685" t="n">
        <v>0</v>
      </c>
      <c r="K1685" t="n">
        <v>0</v>
      </c>
      <c r="L1685" t="n">
        <v>0</v>
      </c>
      <c r="M1685" t="n">
        <v>0</v>
      </c>
      <c r="N1685" t="n">
        <v>0</v>
      </c>
      <c r="O1685" t="n">
        <v>0</v>
      </c>
      <c r="P1685" t="n">
        <v>0</v>
      </c>
      <c r="Q1685" t="n">
        <v>0</v>
      </c>
      <c r="R1685" t="inlineStr">
        <is>
          <t>Operationnel</t>
        </is>
      </c>
      <c r="S1685" t="inlineStr"/>
      <c r="T1685" t="inlineStr"/>
      <c r="U1685" t="inlineStr"/>
      <c r="V1685" t="inlineStr"/>
      <c r="W1685" t="inlineStr"/>
      <c r="X1685" t="inlineStr">
        <is>
          <t>{None hourly IHS}: 25/05/2026 16:08..6:16:57..Jeff is going to site, ETA 06:30 PM     ;    {05-25-2026 ocm ran 17H}: Power status check Ongoing</t>
        </is>
      </c>
      <c r="Y1685" t="inlineStr">
        <is>
          <t>25/05/2026 16 08.6 16 57.Jeff is going to site, ETA 06 30 PM</t>
        </is>
      </c>
      <c r="Z1685" t="inlineStr"/>
      <c r="AA1685" t="inlineStr"/>
      <c r="AB1685" t="inlineStr"/>
      <c r="AC1685" t="inlineStr"/>
      <c r="AD1685" t="inlineStr"/>
      <c r="AE1685" t="inlineStr">
        <is>
          <t>{None hourly IHS}: 25/05/2026 16:08..6:16:57..Jeff is going to site, ETA 06:30 PM</t>
        </is>
      </c>
      <c r="AF1685" t="inlineStr"/>
      <c r="AG1685" t="inlineStr"/>
      <c r="AH1685" t="inlineStr"/>
      <c r="AI1685" t="inlineStr"/>
      <c r="AJ1685" t="inlineStr"/>
      <c r="AK1685" t="inlineStr"/>
      <c r="AL1685" t="inlineStr"/>
      <c r="AM1685" t="inlineStr"/>
      <c r="AN1685" t="inlineStr"/>
      <c r="AO1685" t="inlineStr"/>
      <c r="AP1685" t="inlineStr">
        <is>
          <t>{05-25-2026 ocm ran 17H}: Power status check Ongoing</t>
        </is>
      </c>
      <c r="AQ1685" t="inlineStr"/>
      <c r="AR1685" t="inlineStr"/>
    </row>
    <row r="1686">
      <c r="A1686" t="inlineStr">
        <is>
          <t>Koundoum</t>
        </is>
      </c>
      <c r="B1686" t="inlineStr">
        <is>
          <t>OST_252</t>
        </is>
      </c>
      <c r="C1686" t="inlineStr">
        <is>
          <t>OUEST</t>
        </is>
      </c>
      <c r="D1686" t="inlineStr">
        <is>
          <t>IHS</t>
        </is>
      </c>
      <c r="E1686" t="inlineStr">
        <is>
          <t>Gen-Lithium</t>
        </is>
      </c>
      <c r="F1686" t="inlineStr">
        <is>
          <t>OUEST</t>
        </is>
      </c>
      <c r="G1686" t="inlineStr">
        <is>
          <t>Koundoum</t>
        </is>
      </c>
      <c r="H1686" t="inlineStr">
        <is>
          <t>HUAWEI</t>
        </is>
      </c>
      <c r="I1686" t="n">
        <v>0</v>
      </c>
      <c r="J1686" t="n">
        <v>0</v>
      </c>
      <c r="K1686" t="n">
        <v>0</v>
      </c>
      <c r="L1686" t="n">
        <v>0</v>
      </c>
      <c r="M1686" t="n">
        <v>0</v>
      </c>
      <c r="N1686" t="n">
        <v>0</v>
      </c>
      <c r="O1686" t="n">
        <v>0</v>
      </c>
      <c r="P1686" t="n">
        <v>0</v>
      </c>
      <c r="Q1686" t="n">
        <v>0</v>
      </c>
      <c r="R1686" t="inlineStr">
        <is>
          <t>Operationnel</t>
        </is>
      </c>
      <c r="S1686" t="inlineStr"/>
      <c r="T1686" t="inlineStr"/>
      <c r="U1686" t="inlineStr"/>
      <c r="V1686" t="inlineStr"/>
      <c r="W1686" t="inlineStr"/>
      <c r="X1686" t="inlineStr">
        <is>
          <t>{None hourly IHS}: 25/05/2026 10:50..0:10:00..43..FME is informed and managing     ;    {05-25-2026 ocm ran 17H}: Power status check Ongoing</t>
        </is>
      </c>
      <c r="Y1686" t="inlineStr">
        <is>
          <t>25/05/2026 10 50.0 10 00.43.FME is informed and managing</t>
        </is>
      </c>
      <c r="Z1686" t="inlineStr"/>
      <c r="AA1686" t="inlineStr"/>
      <c r="AB1686" t="inlineStr"/>
      <c r="AC1686" t="inlineStr"/>
      <c r="AD1686" t="inlineStr"/>
      <c r="AE1686" t="inlineStr">
        <is>
          <t>{None hourly IHS}: 25/05/2026 10:50..0:10:00..43..FME is informed and managing</t>
        </is>
      </c>
      <c r="AF1686" t="inlineStr"/>
      <c r="AG1686" t="inlineStr"/>
      <c r="AH1686" t="inlineStr"/>
      <c r="AI1686" t="inlineStr"/>
      <c r="AJ1686" t="inlineStr"/>
      <c r="AK1686" t="inlineStr"/>
      <c r="AL1686" t="inlineStr"/>
      <c r="AM1686" t="inlineStr"/>
      <c r="AN1686" t="inlineStr"/>
      <c r="AO1686" t="inlineStr"/>
      <c r="AP1686" t="inlineStr">
        <is>
          <t>{05-25-2026 ocm ran 17H}: Power status check Ongoing</t>
        </is>
      </c>
      <c r="AQ1686" t="inlineStr"/>
      <c r="AR1686" t="inlineStr"/>
    </row>
    <row r="1687">
      <c r="A1687" t="inlineStr">
        <is>
          <t>Limbe-Semme-Beach-MTN</t>
        </is>
      </c>
      <c r="B1687" t="inlineStr">
        <is>
          <t>SUO_082</t>
        </is>
      </c>
      <c r="C1687" t="inlineStr">
        <is>
          <t>SUD-OUEST</t>
        </is>
      </c>
      <c r="D1687" t="inlineStr">
        <is>
          <t>IHS</t>
        </is>
      </c>
      <c r="E1687" t="inlineStr">
        <is>
          <t>Grid-Gen</t>
        </is>
      </c>
      <c r="F1687" t="inlineStr">
        <is>
          <t>SUD-OUEST</t>
        </is>
      </c>
      <c r="G1687" t="inlineStr">
        <is>
          <t>Limbe</t>
        </is>
      </c>
      <c r="H1687" t="inlineStr">
        <is>
          <t>HUAWEI</t>
        </is>
      </c>
      <c r="I1687" t="n">
        <v>0</v>
      </c>
      <c r="J1687" t="n">
        <v>0</v>
      </c>
      <c r="K1687" t="n">
        <v>0</v>
      </c>
      <c r="L1687" t="n">
        <v>0</v>
      </c>
      <c r="M1687" t="n">
        <v>0</v>
      </c>
      <c r="N1687" t="n">
        <v>0</v>
      </c>
      <c r="O1687" t="n">
        <v>0</v>
      </c>
      <c r="P1687" t="n">
        <v>0</v>
      </c>
      <c r="Q1687" t="n">
        <v>0</v>
      </c>
      <c r="R1687" t="inlineStr">
        <is>
          <t>Operationnel</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row>
    <row r="1688">
      <c r="A1688" t="inlineStr">
        <is>
          <t>Boudva-IHS</t>
        </is>
      </c>
      <c r="B1688" t="inlineStr">
        <is>
          <t>NRD_092</t>
        </is>
      </c>
      <c r="C1688" t="inlineStr">
        <is>
          <t>NORD</t>
        </is>
      </c>
      <c r="D1688" t="inlineStr">
        <is>
          <t>IHS</t>
        </is>
      </c>
      <c r="E1688" t="inlineStr">
        <is>
          <t>Gen Only</t>
        </is>
      </c>
      <c r="F1688" t="inlineStr">
        <is>
          <t>NORD</t>
        </is>
      </c>
      <c r="G1688" t="inlineStr">
        <is>
          <t>Boudva</t>
        </is>
      </c>
      <c r="H1688" t="inlineStr">
        <is>
          <t>HUAWEI</t>
        </is>
      </c>
      <c r="I1688" t="n">
        <v>0</v>
      </c>
      <c r="J1688" t="n">
        <v>0</v>
      </c>
      <c r="K1688" t="n">
        <v>0</v>
      </c>
      <c r="L1688" t="n">
        <v>0</v>
      </c>
      <c r="M1688" t="n">
        <v>0</v>
      </c>
      <c r="N1688" t="n">
        <v>0</v>
      </c>
      <c r="O1688" t="n">
        <v>0</v>
      </c>
      <c r="P1688" t="n">
        <v>0</v>
      </c>
      <c r="Q1688" t="n">
        <v>0</v>
      </c>
      <c r="R1688" t="inlineStr">
        <is>
          <t>Operationnel</t>
        </is>
      </c>
      <c r="S1688" t="inlineStr"/>
      <c r="T1688" t="inlineStr"/>
      <c r="U1688" t="inlineStr"/>
      <c r="V1688" t="inlineStr"/>
      <c r="W1688" t="inlineStr"/>
      <c r="X1688" t="inlineStr">
        <is>
          <t xml:space="preserve">{05-25-2026 incident}:  {05-18-2026 groupe whatsapp incident}: impacted by    Kaele-MTN-IHS_EXN_160) ,Power issue || Action retour IHS attendu </t>
        </is>
      </c>
      <c r="Y1688" t="inlineStr">
        <is>
          <t>{05-25-2026 incident} {05-18-2026 groupe whatsapp incident} impacted by Kaele-MTN-IHS_EXN_160) ,Power issue || Action retour IHS attendu</t>
        </is>
      </c>
      <c r="Z1688" t="inlineStr"/>
      <c r="AA1688" t="inlineStr">
        <is>
          <t xml:space="preserve">{05-25-2026 incident}:  {05-18-2026 groupe whatsapp incident}: impacted by    Kaele-MTN-IHS_EXN_160) ,Power issue || Action retour IHS attendu </t>
        </is>
      </c>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row>
    <row r="1689">
      <c r="A1689" t="inlineStr">
        <is>
          <t>Ashum-MTN</t>
        </is>
      </c>
      <c r="B1689" t="inlineStr">
        <is>
          <t>SUO_089</t>
        </is>
      </c>
      <c r="C1689" t="inlineStr">
        <is>
          <t>SUD-OUEST</t>
        </is>
      </c>
      <c r="D1689" t="inlineStr">
        <is>
          <t>IHS</t>
        </is>
      </c>
      <c r="E1689" t="inlineStr">
        <is>
          <t>Gen Only</t>
        </is>
      </c>
      <c r="F1689" t="inlineStr">
        <is>
          <t>SUD-OUEST</t>
        </is>
      </c>
      <c r="G1689" t="inlineStr">
        <is>
          <t>Ashum</t>
        </is>
      </c>
      <c r="H1689" t="inlineStr">
        <is>
          <t>HUAWEI</t>
        </is>
      </c>
      <c r="I1689" t="n">
        <v>0</v>
      </c>
      <c r="J1689" t="n">
        <v>0</v>
      </c>
      <c r="K1689" t="n">
        <v>0</v>
      </c>
      <c r="L1689" t="n">
        <v>0</v>
      </c>
      <c r="M1689" t="n">
        <v>0</v>
      </c>
      <c r="N1689" t="n">
        <v>0</v>
      </c>
      <c r="O1689" t="n">
        <v>0</v>
      </c>
      <c r="P1689" t="n">
        <v>0</v>
      </c>
      <c r="Q1689" t="n">
        <v>0</v>
      </c>
      <c r="R1689" t="inlineStr">
        <is>
          <t>Operationnel</t>
        </is>
      </c>
      <c r="S1689" t="inlineStr"/>
      <c r="T1689" t="inlineStr"/>
      <c r="U1689" t="inlineStr"/>
      <c r="V1689" t="inlineStr"/>
      <c r="W1689" t="inlineStr"/>
      <c r="X1689" t="inlineStr">
        <is>
          <t>{05-25-2026 ocm ran 22H}: Impacted by SUO_040_H_Tinto (TX issue)     ;    {05-25-2026 ocm ran 17H}: Impacted by SUO_040_H_Tinto (TX issue)</t>
        </is>
      </c>
      <c r="Y1689" t="inlineStr">
        <is>
          <t>Impacted by SUO_040_H_Tinto (TX issue) Impacted by SUO_040_H_Tinto (TX issue)</t>
        </is>
      </c>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{05-25-2026 ocm ran 22H}: Impacted by SUO_040_H_Tinto (TX issue)</t>
        </is>
      </c>
      <c r="AP1689" t="inlineStr">
        <is>
          <t>{05-25-2026 ocm ran 17H}: Impacted by SUO_040_H_Tinto (TX issue)</t>
        </is>
      </c>
      <c r="AQ1689" t="inlineStr"/>
      <c r="AR1689" t="inlineStr"/>
    </row>
    <row r="1690">
      <c r="A1690" t="inlineStr">
        <is>
          <t>Nyamboya-MTN</t>
        </is>
      </c>
      <c r="B1690" t="inlineStr">
        <is>
          <t>ADM_179</t>
        </is>
      </c>
      <c r="C1690" t="inlineStr">
        <is>
          <t>ADAMAOUA</t>
        </is>
      </c>
      <c r="D1690" t="inlineStr"/>
      <c r="E1690" t="inlineStr"/>
      <c r="F1690" t="inlineStr">
        <is>
          <t>ADAMAOUA</t>
        </is>
      </c>
      <c r="G1690" t="inlineStr">
        <is>
          <t>Nyamboya</t>
        </is>
      </c>
      <c r="H1690" t="inlineStr">
        <is>
          <t>HUAWEI</t>
        </is>
      </c>
      <c r="I1690" t="n">
        <v>0</v>
      </c>
      <c r="J1690" t="n">
        <v>0</v>
      </c>
      <c r="K1690" t="n">
        <v>0</v>
      </c>
      <c r="L1690" t="n">
        <v>0</v>
      </c>
      <c r="M1690" t="n">
        <v>0</v>
      </c>
      <c r="N1690" t="n">
        <v>0</v>
      </c>
      <c r="O1690" t="n">
        <v>0</v>
      </c>
      <c r="P1690" t="n">
        <v>0</v>
      </c>
      <c r="Q1690" t="n">
        <v>0</v>
      </c>
      <c r="R1690" t="inlineStr">
        <is>
          <t>Operationnel</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row>
    <row r="1691">
      <c r="A1691" t="inlineStr">
        <is>
          <t>H-Sawa</t>
        </is>
      </c>
      <c r="B1691" t="inlineStr">
        <is>
          <t>LIT_099</t>
        </is>
      </c>
      <c r="C1691" t="inlineStr">
        <is>
          <t>Douala</t>
        </is>
      </c>
      <c r="D1691" t="inlineStr">
        <is>
          <t>IHS</t>
        </is>
      </c>
      <c r="E1691" t="inlineStr">
        <is>
          <t>Grid-Gen (LL)</t>
        </is>
      </c>
      <c r="F1691" t="inlineStr">
        <is>
          <t>LITTORAL</t>
        </is>
      </c>
      <c r="G1691" t="inlineStr">
        <is>
          <t>Douala</t>
        </is>
      </c>
      <c r="H1691" t="inlineStr">
        <is>
          <t>ZTE</t>
        </is>
      </c>
      <c r="I1691" t="n">
        <v>0</v>
      </c>
      <c r="J1691" t="n">
        <v>0</v>
      </c>
      <c r="K1691" t="n">
        <v>0</v>
      </c>
      <c r="L1691" t="n">
        <v>0</v>
      </c>
      <c r="M1691" t="n">
        <v>0</v>
      </c>
      <c r="N1691" t="n">
        <v>0</v>
      </c>
      <c r="O1691" t="n">
        <v>0</v>
      </c>
      <c r="P1691" t="n">
        <v>0</v>
      </c>
      <c r="Q1691" t="n">
        <v>0</v>
      </c>
      <c r="R1691" t="inlineStr">
        <is>
          <t>Operationnel</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row>
    <row r="1692">
      <c r="A1692" t="inlineStr">
        <is>
          <t>Fotouni-IHS</t>
        </is>
      </c>
      <c r="B1692" t="inlineStr">
        <is>
          <t>OST_153</t>
        </is>
      </c>
      <c r="C1692" t="inlineStr">
        <is>
          <t>OUEST</t>
        </is>
      </c>
      <c r="D1692" t="inlineStr">
        <is>
          <t>IHS</t>
        </is>
      </c>
      <c r="E1692" t="inlineStr">
        <is>
          <t>Hybrid-Gen</t>
        </is>
      </c>
      <c r="F1692" t="inlineStr">
        <is>
          <t>OUEST</t>
        </is>
      </c>
      <c r="G1692" t="inlineStr">
        <is>
          <t>Fotouni</t>
        </is>
      </c>
      <c r="H1692" t="inlineStr">
        <is>
          <t>HUAWEI</t>
        </is>
      </c>
      <c r="I1692" t="n">
        <v>0</v>
      </c>
      <c r="J1692" t="n">
        <v>0</v>
      </c>
      <c r="K1692" t="n">
        <v>0</v>
      </c>
      <c r="L1692" t="n">
        <v>0</v>
      </c>
      <c r="M1692" t="n">
        <v>0</v>
      </c>
      <c r="N1692" t="n">
        <v>0</v>
      </c>
      <c r="O1692" t="n">
        <v>0</v>
      </c>
      <c r="P1692" t="n">
        <v>0</v>
      </c>
      <c r="Q1692" t="n">
        <v>0</v>
      </c>
      <c r="R1692" t="inlineStr">
        <is>
          <t>Operationnel</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row>
    <row r="1693">
      <c r="A1693" t="inlineStr">
        <is>
          <t>Ngaoundal3-IHS</t>
        </is>
      </c>
      <c r="B1693" t="inlineStr">
        <is>
          <t>ADM_119</t>
        </is>
      </c>
      <c r="C1693" t="inlineStr">
        <is>
          <t>NGAOUNDERE</t>
        </is>
      </c>
      <c r="D1693" t="inlineStr">
        <is>
          <t>IHS</t>
        </is>
      </c>
      <c r="E1693" t="inlineStr">
        <is>
          <t>Grid-Gen</t>
        </is>
      </c>
      <c r="F1693" t="inlineStr">
        <is>
          <t>ADAMAOUA</t>
        </is>
      </c>
      <c r="G1693" t="inlineStr">
        <is>
          <t>Ngaoundal</t>
        </is>
      </c>
      <c r="H1693" t="inlineStr">
        <is>
          <t>HUAWEI</t>
        </is>
      </c>
      <c r="I1693" t="n">
        <v>0</v>
      </c>
      <c r="J1693" t="n">
        <v>0</v>
      </c>
      <c r="K1693" t="n">
        <v>0</v>
      </c>
      <c r="L1693" t="n">
        <v>0</v>
      </c>
      <c r="M1693" t="n">
        <v>0</v>
      </c>
      <c r="N1693" t="n">
        <v>0</v>
      </c>
      <c r="O1693" t="n">
        <v>0</v>
      </c>
      <c r="P1693" t="n">
        <v>0</v>
      </c>
      <c r="Q1693" t="n">
        <v>0</v>
      </c>
      <c r="R1693" t="inlineStr">
        <is>
          <t>Operationnel</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row>
    <row r="1694">
      <c r="A1694" t="inlineStr">
        <is>
          <t>Batsaa</t>
        </is>
      </c>
      <c r="B1694" t="inlineStr">
        <is>
          <t>OST_290</t>
        </is>
      </c>
      <c r="C1694" t="inlineStr">
        <is>
          <t>OUEST</t>
        </is>
      </c>
      <c r="D1694" t="inlineStr">
        <is>
          <t>CAMUSAT</t>
        </is>
      </c>
      <c r="E1694" t="inlineStr">
        <is>
          <t>Hybrid Solar - S3</t>
        </is>
      </c>
      <c r="F1694" t="inlineStr">
        <is>
          <t>OUEST</t>
        </is>
      </c>
      <c r="G1694" t="inlineStr">
        <is>
          <t>Batsaa</t>
        </is>
      </c>
      <c r="H1694" t="inlineStr">
        <is>
          <t>HUAWEI</t>
        </is>
      </c>
      <c r="I1694" t="n">
        <v>0</v>
      </c>
      <c r="J1694" t="n">
        <v>0</v>
      </c>
      <c r="K1694" t="n">
        <v>0</v>
      </c>
      <c r="L1694" t="n">
        <v>0</v>
      </c>
      <c r="M1694" t="n">
        <v>0</v>
      </c>
      <c r="N1694" t="n">
        <v>0</v>
      </c>
      <c r="O1694" t="n">
        <v>0</v>
      </c>
      <c r="P1694" t="n">
        <v>0</v>
      </c>
      <c r="Q1694" t="n">
        <v>0</v>
      </c>
      <c r="R1694" t="inlineStr">
        <is>
          <t>Operationnel</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row>
    <row r="1695">
      <c r="A1695" t="inlineStr">
        <is>
          <t>Ngaoundal</t>
        </is>
      </c>
      <c r="B1695" t="inlineStr">
        <is>
          <t>ADM_010</t>
        </is>
      </c>
      <c r="C1695" t="inlineStr">
        <is>
          <t>NGAOUNDERE</t>
        </is>
      </c>
      <c r="D1695" t="inlineStr">
        <is>
          <t>IHS</t>
        </is>
      </c>
      <c r="E1695" t="inlineStr">
        <is>
          <t>Medium Grid + Solar + GE</t>
        </is>
      </c>
      <c r="F1695" t="inlineStr">
        <is>
          <t>ADAMAOUA</t>
        </is>
      </c>
      <c r="G1695" t="inlineStr">
        <is>
          <t>Ngaoundal</t>
        </is>
      </c>
      <c r="H1695" t="inlineStr">
        <is>
          <t>HUAWEI</t>
        </is>
      </c>
      <c r="I1695" t="n">
        <v>0</v>
      </c>
      <c r="J1695" t="n">
        <v>0</v>
      </c>
      <c r="K1695" t="n">
        <v>0</v>
      </c>
      <c r="L1695" t="n">
        <v>0</v>
      </c>
      <c r="M1695" t="n">
        <v>0</v>
      </c>
      <c r="N1695" t="n">
        <v>0</v>
      </c>
      <c r="O1695" t="n">
        <v>0</v>
      </c>
      <c r="P1695" t="n">
        <v>0</v>
      </c>
      <c r="Q1695" t="n">
        <v>0</v>
      </c>
      <c r="R1695" t="inlineStr">
        <is>
          <t>Operationnel</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row>
    <row r="1696">
      <c r="A1696" t="inlineStr">
        <is>
          <t>Bawa-IHS</t>
        </is>
      </c>
      <c r="B1696" t="inlineStr">
        <is>
          <t>ADM_143</t>
        </is>
      </c>
      <c r="C1696" t="inlineStr">
        <is>
          <t>ADAMAOUA</t>
        </is>
      </c>
      <c r="D1696" t="inlineStr">
        <is>
          <t>IHS</t>
        </is>
      </c>
      <c r="E1696" t="inlineStr">
        <is>
          <t>Solar-Gen</t>
        </is>
      </c>
      <c r="F1696" t="inlineStr">
        <is>
          <t>ADAMAOUA</t>
        </is>
      </c>
      <c r="G1696" t="inlineStr">
        <is>
          <t>Bawa</t>
        </is>
      </c>
      <c r="H1696" t="inlineStr">
        <is>
          <t>HUAWEI</t>
        </is>
      </c>
      <c r="I1696" t="n">
        <v>0</v>
      </c>
      <c r="J1696" t="n">
        <v>0</v>
      </c>
      <c r="K1696" t="n">
        <v>0</v>
      </c>
      <c r="L1696" t="n">
        <v>0</v>
      </c>
      <c r="M1696" t="n">
        <v>0</v>
      </c>
      <c r="N1696" t="n">
        <v>0</v>
      </c>
      <c r="O1696" t="n">
        <v>0</v>
      </c>
      <c r="P1696" t="n">
        <v>0</v>
      </c>
      <c r="Q1696" t="n">
        <v>0</v>
      </c>
      <c r="R1696" t="inlineStr">
        <is>
          <t>Operationnel</t>
        </is>
      </c>
      <c r="S1696" t="inlineStr"/>
      <c r="T1696" t="inlineStr"/>
      <c r="U1696" t="inlineStr"/>
      <c r="V1696" t="inlineStr"/>
      <c r="W1696" t="inlineStr"/>
      <c r="X1696" t="inlineStr">
        <is>
          <t>{None hourly IHS}: 25/05/2026 19:39..3:20:21..FME isinformed and managing ETA ASAP     ;    {05-25-2026 ocm ran 22H}: Power status check Ongoing</t>
        </is>
      </c>
      <c r="Y1696" t="inlineStr">
        <is>
          <t>25/05/2026 19 39.3 20 21.FME isinformed and managing ETA ASAP</t>
        </is>
      </c>
      <c r="Z1696" t="inlineStr"/>
      <c r="AA1696" t="inlineStr"/>
      <c r="AB1696" t="inlineStr"/>
      <c r="AC1696" t="inlineStr"/>
      <c r="AD1696" t="inlineStr"/>
      <c r="AE1696" t="inlineStr">
        <is>
          <t>{None hourly IHS}: 25/05/2026 19:39..3:20:21..FME isinformed and managing ETA ASAP</t>
        </is>
      </c>
      <c r="AF1696" t="inlineStr"/>
      <c r="AG1696" t="inlineStr"/>
      <c r="AH1696" t="inlineStr"/>
      <c r="AI1696" t="inlineStr"/>
      <c r="AJ1696" t="inlineStr"/>
      <c r="AK1696" t="inlineStr"/>
      <c r="AL1696" t="inlineStr"/>
      <c r="AM1696" t="inlineStr"/>
      <c r="AN1696" t="inlineStr"/>
      <c r="AO1696" t="inlineStr">
        <is>
          <t>{05-25-2026 ocm ran 22H}: Power status check Ongoing</t>
        </is>
      </c>
      <c r="AP1696" t="inlineStr"/>
      <c r="AQ1696" t="inlineStr"/>
      <c r="AR1696" t="inlineStr"/>
    </row>
    <row r="1697">
      <c r="A1697" t="inlineStr">
        <is>
          <t>Tekel-IHS</t>
        </is>
      </c>
      <c r="B1697" t="inlineStr">
        <is>
          <t>ADM_140</t>
        </is>
      </c>
      <c r="C1697" t="inlineStr">
        <is>
          <t>ADAMAOUA</t>
        </is>
      </c>
      <c r="D1697" t="inlineStr"/>
      <c r="E1697" t="inlineStr"/>
      <c r="F1697" t="inlineStr">
        <is>
          <t>ADAMAOUA</t>
        </is>
      </c>
      <c r="G1697" t="inlineStr">
        <is>
          <t>Martap</t>
        </is>
      </c>
      <c r="H1697" t="inlineStr">
        <is>
          <t>HUAWEI</t>
        </is>
      </c>
      <c r="I1697" t="n">
        <v>0</v>
      </c>
      <c r="J1697" t="n">
        <v>0</v>
      </c>
      <c r="K1697" t="n">
        <v>0</v>
      </c>
      <c r="L1697" t="n">
        <v>0</v>
      </c>
      <c r="M1697" t="n">
        <v>0</v>
      </c>
      <c r="N1697" t="n">
        <v>0</v>
      </c>
      <c r="O1697" t="n">
        <v>0</v>
      </c>
      <c r="P1697" t="n">
        <v>0</v>
      </c>
      <c r="Q1697" t="n">
        <v>0</v>
      </c>
      <c r="R1697" t="inlineStr">
        <is>
          <t>Operationnel</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row>
    <row r="1698">
      <c r="A1698" t="inlineStr">
        <is>
          <t>Bawa</t>
        </is>
      </c>
      <c r="B1698" t="inlineStr">
        <is>
          <t>ADM_183</t>
        </is>
      </c>
      <c r="C1698" t="inlineStr">
        <is>
          <t>ADAMAOUA</t>
        </is>
      </c>
      <c r="D1698" t="inlineStr"/>
      <c r="E1698" t="inlineStr"/>
      <c r="F1698" t="inlineStr">
        <is>
          <t>ADAMAOUA</t>
        </is>
      </c>
      <c r="G1698" t="inlineStr">
        <is>
          <t>Bawa</t>
        </is>
      </c>
      <c r="H1698" t="inlineStr">
        <is>
          <t>HUAWEI</t>
        </is>
      </c>
      <c r="I1698" t="n">
        <v>0</v>
      </c>
      <c r="J1698" t="n">
        <v>0</v>
      </c>
      <c r="K1698" t="n">
        <v>0</v>
      </c>
      <c r="L1698" t="n">
        <v>0</v>
      </c>
      <c r="M1698" t="n">
        <v>0</v>
      </c>
      <c r="N1698" t="n">
        <v>0</v>
      </c>
      <c r="O1698" t="n">
        <v>0</v>
      </c>
      <c r="P1698" t="n">
        <v>0</v>
      </c>
      <c r="Q1698" t="n">
        <v>0</v>
      </c>
      <c r="R1698" t="inlineStr">
        <is>
          <t>Operationnel</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row>
    <row r="1699">
      <c r="A1699" t="inlineStr">
        <is>
          <t>Njimom-IHS</t>
        </is>
      </c>
      <c r="B1699" t="inlineStr">
        <is>
          <t>OST_149</t>
        </is>
      </c>
      <c r="C1699" t="inlineStr">
        <is>
          <t>OUEST</t>
        </is>
      </c>
      <c r="D1699" t="inlineStr">
        <is>
          <t>IHS</t>
        </is>
      </c>
      <c r="E1699" t="inlineStr">
        <is>
          <t>Grid-Gen</t>
        </is>
      </c>
      <c r="F1699" t="inlineStr">
        <is>
          <t>OUEST</t>
        </is>
      </c>
      <c r="G1699" t="inlineStr">
        <is>
          <t>Njimom</t>
        </is>
      </c>
      <c r="H1699" t="inlineStr">
        <is>
          <t>HUAWEI</t>
        </is>
      </c>
      <c r="I1699" t="n">
        <v>0</v>
      </c>
      <c r="J1699" t="n">
        <v>0</v>
      </c>
      <c r="K1699" t="n">
        <v>0</v>
      </c>
      <c r="L1699" t="n">
        <v>0</v>
      </c>
      <c r="M1699" t="n">
        <v>0</v>
      </c>
      <c r="N1699" t="n">
        <v>0</v>
      </c>
      <c r="O1699" t="n">
        <v>0</v>
      </c>
      <c r="P1699" t="n">
        <v>0</v>
      </c>
      <c r="Q1699" t="n">
        <v>0</v>
      </c>
      <c r="R1699" t="inlineStr">
        <is>
          <t>Operationnel</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row>
    <row r="1700">
      <c r="A1700" t="inlineStr">
        <is>
          <t>Mbonge</t>
        </is>
      </c>
      <c r="B1700" t="inlineStr">
        <is>
          <t>SUO_134</t>
        </is>
      </c>
      <c r="C1700" t="inlineStr">
        <is>
          <t>SUD-OUEST</t>
        </is>
      </c>
      <c r="D1700" t="inlineStr">
        <is>
          <t>IHS</t>
        </is>
      </c>
      <c r="E1700" t="inlineStr">
        <is>
          <t>Hybrid-Gen</t>
        </is>
      </c>
      <c r="F1700" t="inlineStr">
        <is>
          <t>SUD-OUEST</t>
        </is>
      </c>
      <c r="G1700" t="inlineStr">
        <is>
          <t>Mbonge</t>
        </is>
      </c>
      <c r="H1700" t="inlineStr">
        <is>
          <t>HUAWEI</t>
        </is>
      </c>
      <c r="I1700" t="n">
        <v>0</v>
      </c>
      <c r="J1700" t="n">
        <v>0</v>
      </c>
      <c r="K1700" t="n">
        <v>0</v>
      </c>
      <c r="L1700" t="n">
        <v>0</v>
      </c>
      <c r="M1700" t="n">
        <v>0</v>
      </c>
      <c r="N1700" t="n">
        <v>0</v>
      </c>
      <c r="O1700" t="n">
        <v>0</v>
      </c>
      <c r="P1700" t="n">
        <v>0</v>
      </c>
      <c r="Q1700" t="n">
        <v>0</v>
      </c>
      <c r="R1700" t="inlineStr">
        <is>
          <t>Operationnel</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row>
    <row r="1701">
      <c r="A1701" t="inlineStr">
        <is>
          <t>Bombe-Bakundu-MTN</t>
        </is>
      </c>
      <c r="B1701" t="inlineStr">
        <is>
          <t>SUO_086</t>
        </is>
      </c>
      <c r="C1701" t="inlineStr">
        <is>
          <t>SUD-OUEST</t>
        </is>
      </c>
      <c r="D1701" t="inlineStr">
        <is>
          <t>IHS</t>
        </is>
      </c>
      <c r="E1701" t="inlineStr">
        <is>
          <t>Gen Only</t>
        </is>
      </c>
      <c r="F1701" t="inlineStr">
        <is>
          <t>SUD-OUEST</t>
        </is>
      </c>
      <c r="G1701" t="inlineStr">
        <is>
          <t>Bombe-Bakundu</t>
        </is>
      </c>
      <c r="H1701" t="inlineStr">
        <is>
          <t>HUAWEI</t>
        </is>
      </c>
      <c r="I1701" t="n">
        <v>0</v>
      </c>
      <c r="J1701" t="n">
        <v>0</v>
      </c>
      <c r="K1701" t="n">
        <v>0</v>
      </c>
      <c r="L1701" t="n">
        <v>0</v>
      </c>
      <c r="M1701" t="n">
        <v>0</v>
      </c>
      <c r="N1701" t="n">
        <v>0</v>
      </c>
      <c r="O1701" t="n">
        <v>0</v>
      </c>
      <c r="P1701" t="n">
        <v>0</v>
      </c>
      <c r="Q1701" t="n">
        <v>0</v>
      </c>
      <c r="R1701" t="inlineStr">
        <is>
          <t>Operationnel</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row>
    <row r="1702">
      <c r="A1702" t="inlineStr">
        <is>
          <t>BAHAM-NGOUGOUM</t>
        </is>
      </c>
      <c r="B1702" t="inlineStr">
        <is>
          <t>OST_282</t>
        </is>
      </c>
      <c r="C1702" t="inlineStr">
        <is>
          <t>OUEST</t>
        </is>
      </c>
      <c r="D1702" t="inlineStr">
        <is>
          <t>CAMUSAT</t>
        </is>
      </c>
      <c r="E1702" t="inlineStr">
        <is>
          <t>Bad Grid + GE</t>
        </is>
      </c>
      <c r="F1702" t="inlineStr">
        <is>
          <t>OUEST</t>
        </is>
      </c>
      <c r="G1702" t="inlineStr">
        <is>
          <t>Bafang</t>
        </is>
      </c>
      <c r="H1702" t="inlineStr">
        <is>
          <t>HUAWEI</t>
        </is>
      </c>
      <c r="I1702" t="n">
        <v>0</v>
      </c>
      <c r="J1702" t="n">
        <v>0</v>
      </c>
      <c r="K1702" t="n">
        <v>0</v>
      </c>
      <c r="L1702" t="n">
        <v>0</v>
      </c>
      <c r="M1702" t="n">
        <v>0</v>
      </c>
      <c r="N1702" t="n">
        <v>0</v>
      </c>
      <c r="O1702" t="n">
        <v>0</v>
      </c>
      <c r="P1702" t="n">
        <v>0</v>
      </c>
      <c r="Q1702" t="n">
        <v>0</v>
      </c>
      <c r="R1702" t="inlineStr">
        <is>
          <t>Operationnel</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row>
    <row r="1703">
      <c r="A1703" t="inlineStr">
        <is>
          <t>Adoumre-IHS</t>
        </is>
      </c>
      <c r="B1703" t="inlineStr">
        <is>
          <t>NRD_078</t>
        </is>
      </c>
      <c r="C1703" t="inlineStr">
        <is>
          <t>NORD</t>
        </is>
      </c>
      <c r="D1703" t="inlineStr">
        <is>
          <t>IHS</t>
        </is>
      </c>
      <c r="E1703" t="inlineStr">
        <is>
          <t>Grid-Gen</t>
        </is>
      </c>
      <c r="F1703" t="inlineStr">
        <is>
          <t>NORD</t>
        </is>
      </c>
      <c r="G1703" t="inlineStr">
        <is>
          <t>Adoumre</t>
        </is>
      </c>
      <c r="H1703" t="inlineStr">
        <is>
          <t>HUAWEI</t>
        </is>
      </c>
      <c r="I1703" t="n">
        <v>0</v>
      </c>
      <c r="J1703" t="n">
        <v>0</v>
      </c>
      <c r="K1703" t="n">
        <v>0</v>
      </c>
      <c r="L1703" t="n">
        <v>0</v>
      </c>
      <c r="M1703" t="n">
        <v>0</v>
      </c>
      <c r="N1703" t="n">
        <v>0</v>
      </c>
      <c r="O1703" t="n">
        <v>0</v>
      </c>
      <c r="P1703" t="n">
        <v>0</v>
      </c>
      <c r="Q1703" t="n">
        <v>0</v>
      </c>
      <c r="R1703" t="inlineStr">
        <is>
          <t>Operationnel</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row>
    <row r="1704">
      <c r="A1704" t="inlineStr">
        <is>
          <t>Mbe-IHS</t>
        </is>
      </c>
      <c r="B1704" t="inlineStr">
        <is>
          <t>ADM_092</t>
        </is>
      </c>
      <c r="C1704" t="inlineStr">
        <is>
          <t>ADAMAOUA</t>
        </is>
      </c>
      <c r="D1704" t="inlineStr">
        <is>
          <t>IHS</t>
        </is>
      </c>
      <c r="E1704" t="inlineStr">
        <is>
          <t>Solar-Gen</t>
        </is>
      </c>
      <c r="F1704" t="inlineStr">
        <is>
          <t>ADAMAOUA</t>
        </is>
      </c>
      <c r="G1704" t="inlineStr">
        <is>
          <t>Mbe</t>
        </is>
      </c>
      <c r="H1704" t="inlineStr">
        <is>
          <t>HUAWEI</t>
        </is>
      </c>
      <c r="I1704" t="n">
        <v>0</v>
      </c>
      <c r="J1704" t="n">
        <v>0</v>
      </c>
      <c r="K1704" t="n">
        <v>0</v>
      </c>
      <c r="L1704" t="n">
        <v>0</v>
      </c>
      <c r="M1704" t="n">
        <v>0</v>
      </c>
      <c r="N1704" t="n">
        <v>0</v>
      </c>
      <c r="O1704" t="n">
        <v>0</v>
      </c>
      <c r="P1704" t="n">
        <v>0</v>
      </c>
      <c r="Q1704" t="n">
        <v>0</v>
      </c>
      <c r="R1704" t="inlineStr">
        <is>
          <t>Operationnel</t>
        </is>
      </c>
      <c r="S1704" t="inlineStr"/>
      <c r="T1704" t="inlineStr"/>
      <c r="U1704" t="inlineStr"/>
      <c r="V1704" t="inlineStr"/>
      <c r="W1704" t="inlineStr"/>
      <c r="X1704" t="inlineStr">
        <is>
          <t>{None hourly IHS}: 25/05/2026 09:47..0:13:00..25..FME is informed and managing</t>
        </is>
      </c>
      <c r="Y1704" t="inlineStr">
        <is>
          <t>25/05/2026 09 47.0 13 00.25.FME is informed and managing</t>
        </is>
      </c>
      <c r="Z1704" t="inlineStr"/>
      <c r="AA1704" t="inlineStr"/>
      <c r="AB1704" t="inlineStr"/>
      <c r="AC1704" t="inlineStr"/>
      <c r="AD1704" t="inlineStr"/>
      <c r="AE1704" t="inlineStr">
        <is>
          <t>{None hourly IHS}: 25/05/2026 09:47..0:13:00..25..FME is informed and managing</t>
        </is>
      </c>
      <c r="AF1704" t="inlineStr"/>
      <c r="AG1704" t="inlineStr"/>
      <c r="AH1704" t="inlineStr"/>
      <c r="AI1704" t="inlineStr"/>
      <c r="AJ1704" t="inlineStr"/>
      <c r="AK1704" t="inlineStr"/>
      <c r="AL1704" t="inlineStr"/>
      <c r="AM1704" t="inlineStr"/>
      <c r="AN1704" t="inlineStr"/>
      <c r="AO1704" t="inlineStr"/>
      <c r="AP1704" t="inlineStr"/>
      <c r="AQ1704" t="inlineStr"/>
      <c r="AR1704" t="inlineStr"/>
    </row>
    <row r="1705">
      <c r="A1705" t="inlineStr">
        <is>
          <t>Ribao</t>
        </is>
      </c>
      <c r="B1705" t="inlineStr">
        <is>
          <t>NRD_028</t>
        </is>
      </c>
      <c r="C1705" t="inlineStr">
        <is>
          <t>NORD</t>
        </is>
      </c>
      <c r="D1705" t="inlineStr">
        <is>
          <t>IHS</t>
        </is>
      </c>
      <c r="E1705" t="inlineStr">
        <is>
          <t>Solar-Gen</t>
        </is>
      </c>
      <c r="F1705" t="inlineStr">
        <is>
          <t>NORD</t>
        </is>
      </c>
      <c r="G1705" t="inlineStr">
        <is>
          <t>Ribao</t>
        </is>
      </c>
      <c r="H1705" t="inlineStr">
        <is>
          <t>HUAWEI</t>
        </is>
      </c>
      <c r="I1705" t="n">
        <v>0</v>
      </c>
      <c r="J1705" t="n">
        <v>0</v>
      </c>
      <c r="K1705" t="n">
        <v>0</v>
      </c>
      <c r="L1705" t="n">
        <v>0</v>
      </c>
      <c r="M1705" t="n">
        <v>0</v>
      </c>
      <c r="N1705" t="n">
        <v>0</v>
      </c>
      <c r="O1705" t="n">
        <v>0</v>
      </c>
      <c r="P1705" t="n">
        <v>0</v>
      </c>
      <c r="Q1705" t="n">
        <v>0</v>
      </c>
      <c r="R1705" t="inlineStr">
        <is>
          <t>Operationnel</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row>
    <row r="1706">
      <c r="A1706" t="inlineStr">
        <is>
          <t>Ngongo-MTN</t>
        </is>
      </c>
      <c r="B1706" t="inlineStr">
        <is>
          <t>SUO_085</t>
        </is>
      </c>
      <c r="C1706" t="inlineStr">
        <is>
          <t>SUD-OUEST</t>
        </is>
      </c>
      <c r="D1706" t="inlineStr">
        <is>
          <t>IHS</t>
        </is>
      </c>
      <c r="E1706" t="inlineStr"/>
      <c r="F1706" t="inlineStr">
        <is>
          <t>SUD-OUEST</t>
        </is>
      </c>
      <c r="G1706" t="inlineStr">
        <is>
          <t>Ngongo</t>
        </is>
      </c>
      <c r="H1706" t="inlineStr">
        <is>
          <t>HUAWEI</t>
        </is>
      </c>
      <c r="I1706" t="n">
        <v>0</v>
      </c>
      <c r="J1706" t="n">
        <v>0</v>
      </c>
      <c r="K1706" t="n">
        <v>0</v>
      </c>
      <c r="L1706" t="n">
        <v>0</v>
      </c>
      <c r="M1706" t="n">
        <v>0</v>
      </c>
      <c r="N1706" t="n">
        <v>0</v>
      </c>
      <c r="O1706" t="n">
        <v>0</v>
      </c>
      <c r="P1706" t="n">
        <v>0</v>
      </c>
      <c r="Q1706" t="n">
        <v>0</v>
      </c>
      <c r="R1706" t="inlineStr">
        <is>
          <t>Operationnel</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row>
    <row r="1707">
      <c r="A1707" t="inlineStr">
        <is>
          <t>FOSSET</t>
        </is>
      </c>
      <c r="B1707" t="inlineStr">
        <is>
          <t>OST_264</t>
        </is>
      </c>
      <c r="C1707" t="inlineStr">
        <is>
          <t>NORD-OUEST</t>
        </is>
      </c>
      <c r="D1707" t="inlineStr">
        <is>
          <t>IHS</t>
        </is>
      </c>
      <c r="E1707" t="inlineStr">
        <is>
          <t>Grid-Gen</t>
        </is>
      </c>
      <c r="F1707" t="inlineStr">
        <is>
          <t>OUEST</t>
        </is>
      </c>
      <c r="G1707" t="inlineStr">
        <is>
          <t>Foumbot</t>
        </is>
      </c>
      <c r="H1707" t="inlineStr">
        <is>
          <t>Huawei</t>
        </is>
      </c>
      <c r="I1707" t="n">
        <v>0</v>
      </c>
      <c r="J1707" t="n">
        <v>0</v>
      </c>
      <c r="K1707" t="n">
        <v>0</v>
      </c>
      <c r="L1707" t="n">
        <v>0</v>
      </c>
      <c r="M1707" t="n">
        <v>0</v>
      </c>
      <c r="N1707" t="n">
        <v>0</v>
      </c>
      <c r="O1707" t="n">
        <v>0</v>
      </c>
      <c r="P1707" t="n">
        <v>0</v>
      </c>
      <c r="Q1707" t="n">
        <v>0</v>
      </c>
      <c r="R1707" t="inlineStr">
        <is>
          <t>Operationnel</t>
        </is>
      </c>
      <c r="S1707" t="inlineStr"/>
      <c r="T1707" t="inlineStr"/>
      <c r="U1707" t="inlineStr"/>
      <c r="V1707" t="inlineStr"/>
      <c r="W1707" t="inlineStr"/>
      <c r="X1707" t="inlineStr">
        <is>
          <t>{None hourly IHS}: 25/05/2026 04:16..1:05:01..47.5V..Gen stopped due to fuel shortage.     ;    {05-25-2026 ocm ran 17H}: Power status check Ongoing</t>
        </is>
      </c>
      <c r="Y1707" t="inlineStr">
        <is>
          <t>25/05/2026 04 16.1 05 01.47.5V.Gen stopped due to fuel shortage.</t>
        </is>
      </c>
      <c r="Z1707" t="inlineStr"/>
      <c r="AA1707" t="inlineStr"/>
      <c r="AB1707" t="inlineStr"/>
      <c r="AC1707" t="inlineStr"/>
      <c r="AD1707" t="inlineStr"/>
      <c r="AE1707" t="inlineStr">
        <is>
          <t>{None hourly IHS}: 25/05/2026 04:16..1:05:01..47.5V..Gen stopped due to fuel shortage.</t>
        </is>
      </c>
      <c r="AF1707" t="inlineStr"/>
      <c r="AG1707" t="inlineStr"/>
      <c r="AH1707" t="inlineStr"/>
      <c r="AI1707" t="inlineStr"/>
      <c r="AJ1707" t="inlineStr"/>
      <c r="AK1707" t="inlineStr"/>
      <c r="AL1707" t="inlineStr"/>
      <c r="AM1707" t="inlineStr"/>
      <c r="AN1707" t="inlineStr"/>
      <c r="AO1707" t="inlineStr"/>
      <c r="AP1707" t="inlineStr">
        <is>
          <t>{05-25-2026 ocm ran 17H}: Power status check Ongoing</t>
        </is>
      </c>
      <c r="AQ1707" t="inlineStr"/>
      <c r="AR1707" t="inlineStr"/>
    </row>
    <row r="1708">
      <c r="A1708" t="inlineStr">
        <is>
          <t>Bafou-Balepe-IHS</t>
        </is>
      </c>
      <c r="B1708" t="inlineStr">
        <is>
          <t>OST_255</t>
        </is>
      </c>
      <c r="C1708" t="inlineStr">
        <is>
          <t>OUEST</t>
        </is>
      </c>
      <c r="D1708" t="inlineStr">
        <is>
          <t>IHS</t>
        </is>
      </c>
      <c r="E1708" t="inlineStr">
        <is>
          <t>Grid-Gen</t>
        </is>
      </c>
      <c r="F1708" t="inlineStr">
        <is>
          <t>OUEST</t>
        </is>
      </c>
      <c r="G1708" t="inlineStr">
        <is>
          <t>Loung</t>
        </is>
      </c>
      <c r="H1708" t="inlineStr">
        <is>
          <t>HUAWEI</t>
        </is>
      </c>
      <c r="I1708" t="n">
        <v>0</v>
      </c>
      <c r="J1708" t="n">
        <v>0</v>
      </c>
      <c r="K1708" t="n">
        <v>0</v>
      </c>
      <c r="L1708" t="n">
        <v>0</v>
      </c>
      <c r="M1708" t="n">
        <v>0</v>
      </c>
      <c r="N1708" t="n">
        <v>0</v>
      </c>
      <c r="O1708" t="n">
        <v>0</v>
      </c>
      <c r="P1708" t="n">
        <v>0</v>
      </c>
      <c r="Q1708" t="n">
        <v>0</v>
      </c>
      <c r="R1708" t="inlineStr">
        <is>
          <t>Operationnel</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row>
    <row r="1709">
      <c r="A1709" t="inlineStr">
        <is>
          <t>Fokoue</t>
        </is>
      </c>
      <c r="B1709" t="inlineStr">
        <is>
          <t>OST_059</t>
        </is>
      </c>
      <c r="C1709" t="inlineStr">
        <is>
          <t>OUEST</t>
        </is>
      </c>
      <c r="D1709" t="inlineStr">
        <is>
          <t>IHS</t>
        </is>
      </c>
      <c r="E1709" t="inlineStr">
        <is>
          <t>Grid-Gen</t>
        </is>
      </c>
      <c r="F1709" t="inlineStr">
        <is>
          <t>OUEST</t>
        </is>
      </c>
      <c r="G1709" t="inlineStr">
        <is>
          <t>Fokoue</t>
        </is>
      </c>
      <c r="H1709" t="inlineStr">
        <is>
          <t>HUAWEI</t>
        </is>
      </c>
      <c r="I1709" t="n">
        <v>0</v>
      </c>
      <c r="J1709" t="n">
        <v>0</v>
      </c>
      <c r="K1709" t="n">
        <v>0</v>
      </c>
      <c r="L1709" t="n">
        <v>0</v>
      </c>
      <c r="M1709" t="n">
        <v>0</v>
      </c>
      <c r="N1709" t="n">
        <v>0</v>
      </c>
      <c r="O1709" t="n">
        <v>0</v>
      </c>
      <c r="P1709" t="n">
        <v>0</v>
      </c>
      <c r="Q1709" t="n">
        <v>0</v>
      </c>
      <c r="R1709" t="inlineStr">
        <is>
          <t>Operationnel</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row>
    <row r="1710">
      <c r="A1710" t="inlineStr">
        <is>
          <t>Fokoue-IHS</t>
        </is>
      </c>
      <c r="B1710" t="inlineStr">
        <is>
          <t>OST_139</t>
        </is>
      </c>
      <c r="C1710" t="inlineStr">
        <is>
          <t>OUEST</t>
        </is>
      </c>
      <c r="D1710" t="inlineStr">
        <is>
          <t>IHS</t>
        </is>
      </c>
      <c r="E1710" t="inlineStr">
        <is>
          <t>Grid-Gen</t>
        </is>
      </c>
      <c r="F1710" t="inlineStr">
        <is>
          <t>OUEST</t>
        </is>
      </c>
      <c r="G1710" t="inlineStr">
        <is>
          <t>Fokoue</t>
        </is>
      </c>
      <c r="H1710" t="inlineStr">
        <is>
          <t>HUAWEI</t>
        </is>
      </c>
      <c r="I1710" t="n">
        <v>0</v>
      </c>
      <c r="J1710" t="n">
        <v>0</v>
      </c>
      <c r="K1710" t="n">
        <v>0</v>
      </c>
      <c r="L1710" t="n">
        <v>0</v>
      </c>
      <c r="M1710" t="n">
        <v>0</v>
      </c>
      <c r="N1710" t="n">
        <v>0</v>
      </c>
      <c r="O1710" t="n">
        <v>0</v>
      </c>
      <c r="P1710" t="n">
        <v>0</v>
      </c>
      <c r="Q1710" t="n">
        <v>0</v>
      </c>
      <c r="R1710" t="inlineStr">
        <is>
          <t>Operationnel</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row>
    <row r="1711">
      <c r="A1711" t="inlineStr">
        <is>
          <t>Bawa-CAMRAIL</t>
        </is>
      </c>
      <c r="B1711" t="inlineStr">
        <is>
          <t>ADM_014</t>
        </is>
      </c>
      <c r="C1711" t="inlineStr">
        <is>
          <t>ADAMAOUA</t>
        </is>
      </c>
      <c r="D1711" t="inlineStr">
        <is>
          <t>CAMUSAT</t>
        </is>
      </c>
      <c r="E1711" t="inlineStr">
        <is>
          <t>Hybrid Solar - S3</t>
        </is>
      </c>
      <c r="F1711" t="inlineStr">
        <is>
          <t>ADAMAOUA</t>
        </is>
      </c>
      <c r="G1711" t="inlineStr">
        <is>
          <t>Bawa</t>
        </is>
      </c>
      <c r="H1711" t="inlineStr">
        <is>
          <t>HUAWEI</t>
        </is>
      </c>
      <c r="I1711" t="n">
        <v>0</v>
      </c>
      <c r="J1711" t="n">
        <v>0</v>
      </c>
      <c r="K1711" t="n">
        <v>0</v>
      </c>
      <c r="L1711" t="n">
        <v>0</v>
      </c>
      <c r="M1711" t="n">
        <v>0</v>
      </c>
      <c r="N1711" t="n">
        <v>0</v>
      </c>
      <c r="O1711" t="n">
        <v>0</v>
      </c>
      <c r="P1711" t="n">
        <v>0</v>
      </c>
      <c r="Q1711" t="n">
        <v>0</v>
      </c>
      <c r="R1711" t="inlineStr">
        <is>
          <t>Operationnel</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row>
    <row r="1712">
      <c r="A1712" t="inlineStr">
        <is>
          <t>Bafou-Zinkop</t>
        </is>
      </c>
      <c r="B1712" t="inlineStr">
        <is>
          <t>OST_069</t>
        </is>
      </c>
      <c r="C1712" t="inlineStr">
        <is>
          <t>OUEST</t>
        </is>
      </c>
      <c r="D1712" t="inlineStr">
        <is>
          <t>IHS</t>
        </is>
      </c>
      <c r="E1712" t="inlineStr">
        <is>
          <t>Grid-Gen</t>
        </is>
      </c>
      <c r="F1712" t="inlineStr">
        <is>
          <t>OUEST</t>
        </is>
      </c>
      <c r="G1712" t="inlineStr">
        <is>
          <t>Bafou</t>
        </is>
      </c>
      <c r="H1712" t="inlineStr">
        <is>
          <t>HUAWEI</t>
        </is>
      </c>
      <c r="I1712" t="n">
        <v>0</v>
      </c>
      <c r="J1712" t="n">
        <v>0</v>
      </c>
      <c r="K1712" t="n">
        <v>0</v>
      </c>
      <c r="L1712" t="n">
        <v>0</v>
      </c>
      <c r="M1712" t="n">
        <v>0</v>
      </c>
      <c r="N1712" t="n">
        <v>0</v>
      </c>
      <c r="O1712" t="n">
        <v>0</v>
      </c>
      <c r="P1712" t="n">
        <v>0</v>
      </c>
      <c r="Q1712" t="n">
        <v>0</v>
      </c>
      <c r="R1712" t="inlineStr">
        <is>
          <t>Operationnel</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row>
    <row r="1713">
      <c r="A1713" t="inlineStr">
        <is>
          <t>Bafou</t>
        </is>
      </c>
      <c r="B1713" t="inlineStr">
        <is>
          <t>OST_017</t>
        </is>
      </c>
      <c r="C1713" t="inlineStr">
        <is>
          <t>OUEST</t>
        </is>
      </c>
      <c r="D1713" t="inlineStr">
        <is>
          <t>IHS</t>
        </is>
      </c>
      <c r="E1713" t="inlineStr">
        <is>
          <t>Grid-Gen</t>
        </is>
      </c>
      <c r="F1713" t="inlineStr">
        <is>
          <t>OUEST</t>
        </is>
      </c>
      <c r="G1713" t="inlineStr">
        <is>
          <t>Bafou</t>
        </is>
      </c>
      <c r="H1713" t="inlineStr">
        <is>
          <t>HUAWEI</t>
        </is>
      </c>
      <c r="I1713" t="n">
        <v>0</v>
      </c>
      <c r="J1713" t="n">
        <v>0</v>
      </c>
      <c r="K1713" t="n">
        <v>0</v>
      </c>
      <c r="L1713" t="n">
        <v>0</v>
      </c>
      <c r="M1713" t="n">
        <v>0</v>
      </c>
      <c r="N1713" t="n">
        <v>0</v>
      </c>
      <c r="O1713" t="n">
        <v>0</v>
      </c>
      <c r="P1713" t="n">
        <v>0</v>
      </c>
      <c r="Q1713" t="n">
        <v>0</v>
      </c>
      <c r="R1713" t="inlineStr">
        <is>
          <t>Operationnel</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row>
    <row r="1714">
      <c r="A1714" t="inlineStr">
        <is>
          <t>Bafou-Badzifeng</t>
        </is>
      </c>
      <c r="B1714" t="inlineStr">
        <is>
          <t>OST_108</t>
        </is>
      </c>
      <c r="C1714" t="inlineStr">
        <is>
          <t>OUEST</t>
        </is>
      </c>
      <c r="D1714" t="inlineStr">
        <is>
          <t>IHS</t>
        </is>
      </c>
      <c r="E1714" t="inlineStr">
        <is>
          <t>Grid-Gen</t>
        </is>
      </c>
      <c r="F1714" t="inlineStr">
        <is>
          <t>OUEST</t>
        </is>
      </c>
      <c r="G1714" t="inlineStr">
        <is>
          <t>Bafou</t>
        </is>
      </c>
      <c r="H1714" t="inlineStr">
        <is>
          <t>HUAWEI</t>
        </is>
      </c>
      <c r="I1714" t="n">
        <v>0</v>
      </c>
      <c r="J1714" t="n">
        <v>0</v>
      </c>
      <c r="K1714" t="n">
        <v>0</v>
      </c>
      <c r="L1714" t="n">
        <v>0</v>
      </c>
      <c r="M1714" t="n">
        <v>0</v>
      </c>
      <c r="N1714" t="n">
        <v>0</v>
      </c>
      <c r="O1714" t="n">
        <v>0</v>
      </c>
      <c r="P1714" t="n">
        <v>0</v>
      </c>
      <c r="Q1714" t="n">
        <v>0</v>
      </c>
      <c r="R1714" t="inlineStr">
        <is>
          <t>Operationnel</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row>
    <row r="1715">
      <c r="A1715" t="inlineStr">
        <is>
          <t>Ndop</t>
        </is>
      </c>
      <c r="B1715" t="inlineStr">
        <is>
          <t>NRO_006</t>
        </is>
      </c>
      <c r="C1715" t="inlineStr">
        <is>
          <t>NORD-OUEST</t>
        </is>
      </c>
      <c r="D1715" t="inlineStr">
        <is>
          <t>IHS</t>
        </is>
      </c>
      <c r="E1715" t="inlineStr">
        <is>
          <t>Grid-Hybrid-Gen</t>
        </is>
      </c>
      <c r="F1715" t="inlineStr">
        <is>
          <t>NORD-OUEST</t>
        </is>
      </c>
      <c r="G1715" t="inlineStr">
        <is>
          <t>Ndop</t>
        </is>
      </c>
      <c r="H1715" t="inlineStr">
        <is>
          <t>HUAWEI</t>
        </is>
      </c>
      <c r="I1715" t="n">
        <v>0</v>
      </c>
      <c r="J1715" t="n">
        <v>0</v>
      </c>
      <c r="K1715" t="n">
        <v>0</v>
      </c>
      <c r="L1715" t="n">
        <v>0</v>
      </c>
      <c r="M1715" t="n">
        <v>0</v>
      </c>
      <c r="N1715" t="n">
        <v>0</v>
      </c>
      <c r="O1715" t="n">
        <v>0</v>
      </c>
      <c r="P1715" t="n">
        <v>0</v>
      </c>
      <c r="Q1715" t="n">
        <v>0</v>
      </c>
      <c r="R1715" t="inlineStr">
        <is>
          <t>Operationnel</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row>
    <row r="1716">
      <c r="A1716" t="inlineStr">
        <is>
          <t>Col-Batie-IHS</t>
        </is>
      </c>
      <c r="B1716" t="inlineStr">
        <is>
          <t>OST_164</t>
        </is>
      </c>
      <c r="C1716" t="inlineStr">
        <is>
          <t>OUEST</t>
        </is>
      </c>
      <c r="D1716" t="inlineStr">
        <is>
          <t>IHS</t>
        </is>
      </c>
      <c r="E1716" t="inlineStr">
        <is>
          <t>Grid-Gen</t>
        </is>
      </c>
      <c r="F1716" t="inlineStr">
        <is>
          <t>OUEST</t>
        </is>
      </c>
      <c r="G1716" t="inlineStr">
        <is>
          <t>Batie</t>
        </is>
      </c>
      <c r="H1716" t="inlineStr">
        <is>
          <t>HUAWEI</t>
        </is>
      </c>
      <c r="I1716" t="n">
        <v>0</v>
      </c>
      <c r="J1716" t="n">
        <v>0</v>
      </c>
      <c r="K1716" t="n">
        <v>0</v>
      </c>
      <c r="L1716" t="n">
        <v>0</v>
      </c>
      <c r="M1716" t="n">
        <v>0</v>
      </c>
      <c r="N1716" t="n">
        <v>0</v>
      </c>
      <c r="O1716" t="n">
        <v>0</v>
      </c>
      <c r="P1716" t="n">
        <v>0</v>
      </c>
      <c r="Q1716" t="n">
        <v>0</v>
      </c>
      <c r="R1716" t="inlineStr">
        <is>
          <t>Operationnel</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row>
    <row r="1717">
      <c r="A1717" t="inlineStr">
        <is>
          <t>Bayangam</t>
        </is>
      </c>
      <c r="B1717" t="inlineStr">
        <is>
          <t>OST_051</t>
        </is>
      </c>
      <c r="C1717" t="inlineStr">
        <is>
          <t>OUEST</t>
        </is>
      </c>
      <c r="D1717" t="inlineStr">
        <is>
          <t>IHS</t>
        </is>
      </c>
      <c r="E1717" t="inlineStr">
        <is>
          <t>Grid-Gen</t>
        </is>
      </c>
      <c r="F1717" t="inlineStr">
        <is>
          <t>OUEST</t>
        </is>
      </c>
      <c r="G1717" t="inlineStr">
        <is>
          <t>Bayangam</t>
        </is>
      </c>
      <c r="H1717" t="inlineStr">
        <is>
          <t>HUAWEI</t>
        </is>
      </c>
      <c r="I1717" t="n">
        <v>0</v>
      </c>
      <c r="J1717" t="n">
        <v>0</v>
      </c>
      <c r="K1717" t="n">
        <v>0</v>
      </c>
      <c r="L1717" t="n">
        <v>0</v>
      </c>
      <c r="M1717" t="n">
        <v>0</v>
      </c>
      <c r="N1717" t="n">
        <v>0</v>
      </c>
      <c r="O1717" t="n">
        <v>0</v>
      </c>
      <c r="P1717" t="n">
        <v>0</v>
      </c>
      <c r="Q1717" t="n">
        <v>0</v>
      </c>
      <c r="R1717" t="inlineStr">
        <is>
          <t>Operationnel</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row>
    <row r="1718">
      <c r="A1718" t="inlineStr">
        <is>
          <t>Gospel-Radio-IHS</t>
        </is>
      </c>
      <c r="B1718" t="inlineStr">
        <is>
          <t>NRO_126</t>
        </is>
      </c>
      <c r="C1718" t="inlineStr">
        <is>
          <t>NORD-OUEST</t>
        </is>
      </c>
      <c r="D1718" t="inlineStr">
        <is>
          <t>IHS</t>
        </is>
      </c>
      <c r="E1718" t="inlineStr">
        <is>
          <t>Grid-Gen</t>
        </is>
      </c>
      <c r="F1718" t="inlineStr">
        <is>
          <t>NORD-OUEST</t>
        </is>
      </c>
      <c r="G1718" t="inlineStr">
        <is>
          <t>Bamenda</t>
        </is>
      </c>
      <c r="H1718" t="inlineStr">
        <is>
          <t>Huawei</t>
        </is>
      </c>
      <c r="I1718" t="n">
        <v>0</v>
      </c>
      <c r="J1718" t="n">
        <v>0</v>
      </c>
      <c r="K1718" t="n">
        <v>0</v>
      </c>
      <c r="L1718" t="n">
        <v>0</v>
      </c>
      <c r="M1718" t="n">
        <v>0</v>
      </c>
      <c r="N1718" t="n">
        <v>0</v>
      </c>
      <c r="O1718" t="n">
        <v>0</v>
      </c>
      <c r="P1718" t="n">
        <v>0</v>
      </c>
      <c r="Q1718" t="n">
        <v>0</v>
      </c>
      <c r="R1718" t="inlineStr">
        <is>
          <t>Operationnel</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row>
    <row r="1719">
      <c r="A1719" t="inlineStr">
        <is>
          <t>Bonassama</t>
        </is>
      </c>
      <c r="B1719" t="inlineStr">
        <is>
          <t>LIT_435</t>
        </is>
      </c>
      <c r="C1719" t="inlineStr">
        <is>
          <t>Douala</t>
        </is>
      </c>
      <c r="D1719" t="inlineStr">
        <is>
          <t>IHS</t>
        </is>
      </c>
      <c r="E1719" t="inlineStr">
        <is>
          <t>Grid-Gen</t>
        </is>
      </c>
      <c r="F1719" t="inlineStr">
        <is>
          <t>LITTORAL</t>
        </is>
      </c>
      <c r="G1719" t="inlineStr">
        <is>
          <t>Douala</t>
        </is>
      </c>
      <c r="H1719" t="inlineStr">
        <is>
          <t>ZTE</t>
        </is>
      </c>
      <c r="I1719" t="n">
        <v>0</v>
      </c>
      <c r="J1719" t="n">
        <v>0</v>
      </c>
      <c r="K1719" t="n">
        <v>0</v>
      </c>
      <c r="L1719" t="n">
        <v>0</v>
      </c>
      <c r="M1719" t="n">
        <v>0</v>
      </c>
      <c r="N1719" t="n">
        <v>0</v>
      </c>
      <c r="O1719" t="n">
        <v>0</v>
      </c>
      <c r="P1719" t="n">
        <v>0</v>
      </c>
      <c r="Q1719" t="n">
        <v>0</v>
      </c>
      <c r="R1719" t="inlineStr">
        <is>
          <t>Operationnel</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row>
    <row r="1720">
      <c r="A1720" t="inlineStr">
        <is>
          <t>Yelwa-MTN-IHS</t>
        </is>
      </c>
      <c r="B1720" t="inlineStr">
        <is>
          <t>NRD_097</t>
        </is>
      </c>
      <c r="C1720" t="inlineStr">
        <is>
          <t>Garoua</t>
        </is>
      </c>
      <c r="D1720" t="inlineStr">
        <is>
          <t>IHS</t>
        </is>
      </c>
      <c r="E1720" t="inlineStr">
        <is>
          <t>Grid-Gen</t>
        </is>
      </c>
      <c r="F1720" t="inlineStr">
        <is>
          <t>NORD</t>
        </is>
      </c>
      <c r="G1720" t="inlineStr">
        <is>
          <t>Garoua</t>
        </is>
      </c>
      <c r="H1720" t="inlineStr">
        <is>
          <t>Huawei</t>
        </is>
      </c>
      <c r="I1720" t="n">
        <v>0</v>
      </c>
      <c r="J1720" t="n">
        <v>0</v>
      </c>
      <c r="K1720" t="n">
        <v>0</v>
      </c>
      <c r="L1720" t="n">
        <v>0</v>
      </c>
      <c r="M1720" t="n">
        <v>0</v>
      </c>
      <c r="N1720" t="n">
        <v>0</v>
      </c>
      <c r="O1720" t="n">
        <v>0</v>
      </c>
      <c r="P1720" t="n">
        <v>0</v>
      </c>
      <c r="Q1720" t="n">
        <v>0</v>
      </c>
      <c r="R1720" t="inlineStr">
        <is>
          <t>Operationnel</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row>
    <row r="1721">
      <c r="A1721" t="inlineStr">
        <is>
          <t>Bonendale</t>
        </is>
      </c>
      <c r="B1721" t="inlineStr">
        <is>
          <t>LIT_181</t>
        </is>
      </c>
      <c r="C1721" t="inlineStr">
        <is>
          <t>Douala</t>
        </is>
      </c>
      <c r="D1721" t="inlineStr">
        <is>
          <t>IHS</t>
        </is>
      </c>
      <c r="E1721" t="inlineStr">
        <is>
          <t>Grid-Gen</t>
        </is>
      </c>
      <c r="F1721" t="inlineStr">
        <is>
          <t>LITTORAL</t>
        </is>
      </c>
      <c r="G1721" t="inlineStr">
        <is>
          <t>Douala</t>
        </is>
      </c>
      <c r="H1721" t="inlineStr">
        <is>
          <t>ZTE</t>
        </is>
      </c>
      <c r="I1721" t="n">
        <v>0</v>
      </c>
      <c r="J1721" t="n">
        <v>0</v>
      </c>
      <c r="K1721" t="n">
        <v>0</v>
      </c>
      <c r="L1721" t="n">
        <v>0</v>
      </c>
      <c r="M1721" t="n">
        <v>0</v>
      </c>
      <c r="N1721" t="n">
        <v>0</v>
      </c>
      <c r="O1721" t="n">
        <v>0</v>
      </c>
      <c r="P1721" t="n">
        <v>0</v>
      </c>
      <c r="Q1721" t="n">
        <v>0</v>
      </c>
      <c r="R1721" t="inlineStr">
        <is>
          <t>Operationnel</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row>
    <row r="1722">
      <c r="A1722" t="inlineStr">
        <is>
          <t>Edea-Q-Haoussa</t>
        </is>
      </c>
      <c r="B1722" t="inlineStr">
        <is>
          <t>LIT_000</t>
        </is>
      </c>
      <c r="C1722" t="inlineStr">
        <is>
          <t>LITTORAL</t>
        </is>
      </c>
      <c r="D1722" t="inlineStr">
        <is>
          <t>CAMUSAT</t>
        </is>
      </c>
      <c r="E1722" t="inlineStr">
        <is>
          <t>Grid-Gen</t>
        </is>
      </c>
      <c r="F1722" t="inlineStr">
        <is>
          <t>LITTORAL</t>
        </is>
      </c>
      <c r="G1722" t="inlineStr">
        <is>
          <t>Edea</t>
        </is>
      </c>
      <c r="H1722" t="inlineStr">
        <is>
          <t>ZTE</t>
        </is>
      </c>
      <c r="I1722" t="n">
        <v>0</v>
      </c>
      <c r="J1722" t="n">
        <v>0</v>
      </c>
      <c r="K1722" t="n">
        <v>0</v>
      </c>
      <c r="L1722" t="n">
        <v>0</v>
      </c>
      <c r="M1722" t="n">
        <v>0</v>
      </c>
      <c r="N1722" t="n">
        <v>0</v>
      </c>
      <c r="O1722" t="n">
        <v>0</v>
      </c>
      <c r="P1722" t="n">
        <v>0</v>
      </c>
      <c r="Q1722" t="n">
        <v>0</v>
      </c>
      <c r="R1722" t="inlineStr">
        <is>
          <t>Operationnel</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row>
    <row r="1723">
      <c r="A1723" t="inlineStr">
        <is>
          <t>Meyo</t>
        </is>
      </c>
      <c r="B1723" t="inlineStr">
        <is>
          <t>CTR_320</t>
        </is>
      </c>
      <c r="C1723" t="inlineStr">
        <is>
          <t>Yaounde</t>
        </is>
      </c>
      <c r="D1723" t="inlineStr">
        <is>
          <t>IHS</t>
        </is>
      </c>
      <c r="E1723" t="inlineStr">
        <is>
          <t>Grid-Gen</t>
        </is>
      </c>
      <c r="F1723" t="inlineStr">
        <is>
          <t>CENTRE</t>
        </is>
      </c>
      <c r="G1723" t="inlineStr">
        <is>
          <t>Yaounde</t>
        </is>
      </c>
      <c r="H1723" t="inlineStr">
        <is>
          <t>ZTE</t>
        </is>
      </c>
      <c r="I1723" t="n">
        <v>0</v>
      </c>
      <c r="J1723" t="n">
        <v>0</v>
      </c>
      <c r="K1723" t="n">
        <v>0</v>
      </c>
      <c r="L1723" t="n">
        <v>0</v>
      </c>
      <c r="M1723" t="n">
        <v>0</v>
      </c>
      <c r="N1723" t="n">
        <v>0</v>
      </c>
      <c r="O1723" t="n">
        <v>0</v>
      </c>
      <c r="P1723" t="n">
        <v>0</v>
      </c>
      <c r="Q1723" t="n">
        <v>0</v>
      </c>
      <c r="R1723" t="inlineStr">
        <is>
          <t>Operationnel</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row>
    <row r="1724">
      <c r="A1724" t="inlineStr">
        <is>
          <t>Bonamatoumbe</t>
        </is>
      </c>
      <c r="B1724" t="inlineStr">
        <is>
          <t>LIT_203</t>
        </is>
      </c>
      <c r="C1724" t="inlineStr">
        <is>
          <t>Douala</t>
        </is>
      </c>
      <c r="D1724" t="inlineStr">
        <is>
          <t>IHS</t>
        </is>
      </c>
      <c r="E1724" t="inlineStr">
        <is>
          <t>Grid-Gen</t>
        </is>
      </c>
      <c r="F1724" t="inlineStr">
        <is>
          <t>LITTORAL</t>
        </is>
      </c>
      <c r="G1724" t="inlineStr">
        <is>
          <t>Douala</t>
        </is>
      </c>
      <c r="H1724" t="inlineStr">
        <is>
          <t>ZTE</t>
        </is>
      </c>
      <c r="I1724" t="n">
        <v>0</v>
      </c>
      <c r="J1724" t="n">
        <v>0</v>
      </c>
      <c r="K1724" t="n">
        <v>0</v>
      </c>
      <c r="L1724" t="n">
        <v>0</v>
      </c>
      <c r="M1724" t="n">
        <v>0</v>
      </c>
      <c r="N1724" t="n">
        <v>0</v>
      </c>
      <c r="O1724" t="n">
        <v>0</v>
      </c>
      <c r="P1724" t="n">
        <v>0</v>
      </c>
      <c r="Q1724" t="n">
        <v>0</v>
      </c>
      <c r="R1724" t="inlineStr">
        <is>
          <t>Operationnel</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row>
    <row r="1725">
      <c r="A1725" t="inlineStr">
        <is>
          <t>Ndoumkain</t>
        </is>
      </c>
      <c r="B1725" t="inlineStr">
        <is>
          <t>OST_207</t>
        </is>
      </c>
      <c r="C1725" t="inlineStr">
        <is>
          <t>OUEST</t>
        </is>
      </c>
      <c r="D1725" t="inlineStr">
        <is>
          <t>IHS</t>
        </is>
      </c>
      <c r="E1725" t="inlineStr">
        <is>
          <t>Grid-Gen</t>
        </is>
      </c>
      <c r="F1725" t="inlineStr">
        <is>
          <t>OUEST</t>
        </is>
      </c>
      <c r="G1725" t="inlineStr">
        <is>
          <t>Ndoumkain</t>
        </is>
      </c>
      <c r="H1725" t="inlineStr">
        <is>
          <t>Huawei</t>
        </is>
      </c>
      <c r="I1725" t="n">
        <v>0</v>
      </c>
      <c r="J1725" t="n">
        <v>0</v>
      </c>
      <c r="K1725" t="n">
        <v>0</v>
      </c>
      <c r="L1725" t="n">
        <v>0</v>
      </c>
      <c r="M1725" t="n">
        <v>0</v>
      </c>
      <c r="N1725" t="n">
        <v>0</v>
      </c>
      <c r="O1725" t="n">
        <v>0</v>
      </c>
      <c r="P1725" t="n">
        <v>0</v>
      </c>
      <c r="Q1725" t="n">
        <v>0</v>
      </c>
      <c r="R1725" t="inlineStr">
        <is>
          <t>Operationnel</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row>
    <row r="1726">
      <c r="A1726" t="inlineStr">
        <is>
          <t>Poli-Ville-IHS</t>
        </is>
      </c>
      <c r="B1726" t="inlineStr">
        <is>
          <t>NRD_119</t>
        </is>
      </c>
      <c r="C1726" t="inlineStr">
        <is>
          <t>NORD</t>
        </is>
      </c>
      <c r="D1726" t="inlineStr">
        <is>
          <t>IHS</t>
        </is>
      </c>
      <c r="E1726" t="inlineStr">
        <is>
          <t>Grid-Gen</t>
        </is>
      </c>
      <c r="F1726" t="inlineStr">
        <is>
          <t>NORD</t>
        </is>
      </c>
      <c r="G1726" t="inlineStr">
        <is>
          <t>Poli</t>
        </is>
      </c>
      <c r="H1726" t="inlineStr">
        <is>
          <t>HUAWEI</t>
        </is>
      </c>
      <c r="I1726" t="n">
        <v>0</v>
      </c>
      <c r="J1726" t="n">
        <v>0</v>
      </c>
      <c r="K1726" t="n">
        <v>0</v>
      </c>
      <c r="L1726" t="n">
        <v>0</v>
      </c>
      <c r="M1726" t="n">
        <v>0</v>
      </c>
      <c r="N1726" t="n">
        <v>0</v>
      </c>
      <c r="O1726" t="n">
        <v>0</v>
      </c>
      <c r="P1726" t="n">
        <v>0</v>
      </c>
      <c r="Q1726" t="n">
        <v>0</v>
      </c>
      <c r="R1726" t="inlineStr">
        <is>
          <t>Operationnel</t>
        </is>
      </c>
      <c r="S1726" t="inlineStr"/>
      <c r="T1726" t="inlineStr"/>
      <c r="U1726" t="inlineStr"/>
      <c r="V1726" t="inlineStr"/>
      <c r="W1726" t="inlineStr"/>
      <c r="X1726" t="inlineStr">
        <is>
          <t>{None hourly IHS}: 25/05/2026 12:20..1:40:00..44..FME is informed and managing with L0.     ;    {05-25-2026 ocm ran 17H}: 25.05.26: BO TRANS analysis ongoing</t>
        </is>
      </c>
      <c r="Y1726" t="inlineStr">
        <is>
          <t>25/05/2026 12 20.1 40 00.44.FME is informed and managing with L0. 25.05.26 BO TRANS analysis ongoing</t>
        </is>
      </c>
      <c r="Z1726" t="inlineStr"/>
      <c r="AA1726" t="inlineStr"/>
      <c r="AB1726" t="inlineStr"/>
      <c r="AC1726" t="inlineStr"/>
      <c r="AD1726" t="inlineStr"/>
      <c r="AE1726" t="inlineStr">
        <is>
          <t>{None hourly IHS}: 25/05/2026 12:20..1:40:00..44..FME is informed and managing with L0.</t>
        </is>
      </c>
      <c r="AF1726" t="inlineStr"/>
      <c r="AG1726" t="inlineStr"/>
      <c r="AH1726" t="inlineStr"/>
      <c r="AI1726" t="inlineStr"/>
      <c r="AJ1726" t="inlineStr"/>
      <c r="AK1726" t="inlineStr"/>
      <c r="AL1726" t="inlineStr"/>
      <c r="AM1726" t="inlineStr"/>
      <c r="AN1726" t="inlineStr"/>
      <c r="AO1726" t="inlineStr"/>
      <c r="AP1726" t="inlineStr">
        <is>
          <t>{05-25-2026 ocm ran 17H}: 25.05.26: BO TRANS analysis ongoing</t>
        </is>
      </c>
      <c r="AQ1726" t="inlineStr"/>
      <c r="AR1726" t="inlineStr"/>
    </row>
    <row r="1727">
      <c r="A1727" t="inlineStr">
        <is>
          <t>Bangang-Fokam-IHS</t>
        </is>
      </c>
      <c r="B1727" t="inlineStr">
        <is>
          <t>OST_212</t>
        </is>
      </c>
      <c r="C1727" t="inlineStr">
        <is>
          <t>OUEST</t>
        </is>
      </c>
      <c r="D1727" t="inlineStr">
        <is>
          <t>IHS</t>
        </is>
      </c>
      <c r="E1727" t="inlineStr">
        <is>
          <t>Grid-Gen</t>
        </is>
      </c>
      <c r="F1727" t="inlineStr">
        <is>
          <t>OUEST</t>
        </is>
      </c>
      <c r="G1727" t="inlineStr">
        <is>
          <t>Bangang</t>
        </is>
      </c>
      <c r="H1727" t="inlineStr">
        <is>
          <t>HUAWEI</t>
        </is>
      </c>
      <c r="I1727" t="n">
        <v>0</v>
      </c>
      <c r="J1727" t="n">
        <v>0</v>
      </c>
      <c r="K1727" t="n">
        <v>0</v>
      </c>
      <c r="L1727" t="n">
        <v>0</v>
      </c>
      <c r="M1727" t="n">
        <v>0</v>
      </c>
      <c r="N1727" t="n">
        <v>0</v>
      </c>
      <c r="O1727" t="n">
        <v>0</v>
      </c>
      <c r="P1727" t="n">
        <v>0</v>
      </c>
      <c r="Q1727" t="n">
        <v>0</v>
      </c>
      <c r="R1727" t="inlineStr">
        <is>
          <t>Operationnel</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row>
    <row r="1728">
      <c r="A1728" t="inlineStr">
        <is>
          <t>Bamendou-II</t>
        </is>
      </c>
      <c r="B1728" t="inlineStr">
        <is>
          <t>OST_310</t>
        </is>
      </c>
      <c r="C1728" t="inlineStr">
        <is>
          <t>OUEST</t>
        </is>
      </c>
      <c r="D1728" t="inlineStr">
        <is>
          <t>ESCO</t>
        </is>
      </c>
      <c r="E1728" t="inlineStr">
        <is>
          <t>Medium Grid + GE</t>
        </is>
      </c>
      <c r="F1728" t="inlineStr">
        <is>
          <t>OUEST</t>
        </is>
      </c>
      <c r="G1728" t="inlineStr">
        <is>
          <t>Bamendou</t>
        </is>
      </c>
      <c r="H1728" t="inlineStr">
        <is>
          <t>HUAWEI</t>
        </is>
      </c>
      <c r="I1728" t="n">
        <v>0</v>
      </c>
      <c r="J1728" t="n">
        <v>0</v>
      </c>
      <c r="K1728" t="n">
        <v>0</v>
      </c>
      <c r="L1728" t="n">
        <v>0</v>
      </c>
      <c r="M1728" t="n">
        <v>0</v>
      </c>
      <c r="N1728" t="n">
        <v>0</v>
      </c>
      <c r="O1728" t="n">
        <v>0</v>
      </c>
      <c r="P1728" t="n">
        <v>0</v>
      </c>
      <c r="Q1728" t="n">
        <v>0</v>
      </c>
      <c r="R1728" t="inlineStr">
        <is>
          <t>Operationnel</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row>
    <row r="1729">
      <c r="A1729" t="inlineStr">
        <is>
          <t>Bon-Marche-IHS</t>
        </is>
      </c>
      <c r="B1729" t="inlineStr">
        <is>
          <t>ADM_178</t>
        </is>
      </c>
      <c r="C1729" t="inlineStr">
        <is>
          <t>ADAMAOUA</t>
        </is>
      </c>
      <c r="D1729" t="inlineStr">
        <is>
          <t>IHS</t>
        </is>
      </c>
      <c r="E1729" t="inlineStr">
        <is>
          <t>Solar-Gen</t>
        </is>
      </c>
      <c r="F1729" t="inlineStr">
        <is>
          <t>ADAMAOUA</t>
        </is>
      </c>
      <c r="G1729" t="inlineStr">
        <is>
          <t>Banyo</t>
        </is>
      </c>
      <c r="H1729" t="inlineStr">
        <is>
          <t>HUAWEI</t>
        </is>
      </c>
      <c r="I1729" t="n">
        <v>0</v>
      </c>
      <c r="J1729" t="n">
        <v>0</v>
      </c>
      <c r="K1729" t="n">
        <v>0</v>
      </c>
      <c r="L1729" t="n">
        <v>0</v>
      </c>
      <c r="M1729" t="n">
        <v>0</v>
      </c>
      <c r="N1729" t="n">
        <v>0</v>
      </c>
      <c r="O1729" t="n">
        <v>0</v>
      </c>
      <c r="P1729" t="n">
        <v>0</v>
      </c>
      <c r="Q1729" t="n">
        <v>0</v>
      </c>
      <c r="R1729" t="inlineStr">
        <is>
          <t>Operationnel</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row>
    <row r="1730">
      <c r="A1730" t="inlineStr">
        <is>
          <t>Bberi-Q-Princes-II</t>
        </is>
      </c>
      <c r="B1730" t="inlineStr">
        <is>
          <t>LIT_444</t>
        </is>
      </c>
      <c r="C1730" t="inlineStr">
        <is>
          <t>Douala</t>
        </is>
      </c>
      <c r="D1730" t="inlineStr">
        <is>
          <t>IHS</t>
        </is>
      </c>
      <c r="E1730" t="inlineStr">
        <is>
          <t>Grid-Gen</t>
        </is>
      </c>
      <c r="F1730" t="inlineStr">
        <is>
          <t>LITTORAL</t>
        </is>
      </c>
      <c r="G1730" t="inlineStr">
        <is>
          <t>Douala</t>
        </is>
      </c>
      <c r="H1730" t="inlineStr">
        <is>
          <t>ZTE</t>
        </is>
      </c>
      <c r="I1730" t="n">
        <v>0</v>
      </c>
      <c r="J1730" t="n">
        <v>0</v>
      </c>
      <c r="K1730" t="n">
        <v>0</v>
      </c>
      <c r="L1730" t="n">
        <v>0</v>
      </c>
      <c r="M1730" t="n">
        <v>0</v>
      </c>
      <c r="N1730" t="n">
        <v>0</v>
      </c>
      <c r="O1730" t="n">
        <v>0</v>
      </c>
      <c r="P1730" t="n">
        <v>0</v>
      </c>
      <c r="Q1730" t="n">
        <v>0</v>
      </c>
      <c r="R1730" t="inlineStr">
        <is>
          <t>Operationnel</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row>
    <row r="1731">
      <c r="A1731" t="inlineStr">
        <is>
          <t>Missellele</t>
        </is>
      </c>
      <c r="B1731" t="inlineStr">
        <is>
          <t>LIT_178</t>
        </is>
      </c>
      <c r="C1731" t="inlineStr">
        <is>
          <t>SUD-OUEST</t>
        </is>
      </c>
      <c r="D1731" t="inlineStr">
        <is>
          <t>IHS</t>
        </is>
      </c>
      <c r="E1731" t="inlineStr">
        <is>
          <t>Grid-Gen</t>
        </is>
      </c>
      <c r="F1731" t="inlineStr">
        <is>
          <t>LITTORAL</t>
        </is>
      </c>
      <c r="G1731" t="inlineStr">
        <is>
          <t>misselele</t>
        </is>
      </c>
      <c r="H1731" t="inlineStr">
        <is>
          <t>HUAWEI</t>
        </is>
      </c>
      <c r="I1731" t="n">
        <v>0</v>
      </c>
      <c r="J1731" t="n">
        <v>0</v>
      </c>
      <c r="K1731" t="n">
        <v>0</v>
      </c>
      <c r="L1731" t="n">
        <v>0</v>
      </c>
      <c r="M1731" t="n">
        <v>0</v>
      </c>
      <c r="N1731" t="n">
        <v>0</v>
      </c>
      <c r="O1731" t="n">
        <v>0</v>
      </c>
      <c r="P1731" t="n">
        <v>0</v>
      </c>
      <c r="Q1731" t="n">
        <v>0</v>
      </c>
      <c r="R1731" t="inlineStr">
        <is>
          <t>Operationnel</t>
        </is>
      </c>
      <c r="S1731" t="inlineStr"/>
      <c r="T1731" t="inlineStr"/>
      <c r="U1731" t="inlineStr"/>
      <c r="V1731" t="inlineStr"/>
      <c r="W1731" t="inlineStr"/>
      <c r="X1731" t="inlineStr">
        <is>
          <t>{None hourly IHS}: 25/05/2026 13:14..9:45:44..Our FME JEFF is managig with level zero     ;    {05-25-2026 ocm ran 22H}: 25.05.26: IHS: FME Jeff is managing with level 0.     ;    {05-25-2026 ocm ran 17H}: 25.05.26: Power alarms; IHS feedback awaiting</t>
        </is>
      </c>
      <c r="Y1731" t="inlineStr">
        <is>
          <t>25/05/2026 13 14.9 45 44.Our FME JEFF is managig with level zero 25.05.26 IHS FME Jeff is managing with level 0. 25.05.26 Power alarms; IHS feedback awaiting</t>
        </is>
      </c>
      <c r="Z1731" t="inlineStr"/>
      <c r="AA1731" t="inlineStr"/>
      <c r="AB1731" t="inlineStr"/>
      <c r="AC1731" t="inlineStr"/>
      <c r="AD1731" t="inlineStr"/>
      <c r="AE1731" t="inlineStr">
        <is>
          <t>{None hourly IHS}: 25/05/2026 13:14..9:45:44..Our FME JEFF is managig with level zero</t>
        </is>
      </c>
      <c r="AF1731" t="inlineStr"/>
      <c r="AG1731" t="inlineStr"/>
      <c r="AH1731" t="inlineStr"/>
      <c r="AI1731" t="inlineStr"/>
      <c r="AJ1731" t="inlineStr"/>
      <c r="AK1731" t="inlineStr"/>
      <c r="AL1731" t="inlineStr"/>
      <c r="AM1731" t="inlineStr"/>
      <c r="AN1731" t="inlineStr"/>
      <c r="AO1731" t="inlineStr">
        <is>
          <t>{05-25-2026 ocm ran 22H}: 25.05.26: IHS: FME Jeff is managing with level 0.</t>
        </is>
      </c>
      <c r="AP1731" t="inlineStr">
        <is>
          <t>{05-25-2026 ocm ran 17H}: 25.05.26: Power alarms; IHS feedback awaiting</t>
        </is>
      </c>
      <c r="AQ1731" t="inlineStr"/>
      <c r="AR1731" t="inlineStr"/>
    </row>
    <row r="1732">
      <c r="A1732" t="inlineStr">
        <is>
          <t>Badenkop</t>
        </is>
      </c>
      <c r="B1732" t="inlineStr">
        <is>
          <t>OST_258</t>
        </is>
      </c>
      <c r="C1732" t="inlineStr">
        <is>
          <t>OUEST</t>
        </is>
      </c>
      <c r="D1732" t="inlineStr">
        <is>
          <t>CAMUSAT</t>
        </is>
      </c>
      <c r="E1732" t="inlineStr">
        <is>
          <t>Good Grid + GE</t>
        </is>
      </c>
      <c r="F1732" t="inlineStr">
        <is>
          <t>OUEST</t>
        </is>
      </c>
      <c r="G1732" t="inlineStr">
        <is>
          <t>Badenkop</t>
        </is>
      </c>
      <c r="H1732" t="inlineStr">
        <is>
          <t>HUAWEI</t>
        </is>
      </c>
      <c r="I1732" t="n">
        <v>0</v>
      </c>
      <c r="J1732" t="n">
        <v>0</v>
      </c>
      <c r="K1732" t="n">
        <v>0</v>
      </c>
      <c r="L1732" t="n">
        <v>0</v>
      </c>
      <c r="M1732" t="n">
        <v>0</v>
      </c>
      <c r="N1732" t="n">
        <v>0</v>
      </c>
      <c r="O1732" t="n">
        <v>0</v>
      </c>
      <c r="P1732" t="n">
        <v>0</v>
      </c>
      <c r="Q1732" t="n">
        <v>0</v>
      </c>
      <c r="R1732" t="inlineStr">
        <is>
          <t>Operationnel</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row>
    <row r="1733">
      <c r="A1733" t="inlineStr">
        <is>
          <t>Kombou-IHS</t>
        </is>
      </c>
      <c r="B1733" t="inlineStr">
        <is>
          <t>OST_265</t>
        </is>
      </c>
      <c r="C1733" t="inlineStr">
        <is>
          <t>NORD-OUEST</t>
        </is>
      </c>
      <c r="D1733" t="inlineStr">
        <is>
          <t>IHS</t>
        </is>
      </c>
      <c r="E1733" t="inlineStr">
        <is>
          <t>Grid-Gen</t>
        </is>
      </c>
      <c r="F1733" t="inlineStr">
        <is>
          <t>OUEST</t>
        </is>
      </c>
      <c r="G1733" t="inlineStr">
        <is>
          <t>Kombou</t>
        </is>
      </c>
      <c r="H1733" t="inlineStr">
        <is>
          <t>HUAWEI</t>
        </is>
      </c>
      <c r="I1733" t="n">
        <v>0</v>
      </c>
      <c r="J1733" t="n">
        <v>0</v>
      </c>
      <c r="K1733" t="n">
        <v>0</v>
      </c>
      <c r="L1733" t="n">
        <v>0</v>
      </c>
      <c r="M1733" t="n">
        <v>0</v>
      </c>
      <c r="N1733" t="n">
        <v>0</v>
      </c>
      <c r="O1733" t="n">
        <v>0</v>
      </c>
      <c r="P1733" t="n">
        <v>0</v>
      </c>
      <c r="Q1733" t="n">
        <v>0</v>
      </c>
      <c r="R1733" t="inlineStr">
        <is>
          <t>Operationnel</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row>
    <row r="1734">
      <c r="A1734" t="inlineStr">
        <is>
          <t>Souza</t>
        </is>
      </c>
      <c r="B1734" t="inlineStr">
        <is>
          <t>LIT_016</t>
        </is>
      </c>
      <c r="C1734" t="inlineStr">
        <is>
          <t>LITTORAL</t>
        </is>
      </c>
      <c r="D1734" t="inlineStr"/>
      <c r="E1734" t="inlineStr"/>
      <c r="F1734" t="inlineStr">
        <is>
          <t>LITTORAL</t>
        </is>
      </c>
      <c r="G1734" t="inlineStr">
        <is>
          <t>Souza</t>
        </is>
      </c>
      <c r="H1734" t="inlineStr">
        <is>
          <t>ZTE</t>
        </is>
      </c>
      <c r="I1734" t="n">
        <v>0</v>
      </c>
      <c r="J1734" t="n">
        <v>0</v>
      </c>
      <c r="K1734" t="n">
        <v>0</v>
      </c>
      <c r="L1734" t="n">
        <v>0</v>
      </c>
      <c r="M1734" t="n">
        <v>0</v>
      </c>
      <c r="N1734" t="n">
        <v>0</v>
      </c>
      <c r="O1734" t="n">
        <v>0</v>
      </c>
      <c r="P1734" t="n">
        <v>0</v>
      </c>
      <c r="Q1734" t="n">
        <v>0</v>
      </c>
      <c r="R1734" t="inlineStr">
        <is>
          <t>Operationnel</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row>
    <row r="1735">
      <c r="A1735" t="inlineStr">
        <is>
          <t>Talla-Kribi-IHS</t>
        </is>
      </c>
      <c r="B1735" t="inlineStr">
        <is>
          <t>LIT_504</t>
        </is>
      </c>
      <c r="C1735" t="inlineStr">
        <is>
          <t>LITTORAL</t>
        </is>
      </c>
      <c r="D1735" t="inlineStr">
        <is>
          <t>IHS</t>
        </is>
      </c>
      <c r="E1735" t="inlineStr">
        <is>
          <t>Grid-Gen</t>
        </is>
      </c>
      <c r="F1735" t="inlineStr">
        <is>
          <t>LITTORAL</t>
        </is>
      </c>
      <c r="G1735" t="inlineStr">
        <is>
          <t>Kribi</t>
        </is>
      </c>
      <c r="H1735" t="inlineStr">
        <is>
          <t>ZTE</t>
        </is>
      </c>
      <c r="I1735" t="n">
        <v>0</v>
      </c>
      <c r="J1735" t="n">
        <v>0</v>
      </c>
      <c r="K1735" t="n">
        <v>0</v>
      </c>
      <c r="L1735" t="n">
        <v>0</v>
      </c>
      <c r="M1735" t="n">
        <v>0</v>
      </c>
      <c r="N1735" t="n">
        <v>0</v>
      </c>
      <c r="O1735" t="n">
        <v>0</v>
      </c>
      <c r="P1735" t="n">
        <v>0</v>
      </c>
      <c r="Q1735" t="n">
        <v>0</v>
      </c>
      <c r="R1735" t="inlineStr">
        <is>
          <t>Operationnel</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row>
    <row r="1736">
      <c r="A1736" t="inlineStr">
        <is>
          <t>Bangangte-Lycee-Classique-IHS</t>
        </is>
      </c>
      <c r="B1736" t="inlineStr">
        <is>
          <t>OST_266</t>
        </is>
      </c>
      <c r="C1736" t="inlineStr">
        <is>
          <t>OUEST</t>
        </is>
      </c>
      <c r="D1736" t="inlineStr">
        <is>
          <t>IHS</t>
        </is>
      </c>
      <c r="E1736" t="inlineStr">
        <is>
          <t>Grid-Gen</t>
        </is>
      </c>
      <c r="F1736" t="inlineStr">
        <is>
          <t>OUEST</t>
        </is>
      </c>
      <c r="G1736" t="inlineStr">
        <is>
          <t>Bangangte</t>
        </is>
      </c>
      <c r="H1736" t="inlineStr">
        <is>
          <t>HUAWEI</t>
        </is>
      </c>
      <c r="I1736" t="n">
        <v>0</v>
      </c>
      <c r="J1736" t="n">
        <v>0</v>
      </c>
      <c r="K1736" t="n">
        <v>0</v>
      </c>
      <c r="L1736" t="n">
        <v>0</v>
      </c>
      <c r="M1736" t="n">
        <v>0</v>
      </c>
      <c r="N1736" t="n">
        <v>0</v>
      </c>
      <c r="O1736" t="n">
        <v>0</v>
      </c>
      <c r="P1736" t="n">
        <v>0</v>
      </c>
      <c r="Q1736" t="n">
        <v>0</v>
      </c>
      <c r="R1736" t="inlineStr">
        <is>
          <t>Operationnel</t>
        </is>
      </c>
      <c r="S1736" t="inlineStr"/>
      <c r="T1736" t="inlineStr"/>
      <c r="U1736" t="inlineStr"/>
      <c r="V1736" t="inlineStr"/>
      <c r="W1736" t="inlineStr"/>
      <c r="X1736" t="inlineStr">
        <is>
          <t>{05-25-2026 incident}:  {05-18-2026 groupe whatsapp incident}: impacted by   N_OST_012 et environs   ,Travaux nokia , full swap yenon_bagante (T605170778) ||  Action: correction par nokia</t>
        </is>
      </c>
      <c r="Y1736" t="inlineStr">
        <is>
          <t>{05-25-2026 incident} {05-18-2026 groupe whatsapp incident} impacted by N_OST_012 et environs ,Travaux nokia , full swap yenon_bagante (T605170778) || Action correction par nokia</t>
        </is>
      </c>
      <c r="Z1736" t="inlineStr"/>
      <c r="AA1736" t="inlineStr">
        <is>
          <t>{05-25-2026 incident}:  {05-18-2026 groupe whatsapp incident}: impacted by   N_OST_012 et environs   ,Travaux nokia , full swap yenon_bagante (T605170778) ||  Action: correction par nokia</t>
        </is>
      </c>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row>
    <row r="1737">
      <c r="A1737" t="inlineStr">
        <is>
          <t>Armee-de-l-AIR-IHS</t>
        </is>
      </c>
      <c r="B1737" t="inlineStr">
        <is>
          <t>LIT_748</t>
        </is>
      </c>
      <c r="C1737" t="inlineStr">
        <is>
          <t>Douala</t>
        </is>
      </c>
      <c r="D1737" t="inlineStr"/>
      <c r="E1737" t="inlineStr"/>
      <c r="F1737" t="inlineStr">
        <is>
          <t>LITTORAL</t>
        </is>
      </c>
      <c r="G1737" t="inlineStr">
        <is>
          <t>Douala</t>
        </is>
      </c>
      <c r="H1737" t="inlineStr">
        <is>
          <t>ZTE</t>
        </is>
      </c>
      <c r="I1737" t="n">
        <v>0</v>
      </c>
      <c r="J1737" t="n">
        <v>0</v>
      </c>
      <c r="K1737" t="n">
        <v>0</v>
      </c>
      <c r="L1737" t="n">
        <v>0</v>
      </c>
      <c r="M1737" t="n">
        <v>0</v>
      </c>
      <c r="N1737" t="n">
        <v>0</v>
      </c>
      <c r="O1737" t="n">
        <v>0</v>
      </c>
      <c r="P1737" t="n">
        <v>0</v>
      </c>
      <c r="Q1737" t="n">
        <v>0</v>
      </c>
      <c r="R1737" t="inlineStr">
        <is>
          <t>Operationnel</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row>
    <row r="1738">
      <c r="A1738" t="inlineStr">
        <is>
          <t>Muyuka</t>
        </is>
      </c>
      <c r="B1738" t="inlineStr">
        <is>
          <t>SUO_012</t>
        </is>
      </c>
      <c r="C1738" t="inlineStr">
        <is>
          <t>SUD-OUEST</t>
        </is>
      </c>
      <c r="D1738" t="inlineStr">
        <is>
          <t>IHS</t>
        </is>
      </c>
      <c r="E1738" t="inlineStr">
        <is>
          <t>Grid-Gen</t>
        </is>
      </c>
      <c r="F1738" t="inlineStr">
        <is>
          <t>SUD-OUEST</t>
        </is>
      </c>
      <c r="G1738" t="inlineStr">
        <is>
          <t>Muyuka</t>
        </is>
      </c>
      <c r="H1738" t="inlineStr">
        <is>
          <t>HUAWEI</t>
        </is>
      </c>
      <c r="I1738" t="n">
        <v>0</v>
      </c>
      <c r="J1738" t="n">
        <v>0</v>
      </c>
      <c r="K1738" t="n">
        <v>0</v>
      </c>
      <c r="L1738" t="n">
        <v>0</v>
      </c>
      <c r="M1738" t="n">
        <v>0</v>
      </c>
      <c r="N1738" t="n">
        <v>0</v>
      </c>
      <c r="O1738" t="n">
        <v>0</v>
      </c>
      <c r="P1738" t="n">
        <v>0</v>
      </c>
      <c r="Q1738" t="n">
        <v>0</v>
      </c>
      <c r="R1738" t="inlineStr">
        <is>
          <t>Operationnel</t>
        </is>
      </c>
      <c r="S1738" t="inlineStr"/>
      <c r="T1738" t="inlineStr"/>
      <c r="U1738" t="inlineStr"/>
      <c r="V1738" t="inlineStr"/>
      <c r="W1738" t="inlineStr"/>
      <c r="X1738" t="inlineStr">
        <is>
          <t>{None hourly IHS}: 25/05/2026 13:41..8:43:57..Fme is managing with level 0     ;    {05-25-2026 ocm ran 22H}: P2 incident at SUO_008_N_Mpenda-Mbocko-IHS; Power issue; IHS     ;    {05-25-2026 ocm ran 17H}: P2 incident at SUO_008_N_Mpenda-Mbocko-IHS</t>
        </is>
      </c>
      <c r="Y1738" t="inlineStr">
        <is>
          <t>25/05/2026 13 41.8 43 57.Fme is managing with level 0 P2 incident at SUO_008_N_Mpenda-Mbocko-IHS; Power issue; IHS P2 incident at SUO_008_N_Mpenda-Mbocko-IHS</t>
        </is>
      </c>
      <c r="Z1738" t="inlineStr"/>
      <c r="AA1738" t="inlineStr"/>
      <c r="AB1738" t="inlineStr"/>
      <c r="AC1738" t="inlineStr"/>
      <c r="AD1738" t="inlineStr"/>
      <c r="AE1738" t="inlineStr">
        <is>
          <t>{None hourly IHS}: 25/05/2026 13:41..8:43:57..Fme is managing with level 0</t>
        </is>
      </c>
      <c r="AF1738" t="inlineStr"/>
      <c r="AG1738" t="inlineStr"/>
      <c r="AH1738" t="inlineStr"/>
      <c r="AI1738" t="inlineStr"/>
      <c r="AJ1738" t="inlineStr"/>
      <c r="AK1738" t="inlineStr"/>
      <c r="AL1738" t="inlineStr"/>
      <c r="AM1738" t="inlineStr"/>
      <c r="AN1738" t="inlineStr"/>
      <c r="AO1738" t="inlineStr">
        <is>
          <t>{05-25-2026 ocm ran 22H}: P2 incident at SUO_008_N_Mpenda-Mbocko-IHS; Power issue; IHS</t>
        </is>
      </c>
      <c r="AP1738" t="inlineStr">
        <is>
          <t>{05-25-2026 ocm ran 17H}: P2 incident at SUO_008_N_Mpenda-Mbocko-IHS</t>
        </is>
      </c>
      <c r="AQ1738" t="inlineStr"/>
      <c r="AR1738" t="inlineStr"/>
    </row>
    <row r="1739">
      <c r="A1739" t="inlineStr">
        <is>
          <t>Bamoungoum</t>
        </is>
      </c>
      <c r="B1739" t="inlineStr">
        <is>
          <t>OST_274</t>
        </is>
      </c>
      <c r="C1739" t="inlineStr">
        <is>
          <t>OUEST</t>
        </is>
      </c>
      <c r="D1739" t="inlineStr">
        <is>
          <t>CAMUSAT</t>
        </is>
      </c>
      <c r="E1739" t="inlineStr">
        <is>
          <t>Good Grid + GE</t>
        </is>
      </c>
      <c r="F1739" t="inlineStr">
        <is>
          <t>OUEST</t>
        </is>
      </c>
      <c r="G1739" t="inlineStr">
        <is>
          <t>Bamoungoum</t>
        </is>
      </c>
      <c r="H1739" t="inlineStr">
        <is>
          <t>HUAWEI</t>
        </is>
      </c>
      <c r="I1739" t="n">
        <v>0</v>
      </c>
      <c r="J1739" t="n">
        <v>0</v>
      </c>
      <c r="K1739" t="n">
        <v>0</v>
      </c>
      <c r="L1739" t="n">
        <v>0</v>
      </c>
      <c r="M1739" t="n">
        <v>0</v>
      </c>
      <c r="N1739" t="n">
        <v>0</v>
      </c>
      <c r="O1739" t="n">
        <v>0</v>
      </c>
      <c r="P1739" t="n">
        <v>0</v>
      </c>
      <c r="Q1739" t="n">
        <v>0</v>
      </c>
      <c r="R1739" t="inlineStr">
        <is>
          <t>Operationnel</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row>
    <row r="1740">
      <c r="A1740" t="inlineStr">
        <is>
          <t>Bamendjou-MTN</t>
        </is>
      </c>
      <c r="B1740" t="inlineStr">
        <is>
          <t>OST_044</t>
        </is>
      </c>
      <c r="C1740" t="inlineStr">
        <is>
          <t>OUEST</t>
        </is>
      </c>
      <c r="D1740" t="inlineStr">
        <is>
          <t>IHS</t>
        </is>
      </c>
      <c r="E1740" t="inlineStr">
        <is>
          <t>Grid-Gen</t>
        </is>
      </c>
      <c r="F1740" t="inlineStr">
        <is>
          <t>OUEST</t>
        </is>
      </c>
      <c r="G1740" t="inlineStr">
        <is>
          <t>Bamendjou</t>
        </is>
      </c>
      <c r="H1740" t="inlineStr">
        <is>
          <t>HUAWEI</t>
        </is>
      </c>
      <c r="I1740" t="n">
        <v>0</v>
      </c>
      <c r="J1740" t="n">
        <v>0</v>
      </c>
      <c r="K1740" t="n">
        <v>0</v>
      </c>
      <c r="L1740" t="n">
        <v>0</v>
      </c>
      <c r="M1740" t="n">
        <v>0</v>
      </c>
      <c r="N1740" t="n">
        <v>0</v>
      </c>
      <c r="O1740" t="n">
        <v>0</v>
      </c>
      <c r="P1740" t="n">
        <v>0</v>
      </c>
      <c r="Q1740" t="n">
        <v>0</v>
      </c>
      <c r="R1740" t="inlineStr">
        <is>
          <t>Operationnel</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row>
    <row r="1741">
      <c r="A1741" t="inlineStr">
        <is>
          <t>Bahouan-IHS</t>
        </is>
      </c>
      <c r="B1741" t="inlineStr">
        <is>
          <t>OST_300</t>
        </is>
      </c>
      <c r="C1741" t="inlineStr">
        <is>
          <t>OUEST</t>
        </is>
      </c>
      <c r="D1741" t="inlineStr">
        <is>
          <t>HIS</t>
        </is>
      </c>
      <c r="E1741" t="inlineStr">
        <is>
          <t>Grid-Gen</t>
        </is>
      </c>
      <c r="F1741" t="inlineStr">
        <is>
          <t>OUEST</t>
        </is>
      </c>
      <c r="G1741" t="inlineStr">
        <is>
          <t>Bahouan</t>
        </is>
      </c>
      <c r="H1741" t="inlineStr">
        <is>
          <t>HUAWEI</t>
        </is>
      </c>
      <c r="I1741" t="n">
        <v>0</v>
      </c>
      <c r="J1741" t="n">
        <v>0</v>
      </c>
      <c r="K1741" t="n">
        <v>0</v>
      </c>
      <c r="L1741" t="n">
        <v>0</v>
      </c>
      <c r="M1741" t="n">
        <v>0</v>
      </c>
      <c r="N1741" t="n">
        <v>0</v>
      </c>
      <c r="O1741" t="n">
        <v>0</v>
      </c>
      <c r="P1741" t="n">
        <v>0</v>
      </c>
      <c r="Q1741" t="n">
        <v>0</v>
      </c>
      <c r="R1741" t="inlineStr">
        <is>
          <t>Operationnel</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row>
    <row r="1742">
      <c r="A1742" t="inlineStr">
        <is>
          <t>Banyo-Sabongari-MTN</t>
        </is>
      </c>
      <c r="B1742" t="inlineStr">
        <is>
          <t>ADM_174</t>
        </is>
      </c>
      <c r="C1742" t="inlineStr">
        <is>
          <t>ADAMAOUA</t>
        </is>
      </c>
      <c r="D1742" t="inlineStr">
        <is>
          <t>MTN sharing</t>
        </is>
      </c>
      <c r="E1742" t="inlineStr">
        <is>
          <t>MTN Sharing</t>
        </is>
      </c>
      <c r="F1742" t="inlineStr">
        <is>
          <t>ADAMAOUA</t>
        </is>
      </c>
      <c r="G1742" t="inlineStr">
        <is>
          <t>Banyo</t>
        </is>
      </c>
      <c r="H1742" t="inlineStr">
        <is>
          <t>HUAWEI</t>
        </is>
      </c>
      <c r="I1742" t="n">
        <v>0</v>
      </c>
      <c r="J1742" t="n">
        <v>0</v>
      </c>
      <c r="K1742" t="n">
        <v>0</v>
      </c>
      <c r="L1742" t="n">
        <v>0</v>
      </c>
      <c r="M1742" t="n">
        <v>0</v>
      </c>
      <c r="N1742" t="n">
        <v>0</v>
      </c>
      <c r="O1742" t="n">
        <v>0</v>
      </c>
      <c r="P1742" t="n">
        <v>0</v>
      </c>
      <c r="Q1742" t="n">
        <v>0</v>
      </c>
      <c r="R1742" t="inlineStr">
        <is>
          <t>Operationnel</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row>
    <row r="1743">
      <c r="A1743" t="inlineStr">
        <is>
          <t>Banyo</t>
        </is>
      </c>
      <c r="B1743" t="inlineStr">
        <is>
          <t>ADM_006</t>
        </is>
      </c>
      <c r="C1743" t="inlineStr">
        <is>
          <t>ADAMAOUA</t>
        </is>
      </c>
      <c r="D1743" t="inlineStr">
        <is>
          <t>CAMUSAT</t>
        </is>
      </c>
      <c r="E1743" t="inlineStr">
        <is>
          <t>Bad Grid + GE</t>
        </is>
      </c>
      <c r="F1743" t="inlineStr">
        <is>
          <t>ADAMAOUA</t>
        </is>
      </c>
      <c r="G1743" t="inlineStr">
        <is>
          <t>Banyo</t>
        </is>
      </c>
      <c r="H1743" t="inlineStr">
        <is>
          <t>HUAWEI</t>
        </is>
      </c>
      <c r="I1743" t="n">
        <v>0</v>
      </c>
      <c r="J1743" t="n">
        <v>0</v>
      </c>
      <c r="K1743" t="n">
        <v>0</v>
      </c>
      <c r="L1743" t="n">
        <v>0</v>
      </c>
      <c r="M1743" t="n">
        <v>0</v>
      </c>
      <c r="N1743" t="n">
        <v>0</v>
      </c>
      <c r="O1743" t="n">
        <v>0</v>
      </c>
      <c r="P1743" t="n">
        <v>0</v>
      </c>
      <c r="Q1743" t="n">
        <v>0</v>
      </c>
      <c r="R1743" t="inlineStr">
        <is>
          <t>Operationnel</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row>
    <row r="1744">
      <c r="A1744" t="inlineStr">
        <is>
          <t>Bangam-IHS</t>
        </is>
      </c>
      <c r="B1744" t="inlineStr">
        <is>
          <t>OST_211</t>
        </is>
      </c>
      <c r="C1744" t="inlineStr">
        <is>
          <t>OUEST</t>
        </is>
      </c>
      <c r="D1744" t="inlineStr">
        <is>
          <t>IHS</t>
        </is>
      </c>
      <c r="E1744" t="inlineStr">
        <is>
          <t>Grid-Gen</t>
        </is>
      </c>
      <c r="F1744" t="inlineStr">
        <is>
          <t>OUEST</t>
        </is>
      </c>
      <c r="G1744" t="inlineStr">
        <is>
          <t>Bangam</t>
        </is>
      </c>
      <c r="H1744" t="inlineStr">
        <is>
          <t>HUAWEI</t>
        </is>
      </c>
      <c r="I1744" t="n">
        <v>0</v>
      </c>
      <c r="J1744" t="n">
        <v>0</v>
      </c>
      <c r="K1744" t="n">
        <v>0</v>
      </c>
      <c r="L1744" t="n">
        <v>0</v>
      </c>
      <c r="M1744" t="n">
        <v>0</v>
      </c>
      <c r="N1744" t="n">
        <v>0</v>
      </c>
      <c r="O1744" t="n">
        <v>0</v>
      </c>
      <c r="P1744" t="n">
        <v>0</v>
      </c>
      <c r="Q1744" t="n">
        <v>0</v>
      </c>
      <c r="R1744" t="inlineStr">
        <is>
          <t>Operationnel</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row>
    <row r="1745">
      <c r="A1745" t="inlineStr">
        <is>
          <t>Bascheo-IHS</t>
        </is>
      </c>
      <c r="B1745" t="inlineStr">
        <is>
          <t>NRD_015</t>
        </is>
      </c>
      <c r="C1745" t="inlineStr">
        <is>
          <t>NORD</t>
        </is>
      </c>
      <c r="D1745" t="inlineStr">
        <is>
          <t>IHS</t>
        </is>
      </c>
      <c r="E1745" t="inlineStr">
        <is>
          <t>Hybrid-Gen</t>
        </is>
      </c>
      <c r="F1745" t="inlineStr">
        <is>
          <t>NORD</t>
        </is>
      </c>
      <c r="G1745" t="inlineStr">
        <is>
          <t>Bascheo</t>
        </is>
      </c>
      <c r="H1745" t="inlineStr">
        <is>
          <t>NOKIA</t>
        </is>
      </c>
      <c r="I1745" t="n">
        <v>0</v>
      </c>
      <c r="J1745" t="n">
        <v>0</v>
      </c>
      <c r="K1745" t="n">
        <v>0</v>
      </c>
      <c r="L1745" t="n">
        <v>0</v>
      </c>
      <c r="M1745" t="n">
        <v>0</v>
      </c>
      <c r="N1745" t="n">
        <v>0</v>
      </c>
      <c r="O1745" t="n">
        <v>0</v>
      </c>
      <c r="P1745" t="n">
        <v>0</v>
      </c>
      <c r="Q1745" t="n">
        <v>0</v>
      </c>
      <c r="R1745" t="inlineStr">
        <is>
          <t>Operationnel</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row>
    <row r="1746">
      <c r="A1746" t="inlineStr">
        <is>
          <t>Bansoa-II</t>
        </is>
      </c>
      <c r="B1746" t="inlineStr">
        <is>
          <t>OST_299</t>
        </is>
      </c>
      <c r="C1746" t="inlineStr">
        <is>
          <t>OUEST</t>
        </is>
      </c>
      <c r="D1746" t="inlineStr">
        <is>
          <t>CAMUSAT</t>
        </is>
      </c>
      <c r="E1746" t="inlineStr">
        <is>
          <t>Hybrid Solar - S3</t>
        </is>
      </c>
      <c r="F1746" t="inlineStr">
        <is>
          <t>OUEST</t>
        </is>
      </c>
      <c r="G1746" t="inlineStr">
        <is>
          <t>Bansoa</t>
        </is>
      </c>
      <c r="H1746" t="inlineStr">
        <is>
          <t>HUAWEI</t>
        </is>
      </c>
      <c r="I1746" t="n">
        <v>0</v>
      </c>
      <c r="J1746" t="n">
        <v>0</v>
      </c>
      <c r="K1746" t="n">
        <v>0</v>
      </c>
      <c r="L1746" t="n">
        <v>0</v>
      </c>
      <c r="M1746" t="n">
        <v>0</v>
      </c>
      <c r="N1746" t="n">
        <v>0</v>
      </c>
      <c r="O1746" t="n">
        <v>0</v>
      </c>
      <c r="P1746" t="n">
        <v>0</v>
      </c>
      <c r="Q1746" t="n">
        <v>0</v>
      </c>
      <c r="R1746" t="inlineStr">
        <is>
          <t>Operationnel</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row>
    <row r="1747">
      <c r="A1747" t="inlineStr">
        <is>
          <t>Bansoa-IHS</t>
        </is>
      </c>
      <c r="B1747" t="inlineStr">
        <is>
          <t>OST_151</t>
        </is>
      </c>
      <c r="C1747" t="inlineStr">
        <is>
          <t>OUEST</t>
        </is>
      </c>
      <c r="D1747" t="inlineStr">
        <is>
          <t>IHS</t>
        </is>
      </c>
      <c r="E1747" t="inlineStr">
        <is>
          <t>Grid-Gen</t>
        </is>
      </c>
      <c r="F1747" t="inlineStr">
        <is>
          <t>OUEST</t>
        </is>
      </c>
      <c r="G1747" t="inlineStr">
        <is>
          <t>Bansoa</t>
        </is>
      </c>
      <c r="H1747" t="inlineStr">
        <is>
          <t>HUAWEI</t>
        </is>
      </c>
      <c r="I1747" t="n">
        <v>0</v>
      </c>
      <c r="J1747" t="n">
        <v>0</v>
      </c>
      <c r="K1747" t="n">
        <v>0</v>
      </c>
      <c r="L1747" t="n">
        <v>0</v>
      </c>
      <c r="M1747" t="n">
        <v>0</v>
      </c>
      <c r="N1747" t="n">
        <v>0</v>
      </c>
      <c r="O1747" t="n">
        <v>0</v>
      </c>
      <c r="P1747" t="n">
        <v>0</v>
      </c>
      <c r="Q1747" t="n">
        <v>0</v>
      </c>
      <c r="R1747" t="inlineStr">
        <is>
          <t>Operationnel</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row>
    <row r="1748">
      <c r="A1748" t="inlineStr">
        <is>
          <t>Olembe</t>
        </is>
      </c>
      <c r="B1748" t="inlineStr">
        <is>
          <t>CTR_080</t>
        </is>
      </c>
      <c r="C1748" t="inlineStr">
        <is>
          <t>Yaounde</t>
        </is>
      </c>
      <c r="D1748" t="inlineStr">
        <is>
          <t>IHS</t>
        </is>
      </c>
      <c r="E1748" t="inlineStr">
        <is>
          <t>Grid-Gen</t>
        </is>
      </c>
      <c r="F1748" t="inlineStr">
        <is>
          <t>CENTRE</t>
        </is>
      </c>
      <c r="G1748" t="inlineStr">
        <is>
          <t>Yaounde</t>
        </is>
      </c>
      <c r="H1748" t="inlineStr">
        <is>
          <t>ZTE</t>
        </is>
      </c>
      <c r="I1748" t="n">
        <v>0</v>
      </c>
      <c r="J1748" t="n">
        <v>0</v>
      </c>
      <c r="K1748" t="n">
        <v>0</v>
      </c>
      <c r="L1748" t="n">
        <v>0</v>
      </c>
      <c r="M1748" t="n">
        <v>0</v>
      </c>
      <c r="N1748" t="n">
        <v>0</v>
      </c>
      <c r="O1748" t="n">
        <v>0</v>
      </c>
      <c r="P1748" t="n">
        <v>0</v>
      </c>
      <c r="Q1748" t="n">
        <v>0</v>
      </c>
      <c r="R1748" t="inlineStr">
        <is>
          <t>Operationnel</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row>
    <row r="1749">
      <c r="A1749" t="inlineStr">
        <is>
          <t>Nyom</t>
        </is>
      </c>
      <c r="B1749" t="inlineStr">
        <is>
          <t>CTR_381</t>
        </is>
      </c>
      <c r="C1749" t="inlineStr">
        <is>
          <t>Yaounde</t>
        </is>
      </c>
      <c r="D1749" t="inlineStr">
        <is>
          <t>IHS</t>
        </is>
      </c>
      <c r="E1749" t="inlineStr">
        <is>
          <t>Grid-Gen</t>
        </is>
      </c>
      <c r="F1749" t="inlineStr">
        <is>
          <t>CENTRE</t>
        </is>
      </c>
      <c r="G1749" t="inlineStr">
        <is>
          <t>Yaounde</t>
        </is>
      </c>
      <c r="H1749" t="inlineStr">
        <is>
          <t>ZTE</t>
        </is>
      </c>
      <c r="I1749" t="n">
        <v>0</v>
      </c>
      <c r="J1749" t="n">
        <v>0</v>
      </c>
      <c r="K1749" t="n">
        <v>0</v>
      </c>
      <c r="L1749" t="n">
        <v>0</v>
      </c>
      <c r="M1749" t="n">
        <v>0</v>
      </c>
      <c r="N1749" t="n">
        <v>0</v>
      </c>
      <c r="O1749" t="n">
        <v>0</v>
      </c>
      <c r="P1749" t="n">
        <v>0</v>
      </c>
      <c r="Q1749" t="n">
        <v>0</v>
      </c>
      <c r="R1749" t="inlineStr">
        <is>
          <t>Operationnel</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row>
    <row r="1750">
      <c r="A1750" t="inlineStr">
        <is>
          <t>Olembe-CAMTEL</t>
        </is>
      </c>
      <c r="B1750" t="inlineStr">
        <is>
          <t>CTR_861</t>
        </is>
      </c>
      <c r="C1750" t="inlineStr">
        <is>
          <t>Yaounde</t>
        </is>
      </c>
      <c r="D1750" t="inlineStr">
        <is>
          <t>ESCO</t>
        </is>
      </c>
      <c r="E1750" t="inlineStr">
        <is>
          <t>Good Grid no GE - 8h</t>
        </is>
      </c>
      <c r="F1750" t="inlineStr">
        <is>
          <t>CENTRE</t>
        </is>
      </c>
      <c r="G1750" t="inlineStr">
        <is>
          <t>Yaounde</t>
        </is>
      </c>
      <c r="H1750" t="inlineStr">
        <is>
          <t>ZTE</t>
        </is>
      </c>
      <c r="I1750" t="n">
        <v>0</v>
      </c>
      <c r="J1750" t="n">
        <v>0</v>
      </c>
      <c r="K1750" t="n">
        <v>0</v>
      </c>
      <c r="L1750" t="n">
        <v>0</v>
      </c>
      <c r="M1750" t="n">
        <v>0</v>
      </c>
      <c r="N1750" t="n">
        <v>0</v>
      </c>
      <c r="O1750" t="n">
        <v>0</v>
      </c>
      <c r="P1750" t="n">
        <v>0</v>
      </c>
      <c r="Q1750" t="n">
        <v>0</v>
      </c>
      <c r="R1750" t="inlineStr">
        <is>
          <t>Operationnel</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row>
    <row r="1751">
      <c r="A1751" t="inlineStr">
        <is>
          <t>Kodek-Djarengol</t>
        </is>
      </c>
      <c r="B1751" t="inlineStr">
        <is>
          <t>EXN_053</t>
        </is>
      </c>
      <c r="C1751" t="inlineStr">
        <is>
          <t>Maroua</t>
        </is>
      </c>
      <c r="D1751" t="inlineStr">
        <is>
          <t>IHS</t>
        </is>
      </c>
      <c r="E1751" t="inlineStr">
        <is>
          <t>Grid-Gen</t>
        </is>
      </c>
      <c r="F1751" t="inlineStr">
        <is>
          <t>EXTREME-NORD</t>
        </is>
      </c>
      <c r="G1751" t="inlineStr">
        <is>
          <t>Maroua</t>
        </is>
      </c>
      <c r="H1751" t="inlineStr">
        <is>
          <t>Huawei</t>
        </is>
      </c>
      <c r="I1751" t="n">
        <v>0</v>
      </c>
      <c r="J1751" t="n">
        <v>0</v>
      </c>
      <c r="K1751" t="n">
        <v>0</v>
      </c>
      <c r="L1751" t="n">
        <v>0</v>
      </c>
      <c r="M1751" t="n">
        <v>0</v>
      </c>
      <c r="N1751" t="n">
        <v>0</v>
      </c>
      <c r="O1751" t="n">
        <v>0</v>
      </c>
      <c r="P1751" t="n">
        <v>0</v>
      </c>
      <c r="Q1751" t="n">
        <v>0</v>
      </c>
      <c r="R1751" t="inlineStr">
        <is>
          <t>Operationnel</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row>
    <row r="1752">
      <c r="A1752" t="inlineStr">
        <is>
          <t>Mbaka</t>
        </is>
      </c>
      <c r="B1752" t="inlineStr">
        <is>
          <t>ADM_161</t>
        </is>
      </c>
      <c r="C1752" t="inlineStr">
        <is>
          <t>ADAMAOUA</t>
        </is>
      </c>
      <c r="D1752" t="inlineStr">
        <is>
          <t>CAMUSAT</t>
        </is>
      </c>
      <c r="E1752" t="inlineStr">
        <is>
          <t>Hybrid Solar - S3</t>
        </is>
      </c>
      <c r="F1752" t="inlineStr">
        <is>
          <t>ADAMAOUA</t>
        </is>
      </c>
      <c r="G1752" t="inlineStr">
        <is>
          <t>Mbaka</t>
        </is>
      </c>
      <c r="H1752" t="inlineStr">
        <is>
          <t>HUAWEI</t>
        </is>
      </c>
      <c r="I1752" t="n">
        <v>0</v>
      </c>
      <c r="J1752" t="n">
        <v>0</v>
      </c>
      <c r="K1752" t="n">
        <v>0</v>
      </c>
      <c r="L1752" t="n">
        <v>0</v>
      </c>
      <c r="M1752" t="n">
        <v>0</v>
      </c>
      <c r="N1752" t="n">
        <v>0</v>
      </c>
      <c r="O1752" t="n">
        <v>0</v>
      </c>
      <c r="P1752" t="n">
        <v>0</v>
      </c>
      <c r="Q1752" t="n">
        <v>0</v>
      </c>
      <c r="R1752" t="inlineStr">
        <is>
          <t>Operationnel</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row>
    <row r="1753">
      <c r="A1753" t="inlineStr">
        <is>
          <t>Bamoungoum-IHS</t>
        </is>
      </c>
      <c r="B1753" t="inlineStr">
        <is>
          <t>OST_163</t>
        </is>
      </c>
      <c r="C1753" t="inlineStr">
        <is>
          <t>OUEST</t>
        </is>
      </c>
      <c r="D1753" t="inlineStr">
        <is>
          <t>IHS</t>
        </is>
      </c>
      <c r="E1753" t="inlineStr">
        <is>
          <t>Grid-Gen</t>
        </is>
      </c>
      <c r="F1753" t="inlineStr">
        <is>
          <t>OUEST</t>
        </is>
      </c>
      <c r="G1753" t="inlineStr">
        <is>
          <t>Bamoungoum</t>
        </is>
      </c>
      <c r="H1753" t="inlineStr">
        <is>
          <t>HUAWEI</t>
        </is>
      </c>
      <c r="I1753" t="n">
        <v>0</v>
      </c>
      <c r="J1753" t="n">
        <v>0</v>
      </c>
      <c r="K1753" t="n">
        <v>0</v>
      </c>
      <c r="L1753" t="n">
        <v>0</v>
      </c>
      <c r="M1753" t="n">
        <v>0</v>
      </c>
      <c r="N1753" t="n">
        <v>0</v>
      </c>
      <c r="O1753" t="n">
        <v>0</v>
      </c>
      <c r="P1753" t="n">
        <v>0</v>
      </c>
      <c r="Q1753" t="n">
        <v>0</v>
      </c>
      <c r="R1753" t="inlineStr">
        <is>
          <t>Operationnel</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row>
    <row r="1754">
      <c r="A1754" t="inlineStr">
        <is>
          <t>be-HIS</t>
        </is>
      </c>
      <c r="B1754" t="inlineStr">
        <is>
          <t>SUD_043</t>
        </is>
      </c>
      <c r="C1754" t="inlineStr">
        <is>
          <t>CENTRE</t>
        </is>
      </c>
      <c r="D1754" t="inlineStr">
        <is>
          <t>IHS</t>
        </is>
      </c>
      <c r="E1754" t="inlineStr">
        <is>
          <t>Grid-Gen</t>
        </is>
      </c>
      <c r="F1754" t="inlineStr">
        <is>
          <t>SUD</t>
        </is>
      </c>
      <c r="G1754" t="inlineStr">
        <is>
          <t>Kribi</t>
        </is>
      </c>
      <c r="H1754" t="inlineStr">
        <is>
          <t>ZTE</t>
        </is>
      </c>
      <c r="I1754" t="n">
        <v>0</v>
      </c>
      <c r="J1754" t="n">
        <v>0</v>
      </c>
      <c r="K1754" t="n">
        <v>0</v>
      </c>
      <c r="L1754" t="n">
        <v>0</v>
      </c>
      <c r="M1754" t="n">
        <v>0</v>
      </c>
      <c r="N1754" t="n">
        <v>0</v>
      </c>
      <c r="O1754" t="n">
        <v>0</v>
      </c>
      <c r="P1754" t="n">
        <v>0</v>
      </c>
      <c r="Q1754" t="n">
        <v>0</v>
      </c>
      <c r="R1754" t="inlineStr">
        <is>
          <t>Operationnel</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row>
    <row r="1755">
      <c r="A1755" t="inlineStr">
        <is>
          <t>Kribi-Port-Eau-Profonde-IHS</t>
        </is>
      </c>
      <c r="B1755" t="inlineStr">
        <is>
          <t>SUD_076</t>
        </is>
      </c>
      <c r="C1755" t="inlineStr">
        <is>
          <t>LITTORAL</t>
        </is>
      </c>
      <c r="D1755" t="inlineStr">
        <is>
          <t>IHS</t>
        </is>
      </c>
      <c r="E1755" t="inlineStr">
        <is>
          <t>Gen-Lithium</t>
        </is>
      </c>
      <c r="F1755" t="inlineStr">
        <is>
          <t>SUD</t>
        </is>
      </c>
      <c r="G1755" t="inlineStr">
        <is>
          <t>Kribi</t>
        </is>
      </c>
      <c r="H1755" t="inlineStr">
        <is>
          <t>ZTE</t>
        </is>
      </c>
      <c r="I1755" t="n">
        <v>0</v>
      </c>
      <c r="J1755" t="n">
        <v>0</v>
      </c>
      <c r="K1755" t="n">
        <v>0</v>
      </c>
      <c r="L1755" t="n">
        <v>0</v>
      </c>
      <c r="M1755" t="n">
        <v>0</v>
      </c>
      <c r="N1755" t="n">
        <v>0</v>
      </c>
      <c r="O1755" t="n">
        <v>0</v>
      </c>
      <c r="P1755" t="n">
        <v>0</v>
      </c>
      <c r="Q1755" t="n">
        <v>0</v>
      </c>
      <c r="R1755" t="inlineStr">
        <is>
          <t>Operationnel</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row>
    <row r="1756">
      <c r="A1756" t="inlineStr">
        <is>
          <t>Kribi-Orange</t>
        </is>
      </c>
      <c r="B1756" t="inlineStr">
        <is>
          <t>SUD_002</t>
        </is>
      </c>
      <c r="C1756" t="inlineStr">
        <is>
          <t>LITTORAL</t>
        </is>
      </c>
      <c r="D1756" t="inlineStr"/>
      <c r="E1756" t="inlineStr"/>
      <c r="F1756" t="inlineStr">
        <is>
          <t>SUD</t>
        </is>
      </c>
      <c r="G1756" t="inlineStr">
        <is>
          <t>Kribi</t>
        </is>
      </c>
      <c r="H1756" t="inlineStr">
        <is>
          <t>ZTE</t>
        </is>
      </c>
      <c r="I1756" t="n">
        <v>0</v>
      </c>
      <c r="J1756" t="n">
        <v>0</v>
      </c>
      <c r="K1756" t="n">
        <v>0</v>
      </c>
      <c r="L1756" t="n">
        <v>0</v>
      </c>
      <c r="M1756" t="n">
        <v>0</v>
      </c>
      <c r="N1756" t="n">
        <v>0</v>
      </c>
      <c r="O1756" t="n">
        <v>0</v>
      </c>
      <c r="P1756" t="n">
        <v>0</v>
      </c>
      <c r="Q1756" t="n">
        <v>0</v>
      </c>
      <c r="R1756" t="inlineStr">
        <is>
          <t>Operationnel</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row>
    <row r="1757">
      <c r="A1757" t="inlineStr">
        <is>
          <t>Kribi-CRTV</t>
        </is>
      </c>
      <c r="B1757" t="inlineStr">
        <is>
          <t>SUD_010</t>
        </is>
      </c>
      <c r="C1757" t="inlineStr">
        <is>
          <t>CENTRE</t>
        </is>
      </c>
      <c r="D1757" t="inlineStr">
        <is>
          <t>CAMUSAT</t>
        </is>
      </c>
      <c r="E1757" t="inlineStr">
        <is>
          <t>Good Grid + GE</t>
        </is>
      </c>
      <c r="F1757" t="inlineStr">
        <is>
          <t>SUD</t>
        </is>
      </c>
      <c r="G1757" t="inlineStr">
        <is>
          <t>Kribi</t>
        </is>
      </c>
      <c r="H1757" t="inlineStr">
        <is>
          <t>ZTE</t>
        </is>
      </c>
      <c r="I1757" t="n">
        <v>0</v>
      </c>
      <c r="J1757" t="n">
        <v>0</v>
      </c>
      <c r="K1757" t="n">
        <v>0</v>
      </c>
      <c r="L1757" t="n">
        <v>0</v>
      </c>
      <c r="M1757" t="n">
        <v>0</v>
      </c>
      <c r="N1757" t="n">
        <v>0</v>
      </c>
      <c r="O1757" t="n">
        <v>0</v>
      </c>
      <c r="P1757" t="n">
        <v>0</v>
      </c>
      <c r="Q1757" t="n">
        <v>0</v>
      </c>
      <c r="R1757" t="inlineStr">
        <is>
          <t>Operationnel</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row>
    <row r="1758">
      <c r="A1758" t="inlineStr">
        <is>
          <t>Kribi-Ebouyie</t>
        </is>
      </c>
      <c r="B1758" t="inlineStr">
        <is>
          <t>SUD_077</t>
        </is>
      </c>
      <c r="C1758" t="inlineStr">
        <is>
          <t>LITTORAL</t>
        </is>
      </c>
      <c r="D1758" t="inlineStr">
        <is>
          <t>IHS</t>
        </is>
      </c>
      <c r="E1758" t="inlineStr">
        <is>
          <t>Grid-Gen</t>
        </is>
      </c>
      <c r="F1758" t="inlineStr">
        <is>
          <t>SUD</t>
        </is>
      </c>
      <c r="G1758" t="inlineStr">
        <is>
          <t>Kribi</t>
        </is>
      </c>
      <c r="H1758" t="inlineStr">
        <is>
          <t>ZTE</t>
        </is>
      </c>
      <c r="I1758" t="n">
        <v>0</v>
      </c>
      <c r="J1758" t="n">
        <v>0</v>
      </c>
      <c r="K1758" t="n">
        <v>0</v>
      </c>
      <c r="L1758" t="n">
        <v>0</v>
      </c>
      <c r="M1758" t="n">
        <v>0</v>
      </c>
      <c r="N1758" t="n">
        <v>0</v>
      </c>
      <c r="O1758" t="n">
        <v>0</v>
      </c>
      <c r="P1758" t="n">
        <v>0</v>
      </c>
      <c r="Q1758" t="n">
        <v>0</v>
      </c>
      <c r="R1758" t="inlineStr">
        <is>
          <t>Operationnel</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row>
    <row r="1759">
      <c r="A1759" t="inlineStr">
        <is>
          <t>Kribi-Kienke-Bridge-IHS</t>
        </is>
      </c>
      <c r="B1759" t="inlineStr">
        <is>
          <t>SUD_042</t>
        </is>
      </c>
      <c r="C1759" t="inlineStr">
        <is>
          <t>LITTORAL</t>
        </is>
      </c>
      <c r="D1759" t="inlineStr">
        <is>
          <t>IHS</t>
        </is>
      </c>
      <c r="E1759" t="inlineStr">
        <is>
          <t>Grid-Gen</t>
        </is>
      </c>
      <c r="F1759" t="inlineStr">
        <is>
          <t>SUD</t>
        </is>
      </c>
      <c r="G1759" t="inlineStr">
        <is>
          <t>Kribi</t>
        </is>
      </c>
      <c r="H1759" t="inlineStr">
        <is>
          <t>ZTE</t>
        </is>
      </c>
      <c r="I1759" t="n">
        <v>0</v>
      </c>
      <c r="J1759" t="n">
        <v>0</v>
      </c>
      <c r="K1759" t="n">
        <v>0</v>
      </c>
      <c r="L1759" t="n">
        <v>0</v>
      </c>
      <c r="M1759" t="n">
        <v>0</v>
      </c>
      <c r="N1759" t="n">
        <v>0</v>
      </c>
      <c r="O1759" t="n">
        <v>0</v>
      </c>
      <c r="P1759" t="n">
        <v>0</v>
      </c>
      <c r="Q1759" t="n">
        <v>0</v>
      </c>
      <c r="R1759" t="inlineStr">
        <is>
          <t>Operationnel</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row>
    <row r="1760">
      <c r="A1760" t="inlineStr">
        <is>
          <t>Kribi-Ocean</t>
        </is>
      </c>
      <c r="B1760" t="inlineStr">
        <is>
          <t>SUD_006</t>
        </is>
      </c>
      <c r="C1760" t="inlineStr">
        <is>
          <t>LITTORAL</t>
        </is>
      </c>
      <c r="D1760" t="inlineStr">
        <is>
          <t>IHS</t>
        </is>
      </c>
      <c r="E1760" t="inlineStr">
        <is>
          <t>Grid-Gen</t>
        </is>
      </c>
      <c r="F1760" t="inlineStr">
        <is>
          <t>SUD</t>
        </is>
      </c>
      <c r="G1760" t="inlineStr">
        <is>
          <t>Kribi</t>
        </is>
      </c>
      <c r="H1760" t="inlineStr">
        <is>
          <t>ZTE</t>
        </is>
      </c>
      <c r="I1760" t="n">
        <v>0</v>
      </c>
      <c r="J1760" t="n">
        <v>0</v>
      </c>
      <c r="K1760" t="n">
        <v>0</v>
      </c>
      <c r="L1760" t="n">
        <v>0</v>
      </c>
      <c r="M1760" t="n">
        <v>0</v>
      </c>
      <c r="N1760" t="n">
        <v>0</v>
      </c>
      <c r="O1760" t="n">
        <v>0</v>
      </c>
      <c r="P1760" t="n">
        <v>0</v>
      </c>
      <c r="Q1760" t="n">
        <v>0</v>
      </c>
      <c r="R1760" t="inlineStr">
        <is>
          <t>Operationnel</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row>
    <row r="1761">
      <c r="A1761" t="inlineStr">
        <is>
          <t>Belel-MTN-IHS</t>
        </is>
      </c>
      <c r="B1761" t="inlineStr">
        <is>
          <t>ADM_096</t>
        </is>
      </c>
      <c r="C1761" t="inlineStr">
        <is>
          <t>ADAMAOUA</t>
        </is>
      </c>
      <c r="D1761" t="inlineStr">
        <is>
          <t>IHS</t>
        </is>
      </c>
      <c r="E1761" t="inlineStr">
        <is>
          <t>Solar-Gen</t>
        </is>
      </c>
      <c r="F1761" t="inlineStr">
        <is>
          <t>ADAMAOUA</t>
        </is>
      </c>
      <c r="G1761" t="inlineStr">
        <is>
          <t>Belel</t>
        </is>
      </c>
      <c r="H1761" t="inlineStr">
        <is>
          <t>HUAWEI</t>
        </is>
      </c>
      <c r="I1761" t="n">
        <v>0</v>
      </c>
      <c r="J1761" t="n">
        <v>0</v>
      </c>
      <c r="K1761" t="n">
        <v>0</v>
      </c>
      <c r="L1761" t="n">
        <v>0</v>
      </c>
      <c r="M1761" t="n">
        <v>0</v>
      </c>
      <c r="N1761" t="n">
        <v>0</v>
      </c>
      <c r="O1761" t="n">
        <v>0</v>
      </c>
      <c r="P1761" t="n">
        <v>0</v>
      </c>
      <c r="Q1761" t="n">
        <v>0</v>
      </c>
      <c r="R1761" t="inlineStr">
        <is>
          <t>Operationnel</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row>
    <row r="1762">
      <c r="A1762" t="inlineStr">
        <is>
          <t>Bantoum</t>
        </is>
      </c>
      <c r="B1762" t="inlineStr">
        <is>
          <t>OST_010</t>
        </is>
      </c>
      <c r="C1762" t="inlineStr">
        <is>
          <t>OUEST</t>
        </is>
      </c>
      <c r="D1762" t="inlineStr">
        <is>
          <t>IHS</t>
        </is>
      </c>
      <c r="E1762" t="inlineStr">
        <is>
          <t>Grid-Gen</t>
        </is>
      </c>
      <c r="F1762" t="inlineStr">
        <is>
          <t>OUEST</t>
        </is>
      </c>
      <c r="G1762" t="inlineStr">
        <is>
          <t>Bantoum</t>
        </is>
      </c>
      <c r="H1762" t="inlineStr">
        <is>
          <t>HUAWEI</t>
        </is>
      </c>
      <c r="I1762" t="n">
        <v>0</v>
      </c>
      <c r="J1762" t="n">
        <v>0</v>
      </c>
      <c r="K1762" t="n">
        <v>0</v>
      </c>
      <c r="L1762" t="n">
        <v>0</v>
      </c>
      <c r="M1762" t="n">
        <v>0</v>
      </c>
      <c r="N1762" t="n">
        <v>0</v>
      </c>
      <c r="O1762" t="n">
        <v>0</v>
      </c>
      <c r="P1762" t="n">
        <v>0</v>
      </c>
      <c r="Q1762" t="n">
        <v>0</v>
      </c>
      <c r="R1762" t="inlineStr">
        <is>
          <t>Operationnel</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row>
    <row r="1763">
      <c r="A1763" t="inlineStr">
        <is>
          <t>Ndom</t>
        </is>
      </c>
      <c r="B1763" t="inlineStr">
        <is>
          <t>SUD_028</t>
        </is>
      </c>
      <c r="C1763" t="inlineStr"/>
      <c r="D1763" t="inlineStr">
        <is>
          <t>IHS</t>
        </is>
      </c>
      <c r="E1763" t="inlineStr">
        <is>
          <t>Grid Gen</t>
        </is>
      </c>
      <c r="F1763" t="inlineStr">
        <is>
          <t>SUD</t>
        </is>
      </c>
      <c r="G1763" t="inlineStr">
        <is>
          <t>Ndom</t>
        </is>
      </c>
      <c r="H1763" t="inlineStr">
        <is>
          <t>ZTE</t>
        </is>
      </c>
      <c r="I1763" t="n">
        <v>0</v>
      </c>
      <c r="J1763" t="n">
        <v>0</v>
      </c>
      <c r="K1763" t="n">
        <v>0</v>
      </c>
      <c r="L1763" t="n">
        <v>0</v>
      </c>
      <c r="M1763" t="n">
        <v>0</v>
      </c>
      <c r="N1763" t="n">
        <v>0</v>
      </c>
      <c r="O1763" t="n">
        <v>0</v>
      </c>
      <c r="P1763" t="n">
        <v>0</v>
      </c>
      <c r="Q1763" t="n">
        <v>0</v>
      </c>
      <c r="R1763" t="inlineStr">
        <is>
          <t>Operationnel</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row>
    <row r="1764">
      <c r="A1764" t="inlineStr">
        <is>
          <t>Manjo-New</t>
        </is>
      </c>
      <c r="B1764" t="inlineStr">
        <is>
          <t>LIT_062</t>
        </is>
      </c>
      <c r="C1764" t="inlineStr"/>
      <c r="D1764" t="inlineStr">
        <is>
          <t>IHS</t>
        </is>
      </c>
      <c r="E1764" t="inlineStr"/>
      <c r="F1764" t="inlineStr">
        <is>
          <t>LIT</t>
        </is>
      </c>
      <c r="G1764" t="inlineStr">
        <is>
          <t>Manjo</t>
        </is>
      </c>
      <c r="H1764" t="inlineStr">
        <is>
          <t>ZTE</t>
        </is>
      </c>
      <c r="I1764" t="n">
        <v>0</v>
      </c>
      <c r="J1764" t="n">
        <v>0</v>
      </c>
      <c r="K1764" t="n">
        <v>0</v>
      </c>
      <c r="L1764" t="n">
        <v>0</v>
      </c>
      <c r="M1764" t="n">
        <v>0</v>
      </c>
      <c r="N1764" t="n">
        <v>0</v>
      </c>
      <c r="O1764" t="n">
        <v>0</v>
      </c>
      <c r="P1764" t="n">
        <v>0</v>
      </c>
      <c r="Q1764" t="n">
        <v>0</v>
      </c>
      <c r="R1764" t="inlineStr">
        <is>
          <t>Operationnel</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row>
    <row r="1765">
      <c r="A1765" t="inlineStr">
        <is>
          <t>Ngoulmepa-New</t>
        </is>
      </c>
      <c r="B1765" t="inlineStr">
        <is>
          <t>LIT_067</t>
        </is>
      </c>
      <c r="C1765" t="inlineStr">
        <is>
          <t>LITTORAL</t>
        </is>
      </c>
      <c r="D1765" t="inlineStr">
        <is>
          <t>IHS</t>
        </is>
      </c>
      <c r="E1765" t="inlineStr">
        <is>
          <t>GRID GEN</t>
        </is>
      </c>
      <c r="F1765" t="inlineStr">
        <is>
          <t>LIT</t>
        </is>
      </c>
      <c r="G1765" t="inlineStr">
        <is>
          <t>Ngoulmepa</t>
        </is>
      </c>
      <c r="H1765" t="inlineStr">
        <is>
          <t>ZTE</t>
        </is>
      </c>
      <c r="I1765" t="n">
        <v>0</v>
      </c>
      <c r="J1765" t="n">
        <v>0</v>
      </c>
      <c r="K1765" t="n">
        <v>0</v>
      </c>
      <c r="L1765" t="n">
        <v>0</v>
      </c>
      <c r="M1765" t="n">
        <v>0</v>
      </c>
      <c r="N1765" t="n">
        <v>0</v>
      </c>
      <c r="O1765" t="n">
        <v>0</v>
      </c>
      <c r="P1765" t="n">
        <v>0</v>
      </c>
      <c r="Q1765" t="n">
        <v>0</v>
      </c>
      <c r="R1765" t="inlineStr">
        <is>
          <t>Operationnel</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row>
    <row r="1766">
      <c r="A1766" t="inlineStr">
        <is>
          <t>Tole-IHS</t>
        </is>
      </c>
      <c r="B1766" t="inlineStr">
        <is>
          <t>SUO_189</t>
        </is>
      </c>
      <c r="C1766" t="inlineStr"/>
      <c r="D1766" t="inlineStr">
        <is>
          <t>IHS</t>
        </is>
      </c>
      <c r="E1766" t="inlineStr"/>
      <c r="F1766" t="inlineStr">
        <is>
          <t>SUD-OUEST</t>
        </is>
      </c>
      <c r="G1766" t="inlineStr">
        <is>
          <t>Buea</t>
        </is>
      </c>
      <c r="H1766" t="inlineStr">
        <is>
          <t>ZTE</t>
        </is>
      </c>
      <c r="I1766" t="n">
        <v>0</v>
      </c>
      <c r="J1766" t="n">
        <v>0</v>
      </c>
      <c r="K1766" t="n">
        <v>0</v>
      </c>
      <c r="L1766" t="n">
        <v>0</v>
      </c>
      <c r="M1766" t="n">
        <v>0</v>
      </c>
      <c r="N1766" t="n">
        <v>0</v>
      </c>
      <c r="O1766" t="n">
        <v>0</v>
      </c>
      <c r="P1766" t="n">
        <v>0</v>
      </c>
      <c r="Q1766" t="n">
        <v>0</v>
      </c>
      <c r="R1766" t="inlineStr">
        <is>
          <t>Operationnel</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row>
    <row r="1767">
      <c r="A1767" t="inlineStr">
        <is>
          <t>OST_364_H_Dschang-Tchouale</t>
        </is>
      </c>
      <c r="B1767" t="inlineStr">
        <is>
          <t>OST_364</t>
        </is>
      </c>
      <c r="C1767" t="inlineStr"/>
      <c r="D1767" t="inlineStr">
        <is>
          <t>ESCO</t>
        </is>
      </c>
      <c r="E1767" t="inlineStr">
        <is>
          <t>Hybrid Solar - S1</t>
        </is>
      </c>
      <c r="F1767" t="inlineStr">
        <is>
          <t>OST</t>
        </is>
      </c>
      <c r="G1767" t="inlineStr">
        <is>
          <t>Dschang</t>
        </is>
      </c>
      <c r="H1767" t="inlineStr">
        <is>
          <t>Huawei</t>
        </is>
      </c>
      <c r="I1767" t="n">
        <v>0</v>
      </c>
      <c r="J1767" t="n">
        <v>0</v>
      </c>
      <c r="K1767" t="n">
        <v>0</v>
      </c>
      <c r="L1767" t="n">
        <v>0</v>
      </c>
      <c r="M1767" t="n">
        <v>0</v>
      </c>
      <c r="N1767" t="n">
        <v>0</v>
      </c>
      <c r="O1767" t="n">
        <v>0</v>
      </c>
      <c r="P1767" t="n">
        <v>0</v>
      </c>
      <c r="Q1767" t="n">
        <v>0</v>
      </c>
      <c r="R1767" t="inlineStr">
        <is>
          <t>Operationnel</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row>
    <row r="1768">
      <c r="A1768" t="inlineStr">
        <is>
          <t>Ngoulmepa-New</t>
        </is>
      </c>
      <c r="B1768" t="inlineStr">
        <is>
          <t>LIT_523</t>
        </is>
      </c>
      <c r="C1768" t="inlineStr"/>
      <c r="D1768" t="inlineStr">
        <is>
          <t>HIS</t>
        </is>
      </c>
      <c r="E1768" t="inlineStr">
        <is>
          <t>GenOnly</t>
        </is>
      </c>
      <c r="F1768" t="inlineStr">
        <is>
          <t>LITTORAL</t>
        </is>
      </c>
      <c r="G1768" t="inlineStr"/>
      <c r="H1768" t="inlineStr">
        <is>
          <t>ZTE</t>
        </is>
      </c>
      <c r="I1768" t="n">
        <v>0</v>
      </c>
      <c r="J1768" t="n">
        <v>0</v>
      </c>
      <c r="K1768" t="n">
        <v>0</v>
      </c>
      <c r="L1768" t="n">
        <v>0</v>
      </c>
      <c r="M1768" t="n">
        <v>0</v>
      </c>
      <c r="N1768" t="n">
        <v>0</v>
      </c>
      <c r="O1768" t="n">
        <v>0</v>
      </c>
      <c r="P1768" t="n">
        <v>0</v>
      </c>
      <c r="Q1768" t="n">
        <v>0</v>
      </c>
      <c r="R1768" t="inlineStr">
        <is>
          <t>Operationnel</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row>
    <row r="1769">
      <c r="A1769" t="inlineStr">
        <is>
          <t>Sorawel-IHS</t>
        </is>
      </c>
      <c r="B1769" t="inlineStr">
        <is>
          <t>NRD_099</t>
        </is>
      </c>
      <c r="C1769" t="inlineStr">
        <is>
          <t>NORD</t>
        </is>
      </c>
      <c r="D1769" t="inlineStr">
        <is>
          <t>IHS</t>
        </is>
      </c>
      <c r="E1769" t="inlineStr">
        <is>
          <t>Grid-Gen</t>
        </is>
      </c>
      <c r="F1769" t="inlineStr">
        <is>
          <t>NORD</t>
        </is>
      </c>
      <c r="G1769" t="inlineStr">
        <is>
          <t>Sorawel</t>
        </is>
      </c>
      <c r="H1769" t="inlineStr">
        <is>
          <t>HUAWEI</t>
        </is>
      </c>
      <c r="I1769" t="n">
        <v>0</v>
      </c>
      <c r="J1769" t="n">
        <v>0</v>
      </c>
      <c r="K1769" t="n">
        <v>0</v>
      </c>
      <c r="L1769" t="n">
        <v>0</v>
      </c>
      <c r="M1769" t="n">
        <v>0</v>
      </c>
      <c r="N1769" t="n">
        <v>0</v>
      </c>
      <c r="O1769" t="n">
        <v>0</v>
      </c>
      <c r="P1769" t="n">
        <v>0</v>
      </c>
      <c r="Q1769" t="n">
        <v>0</v>
      </c>
      <c r="R1769" t="inlineStr">
        <is>
          <t>Operationnel</t>
        </is>
      </c>
      <c r="S1769" t="inlineStr"/>
      <c r="T1769" t="inlineStr"/>
      <c r="U1769" t="inlineStr"/>
      <c r="V1769" t="inlineStr"/>
      <c r="W1769" t="inlineStr"/>
      <c r="X1769" t="inlineStr">
        <is>
          <t>{None hourly IHS}: 25/05/2026 01:29..4:54:30..35V..FME Maxime managing with level 0     ;    {05/25/2026 cell huawei}: 25/05/2026 : Besoin d'analyse BO RAN || active un fme pour verifier la connexion des cables power de la RRU 60 &amp;62,72 || Fme active || Fme en chemin pour le site || ETA 14h || Feedback Fme : Disjonction au niveau du DCDU || Up apres apres soulevement des disjoncteurs</t>
        </is>
      </c>
      <c r="Y1769" t="inlineStr">
        <is>
          <t>25/05/2026 01 29.4 54 30.35V.FME Maxime managing with level 0 25/05/2026 Besoin d'analyse BO RAN || active un fme pour verifier la connexion des cables power de la RRU 60 &amp;62,72 || Fme active || Fme en chemin pour le site || ETA 14h || Feedback Fme Disjonction au niveau du DCDU || Up apres apres soulevement des disjoncteurs</t>
        </is>
      </c>
      <c r="Z1769" t="inlineStr"/>
      <c r="AA1769" t="inlineStr"/>
      <c r="AB1769" t="inlineStr"/>
      <c r="AC1769" t="inlineStr"/>
      <c r="AD1769" t="inlineStr"/>
      <c r="AE1769" t="inlineStr">
        <is>
          <t>{None hourly IHS}: 25/05/2026 01:29..4:54:30..35V..FME Maxime managing with level 0</t>
        </is>
      </c>
      <c r="AF1769" t="inlineStr"/>
      <c r="AG1769" t="inlineStr"/>
      <c r="AH1769" t="inlineStr"/>
      <c r="AI1769" t="inlineStr"/>
      <c r="AJ1769" t="inlineStr"/>
      <c r="AK1769" t="inlineStr"/>
      <c r="AL1769" t="inlineStr">
        <is>
          <t>{05/25/2026 cell huawei}: 25/05/2026 : Besoin d'analyse BO RAN || active un fme pour verifier la connexion des cables power de la RRU 60 &amp;62,72 || Fme active || Fme en chemin pour le site || ETA 14h || Feedback Fme : Disjonction au niveau du DCDU || Up apres apres soulevement des disjoncteurs</t>
        </is>
      </c>
      <c r="AM1769" t="inlineStr"/>
      <c r="AN1769" t="inlineStr"/>
      <c r="AO1769" t="inlineStr"/>
      <c r="AP1769" t="inlineStr"/>
      <c r="AQ1769" t="inlineStr"/>
      <c r="AR1769" t="inlineStr"/>
    </row>
    <row r="1770">
      <c r="A1770" t="inlineStr">
        <is>
          <t>Biteng</t>
        </is>
      </c>
      <c r="B1770" t="inlineStr">
        <is>
          <t>CTR_211</t>
        </is>
      </c>
      <c r="C1770" t="inlineStr">
        <is>
          <t>Yaounde</t>
        </is>
      </c>
      <c r="D1770" t="inlineStr">
        <is>
          <t>IHS</t>
        </is>
      </c>
      <c r="E1770" t="inlineStr">
        <is>
          <t>Grid-Gen</t>
        </is>
      </c>
      <c r="F1770" t="inlineStr">
        <is>
          <t>CENTRE</t>
        </is>
      </c>
      <c r="G1770" t="inlineStr">
        <is>
          <t>Yaounde</t>
        </is>
      </c>
      <c r="H1770" t="inlineStr">
        <is>
          <t>ZTE</t>
        </is>
      </c>
      <c r="I1770" t="n">
        <v>0</v>
      </c>
      <c r="J1770" t="n">
        <v>0</v>
      </c>
      <c r="K1770" t="n">
        <v>0</v>
      </c>
      <c r="L1770" t="n">
        <v>0</v>
      </c>
      <c r="M1770" t="n">
        <v>0</v>
      </c>
      <c r="N1770" t="n">
        <v>0</v>
      </c>
      <c r="O1770" t="n">
        <v>0</v>
      </c>
      <c r="P1770" t="n">
        <v>0</v>
      </c>
      <c r="Q1770" t="n">
        <v>0</v>
      </c>
      <c r="R1770" t="inlineStr">
        <is>
          <t>Operationnel</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row>
    <row r="1771">
      <c r="A1771" t="inlineStr">
        <is>
          <t>Djabi-IHS</t>
        </is>
      </c>
      <c r="B1771" t="inlineStr">
        <is>
          <t>NRD_069</t>
        </is>
      </c>
      <c r="C1771" t="inlineStr">
        <is>
          <t>NORD</t>
        </is>
      </c>
      <c r="D1771" t="inlineStr">
        <is>
          <t>IHS</t>
        </is>
      </c>
      <c r="E1771" t="inlineStr">
        <is>
          <t>Solar-Gen</t>
        </is>
      </c>
      <c r="F1771" t="inlineStr">
        <is>
          <t>NORD</t>
        </is>
      </c>
      <c r="G1771" t="inlineStr">
        <is>
          <t>Djabi</t>
        </is>
      </c>
      <c r="H1771" t="inlineStr">
        <is>
          <t>HUAWEI</t>
        </is>
      </c>
      <c r="I1771" t="n">
        <v>0</v>
      </c>
      <c r="J1771" t="n">
        <v>0</v>
      </c>
      <c r="K1771" t="n">
        <v>0</v>
      </c>
      <c r="L1771" t="n">
        <v>0</v>
      </c>
      <c r="M1771" t="n">
        <v>0</v>
      </c>
      <c r="N1771" t="n">
        <v>0</v>
      </c>
      <c r="O1771" t="n">
        <v>0</v>
      </c>
      <c r="P1771" t="n">
        <v>0</v>
      </c>
      <c r="Q1771" t="n">
        <v>0</v>
      </c>
      <c r="R1771" t="inlineStr">
        <is>
          <t>Operationnel</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row>
    <row r="1772">
      <c r="A1772" t="inlineStr">
        <is>
          <t>Badankali-IHS</t>
        </is>
      </c>
      <c r="B1772" t="inlineStr">
        <is>
          <t>NRD_107</t>
        </is>
      </c>
      <c r="C1772" t="inlineStr">
        <is>
          <t>NORD</t>
        </is>
      </c>
      <c r="D1772" t="inlineStr">
        <is>
          <t>IHS</t>
        </is>
      </c>
      <c r="E1772" t="inlineStr">
        <is>
          <t>Hybrid-Gen</t>
        </is>
      </c>
      <c r="F1772" t="inlineStr">
        <is>
          <t>NORD</t>
        </is>
      </c>
      <c r="G1772" t="inlineStr">
        <is>
          <t>Badankali</t>
        </is>
      </c>
      <c r="H1772" t="inlineStr">
        <is>
          <t>HUAWEI</t>
        </is>
      </c>
      <c r="I1772" t="n">
        <v>0</v>
      </c>
      <c r="J1772" t="n">
        <v>0</v>
      </c>
      <c r="K1772" t="n">
        <v>0</v>
      </c>
      <c r="L1772" t="n">
        <v>0</v>
      </c>
      <c r="M1772" t="n">
        <v>0</v>
      </c>
      <c r="N1772" t="n">
        <v>0</v>
      </c>
      <c r="O1772" t="n">
        <v>0</v>
      </c>
      <c r="P1772" t="n">
        <v>0</v>
      </c>
      <c r="Q1772" t="n">
        <v>0</v>
      </c>
      <c r="R1772" t="inlineStr">
        <is>
          <t>Operationnel</t>
        </is>
      </c>
      <c r="S1772" t="inlineStr"/>
      <c r="T1772" t="inlineStr"/>
      <c r="U1772" t="inlineStr"/>
      <c r="V1772" t="inlineStr"/>
      <c r="W1772" t="inlineStr"/>
      <c r="X1772" t="inlineStr">
        <is>
          <t>{None hourly IHS}: 25/05/2026 09:48..1:12:00..1.7 V..Our FME robert IS MANAGING with level zero</t>
        </is>
      </c>
      <c r="Y1772" t="inlineStr">
        <is>
          <t>25/05/2026 09 48.1 12 00.1.7 V.Our FME robert IS MANAGING with level zero</t>
        </is>
      </c>
      <c r="Z1772" t="inlineStr"/>
      <c r="AA1772" t="inlineStr"/>
      <c r="AB1772" t="inlineStr"/>
      <c r="AC1772" t="inlineStr"/>
      <c r="AD1772" t="inlineStr"/>
      <c r="AE1772" t="inlineStr">
        <is>
          <t>{None hourly IHS}: 25/05/2026 09:48..1:12:00..1.7 V..Our FME robert IS MANAGING with level zero</t>
        </is>
      </c>
      <c r="AF1772" t="inlineStr"/>
      <c r="AG1772" t="inlineStr"/>
      <c r="AH1772" t="inlineStr"/>
      <c r="AI1772" t="inlineStr"/>
      <c r="AJ1772" t="inlineStr"/>
      <c r="AK1772" t="inlineStr"/>
      <c r="AL1772" t="inlineStr"/>
      <c r="AM1772" t="inlineStr"/>
      <c r="AN1772" t="inlineStr"/>
      <c r="AO1772" t="inlineStr"/>
      <c r="AP1772" t="inlineStr"/>
      <c r="AQ1772" t="inlineStr"/>
      <c r="AR1772" t="inlineStr"/>
    </row>
    <row r="1773">
      <c r="A1773" t="inlineStr">
        <is>
          <t>Port_Autonome_Kribi</t>
        </is>
      </c>
      <c r="B1773" t="inlineStr">
        <is>
          <t>SUD_092</t>
        </is>
      </c>
      <c r="C1773" t="inlineStr">
        <is>
          <t>CENTRE</t>
        </is>
      </c>
      <c r="D1773" t="inlineStr">
        <is>
          <t>CAMUSAT</t>
        </is>
      </c>
      <c r="E1773" t="inlineStr">
        <is>
          <t>Good Grid no GE - 8h</t>
        </is>
      </c>
      <c r="F1773" t="inlineStr">
        <is>
          <t>SUD</t>
        </is>
      </c>
      <c r="G1773" t="inlineStr">
        <is>
          <t>Kribi</t>
        </is>
      </c>
      <c r="H1773" t="inlineStr">
        <is>
          <t>ZTE</t>
        </is>
      </c>
      <c r="I1773" t="n">
        <v>0</v>
      </c>
      <c r="J1773" t="n">
        <v>0</v>
      </c>
      <c r="K1773" t="n">
        <v>0</v>
      </c>
      <c r="L1773" t="n">
        <v>0</v>
      </c>
      <c r="M1773" t="n">
        <v>0</v>
      </c>
      <c r="N1773" t="n">
        <v>0</v>
      </c>
      <c r="O1773" t="n">
        <v>0</v>
      </c>
      <c r="P1773" t="n">
        <v>0</v>
      </c>
      <c r="Q1773" t="n">
        <v>0</v>
      </c>
      <c r="R1773" t="inlineStr">
        <is>
          <t>Operationnel</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row>
    <row r="1774">
      <c r="A1774" t="inlineStr">
        <is>
          <t>GBHS-Muyuka</t>
        </is>
      </c>
      <c r="B1774" t="inlineStr">
        <is>
          <t>SUO_246</t>
        </is>
      </c>
      <c r="C1774" t="inlineStr">
        <is>
          <t>NORD-OUEST</t>
        </is>
      </c>
      <c r="D1774" t="inlineStr"/>
      <c r="E1774" t="inlineStr"/>
      <c r="F1774" t="inlineStr">
        <is>
          <t>SUD-OUEST</t>
        </is>
      </c>
      <c r="G1774" t="inlineStr">
        <is>
          <t>Bamenda</t>
        </is>
      </c>
      <c r="H1774" t="inlineStr">
        <is>
          <t>HUAWEI</t>
        </is>
      </c>
      <c r="I1774" t="n">
        <v>0</v>
      </c>
      <c r="J1774" t="n">
        <v>0</v>
      </c>
      <c r="K1774" t="n">
        <v>0</v>
      </c>
      <c r="L1774" t="n">
        <v>0</v>
      </c>
      <c r="M1774" t="n">
        <v>0</v>
      </c>
      <c r="N1774" t="n">
        <v>0</v>
      </c>
      <c r="O1774" t="n">
        <v>0</v>
      </c>
      <c r="P1774" t="n">
        <v>0</v>
      </c>
      <c r="Q1774" t="n">
        <v>0</v>
      </c>
      <c r="R1774" t="inlineStr">
        <is>
          <t>Operationnel</t>
        </is>
      </c>
      <c r="S1774" t="inlineStr"/>
      <c r="T1774" t="inlineStr"/>
      <c r="U1774" t="inlineStr"/>
      <c r="V1774" t="inlineStr"/>
      <c r="W1774" t="inlineStr"/>
      <c r="X1774" t="inlineStr">
        <is>
          <t>{05-25-2026 ocm ran 22H}: P2 incident at SUO_008_N_Mpenda-Mbocko-IHS; Power issue; IHS     ;    {05-25-2026 ocm ran 17H}: P2 incident at SUO_008_N_Mpenda-Mbocko-IHS</t>
        </is>
      </c>
      <c r="Y1774" t="inlineStr">
        <is>
          <t>P2 incident at SUO_008_N_Mpenda-Mbocko-IHS; Power issue; IHS P2 incident at SUO_008_N_Mpenda-Mbocko-IHS</t>
        </is>
      </c>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{05-25-2026 ocm ran 22H}: P2 incident at SUO_008_N_Mpenda-Mbocko-IHS; Power issue; IHS</t>
        </is>
      </c>
      <c r="AP1774" t="inlineStr">
        <is>
          <t>{05-25-2026 ocm ran 17H}: P2 incident at SUO_008_N_Mpenda-Mbocko-IHS</t>
        </is>
      </c>
      <c r="AQ1774" t="inlineStr"/>
      <c r="AR1774" t="inlineStr"/>
    </row>
    <row r="1775">
      <c r="A1775" t="inlineStr">
        <is>
          <t>PK8</t>
        </is>
      </c>
      <c r="B1775" t="inlineStr">
        <is>
          <t>LIT_255</t>
        </is>
      </c>
      <c r="C1775" t="inlineStr">
        <is>
          <t>Douala</t>
        </is>
      </c>
      <c r="D1775" t="inlineStr">
        <is>
          <t>IHS</t>
        </is>
      </c>
      <c r="E1775" t="inlineStr">
        <is>
          <t>Grid-Gen</t>
        </is>
      </c>
      <c r="F1775" t="inlineStr">
        <is>
          <t>LITTORAL</t>
        </is>
      </c>
      <c r="G1775" t="inlineStr">
        <is>
          <t>Douala</t>
        </is>
      </c>
      <c r="H1775" t="inlineStr">
        <is>
          <t>ZTE</t>
        </is>
      </c>
      <c r="I1775" t="n">
        <v>0</v>
      </c>
      <c r="J1775" t="n">
        <v>0</v>
      </c>
      <c r="K1775" t="n">
        <v>0</v>
      </c>
      <c r="L1775" t="n">
        <v>0</v>
      </c>
      <c r="M1775" t="n">
        <v>0</v>
      </c>
      <c r="N1775" t="n">
        <v>0</v>
      </c>
      <c r="O1775" t="n">
        <v>0</v>
      </c>
      <c r="P1775" t="n">
        <v>0</v>
      </c>
      <c r="Q1775" t="n">
        <v>0</v>
      </c>
      <c r="R1775" t="inlineStr">
        <is>
          <t>Operationnel</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row>
    <row r="1776">
      <c r="A1776" t="inlineStr">
        <is>
          <t>Bana-Centre</t>
        </is>
      </c>
      <c r="B1776" t="inlineStr">
        <is>
          <t>OST_036</t>
        </is>
      </c>
      <c r="C1776" t="inlineStr">
        <is>
          <t>OUEST</t>
        </is>
      </c>
      <c r="D1776" t="inlineStr">
        <is>
          <t>IHS</t>
        </is>
      </c>
      <c r="E1776" t="inlineStr">
        <is>
          <t>Grid-Gen</t>
        </is>
      </c>
      <c r="F1776" t="inlineStr">
        <is>
          <t>OUEST</t>
        </is>
      </c>
      <c r="G1776" t="inlineStr">
        <is>
          <t>Bana</t>
        </is>
      </c>
      <c r="H1776" t="inlineStr">
        <is>
          <t>HUAWEI</t>
        </is>
      </c>
      <c r="I1776" t="n">
        <v>0</v>
      </c>
      <c r="J1776" t="n">
        <v>0</v>
      </c>
      <c r="K1776" t="n">
        <v>0</v>
      </c>
      <c r="L1776" t="n">
        <v>0</v>
      </c>
      <c r="M1776" t="n">
        <v>0</v>
      </c>
      <c r="N1776" t="n">
        <v>0</v>
      </c>
      <c r="O1776" t="n">
        <v>0</v>
      </c>
      <c r="P1776" t="n">
        <v>0</v>
      </c>
      <c r="Q1776" t="n">
        <v>0</v>
      </c>
      <c r="R1776" t="inlineStr">
        <is>
          <t>Operationnel</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row>
    <row r="1777">
      <c r="A1777" t="inlineStr">
        <is>
          <t>Total-Ndobo</t>
        </is>
      </c>
      <c r="B1777" t="inlineStr">
        <is>
          <t>LIT_437</t>
        </is>
      </c>
      <c r="C1777" t="inlineStr">
        <is>
          <t>Douala</t>
        </is>
      </c>
      <c r="D1777" t="inlineStr">
        <is>
          <t>IHS</t>
        </is>
      </c>
      <c r="E1777" t="inlineStr">
        <is>
          <t>Grid-Gen</t>
        </is>
      </c>
      <c r="F1777" t="inlineStr">
        <is>
          <t>LITTORAL</t>
        </is>
      </c>
      <c r="G1777" t="inlineStr">
        <is>
          <t>Douala</t>
        </is>
      </c>
      <c r="H1777" t="inlineStr">
        <is>
          <t>ZTE</t>
        </is>
      </c>
      <c r="I1777" t="n">
        <v>0</v>
      </c>
      <c r="J1777" t="n">
        <v>0</v>
      </c>
      <c r="K1777" t="n">
        <v>0</v>
      </c>
      <c r="L1777" t="n">
        <v>0</v>
      </c>
      <c r="M1777" t="n">
        <v>0</v>
      </c>
      <c r="N1777" t="n">
        <v>0</v>
      </c>
      <c r="O1777" t="n">
        <v>0</v>
      </c>
      <c r="P1777" t="n">
        <v>0</v>
      </c>
      <c r="Q1777" t="n">
        <v>0</v>
      </c>
      <c r="R1777" t="inlineStr">
        <is>
          <t>Operationnel</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row>
    <row r="1778">
      <c r="A1778" t="inlineStr">
        <is>
          <t>Bberi-Enem</t>
        </is>
      </c>
      <c r="B1778" t="inlineStr">
        <is>
          <t>LIT_637</t>
        </is>
      </c>
      <c r="C1778" t="inlineStr">
        <is>
          <t>Douala</t>
        </is>
      </c>
      <c r="D1778" t="inlineStr">
        <is>
          <t>CAMUSAT</t>
        </is>
      </c>
      <c r="E1778" t="inlineStr">
        <is>
          <t>Good Grid + GE</t>
        </is>
      </c>
      <c r="F1778" t="inlineStr">
        <is>
          <t>LITTORAL</t>
        </is>
      </c>
      <c r="G1778" t="inlineStr">
        <is>
          <t>Douala</t>
        </is>
      </c>
      <c r="H1778" t="inlineStr">
        <is>
          <t>ZTE</t>
        </is>
      </c>
      <c r="I1778" t="n">
        <v>0</v>
      </c>
      <c r="J1778" t="n">
        <v>0</v>
      </c>
      <c r="K1778" t="n">
        <v>0</v>
      </c>
      <c r="L1778" t="n">
        <v>0</v>
      </c>
      <c r="M1778" t="n">
        <v>0</v>
      </c>
      <c r="N1778" t="n">
        <v>0</v>
      </c>
      <c r="O1778" t="n">
        <v>0</v>
      </c>
      <c r="P1778" t="n">
        <v>0</v>
      </c>
      <c r="Q1778" t="n">
        <v>0</v>
      </c>
      <c r="R1778" t="inlineStr">
        <is>
          <t>Operationnel</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row>
    <row r="1779">
      <c r="A1779" t="inlineStr">
        <is>
          <t>Bomono-Gare-IHS</t>
        </is>
      </c>
      <c r="B1779" t="inlineStr">
        <is>
          <t>LIT_498</t>
        </is>
      </c>
      <c r="C1779" t="inlineStr">
        <is>
          <t>LITTORAL</t>
        </is>
      </c>
      <c r="D1779" t="inlineStr">
        <is>
          <t>IHS</t>
        </is>
      </c>
      <c r="E1779" t="inlineStr">
        <is>
          <t>Grid-Gen</t>
        </is>
      </c>
      <c r="F1779" t="inlineStr">
        <is>
          <t>LITTORAL</t>
        </is>
      </c>
      <c r="G1779" t="inlineStr">
        <is>
          <t>Bomono</t>
        </is>
      </c>
      <c r="H1779" t="inlineStr">
        <is>
          <t>ZTE</t>
        </is>
      </c>
      <c r="I1779" t="n">
        <v>0</v>
      </c>
      <c r="J1779" t="n">
        <v>0</v>
      </c>
      <c r="K1779" t="n">
        <v>0</v>
      </c>
      <c r="L1779" t="n">
        <v>0</v>
      </c>
      <c r="M1779" t="n">
        <v>0</v>
      </c>
      <c r="N1779" t="n">
        <v>0</v>
      </c>
      <c r="O1779" t="n">
        <v>0</v>
      </c>
      <c r="P1779" t="n">
        <v>0</v>
      </c>
      <c r="Q1779" t="n">
        <v>0</v>
      </c>
      <c r="R1779" t="inlineStr">
        <is>
          <t>Operationnel</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row>
    <row r="1780">
      <c r="A1780" t="inlineStr">
        <is>
          <t>Famkeu-IHS</t>
        </is>
      </c>
      <c r="B1780" t="inlineStr">
        <is>
          <t>OST_308</t>
        </is>
      </c>
      <c r="C1780" t="inlineStr">
        <is>
          <t>OUEST</t>
        </is>
      </c>
      <c r="D1780" t="inlineStr">
        <is>
          <t>IHS</t>
        </is>
      </c>
      <c r="E1780" t="inlineStr"/>
      <c r="F1780" t="inlineStr">
        <is>
          <t>OUEST</t>
        </is>
      </c>
      <c r="G1780" t="inlineStr">
        <is>
          <t>Bafang</t>
        </is>
      </c>
      <c r="H1780" t="inlineStr">
        <is>
          <t>HUAWEI</t>
        </is>
      </c>
      <c r="I1780" t="n">
        <v>0</v>
      </c>
      <c r="J1780" t="n">
        <v>0</v>
      </c>
      <c r="K1780" t="n">
        <v>0</v>
      </c>
      <c r="L1780" t="n">
        <v>0</v>
      </c>
      <c r="M1780" t="n">
        <v>0</v>
      </c>
      <c r="N1780" t="n">
        <v>0</v>
      </c>
      <c r="O1780" t="n">
        <v>0</v>
      </c>
      <c r="P1780" t="n">
        <v>0</v>
      </c>
      <c r="Q1780" t="n">
        <v>0</v>
      </c>
      <c r="R1780" t="inlineStr">
        <is>
          <t>Operationnel</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row>
    <row r="1781">
      <c r="A1781" t="inlineStr">
        <is>
          <t>NR-Omnisport</t>
        </is>
      </c>
      <c r="B1781" t="inlineStr">
        <is>
          <t>CTR_132</t>
        </is>
      </c>
      <c r="C1781" t="inlineStr">
        <is>
          <t>Yaounde</t>
        </is>
      </c>
      <c r="D1781" t="inlineStr">
        <is>
          <t>IHS</t>
        </is>
      </c>
      <c r="E1781" t="inlineStr">
        <is>
          <t>Grid-Gen</t>
        </is>
      </c>
      <c r="F1781" t="inlineStr">
        <is>
          <t>CENTRE</t>
        </is>
      </c>
      <c r="G1781" t="inlineStr">
        <is>
          <t>Yaounde</t>
        </is>
      </c>
      <c r="H1781" t="inlineStr">
        <is>
          <t>ZTE</t>
        </is>
      </c>
      <c r="I1781" t="n">
        <v>0</v>
      </c>
      <c r="J1781" t="n">
        <v>0</v>
      </c>
      <c r="K1781" t="n">
        <v>0</v>
      </c>
      <c r="L1781" t="n">
        <v>0</v>
      </c>
      <c r="M1781" t="n">
        <v>0</v>
      </c>
      <c r="N1781" t="n">
        <v>0</v>
      </c>
      <c r="O1781" t="n">
        <v>0</v>
      </c>
      <c r="P1781" t="n">
        <v>0</v>
      </c>
      <c r="Q1781" t="n">
        <v>0</v>
      </c>
      <c r="R1781" t="inlineStr">
        <is>
          <t>Operationnel</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row>
    <row r="1782">
      <c r="A1782" t="inlineStr">
        <is>
          <t>Ouro-Dara</t>
        </is>
      </c>
      <c r="B1782" t="inlineStr">
        <is>
          <t>ADM_148</t>
        </is>
      </c>
      <c r="C1782" t="inlineStr">
        <is>
          <t>NGAOUNDERE</t>
        </is>
      </c>
      <c r="D1782" t="inlineStr">
        <is>
          <t>CAMUSAT</t>
        </is>
      </c>
      <c r="E1782" t="inlineStr">
        <is>
          <t>Hybrid Solar - S3</t>
        </is>
      </c>
      <c r="F1782" t="inlineStr">
        <is>
          <t>ADAMAOUA</t>
        </is>
      </c>
      <c r="G1782" t="inlineStr">
        <is>
          <t>Oura-Dara</t>
        </is>
      </c>
      <c r="H1782" t="inlineStr">
        <is>
          <t>NOKIA</t>
        </is>
      </c>
      <c r="I1782" t="n">
        <v>0</v>
      </c>
      <c r="J1782" t="n">
        <v>0</v>
      </c>
      <c r="K1782" t="n">
        <v>0</v>
      </c>
      <c r="L1782" t="n">
        <v>0</v>
      </c>
      <c r="M1782" t="n">
        <v>0</v>
      </c>
      <c r="N1782" t="n">
        <v>0</v>
      </c>
      <c r="O1782" t="n">
        <v>0</v>
      </c>
      <c r="P1782" t="n">
        <v>0</v>
      </c>
      <c r="Q1782" t="n">
        <v>0</v>
      </c>
      <c r="R1782" t="inlineStr">
        <is>
          <t>Operationnel</t>
        </is>
      </c>
      <c r="S1782" t="inlineStr"/>
      <c r="T1782" t="inlineStr"/>
      <c r="U1782" t="inlineStr"/>
      <c r="V1782" t="inlineStr"/>
      <c r="W1782" t="inlineStr"/>
      <c r="X1782" t="inlineStr">
        <is>
          <t xml:space="preserve">{05-25-2026 ocm ran 22H}: 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    {05-25-2026 ocm ran 17H}: 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t>
        </is>
      </c>
      <c r="Y1782" t="inlineStr">
        <is>
          <t>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t>
        </is>
      </c>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 xml:space="preserve">{05-25-2026 ocm ran 22H}: 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t>
        </is>
      </c>
      <c r="AP1782" t="inlineStr">
        <is>
          <t xml:space="preserve">{05-25-2026 ocm ran 17H}: 22.05.26: LNB VSAT faulty. Spare pas disponible à Ngaoundéré, recherche en cours dans les autres WH, EXPEDITION DE YDE ver NGaoundere ETD=25/05/2026
21.05.26: FME sur site, travaux en cours avec le BO TX |Modem et BUC testés OK sur Home et FME en route pour Ouru Dara pour suite des investigations
21.05.26: L'intervention n'a pa pu avoir lieu ce 20.05.26 car réseau MTN également down dans la zone. FME sera sur le site ce 21.05.26 car intempéries dans la zone, ETA 14H
20.05.26: L'intervention n'a pa pu avoir lieu ce 20.05.26 car réseau MTN également down dans la zone. FME sera sur le site ce 21.05.26 car intempéries dans la zone
19.05.26: FME sur site et travaux en cours, update ASAP | FME parti tester le BUC sur Home, update ASAP
18/05/2026 BUC transféré de Ngaoundéré vers Touboro, ETD 11H, ETA 15H - FME sur site et travaux en cours
16.05.26: BUC en défaut, pièce de rechange envoyée depuis Garoua pour Ngaoundéré, nouvel ETD 16/05/26 soir
15/05/2026 BUC en défaut, pièce de rechange envoyée depuis Garoua pour Ngaoundéré, nouvel ETD 15/05/2026
13/05/2026 BUC en défaut, pièce de rechange envoyée depuis Garoua pour Ngaoundéré, ETD 14/05/2026
12.05.2026: Apres travaux BUC en defaut. Spare Disponible a Garoua sera expediee a Ngaoundere ETD=13.05.2026 et ensuite a TOUBORO ETD=14.05.2026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t>
        </is>
      </c>
      <c r="AQ1782" t="inlineStr"/>
      <c r="AR1782" t="inlineStr"/>
    </row>
    <row r="1783">
      <c r="A1783" t="inlineStr">
        <is>
          <t>Soukounga-MTN</t>
        </is>
      </c>
      <c r="B1783" t="inlineStr">
        <is>
          <t>ADM_030</t>
        </is>
      </c>
      <c r="C1783" t="inlineStr">
        <is>
          <t>ADAMAOUA</t>
        </is>
      </c>
      <c r="D1783" t="inlineStr">
        <is>
          <t>IHS</t>
        </is>
      </c>
      <c r="E1783" t="inlineStr">
        <is>
          <t>Grid-Gen</t>
        </is>
      </c>
      <c r="F1783" t="inlineStr">
        <is>
          <t>ADAMAOUA</t>
        </is>
      </c>
      <c r="G1783" t="inlineStr">
        <is>
          <t>Soukounga</t>
        </is>
      </c>
      <c r="H1783" t="inlineStr">
        <is>
          <t>NOKIA</t>
        </is>
      </c>
      <c r="I1783" t="n">
        <v>0</v>
      </c>
      <c r="J1783" t="n">
        <v>0</v>
      </c>
      <c r="K1783" t="n">
        <v>0</v>
      </c>
      <c r="L1783" t="n">
        <v>0</v>
      </c>
      <c r="M1783" t="n">
        <v>0</v>
      </c>
      <c r="N1783" t="n">
        <v>0</v>
      </c>
      <c r="O1783" t="n">
        <v>0</v>
      </c>
      <c r="P1783" t="n">
        <v>0</v>
      </c>
      <c r="Q1783" t="n">
        <v>0</v>
      </c>
      <c r="R1783" t="inlineStr">
        <is>
          <t>Operationnel</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row>
    <row r="1784">
      <c r="A1784" t="inlineStr">
        <is>
          <t>Mimboman-Village</t>
        </is>
      </c>
      <c r="B1784" t="inlineStr">
        <is>
          <t>CTR_245</t>
        </is>
      </c>
      <c r="C1784" t="inlineStr">
        <is>
          <t>Yaounde</t>
        </is>
      </c>
      <c r="D1784" t="inlineStr">
        <is>
          <t>IHS</t>
        </is>
      </c>
      <c r="E1784" t="inlineStr">
        <is>
          <t>Grid-Gen</t>
        </is>
      </c>
      <c r="F1784" t="inlineStr">
        <is>
          <t>CENTRE</t>
        </is>
      </c>
      <c r="G1784" t="inlineStr">
        <is>
          <t>Yaounde</t>
        </is>
      </c>
      <c r="H1784" t="inlineStr">
        <is>
          <t>ZTE</t>
        </is>
      </c>
      <c r="I1784" t="n">
        <v>0</v>
      </c>
      <c r="J1784" t="n">
        <v>0</v>
      </c>
      <c r="K1784" t="n">
        <v>0</v>
      </c>
      <c r="L1784" t="n">
        <v>0</v>
      </c>
      <c r="M1784" t="n">
        <v>0</v>
      </c>
      <c r="N1784" t="n">
        <v>0</v>
      </c>
      <c r="O1784" t="n">
        <v>0</v>
      </c>
      <c r="P1784" t="n">
        <v>0</v>
      </c>
      <c r="Q1784" t="n">
        <v>0</v>
      </c>
      <c r="R1784" t="inlineStr">
        <is>
          <t>Operationnel</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row>
    <row r="1785">
      <c r="A1785" t="inlineStr">
        <is>
          <t>Batchenga-MTN-IHS</t>
        </is>
      </c>
      <c r="B1785" t="inlineStr">
        <is>
          <t>CTR_180</t>
        </is>
      </c>
      <c r="C1785" t="inlineStr">
        <is>
          <t>CENTRE</t>
        </is>
      </c>
      <c r="D1785" t="inlineStr">
        <is>
          <t>IHS</t>
        </is>
      </c>
      <c r="E1785" t="inlineStr">
        <is>
          <t>Grid-Gen-Lithium</t>
        </is>
      </c>
      <c r="F1785" t="inlineStr">
        <is>
          <t>CENTRE</t>
        </is>
      </c>
      <c r="G1785" t="inlineStr">
        <is>
          <t>Batchenga</t>
        </is>
      </c>
      <c r="H1785" t="inlineStr">
        <is>
          <t>NOKIA</t>
        </is>
      </c>
      <c r="I1785" t="n">
        <v>0</v>
      </c>
      <c r="J1785" t="n">
        <v>0</v>
      </c>
      <c r="K1785" t="n">
        <v>0</v>
      </c>
      <c r="L1785" t="n">
        <v>0</v>
      </c>
      <c r="M1785" t="n">
        <v>0</v>
      </c>
      <c r="N1785" t="n">
        <v>0</v>
      </c>
      <c r="O1785" t="n">
        <v>0</v>
      </c>
      <c r="P1785" t="n">
        <v>0</v>
      </c>
      <c r="Q1785" t="n">
        <v>0</v>
      </c>
      <c r="R1785" t="inlineStr">
        <is>
          <t>Operationnel</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row>
    <row r="1786">
      <c r="A1786" t="inlineStr">
        <is>
          <t>Tsomo-Assi</t>
        </is>
      </c>
      <c r="B1786" t="inlineStr">
        <is>
          <t>CTR_563</t>
        </is>
      </c>
      <c r="C1786" t="inlineStr">
        <is>
          <t>Yaounde</t>
        </is>
      </c>
      <c r="D1786" t="inlineStr">
        <is>
          <t>CAMUSAT</t>
        </is>
      </c>
      <c r="E1786" t="inlineStr">
        <is>
          <t>Good Grid no GE - 8h</t>
        </is>
      </c>
      <c r="F1786" t="inlineStr">
        <is>
          <t>CENTRE</t>
        </is>
      </c>
      <c r="G1786" t="inlineStr">
        <is>
          <t>Yaounde</t>
        </is>
      </c>
      <c r="H1786" t="inlineStr">
        <is>
          <t>ZTE</t>
        </is>
      </c>
      <c r="I1786" t="n">
        <v>0</v>
      </c>
      <c r="J1786" t="n">
        <v>0</v>
      </c>
      <c r="K1786" t="n">
        <v>0</v>
      </c>
      <c r="L1786" t="n">
        <v>0</v>
      </c>
      <c r="M1786" t="n">
        <v>0</v>
      </c>
      <c r="N1786" t="n">
        <v>0</v>
      </c>
      <c r="O1786" t="n">
        <v>0</v>
      </c>
      <c r="P1786" t="n">
        <v>0</v>
      </c>
      <c r="Q1786" t="n">
        <v>0</v>
      </c>
      <c r="R1786" t="inlineStr">
        <is>
          <t>Operationnel</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row>
    <row r="1787">
      <c r="A1787" t="inlineStr">
        <is>
          <t>Mfandena</t>
        </is>
      </c>
      <c r="B1787" t="inlineStr">
        <is>
          <t>CTR_570</t>
        </is>
      </c>
      <c r="C1787" t="inlineStr">
        <is>
          <t>Yaounde</t>
        </is>
      </c>
      <c r="D1787" t="inlineStr"/>
      <c r="E1787" t="inlineStr"/>
      <c r="F1787" t="inlineStr">
        <is>
          <t>CENTRE</t>
        </is>
      </c>
      <c r="G1787" t="inlineStr">
        <is>
          <t>Yaounde</t>
        </is>
      </c>
      <c r="H1787" t="inlineStr">
        <is>
          <t>ZTE</t>
        </is>
      </c>
      <c r="I1787" t="n">
        <v>0</v>
      </c>
      <c r="J1787" t="n">
        <v>0</v>
      </c>
      <c r="K1787" t="n">
        <v>0</v>
      </c>
      <c r="L1787" t="n">
        <v>0</v>
      </c>
      <c r="M1787" t="n">
        <v>0</v>
      </c>
      <c r="N1787" t="n">
        <v>0</v>
      </c>
      <c r="O1787" t="n">
        <v>0</v>
      </c>
      <c r="P1787" t="n">
        <v>0</v>
      </c>
      <c r="Q1787" t="n">
        <v>0</v>
      </c>
      <c r="R1787" t="inlineStr">
        <is>
          <t>Operationnel</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row>
    <row r="1788">
      <c r="A1788" t="inlineStr">
        <is>
          <t>Chapelle-Nsimeyong</t>
        </is>
      </c>
      <c r="B1788" t="inlineStr">
        <is>
          <t>CTR_238</t>
        </is>
      </c>
      <c r="C1788" t="inlineStr">
        <is>
          <t>Yaounde</t>
        </is>
      </c>
      <c r="D1788" t="inlineStr">
        <is>
          <t>IHS</t>
        </is>
      </c>
      <c r="E1788" t="inlineStr">
        <is>
          <t>Grid-Gen</t>
        </is>
      </c>
      <c r="F1788" t="inlineStr">
        <is>
          <t>CENTRE</t>
        </is>
      </c>
      <c r="G1788" t="inlineStr">
        <is>
          <t>Yaounde</t>
        </is>
      </c>
      <c r="H1788" t="inlineStr">
        <is>
          <t>ZTE</t>
        </is>
      </c>
      <c r="I1788" t="n">
        <v>0</v>
      </c>
      <c r="J1788" t="n">
        <v>0</v>
      </c>
      <c r="K1788" t="n">
        <v>0</v>
      </c>
      <c r="L1788" t="n">
        <v>0</v>
      </c>
      <c r="M1788" t="n">
        <v>0</v>
      </c>
      <c r="N1788" t="n">
        <v>0</v>
      </c>
      <c r="O1788" t="n">
        <v>0</v>
      </c>
      <c r="P1788" t="n">
        <v>0</v>
      </c>
      <c r="Q1788" t="n">
        <v>0</v>
      </c>
      <c r="R1788" t="inlineStr">
        <is>
          <t>Operationnel</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row>
    <row r="1789">
      <c r="A1789" t="inlineStr">
        <is>
          <t>Fouda-New</t>
        </is>
      </c>
      <c r="B1789" t="inlineStr">
        <is>
          <t>CTR_327</t>
        </is>
      </c>
      <c r="C1789" t="inlineStr">
        <is>
          <t>Yaounde</t>
        </is>
      </c>
      <c r="D1789" t="inlineStr">
        <is>
          <t>IHS</t>
        </is>
      </c>
      <c r="E1789" t="inlineStr">
        <is>
          <t>Grid-Gen</t>
        </is>
      </c>
      <c r="F1789" t="inlineStr">
        <is>
          <t>CENTRE</t>
        </is>
      </c>
      <c r="G1789" t="inlineStr">
        <is>
          <t>Yaounde</t>
        </is>
      </c>
      <c r="H1789" t="inlineStr">
        <is>
          <t>ZTE</t>
        </is>
      </c>
      <c r="I1789" t="n">
        <v>0</v>
      </c>
      <c r="J1789" t="n">
        <v>0</v>
      </c>
      <c r="K1789" t="n">
        <v>0</v>
      </c>
      <c r="L1789" t="n">
        <v>0</v>
      </c>
      <c r="M1789" t="n">
        <v>0</v>
      </c>
      <c r="N1789" t="n">
        <v>0</v>
      </c>
      <c r="O1789" t="n">
        <v>0</v>
      </c>
      <c r="P1789" t="n">
        <v>0</v>
      </c>
      <c r="Q1789" t="n">
        <v>0</v>
      </c>
      <c r="R1789" t="inlineStr">
        <is>
          <t>Operationnel</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row>
    <row r="1790">
      <c r="A1790" t="inlineStr">
        <is>
          <t>Damas-II</t>
        </is>
      </c>
      <c r="B1790" t="inlineStr">
        <is>
          <t>CTR_472</t>
        </is>
      </c>
      <c r="C1790" t="inlineStr">
        <is>
          <t>Yaounde</t>
        </is>
      </c>
      <c r="D1790" t="inlineStr">
        <is>
          <t>IHS</t>
        </is>
      </c>
      <c r="E1790" t="inlineStr">
        <is>
          <t>Grid-Gen</t>
        </is>
      </c>
      <c r="F1790" t="inlineStr">
        <is>
          <t>CENTRE</t>
        </is>
      </c>
      <c r="G1790" t="inlineStr">
        <is>
          <t>Yaounde</t>
        </is>
      </c>
      <c r="H1790" t="inlineStr">
        <is>
          <t>ZTE</t>
        </is>
      </c>
      <c r="I1790" t="n">
        <v>0</v>
      </c>
      <c r="J1790" t="n">
        <v>0</v>
      </c>
      <c r="K1790" t="n">
        <v>0</v>
      </c>
      <c r="L1790" t="n">
        <v>0</v>
      </c>
      <c r="M1790" t="n">
        <v>0</v>
      </c>
      <c r="N1790" t="n">
        <v>0</v>
      </c>
      <c r="O1790" t="n">
        <v>0</v>
      </c>
      <c r="P1790" t="n">
        <v>0</v>
      </c>
      <c r="Q1790" t="n">
        <v>0</v>
      </c>
      <c r="R1790" t="inlineStr">
        <is>
          <t>Operationnel</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row>
    <row r="1791">
      <c r="A1791" t="inlineStr">
        <is>
          <t>Ntaba</t>
        </is>
      </c>
      <c r="B1791" t="inlineStr">
        <is>
          <t>CTR_380</t>
        </is>
      </c>
      <c r="C1791" t="inlineStr">
        <is>
          <t>Yaounde</t>
        </is>
      </c>
      <c r="D1791" t="inlineStr">
        <is>
          <t>IHS</t>
        </is>
      </c>
      <c r="E1791" t="inlineStr">
        <is>
          <t>Grid-Gen</t>
        </is>
      </c>
      <c r="F1791" t="inlineStr">
        <is>
          <t>CENTRE</t>
        </is>
      </c>
      <c r="G1791" t="inlineStr">
        <is>
          <t>Yaounde</t>
        </is>
      </c>
      <c r="H1791" t="inlineStr">
        <is>
          <t>ZTE</t>
        </is>
      </c>
      <c r="I1791" t="n">
        <v>0</v>
      </c>
      <c r="J1791" t="n">
        <v>0</v>
      </c>
      <c r="K1791" t="n">
        <v>0</v>
      </c>
      <c r="L1791" t="n">
        <v>0</v>
      </c>
      <c r="M1791" t="n">
        <v>0</v>
      </c>
      <c r="N1791" t="n">
        <v>0</v>
      </c>
      <c r="O1791" t="n">
        <v>0</v>
      </c>
      <c r="P1791" t="n">
        <v>0</v>
      </c>
      <c r="Q1791" t="n">
        <v>0</v>
      </c>
      <c r="R1791" t="inlineStr">
        <is>
          <t>Operationnel</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row>
    <row r="1792">
      <c r="A1792" t="inlineStr">
        <is>
          <t>Tamtam-Weekend-IHS</t>
        </is>
      </c>
      <c r="B1792" t="inlineStr">
        <is>
          <t>CTR_121</t>
        </is>
      </c>
      <c r="C1792" t="inlineStr">
        <is>
          <t>Yaounde</t>
        </is>
      </c>
      <c r="D1792" t="inlineStr">
        <is>
          <t>IHS</t>
        </is>
      </c>
      <c r="E1792" t="inlineStr">
        <is>
          <t>Grid-Gen</t>
        </is>
      </c>
      <c r="F1792" t="inlineStr">
        <is>
          <t>CENTRE</t>
        </is>
      </c>
      <c r="G1792" t="inlineStr">
        <is>
          <t>Yaounde</t>
        </is>
      </c>
      <c r="H1792" t="inlineStr">
        <is>
          <t>ZTE</t>
        </is>
      </c>
      <c r="I1792" t="n">
        <v>0</v>
      </c>
      <c r="J1792" t="n">
        <v>0</v>
      </c>
      <c r="K1792" t="n">
        <v>0</v>
      </c>
      <c r="L1792" t="n">
        <v>0</v>
      </c>
      <c r="M1792" t="n">
        <v>0</v>
      </c>
      <c r="N1792" t="n">
        <v>0</v>
      </c>
      <c r="O1792" t="n">
        <v>0</v>
      </c>
      <c r="P1792" t="n">
        <v>0</v>
      </c>
      <c r="Q1792" t="n">
        <v>0</v>
      </c>
      <c r="R1792" t="inlineStr">
        <is>
          <t>Operationnel</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row>
    <row r="1793">
      <c r="A1793" t="inlineStr">
        <is>
          <t>Oyomabang</t>
        </is>
      </c>
      <c r="B1793" t="inlineStr">
        <is>
          <t>CTR_340</t>
        </is>
      </c>
      <c r="C1793" t="inlineStr">
        <is>
          <t>Yaounde</t>
        </is>
      </c>
      <c r="D1793" t="inlineStr">
        <is>
          <t>IHS</t>
        </is>
      </c>
      <c r="E1793" t="inlineStr">
        <is>
          <t>Grid-Gen</t>
        </is>
      </c>
      <c r="F1793" t="inlineStr">
        <is>
          <t>CENTRE</t>
        </is>
      </c>
      <c r="G1793" t="inlineStr">
        <is>
          <t>Yaounde</t>
        </is>
      </c>
      <c r="H1793" t="inlineStr">
        <is>
          <t>ZTE</t>
        </is>
      </c>
      <c r="I1793" t="n">
        <v>0</v>
      </c>
      <c r="J1793" t="n">
        <v>0</v>
      </c>
      <c r="K1793" t="n">
        <v>0</v>
      </c>
      <c r="L1793" t="n">
        <v>0</v>
      </c>
      <c r="M1793" t="n">
        <v>0</v>
      </c>
      <c r="N1793" t="n">
        <v>0</v>
      </c>
      <c r="O1793" t="n">
        <v>0</v>
      </c>
      <c r="P1793" t="n">
        <v>0</v>
      </c>
      <c r="Q1793" t="n">
        <v>0</v>
      </c>
      <c r="R1793" t="inlineStr">
        <is>
          <t>Operationnel</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row>
    <row r="1794">
      <c r="A1794" t="inlineStr">
        <is>
          <t>Febe-Village-IHS</t>
        </is>
      </c>
      <c r="B1794" t="inlineStr">
        <is>
          <t>CTR_692</t>
        </is>
      </c>
      <c r="C1794" t="inlineStr">
        <is>
          <t>Yaounde</t>
        </is>
      </c>
      <c r="D1794" t="inlineStr">
        <is>
          <t>IHS</t>
        </is>
      </c>
      <c r="E1794" t="inlineStr">
        <is>
          <t>Grid-Gen</t>
        </is>
      </c>
      <c r="F1794" t="inlineStr">
        <is>
          <t>CENTRE</t>
        </is>
      </c>
      <c r="G1794" t="inlineStr">
        <is>
          <t>Yaounde</t>
        </is>
      </c>
      <c r="H1794" t="inlineStr">
        <is>
          <t>ZTE</t>
        </is>
      </c>
      <c r="I1794" t="n">
        <v>0</v>
      </c>
      <c r="J1794" t="n">
        <v>0</v>
      </c>
      <c r="K1794" t="n">
        <v>0</v>
      </c>
      <c r="L1794" t="n">
        <v>0</v>
      </c>
      <c r="M1794" t="n">
        <v>0</v>
      </c>
      <c r="N1794" t="n">
        <v>0</v>
      </c>
      <c r="O1794" t="n">
        <v>0</v>
      </c>
      <c r="P1794" t="n">
        <v>0</v>
      </c>
      <c r="Q1794" t="n">
        <v>0</v>
      </c>
      <c r="R1794" t="inlineStr">
        <is>
          <t>Operationnel</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row>
    <row r="1795">
      <c r="A1795" t="inlineStr">
        <is>
          <t>GP-Etoudi</t>
        </is>
      </c>
      <c r="B1795" t="inlineStr">
        <is>
          <t>CTR_735</t>
        </is>
      </c>
      <c r="C1795" t="inlineStr">
        <is>
          <t>Yaounde</t>
        </is>
      </c>
      <c r="D1795" t="inlineStr">
        <is>
          <t>CAMUSAT</t>
        </is>
      </c>
      <c r="E1795" t="inlineStr">
        <is>
          <t>Good Grid no GE - 12h</t>
        </is>
      </c>
      <c r="F1795" t="inlineStr">
        <is>
          <t>CENTRE</t>
        </is>
      </c>
      <c r="G1795" t="inlineStr">
        <is>
          <t>Yaounde</t>
        </is>
      </c>
      <c r="H1795" t="inlineStr">
        <is>
          <t>ZTE</t>
        </is>
      </c>
      <c r="I1795" t="n">
        <v>0</v>
      </c>
      <c r="J1795" t="n">
        <v>0</v>
      </c>
      <c r="K1795" t="n">
        <v>0</v>
      </c>
      <c r="L1795" t="n">
        <v>0</v>
      </c>
      <c r="M1795" t="n">
        <v>0</v>
      </c>
      <c r="N1795" t="n">
        <v>0</v>
      </c>
      <c r="O1795" t="n">
        <v>0</v>
      </c>
      <c r="P1795" t="n">
        <v>0</v>
      </c>
      <c r="Q1795" t="n">
        <v>0</v>
      </c>
      <c r="R1795" t="inlineStr">
        <is>
          <t>Operationnel</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row>
    <row r="1796">
      <c r="A1796" t="inlineStr">
        <is>
          <t>Nsimeyong-Chefferie</t>
        </is>
      </c>
      <c r="B1796" t="inlineStr">
        <is>
          <t>CTR_660</t>
        </is>
      </c>
      <c r="C1796" t="inlineStr">
        <is>
          <t>Yaounde</t>
        </is>
      </c>
      <c r="D1796" t="inlineStr">
        <is>
          <t>CAMUSAT</t>
        </is>
      </c>
      <c r="E1796" t="inlineStr">
        <is>
          <t>Good Grid no GE - 12h</t>
        </is>
      </c>
      <c r="F1796" t="inlineStr">
        <is>
          <t>CENTRE</t>
        </is>
      </c>
      <c r="G1796" t="inlineStr">
        <is>
          <t>Yaounde</t>
        </is>
      </c>
      <c r="H1796" t="inlineStr">
        <is>
          <t>ZTE</t>
        </is>
      </c>
      <c r="I1796" t="n">
        <v>0</v>
      </c>
      <c r="J1796" t="n">
        <v>0</v>
      </c>
      <c r="K1796" t="n">
        <v>0</v>
      </c>
      <c r="L1796" t="n">
        <v>0</v>
      </c>
      <c r="M1796" t="n">
        <v>0</v>
      </c>
      <c r="N1796" t="n">
        <v>0</v>
      </c>
      <c r="O1796" t="n">
        <v>0</v>
      </c>
      <c r="P1796" t="n">
        <v>0</v>
      </c>
      <c r="Q1796" t="n">
        <v>0</v>
      </c>
      <c r="R1796" t="inlineStr">
        <is>
          <t>Operationnel</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row>
    <row r="1797">
      <c r="A1797" t="inlineStr">
        <is>
          <t>Bonabappe</t>
        </is>
      </c>
      <c r="B1797" t="inlineStr">
        <is>
          <t>LIT_290</t>
        </is>
      </c>
      <c r="C1797" t="inlineStr">
        <is>
          <t>Douala</t>
        </is>
      </c>
      <c r="D1797" t="inlineStr">
        <is>
          <t>IHS</t>
        </is>
      </c>
      <c r="E1797" t="inlineStr">
        <is>
          <t>Grid-Gen</t>
        </is>
      </c>
      <c r="F1797" t="inlineStr">
        <is>
          <t>LITTORAL</t>
        </is>
      </c>
      <c r="G1797" t="inlineStr">
        <is>
          <t>Douala</t>
        </is>
      </c>
      <c r="H1797" t="inlineStr">
        <is>
          <t>ZTE</t>
        </is>
      </c>
      <c r="I1797" t="n">
        <v>0</v>
      </c>
      <c r="J1797" t="n">
        <v>0</v>
      </c>
      <c r="K1797" t="n">
        <v>0</v>
      </c>
      <c r="L1797" t="n">
        <v>0</v>
      </c>
      <c r="M1797" t="n">
        <v>0</v>
      </c>
      <c r="N1797" t="n">
        <v>0</v>
      </c>
      <c r="O1797" t="n">
        <v>0</v>
      </c>
      <c r="P1797" t="n">
        <v>0</v>
      </c>
      <c r="Q1797" t="n">
        <v>0</v>
      </c>
      <c r="R1797" t="inlineStr">
        <is>
          <t>Operationnel</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row>
    <row r="1798">
      <c r="A1798" t="inlineStr">
        <is>
          <t>Mabanda2-IHS</t>
        </is>
      </c>
      <c r="B1798" t="inlineStr">
        <is>
          <t>LIT_577</t>
        </is>
      </c>
      <c r="C1798" t="inlineStr">
        <is>
          <t>Douala</t>
        </is>
      </c>
      <c r="D1798" t="inlineStr">
        <is>
          <t>IHS</t>
        </is>
      </c>
      <c r="E1798" t="inlineStr">
        <is>
          <t>Grid-Gen</t>
        </is>
      </c>
      <c r="F1798" t="inlineStr">
        <is>
          <t>LITTORAL</t>
        </is>
      </c>
      <c r="G1798" t="inlineStr">
        <is>
          <t>Douala</t>
        </is>
      </c>
      <c r="H1798" t="inlineStr">
        <is>
          <t>ZTE</t>
        </is>
      </c>
      <c r="I1798" t="n">
        <v>0</v>
      </c>
      <c r="J1798" t="n">
        <v>0</v>
      </c>
      <c r="K1798" t="n">
        <v>0</v>
      </c>
      <c r="L1798" t="n">
        <v>0</v>
      </c>
      <c r="M1798" t="n">
        <v>0</v>
      </c>
      <c r="N1798" t="n">
        <v>0</v>
      </c>
      <c r="O1798" t="n">
        <v>0</v>
      </c>
      <c r="P1798" t="n">
        <v>0</v>
      </c>
      <c r="Q1798" t="n">
        <v>0</v>
      </c>
      <c r="R1798" t="inlineStr">
        <is>
          <t>Operationnel</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row>
    <row r="1799">
      <c r="A1799" t="inlineStr">
        <is>
          <t>Bberi-Centre</t>
        </is>
      </c>
      <c r="B1799" t="inlineStr">
        <is>
          <t>LIT_243</t>
        </is>
      </c>
      <c r="C1799" t="inlineStr">
        <is>
          <t>Douala</t>
        </is>
      </c>
      <c r="D1799" t="inlineStr">
        <is>
          <t>IHS</t>
        </is>
      </c>
      <c r="E1799" t="inlineStr">
        <is>
          <t>Grid-Gen</t>
        </is>
      </c>
      <c r="F1799" t="inlineStr">
        <is>
          <t>LITTORAL</t>
        </is>
      </c>
      <c r="G1799" t="inlineStr">
        <is>
          <t>Douala</t>
        </is>
      </c>
      <c r="H1799" t="inlineStr">
        <is>
          <t>ZTE</t>
        </is>
      </c>
      <c r="I1799" t="n">
        <v>0</v>
      </c>
      <c r="J1799" t="n">
        <v>0</v>
      </c>
      <c r="K1799" t="n">
        <v>0</v>
      </c>
      <c r="L1799" t="n">
        <v>0</v>
      </c>
      <c r="M1799" t="n">
        <v>0</v>
      </c>
      <c r="N1799" t="n">
        <v>0</v>
      </c>
      <c r="O1799" t="n">
        <v>0</v>
      </c>
      <c r="P1799" t="n">
        <v>0</v>
      </c>
      <c r="Q1799" t="n">
        <v>0</v>
      </c>
      <c r="R1799" t="inlineStr">
        <is>
          <t>Operationnel</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row>
    <row r="1800">
      <c r="A1800" t="inlineStr">
        <is>
          <t>Nkomba-II-IHS</t>
        </is>
      </c>
      <c r="B1800" t="inlineStr">
        <is>
          <t>LIT_155</t>
        </is>
      </c>
      <c r="C1800" t="inlineStr">
        <is>
          <t>Douala</t>
        </is>
      </c>
      <c r="D1800" t="inlineStr">
        <is>
          <t>IHS</t>
        </is>
      </c>
      <c r="E1800" t="inlineStr">
        <is>
          <t>Grid-Gen</t>
        </is>
      </c>
      <c r="F1800" t="inlineStr">
        <is>
          <t>LITTORAL</t>
        </is>
      </c>
      <c r="G1800" t="inlineStr">
        <is>
          <t>Douala</t>
        </is>
      </c>
      <c r="H1800" t="inlineStr">
        <is>
          <t>ZTE</t>
        </is>
      </c>
      <c r="I1800" t="n">
        <v>0</v>
      </c>
      <c r="J1800" t="n">
        <v>0</v>
      </c>
      <c r="K1800" t="n">
        <v>0</v>
      </c>
      <c r="L1800" t="n">
        <v>0</v>
      </c>
      <c r="M1800" t="n">
        <v>0</v>
      </c>
      <c r="N1800" t="n">
        <v>0</v>
      </c>
      <c r="O1800" t="n">
        <v>0</v>
      </c>
      <c r="P1800" t="n">
        <v>0</v>
      </c>
      <c r="Q1800" t="n">
        <v>0</v>
      </c>
      <c r="R1800" t="inlineStr">
        <is>
          <t>Operationnel</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row>
    <row r="1801">
      <c r="A1801" t="inlineStr">
        <is>
          <t>FAYADOR-AKWA</t>
        </is>
      </c>
      <c r="B1801" t="inlineStr">
        <is>
          <t>LIT_689</t>
        </is>
      </c>
      <c r="C1801" t="inlineStr">
        <is>
          <t>Douala</t>
        </is>
      </c>
      <c r="D1801" t="inlineStr">
        <is>
          <t>CAMUSAT</t>
        </is>
      </c>
      <c r="E1801" t="inlineStr">
        <is>
          <t>Good Grid no GE - 8h</t>
        </is>
      </c>
      <c r="F1801" t="inlineStr">
        <is>
          <t>LITTORAL</t>
        </is>
      </c>
      <c r="G1801" t="inlineStr">
        <is>
          <t>Douala</t>
        </is>
      </c>
      <c r="H1801" t="inlineStr">
        <is>
          <t>ZTE</t>
        </is>
      </c>
      <c r="I1801" t="n">
        <v>0</v>
      </c>
      <c r="J1801" t="n">
        <v>0</v>
      </c>
      <c r="K1801" t="n">
        <v>0</v>
      </c>
      <c r="L1801" t="n">
        <v>0</v>
      </c>
      <c r="M1801" t="n">
        <v>0</v>
      </c>
      <c r="N1801" t="n">
        <v>0</v>
      </c>
      <c r="O1801" t="n">
        <v>0</v>
      </c>
      <c r="P1801" t="n">
        <v>0</v>
      </c>
      <c r="Q1801" t="n">
        <v>0</v>
      </c>
      <c r="R1801" t="inlineStr">
        <is>
          <t>Operationnel</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row>
    <row r="1802">
      <c r="A1802" t="inlineStr">
        <is>
          <t>Shell-NewBell-Carrefour</t>
        </is>
      </c>
      <c r="B1802" t="inlineStr">
        <is>
          <t>LIT_407</t>
        </is>
      </c>
      <c r="C1802" t="inlineStr">
        <is>
          <t>Douala</t>
        </is>
      </c>
      <c r="D1802" t="inlineStr">
        <is>
          <t>IHS</t>
        </is>
      </c>
      <c r="E1802" t="inlineStr">
        <is>
          <t>GridOnly</t>
        </is>
      </c>
      <c r="F1802" t="inlineStr">
        <is>
          <t>LITTORAL</t>
        </is>
      </c>
      <c r="G1802" t="inlineStr">
        <is>
          <t>Douala</t>
        </is>
      </c>
      <c r="H1802" t="inlineStr">
        <is>
          <t>ZTE</t>
        </is>
      </c>
      <c r="I1802" t="n">
        <v>0</v>
      </c>
      <c r="J1802" t="n">
        <v>0</v>
      </c>
      <c r="K1802" t="n">
        <v>0</v>
      </c>
      <c r="L1802" t="n">
        <v>0</v>
      </c>
      <c r="M1802" t="n">
        <v>0</v>
      </c>
      <c r="N1802" t="n">
        <v>0</v>
      </c>
      <c r="O1802" t="n">
        <v>0</v>
      </c>
      <c r="P1802" t="n">
        <v>0</v>
      </c>
      <c r="Q1802" t="n">
        <v>0</v>
      </c>
      <c r="R1802" t="inlineStr">
        <is>
          <t>Operationnel</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row>
    <row r="1803">
      <c r="A1803" t="inlineStr">
        <is>
          <t>Ndogbong-IUT</t>
        </is>
      </c>
      <c r="B1803" t="inlineStr">
        <is>
          <t>LIT_221</t>
        </is>
      </c>
      <c r="C1803" t="inlineStr">
        <is>
          <t>Douala</t>
        </is>
      </c>
      <c r="D1803" t="inlineStr">
        <is>
          <t>IHS</t>
        </is>
      </c>
      <c r="E1803" t="inlineStr">
        <is>
          <t>Grid-Gen</t>
        </is>
      </c>
      <c r="F1803" t="inlineStr">
        <is>
          <t>LITTORAL</t>
        </is>
      </c>
      <c r="G1803" t="inlineStr">
        <is>
          <t>Douala</t>
        </is>
      </c>
      <c r="H1803" t="inlineStr">
        <is>
          <t>ZTE</t>
        </is>
      </c>
      <c r="I1803" t="n">
        <v>0</v>
      </c>
      <c r="J1803" t="n">
        <v>0</v>
      </c>
      <c r="K1803" t="n">
        <v>0</v>
      </c>
      <c r="L1803" t="n">
        <v>0</v>
      </c>
      <c r="M1803" t="n">
        <v>0</v>
      </c>
      <c r="N1803" t="n">
        <v>0</v>
      </c>
      <c r="O1803" t="n">
        <v>0</v>
      </c>
      <c r="P1803" t="n">
        <v>0</v>
      </c>
      <c r="Q1803" t="n">
        <v>0</v>
      </c>
      <c r="R1803" t="inlineStr">
        <is>
          <t>Operationnel</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row>
    <row r="1804">
      <c r="A1804" t="inlineStr">
        <is>
          <t>Bamenda-hospital-roundabout-IHS</t>
        </is>
      </c>
      <c r="B1804" t="inlineStr">
        <is>
          <t>NRO_131</t>
        </is>
      </c>
      <c r="C1804" t="inlineStr">
        <is>
          <t>NORD-OUEST</t>
        </is>
      </c>
      <c r="D1804" t="inlineStr">
        <is>
          <t>IHS</t>
        </is>
      </c>
      <c r="E1804" t="inlineStr">
        <is>
          <t>Grid-Gen</t>
        </is>
      </c>
      <c r="F1804" t="inlineStr">
        <is>
          <t>NORD-OUEST</t>
        </is>
      </c>
      <c r="G1804" t="inlineStr">
        <is>
          <t>Bamenda</t>
        </is>
      </c>
      <c r="H1804" t="inlineStr">
        <is>
          <t>Huawei</t>
        </is>
      </c>
      <c r="I1804" t="n">
        <v>0</v>
      </c>
      <c r="J1804" t="n">
        <v>0</v>
      </c>
      <c r="K1804" t="n">
        <v>0</v>
      </c>
      <c r="L1804" t="n">
        <v>0</v>
      </c>
      <c r="M1804" t="n">
        <v>0</v>
      </c>
      <c r="N1804" t="n">
        <v>0</v>
      </c>
      <c r="O1804" t="n">
        <v>0</v>
      </c>
      <c r="P1804" t="n">
        <v>0</v>
      </c>
      <c r="Q1804" t="n">
        <v>0</v>
      </c>
      <c r="R1804" t="inlineStr">
        <is>
          <t>Operationnel</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row>
    <row r="1805">
      <c r="A1805" t="inlineStr">
        <is>
          <t>Bda-Agence</t>
        </is>
      </c>
      <c r="B1805" t="inlineStr">
        <is>
          <t>NRO_016</t>
        </is>
      </c>
      <c r="C1805" t="inlineStr">
        <is>
          <t>NORD-OUEST</t>
        </is>
      </c>
      <c r="D1805" t="inlineStr">
        <is>
          <t>CAMUSAT</t>
        </is>
      </c>
      <c r="E1805" t="inlineStr">
        <is>
          <t>Medium Grid + GE</t>
        </is>
      </c>
      <c r="F1805" t="inlineStr">
        <is>
          <t>NORD-OUEST</t>
        </is>
      </c>
      <c r="G1805" t="inlineStr">
        <is>
          <t>Bamenda</t>
        </is>
      </c>
      <c r="H1805" t="inlineStr">
        <is>
          <t>Huawei</t>
        </is>
      </c>
      <c r="I1805" t="n">
        <v>0</v>
      </c>
      <c r="J1805" t="n">
        <v>0</v>
      </c>
      <c r="K1805" t="n">
        <v>0</v>
      </c>
      <c r="L1805" t="n">
        <v>0</v>
      </c>
      <c r="M1805" t="n">
        <v>0</v>
      </c>
      <c r="N1805" t="n">
        <v>0</v>
      </c>
      <c r="O1805" t="n">
        <v>0</v>
      </c>
      <c r="P1805" t="n">
        <v>0</v>
      </c>
      <c r="Q1805" t="n">
        <v>0</v>
      </c>
      <c r="R1805" t="inlineStr">
        <is>
          <t>Operationnel</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row>
    <row r="1806">
      <c r="A1806" t="inlineStr">
        <is>
          <t>St-Thomas</t>
        </is>
      </c>
      <c r="B1806" t="inlineStr">
        <is>
          <t>LIT_369</t>
        </is>
      </c>
      <c r="C1806" t="inlineStr">
        <is>
          <t>Douala</t>
        </is>
      </c>
      <c r="D1806" t="inlineStr">
        <is>
          <t>IHS</t>
        </is>
      </c>
      <c r="E1806" t="inlineStr">
        <is>
          <t>Grid-Gen</t>
        </is>
      </c>
      <c r="F1806" t="inlineStr">
        <is>
          <t>LITTORAL</t>
        </is>
      </c>
      <c r="G1806" t="inlineStr">
        <is>
          <t>Douala</t>
        </is>
      </c>
      <c r="H1806" t="inlineStr">
        <is>
          <t>ZTE</t>
        </is>
      </c>
      <c r="I1806" t="n">
        <v>0</v>
      </c>
      <c r="J1806" t="n">
        <v>0</v>
      </c>
      <c r="K1806" t="n">
        <v>0</v>
      </c>
      <c r="L1806" t="n">
        <v>0</v>
      </c>
      <c r="M1806" t="n">
        <v>0</v>
      </c>
      <c r="N1806" t="n">
        <v>0</v>
      </c>
      <c r="O1806" t="n">
        <v>0</v>
      </c>
      <c r="P1806" t="n">
        <v>0</v>
      </c>
      <c r="Q1806" t="n">
        <v>0</v>
      </c>
      <c r="R1806" t="inlineStr">
        <is>
          <t>Operationnel</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row>
    <row r="1807">
      <c r="A1807" t="inlineStr">
        <is>
          <t>PK8-Essiac</t>
        </is>
      </c>
      <c r="B1807" t="inlineStr">
        <is>
          <t>LIT_443</t>
        </is>
      </c>
      <c r="C1807" t="inlineStr">
        <is>
          <t>Douala</t>
        </is>
      </c>
      <c r="D1807" t="inlineStr">
        <is>
          <t>IHS</t>
        </is>
      </c>
      <c r="E1807" t="inlineStr">
        <is>
          <t>Grid-Gen</t>
        </is>
      </c>
      <c r="F1807" t="inlineStr">
        <is>
          <t>LITTORAL</t>
        </is>
      </c>
      <c r="G1807" t="inlineStr">
        <is>
          <t>Douala</t>
        </is>
      </c>
      <c r="H1807" t="inlineStr">
        <is>
          <t>ZTE</t>
        </is>
      </c>
      <c r="I1807" t="n">
        <v>0</v>
      </c>
      <c r="J1807" t="n">
        <v>0</v>
      </c>
      <c r="K1807" t="n">
        <v>0</v>
      </c>
      <c r="L1807" t="n">
        <v>0</v>
      </c>
      <c r="M1807" t="n">
        <v>0</v>
      </c>
      <c r="N1807" t="n">
        <v>0</v>
      </c>
      <c r="O1807" t="n">
        <v>0</v>
      </c>
      <c r="P1807" t="n">
        <v>0</v>
      </c>
      <c r="Q1807" t="n">
        <v>0</v>
      </c>
      <c r="R1807" t="inlineStr">
        <is>
          <t>Operationnel</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row>
    <row r="1808">
      <c r="A1808" t="inlineStr">
        <is>
          <t>Nkwein-MTN</t>
        </is>
      </c>
      <c r="B1808" t="inlineStr">
        <is>
          <t>NRO_221</t>
        </is>
      </c>
      <c r="C1808" t="inlineStr">
        <is>
          <t>NORD-OUEST</t>
        </is>
      </c>
      <c r="D1808" t="inlineStr">
        <is>
          <t>IHS</t>
        </is>
      </c>
      <c r="E1808" t="inlineStr">
        <is>
          <t>Grid-Gen</t>
        </is>
      </c>
      <c r="F1808" t="inlineStr">
        <is>
          <t>NORD-OUEST</t>
        </is>
      </c>
      <c r="G1808" t="inlineStr">
        <is>
          <t>Bamenda</t>
        </is>
      </c>
      <c r="H1808" t="inlineStr">
        <is>
          <t>Huawei</t>
        </is>
      </c>
      <c r="I1808" t="n">
        <v>0</v>
      </c>
      <c r="J1808" t="n">
        <v>0</v>
      </c>
      <c r="K1808" t="n">
        <v>0</v>
      </c>
      <c r="L1808" t="n">
        <v>0</v>
      </c>
      <c r="M1808" t="n">
        <v>0</v>
      </c>
      <c r="N1808" t="n">
        <v>0</v>
      </c>
      <c r="O1808" t="n">
        <v>0</v>
      </c>
      <c r="P1808" t="n">
        <v>0</v>
      </c>
      <c r="Q1808" t="n">
        <v>0</v>
      </c>
      <c r="R1808" t="inlineStr">
        <is>
          <t>Operationnel</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row>
    <row r="1809">
      <c r="A1809" t="inlineStr">
        <is>
          <t>Banda</t>
        </is>
      </c>
      <c r="B1809" t="inlineStr">
        <is>
          <t>NRD_029</t>
        </is>
      </c>
      <c r="C1809" t="inlineStr">
        <is>
          <t>NORD</t>
        </is>
      </c>
      <c r="D1809" t="inlineStr">
        <is>
          <t>IHS</t>
        </is>
      </c>
      <c r="E1809" t="inlineStr">
        <is>
          <t>Solar-Gen</t>
        </is>
      </c>
      <c r="F1809" t="inlineStr">
        <is>
          <t>NORD</t>
        </is>
      </c>
      <c r="G1809" t="inlineStr">
        <is>
          <t>Banda</t>
        </is>
      </c>
      <c r="H1809" t="inlineStr">
        <is>
          <t>NOKIA</t>
        </is>
      </c>
      <c r="I1809" t="n">
        <v>0</v>
      </c>
      <c r="J1809" t="n">
        <v>0</v>
      </c>
      <c r="K1809" t="n">
        <v>0</v>
      </c>
      <c r="L1809" t="n">
        <v>0</v>
      </c>
      <c r="M1809" t="n">
        <v>0</v>
      </c>
      <c r="N1809" t="n">
        <v>0</v>
      </c>
      <c r="O1809" t="n">
        <v>0</v>
      </c>
      <c r="P1809" t="n">
        <v>0</v>
      </c>
      <c r="Q1809" t="n">
        <v>0</v>
      </c>
      <c r="R1809" t="inlineStr">
        <is>
          <t>Operationnel</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row>
    <row r="1810">
      <c r="A1810" t="inlineStr">
        <is>
          <t>Touboro-Ville</t>
        </is>
      </c>
      <c r="B1810" t="inlineStr">
        <is>
          <t>NRD_137</t>
        </is>
      </c>
      <c r="C1810" t="inlineStr">
        <is>
          <t>NORD</t>
        </is>
      </c>
      <c r="D1810" t="inlineStr">
        <is>
          <t>CAMUSAT</t>
        </is>
      </c>
      <c r="E1810" t="inlineStr">
        <is>
          <t>Medium Grid + GE</t>
        </is>
      </c>
      <c r="F1810" t="inlineStr">
        <is>
          <t>NORD</t>
        </is>
      </c>
      <c r="G1810" t="inlineStr">
        <is>
          <t>Touboro</t>
        </is>
      </c>
      <c r="H1810" t="inlineStr">
        <is>
          <t>Huawei</t>
        </is>
      </c>
      <c r="I1810" t="n">
        <v>0</v>
      </c>
      <c r="J1810" t="n">
        <v>0</v>
      </c>
      <c r="K1810" t="n">
        <v>0</v>
      </c>
      <c r="L1810" t="n">
        <v>0</v>
      </c>
      <c r="M1810" t="n">
        <v>0</v>
      </c>
      <c r="N1810" t="n">
        <v>0</v>
      </c>
      <c r="O1810" t="n">
        <v>0</v>
      </c>
      <c r="P1810" t="n">
        <v>0</v>
      </c>
      <c r="Q1810" t="n">
        <v>0</v>
      </c>
      <c r="R1810" t="inlineStr">
        <is>
          <t>Operationnel</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row>
    <row r="1811">
      <c r="A1811" t="inlineStr">
        <is>
          <t>Hogmeni</t>
        </is>
      </c>
      <c r="B1811" t="inlineStr">
        <is>
          <t>LIT_325</t>
        </is>
      </c>
      <c r="C1811" t="inlineStr">
        <is>
          <t>Douala</t>
        </is>
      </c>
      <c r="D1811" t="inlineStr">
        <is>
          <t>IHS</t>
        </is>
      </c>
      <c r="E1811" t="inlineStr">
        <is>
          <t>GridOnly</t>
        </is>
      </c>
      <c r="F1811" t="inlineStr">
        <is>
          <t>LITTORAL</t>
        </is>
      </c>
      <c r="G1811" t="inlineStr">
        <is>
          <t>Douala</t>
        </is>
      </c>
      <c r="H1811" t="inlineStr">
        <is>
          <t>ZTE</t>
        </is>
      </c>
      <c r="I1811" t="n">
        <v>0</v>
      </c>
      <c r="J1811" t="n">
        <v>0</v>
      </c>
      <c r="K1811" t="n">
        <v>0</v>
      </c>
      <c r="L1811" t="n">
        <v>0</v>
      </c>
      <c r="M1811" t="n">
        <v>0</v>
      </c>
      <c r="N1811" t="n">
        <v>0</v>
      </c>
      <c r="O1811" t="n">
        <v>0</v>
      </c>
      <c r="P1811" t="n">
        <v>0</v>
      </c>
      <c r="Q1811" t="n">
        <v>0</v>
      </c>
      <c r="R1811" t="inlineStr">
        <is>
          <t>Operationnel</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row>
    <row r="1812">
      <c r="A1812" t="inlineStr">
        <is>
          <t>Ngodi</t>
        </is>
      </c>
      <c r="B1812" t="inlineStr">
        <is>
          <t>LIT_294</t>
        </is>
      </c>
      <c r="C1812" t="inlineStr">
        <is>
          <t>Douala</t>
        </is>
      </c>
      <c r="D1812" t="inlineStr">
        <is>
          <t>IHS</t>
        </is>
      </c>
      <c r="E1812" t="inlineStr">
        <is>
          <t>Grid-Gen</t>
        </is>
      </c>
      <c r="F1812" t="inlineStr">
        <is>
          <t>LITTORAL</t>
        </is>
      </c>
      <c r="G1812" t="inlineStr">
        <is>
          <t>Douala</t>
        </is>
      </c>
      <c r="H1812" t="inlineStr">
        <is>
          <t>ZTE</t>
        </is>
      </c>
      <c r="I1812" t="n">
        <v>0</v>
      </c>
      <c r="J1812" t="n">
        <v>0</v>
      </c>
      <c r="K1812" t="n">
        <v>0</v>
      </c>
      <c r="L1812" t="n">
        <v>0</v>
      </c>
      <c r="M1812" t="n">
        <v>0</v>
      </c>
      <c r="N1812" t="n">
        <v>0</v>
      </c>
      <c r="O1812" t="n">
        <v>0</v>
      </c>
      <c r="P1812" t="n">
        <v>0</v>
      </c>
      <c r="Q1812" t="n">
        <v>0</v>
      </c>
      <c r="R1812" t="inlineStr">
        <is>
          <t>Operationnel</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row>
    <row r="1813">
      <c r="A1813" t="inlineStr">
        <is>
          <t>Laquintinie</t>
        </is>
      </c>
      <c r="B1813" t="inlineStr">
        <is>
          <t>LIT_082</t>
        </is>
      </c>
      <c r="C1813" t="inlineStr">
        <is>
          <t>Douala</t>
        </is>
      </c>
      <c r="D1813" t="inlineStr">
        <is>
          <t>IHS</t>
        </is>
      </c>
      <c r="E1813" t="inlineStr">
        <is>
          <t>Grid-Lithium</t>
        </is>
      </c>
      <c r="F1813" t="inlineStr">
        <is>
          <t>LITTORAL</t>
        </is>
      </c>
      <c r="G1813" t="inlineStr">
        <is>
          <t>Douala</t>
        </is>
      </c>
      <c r="H1813" t="inlineStr">
        <is>
          <t>ZTE</t>
        </is>
      </c>
      <c r="I1813" t="n">
        <v>0</v>
      </c>
      <c r="J1813" t="n">
        <v>0</v>
      </c>
      <c r="K1813" t="n">
        <v>0</v>
      </c>
      <c r="L1813" t="n">
        <v>0</v>
      </c>
      <c r="M1813" t="n">
        <v>0</v>
      </c>
      <c r="N1813" t="n">
        <v>0</v>
      </c>
      <c r="O1813" t="n">
        <v>0</v>
      </c>
      <c r="P1813" t="n">
        <v>0</v>
      </c>
      <c r="Q1813" t="n">
        <v>0</v>
      </c>
      <c r="R1813" t="inlineStr">
        <is>
          <t>Operationnel</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row>
    <row r="1814">
      <c r="A1814" t="inlineStr">
        <is>
          <t>Bangou-IHS</t>
        </is>
      </c>
      <c r="B1814" t="inlineStr">
        <is>
          <t>OST_145</t>
        </is>
      </c>
      <c r="C1814" t="inlineStr">
        <is>
          <t>OUEST</t>
        </is>
      </c>
      <c r="D1814" t="inlineStr">
        <is>
          <t>CAMUSAT</t>
        </is>
      </c>
      <c r="E1814" t="inlineStr">
        <is>
          <t>Good Grid + GE</t>
        </is>
      </c>
      <c r="F1814" t="inlineStr">
        <is>
          <t>OUEST</t>
        </is>
      </c>
      <c r="G1814" t="inlineStr">
        <is>
          <t>Bangou</t>
        </is>
      </c>
      <c r="H1814" t="inlineStr">
        <is>
          <t>NOKIA</t>
        </is>
      </c>
      <c r="I1814" t="n">
        <v>0</v>
      </c>
      <c r="J1814" t="n">
        <v>0</v>
      </c>
      <c r="K1814" t="n">
        <v>0</v>
      </c>
      <c r="L1814" t="n">
        <v>0</v>
      </c>
      <c r="M1814" t="n">
        <v>0</v>
      </c>
      <c r="N1814" t="n">
        <v>0</v>
      </c>
      <c r="O1814" t="n">
        <v>0</v>
      </c>
      <c r="P1814" t="n">
        <v>0</v>
      </c>
      <c r="Q1814" t="n">
        <v>0</v>
      </c>
      <c r="R1814" t="inlineStr">
        <is>
          <t>Operationnel</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row>
    <row r="1815">
      <c r="A1815" t="inlineStr">
        <is>
          <t>Ngomedzap-MTN</t>
        </is>
      </c>
      <c r="B1815" t="inlineStr">
        <is>
          <t>CTR_532</t>
        </is>
      </c>
      <c r="C1815" t="inlineStr">
        <is>
          <t>CENTRE</t>
        </is>
      </c>
      <c r="D1815" t="inlineStr">
        <is>
          <t>IHS</t>
        </is>
      </c>
      <c r="E1815" t="inlineStr">
        <is>
          <t>Gen Only</t>
        </is>
      </c>
      <c r="F1815" t="inlineStr">
        <is>
          <t>CENTRE</t>
        </is>
      </c>
      <c r="G1815" t="inlineStr">
        <is>
          <t>Ngomedzap</t>
        </is>
      </c>
      <c r="H1815" t="inlineStr">
        <is>
          <t>NOKIA</t>
        </is>
      </c>
      <c r="I1815" t="n">
        <v>0</v>
      </c>
      <c r="J1815" t="n">
        <v>0</v>
      </c>
      <c r="K1815" t="n">
        <v>0</v>
      </c>
      <c r="L1815" t="n">
        <v>0</v>
      </c>
      <c r="M1815" t="n">
        <v>0</v>
      </c>
      <c r="N1815" t="n">
        <v>0</v>
      </c>
      <c r="O1815" t="n">
        <v>0</v>
      </c>
      <c r="P1815" t="n">
        <v>0</v>
      </c>
      <c r="Q1815" t="n">
        <v>0</v>
      </c>
      <c r="R1815" t="inlineStr">
        <is>
          <t>Operationnel</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row>
    <row r="1816">
      <c r="A1816" t="inlineStr">
        <is>
          <t>Brazz-St-Bruno</t>
        </is>
      </c>
      <c r="B1816" t="inlineStr">
        <is>
          <t>LIT_089</t>
        </is>
      </c>
      <c r="C1816" t="inlineStr">
        <is>
          <t>Douala</t>
        </is>
      </c>
      <c r="D1816" t="inlineStr">
        <is>
          <t>IHS</t>
        </is>
      </c>
      <c r="E1816" t="inlineStr">
        <is>
          <t>Grid-Gen</t>
        </is>
      </c>
      <c r="F1816" t="inlineStr">
        <is>
          <t>LITTORAL</t>
        </is>
      </c>
      <c r="G1816" t="inlineStr">
        <is>
          <t>Douala</t>
        </is>
      </c>
      <c r="H1816" t="inlineStr">
        <is>
          <t>ZTE</t>
        </is>
      </c>
      <c r="I1816" t="n">
        <v>0</v>
      </c>
      <c r="J1816" t="n">
        <v>0</v>
      </c>
      <c r="K1816" t="n">
        <v>0</v>
      </c>
      <c r="L1816" t="n">
        <v>0</v>
      </c>
      <c r="M1816" t="n">
        <v>0</v>
      </c>
      <c r="N1816" t="n">
        <v>0</v>
      </c>
      <c r="O1816" t="n">
        <v>0</v>
      </c>
      <c r="P1816" t="n">
        <v>0</v>
      </c>
      <c r="Q1816" t="n">
        <v>0</v>
      </c>
      <c r="R1816" t="inlineStr">
        <is>
          <t>Operationnel</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row>
    <row r="1817">
      <c r="A1817" t="inlineStr">
        <is>
          <t>Bberi-Sodiko-MTN</t>
        </is>
      </c>
      <c r="B1817" t="inlineStr">
        <is>
          <t>LIT_418</t>
        </is>
      </c>
      <c r="C1817" t="inlineStr">
        <is>
          <t>Douala</t>
        </is>
      </c>
      <c r="D1817" t="inlineStr">
        <is>
          <t>IHS</t>
        </is>
      </c>
      <c r="E1817" t="inlineStr">
        <is>
          <t>Grid-Gen</t>
        </is>
      </c>
      <c r="F1817" t="inlineStr">
        <is>
          <t>LITTORAL</t>
        </is>
      </c>
      <c r="G1817" t="inlineStr">
        <is>
          <t>Douala</t>
        </is>
      </c>
      <c r="H1817" t="inlineStr">
        <is>
          <t>ZTE</t>
        </is>
      </c>
      <c r="I1817" t="n">
        <v>0</v>
      </c>
      <c r="J1817" t="n">
        <v>0</v>
      </c>
      <c r="K1817" t="n">
        <v>0</v>
      </c>
      <c r="L1817" t="n">
        <v>0</v>
      </c>
      <c r="M1817" t="n">
        <v>0</v>
      </c>
      <c r="N1817" t="n">
        <v>0</v>
      </c>
      <c r="O1817" t="n">
        <v>0</v>
      </c>
      <c r="P1817" t="n">
        <v>0</v>
      </c>
      <c r="Q1817" t="n">
        <v>0</v>
      </c>
      <c r="R1817" t="inlineStr">
        <is>
          <t>Operationnel</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row>
    <row r="1818">
      <c r="A1818" t="inlineStr">
        <is>
          <t>Nylon</t>
        </is>
      </c>
      <c r="B1818" t="inlineStr">
        <is>
          <t>LIT_076</t>
        </is>
      </c>
      <c r="C1818" t="inlineStr">
        <is>
          <t>Douala</t>
        </is>
      </c>
      <c r="D1818" t="inlineStr">
        <is>
          <t>IHS</t>
        </is>
      </c>
      <c r="E1818" t="inlineStr">
        <is>
          <t>Grid-Gen</t>
        </is>
      </c>
      <c r="F1818" t="inlineStr">
        <is>
          <t>LITTORAL</t>
        </is>
      </c>
      <c r="G1818" t="inlineStr">
        <is>
          <t>Douala</t>
        </is>
      </c>
      <c r="H1818" t="inlineStr">
        <is>
          <t>ZTE</t>
        </is>
      </c>
      <c r="I1818" t="n">
        <v>0</v>
      </c>
      <c r="J1818" t="n">
        <v>0</v>
      </c>
      <c r="K1818" t="n">
        <v>0</v>
      </c>
      <c r="L1818" t="n">
        <v>0</v>
      </c>
      <c r="M1818" t="n">
        <v>0</v>
      </c>
      <c r="N1818" t="n">
        <v>0</v>
      </c>
      <c r="O1818" t="n">
        <v>0</v>
      </c>
      <c r="P1818" t="n">
        <v>0</v>
      </c>
      <c r="Q1818" t="n">
        <v>0</v>
      </c>
      <c r="R1818" t="inlineStr">
        <is>
          <t>Operationnel</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row>
    <row r="1819">
      <c r="A1819" t="inlineStr">
        <is>
          <t>Bda-Ntamulung-MTN</t>
        </is>
      </c>
      <c r="B1819" t="inlineStr">
        <is>
          <t>NRO_253</t>
        </is>
      </c>
      <c r="C1819" t="inlineStr">
        <is>
          <t>NORD-OUEST</t>
        </is>
      </c>
      <c r="D1819" t="inlineStr">
        <is>
          <t>IHS</t>
        </is>
      </c>
      <c r="E1819" t="inlineStr">
        <is>
          <t>Grid-Gen</t>
        </is>
      </c>
      <c r="F1819" t="inlineStr">
        <is>
          <t>NORD-OUEST</t>
        </is>
      </c>
      <c r="G1819" t="inlineStr">
        <is>
          <t>Bamenda</t>
        </is>
      </c>
      <c r="H1819" t="inlineStr">
        <is>
          <t>Huawei</t>
        </is>
      </c>
      <c r="I1819" t="n">
        <v>0</v>
      </c>
      <c r="J1819" t="n">
        <v>0</v>
      </c>
      <c r="K1819" t="n">
        <v>0</v>
      </c>
      <c r="L1819" t="n">
        <v>0</v>
      </c>
      <c r="M1819" t="n">
        <v>0</v>
      </c>
      <c r="N1819" t="n">
        <v>0</v>
      </c>
      <c r="O1819" t="n">
        <v>0</v>
      </c>
      <c r="P1819" t="n">
        <v>0</v>
      </c>
      <c r="Q1819" t="n">
        <v>0</v>
      </c>
      <c r="R1819" t="inlineStr">
        <is>
          <t>Operationnel</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row>
    <row r="1820">
      <c r="A1820" t="inlineStr">
        <is>
          <t>Bamenda-GTTC-IHS</t>
        </is>
      </c>
      <c r="B1820" t="inlineStr">
        <is>
          <t>NRO_063</t>
        </is>
      </c>
      <c r="C1820" t="inlineStr">
        <is>
          <t>NORD-OUEST</t>
        </is>
      </c>
      <c r="D1820" t="inlineStr">
        <is>
          <t>IHS</t>
        </is>
      </c>
      <c r="E1820" t="inlineStr">
        <is>
          <t>Grid-Gen</t>
        </is>
      </c>
      <c r="F1820" t="inlineStr">
        <is>
          <t>NORD-OUEST</t>
        </is>
      </c>
      <c r="G1820" t="inlineStr">
        <is>
          <t>Bamenda</t>
        </is>
      </c>
      <c r="H1820" t="inlineStr">
        <is>
          <t>Huawei</t>
        </is>
      </c>
      <c r="I1820" t="n">
        <v>0</v>
      </c>
      <c r="J1820" t="n">
        <v>0</v>
      </c>
      <c r="K1820" t="n">
        <v>0</v>
      </c>
      <c r="L1820" t="n">
        <v>0</v>
      </c>
      <c r="M1820" t="n">
        <v>0</v>
      </c>
      <c r="N1820" t="n">
        <v>0</v>
      </c>
      <c r="O1820" t="n">
        <v>0</v>
      </c>
      <c r="P1820" t="n">
        <v>0</v>
      </c>
      <c r="Q1820" t="n">
        <v>0</v>
      </c>
      <c r="R1820" t="inlineStr">
        <is>
          <t>Operationnel</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row>
    <row r="1821">
      <c r="A1821" t="inlineStr">
        <is>
          <t>C-D-Palmiers</t>
        </is>
      </c>
      <c r="B1821" t="inlineStr">
        <is>
          <t>LIT_036</t>
        </is>
      </c>
      <c r="C1821" t="inlineStr">
        <is>
          <t>Douala</t>
        </is>
      </c>
      <c r="D1821" t="inlineStr">
        <is>
          <t>CAMUSAT</t>
        </is>
      </c>
      <c r="E1821" t="inlineStr">
        <is>
          <t>Good Grid + GE</t>
        </is>
      </c>
      <c r="F1821" t="inlineStr">
        <is>
          <t>LITTORAL</t>
        </is>
      </c>
      <c r="G1821" t="inlineStr">
        <is>
          <t>Douala</t>
        </is>
      </c>
      <c r="H1821" t="inlineStr">
        <is>
          <t>ZTE</t>
        </is>
      </c>
      <c r="I1821" t="n">
        <v>0</v>
      </c>
      <c r="J1821" t="n">
        <v>0</v>
      </c>
      <c r="K1821" t="n">
        <v>0</v>
      </c>
      <c r="L1821" t="n">
        <v>0</v>
      </c>
      <c r="M1821" t="n">
        <v>0</v>
      </c>
      <c r="N1821" t="n">
        <v>0</v>
      </c>
      <c r="O1821" t="n">
        <v>0</v>
      </c>
      <c r="P1821" t="n">
        <v>0</v>
      </c>
      <c r="Q1821" t="n">
        <v>0</v>
      </c>
      <c r="R1821" t="inlineStr">
        <is>
          <t>Operationnel</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row>
    <row r="1822">
      <c r="A1822" t="inlineStr">
        <is>
          <t>Edea</t>
        </is>
      </c>
      <c r="B1822" t="inlineStr">
        <is>
          <t>LIT_005</t>
        </is>
      </c>
      <c r="C1822" t="inlineStr">
        <is>
          <t>LITTORAL</t>
        </is>
      </c>
      <c r="D1822" t="inlineStr">
        <is>
          <t>OCM/Strategique</t>
        </is>
      </c>
      <c r="E1822" t="inlineStr"/>
      <c r="F1822" t="inlineStr">
        <is>
          <t>LITTORAL</t>
        </is>
      </c>
      <c r="G1822" t="inlineStr">
        <is>
          <t>Edea</t>
        </is>
      </c>
      <c r="H1822" t="inlineStr">
        <is>
          <t>ZTE</t>
        </is>
      </c>
      <c r="I1822" t="n">
        <v>0</v>
      </c>
      <c r="J1822" t="n">
        <v>0</v>
      </c>
      <c r="K1822" t="n">
        <v>0</v>
      </c>
      <c r="L1822" t="n">
        <v>0</v>
      </c>
      <c r="M1822" t="n">
        <v>0</v>
      </c>
      <c r="N1822" t="n">
        <v>0</v>
      </c>
      <c r="O1822" t="n">
        <v>0</v>
      </c>
      <c r="P1822" t="n">
        <v>0</v>
      </c>
      <c r="Q1822" t="n">
        <v>0</v>
      </c>
      <c r="R1822" t="inlineStr">
        <is>
          <t>Operationnel</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row>
    <row r="1823">
      <c r="A1823" t="inlineStr">
        <is>
          <t>H-Lumiere</t>
        </is>
      </c>
      <c r="B1823" t="inlineStr">
        <is>
          <t>LIT_065</t>
        </is>
      </c>
      <c r="C1823" t="inlineStr">
        <is>
          <t>Douala</t>
        </is>
      </c>
      <c r="D1823" t="inlineStr">
        <is>
          <t>IHS</t>
        </is>
      </c>
      <c r="E1823" t="inlineStr">
        <is>
          <t>Grid-Gen (LL)</t>
        </is>
      </c>
      <c r="F1823" t="inlineStr">
        <is>
          <t>LITTORAL</t>
        </is>
      </c>
      <c r="G1823" t="inlineStr">
        <is>
          <t>Douala</t>
        </is>
      </c>
      <c r="H1823" t="inlineStr">
        <is>
          <t>ZTE</t>
        </is>
      </c>
      <c r="I1823" t="n">
        <v>0</v>
      </c>
      <c r="J1823" t="n">
        <v>0</v>
      </c>
      <c r="K1823" t="n">
        <v>0</v>
      </c>
      <c r="L1823" t="n">
        <v>0</v>
      </c>
      <c r="M1823" t="n">
        <v>0</v>
      </c>
      <c r="N1823" t="n">
        <v>0</v>
      </c>
      <c r="O1823" t="n">
        <v>0</v>
      </c>
      <c r="P1823" t="n">
        <v>0</v>
      </c>
      <c r="Q1823" t="n">
        <v>0</v>
      </c>
      <c r="R1823" t="inlineStr">
        <is>
          <t>Operationnel</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row>
    <row r="1824">
      <c r="A1824" t="inlineStr">
        <is>
          <t>Hot-Spot</t>
        </is>
      </c>
      <c r="B1824" t="inlineStr">
        <is>
          <t>NRO_028</t>
        </is>
      </c>
      <c r="C1824" t="inlineStr">
        <is>
          <t>NORD-OUEST</t>
        </is>
      </c>
      <c r="D1824" t="inlineStr">
        <is>
          <t>OCM/Strategique</t>
        </is>
      </c>
      <c r="E1824" t="inlineStr"/>
      <c r="F1824" t="inlineStr">
        <is>
          <t>NORD-OUEST</t>
        </is>
      </c>
      <c r="G1824" t="inlineStr">
        <is>
          <t>Bamenda</t>
        </is>
      </c>
      <c r="H1824" t="inlineStr">
        <is>
          <t>Huawei</t>
        </is>
      </c>
      <c r="I1824" t="n">
        <v>0</v>
      </c>
      <c r="J1824" t="n">
        <v>0</v>
      </c>
      <c r="K1824" t="n">
        <v>0</v>
      </c>
      <c r="L1824" t="n">
        <v>0</v>
      </c>
      <c r="M1824" t="n">
        <v>0</v>
      </c>
      <c r="N1824" t="n">
        <v>0</v>
      </c>
      <c r="O1824" t="n">
        <v>0</v>
      </c>
      <c r="P1824" t="n">
        <v>0</v>
      </c>
      <c r="Q1824" t="n">
        <v>0</v>
      </c>
      <c r="R1824" t="inlineStr">
        <is>
          <t>Operationnel</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row>
    <row r="1825">
      <c r="A1825" t="inlineStr">
        <is>
          <t>Nkololoun-II</t>
        </is>
      </c>
      <c r="B1825" t="inlineStr">
        <is>
          <t>LIT_439</t>
        </is>
      </c>
      <c r="C1825" t="inlineStr">
        <is>
          <t>Douala</t>
        </is>
      </c>
      <c r="D1825" t="inlineStr">
        <is>
          <t>IHS</t>
        </is>
      </c>
      <c r="E1825" t="inlineStr">
        <is>
          <t>Grid-Gen</t>
        </is>
      </c>
      <c r="F1825" t="inlineStr">
        <is>
          <t>LITTORAL</t>
        </is>
      </c>
      <c r="G1825" t="inlineStr">
        <is>
          <t>Douala</t>
        </is>
      </c>
      <c r="H1825" t="inlineStr">
        <is>
          <t>ZTE</t>
        </is>
      </c>
      <c r="I1825" t="n">
        <v>0</v>
      </c>
      <c r="J1825" t="n">
        <v>0</v>
      </c>
      <c r="K1825" t="n">
        <v>0</v>
      </c>
      <c r="L1825" t="n">
        <v>0</v>
      </c>
      <c r="M1825" t="n">
        <v>0</v>
      </c>
      <c r="N1825" t="n">
        <v>0</v>
      </c>
      <c r="O1825" t="n">
        <v>0</v>
      </c>
      <c r="P1825" t="n">
        <v>0</v>
      </c>
      <c r="Q1825" t="n">
        <v>0</v>
      </c>
      <c r="R1825" t="inlineStr">
        <is>
          <t>Operationnel</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row>
    <row r="1826">
      <c r="A1826" t="inlineStr">
        <is>
          <t>Djamboutou-MTN-IHS</t>
        </is>
      </c>
      <c r="B1826" t="inlineStr">
        <is>
          <t>NRD_118</t>
        </is>
      </c>
      <c r="C1826" t="inlineStr">
        <is>
          <t>Garoua</t>
        </is>
      </c>
      <c r="D1826" t="inlineStr">
        <is>
          <t>IHS</t>
        </is>
      </c>
      <c r="E1826" t="inlineStr">
        <is>
          <t>Grid-Gen</t>
        </is>
      </c>
      <c r="F1826" t="inlineStr">
        <is>
          <t>NORD</t>
        </is>
      </c>
      <c r="G1826" t="inlineStr">
        <is>
          <t>Garoua</t>
        </is>
      </c>
      <c r="H1826" t="inlineStr">
        <is>
          <t>Huawei</t>
        </is>
      </c>
      <c r="I1826" t="n">
        <v>0</v>
      </c>
      <c r="J1826" t="n">
        <v>0</v>
      </c>
      <c r="K1826" t="n">
        <v>0</v>
      </c>
      <c r="L1826" t="n">
        <v>0</v>
      </c>
      <c r="M1826" t="n">
        <v>0</v>
      </c>
      <c r="N1826" t="n">
        <v>0</v>
      </c>
      <c r="O1826" t="n">
        <v>0</v>
      </c>
      <c r="P1826" t="n">
        <v>0</v>
      </c>
      <c r="Q1826" t="n">
        <v>0</v>
      </c>
      <c r="R1826" t="inlineStr">
        <is>
          <t>Operationnel</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row>
    <row r="1827">
      <c r="A1827" t="inlineStr">
        <is>
          <t>Du-Levant</t>
        </is>
      </c>
      <c r="B1827" t="inlineStr">
        <is>
          <t>LIT_046</t>
        </is>
      </c>
      <c r="C1827" t="inlineStr">
        <is>
          <t>Douala</t>
        </is>
      </c>
      <c r="D1827" t="inlineStr">
        <is>
          <t>IHS</t>
        </is>
      </c>
      <c r="E1827" t="inlineStr">
        <is>
          <t>Grid-Gen</t>
        </is>
      </c>
      <c r="F1827" t="inlineStr">
        <is>
          <t>LITTORAL</t>
        </is>
      </c>
      <c r="G1827" t="inlineStr">
        <is>
          <t>Douala</t>
        </is>
      </c>
      <c r="H1827" t="inlineStr">
        <is>
          <t>ZTE</t>
        </is>
      </c>
      <c r="I1827" t="n">
        <v>0</v>
      </c>
      <c r="J1827" t="n">
        <v>0</v>
      </c>
      <c r="K1827" t="n">
        <v>0</v>
      </c>
      <c r="L1827" t="n">
        <v>0</v>
      </c>
      <c r="M1827" t="n">
        <v>0</v>
      </c>
      <c r="N1827" t="n">
        <v>0</v>
      </c>
      <c r="O1827" t="n">
        <v>0</v>
      </c>
      <c r="P1827" t="n">
        <v>0</v>
      </c>
      <c r="Q1827" t="n">
        <v>0</v>
      </c>
      <c r="R1827" t="inlineStr">
        <is>
          <t>Operationnel</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row>
    <row r="1828">
      <c r="A1828" t="inlineStr">
        <is>
          <t>Dschang-Q-Admin</t>
        </is>
      </c>
      <c r="B1828" t="inlineStr">
        <is>
          <t>OST_112</t>
        </is>
      </c>
      <c r="C1828" t="inlineStr">
        <is>
          <t>OUEST</t>
        </is>
      </c>
      <c r="D1828" t="inlineStr">
        <is>
          <t>IHS</t>
        </is>
      </c>
      <c r="E1828" t="inlineStr">
        <is>
          <t>Grid-Gen</t>
        </is>
      </c>
      <c r="F1828" t="inlineStr">
        <is>
          <t>OUEST</t>
        </is>
      </c>
      <c r="G1828" t="inlineStr">
        <is>
          <t>Dschang</t>
        </is>
      </c>
      <c r="H1828" t="inlineStr">
        <is>
          <t>Huawei</t>
        </is>
      </c>
      <c r="I1828" t="n">
        <v>0</v>
      </c>
      <c r="J1828" t="n">
        <v>0</v>
      </c>
      <c r="K1828" t="n">
        <v>0</v>
      </c>
      <c r="L1828" t="n">
        <v>0</v>
      </c>
      <c r="M1828" t="n">
        <v>0</v>
      </c>
      <c r="N1828" t="n">
        <v>0</v>
      </c>
      <c r="O1828" t="n">
        <v>0</v>
      </c>
      <c r="P1828" t="n">
        <v>0</v>
      </c>
      <c r="Q1828" t="n">
        <v>0</v>
      </c>
      <c r="R1828" t="inlineStr">
        <is>
          <t>Operationnel</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row>
    <row r="1829">
      <c r="A1829" t="inlineStr">
        <is>
          <t>Mak-Village</t>
        </is>
      </c>
      <c r="B1829" t="inlineStr">
        <is>
          <t>LIT_531</t>
        </is>
      </c>
      <c r="C1829" t="inlineStr">
        <is>
          <t>Douala</t>
        </is>
      </c>
      <c r="D1829" t="inlineStr">
        <is>
          <t>IHS</t>
        </is>
      </c>
      <c r="E1829" t="inlineStr">
        <is>
          <t>Grid-Gen</t>
        </is>
      </c>
      <c r="F1829" t="inlineStr">
        <is>
          <t>LITTORAL</t>
        </is>
      </c>
      <c r="G1829" t="inlineStr">
        <is>
          <t>Douala</t>
        </is>
      </c>
      <c r="H1829" t="inlineStr">
        <is>
          <t>ZTE</t>
        </is>
      </c>
      <c r="I1829" t="n">
        <v>0</v>
      </c>
      <c r="J1829" t="n">
        <v>0</v>
      </c>
      <c r="K1829" t="n">
        <v>0</v>
      </c>
      <c r="L1829" t="n">
        <v>0</v>
      </c>
      <c r="M1829" t="n">
        <v>0</v>
      </c>
      <c r="N1829" t="n">
        <v>0</v>
      </c>
      <c r="O1829" t="n">
        <v>0</v>
      </c>
      <c r="P1829" t="n">
        <v>0</v>
      </c>
      <c r="Q1829" t="n">
        <v>0</v>
      </c>
      <c r="R1829" t="inlineStr">
        <is>
          <t>Operationnel</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row>
    <row r="1830">
      <c r="A1830" t="inlineStr">
        <is>
          <t>Franqueville</t>
        </is>
      </c>
      <c r="B1830" t="inlineStr">
        <is>
          <t>LIT_596</t>
        </is>
      </c>
      <c r="C1830" t="inlineStr">
        <is>
          <t>Douala</t>
        </is>
      </c>
      <c r="D1830" t="inlineStr">
        <is>
          <t>CAMUSAT</t>
        </is>
      </c>
      <c r="E1830" t="inlineStr">
        <is>
          <t>Good Grid no GE - 8h</t>
        </is>
      </c>
      <c r="F1830" t="inlineStr">
        <is>
          <t>LITTORAL</t>
        </is>
      </c>
      <c r="G1830" t="inlineStr">
        <is>
          <t>Douala</t>
        </is>
      </c>
      <c r="H1830" t="inlineStr">
        <is>
          <t>ZTE</t>
        </is>
      </c>
      <c r="I1830" t="n">
        <v>0</v>
      </c>
      <c r="J1830" t="n">
        <v>0</v>
      </c>
      <c r="K1830" t="n">
        <v>0</v>
      </c>
      <c r="L1830" t="n">
        <v>0</v>
      </c>
      <c r="M1830" t="n">
        <v>0</v>
      </c>
      <c r="N1830" t="n">
        <v>0</v>
      </c>
      <c r="O1830" t="n">
        <v>0</v>
      </c>
      <c r="P1830" t="n">
        <v>0</v>
      </c>
      <c r="Q1830" t="n">
        <v>0</v>
      </c>
      <c r="R1830" t="inlineStr">
        <is>
          <t>Operationnel</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row>
    <row r="1831">
      <c r="A1831" t="inlineStr">
        <is>
          <t>Baloum-IHS</t>
        </is>
      </c>
      <c r="B1831" t="inlineStr">
        <is>
          <t>OST_167</t>
        </is>
      </c>
      <c r="C1831" t="inlineStr">
        <is>
          <t>OUEST</t>
        </is>
      </c>
      <c r="D1831" t="inlineStr">
        <is>
          <t>IHS</t>
        </is>
      </c>
      <c r="E1831" t="inlineStr">
        <is>
          <t>Gen Only</t>
        </is>
      </c>
      <c r="F1831" t="inlineStr">
        <is>
          <t>OUEST</t>
        </is>
      </c>
      <c r="G1831" t="inlineStr">
        <is>
          <t>Baloum</t>
        </is>
      </c>
      <c r="H1831" t="inlineStr">
        <is>
          <t>NOKIA</t>
        </is>
      </c>
      <c r="I1831" t="n">
        <v>0</v>
      </c>
      <c r="J1831" t="n">
        <v>0</v>
      </c>
      <c r="K1831" t="n">
        <v>0</v>
      </c>
      <c r="L1831" t="n">
        <v>0</v>
      </c>
      <c r="M1831" t="n">
        <v>0</v>
      </c>
      <c r="N1831" t="n">
        <v>0</v>
      </c>
      <c r="O1831" t="n">
        <v>0</v>
      </c>
      <c r="P1831" t="n">
        <v>0</v>
      </c>
      <c r="Q1831" t="n">
        <v>0</v>
      </c>
      <c r="R1831" t="inlineStr">
        <is>
          <t>Operationnel</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row>
    <row r="1832">
      <c r="A1832" t="inlineStr">
        <is>
          <t>Ndogbong-Seven</t>
        </is>
      </c>
      <c r="B1832" t="inlineStr">
        <is>
          <t>LIT_652</t>
        </is>
      </c>
      <c r="C1832" t="inlineStr">
        <is>
          <t>Douala</t>
        </is>
      </c>
      <c r="D1832" t="inlineStr">
        <is>
          <t>CAMUSAT</t>
        </is>
      </c>
      <c r="E1832" t="inlineStr">
        <is>
          <t>Good Grid no GE - 8h</t>
        </is>
      </c>
      <c r="F1832" t="inlineStr">
        <is>
          <t>LITTORAL</t>
        </is>
      </c>
      <c r="G1832" t="inlineStr">
        <is>
          <t>Douala</t>
        </is>
      </c>
      <c r="H1832" t="inlineStr">
        <is>
          <t>ZTE</t>
        </is>
      </c>
      <c r="I1832" t="n">
        <v>0</v>
      </c>
      <c r="J1832" t="n">
        <v>0</v>
      </c>
      <c r="K1832" t="n">
        <v>0</v>
      </c>
      <c r="L1832" t="n">
        <v>0</v>
      </c>
      <c r="M1832" t="n">
        <v>0</v>
      </c>
      <c r="N1832" t="n">
        <v>0</v>
      </c>
      <c r="O1832" t="n">
        <v>0</v>
      </c>
      <c r="P1832" t="n">
        <v>0</v>
      </c>
      <c r="Q1832" t="n">
        <v>0</v>
      </c>
      <c r="R1832" t="inlineStr">
        <is>
          <t>Operationnel</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row>
    <row r="1833">
      <c r="A1833" t="inlineStr">
        <is>
          <t>BTS-Mobile-Tagidor-Hotel</t>
        </is>
      </c>
      <c r="B1833" t="inlineStr">
        <is>
          <t>OST_306</t>
        </is>
      </c>
      <c r="C1833" t="inlineStr">
        <is>
          <t>Bafoussam</t>
        </is>
      </c>
      <c r="D1833" t="inlineStr">
        <is>
          <t>CAMUSAT</t>
        </is>
      </c>
      <c r="E1833" t="inlineStr">
        <is>
          <t>Medium Grid + GE</t>
        </is>
      </c>
      <c r="F1833" t="inlineStr">
        <is>
          <t>OUEST</t>
        </is>
      </c>
      <c r="G1833" t="inlineStr">
        <is>
          <t>Bafoussam</t>
        </is>
      </c>
      <c r="H1833" t="inlineStr">
        <is>
          <t>Huawei</t>
        </is>
      </c>
      <c r="I1833" t="n">
        <v>0</v>
      </c>
      <c r="J1833" t="n">
        <v>0</v>
      </c>
      <c r="K1833" t="n">
        <v>0</v>
      </c>
      <c r="L1833" t="n">
        <v>0</v>
      </c>
      <c r="M1833" t="n">
        <v>0</v>
      </c>
      <c r="N1833" t="n">
        <v>0</v>
      </c>
      <c r="O1833" t="n">
        <v>0</v>
      </c>
      <c r="P1833" t="n">
        <v>0</v>
      </c>
      <c r="Q1833" t="n">
        <v>0</v>
      </c>
      <c r="R1833" t="inlineStr">
        <is>
          <t>Operationnel</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row>
    <row r="1834">
      <c r="A1834" t="inlineStr">
        <is>
          <t>Indoor-BEAC</t>
        </is>
      </c>
      <c r="B1834" t="inlineStr">
        <is>
          <t>CTR_878</t>
        </is>
      </c>
      <c r="C1834" t="inlineStr">
        <is>
          <t>Yaounde</t>
        </is>
      </c>
      <c r="D1834" t="inlineStr">
        <is>
          <t>CAMUSAT</t>
        </is>
      </c>
      <c r="E1834" t="inlineStr">
        <is>
          <t>Good Grid no GE - 8h</t>
        </is>
      </c>
      <c r="F1834" t="inlineStr">
        <is>
          <t>CENTRE</t>
        </is>
      </c>
      <c r="G1834" t="inlineStr">
        <is>
          <t>Yaounde</t>
        </is>
      </c>
      <c r="H1834" t="inlineStr">
        <is>
          <t>ZTE</t>
        </is>
      </c>
      <c r="I1834" t="n">
        <v>0</v>
      </c>
      <c r="J1834" t="n">
        <v>0</v>
      </c>
      <c r="K1834" t="n">
        <v>0</v>
      </c>
      <c r="L1834" t="n">
        <v>0</v>
      </c>
      <c r="M1834" t="n">
        <v>0</v>
      </c>
      <c r="N1834" t="n">
        <v>0</v>
      </c>
      <c r="O1834" t="n">
        <v>0</v>
      </c>
      <c r="P1834" t="n">
        <v>0</v>
      </c>
      <c r="Q1834" t="n">
        <v>0</v>
      </c>
      <c r="R1834" t="inlineStr">
        <is>
          <t>Operationnel</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row>
    <row r="1835">
      <c r="A1835" t="inlineStr">
        <is>
          <t>Minisite-Tradex-Village</t>
        </is>
      </c>
      <c r="B1835" t="inlineStr">
        <is>
          <t>LIT_663</t>
        </is>
      </c>
      <c r="C1835" t="inlineStr">
        <is>
          <t>Douala</t>
        </is>
      </c>
      <c r="D1835" t="inlineStr">
        <is>
          <t>CAMUSAT</t>
        </is>
      </c>
      <c r="E1835" t="inlineStr">
        <is>
          <t>Good Grid no GE - 8h</t>
        </is>
      </c>
      <c r="F1835" t="inlineStr">
        <is>
          <t>LITTORAL</t>
        </is>
      </c>
      <c r="G1835" t="inlineStr">
        <is>
          <t>Douala</t>
        </is>
      </c>
      <c r="H1835" t="inlineStr">
        <is>
          <t>ZTE</t>
        </is>
      </c>
      <c r="I1835" t="n">
        <v>0</v>
      </c>
      <c r="J1835" t="n">
        <v>0</v>
      </c>
      <c r="K1835" t="n">
        <v>0</v>
      </c>
      <c r="L1835" t="n">
        <v>0</v>
      </c>
      <c r="M1835" t="n">
        <v>0</v>
      </c>
      <c r="N1835" t="n">
        <v>0</v>
      </c>
      <c r="O1835" t="n">
        <v>0</v>
      </c>
      <c r="P1835" t="n">
        <v>0</v>
      </c>
      <c r="Q1835" t="n">
        <v>0</v>
      </c>
      <c r="R1835" t="inlineStr">
        <is>
          <t>Operationnel</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row>
    <row r="1836">
      <c r="A1836" t="inlineStr">
        <is>
          <t>Minisite-PK8-ESG-ISTA</t>
        </is>
      </c>
      <c r="B1836" t="inlineStr">
        <is>
          <t>LIT_630</t>
        </is>
      </c>
      <c r="C1836" t="inlineStr">
        <is>
          <t>Douala</t>
        </is>
      </c>
      <c r="D1836" t="inlineStr">
        <is>
          <t>CAMUSAT</t>
        </is>
      </c>
      <c r="E1836" t="inlineStr">
        <is>
          <t>Good Grid no GE - 8h</t>
        </is>
      </c>
      <c r="F1836" t="inlineStr">
        <is>
          <t>LITTORAL</t>
        </is>
      </c>
      <c r="G1836" t="inlineStr">
        <is>
          <t>Douala</t>
        </is>
      </c>
      <c r="H1836" t="inlineStr">
        <is>
          <t>ZTE</t>
        </is>
      </c>
      <c r="I1836" t="n">
        <v>0</v>
      </c>
      <c r="J1836" t="n">
        <v>0</v>
      </c>
      <c r="K1836" t="n">
        <v>0</v>
      </c>
      <c r="L1836" t="n">
        <v>0</v>
      </c>
      <c r="M1836" t="n">
        <v>0</v>
      </c>
      <c r="N1836" t="n">
        <v>0</v>
      </c>
      <c r="O1836" t="n">
        <v>0</v>
      </c>
      <c r="P1836" t="n">
        <v>0</v>
      </c>
      <c r="Q1836" t="n">
        <v>0</v>
      </c>
      <c r="R1836" t="inlineStr">
        <is>
          <t>Operationnel</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row>
    <row r="1837">
      <c r="A1837" t="inlineStr">
        <is>
          <t>CBC</t>
        </is>
      </c>
      <c r="B1837" t="inlineStr">
        <is>
          <t>CTR_805</t>
        </is>
      </c>
      <c r="C1837" t="inlineStr">
        <is>
          <t>Yaounde</t>
        </is>
      </c>
      <c r="D1837" t="inlineStr"/>
      <c r="E1837" t="inlineStr"/>
      <c r="F1837" t="inlineStr">
        <is>
          <t>CENTRE</t>
        </is>
      </c>
      <c r="G1837" t="inlineStr">
        <is>
          <t>Yaounde</t>
        </is>
      </c>
      <c r="H1837" t="inlineStr">
        <is>
          <t>ZTE</t>
        </is>
      </c>
      <c r="I1837" t="n">
        <v>0</v>
      </c>
      <c r="J1837" t="n">
        <v>0</v>
      </c>
      <c r="K1837" t="n">
        <v>0</v>
      </c>
      <c r="L1837" t="n">
        <v>0</v>
      </c>
      <c r="M1837" t="n">
        <v>0</v>
      </c>
      <c r="N1837" t="n">
        <v>0</v>
      </c>
      <c r="O1837" t="n">
        <v>0</v>
      </c>
      <c r="P1837" t="n">
        <v>0</v>
      </c>
      <c r="Q1837" t="n">
        <v>0</v>
      </c>
      <c r="R1837" t="inlineStr">
        <is>
          <t>Operationnel</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row>
    <row r="1838">
      <c r="A1838" t="inlineStr">
        <is>
          <t>Ngoumou-Camrail</t>
        </is>
      </c>
      <c r="B1838" t="inlineStr">
        <is>
          <t>CTR_098</t>
        </is>
      </c>
      <c r="C1838" t="inlineStr">
        <is>
          <t>CENTRE</t>
        </is>
      </c>
      <c r="D1838" t="inlineStr">
        <is>
          <t>CAMUSAT</t>
        </is>
      </c>
      <c r="E1838" t="inlineStr">
        <is>
          <t>Medium Grid + Solar + GE</t>
        </is>
      </c>
      <c r="F1838" t="inlineStr">
        <is>
          <t>CENTRE</t>
        </is>
      </c>
      <c r="G1838" t="inlineStr">
        <is>
          <t>Ngoumou</t>
        </is>
      </c>
      <c r="H1838" t="inlineStr">
        <is>
          <t>NOKIA</t>
        </is>
      </c>
      <c r="I1838" t="n">
        <v>0</v>
      </c>
      <c r="J1838" t="n">
        <v>0</v>
      </c>
      <c r="K1838" t="n">
        <v>0</v>
      </c>
      <c r="L1838" t="n">
        <v>0</v>
      </c>
      <c r="M1838" t="n">
        <v>0</v>
      </c>
      <c r="N1838" t="n">
        <v>0</v>
      </c>
      <c r="O1838" t="n">
        <v>0</v>
      </c>
      <c r="P1838" t="n">
        <v>0</v>
      </c>
      <c r="Q1838" t="n">
        <v>0</v>
      </c>
      <c r="R1838" t="inlineStr">
        <is>
          <t>Operationnel</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row>
    <row r="1839">
      <c r="A1839" t="inlineStr">
        <is>
          <t>Cogefar</t>
        </is>
      </c>
      <c r="B1839" t="inlineStr">
        <is>
          <t>LIT_198</t>
        </is>
      </c>
      <c r="C1839" t="inlineStr">
        <is>
          <t>Douala</t>
        </is>
      </c>
      <c r="D1839" t="inlineStr">
        <is>
          <t>IHS</t>
        </is>
      </c>
      <c r="E1839" t="inlineStr">
        <is>
          <t>Grid-Gen</t>
        </is>
      </c>
      <c r="F1839" t="inlineStr">
        <is>
          <t>LITTORAL</t>
        </is>
      </c>
      <c r="G1839" t="inlineStr">
        <is>
          <t>Douala</t>
        </is>
      </c>
      <c r="H1839" t="inlineStr">
        <is>
          <t>ZTE</t>
        </is>
      </c>
      <c r="I1839" t="n">
        <v>0</v>
      </c>
      <c r="J1839" t="n">
        <v>0</v>
      </c>
      <c r="K1839" t="n">
        <v>0</v>
      </c>
      <c r="L1839" t="n">
        <v>0</v>
      </c>
      <c r="M1839" t="n">
        <v>0</v>
      </c>
      <c r="N1839" t="n">
        <v>0</v>
      </c>
      <c r="O1839" t="n">
        <v>0</v>
      </c>
      <c r="P1839" t="n">
        <v>0</v>
      </c>
      <c r="Q1839" t="n">
        <v>0</v>
      </c>
      <c r="R1839" t="inlineStr">
        <is>
          <t>Operationnel</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row>
    <row r="1840">
      <c r="A1840" t="inlineStr">
        <is>
          <t>Nkolmeyos-IHS</t>
        </is>
      </c>
      <c r="B1840" t="inlineStr">
        <is>
          <t>SUD_111</t>
        </is>
      </c>
      <c r="C1840" t="inlineStr">
        <is>
          <t>CENTRE</t>
        </is>
      </c>
      <c r="D1840" t="inlineStr">
        <is>
          <t>IHS</t>
        </is>
      </c>
      <c r="E1840" t="inlineStr">
        <is>
          <t>Gen-Lithium</t>
        </is>
      </c>
      <c r="F1840" t="inlineStr">
        <is>
          <t>SUD</t>
        </is>
      </c>
      <c r="G1840" t="inlineStr">
        <is>
          <t>Nkolmeyos</t>
        </is>
      </c>
      <c r="H1840" t="inlineStr">
        <is>
          <t>ZTE</t>
        </is>
      </c>
      <c r="I1840" t="n">
        <v>0</v>
      </c>
      <c r="J1840" t="n">
        <v>0</v>
      </c>
      <c r="K1840" t="n">
        <v>0</v>
      </c>
      <c r="L1840" t="n">
        <v>0</v>
      </c>
      <c r="M1840" t="n">
        <v>0</v>
      </c>
      <c r="N1840" t="n">
        <v>0</v>
      </c>
      <c r="O1840" t="n">
        <v>0</v>
      </c>
      <c r="P1840" t="n">
        <v>0</v>
      </c>
      <c r="Q1840" t="n">
        <v>0</v>
      </c>
      <c r="R1840" t="inlineStr">
        <is>
          <t>Operationnel</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row>
    <row r="1841">
      <c r="A1841" t="inlineStr">
        <is>
          <t>Meyo-Elie</t>
        </is>
      </c>
      <c r="B1841" t="inlineStr">
        <is>
          <t>SUD_124</t>
        </is>
      </c>
      <c r="C1841" t="inlineStr">
        <is>
          <t>CENTRE</t>
        </is>
      </c>
      <c r="D1841" t="inlineStr">
        <is>
          <t>CAMUSAT</t>
        </is>
      </c>
      <c r="E1841" t="inlineStr">
        <is>
          <t>Hybrid Solar - S3</t>
        </is>
      </c>
      <c r="F1841" t="inlineStr">
        <is>
          <t>SUD</t>
        </is>
      </c>
      <c r="G1841" t="inlineStr">
        <is>
          <t>Ambam</t>
        </is>
      </c>
      <c r="H1841" t="inlineStr">
        <is>
          <t>ZTE</t>
        </is>
      </c>
      <c r="I1841" t="n">
        <v>0</v>
      </c>
      <c r="J1841" t="n">
        <v>0</v>
      </c>
      <c r="K1841" t="n">
        <v>0</v>
      </c>
      <c r="L1841" t="n">
        <v>0</v>
      </c>
      <c r="M1841" t="n">
        <v>0</v>
      </c>
      <c r="N1841" t="n">
        <v>0</v>
      </c>
      <c r="O1841" t="n">
        <v>0</v>
      </c>
      <c r="P1841" t="n">
        <v>0</v>
      </c>
      <c r="Q1841" t="n">
        <v>0</v>
      </c>
      <c r="R1841" t="inlineStr">
        <is>
          <t>Operationnel</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row>
    <row r="1842">
      <c r="A1842" t="inlineStr">
        <is>
          <t>Lycee-Koumassi-IHS</t>
        </is>
      </c>
      <c r="B1842" t="inlineStr">
        <is>
          <t>LIT_427</t>
        </is>
      </c>
      <c r="C1842" t="inlineStr">
        <is>
          <t>Douala</t>
        </is>
      </c>
      <c r="D1842" t="inlineStr">
        <is>
          <t>IHS</t>
        </is>
      </c>
      <c r="E1842" t="inlineStr">
        <is>
          <t>Grid-Gen</t>
        </is>
      </c>
      <c r="F1842" t="inlineStr">
        <is>
          <t>LITTORAL</t>
        </is>
      </c>
      <c r="G1842" t="inlineStr">
        <is>
          <t>Douala</t>
        </is>
      </c>
      <c r="H1842" t="inlineStr">
        <is>
          <t>ZTE</t>
        </is>
      </c>
      <c r="I1842" t="n">
        <v>0</v>
      </c>
      <c r="J1842" t="n">
        <v>0</v>
      </c>
      <c r="K1842" t="n">
        <v>0</v>
      </c>
      <c r="L1842" t="n">
        <v>0</v>
      </c>
      <c r="M1842" t="n">
        <v>0</v>
      </c>
      <c r="N1842" t="n">
        <v>0</v>
      </c>
      <c r="O1842" t="n">
        <v>0</v>
      </c>
      <c r="P1842" t="n">
        <v>0</v>
      </c>
      <c r="Q1842" t="n">
        <v>0</v>
      </c>
      <c r="R1842" t="inlineStr">
        <is>
          <t>Operationnel</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row>
    <row r="1843">
      <c r="A1843" t="inlineStr">
        <is>
          <t>Ndokoti-GUINNESS</t>
        </is>
      </c>
      <c r="B1843" t="inlineStr">
        <is>
          <t>LIT_525</t>
        </is>
      </c>
      <c r="C1843" t="inlineStr">
        <is>
          <t>Douala</t>
        </is>
      </c>
      <c r="D1843" t="inlineStr">
        <is>
          <t>IHS</t>
        </is>
      </c>
      <c r="E1843" t="inlineStr">
        <is>
          <t>Grid-Gen</t>
        </is>
      </c>
      <c r="F1843" t="inlineStr">
        <is>
          <t>LITTORAL</t>
        </is>
      </c>
      <c r="G1843" t="inlineStr">
        <is>
          <t>Douala</t>
        </is>
      </c>
      <c r="H1843" t="inlineStr">
        <is>
          <t>ZTE</t>
        </is>
      </c>
      <c r="I1843" t="n">
        <v>0</v>
      </c>
      <c r="J1843" t="n">
        <v>0</v>
      </c>
      <c r="K1843" t="n">
        <v>0</v>
      </c>
      <c r="L1843" t="n">
        <v>0</v>
      </c>
      <c r="M1843" t="n">
        <v>0</v>
      </c>
      <c r="N1843" t="n">
        <v>0</v>
      </c>
      <c r="O1843" t="n">
        <v>0</v>
      </c>
      <c r="P1843" t="n">
        <v>0</v>
      </c>
      <c r="Q1843" t="n">
        <v>0</v>
      </c>
      <c r="R1843" t="inlineStr">
        <is>
          <t>Operationnel</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row>
    <row r="1844">
      <c r="A1844" t="inlineStr">
        <is>
          <t>Soudanaise-micro</t>
        </is>
      </c>
      <c r="B1844" t="inlineStr">
        <is>
          <t>LIT_703</t>
        </is>
      </c>
      <c r="C1844" t="inlineStr">
        <is>
          <t>Douala</t>
        </is>
      </c>
      <c r="D1844" t="inlineStr"/>
      <c r="E1844" t="inlineStr"/>
      <c r="F1844" t="inlineStr">
        <is>
          <t>LITTORAL</t>
        </is>
      </c>
      <c r="G1844" t="inlineStr">
        <is>
          <t>Douala</t>
        </is>
      </c>
      <c r="H1844" t="inlineStr">
        <is>
          <t>ZTE</t>
        </is>
      </c>
      <c r="I1844" t="n">
        <v>0</v>
      </c>
      <c r="J1844" t="n">
        <v>0</v>
      </c>
      <c r="K1844" t="n">
        <v>0</v>
      </c>
      <c r="L1844" t="n">
        <v>0</v>
      </c>
      <c r="M1844" t="n">
        <v>0</v>
      </c>
      <c r="N1844" t="n">
        <v>0</v>
      </c>
      <c r="O1844" t="n">
        <v>0</v>
      </c>
      <c r="P1844" t="n">
        <v>0</v>
      </c>
      <c r="Q1844" t="n">
        <v>0</v>
      </c>
      <c r="R1844" t="inlineStr">
        <is>
          <t>Operationnel</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row>
    <row r="1845">
      <c r="A1845" t="inlineStr">
        <is>
          <t>Sodiko-Gare-Rtiere-IHS</t>
        </is>
      </c>
      <c r="B1845" t="inlineStr">
        <is>
          <t>LIT_137</t>
        </is>
      </c>
      <c r="C1845" t="inlineStr">
        <is>
          <t>Douala</t>
        </is>
      </c>
      <c r="D1845" t="inlineStr">
        <is>
          <t>IHS</t>
        </is>
      </c>
      <c r="E1845" t="inlineStr">
        <is>
          <t>Grid-Gen</t>
        </is>
      </c>
      <c r="F1845" t="inlineStr">
        <is>
          <t>LITTORAL</t>
        </is>
      </c>
      <c r="G1845" t="inlineStr">
        <is>
          <t>Douala</t>
        </is>
      </c>
      <c r="H1845" t="inlineStr">
        <is>
          <t>ZTE</t>
        </is>
      </c>
      <c r="I1845" t="n">
        <v>0</v>
      </c>
      <c r="J1845" t="n">
        <v>0</v>
      </c>
      <c r="K1845" t="n">
        <v>0</v>
      </c>
      <c r="L1845" t="n">
        <v>0</v>
      </c>
      <c r="M1845" t="n">
        <v>0</v>
      </c>
      <c r="N1845" t="n">
        <v>0</v>
      </c>
      <c r="O1845" t="n">
        <v>0</v>
      </c>
      <c r="P1845" t="n">
        <v>0</v>
      </c>
      <c r="Q1845" t="n">
        <v>0</v>
      </c>
      <c r="R1845" t="inlineStr">
        <is>
          <t>Operationnel</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row>
    <row r="1846">
      <c r="A1846" t="inlineStr">
        <is>
          <t>Kribi-gd-batanga</t>
        </is>
      </c>
      <c r="B1846" t="inlineStr">
        <is>
          <t>LIT_107</t>
        </is>
      </c>
      <c r="C1846" t="inlineStr">
        <is>
          <t>LITTORAL</t>
        </is>
      </c>
      <c r="D1846" t="inlineStr">
        <is>
          <t>IHS</t>
        </is>
      </c>
      <c r="E1846" t="inlineStr">
        <is>
          <t>Grid-Gen</t>
        </is>
      </c>
      <c r="F1846" t="inlineStr">
        <is>
          <t>LITTORAL</t>
        </is>
      </c>
      <c r="G1846" t="inlineStr">
        <is>
          <t>Kribi</t>
        </is>
      </c>
      <c r="H1846" t="inlineStr">
        <is>
          <t>ZTE</t>
        </is>
      </c>
      <c r="I1846" t="n">
        <v>0</v>
      </c>
      <c r="J1846" t="n">
        <v>0</v>
      </c>
      <c r="K1846" t="n">
        <v>0</v>
      </c>
      <c r="L1846" t="n">
        <v>0</v>
      </c>
      <c r="M1846" t="n">
        <v>0</v>
      </c>
      <c r="N1846" t="n">
        <v>0</v>
      </c>
      <c r="O1846" t="n">
        <v>0</v>
      </c>
      <c r="P1846" t="n">
        <v>0</v>
      </c>
      <c r="Q1846" t="n">
        <v>0</v>
      </c>
      <c r="R1846" t="inlineStr">
        <is>
          <t>Operationnel</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row>
    <row r="1847">
      <c r="A1847" t="inlineStr">
        <is>
          <t>Menloh-Maloume-Camrail</t>
        </is>
      </c>
      <c r="B1847" t="inlineStr">
        <is>
          <t>CTR_451</t>
        </is>
      </c>
      <c r="C1847" t="inlineStr">
        <is>
          <t>CENTRE</t>
        </is>
      </c>
      <c r="D1847" t="inlineStr">
        <is>
          <t>CAMUSAT</t>
        </is>
      </c>
      <c r="E1847" t="inlineStr">
        <is>
          <t>Hybrid Solar - S3</t>
        </is>
      </c>
      <c r="F1847" t="inlineStr">
        <is>
          <t>CENTRE</t>
        </is>
      </c>
      <c r="G1847" t="inlineStr">
        <is>
          <t>Eseka</t>
        </is>
      </c>
      <c r="H1847" t="inlineStr">
        <is>
          <t>NOKIA</t>
        </is>
      </c>
      <c r="I1847" t="n">
        <v>0</v>
      </c>
      <c r="J1847" t="n">
        <v>0</v>
      </c>
      <c r="K1847" t="n">
        <v>0</v>
      </c>
      <c r="L1847" t="n">
        <v>0</v>
      </c>
      <c r="M1847" t="n">
        <v>0</v>
      </c>
      <c r="N1847" t="n">
        <v>0</v>
      </c>
      <c r="O1847" t="n">
        <v>0</v>
      </c>
      <c r="P1847" t="n">
        <v>0</v>
      </c>
      <c r="Q1847" t="n">
        <v>0</v>
      </c>
      <c r="R1847" t="inlineStr">
        <is>
          <t>Operationnel</t>
        </is>
      </c>
      <c r="S1847" t="inlineStr"/>
      <c r="T1847" t="inlineStr"/>
      <c r="U1847" t="inlineStr"/>
      <c r="V1847" t="inlineStr"/>
      <c r="W1847" t="inlineStr"/>
      <c r="X1847" t="inlineStr">
        <is>
          <t>{05-25-2026 incident}:  {05-18-2026 groupe whatsapp incident}: impacted by    CTR_750_Z_Nkometou-II(CTR-750) ,Power issue || Action retour CAMUSAT attendu      ;    {05-25-2026 ocm ran 22H}: Power status check Ongoing</t>
        </is>
      </c>
      <c r="Y1847" t="inlineStr">
        <is>
          <t>{05-25-2026 incident} {05-18-2026 groupe whatsapp incident} impacted by CTR_750_Z_Nkometou-II(CTR-750) ,Power issue || Action retour CAMUSAT attendu</t>
        </is>
      </c>
      <c r="Z1847" t="inlineStr"/>
      <c r="AA1847" t="inlineStr">
        <is>
          <t xml:space="preserve">{05-25-2026 incident}:  {05-18-2026 groupe whatsapp incident}: impacted by    CTR_750_Z_Nkometou-II(CTR-750) ,Power issue || Action retour CAMUSAT attendu </t>
        </is>
      </c>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{05-25-2026 ocm ran 22H}: Power status check Ongoing</t>
        </is>
      </c>
      <c r="AP1847" t="inlineStr"/>
      <c r="AQ1847" t="inlineStr"/>
      <c r="AR1847" t="inlineStr"/>
    </row>
    <row r="1848">
      <c r="A1848" t="inlineStr">
        <is>
          <t>Bpriso-Nodal</t>
        </is>
      </c>
      <c r="B1848" t="inlineStr">
        <is>
          <t>LIT_104</t>
        </is>
      </c>
      <c r="C1848" t="inlineStr">
        <is>
          <t>Douala</t>
        </is>
      </c>
      <c r="D1848" t="inlineStr"/>
      <c r="E1848" t="inlineStr"/>
      <c r="F1848" t="inlineStr">
        <is>
          <t>LITTORAL</t>
        </is>
      </c>
      <c r="G1848" t="inlineStr">
        <is>
          <t>Douala</t>
        </is>
      </c>
      <c r="H1848" t="inlineStr">
        <is>
          <t>ZTE</t>
        </is>
      </c>
      <c r="I1848" t="n">
        <v>0</v>
      </c>
      <c r="J1848" t="n">
        <v>0</v>
      </c>
      <c r="K1848" t="n">
        <v>0</v>
      </c>
      <c r="L1848" t="n">
        <v>0</v>
      </c>
      <c r="M1848" t="n">
        <v>0</v>
      </c>
      <c r="N1848" t="n">
        <v>0</v>
      </c>
      <c r="O1848" t="n">
        <v>0</v>
      </c>
      <c r="P1848" t="n">
        <v>0</v>
      </c>
      <c r="Q1848" t="n">
        <v>0</v>
      </c>
      <c r="R1848" t="inlineStr">
        <is>
          <t>Operationnel</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row>
    <row r="1849">
      <c r="A1849" t="inlineStr">
        <is>
          <t>Otele-Camrail</t>
        </is>
      </c>
      <c r="B1849" t="inlineStr">
        <is>
          <t>CTR_452</t>
        </is>
      </c>
      <c r="C1849" t="inlineStr">
        <is>
          <t>CENTRE</t>
        </is>
      </c>
      <c r="D1849" t="inlineStr">
        <is>
          <t>CAMUSAT</t>
        </is>
      </c>
      <c r="E1849" t="inlineStr">
        <is>
          <t>Medium Grid + Solar + GE</t>
        </is>
      </c>
      <c r="F1849" t="inlineStr">
        <is>
          <t>CENTRE</t>
        </is>
      </c>
      <c r="G1849" t="inlineStr">
        <is>
          <t>Ngoumou</t>
        </is>
      </c>
      <c r="H1849" t="inlineStr">
        <is>
          <t>NOKIA</t>
        </is>
      </c>
      <c r="I1849" t="n">
        <v>0</v>
      </c>
      <c r="J1849" t="n">
        <v>0</v>
      </c>
      <c r="K1849" t="n">
        <v>0</v>
      </c>
      <c r="L1849" t="n">
        <v>0</v>
      </c>
      <c r="M1849" t="n">
        <v>0</v>
      </c>
      <c r="N1849" t="n">
        <v>0</v>
      </c>
      <c r="O1849" t="n">
        <v>0</v>
      </c>
      <c r="P1849" t="n">
        <v>0</v>
      </c>
      <c r="Q1849" t="n">
        <v>0</v>
      </c>
      <c r="R1849" t="inlineStr">
        <is>
          <t>Operationnel</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row>
    <row r="1850">
      <c r="A1850" t="inlineStr">
        <is>
          <t>Beedi-Hte-Tension</t>
        </is>
      </c>
      <c r="B1850" t="inlineStr">
        <is>
          <t>LIT_256</t>
        </is>
      </c>
      <c r="C1850" t="inlineStr">
        <is>
          <t>Douala</t>
        </is>
      </c>
      <c r="D1850" t="inlineStr">
        <is>
          <t>IHS</t>
        </is>
      </c>
      <c r="E1850" t="inlineStr">
        <is>
          <t>Grid-Gen</t>
        </is>
      </c>
      <c r="F1850" t="inlineStr">
        <is>
          <t>LITTORAL</t>
        </is>
      </c>
      <c r="G1850" t="inlineStr">
        <is>
          <t>Douala</t>
        </is>
      </c>
      <c r="H1850" t="inlineStr">
        <is>
          <t>ZTE</t>
        </is>
      </c>
      <c r="I1850" t="n">
        <v>0</v>
      </c>
      <c r="J1850" t="n">
        <v>0</v>
      </c>
      <c r="K1850" t="n">
        <v>0</v>
      </c>
      <c r="L1850" t="n">
        <v>0</v>
      </c>
      <c r="M1850" t="n">
        <v>0</v>
      </c>
      <c r="N1850" t="n">
        <v>0</v>
      </c>
      <c r="O1850" t="n">
        <v>0</v>
      </c>
      <c r="P1850" t="n">
        <v>0</v>
      </c>
      <c r="Q1850" t="n">
        <v>0</v>
      </c>
      <c r="R1850" t="inlineStr">
        <is>
          <t>Operationnel</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row>
    <row r="1851">
      <c r="A1851" t="inlineStr">
        <is>
          <t>ZI-Cimencam</t>
        </is>
      </c>
      <c r="B1851" t="inlineStr">
        <is>
          <t>LIT_258</t>
        </is>
      </c>
      <c r="C1851" t="inlineStr">
        <is>
          <t>Douala</t>
        </is>
      </c>
      <c r="D1851" t="inlineStr">
        <is>
          <t>OCM/Strategique</t>
        </is>
      </c>
      <c r="E1851" t="inlineStr">
        <is>
          <t>Grid-Gen</t>
        </is>
      </c>
      <c r="F1851" t="inlineStr">
        <is>
          <t>LITTORAL</t>
        </is>
      </c>
      <c r="G1851" t="inlineStr">
        <is>
          <t>Douala</t>
        </is>
      </c>
      <c r="H1851" t="inlineStr">
        <is>
          <t>ZTE</t>
        </is>
      </c>
      <c r="I1851" t="n">
        <v>0</v>
      </c>
      <c r="J1851" t="n">
        <v>0</v>
      </c>
      <c r="K1851" t="n">
        <v>0</v>
      </c>
      <c r="L1851" t="n">
        <v>0</v>
      </c>
      <c r="M1851" t="n">
        <v>0</v>
      </c>
      <c r="N1851" t="n">
        <v>0</v>
      </c>
      <c r="O1851" t="n">
        <v>0</v>
      </c>
      <c r="P1851" t="n">
        <v>0</v>
      </c>
      <c r="Q1851" t="n">
        <v>0</v>
      </c>
      <c r="R1851" t="inlineStr">
        <is>
          <t>Operationnel</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row>
    <row r="1852">
      <c r="A1852" t="inlineStr">
        <is>
          <t>Touboro</t>
        </is>
      </c>
      <c r="B1852" t="inlineStr">
        <is>
          <t>ADM_005</t>
        </is>
      </c>
      <c r="C1852" t="inlineStr">
        <is>
          <t>ADAMAOUA</t>
        </is>
      </c>
      <c r="D1852" t="inlineStr">
        <is>
          <t>IHS</t>
        </is>
      </c>
      <c r="E1852" t="inlineStr">
        <is>
          <t>Grid-Gen</t>
        </is>
      </c>
      <c r="F1852" t="inlineStr">
        <is>
          <t>ADAMAOUA</t>
        </is>
      </c>
      <c r="G1852" t="inlineStr">
        <is>
          <t>Touboro</t>
        </is>
      </c>
      <c r="H1852" t="inlineStr">
        <is>
          <t>Huawei</t>
        </is>
      </c>
      <c r="I1852" t="n">
        <v>0</v>
      </c>
      <c r="J1852" t="n">
        <v>0</v>
      </c>
      <c r="K1852" t="n">
        <v>0</v>
      </c>
      <c r="L1852" t="n">
        <v>0</v>
      </c>
      <c r="M1852" t="n">
        <v>0</v>
      </c>
      <c r="N1852" t="n">
        <v>0</v>
      </c>
      <c r="O1852" t="n">
        <v>0</v>
      </c>
      <c r="P1852" t="n">
        <v>0</v>
      </c>
      <c r="Q1852" t="n">
        <v>0</v>
      </c>
      <c r="R1852" t="inlineStr">
        <is>
          <t>Operationnel</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row>
    <row r="1853">
      <c r="A1853" t="inlineStr">
        <is>
          <t>Foumban-CAMTEL</t>
        </is>
      </c>
      <c r="B1853" t="inlineStr">
        <is>
          <t>OST_047</t>
        </is>
      </c>
      <c r="C1853" t="inlineStr">
        <is>
          <t>OUEST</t>
        </is>
      </c>
      <c r="D1853" t="inlineStr">
        <is>
          <t>CAMUSAT</t>
        </is>
      </c>
      <c r="E1853" t="inlineStr">
        <is>
          <t>Medium Grid + Solar + GE</t>
        </is>
      </c>
      <c r="F1853" t="inlineStr">
        <is>
          <t>OUEST</t>
        </is>
      </c>
      <c r="G1853" t="inlineStr">
        <is>
          <t>Foumban</t>
        </is>
      </c>
      <c r="H1853" t="inlineStr">
        <is>
          <t>Huawei</t>
        </is>
      </c>
      <c r="I1853" t="n">
        <v>0</v>
      </c>
      <c r="J1853" t="n">
        <v>0</v>
      </c>
      <c r="K1853" t="n">
        <v>0</v>
      </c>
      <c r="L1853" t="n">
        <v>0</v>
      </c>
      <c r="M1853" t="n">
        <v>0</v>
      </c>
      <c r="N1853" t="n">
        <v>0</v>
      </c>
      <c r="O1853" t="n">
        <v>0</v>
      </c>
      <c r="P1853" t="n">
        <v>0</v>
      </c>
      <c r="Q1853" t="n">
        <v>0</v>
      </c>
      <c r="R1853" t="inlineStr">
        <is>
          <t>Operationnel</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row>
    <row r="1854">
      <c r="A1854" t="inlineStr">
        <is>
          <t>CTN</t>
        </is>
      </c>
      <c r="B1854" t="inlineStr">
        <is>
          <t>LIT_003</t>
        </is>
      </c>
      <c r="C1854" t="inlineStr">
        <is>
          <t>Douala</t>
        </is>
      </c>
      <c r="D1854" t="inlineStr">
        <is>
          <t>CAMUSAT</t>
        </is>
      </c>
      <c r="E1854" t="inlineStr">
        <is>
          <t>Good Grid 100%</t>
        </is>
      </c>
      <c r="F1854" t="inlineStr">
        <is>
          <t>LITTORAL</t>
        </is>
      </c>
      <c r="G1854" t="inlineStr">
        <is>
          <t>Douala</t>
        </is>
      </c>
      <c r="H1854" t="inlineStr">
        <is>
          <t>ZTE</t>
        </is>
      </c>
      <c r="I1854" t="n">
        <v>0</v>
      </c>
      <c r="J1854" t="n">
        <v>0</v>
      </c>
      <c r="K1854" t="n">
        <v>0</v>
      </c>
      <c r="L1854" t="n">
        <v>0</v>
      </c>
      <c r="M1854" t="n">
        <v>0</v>
      </c>
      <c r="N1854" t="n">
        <v>0</v>
      </c>
      <c r="O1854" t="n">
        <v>0</v>
      </c>
      <c r="P1854" t="n">
        <v>0</v>
      </c>
      <c r="Q1854" t="n">
        <v>0</v>
      </c>
      <c r="R1854" t="inlineStr">
        <is>
          <t>Operationnel</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row>
    <row r="1855">
      <c r="A1855" t="inlineStr">
        <is>
          <t>La-Rose</t>
        </is>
      </c>
      <c r="B1855" t="inlineStr">
        <is>
          <t>LIT_009</t>
        </is>
      </c>
      <c r="C1855" t="inlineStr">
        <is>
          <t>Douala</t>
        </is>
      </c>
      <c r="D1855" t="inlineStr">
        <is>
          <t>IHS</t>
        </is>
      </c>
      <c r="E1855" t="inlineStr">
        <is>
          <t>Grid-Gen</t>
        </is>
      </c>
      <c r="F1855" t="inlineStr">
        <is>
          <t>LITTORAL</t>
        </is>
      </c>
      <c r="G1855" t="inlineStr">
        <is>
          <t>Douala</t>
        </is>
      </c>
      <c r="H1855" t="inlineStr">
        <is>
          <t>ZTE</t>
        </is>
      </c>
      <c r="I1855" t="n">
        <v>0</v>
      </c>
      <c r="J1855" t="n">
        <v>0</v>
      </c>
      <c r="K1855" t="n">
        <v>0</v>
      </c>
      <c r="L1855" t="n">
        <v>0</v>
      </c>
      <c r="M1855" t="n">
        <v>0</v>
      </c>
      <c r="N1855" t="n">
        <v>0</v>
      </c>
      <c r="O1855" t="n">
        <v>0</v>
      </c>
      <c r="P1855" t="n">
        <v>0</v>
      </c>
      <c r="Q1855" t="n">
        <v>0</v>
      </c>
      <c r="R1855" t="inlineStr">
        <is>
          <t>Operationnel</t>
        </is>
      </c>
      <c r="S1855" t="inlineStr"/>
      <c r="T1855" t="inlineStr"/>
      <c r="U1855" t="inlineStr"/>
      <c r="V1855" t="inlineStr"/>
      <c r="W1855" t="inlineStr"/>
      <c r="X1855" t="inlineStr">
        <is>
          <t xml:space="preserve">{05/25/2026 cell zte}: 25/05/2026 :  FME should check GPS feeder status, GPS cable, GPS module || FME activer </t>
        </is>
      </c>
      <c r="Y1855" t="inlineStr">
        <is>
          <t>25/05/2026 FME should check GPS feeder status, GPS cable, GPS module || FME activer</t>
        </is>
      </c>
      <c r="Z1855" t="inlineStr"/>
      <c r="AA1855" t="inlineStr"/>
      <c r="AB1855" t="inlineStr"/>
      <c r="AC1855" t="inlineStr"/>
      <c r="AD1855" t="inlineStr"/>
      <c r="AE1855" t="inlineStr"/>
      <c r="AF1855" t="inlineStr"/>
      <c r="AG1855" t="inlineStr"/>
      <c r="AH1855" t="inlineStr"/>
      <c r="AI1855" t="inlineStr">
        <is>
          <t xml:space="preserve">{05/25/2026 cell zte}: 25/05/2026 :  FME should check GPS feeder status, GPS cable, GPS module || FME activer </t>
        </is>
      </c>
      <c r="AJ1855" t="inlineStr"/>
      <c r="AK1855" t="inlineStr"/>
      <c r="AL1855" t="inlineStr"/>
      <c r="AM1855" t="inlineStr"/>
      <c r="AN1855" t="inlineStr"/>
      <c r="AO1855" t="inlineStr"/>
      <c r="AP1855" t="inlineStr"/>
      <c r="AQ1855" t="inlineStr"/>
      <c r="AR1855" t="inlineStr"/>
    </row>
    <row r="1856">
      <c r="A1856" t="inlineStr">
        <is>
          <t>Minisite-Elig-Edzoa</t>
        </is>
      </c>
      <c r="B1856" t="inlineStr">
        <is>
          <t>CTR_684</t>
        </is>
      </c>
      <c r="C1856" t="inlineStr">
        <is>
          <t>Yaounde</t>
        </is>
      </c>
      <c r="D1856" t="inlineStr">
        <is>
          <t>CAMUSAT</t>
        </is>
      </c>
      <c r="E1856" t="inlineStr">
        <is>
          <t>Good Grid no GE - 8h</t>
        </is>
      </c>
      <c r="F1856" t="inlineStr">
        <is>
          <t>CENTRE</t>
        </is>
      </c>
      <c r="G1856" t="inlineStr">
        <is>
          <t>Yaounde</t>
        </is>
      </c>
      <c r="H1856" t="inlineStr">
        <is>
          <t>ZTE</t>
        </is>
      </c>
      <c r="I1856" t="n">
        <v>0</v>
      </c>
      <c r="J1856" t="n">
        <v>0</v>
      </c>
      <c r="K1856" t="n">
        <v>0</v>
      </c>
      <c r="L1856" t="n">
        <v>0</v>
      </c>
      <c r="M1856" t="n">
        <v>0</v>
      </c>
      <c r="N1856" t="n">
        <v>0</v>
      </c>
      <c r="O1856" t="n">
        <v>0</v>
      </c>
      <c r="P1856" t="n">
        <v>0</v>
      </c>
      <c r="Q1856" t="n">
        <v>0</v>
      </c>
      <c r="R1856" t="inlineStr">
        <is>
          <t>Operationnel</t>
        </is>
      </c>
      <c r="S1856" t="inlineStr"/>
      <c r="T1856" t="inlineStr"/>
      <c r="U1856" t="inlineStr"/>
      <c r="V1856" t="inlineStr"/>
      <c r="W1856" t="inlineStr"/>
      <c r="X1856" t="inlineStr">
        <is>
          <t>{05-25-2026 ticket}: INC-20260525-00001187..power issues responsabilité camusat site grid only..Others</t>
        </is>
      </c>
      <c r="Y1856" t="inlineStr">
        <is>
          <t>.power issues responsabilité camusat site grid only.</t>
        </is>
      </c>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is>
          <t>{05-25-2026 ticket}: INC-20260525-00001187..power issues responsabilité camusat site grid only..Others</t>
        </is>
      </c>
      <c r="AR1856" t="inlineStr"/>
    </row>
    <row r="1857">
      <c r="A1857" t="inlineStr">
        <is>
          <t>PK10-Plateau</t>
        </is>
      </c>
      <c r="B1857" t="inlineStr">
        <is>
          <t>LIT_223</t>
        </is>
      </c>
      <c r="C1857" t="inlineStr">
        <is>
          <t>Douala</t>
        </is>
      </c>
      <c r="D1857" t="inlineStr">
        <is>
          <t>IHS</t>
        </is>
      </c>
      <c r="E1857" t="inlineStr">
        <is>
          <t>Grid-Gen</t>
        </is>
      </c>
      <c r="F1857" t="inlineStr">
        <is>
          <t>LITTORAL</t>
        </is>
      </c>
      <c r="G1857" t="inlineStr">
        <is>
          <t>Douala</t>
        </is>
      </c>
      <c r="H1857" t="inlineStr">
        <is>
          <t>ZTE</t>
        </is>
      </c>
      <c r="I1857" t="n">
        <v>0</v>
      </c>
      <c r="J1857" t="n">
        <v>0</v>
      </c>
      <c r="K1857" t="n">
        <v>0</v>
      </c>
      <c r="L1857" t="n">
        <v>0</v>
      </c>
      <c r="M1857" t="n">
        <v>0</v>
      </c>
      <c r="N1857" t="n">
        <v>0</v>
      </c>
      <c r="O1857" t="n">
        <v>0</v>
      </c>
      <c r="P1857" t="n">
        <v>0</v>
      </c>
      <c r="Q1857" t="n">
        <v>0</v>
      </c>
      <c r="R1857" t="inlineStr">
        <is>
          <t>Operationnel</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row>
    <row r="1858">
      <c r="A1858" t="inlineStr">
        <is>
          <t>Sokelle-IHS</t>
        </is>
      </c>
      <c r="B1858" t="inlineStr">
        <is>
          <t>LIT_506</t>
        </is>
      </c>
      <c r="C1858" t="inlineStr">
        <is>
          <t>LITTORAL</t>
        </is>
      </c>
      <c r="D1858" t="inlineStr">
        <is>
          <t>IHS</t>
        </is>
      </c>
      <c r="E1858" t="inlineStr">
        <is>
          <t>Gen Only</t>
        </is>
      </c>
      <c r="F1858" t="inlineStr">
        <is>
          <t>LITTORAL</t>
        </is>
      </c>
      <c r="G1858" t="inlineStr">
        <is>
          <t>Sokelle</t>
        </is>
      </c>
      <c r="H1858" t="inlineStr">
        <is>
          <t>ZTE</t>
        </is>
      </c>
      <c r="I1858" t="n">
        <v>0</v>
      </c>
      <c r="J1858" t="n">
        <v>0</v>
      </c>
      <c r="K1858" t="n">
        <v>0</v>
      </c>
      <c r="L1858" t="n">
        <v>0</v>
      </c>
      <c r="M1858" t="n">
        <v>0</v>
      </c>
      <c r="N1858" t="n">
        <v>0</v>
      </c>
      <c r="O1858" t="n">
        <v>0</v>
      </c>
      <c r="P1858" t="n">
        <v>0</v>
      </c>
      <c r="Q1858" t="n">
        <v>0</v>
      </c>
      <c r="R1858" t="inlineStr">
        <is>
          <t>Operationnel</t>
        </is>
      </c>
      <c r="S1858" t="inlineStr"/>
      <c r="T1858" t="inlineStr"/>
      <c r="U1858" t="inlineStr"/>
      <c r="V1858" t="inlineStr"/>
      <c r="W1858" t="inlineStr"/>
      <c r="X1858" t="inlineStr">
        <is>
          <t>{05-25-2026 ocm ran 22H}: 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CM-20260521-00004477; FME Charly activé pour investigations mais injoignable actuellement, escalade faite au RM     ;    {05-25-2026 ocm ran 17H}: 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CM-20260521-00004477; FME Charly activé pour investigations mais injoignable actuellement, escalade faite au RM</t>
        </is>
      </c>
      <c r="Y1858" t="inlineStr">
        <is>
          <t>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FME Charly activé pour investigations mais injoignable actuellement, escalade faite au RM 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FME Charly activé pour investigations mais injoignable actuellement, escalade faite au RM</t>
        </is>
      </c>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{05-25-2026 ocm ran 22H}: 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CM-20260521-00004477; FME Charly activé pour investigations mais injoignable actuellement, escalade faite au RM</t>
        </is>
      </c>
      <c r="AP1858" t="inlineStr">
        <is>
          <t>{05-25-2026 ocm ran 17H}: 23/05/2026 ODUs Ngwei: 3DB20859AC et Sokelle: 3DB20858AC faulty, passée et escalade en cours vers OCM
22.05.26: ODUs Ngwei: 3DB20859AC et Sokelle: 3DB20858AC faulty, passée et escalade en cours vers OCM
21.05.26: ODUs Ngwei: 3DB20859AC et Sokelle: 3DB20858AC faulty, commande en cours, update ASAP
21.05.26: Besoin d'un FME sur Ngwei pour vérifier la chaine antennaire de l'ODU 4.2; CM-20260521-00004477; FME Charly activé pour investigations mais injoignable actuellement, escalade faite au RM</t>
        </is>
      </c>
      <c r="AQ1858" t="inlineStr"/>
      <c r="AR1858" t="inlineStr"/>
    </row>
    <row r="1859">
      <c r="A1859" t="inlineStr">
        <is>
          <t>Song-Mahop</t>
        </is>
      </c>
      <c r="B1859" t="inlineStr">
        <is>
          <t>LIT_300</t>
        </is>
      </c>
      <c r="C1859" t="inlineStr">
        <is>
          <t>Douala</t>
        </is>
      </c>
      <c r="D1859" t="inlineStr">
        <is>
          <t>IHS</t>
        </is>
      </c>
      <c r="E1859" t="inlineStr">
        <is>
          <t>Grid-Gen</t>
        </is>
      </c>
      <c r="F1859" t="inlineStr">
        <is>
          <t>LITTORAL</t>
        </is>
      </c>
      <c r="G1859" t="inlineStr">
        <is>
          <t>Douala</t>
        </is>
      </c>
      <c r="H1859" t="inlineStr">
        <is>
          <t>ZTE</t>
        </is>
      </c>
      <c r="I1859" t="n">
        <v>0</v>
      </c>
      <c r="J1859" t="n">
        <v>0</v>
      </c>
      <c r="K1859" t="n">
        <v>0</v>
      </c>
      <c r="L1859" t="n">
        <v>0</v>
      </c>
      <c r="M1859" t="n">
        <v>0</v>
      </c>
      <c r="N1859" t="n">
        <v>0</v>
      </c>
      <c r="O1859" t="n">
        <v>0</v>
      </c>
      <c r="P1859" t="n">
        <v>0</v>
      </c>
      <c r="Q1859" t="n">
        <v>0</v>
      </c>
      <c r="R1859" t="inlineStr">
        <is>
          <t>Operationnel</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row>
    <row r="1860">
      <c r="A1860" t="inlineStr">
        <is>
          <t>Ngoung</t>
        </is>
      </c>
      <c r="B1860" t="inlineStr">
        <is>
          <t>CTR_115</t>
        </is>
      </c>
      <c r="C1860" t="inlineStr">
        <is>
          <t>CENTRE</t>
        </is>
      </c>
      <c r="D1860" t="inlineStr">
        <is>
          <t>IHS</t>
        </is>
      </c>
      <c r="E1860" t="inlineStr">
        <is>
          <t>Grid-Gen</t>
        </is>
      </c>
      <c r="F1860" t="inlineStr">
        <is>
          <t>CENTRE</t>
        </is>
      </c>
      <c r="G1860" t="inlineStr">
        <is>
          <t>Ngoung</t>
        </is>
      </c>
      <c r="H1860" t="inlineStr">
        <is>
          <t>ZTE</t>
        </is>
      </c>
      <c r="I1860" t="n">
        <v>0</v>
      </c>
      <c r="J1860" t="n">
        <v>0</v>
      </c>
      <c r="K1860" t="n">
        <v>0</v>
      </c>
      <c r="L1860" t="n">
        <v>0</v>
      </c>
      <c r="M1860" t="n">
        <v>0</v>
      </c>
      <c r="N1860" t="n">
        <v>0</v>
      </c>
      <c r="O1860" t="n">
        <v>0</v>
      </c>
      <c r="P1860" t="n">
        <v>0</v>
      </c>
      <c r="Q1860" t="n">
        <v>0</v>
      </c>
      <c r="R1860" t="inlineStr">
        <is>
          <t>Operationnel</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row>
    <row r="1861">
      <c r="A1861" t="inlineStr">
        <is>
          <t>Bantoum-II-IHS</t>
        </is>
      </c>
      <c r="B1861" t="inlineStr">
        <is>
          <t>OST_301</t>
        </is>
      </c>
      <c r="C1861" t="inlineStr">
        <is>
          <t>OUEST</t>
        </is>
      </c>
      <c r="D1861" t="inlineStr">
        <is>
          <t>IHS</t>
        </is>
      </c>
      <c r="E1861" t="inlineStr">
        <is>
          <t>Grid-Gen</t>
        </is>
      </c>
      <c r="F1861" t="inlineStr">
        <is>
          <t>OUEST</t>
        </is>
      </c>
      <c r="G1861" t="inlineStr">
        <is>
          <t>Bantoum</t>
        </is>
      </c>
      <c r="H1861" t="inlineStr">
        <is>
          <t>HUAWEI</t>
        </is>
      </c>
      <c r="I1861" t="n">
        <v>0</v>
      </c>
      <c r="J1861" t="n">
        <v>0</v>
      </c>
      <c r="K1861" t="n">
        <v>0</v>
      </c>
      <c r="L1861" t="n">
        <v>0</v>
      </c>
      <c r="M1861" t="n">
        <v>0</v>
      </c>
      <c r="N1861" t="n">
        <v>0</v>
      </c>
      <c r="O1861" t="n">
        <v>0</v>
      </c>
      <c r="P1861" t="n">
        <v>0</v>
      </c>
      <c r="Q1861" t="n">
        <v>0</v>
      </c>
      <c r="R1861" t="inlineStr">
        <is>
          <t>Operationnel</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row>
    <row r="1862">
      <c r="A1862" t="inlineStr">
        <is>
          <t>Bamendjing-MTN-IHS</t>
        </is>
      </c>
      <c r="B1862" t="inlineStr">
        <is>
          <t>OST_221</t>
        </is>
      </c>
      <c r="C1862" t="inlineStr">
        <is>
          <t>OUEST</t>
        </is>
      </c>
      <c r="D1862" t="inlineStr">
        <is>
          <t>IHS</t>
        </is>
      </c>
      <c r="E1862" t="inlineStr">
        <is>
          <t>Grid-Gen</t>
        </is>
      </c>
      <c r="F1862" t="inlineStr">
        <is>
          <t>OUEST</t>
        </is>
      </c>
      <c r="G1862" t="inlineStr">
        <is>
          <t>Bamendjing</t>
        </is>
      </c>
      <c r="H1862" t="inlineStr">
        <is>
          <t>HUAWEI</t>
        </is>
      </c>
      <c r="I1862" t="n">
        <v>0</v>
      </c>
      <c r="J1862" t="n">
        <v>0</v>
      </c>
      <c r="K1862" t="n">
        <v>0</v>
      </c>
      <c r="L1862" t="n">
        <v>0</v>
      </c>
      <c r="M1862" t="n">
        <v>0</v>
      </c>
      <c r="N1862" t="n">
        <v>0</v>
      </c>
      <c r="O1862" t="n">
        <v>0</v>
      </c>
      <c r="P1862" t="n">
        <v>0</v>
      </c>
      <c r="Q1862" t="n">
        <v>0</v>
      </c>
      <c r="R1862" t="inlineStr">
        <is>
          <t>Operationnel</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row>
    <row r="1863">
      <c r="A1863" t="inlineStr">
        <is>
          <t>Bandjoun-Marche-Hiala</t>
        </is>
      </c>
      <c r="B1863" t="inlineStr">
        <is>
          <t>OST_276</t>
        </is>
      </c>
      <c r="C1863" t="inlineStr">
        <is>
          <t>OUEST</t>
        </is>
      </c>
      <c r="D1863" t="inlineStr">
        <is>
          <t>CAMUSAT</t>
        </is>
      </c>
      <c r="E1863" t="inlineStr">
        <is>
          <t>Medium Grid + GE</t>
        </is>
      </c>
      <c r="F1863" t="inlineStr">
        <is>
          <t>OUEST</t>
        </is>
      </c>
      <c r="G1863" t="inlineStr">
        <is>
          <t>Bandjoun</t>
        </is>
      </c>
      <c r="H1863" t="inlineStr">
        <is>
          <t>Huawei</t>
        </is>
      </c>
      <c r="I1863" t="n">
        <v>0</v>
      </c>
      <c r="J1863" t="n">
        <v>0</v>
      </c>
      <c r="K1863" t="n">
        <v>0</v>
      </c>
      <c r="L1863" t="n">
        <v>0</v>
      </c>
      <c r="M1863" t="n">
        <v>0</v>
      </c>
      <c r="N1863" t="n">
        <v>0</v>
      </c>
      <c r="O1863" t="n">
        <v>0</v>
      </c>
      <c r="P1863" t="n">
        <v>0</v>
      </c>
      <c r="Q1863" t="n">
        <v>0</v>
      </c>
      <c r="R1863" t="inlineStr">
        <is>
          <t>Operationnel</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row>
    <row r="1864">
      <c r="A1864" t="inlineStr">
        <is>
          <t>Boga-Mahole</t>
        </is>
      </c>
      <c r="B1864" t="inlineStr">
        <is>
          <t>CTR_234</t>
        </is>
      </c>
      <c r="C1864" t="inlineStr">
        <is>
          <t>CENTRE</t>
        </is>
      </c>
      <c r="D1864" t="inlineStr">
        <is>
          <t>IHS</t>
        </is>
      </c>
      <c r="E1864" t="inlineStr">
        <is>
          <t>Grid-Gen</t>
        </is>
      </c>
      <c r="F1864" t="inlineStr">
        <is>
          <t>CENTRE</t>
        </is>
      </c>
      <c r="G1864" t="inlineStr">
        <is>
          <t>Boga-Mahole</t>
        </is>
      </c>
      <c r="H1864" t="inlineStr">
        <is>
          <t>ZTE</t>
        </is>
      </c>
      <c r="I1864" t="n">
        <v>0</v>
      </c>
      <c r="J1864" t="n">
        <v>0</v>
      </c>
      <c r="K1864" t="n">
        <v>0</v>
      </c>
      <c r="L1864" t="n">
        <v>0</v>
      </c>
      <c r="M1864" t="n">
        <v>0</v>
      </c>
      <c r="N1864" t="n">
        <v>0</v>
      </c>
      <c r="O1864" t="n">
        <v>0</v>
      </c>
      <c r="P1864" t="n">
        <v>0</v>
      </c>
      <c r="Q1864" t="n">
        <v>0</v>
      </c>
      <c r="R1864" t="inlineStr">
        <is>
          <t>Operationnel</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row>
    <row r="1865">
      <c r="A1865" t="inlineStr">
        <is>
          <t>Jabane</t>
        </is>
      </c>
      <c r="B1865" t="inlineStr">
        <is>
          <t>SUO_173</t>
        </is>
      </c>
      <c r="C1865" t="inlineStr">
        <is>
          <t>SUD-OUEST</t>
        </is>
      </c>
      <c r="D1865" t="inlineStr">
        <is>
          <t>CAMUSAT</t>
        </is>
      </c>
      <c r="E1865" t="inlineStr">
        <is>
          <t>Good Grid no GE - 8h</t>
        </is>
      </c>
      <c r="F1865" t="inlineStr">
        <is>
          <t>SUD-OUEST</t>
        </is>
      </c>
      <c r="G1865" t="inlineStr">
        <is>
          <t>Jabane</t>
        </is>
      </c>
      <c r="H1865" t="inlineStr">
        <is>
          <t>NOKIA</t>
        </is>
      </c>
      <c r="I1865" t="n">
        <v>0</v>
      </c>
      <c r="J1865" t="n">
        <v>0</v>
      </c>
      <c r="K1865" t="n">
        <v>0</v>
      </c>
      <c r="L1865" t="n">
        <v>0</v>
      </c>
      <c r="M1865" t="n">
        <v>0</v>
      </c>
      <c r="N1865" t="n">
        <v>0</v>
      </c>
      <c r="O1865" t="n">
        <v>0</v>
      </c>
      <c r="P1865" t="n">
        <v>0</v>
      </c>
      <c r="Q1865" t="n">
        <v>0</v>
      </c>
      <c r="R1865" t="inlineStr">
        <is>
          <t>Operationnel</t>
        </is>
      </c>
      <c r="S1865" t="inlineStr"/>
      <c r="T1865" t="inlineStr"/>
      <c r="U1865" t="inlineStr"/>
      <c r="V1865" t="inlineStr"/>
      <c r="W1865" t="inlineStr"/>
      <c r="X1865" t="inlineStr">
        <is>
          <t>{05-25-2026 ocm ran 22H}: 25.05.26: BO TX analysis ongoing</t>
        </is>
      </c>
      <c r="Y1865" t="inlineStr">
        <is>
          <t>25.05.26 BO TX analysis ongoing</t>
        </is>
      </c>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{05-25-2026 ocm ran 22H}: 25.05.26: BO TX analysis ongoing</t>
        </is>
      </c>
      <c r="AP1865" t="inlineStr"/>
      <c r="AQ1865" t="inlineStr"/>
      <c r="AR1865" t="inlineStr"/>
    </row>
    <row r="1866">
      <c r="A1866" t="inlineStr">
        <is>
          <t>Logbessou-II</t>
        </is>
      </c>
      <c r="B1866" t="inlineStr">
        <is>
          <t>LIT_669</t>
        </is>
      </c>
      <c r="C1866" t="inlineStr">
        <is>
          <t>Douala</t>
        </is>
      </c>
      <c r="D1866" t="inlineStr">
        <is>
          <t>CAMUSAT</t>
        </is>
      </c>
      <c r="E1866" t="inlineStr">
        <is>
          <t>Good Grid + GE</t>
        </is>
      </c>
      <c r="F1866" t="inlineStr">
        <is>
          <t>LITTORAL</t>
        </is>
      </c>
      <c r="G1866" t="inlineStr">
        <is>
          <t>Douala</t>
        </is>
      </c>
      <c r="H1866" t="inlineStr">
        <is>
          <t>ZTE</t>
        </is>
      </c>
      <c r="I1866" t="n">
        <v>0</v>
      </c>
      <c r="J1866" t="n">
        <v>0</v>
      </c>
      <c r="K1866" t="n">
        <v>0</v>
      </c>
      <c r="L1866" t="n">
        <v>0</v>
      </c>
      <c r="M1866" t="n">
        <v>0</v>
      </c>
      <c r="N1866" t="n">
        <v>0</v>
      </c>
      <c r="O1866" t="n">
        <v>0</v>
      </c>
      <c r="P1866" t="n">
        <v>0</v>
      </c>
      <c r="Q1866" t="n">
        <v>0</v>
      </c>
      <c r="R1866" t="inlineStr">
        <is>
          <t>Operationnel</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row>
    <row r="1867">
      <c r="A1867" t="inlineStr">
        <is>
          <t>NR-PK5</t>
        </is>
      </c>
      <c r="B1867" t="inlineStr">
        <is>
          <t>LIT_096</t>
        </is>
      </c>
      <c r="C1867" t="inlineStr">
        <is>
          <t>Douala</t>
        </is>
      </c>
      <c r="D1867" t="inlineStr">
        <is>
          <t>IHS</t>
        </is>
      </c>
      <c r="E1867" t="inlineStr">
        <is>
          <t>Grid-Gen</t>
        </is>
      </c>
      <c r="F1867" t="inlineStr">
        <is>
          <t>LITTORAL</t>
        </is>
      </c>
      <c r="G1867" t="inlineStr">
        <is>
          <t>Douala</t>
        </is>
      </c>
      <c r="H1867" t="inlineStr">
        <is>
          <t>ZTE</t>
        </is>
      </c>
      <c r="I1867" t="n">
        <v>0</v>
      </c>
      <c r="J1867" t="n">
        <v>0</v>
      </c>
      <c r="K1867" t="n">
        <v>0</v>
      </c>
      <c r="L1867" t="n">
        <v>0</v>
      </c>
      <c r="M1867" t="n">
        <v>0</v>
      </c>
      <c r="N1867" t="n">
        <v>0</v>
      </c>
      <c r="O1867" t="n">
        <v>0</v>
      </c>
      <c r="P1867" t="n">
        <v>0</v>
      </c>
      <c r="Q1867" t="n">
        <v>0</v>
      </c>
      <c r="R1867" t="inlineStr">
        <is>
          <t>Operationnel</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row>
    <row r="1868">
      <c r="A1868" t="inlineStr">
        <is>
          <t>Ambam</t>
        </is>
      </c>
      <c r="B1868" t="inlineStr">
        <is>
          <t>CTR_394</t>
        </is>
      </c>
      <c r="C1868" t="inlineStr">
        <is>
          <t>CENTRE</t>
        </is>
      </c>
      <c r="D1868" t="inlineStr">
        <is>
          <t>ESCO</t>
        </is>
      </c>
      <c r="E1868" t="inlineStr">
        <is>
          <t>Bad Grid + Solar + GE</t>
        </is>
      </c>
      <c r="F1868" t="inlineStr">
        <is>
          <t>CENTRE</t>
        </is>
      </c>
      <c r="G1868" t="inlineStr">
        <is>
          <t>Ambam</t>
        </is>
      </c>
      <c r="H1868" t="inlineStr">
        <is>
          <t>ZTE</t>
        </is>
      </c>
      <c r="I1868" t="n">
        <v>0</v>
      </c>
      <c r="J1868" t="n">
        <v>0</v>
      </c>
      <c r="K1868" t="n">
        <v>0</v>
      </c>
      <c r="L1868" t="n">
        <v>0</v>
      </c>
      <c r="M1868" t="n">
        <v>0</v>
      </c>
      <c r="N1868" t="n">
        <v>0</v>
      </c>
      <c r="O1868" t="n">
        <v>0</v>
      </c>
      <c r="P1868" t="n">
        <v>0</v>
      </c>
      <c r="Q1868" t="n">
        <v>0</v>
      </c>
      <c r="R1868" t="inlineStr">
        <is>
          <t>Operationnel</t>
        </is>
      </c>
      <c r="S1868" t="inlineStr"/>
      <c r="T1868" t="inlineStr"/>
      <c r="U1868" t="inlineStr"/>
      <c r="V1868" t="inlineStr"/>
      <c r="W1868" t="inlineStr"/>
      <c r="X1868" t="inlineStr">
        <is>
          <t xml:space="preserve">{05/25/2026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    {05/25/2026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    {05/25/2026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t>
        </is>
      </c>
      <c r="Y1868" t="inlineStr">
        <is>
          <t>22/05/2026 En attente du Feedback de Camusat
19/05/2026 Point transferer a Camusat en attente de leur Feedback
18/05/2026 R.I recu pour interpeller le powerco || RI transferer a Camusat || En attente du Feedback de Camusat
16/05/2026 Need BO RAN analysis || FME should check Power connection of RRU 64;65;66 || FME activer || Feedback FME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22/05/2026 En attente du Feedback de Camusat
19/05/2026 Point transferer a Camusat en attente de leur Feedback
18/05/2026 R.I recu pour interpeller le powerco || RI transferer a Camusat || En attente du Feedback de Camusat
16/05/2026 Need BO RAN analysis || FME should check Power connection of RRU 64;65;66 || FME activer || Feedback FME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22/05/2026 En attente du Feedback de Camusat
19/05/2026 Point transferer a Camusat en attente de leur Feedback
18/05/2026 R.I recu pour interpeller le powerco || RI transferer a Camusat || En attente du Feedback de Camusat
16/05/2026 Need BO RAN analysis || FME should check Power connection of RRU 64;65;66 || FME activer || Feedback FME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t>
        </is>
      </c>
      <c r="Z1868" t="inlineStr"/>
      <c r="AA1868" t="inlineStr"/>
      <c r="AB1868" t="inlineStr"/>
      <c r="AC1868" t="inlineStr"/>
      <c r="AD1868" t="inlineStr"/>
      <c r="AE1868" t="inlineStr"/>
      <c r="AF1868" t="inlineStr"/>
      <c r="AG1868" t="inlineStr"/>
      <c r="AH1868" t="inlineStr"/>
      <c r="AI1868" t="inlineStr">
        <is>
          <t xml:space="preserve">{05/25/2026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t>
        </is>
      </c>
      <c r="AJ1868" t="inlineStr">
        <is>
          <t xml:space="preserve">{05/25/2026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t>
        </is>
      </c>
      <c r="AK1868" t="inlineStr">
        <is>
          <t xml:space="preserve">{05/25/2026 cell zte}: 22/05/2026 : En attente du Feedback de Camusat
19/05/2026 : Point transferer a Camusat en attente de leur Feedback 
18/05/2026 : R.I recu pour interpeller le powerco || RI transferer a Camusat || En attente du Feedback de Camusat 
16/05/2026 : Need BO RAN analysis || FME should check Power connection of RRU 64;65;66 || FME activer  || Feedback FME : Le technicien camusat  me confirme que le troisième redresseurs ajouter sur ce site a encore lâché donc insuffisance d'énergie.Seulement 2 redresseurs/ 3 qui fonctionnent pour 11 radios.
3 radios disjonctés pour permettre de stabiliser le site. || En attente RI pour interpeller le powerco </t>
        </is>
      </c>
      <c r="AL1868" t="inlineStr"/>
      <c r="AM1868" t="inlineStr"/>
      <c r="AN1868" t="inlineStr"/>
      <c r="AO1868" t="inlineStr"/>
      <c r="AP1868" t="inlineStr"/>
      <c r="AQ1868" t="inlineStr"/>
      <c r="AR1868" t="inlineStr"/>
    </row>
    <row r="1869">
      <c r="A1869" t="inlineStr">
        <is>
          <t>Nomayos-IHS</t>
        </is>
      </c>
      <c r="B1869" t="inlineStr">
        <is>
          <t>CTR_527</t>
        </is>
      </c>
      <c r="C1869" t="inlineStr">
        <is>
          <t>CENTRE</t>
        </is>
      </c>
      <c r="D1869" t="inlineStr">
        <is>
          <t>IHS</t>
        </is>
      </c>
      <c r="E1869" t="inlineStr">
        <is>
          <t>Grid-Gen</t>
        </is>
      </c>
      <c r="F1869" t="inlineStr">
        <is>
          <t>CENTRE</t>
        </is>
      </c>
      <c r="G1869" t="inlineStr">
        <is>
          <t>Nomayos</t>
        </is>
      </c>
      <c r="H1869" t="inlineStr">
        <is>
          <t>ZTE</t>
        </is>
      </c>
      <c r="I1869" t="n">
        <v>0</v>
      </c>
      <c r="J1869" t="n">
        <v>0</v>
      </c>
      <c r="K1869" t="n">
        <v>0</v>
      </c>
      <c r="L1869" t="n">
        <v>0</v>
      </c>
      <c r="M1869" t="n">
        <v>0</v>
      </c>
      <c r="N1869" t="n">
        <v>0</v>
      </c>
      <c r="O1869" t="n">
        <v>0</v>
      </c>
      <c r="P1869" t="n">
        <v>0</v>
      </c>
      <c r="Q1869" t="n">
        <v>0</v>
      </c>
      <c r="R1869" t="inlineStr">
        <is>
          <t>Operationnel</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row>
    <row r="1870">
      <c r="A1870" t="inlineStr">
        <is>
          <t>Koutaba-IHS</t>
        </is>
      </c>
      <c r="B1870" t="inlineStr">
        <is>
          <t>OST_138</t>
        </is>
      </c>
      <c r="C1870" t="inlineStr">
        <is>
          <t>OUEST</t>
        </is>
      </c>
      <c r="D1870" t="inlineStr">
        <is>
          <t>IHS</t>
        </is>
      </c>
      <c r="E1870" t="inlineStr">
        <is>
          <t>Grid-Gen</t>
        </is>
      </c>
      <c r="F1870" t="inlineStr">
        <is>
          <t>OUEST</t>
        </is>
      </c>
      <c r="G1870" t="inlineStr">
        <is>
          <t>Koutaba</t>
        </is>
      </c>
      <c r="H1870" t="inlineStr">
        <is>
          <t>HUAWEI</t>
        </is>
      </c>
      <c r="I1870" t="n">
        <v>0</v>
      </c>
      <c r="J1870" t="n">
        <v>0</v>
      </c>
      <c r="K1870" t="n">
        <v>0</v>
      </c>
      <c r="L1870" t="n">
        <v>0</v>
      </c>
      <c r="M1870" t="n">
        <v>0</v>
      </c>
      <c r="N1870" t="n">
        <v>0</v>
      </c>
      <c r="O1870" t="n">
        <v>0</v>
      </c>
      <c r="P1870" t="n">
        <v>0</v>
      </c>
      <c r="Q1870" t="n">
        <v>0</v>
      </c>
      <c r="R1870" t="inlineStr">
        <is>
          <t>Operationnel</t>
        </is>
      </c>
      <c r="S1870" t="inlineStr"/>
      <c r="T1870" t="inlineStr"/>
      <c r="U1870" t="inlineStr"/>
      <c r="V1870" t="inlineStr"/>
      <c r="W1870" t="inlineStr"/>
      <c r="X1870" t="inlineStr">
        <is>
          <t>{05-25-2026 ocm ran 17H}: Power status check Ongoing</t>
        </is>
      </c>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{05-25-2026 ocm ran 17H}: Power status check Ongoing</t>
        </is>
      </c>
      <c r="AQ1870" t="inlineStr"/>
      <c r="AR1870" t="inlineStr"/>
    </row>
    <row r="1871">
      <c r="A1871" t="inlineStr">
        <is>
          <t>Bamendjing-IHS</t>
        </is>
      </c>
      <c r="B1871" t="inlineStr">
        <is>
          <t>OST_030</t>
        </is>
      </c>
      <c r="C1871" t="inlineStr">
        <is>
          <t>OUEST</t>
        </is>
      </c>
      <c r="D1871" t="inlineStr">
        <is>
          <t>IHS</t>
        </is>
      </c>
      <c r="E1871" t="inlineStr">
        <is>
          <t>Grid-Hybrid-Gen</t>
        </is>
      </c>
      <c r="F1871" t="inlineStr">
        <is>
          <t>OUEST</t>
        </is>
      </c>
      <c r="G1871" t="inlineStr">
        <is>
          <t>Bamendjing</t>
        </is>
      </c>
      <c r="H1871" t="inlineStr">
        <is>
          <t>HUAWEI</t>
        </is>
      </c>
      <c r="I1871" t="n">
        <v>0</v>
      </c>
      <c r="J1871" t="n">
        <v>0</v>
      </c>
      <c r="K1871" t="n">
        <v>0</v>
      </c>
      <c r="L1871" t="n">
        <v>0</v>
      </c>
      <c r="M1871" t="n">
        <v>0</v>
      </c>
      <c r="N1871" t="n">
        <v>0</v>
      </c>
      <c r="O1871" t="n">
        <v>0</v>
      </c>
      <c r="P1871" t="n">
        <v>0</v>
      </c>
      <c r="Q1871" t="n">
        <v>0</v>
      </c>
      <c r="R1871" t="inlineStr">
        <is>
          <t>Operationnel</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row>
    <row r="1872">
      <c r="A1872" t="inlineStr">
        <is>
          <t>Bamendou</t>
        </is>
      </c>
      <c r="B1872" t="inlineStr">
        <is>
          <t>OST_056</t>
        </is>
      </c>
      <c r="C1872" t="inlineStr">
        <is>
          <t>OUEST</t>
        </is>
      </c>
      <c r="D1872" t="inlineStr">
        <is>
          <t>IHS</t>
        </is>
      </c>
      <c r="E1872" t="inlineStr">
        <is>
          <t>Grid-Gen</t>
        </is>
      </c>
      <c r="F1872" t="inlineStr">
        <is>
          <t>OUEST</t>
        </is>
      </c>
      <c r="G1872" t="inlineStr">
        <is>
          <t>Bamendou</t>
        </is>
      </c>
      <c r="H1872" t="inlineStr">
        <is>
          <t>HUAWEI</t>
        </is>
      </c>
      <c r="I1872" t="n">
        <v>0</v>
      </c>
      <c r="J1872" t="n">
        <v>0</v>
      </c>
      <c r="K1872" t="n">
        <v>0</v>
      </c>
      <c r="L1872" t="n">
        <v>0</v>
      </c>
      <c r="M1872" t="n">
        <v>0</v>
      </c>
      <c r="N1872" t="n">
        <v>0</v>
      </c>
      <c r="O1872" t="n">
        <v>0</v>
      </c>
      <c r="P1872" t="n">
        <v>0</v>
      </c>
      <c r="Q1872" t="n">
        <v>0</v>
      </c>
      <c r="R1872" t="inlineStr">
        <is>
          <t>Operationnel</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row>
    <row r="1873">
      <c r="A1873" t="inlineStr">
        <is>
          <t>Yoke</t>
        </is>
      </c>
      <c r="B1873" t="inlineStr">
        <is>
          <t>SUO_070</t>
        </is>
      </c>
      <c r="C1873" t="inlineStr">
        <is>
          <t>SUD-OUEST</t>
        </is>
      </c>
      <c r="D1873" t="inlineStr">
        <is>
          <t>IHS</t>
        </is>
      </c>
      <c r="E1873" t="inlineStr"/>
      <c r="F1873" t="inlineStr">
        <is>
          <t>SUD-OUEST</t>
        </is>
      </c>
      <c r="G1873" t="inlineStr">
        <is>
          <t>Yoke</t>
        </is>
      </c>
      <c r="H1873" t="inlineStr">
        <is>
          <t>HUAWEI</t>
        </is>
      </c>
      <c r="I1873" t="n">
        <v>0</v>
      </c>
      <c r="J1873" t="n">
        <v>0</v>
      </c>
      <c r="K1873" t="n">
        <v>0</v>
      </c>
      <c r="L1873" t="n">
        <v>0</v>
      </c>
      <c r="M1873" t="n">
        <v>0</v>
      </c>
      <c r="N1873" t="n">
        <v>0</v>
      </c>
      <c r="O1873" t="n">
        <v>0</v>
      </c>
      <c r="P1873" t="n">
        <v>0</v>
      </c>
      <c r="Q1873" t="n">
        <v>0</v>
      </c>
      <c r="R1873" t="inlineStr">
        <is>
          <t>Operationnel</t>
        </is>
      </c>
      <c r="S1873" t="inlineStr"/>
      <c r="T1873" t="inlineStr"/>
      <c r="U1873" t="inlineStr"/>
      <c r="V1873" t="inlineStr"/>
      <c r="W1873" t="inlineStr"/>
      <c r="X1873" t="inlineStr">
        <is>
          <t>{05-25-2026 ocm ran 22H}: P2 incident at SUO_008_N_Mpenda-Mbocko-IHS; Power issue; IHS     ;    {05-25-2026 ocm ran 17H}: P2 incident at SUO_008_N_Mpenda-Mbocko-IHS</t>
        </is>
      </c>
      <c r="Y1873" t="inlineStr">
        <is>
          <t>P2 incident at SUO_008_N_Mpenda-Mbocko-IHS; Power issue; IHS P2 incident at SUO_008_N_Mpenda-Mbocko-IHS</t>
        </is>
      </c>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{05-25-2026 ocm ran 22H}: P2 incident at SUO_008_N_Mpenda-Mbocko-IHS; Power issue; IHS</t>
        </is>
      </c>
      <c r="AP1873" t="inlineStr">
        <is>
          <t>{05-25-2026 ocm ran 17H}: P2 incident at SUO_008_N_Mpenda-Mbocko-IHS</t>
        </is>
      </c>
      <c r="AQ1873" t="inlineStr"/>
      <c r="AR1873" t="inlineStr"/>
    </row>
    <row r="1874">
      <c r="A1874" t="inlineStr">
        <is>
          <t>Malanden</t>
        </is>
      </c>
      <c r="B1874" t="inlineStr">
        <is>
          <t>OST_275</t>
        </is>
      </c>
      <c r="C1874" t="inlineStr">
        <is>
          <t>OUEST</t>
        </is>
      </c>
      <c r="D1874" t="inlineStr">
        <is>
          <t>CAMUSAT</t>
        </is>
      </c>
      <c r="E1874" t="inlineStr">
        <is>
          <t>Hybrid Solar - S3</t>
        </is>
      </c>
      <c r="F1874" t="inlineStr">
        <is>
          <t>OUEST</t>
        </is>
      </c>
      <c r="G1874" t="inlineStr">
        <is>
          <t>Malanden</t>
        </is>
      </c>
      <c r="H1874" t="inlineStr">
        <is>
          <t>HUAWEI</t>
        </is>
      </c>
      <c r="I1874" t="n">
        <v>0</v>
      </c>
      <c r="J1874" t="n">
        <v>0</v>
      </c>
      <c r="K1874" t="n">
        <v>0</v>
      </c>
      <c r="L1874" t="n">
        <v>0</v>
      </c>
      <c r="M1874" t="n">
        <v>0</v>
      </c>
      <c r="N1874" t="n">
        <v>0</v>
      </c>
      <c r="O1874" t="n">
        <v>0</v>
      </c>
      <c r="P1874" t="n">
        <v>0</v>
      </c>
      <c r="Q1874" t="n">
        <v>0</v>
      </c>
      <c r="R1874" t="inlineStr">
        <is>
          <t>Operationnel</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row>
    <row r="1875">
      <c r="A1875" t="inlineStr">
        <is>
          <t>Tongo-IHS</t>
        </is>
      </c>
      <c r="B1875" t="inlineStr">
        <is>
          <t>NRD_112</t>
        </is>
      </c>
      <c r="C1875" t="inlineStr">
        <is>
          <t>NORD</t>
        </is>
      </c>
      <c r="D1875" t="inlineStr">
        <is>
          <t>IHS</t>
        </is>
      </c>
      <c r="E1875" t="inlineStr">
        <is>
          <t>Hybrid-Gen</t>
        </is>
      </c>
      <c r="F1875" t="inlineStr">
        <is>
          <t>NORD</t>
        </is>
      </c>
      <c r="G1875" t="inlineStr">
        <is>
          <t>Tongo</t>
        </is>
      </c>
      <c r="H1875" t="inlineStr">
        <is>
          <t>HUAWEI</t>
        </is>
      </c>
      <c r="I1875" t="n">
        <v>0</v>
      </c>
      <c r="J1875" t="n">
        <v>0</v>
      </c>
      <c r="K1875" t="n">
        <v>0</v>
      </c>
      <c r="L1875" t="n">
        <v>0</v>
      </c>
      <c r="M1875" t="n">
        <v>0</v>
      </c>
      <c r="N1875" t="n">
        <v>0</v>
      </c>
      <c r="O1875" t="n">
        <v>0</v>
      </c>
      <c r="P1875" t="n">
        <v>0</v>
      </c>
      <c r="Q1875" t="n">
        <v>0</v>
      </c>
      <c r="R1875" t="inlineStr">
        <is>
          <t>Operationnel</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row>
    <row r="1876">
      <c r="A1876" t="inlineStr">
        <is>
          <t>Koupa-Matapit-IHS</t>
        </is>
      </c>
      <c r="B1876" t="inlineStr">
        <is>
          <t>OST_209</t>
        </is>
      </c>
      <c r="C1876" t="inlineStr">
        <is>
          <t>OUEST</t>
        </is>
      </c>
      <c r="D1876" t="inlineStr">
        <is>
          <t>IHS</t>
        </is>
      </c>
      <c r="E1876" t="inlineStr">
        <is>
          <t>Hybrid-Gen</t>
        </is>
      </c>
      <c r="F1876" t="inlineStr">
        <is>
          <t>OUEST</t>
        </is>
      </c>
      <c r="G1876" t="inlineStr">
        <is>
          <t>Koupa-Matapit</t>
        </is>
      </c>
      <c r="H1876" t="inlineStr">
        <is>
          <t>HUAWEI</t>
        </is>
      </c>
      <c r="I1876" t="n">
        <v>0</v>
      </c>
      <c r="J1876" t="n">
        <v>0</v>
      </c>
      <c r="K1876" t="n">
        <v>0</v>
      </c>
      <c r="L1876" t="n">
        <v>0</v>
      </c>
      <c r="M1876" t="n">
        <v>0</v>
      </c>
      <c r="N1876" t="n">
        <v>0</v>
      </c>
      <c r="O1876" t="n">
        <v>0</v>
      </c>
      <c r="P1876" t="n">
        <v>0</v>
      </c>
      <c r="Q1876" t="n">
        <v>0</v>
      </c>
      <c r="R1876" t="inlineStr">
        <is>
          <t>Operationnel</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row>
    <row r="1877">
      <c r="A1877" t="inlineStr">
        <is>
          <t>Bandja</t>
        </is>
      </c>
      <c r="B1877" t="inlineStr">
        <is>
          <t>OST_022</t>
        </is>
      </c>
      <c r="C1877" t="inlineStr">
        <is>
          <t>OUEST</t>
        </is>
      </c>
      <c r="D1877" t="inlineStr">
        <is>
          <t>IHS</t>
        </is>
      </c>
      <c r="E1877" t="inlineStr">
        <is>
          <t>Grid-Gen</t>
        </is>
      </c>
      <c r="F1877" t="inlineStr">
        <is>
          <t>OUEST</t>
        </is>
      </c>
      <c r="G1877" t="inlineStr">
        <is>
          <t>Bandja</t>
        </is>
      </c>
      <c r="H1877" t="inlineStr">
        <is>
          <t>HUAWEI</t>
        </is>
      </c>
      <c r="I1877" t="n">
        <v>0</v>
      </c>
      <c r="J1877" t="n">
        <v>0</v>
      </c>
      <c r="K1877" t="n">
        <v>0</v>
      </c>
      <c r="L1877" t="n">
        <v>0</v>
      </c>
      <c r="M1877" t="n">
        <v>0</v>
      </c>
      <c r="N1877" t="n">
        <v>0</v>
      </c>
      <c r="O1877" t="n">
        <v>0</v>
      </c>
      <c r="P1877" t="n">
        <v>0</v>
      </c>
      <c r="Q1877" t="n">
        <v>0</v>
      </c>
      <c r="R1877" t="inlineStr">
        <is>
          <t>Operationnel</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row>
    <row r="1878">
      <c r="A1878" t="inlineStr">
        <is>
          <t>Dizangue</t>
        </is>
      </c>
      <c r="B1878" t="inlineStr">
        <is>
          <t>LIT_113</t>
        </is>
      </c>
      <c r="C1878" t="inlineStr">
        <is>
          <t>LITTORAL</t>
        </is>
      </c>
      <c r="D1878" t="inlineStr">
        <is>
          <t>IHS</t>
        </is>
      </c>
      <c r="E1878" t="inlineStr">
        <is>
          <t>Grid-Gen</t>
        </is>
      </c>
      <c r="F1878" t="inlineStr">
        <is>
          <t>LITTORAL</t>
        </is>
      </c>
      <c r="G1878" t="inlineStr">
        <is>
          <t>Dizangue</t>
        </is>
      </c>
      <c r="H1878" t="inlineStr">
        <is>
          <t>ZTE</t>
        </is>
      </c>
      <c r="I1878" t="n">
        <v>0</v>
      </c>
      <c r="J1878" t="n">
        <v>0</v>
      </c>
      <c r="K1878" t="n">
        <v>0</v>
      </c>
      <c r="L1878" t="n">
        <v>0</v>
      </c>
      <c r="M1878" t="n">
        <v>0</v>
      </c>
      <c r="N1878" t="n">
        <v>0</v>
      </c>
      <c r="O1878" t="n">
        <v>0</v>
      </c>
      <c r="P1878" t="n">
        <v>0</v>
      </c>
      <c r="Q1878" t="n">
        <v>0</v>
      </c>
      <c r="R1878" t="inlineStr">
        <is>
          <t>Operationnel</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row>
    <row r="1879">
      <c r="A1879" t="inlineStr">
        <is>
          <t>Nsimalene-Yemwak</t>
        </is>
      </c>
      <c r="B1879" t="inlineStr">
        <is>
          <t>SUD_122</t>
        </is>
      </c>
      <c r="C1879" t="inlineStr">
        <is>
          <t>CENTRE</t>
        </is>
      </c>
      <c r="D1879" t="inlineStr">
        <is>
          <t>CAMUSAT</t>
        </is>
      </c>
      <c r="E1879" t="inlineStr">
        <is>
          <t>Hybrid Solar - S3</t>
        </is>
      </c>
      <c r="F1879" t="inlineStr">
        <is>
          <t>SUD</t>
        </is>
      </c>
      <c r="G1879" t="inlineStr">
        <is>
          <t>Nsimalene-Yemwak</t>
        </is>
      </c>
      <c r="H1879" t="inlineStr">
        <is>
          <t>ZTE</t>
        </is>
      </c>
      <c r="I1879" t="n">
        <v>0</v>
      </c>
      <c r="J1879" t="n">
        <v>0</v>
      </c>
      <c r="K1879" t="n">
        <v>0</v>
      </c>
      <c r="L1879" t="n">
        <v>0</v>
      </c>
      <c r="M1879" t="n">
        <v>0</v>
      </c>
      <c r="N1879" t="n">
        <v>0</v>
      </c>
      <c r="O1879" t="n">
        <v>0</v>
      </c>
      <c r="P1879" t="n">
        <v>0</v>
      </c>
      <c r="Q1879" t="n">
        <v>0</v>
      </c>
      <c r="R1879" t="inlineStr">
        <is>
          <t>Operationnel</t>
        </is>
      </c>
      <c r="S1879" t="inlineStr"/>
      <c r="T1879" t="inlineStr"/>
      <c r="U1879" t="inlineStr"/>
      <c r="V1879" t="inlineStr"/>
      <c r="W1879" t="inlineStr"/>
      <c r="X1879" t="inlineStr">
        <is>
          <t>{05/25/2026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     ;    {05/25/2026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     ;    {05/25/2026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Y1879" t="inlineStr">
        <is>
          <t>11/05/2026 En attente du support de Camusat
09/05/2026 Intervention prevu pour ce jour || Relance faite a Camusat
07/05/2026 Fedback Camusat La difficulté réside dans le fait que nous n’avons pas encore trouvé un expert dans la zone pour le retrait de ces abeilles.Nous sommes actuellement en train de chercher hors de ce périmètre et nous pourrons vous faire un retour au plutard Samedi 09/05/2026.
06/05/2026 Point escalader a Chief Theophile pour support
06/05/2026 Relance faite hier a Camusat
04/05/2026 En attente du support de Camusat
02/05/2026 En attente du suuport de Camusat
28/04/2026 Relance faite a camusat ce jour
27/04/2026 Retour camusat attendu
23/04/2026 Relance faite a camusat ce jour
22/04/2026 Feedback camusat attendu
21/04/2026 Le RM a partage les evidences des guepes sur Nsimalene || Mail envoye a camusat pour support
20/04/2026 Fme actuellement sur esambout pour remplacement de la fibre et sera sur Nsimalene dans l'apres midi ETA 15h || Feedback Fme Presence des gepes sur le site
19/04/2026 Check and clean RRU 51,52
18/04/2026 Site down 11/05/2026 En attente du support de Camusat
09/05/2026 Intervention prevu pour ce jour || Relance faite a Camusat
07/05/2026 Fedback Camusat La difficulté réside dans le fait que nous n’avons pas encore trouvé un expert dans la zone pour le retrait de ces abeilles.Nous sommes actuellement en train de chercher hors de ce périmètre et nous pourrons vous faire un retour au plutard Samedi 09/05/2026.
06/05/2026 Point escalader a Chief Theophile pour support
06/05/2026 Relance faite hier a Camusat
04/05/2026 En attente du support de Camusat
02/05/2026 En attente du suuport de Camusat
28/04/2026 Relance faite a camusat ce jour
27/04/2026 Retour camusat attendu
23/04/2026 Relance faite a camusat ce jour
22/04/2026 Feedback camusat attendu
21/04/2026 Le RM a partage les evidences des guepes sur Nsimalene || Mail envoye a camusat pour support
20/04/2026 Fme actuellement sur esambout pour remplacement de la fibre et sera sur Nsimalene dans l'apres midi ETA 15h || Feedback Fme Presence des gepes sur le site
19/04/2026 Check and clean RRU 51,52
18/04/2026 Site down 11/05/2026 En attente du support de Camusat
09/05/2026 Intervention prevu pour ce jour || Relance faite a Camusat
07/05/2026 Fedback Camusat La difficulté réside dans le fait que nous n’avons pas encore trouvé un expert dans la zone pour le retrait de ces abeilles.Nous sommes actuellement en train de chercher hors de ce périmètre et nous pourrons vous faire un retour au plutard Samedi 09/05/2026.
06/05/2026 Point escalader a Chief Theophile pour support
06/05/2026 Relance faite hier a Camusat
04/05/2026 En attente du support de Camusat
02/05/2026 En attente du suuport de Camusat
28/04/2026 Relance faite a camusat ce jour
27/04/2026 Retour camusat attendu
23/04/2026 Relance faite a camusat ce jour
22/04/2026 Feedback camusat attendu
21/04/2026 Le RM a partage les evidences des guepes sur Nsimalene || Mail envoye a camusat pour support
20/04/2026 Fme actuellement sur esambout pour remplacement de la fibre et sera sur Nsimalene dans l'apres midi ETA 15h || Feedback Fme Presence des gepes sur le site
19/04/2026 Check and clean RRU 51,52
18/04/2026 Site down</t>
        </is>
      </c>
      <c r="Z1879" t="inlineStr"/>
      <c r="AA1879" t="inlineStr"/>
      <c r="AB1879" t="inlineStr"/>
      <c r="AC1879" t="inlineStr"/>
      <c r="AD1879" t="inlineStr"/>
      <c r="AE1879" t="inlineStr"/>
      <c r="AF1879" t="inlineStr"/>
      <c r="AG1879" t="inlineStr"/>
      <c r="AH1879" t="inlineStr"/>
      <c r="AI1879" t="inlineStr">
        <is>
          <t>{05/25/2026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AJ1879" t="inlineStr">
        <is>
          <t>{05/25/2026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AK1879" t="inlineStr">
        <is>
          <t>{05/25/2026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is>
      </c>
      <c r="AL1879" t="inlineStr"/>
      <c r="AM1879" t="inlineStr"/>
      <c r="AN1879" t="inlineStr"/>
      <c r="AO1879" t="inlineStr"/>
      <c r="AP1879" t="inlineStr"/>
      <c r="AQ1879" t="inlineStr"/>
      <c r="AR1879" t="inlineStr"/>
    </row>
    <row r="1880">
      <c r="A1880" t="inlineStr">
        <is>
          <t>Akom-II-IHS</t>
        </is>
      </c>
      <c r="B1880" t="inlineStr">
        <is>
          <t>SUD_054</t>
        </is>
      </c>
      <c r="C1880" t="inlineStr">
        <is>
          <t>CENTRE</t>
        </is>
      </c>
      <c r="D1880" t="inlineStr">
        <is>
          <t>IHS</t>
        </is>
      </c>
      <c r="E1880" t="inlineStr">
        <is>
          <t>Gen-Lithium</t>
        </is>
      </c>
      <c r="F1880" t="inlineStr">
        <is>
          <t>SUD</t>
        </is>
      </c>
      <c r="G1880" t="inlineStr">
        <is>
          <t>Akom II</t>
        </is>
      </c>
      <c r="H1880" t="inlineStr">
        <is>
          <t>ZTE</t>
        </is>
      </c>
      <c r="I1880" t="n">
        <v>0</v>
      </c>
      <c r="J1880" t="n">
        <v>0</v>
      </c>
      <c r="K1880" t="n">
        <v>0</v>
      </c>
      <c r="L1880" t="n">
        <v>0</v>
      </c>
      <c r="M1880" t="n">
        <v>0</v>
      </c>
      <c r="N1880" t="n">
        <v>0</v>
      </c>
      <c r="O1880" t="n">
        <v>0</v>
      </c>
      <c r="P1880" t="n">
        <v>0</v>
      </c>
      <c r="Q1880" t="n">
        <v>0</v>
      </c>
      <c r="R1880" t="inlineStr">
        <is>
          <t>Operationnel</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row>
    <row r="1881">
      <c r="A1881" t="inlineStr">
        <is>
          <t>Manjo-PHP</t>
        </is>
      </c>
      <c r="B1881" t="inlineStr">
        <is>
          <t>LIT_592</t>
        </is>
      </c>
      <c r="C1881" t="inlineStr">
        <is>
          <t>LITTORAL</t>
        </is>
      </c>
      <c r="D1881" t="inlineStr">
        <is>
          <t>CAMUSAT</t>
        </is>
      </c>
      <c r="E1881" t="inlineStr">
        <is>
          <t>Good Grid no GE - 8h</t>
        </is>
      </c>
      <c r="F1881" t="inlineStr">
        <is>
          <t>LITTORAL</t>
        </is>
      </c>
      <c r="G1881" t="inlineStr">
        <is>
          <t>Manjo</t>
        </is>
      </c>
      <c r="H1881" t="inlineStr">
        <is>
          <t>ZTE</t>
        </is>
      </c>
      <c r="I1881" t="n">
        <v>0</v>
      </c>
      <c r="J1881" t="n">
        <v>0</v>
      </c>
      <c r="K1881" t="n">
        <v>0</v>
      </c>
      <c r="L1881" t="n">
        <v>0</v>
      </c>
      <c r="M1881" t="n">
        <v>0</v>
      </c>
      <c r="N1881" t="n">
        <v>0</v>
      </c>
      <c r="O1881" t="n">
        <v>0</v>
      </c>
      <c r="P1881" t="n">
        <v>0</v>
      </c>
      <c r="Q1881" t="n">
        <v>0</v>
      </c>
      <c r="R1881" t="inlineStr">
        <is>
          <t>Operationnel</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row>
    <row r="1882">
      <c r="A1882" t="inlineStr">
        <is>
          <t>MBANGASSINA</t>
        </is>
      </c>
      <c r="B1882" t="inlineStr">
        <is>
          <t>CTR_226</t>
        </is>
      </c>
      <c r="C1882" t="inlineStr">
        <is>
          <t>CENTRE</t>
        </is>
      </c>
      <c r="D1882" t="inlineStr">
        <is>
          <t>IHS</t>
        </is>
      </c>
      <c r="E1882" t="inlineStr">
        <is>
          <t>Grid-Gen-Lithium</t>
        </is>
      </c>
      <c r="F1882" t="inlineStr">
        <is>
          <t>CENTRE</t>
        </is>
      </c>
      <c r="G1882" t="inlineStr">
        <is>
          <t>Mbangassina</t>
        </is>
      </c>
      <c r="H1882" t="inlineStr">
        <is>
          <t>ZTE</t>
        </is>
      </c>
      <c r="I1882" t="n">
        <v>0</v>
      </c>
      <c r="J1882" t="n">
        <v>0</v>
      </c>
      <c r="K1882" t="n">
        <v>0</v>
      </c>
      <c r="L1882" t="n">
        <v>0</v>
      </c>
      <c r="M1882" t="n">
        <v>0</v>
      </c>
      <c r="N1882" t="n">
        <v>0</v>
      </c>
      <c r="O1882" t="n">
        <v>0</v>
      </c>
      <c r="P1882" t="n">
        <v>0</v>
      </c>
      <c r="Q1882" t="n">
        <v>0</v>
      </c>
      <c r="R1882" t="inlineStr">
        <is>
          <t>Operationnel</t>
        </is>
      </c>
      <c r="S1882" t="inlineStr"/>
      <c r="T1882" t="inlineStr"/>
      <c r="U1882" t="inlineStr"/>
      <c r="V1882" t="inlineStr"/>
      <c r="W1882" t="inlineStr"/>
      <c r="X188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188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1882" t="inlineStr"/>
      <c r="AA188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row>
    <row r="1883">
      <c r="A1883" t="inlineStr">
        <is>
          <t>Bonepoupa-IHS</t>
        </is>
      </c>
      <c r="B1883" t="inlineStr">
        <is>
          <t>LIT_145</t>
        </is>
      </c>
      <c r="C1883" t="inlineStr">
        <is>
          <t>LITTORAL</t>
        </is>
      </c>
      <c r="D1883" t="inlineStr">
        <is>
          <t>IHS</t>
        </is>
      </c>
      <c r="E1883" t="inlineStr">
        <is>
          <t>Solar-Grid-Gen-Lithium</t>
        </is>
      </c>
      <c r="F1883" t="inlineStr">
        <is>
          <t>LITTORAL</t>
        </is>
      </c>
      <c r="G1883" t="inlineStr">
        <is>
          <t>Bonepoupa</t>
        </is>
      </c>
      <c r="H1883" t="inlineStr">
        <is>
          <t>ZTE</t>
        </is>
      </c>
      <c r="I1883" t="n">
        <v>0</v>
      </c>
      <c r="J1883" t="n">
        <v>0</v>
      </c>
      <c r="K1883" t="n">
        <v>0</v>
      </c>
      <c r="L1883" t="n">
        <v>0</v>
      </c>
      <c r="M1883" t="n">
        <v>0</v>
      </c>
      <c r="N1883" t="n">
        <v>0</v>
      </c>
      <c r="O1883" t="n">
        <v>0</v>
      </c>
      <c r="P1883" t="n">
        <v>0</v>
      </c>
      <c r="Q1883" t="n">
        <v>0</v>
      </c>
      <c r="R1883" t="inlineStr">
        <is>
          <t>Operationnel</t>
        </is>
      </c>
      <c r="S1883" t="inlineStr"/>
      <c r="T1883" t="inlineStr"/>
      <c r="U1883" t="inlineStr"/>
      <c r="V1883" t="inlineStr"/>
      <c r="W1883" t="inlineStr"/>
      <c r="X1883" t="inlineStr">
        <is>
          <t>{05/25/2026 cell zte}: 25/05/2026 : Need BO RAN analysis</t>
        </is>
      </c>
      <c r="Y1883" t="inlineStr">
        <is>
          <t>25/05/2026 Need BO RAN analysis</t>
        </is>
      </c>
      <c r="Z1883" t="inlineStr"/>
      <c r="AA1883" t="inlineStr"/>
      <c r="AB1883" t="inlineStr"/>
      <c r="AC1883" t="inlineStr"/>
      <c r="AD1883" t="inlineStr"/>
      <c r="AE1883" t="inlineStr"/>
      <c r="AF1883" t="inlineStr"/>
      <c r="AG1883" t="inlineStr"/>
      <c r="AH1883" t="inlineStr"/>
      <c r="AI1883" t="inlineStr"/>
      <c r="AJ1883" t="inlineStr">
        <is>
          <t>{05/25/2026 cell zte}: 25/05/2026 : Need BO RAN analysis</t>
        </is>
      </c>
      <c r="AK1883" t="inlineStr"/>
      <c r="AL1883" t="inlineStr"/>
      <c r="AM1883" t="inlineStr"/>
      <c r="AN1883" t="inlineStr"/>
      <c r="AO1883" t="inlineStr"/>
      <c r="AP1883" t="inlineStr"/>
      <c r="AQ1883" t="inlineStr"/>
      <c r="AR1883" t="inlineStr"/>
    </row>
    <row r="1884">
      <c r="A1884" t="inlineStr">
        <is>
          <t>Bana</t>
        </is>
      </c>
      <c r="B1884" t="inlineStr">
        <is>
          <t>OST_007</t>
        </is>
      </c>
      <c r="C1884" t="inlineStr">
        <is>
          <t>OUEST</t>
        </is>
      </c>
      <c r="D1884" t="inlineStr">
        <is>
          <t>IHS</t>
        </is>
      </c>
      <c r="E1884" t="inlineStr">
        <is>
          <t>Grid-Gen</t>
        </is>
      </c>
      <c r="F1884" t="inlineStr">
        <is>
          <t>OUEST</t>
        </is>
      </c>
      <c r="G1884" t="inlineStr">
        <is>
          <t>Bana</t>
        </is>
      </c>
      <c r="H1884" t="inlineStr">
        <is>
          <t>NOKIA</t>
        </is>
      </c>
      <c r="I1884" t="n">
        <v>0</v>
      </c>
      <c r="J1884" t="n">
        <v>0</v>
      </c>
      <c r="K1884" t="n">
        <v>0</v>
      </c>
      <c r="L1884" t="n">
        <v>0</v>
      </c>
      <c r="M1884" t="n">
        <v>0</v>
      </c>
      <c r="N1884" t="n">
        <v>0</v>
      </c>
      <c r="O1884" t="n">
        <v>0</v>
      </c>
      <c r="P1884" t="n">
        <v>0</v>
      </c>
      <c r="Q1884" t="n">
        <v>0</v>
      </c>
      <c r="R1884" t="inlineStr">
        <is>
          <t>Operationnel</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row>
    <row r="1885">
      <c r="A1885" t="inlineStr">
        <is>
          <t>Malantouen</t>
        </is>
      </c>
      <c r="B1885" t="inlineStr">
        <is>
          <t>OST_039</t>
        </is>
      </c>
      <c r="C1885" t="inlineStr">
        <is>
          <t>OUEST</t>
        </is>
      </c>
      <c r="D1885" t="inlineStr">
        <is>
          <t>IHS</t>
        </is>
      </c>
      <c r="E1885" t="inlineStr">
        <is>
          <t>Grid-Gen</t>
        </is>
      </c>
      <c r="F1885" t="inlineStr">
        <is>
          <t>OUEST</t>
        </is>
      </c>
      <c r="G1885" t="inlineStr">
        <is>
          <t>Malantouen</t>
        </is>
      </c>
      <c r="H1885" t="inlineStr">
        <is>
          <t>NOKIA</t>
        </is>
      </c>
      <c r="I1885" t="n">
        <v>0</v>
      </c>
      <c r="J1885" t="n">
        <v>0</v>
      </c>
      <c r="K1885" t="n">
        <v>0</v>
      </c>
      <c r="L1885" t="n">
        <v>0</v>
      </c>
      <c r="M1885" t="n">
        <v>0</v>
      </c>
      <c r="N1885" t="n">
        <v>0</v>
      </c>
      <c r="O1885" t="n">
        <v>0</v>
      </c>
      <c r="P1885" t="n">
        <v>0</v>
      </c>
      <c r="Q1885" t="n">
        <v>0</v>
      </c>
      <c r="R1885" t="inlineStr">
        <is>
          <t>Operationnel</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row>
    <row r="1886">
      <c r="A1886" t="inlineStr">
        <is>
          <t>Ndjole</t>
        </is>
      </c>
      <c r="B1886" t="inlineStr">
        <is>
          <t>CTR_893</t>
        </is>
      </c>
      <c r="C1886" t="inlineStr">
        <is>
          <t>CENTRE</t>
        </is>
      </c>
      <c r="D1886" t="inlineStr"/>
      <c r="E1886" t="inlineStr"/>
      <c r="F1886" t="inlineStr">
        <is>
          <t>CENTRE</t>
        </is>
      </c>
      <c r="G1886" t="inlineStr">
        <is>
          <t>Ndjole</t>
        </is>
      </c>
      <c r="H1886" t="inlineStr">
        <is>
          <t>ZTE</t>
        </is>
      </c>
      <c r="I1886" t="n">
        <v>0</v>
      </c>
      <c r="J1886" t="n">
        <v>0</v>
      </c>
      <c r="K1886" t="n">
        <v>0</v>
      </c>
      <c r="L1886" t="n">
        <v>0</v>
      </c>
      <c r="M1886" t="n">
        <v>0</v>
      </c>
      <c r="N1886" t="n">
        <v>0</v>
      </c>
      <c r="O1886" t="n">
        <v>0</v>
      </c>
      <c r="P1886" t="n">
        <v>0</v>
      </c>
      <c r="Q1886" t="n">
        <v>0</v>
      </c>
      <c r="R1886" t="inlineStr">
        <is>
          <t>Operationnel</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row>
    <row r="1887">
      <c r="A1887" t="inlineStr">
        <is>
          <t>Manmenye</t>
        </is>
      </c>
      <c r="B1887" t="inlineStr">
        <is>
          <t>CTR_117</t>
        </is>
      </c>
      <c r="C1887" t="inlineStr">
        <is>
          <t>CENTRE</t>
        </is>
      </c>
      <c r="D1887" t="inlineStr">
        <is>
          <t>IHS</t>
        </is>
      </c>
      <c r="E1887" t="inlineStr">
        <is>
          <t>Grid-Hybrid-Gen</t>
        </is>
      </c>
      <c r="F1887" t="inlineStr">
        <is>
          <t>CENTRE</t>
        </is>
      </c>
      <c r="G1887" t="inlineStr">
        <is>
          <t>Manmenye</t>
        </is>
      </c>
      <c r="H1887" t="inlineStr">
        <is>
          <t>ZTE</t>
        </is>
      </c>
      <c r="I1887" t="n">
        <v>0</v>
      </c>
      <c r="J1887" t="n">
        <v>0</v>
      </c>
      <c r="K1887" t="n">
        <v>0</v>
      </c>
      <c r="L1887" t="n">
        <v>0</v>
      </c>
      <c r="M1887" t="n">
        <v>0</v>
      </c>
      <c r="N1887" t="n">
        <v>0</v>
      </c>
      <c r="O1887" t="n">
        <v>0</v>
      </c>
      <c r="P1887" t="n">
        <v>0</v>
      </c>
      <c r="Q1887" t="n">
        <v>0</v>
      </c>
      <c r="R1887" t="inlineStr">
        <is>
          <t>Operationnel</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row>
    <row r="1888">
      <c r="A1888" t="inlineStr">
        <is>
          <t>Obala-Mairie</t>
        </is>
      </c>
      <c r="B1888" t="inlineStr">
        <is>
          <t>CTR_113</t>
        </is>
      </c>
      <c r="C1888" t="inlineStr">
        <is>
          <t>CENTRE</t>
        </is>
      </c>
      <c r="D1888" t="inlineStr">
        <is>
          <t>IHS</t>
        </is>
      </c>
      <c r="E1888" t="inlineStr">
        <is>
          <t>Grid-Gen</t>
        </is>
      </c>
      <c r="F1888" t="inlineStr">
        <is>
          <t>CENTRE</t>
        </is>
      </c>
      <c r="G1888" t="inlineStr">
        <is>
          <t>Obala</t>
        </is>
      </c>
      <c r="H1888" t="inlineStr">
        <is>
          <t>ZTE</t>
        </is>
      </c>
      <c r="I1888" t="n">
        <v>0</v>
      </c>
      <c r="J1888" t="n">
        <v>0</v>
      </c>
      <c r="K1888" t="n">
        <v>0</v>
      </c>
      <c r="L1888" t="n">
        <v>0</v>
      </c>
      <c r="M1888" t="n">
        <v>0</v>
      </c>
      <c r="N1888" t="n">
        <v>0</v>
      </c>
      <c r="O1888" t="n">
        <v>0</v>
      </c>
      <c r="P1888" t="n">
        <v>0</v>
      </c>
      <c r="Q1888" t="n">
        <v>0</v>
      </c>
      <c r="R1888" t="inlineStr">
        <is>
          <t>Operationnel</t>
        </is>
      </c>
      <c r="S1888" t="inlineStr"/>
      <c r="T1888" t="inlineStr"/>
      <c r="U1888" t="inlineStr"/>
      <c r="V1888" t="inlineStr"/>
      <c r="W1888" t="inlineStr"/>
      <c r="X1888" t="inlineStr">
        <is>
          <t>{None hourly IHS}: 25/05/2026 13:09..0:51:00..32..Flix Bateu is on site</t>
        </is>
      </c>
      <c r="Y1888" t="inlineStr">
        <is>
          <t>25/05/2026 13 09.0 51 00.32.Flix Bateu is on site</t>
        </is>
      </c>
      <c r="Z1888" t="inlineStr"/>
      <c r="AA1888" t="inlineStr"/>
      <c r="AB1888" t="inlineStr"/>
      <c r="AC1888" t="inlineStr"/>
      <c r="AD1888" t="inlineStr"/>
      <c r="AE1888" t="inlineStr">
        <is>
          <t>{None hourly IHS}: 25/05/2026 13:09..0:51:00..32..Flix Bateu is on site</t>
        </is>
      </c>
      <c r="AF1888" t="inlineStr"/>
      <c r="AG1888" t="inlineStr"/>
      <c r="AH1888" t="inlineStr"/>
      <c r="AI1888" t="inlineStr"/>
      <c r="AJ1888" t="inlineStr"/>
      <c r="AK1888" t="inlineStr"/>
      <c r="AL1888" t="inlineStr"/>
      <c r="AM1888" t="inlineStr"/>
      <c r="AN1888" t="inlineStr"/>
      <c r="AO1888" t="inlineStr"/>
      <c r="AP1888" t="inlineStr"/>
      <c r="AQ1888" t="inlineStr"/>
      <c r="AR1888" t="inlineStr"/>
    </row>
    <row r="1889">
      <c r="A1889" t="inlineStr">
        <is>
          <t>Penja-Shell-IHS</t>
        </is>
      </c>
      <c r="B1889" t="inlineStr">
        <is>
          <t>LIT_493</t>
        </is>
      </c>
      <c r="C1889" t="inlineStr">
        <is>
          <t>LITTORAL</t>
        </is>
      </c>
      <c r="D1889" t="inlineStr">
        <is>
          <t>IHS</t>
        </is>
      </c>
      <c r="E1889" t="inlineStr">
        <is>
          <t>Grid-Gen</t>
        </is>
      </c>
      <c r="F1889" t="inlineStr">
        <is>
          <t>LITTORAL</t>
        </is>
      </c>
      <c r="G1889" t="inlineStr">
        <is>
          <t>Penja</t>
        </is>
      </c>
      <c r="H1889" t="inlineStr">
        <is>
          <t>ZTE</t>
        </is>
      </c>
      <c r="I1889" t="n">
        <v>0</v>
      </c>
      <c r="J1889" t="n">
        <v>0</v>
      </c>
      <c r="K1889" t="n">
        <v>0</v>
      </c>
      <c r="L1889" t="n">
        <v>0</v>
      </c>
      <c r="M1889" t="n">
        <v>0</v>
      </c>
      <c r="N1889" t="n">
        <v>0</v>
      </c>
      <c r="O1889" t="n">
        <v>0</v>
      </c>
      <c r="P1889" t="n">
        <v>0</v>
      </c>
      <c r="Q1889" t="n">
        <v>0</v>
      </c>
      <c r="R1889" t="inlineStr">
        <is>
          <t>Operationnel</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row>
    <row r="1890">
      <c r="A1890" t="inlineStr">
        <is>
          <t>Mouanko</t>
        </is>
      </c>
      <c r="B1890" t="inlineStr">
        <is>
          <t>LIT_191</t>
        </is>
      </c>
      <c r="C1890" t="inlineStr">
        <is>
          <t>LITTORAL</t>
        </is>
      </c>
      <c r="D1890" t="inlineStr">
        <is>
          <t>IHS</t>
        </is>
      </c>
      <c r="E1890" t="inlineStr">
        <is>
          <t>Grid-Gen</t>
        </is>
      </c>
      <c r="F1890" t="inlineStr">
        <is>
          <t>LITTORAL</t>
        </is>
      </c>
      <c r="G1890" t="inlineStr">
        <is>
          <t>Mouanko</t>
        </is>
      </c>
      <c r="H1890" t="inlineStr">
        <is>
          <t>ZTE</t>
        </is>
      </c>
      <c r="I1890" t="n">
        <v>0</v>
      </c>
      <c r="J1890" t="n">
        <v>0</v>
      </c>
      <c r="K1890" t="n">
        <v>0</v>
      </c>
      <c r="L1890" t="n">
        <v>0</v>
      </c>
      <c r="M1890" t="n">
        <v>0</v>
      </c>
      <c r="N1890" t="n">
        <v>0</v>
      </c>
      <c r="O1890" t="n">
        <v>0</v>
      </c>
      <c r="P1890" t="n">
        <v>0</v>
      </c>
      <c r="Q1890" t="n">
        <v>0</v>
      </c>
      <c r="R1890" t="inlineStr">
        <is>
          <t>Operationnel</t>
        </is>
      </c>
      <c r="S1890" t="inlineStr"/>
      <c r="T1890" t="inlineStr"/>
      <c r="U1890" t="inlineStr"/>
      <c r="V1890" t="inlineStr"/>
      <c r="W1890" t="inlineStr"/>
      <c r="X1890" t="inlineStr">
        <is>
          <t>{05-25-2026 ticket}: INC-20260525-00006058..power issue observed IHS support is managing it we are following up..Grid Outage..user:OCM_NOC.IHS</t>
        </is>
      </c>
      <c r="Y1890" t="inlineStr">
        <is>
          <t>.power issue observed IHS support is managing it we are following up.Grid Outage.user OCM_NOC.IHS</t>
        </is>
      </c>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is>
          <t>{05-25-2026 ticket}: INC-20260525-00006058..power issue observed IHS support is managing it we are following up..Grid Outage..user:OCM_NOC.IHS</t>
        </is>
      </c>
      <c r="AR1890" t="inlineStr"/>
    </row>
    <row r="1891">
      <c r="A1891" t="inlineStr">
        <is>
          <t>Awae</t>
        </is>
      </c>
      <c r="B1891" t="inlineStr">
        <is>
          <t>CTR_112</t>
        </is>
      </c>
      <c r="C1891" t="inlineStr">
        <is>
          <t>CENTRE</t>
        </is>
      </c>
      <c r="D1891" t="inlineStr">
        <is>
          <t>IHS</t>
        </is>
      </c>
      <c r="E1891" t="inlineStr">
        <is>
          <t>Grid-Gen</t>
        </is>
      </c>
      <c r="F1891" t="inlineStr">
        <is>
          <t>CENTRE</t>
        </is>
      </c>
      <c r="G1891" t="inlineStr">
        <is>
          <t>Awae</t>
        </is>
      </c>
      <c r="H1891" t="inlineStr">
        <is>
          <t>ZTE</t>
        </is>
      </c>
      <c r="I1891" t="n">
        <v>0</v>
      </c>
      <c r="J1891" t="n">
        <v>0</v>
      </c>
      <c r="K1891" t="n">
        <v>0</v>
      </c>
      <c r="L1891" t="n">
        <v>0</v>
      </c>
      <c r="M1891" t="n">
        <v>0</v>
      </c>
      <c r="N1891" t="n">
        <v>0</v>
      </c>
      <c r="O1891" t="n">
        <v>0</v>
      </c>
      <c r="P1891" t="n">
        <v>0</v>
      </c>
      <c r="Q1891" t="n">
        <v>0</v>
      </c>
      <c r="R1891" t="inlineStr">
        <is>
          <t>Operationnel</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row>
    <row r="1892">
      <c r="A1892" t="inlineStr">
        <is>
          <t>LIT_878_Z_Souza-New-IHS</t>
        </is>
      </c>
      <c r="B1892" t="inlineStr">
        <is>
          <t>LIT_878</t>
        </is>
      </c>
      <c r="C1892" t="inlineStr">
        <is>
          <t>LITTORAL</t>
        </is>
      </c>
      <c r="D1892" t="inlineStr">
        <is>
          <t>IHS</t>
        </is>
      </c>
      <c r="E1892" t="inlineStr"/>
      <c r="F1892" t="inlineStr">
        <is>
          <t>LIT</t>
        </is>
      </c>
      <c r="G1892" t="inlineStr">
        <is>
          <t>Souza</t>
        </is>
      </c>
      <c r="H1892" t="inlineStr">
        <is>
          <t>ZTE</t>
        </is>
      </c>
      <c r="I1892" t="n">
        <v>0</v>
      </c>
      <c r="J1892" t="n">
        <v>0</v>
      </c>
      <c r="K1892" t="n">
        <v>0</v>
      </c>
      <c r="L1892" t="n">
        <v>0</v>
      </c>
      <c r="M1892" t="n">
        <v>0</v>
      </c>
      <c r="N1892" t="n">
        <v>0</v>
      </c>
      <c r="O1892" t="n">
        <v>0</v>
      </c>
      <c r="P1892" t="n">
        <v>0</v>
      </c>
      <c r="Q1892" t="n">
        <v>0</v>
      </c>
      <c r="R1892" t="inlineStr">
        <is>
          <t>Operationnel</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row>
    <row r="1893">
      <c r="A1893" t="inlineStr">
        <is>
          <t>Ebeba</t>
        </is>
      </c>
      <c r="B1893" t="inlineStr">
        <is>
          <t>CTR_116</t>
        </is>
      </c>
      <c r="C1893" t="inlineStr">
        <is>
          <t>CENTRE</t>
        </is>
      </c>
      <c r="D1893" t="inlineStr">
        <is>
          <t>IHS</t>
        </is>
      </c>
      <c r="E1893" t="inlineStr">
        <is>
          <t>Grid-Gen-Lithium</t>
        </is>
      </c>
      <c r="F1893" t="inlineStr">
        <is>
          <t>CENTRE</t>
        </is>
      </c>
      <c r="G1893" t="inlineStr">
        <is>
          <t>Ebeba</t>
        </is>
      </c>
      <c r="H1893" t="inlineStr">
        <is>
          <t>ZTE</t>
        </is>
      </c>
      <c r="I1893" t="n">
        <v>0</v>
      </c>
      <c r="J1893" t="n">
        <v>0</v>
      </c>
      <c r="K1893" t="n">
        <v>0</v>
      </c>
      <c r="L1893" t="n">
        <v>0</v>
      </c>
      <c r="M1893" t="n">
        <v>0</v>
      </c>
      <c r="N1893" t="n">
        <v>0</v>
      </c>
      <c r="O1893" t="n">
        <v>0</v>
      </c>
      <c r="P1893" t="n">
        <v>0</v>
      </c>
      <c r="Q1893" t="n">
        <v>0</v>
      </c>
      <c r="R1893" t="inlineStr">
        <is>
          <t>Operationnel</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row>
    <row r="1894">
      <c r="A1894" t="inlineStr">
        <is>
          <t>Binguela-Camrail</t>
        </is>
      </c>
      <c r="B1894" t="inlineStr">
        <is>
          <t>CTR_453</t>
        </is>
      </c>
      <c r="C1894" t="inlineStr">
        <is>
          <t>CENTRE</t>
        </is>
      </c>
      <c r="D1894" t="inlineStr">
        <is>
          <t>CAMUSAT</t>
        </is>
      </c>
      <c r="E1894" t="inlineStr">
        <is>
          <t>Hybrid Solar - S1</t>
        </is>
      </c>
      <c r="F1894" t="inlineStr">
        <is>
          <t>CENTRE</t>
        </is>
      </c>
      <c r="G1894" t="inlineStr">
        <is>
          <t>Mbankomo</t>
        </is>
      </c>
      <c r="H1894" t="inlineStr">
        <is>
          <t>NOKIA</t>
        </is>
      </c>
      <c r="I1894" t="n">
        <v>0</v>
      </c>
      <c r="J1894" t="n">
        <v>0</v>
      </c>
      <c r="K1894" t="n">
        <v>0</v>
      </c>
      <c r="L1894" t="n">
        <v>0</v>
      </c>
      <c r="M1894" t="n">
        <v>0</v>
      </c>
      <c r="N1894" t="n">
        <v>0</v>
      </c>
      <c r="O1894" t="n">
        <v>0</v>
      </c>
      <c r="P1894" t="n">
        <v>0</v>
      </c>
      <c r="Q1894" t="n">
        <v>0</v>
      </c>
      <c r="R1894" t="inlineStr">
        <is>
          <t>Operationnel</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row>
    <row r="1895">
      <c r="A1895" t="inlineStr">
        <is>
          <t>Safacam</t>
        </is>
      </c>
      <c r="B1895" t="inlineStr">
        <is>
          <t>LIT_040</t>
        </is>
      </c>
      <c r="C1895" t="inlineStr">
        <is>
          <t>LITTORAL</t>
        </is>
      </c>
      <c r="D1895" t="inlineStr">
        <is>
          <t>IHS</t>
        </is>
      </c>
      <c r="E1895" t="inlineStr">
        <is>
          <t>Grid-Gen</t>
        </is>
      </c>
      <c r="F1895" t="inlineStr">
        <is>
          <t>LITTORAL</t>
        </is>
      </c>
      <c r="G1895" t="inlineStr">
        <is>
          <t>Dizangue</t>
        </is>
      </c>
      <c r="H1895" t="inlineStr">
        <is>
          <t>ZTE</t>
        </is>
      </c>
      <c r="I1895" t="n">
        <v>0</v>
      </c>
      <c r="J1895" t="n">
        <v>0</v>
      </c>
      <c r="K1895" t="n">
        <v>0</v>
      </c>
      <c r="L1895" t="n">
        <v>0</v>
      </c>
      <c r="M1895" t="n">
        <v>0</v>
      </c>
      <c r="N1895" t="n">
        <v>0</v>
      </c>
      <c r="O1895" t="n">
        <v>0</v>
      </c>
      <c r="P1895" t="n">
        <v>0</v>
      </c>
      <c r="Q1895" t="n">
        <v>0</v>
      </c>
      <c r="R1895" t="inlineStr">
        <is>
          <t>Operationnel</t>
        </is>
      </c>
      <c r="S1895" t="inlineStr"/>
      <c r="T1895" t="inlineStr"/>
      <c r="U1895" t="inlineStr"/>
      <c r="V1895" t="inlineStr"/>
      <c r="W1895" t="inlineStr"/>
      <c r="X1895" t="inlineStr">
        <is>
          <t xml:space="preserve">{05/25/2026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    {05/25/2026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    {05/25/2026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t>
        </is>
      </c>
      <c r="Y1895" t="inlineStr">
        <is>
          <t>23/05/2026 En attente du RI
21/05/2026 FME sur le site de EBOMBE || Intervention apres ebombe || ETA 14H || Intervention en cours || Check en cours avec le BO
20/05/2026 Intervention ce jour apres Edea bonandi
19/05/2026 FME fera le site de Mouanko aujoud'hui || Intervention apresle site de Mouanko
18/05/2026 FME activer mais il est sur le site de Dizangue il fera une investiguation apres le site de Dizangue
17/05/2026 FME sur site || Intervention en cours || Cell up apres le remplacement des jumpeurs
16/05/2026 FME presentement sur le site de BANGAWA || Intervention apres Bangawa
15/05/2026 Intervention ce jour || ETA 15H
13/05/2026 Spare en cours d'expedition entre douala pou EDEA ce jour || ETD 14052026
12/05/2026 Cde en cours
11/05/2026 Cde en cours
09/05/2026 Feedback FME Commande Jumpeurs en cours
08/05/2026 Check and clean RRU 52 ant 5 || FME activer et Presentement sur Dizangue || Intervention apres Dizangue 23/05/2026 En attente du RI
21/05/2026 FME sur le site de EBOMBE || Intervention apres ebombe || ETA 14H || Intervention en cours || Check en cours avec le BO
20/05/2026 Intervention ce jour apres Edea bonandi
19/05/2026 FME fera le site de Mouanko aujoud'hui || Intervention apresle site de Mouanko
18/05/2026 FME activer mais il est sur le site de Dizangue il fera une investiguation apres le site de Dizangue
17/05/2026 FME sur site || Intervention en cours || Cell up apres le remplacement des jumpeurs
16/05/2026 FME presentement sur le site de BANGAWA || Intervention apres Bangawa
15/05/2026 Intervention ce jour || ETA 15H
13/05/2026 Spare en cours d'expedition entre douala pou EDEA ce jour || ETD 14052026
12/05/2026 Cde en cours
11/05/2026 Cde en cours
09/05/2026 Feedback FME Commande Jumpeurs en cours
08/05/2026 Check and clean RRU 52 ant 5 || FME activer et Presentement sur Dizangue || Intervention apres Dizangue 23/05/2026 En attente du RI
21/05/2026 FME sur le site de EBOMBE || Intervention apres ebombe || ETA 14H || Intervention en cours || Check en cours avec le BO
20/05/2026 Intervention ce jour apres Edea bonandi
19/05/2026 FME fera le site de Mouanko aujoud'hui || Intervention apresle site de Mouanko
18/05/2026 FME activer mais il est sur le site de Dizangue il fera une investiguation apres le site de Dizangue
17/05/2026 FME sur site || Intervention en cours || Cell up apres le remplacement des jumpeurs
16/05/2026 FME presentement sur le site de BANGAWA || Intervention apres Bangawa
15/05/2026 Intervention ce jour || ETA 15H
13/05/2026 Spare en cours d'expedition entre douala pou EDEA ce jour || ETD 14052026
12/05/2026 Cde en cours
11/05/2026 Cde en cours
09/05/2026 Feedback FME Commande Jumpeurs en cours
08/05/2026 Check and clean RRU 52 ant 5 || FME activer et Presentement sur Dizangue || Intervention apres Dizangue</t>
        </is>
      </c>
      <c r="Z1895" t="inlineStr"/>
      <c r="AA1895" t="inlineStr"/>
      <c r="AB1895" t="inlineStr"/>
      <c r="AC1895" t="inlineStr"/>
      <c r="AD1895" t="inlineStr"/>
      <c r="AE1895" t="inlineStr"/>
      <c r="AF1895" t="inlineStr"/>
      <c r="AG1895" t="inlineStr"/>
      <c r="AH1895" t="inlineStr"/>
      <c r="AI1895" t="inlineStr">
        <is>
          <t xml:space="preserve">{05/25/2026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t>
        </is>
      </c>
      <c r="AJ1895" t="inlineStr">
        <is>
          <t xml:space="preserve">{05/25/2026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t>
        </is>
      </c>
      <c r="AK1895" t="inlineStr">
        <is>
          <t xml:space="preserve">{05/25/2026 cell zte}: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17/05/2026 : FME sur site || Intervention en cours || Cell up apres le remplacement des jumpeurs 
16/05/2026 :  FME presentement sur le site de BANGAWA || Intervention apres Bangawa 
15/05/2026 : Intervention ce jour || ETA : 15H 
13/05/2026 : Spare en cours d'expedition entre douala pou EDEA ce jour || ETD 14052026
12/05/2026 : Cde en cours 
11/05/2026 : Cde en cours 
09/05/2026 : Feedback FME : Commande Jumpeurs en cours 
08/05/2026 : Check and clean RRU 52 ant 5 || FME activer et Presentement sur Dizangue || Intervention apres Dizangue </t>
        </is>
      </c>
      <c r="AL1895" t="inlineStr"/>
      <c r="AM1895" t="inlineStr"/>
      <c r="AN1895" t="inlineStr"/>
      <c r="AO1895" t="inlineStr"/>
      <c r="AP1895" t="inlineStr"/>
      <c r="AQ1895" t="inlineStr"/>
      <c r="AR1895" t="inlineStr"/>
    </row>
    <row r="1896">
      <c r="A1896" t="inlineStr">
        <is>
          <t>Nkolve-IHS</t>
        </is>
      </c>
      <c r="B1896" t="inlineStr">
        <is>
          <t>CTR_531</t>
        </is>
      </c>
      <c r="C1896" t="inlineStr">
        <is>
          <t>CENTRE</t>
        </is>
      </c>
      <c r="D1896" t="inlineStr">
        <is>
          <t>IHS</t>
        </is>
      </c>
      <c r="E1896" t="inlineStr">
        <is>
          <t>Hybrid-Gen</t>
        </is>
      </c>
      <c r="F1896" t="inlineStr">
        <is>
          <t>CENTRE</t>
        </is>
      </c>
      <c r="G1896" t="inlineStr">
        <is>
          <t>Nkolve</t>
        </is>
      </c>
      <c r="H1896" t="inlineStr">
        <is>
          <t>ZTE</t>
        </is>
      </c>
      <c r="I1896" t="n">
        <v>0</v>
      </c>
      <c r="J1896" t="n">
        <v>0</v>
      </c>
      <c r="K1896" t="n">
        <v>0</v>
      </c>
      <c r="L1896" t="n">
        <v>0</v>
      </c>
      <c r="M1896" t="n">
        <v>0</v>
      </c>
      <c r="N1896" t="n">
        <v>0</v>
      </c>
      <c r="O1896" t="n">
        <v>0</v>
      </c>
      <c r="P1896" t="n">
        <v>0</v>
      </c>
      <c r="Q1896" t="n">
        <v>0</v>
      </c>
      <c r="R1896" t="inlineStr">
        <is>
          <t>Operationnel</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row>
    <row r="1897">
      <c r="A1897" t="inlineStr">
        <is>
          <t>Lengom-IHS</t>
        </is>
      </c>
      <c r="B1897" t="inlineStr">
        <is>
          <t>CTR_533</t>
        </is>
      </c>
      <c r="C1897" t="inlineStr">
        <is>
          <t>Yaounde</t>
        </is>
      </c>
      <c r="D1897" t="inlineStr">
        <is>
          <t>IHS</t>
        </is>
      </c>
      <c r="E1897" t="inlineStr">
        <is>
          <t>Grid-Gen</t>
        </is>
      </c>
      <c r="F1897" t="inlineStr">
        <is>
          <t>CENTRE</t>
        </is>
      </c>
      <c r="G1897" t="inlineStr">
        <is>
          <t>Yaounde</t>
        </is>
      </c>
      <c r="H1897" t="inlineStr">
        <is>
          <t>ZTE</t>
        </is>
      </c>
      <c r="I1897" t="n">
        <v>0</v>
      </c>
      <c r="J1897" t="n">
        <v>0</v>
      </c>
      <c r="K1897" t="n">
        <v>0</v>
      </c>
      <c r="L1897" t="n">
        <v>0</v>
      </c>
      <c r="M1897" t="n">
        <v>0</v>
      </c>
      <c r="N1897" t="n">
        <v>0</v>
      </c>
      <c r="O1897" t="n">
        <v>0</v>
      </c>
      <c r="P1897" t="n">
        <v>0</v>
      </c>
      <c r="Q1897" t="n">
        <v>0</v>
      </c>
      <c r="R1897" t="inlineStr">
        <is>
          <t>Operationnel</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row>
    <row r="1898">
      <c r="A1898" t="inlineStr">
        <is>
          <t>Nguibassal</t>
        </is>
      </c>
      <c r="B1898" t="inlineStr">
        <is>
          <t>CTR_858</t>
        </is>
      </c>
      <c r="C1898" t="inlineStr">
        <is>
          <t>CENTRE</t>
        </is>
      </c>
      <c r="D1898" t="inlineStr">
        <is>
          <t>ESCO</t>
        </is>
      </c>
      <c r="E1898" t="inlineStr">
        <is>
          <t>Hybrid solar - S3</t>
        </is>
      </c>
      <c r="F1898" t="inlineStr">
        <is>
          <t>CENTRE</t>
        </is>
      </c>
      <c r="G1898" t="inlineStr">
        <is>
          <t>Nguibassal</t>
        </is>
      </c>
      <c r="H1898" t="inlineStr">
        <is>
          <t>ZTE</t>
        </is>
      </c>
      <c r="I1898" t="n">
        <v>0</v>
      </c>
      <c r="J1898" t="n">
        <v>0</v>
      </c>
      <c r="K1898" t="n">
        <v>0</v>
      </c>
      <c r="L1898" t="n">
        <v>0</v>
      </c>
      <c r="M1898" t="n">
        <v>0</v>
      </c>
      <c r="N1898" t="n">
        <v>0</v>
      </c>
      <c r="O1898" t="n">
        <v>0</v>
      </c>
      <c r="P1898" t="n">
        <v>0</v>
      </c>
      <c r="Q1898" t="n">
        <v>0</v>
      </c>
      <c r="R1898" t="inlineStr">
        <is>
          <t>Operationnel</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row>
    <row r="1899">
      <c r="A1899" t="inlineStr">
        <is>
          <t>Nkoteng-IHS</t>
        </is>
      </c>
      <c r="B1899" t="inlineStr">
        <is>
          <t>CTR_152</t>
        </is>
      </c>
      <c r="C1899" t="inlineStr">
        <is>
          <t>CENTRE</t>
        </is>
      </c>
      <c r="D1899" t="inlineStr">
        <is>
          <t>IHS</t>
        </is>
      </c>
      <c r="E1899" t="inlineStr">
        <is>
          <t>Grid-Gen</t>
        </is>
      </c>
      <c r="F1899" t="inlineStr">
        <is>
          <t>CENTRE</t>
        </is>
      </c>
      <c r="G1899" t="inlineStr">
        <is>
          <t>Nkoteng</t>
        </is>
      </c>
      <c r="H1899" t="inlineStr">
        <is>
          <t>ZTE</t>
        </is>
      </c>
      <c r="I1899" t="n">
        <v>0</v>
      </c>
      <c r="J1899" t="n">
        <v>0</v>
      </c>
      <c r="K1899" t="n">
        <v>0</v>
      </c>
      <c r="L1899" t="n">
        <v>0</v>
      </c>
      <c r="M1899" t="n">
        <v>0</v>
      </c>
      <c r="N1899" t="n">
        <v>0</v>
      </c>
      <c r="O1899" t="n">
        <v>0</v>
      </c>
      <c r="P1899" t="n">
        <v>0</v>
      </c>
      <c r="Q1899" t="n">
        <v>0</v>
      </c>
      <c r="R1899" t="inlineStr">
        <is>
          <t>Operationnel</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row>
    <row r="1900">
      <c r="A1900" t="inlineStr">
        <is>
          <t>Carrefour-Elat</t>
        </is>
      </c>
      <c r="B1900" t="inlineStr">
        <is>
          <t>CTR_835</t>
        </is>
      </c>
      <c r="C1900" t="inlineStr">
        <is>
          <t>CENTRE</t>
        </is>
      </c>
      <c r="D1900" t="inlineStr">
        <is>
          <t>CAMUSAT</t>
        </is>
      </c>
      <c r="E1900" t="inlineStr">
        <is>
          <t>Good Grid + GE</t>
        </is>
      </c>
      <c r="F1900" t="inlineStr">
        <is>
          <t>CENTRE</t>
        </is>
      </c>
      <c r="G1900" t="inlineStr">
        <is>
          <t>Elat</t>
        </is>
      </c>
      <c r="H1900" t="inlineStr">
        <is>
          <t>ZTE</t>
        </is>
      </c>
      <c r="I1900" t="n">
        <v>0</v>
      </c>
      <c r="J1900" t="n">
        <v>0</v>
      </c>
      <c r="K1900" t="n">
        <v>0</v>
      </c>
      <c r="L1900" t="n">
        <v>0</v>
      </c>
      <c r="M1900" t="n">
        <v>0</v>
      </c>
      <c r="N1900" t="n">
        <v>0</v>
      </c>
      <c r="O1900" t="n">
        <v>0</v>
      </c>
      <c r="P1900" t="n">
        <v>0</v>
      </c>
      <c r="Q1900" t="n">
        <v>0</v>
      </c>
      <c r="R1900" t="inlineStr">
        <is>
          <t>Operationnel</t>
        </is>
      </c>
      <c r="S1900" t="inlineStr"/>
      <c r="T1900" t="inlineStr"/>
      <c r="U1900" t="inlineStr"/>
      <c r="V1900" t="inlineStr"/>
      <c r="W1900" t="inlineStr"/>
      <c r="X1900" t="inlineStr">
        <is>
          <t>{05/25/2026 cell zte}: 25/05/2026 : Need BO TX analysis</t>
        </is>
      </c>
      <c r="Y1900" t="inlineStr">
        <is>
          <t>25/05/2026 Need BO TX analysis</t>
        </is>
      </c>
      <c r="Z1900" t="inlineStr"/>
      <c r="AA1900" t="inlineStr"/>
      <c r="AB1900" t="inlineStr"/>
      <c r="AC1900" t="inlineStr"/>
      <c r="AD1900" t="inlineStr"/>
      <c r="AE1900" t="inlineStr"/>
      <c r="AF1900" t="inlineStr"/>
      <c r="AG1900" t="inlineStr"/>
      <c r="AH1900" t="inlineStr"/>
      <c r="AI1900" t="inlineStr"/>
      <c r="AJ1900" t="inlineStr"/>
      <c r="AK1900" t="inlineStr">
        <is>
          <t>{05/25/2026 cell zte}: 25/05/2026 : Need BO TX analysis</t>
        </is>
      </c>
      <c r="AL1900" t="inlineStr"/>
      <c r="AM1900" t="inlineStr"/>
      <c r="AN1900" t="inlineStr"/>
      <c r="AO1900" t="inlineStr"/>
      <c r="AP1900" t="inlineStr"/>
      <c r="AQ1900" t="inlineStr"/>
      <c r="AR1900" t="inlineStr"/>
    </row>
    <row r="1901">
      <c r="A1901" t="inlineStr">
        <is>
          <t>Njombe-PHP</t>
        </is>
      </c>
      <c r="B1901" t="inlineStr">
        <is>
          <t>LIT_590</t>
        </is>
      </c>
      <c r="C1901" t="inlineStr">
        <is>
          <t>LITTORAL</t>
        </is>
      </c>
      <c r="D1901" t="inlineStr">
        <is>
          <t>CAMUSAT</t>
        </is>
      </c>
      <c r="E1901" t="inlineStr">
        <is>
          <t>Good Grid no GE - 8h</t>
        </is>
      </c>
      <c r="F1901" t="inlineStr">
        <is>
          <t>LITTORAL</t>
        </is>
      </c>
      <c r="G1901" t="inlineStr">
        <is>
          <t>Njombe</t>
        </is>
      </c>
      <c r="H1901" t="inlineStr">
        <is>
          <t>ZTE</t>
        </is>
      </c>
      <c r="I1901" t="n">
        <v>0</v>
      </c>
      <c r="J1901" t="n">
        <v>0</v>
      </c>
      <c r="K1901" t="n">
        <v>0</v>
      </c>
      <c r="L1901" t="n">
        <v>0</v>
      </c>
      <c r="M1901" t="n">
        <v>0</v>
      </c>
      <c r="N1901" t="n">
        <v>0</v>
      </c>
      <c r="O1901" t="n">
        <v>0</v>
      </c>
      <c r="P1901" t="n">
        <v>0</v>
      </c>
      <c r="Q1901" t="n">
        <v>0</v>
      </c>
      <c r="R1901" t="inlineStr">
        <is>
          <t>Operationnel</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row>
    <row r="1902">
      <c r="A1902" t="inlineStr">
        <is>
          <t>Mimbo</t>
        </is>
      </c>
      <c r="B1902" t="inlineStr">
        <is>
          <t>SUD_099</t>
        </is>
      </c>
      <c r="C1902" t="inlineStr">
        <is>
          <t>CENTRE</t>
        </is>
      </c>
      <c r="D1902" t="inlineStr">
        <is>
          <t>CAMUSAT</t>
        </is>
      </c>
      <c r="E1902" t="inlineStr">
        <is>
          <t>HGB</t>
        </is>
      </c>
      <c r="F1902" t="inlineStr">
        <is>
          <t>SUD</t>
        </is>
      </c>
      <c r="G1902" t="inlineStr">
        <is>
          <t>Mimbo</t>
        </is>
      </c>
      <c r="H1902" t="inlineStr">
        <is>
          <t>ZTE</t>
        </is>
      </c>
      <c r="I1902" t="n">
        <v>0</v>
      </c>
      <c r="J1902" t="n">
        <v>0</v>
      </c>
      <c r="K1902" t="n">
        <v>0</v>
      </c>
      <c r="L1902" t="n">
        <v>0</v>
      </c>
      <c r="M1902" t="n">
        <v>0</v>
      </c>
      <c r="N1902" t="n">
        <v>0</v>
      </c>
      <c r="O1902" t="n">
        <v>0</v>
      </c>
      <c r="P1902" t="n">
        <v>0</v>
      </c>
      <c r="Q1902" t="n">
        <v>0</v>
      </c>
      <c r="R1902" t="inlineStr">
        <is>
          <t>Operationnel</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row>
    <row r="1903">
      <c r="A1903" t="inlineStr">
        <is>
          <t>Olama-IHS</t>
        </is>
      </c>
      <c r="B1903" t="inlineStr">
        <is>
          <t>CTR_441</t>
        </is>
      </c>
      <c r="C1903" t="inlineStr">
        <is>
          <t>CENTRE</t>
        </is>
      </c>
      <c r="D1903" t="inlineStr">
        <is>
          <t>IHS</t>
        </is>
      </c>
      <c r="E1903" t="inlineStr">
        <is>
          <t>Grid-Gen</t>
        </is>
      </c>
      <c r="F1903" t="inlineStr">
        <is>
          <t>CENTRE</t>
        </is>
      </c>
      <c r="G1903" t="inlineStr">
        <is>
          <t>Olama</t>
        </is>
      </c>
      <c r="H1903" t="inlineStr">
        <is>
          <t>ZTE</t>
        </is>
      </c>
      <c r="I1903" t="n">
        <v>0</v>
      </c>
      <c r="J1903" t="n">
        <v>0</v>
      </c>
      <c r="K1903" t="n">
        <v>0</v>
      </c>
      <c r="L1903" t="n">
        <v>0</v>
      </c>
      <c r="M1903" t="n">
        <v>0</v>
      </c>
      <c r="N1903" t="n">
        <v>0</v>
      </c>
      <c r="O1903" t="n">
        <v>0</v>
      </c>
      <c r="P1903" t="n">
        <v>0</v>
      </c>
      <c r="Q1903" t="n">
        <v>0</v>
      </c>
      <c r="R1903" t="inlineStr">
        <is>
          <t>Operationnel</t>
        </is>
      </c>
      <c r="S1903" t="inlineStr"/>
      <c r="T1903" t="inlineStr"/>
      <c r="U1903" t="inlineStr"/>
      <c r="V1903" t="inlineStr"/>
      <c r="W1903" t="inlineStr"/>
      <c r="X1903" t="inlineStr">
        <is>
          <t>{None hourly IHS}: 25/05/2026 20:22..2:37:54..Fuel pump Faulty     ;    {05-25-2026 ocm ran 22H}: Power status check Ongoing</t>
        </is>
      </c>
      <c r="Y1903" t="inlineStr">
        <is>
          <t>25/05/2026 20 22.2 37 54.Fuel pump Faulty</t>
        </is>
      </c>
      <c r="Z1903" t="inlineStr"/>
      <c r="AA1903" t="inlineStr"/>
      <c r="AB1903" t="inlineStr"/>
      <c r="AC1903" t="inlineStr"/>
      <c r="AD1903" t="inlineStr"/>
      <c r="AE1903" t="inlineStr">
        <is>
          <t>{None hourly IHS}: 25/05/2026 20:22..2:37:54..Fuel pump Faulty</t>
        </is>
      </c>
      <c r="AF1903" t="inlineStr"/>
      <c r="AG1903" t="inlineStr"/>
      <c r="AH1903" t="inlineStr"/>
      <c r="AI1903" t="inlineStr"/>
      <c r="AJ1903" t="inlineStr"/>
      <c r="AK1903" t="inlineStr"/>
      <c r="AL1903" t="inlineStr"/>
      <c r="AM1903" t="inlineStr"/>
      <c r="AN1903" t="inlineStr"/>
      <c r="AO1903" t="inlineStr">
        <is>
          <t>{05-25-2026 ocm ran 22H}: Power status check Ongoing</t>
        </is>
      </c>
      <c r="AP1903" t="inlineStr"/>
      <c r="AQ1903" t="inlineStr"/>
      <c r="AR1903" t="inlineStr"/>
    </row>
    <row r="1904">
      <c r="A1904" t="inlineStr">
        <is>
          <t>Liberte</t>
        </is>
      </c>
      <c r="B1904" t="inlineStr">
        <is>
          <t>LIT_019</t>
        </is>
      </c>
      <c r="C1904" t="inlineStr">
        <is>
          <t>Douala</t>
        </is>
      </c>
      <c r="D1904" t="inlineStr"/>
      <c r="E1904" t="inlineStr"/>
      <c r="F1904" t="inlineStr">
        <is>
          <t>LITTORAL</t>
        </is>
      </c>
      <c r="G1904" t="inlineStr">
        <is>
          <t>Douala</t>
        </is>
      </c>
      <c r="H1904" t="inlineStr">
        <is>
          <t>ZTE</t>
        </is>
      </c>
      <c r="I1904" t="n">
        <v>0</v>
      </c>
      <c r="J1904" t="n">
        <v>0</v>
      </c>
      <c r="K1904" t="n">
        <v>0</v>
      </c>
      <c r="L1904" t="n">
        <v>0</v>
      </c>
      <c r="M1904" t="n">
        <v>0</v>
      </c>
      <c r="N1904" t="n">
        <v>0</v>
      </c>
      <c r="O1904" t="n">
        <v>0</v>
      </c>
      <c r="P1904" t="n">
        <v>0</v>
      </c>
      <c r="Q1904" t="n">
        <v>0</v>
      </c>
      <c r="R1904" t="inlineStr">
        <is>
          <t>Operationnel</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row>
    <row r="1905">
      <c r="A1905" t="inlineStr">
        <is>
          <t>Bali-SNEC</t>
        </is>
      </c>
      <c r="B1905" t="inlineStr">
        <is>
          <t>LIT_015</t>
        </is>
      </c>
      <c r="C1905" t="inlineStr">
        <is>
          <t>Douala</t>
        </is>
      </c>
      <c r="D1905" t="inlineStr">
        <is>
          <t>CAMUSAT</t>
        </is>
      </c>
      <c r="E1905" t="inlineStr">
        <is>
          <t>Good Grid + GE</t>
        </is>
      </c>
      <c r="F1905" t="inlineStr">
        <is>
          <t>LITTORAL</t>
        </is>
      </c>
      <c r="G1905" t="inlineStr">
        <is>
          <t>Douala</t>
        </is>
      </c>
      <c r="H1905" t="inlineStr">
        <is>
          <t>ZTE</t>
        </is>
      </c>
      <c r="I1905" t="n">
        <v>0</v>
      </c>
      <c r="J1905" t="n">
        <v>0</v>
      </c>
      <c r="K1905" t="n">
        <v>0</v>
      </c>
      <c r="L1905" t="n">
        <v>0</v>
      </c>
      <c r="M1905" t="n">
        <v>0</v>
      </c>
      <c r="N1905" t="n">
        <v>0</v>
      </c>
      <c r="O1905" t="n">
        <v>0</v>
      </c>
      <c r="P1905" t="n">
        <v>0</v>
      </c>
      <c r="Q1905" t="n">
        <v>0</v>
      </c>
      <c r="R1905" t="inlineStr">
        <is>
          <t>Operationnel</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row>
    <row r="1906">
      <c r="A1906" t="inlineStr">
        <is>
          <t>SNAC</t>
        </is>
      </c>
      <c r="B1906" t="inlineStr">
        <is>
          <t>LIT_043</t>
        </is>
      </c>
      <c r="C1906" t="inlineStr">
        <is>
          <t>Douala</t>
        </is>
      </c>
      <c r="D1906" t="inlineStr">
        <is>
          <t>IHS</t>
        </is>
      </c>
      <c r="E1906" t="inlineStr">
        <is>
          <t>GridOnly</t>
        </is>
      </c>
      <c r="F1906" t="inlineStr">
        <is>
          <t>LITTORAL</t>
        </is>
      </c>
      <c r="G1906" t="inlineStr">
        <is>
          <t>Douala</t>
        </is>
      </c>
      <c r="H1906" t="inlineStr">
        <is>
          <t>ZTE</t>
        </is>
      </c>
      <c r="I1906" t="n">
        <v>0</v>
      </c>
      <c r="J1906" t="n">
        <v>0</v>
      </c>
      <c r="K1906" t="n">
        <v>0</v>
      </c>
      <c r="L1906" t="n">
        <v>0</v>
      </c>
      <c r="M1906" t="n">
        <v>0</v>
      </c>
      <c r="N1906" t="n">
        <v>0</v>
      </c>
      <c r="O1906" t="n">
        <v>0</v>
      </c>
      <c r="P1906" t="n">
        <v>0</v>
      </c>
      <c r="Q1906" t="n">
        <v>0</v>
      </c>
      <c r="R1906" t="inlineStr">
        <is>
          <t>Operationnel</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row>
    <row r="1907">
      <c r="A1907" t="inlineStr">
        <is>
          <t>Bali-Koumassi</t>
        </is>
      </c>
      <c r="B1907" t="inlineStr">
        <is>
          <t>LIT_413</t>
        </is>
      </c>
      <c r="C1907" t="inlineStr">
        <is>
          <t>Douala</t>
        </is>
      </c>
      <c r="D1907" t="inlineStr">
        <is>
          <t>IHS</t>
        </is>
      </c>
      <c r="E1907" t="inlineStr">
        <is>
          <t>Grid-Gen</t>
        </is>
      </c>
      <c r="F1907" t="inlineStr">
        <is>
          <t>LITTORAL</t>
        </is>
      </c>
      <c r="G1907" t="inlineStr">
        <is>
          <t>Douala</t>
        </is>
      </c>
      <c r="H1907" t="inlineStr">
        <is>
          <t>ZTE</t>
        </is>
      </c>
      <c r="I1907" t="n">
        <v>0</v>
      </c>
      <c r="J1907" t="n">
        <v>0</v>
      </c>
      <c r="K1907" t="n">
        <v>0</v>
      </c>
      <c r="L1907" t="n">
        <v>0</v>
      </c>
      <c r="M1907" t="n">
        <v>0</v>
      </c>
      <c r="N1907" t="n">
        <v>0</v>
      </c>
      <c r="O1907" t="n">
        <v>0</v>
      </c>
      <c r="P1907" t="n">
        <v>0</v>
      </c>
      <c r="Q1907" t="n">
        <v>0</v>
      </c>
      <c r="R1907" t="inlineStr">
        <is>
          <t>Operationnel</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row>
    <row r="1908">
      <c r="A1908" t="inlineStr">
        <is>
          <t>LIT_833_Z_Boko4-MTN-IHS</t>
        </is>
      </c>
      <c r="B1908" t="inlineStr">
        <is>
          <t>LIT_833</t>
        </is>
      </c>
      <c r="C1908" t="inlineStr">
        <is>
          <t>Yaounde</t>
        </is>
      </c>
      <c r="D1908" t="inlineStr">
        <is>
          <t>MTN sharing</t>
        </is>
      </c>
      <c r="E1908" t="inlineStr">
        <is>
          <t>Grid-Gen</t>
        </is>
      </c>
      <c r="F1908" t="inlineStr">
        <is>
          <t>LITTORAL</t>
        </is>
      </c>
      <c r="G1908" t="inlineStr">
        <is>
          <t>Yaounde</t>
        </is>
      </c>
      <c r="H1908" t="inlineStr">
        <is>
          <t>ZTE</t>
        </is>
      </c>
      <c r="I1908" t="n">
        <v>0</v>
      </c>
      <c r="J1908" t="n">
        <v>0</v>
      </c>
      <c r="K1908" t="n">
        <v>0</v>
      </c>
      <c r="L1908" t="n">
        <v>0</v>
      </c>
      <c r="M1908" t="n">
        <v>0</v>
      </c>
      <c r="N1908" t="n">
        <v>0</v>
      </c>
      <c r="O1908" t="n">
        <v>0</v>
      </c>
      <c r="P1908" t="n">
        <v>0</v>
      </c>
      <c r="Q1908" t="n">
        <v>0</v>
      </c>
      <c r="R1908" t="inlineStr">
        <is>
          <t>Operationnel</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row>
    <row r="1909">
      <c r="A1909" t="inlineStr">
        <is>
          <t>LIT_857_Z_Bois-des-Singes-III-IHS</t>
        </is>
      </c>
      <c r="B1909" t="inlineStr">
        <is>
          <t>LIT_857</t>
        </is>
      </c>
      <c r="C1909" t="inlineStr">
        <is>
          <t>Yaounde</t>
        </is>
      </c>
      <c r="D1909" t="inlineStr">
        <is>
          <t>ESCO</t>
        </is>
      </c>
      <c r="E1909" t="inlineStr">
        <is>
          <t>Grid-Gen</t>
        </is>
      </c>
      <c r="F1909" t="inlineStr">
        <is>
          <t>LITTORAL</t>
        </is>
      </c>
      <c r="G1909" t="inlineStr">
        <is>
          <t>Yaounde</t>
        </is>
      </c>
      <c r="H1909" t="inlineStr">
        <is>
          <t>ZTE</t>
        </is>
      </c>
      <c r="I1909" t="n">
        <v>0</v>
      </c>
      <c r="J1909" t="n">
        <v>0</v>
      </c>
      <c r="K1909" t="n">
        <v>0</v>
      </c>
      <c r="L1909" t="n">
        <v>0</v>
      </c>
      <c r="M1909" t="n">
        <v>0</v>
      </c>
      <c r="N1909" t="n">
        <v>0</v>
      </c>
      <c r="O1909" t="n">
        <v>0</v>
      </c>
      <c r="P1909" t="n">
        <v>0</v>
      </c>
      <c r="Q1909" t="n">
        <v>0</v>
      </c>
      <c r="R1909" t="inlineStr">
        <is>
          <t>Operationnel</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row>
    <row r="1910">
      <c r="A1910" t="inlineStr">
        <is>
          <t>Emana</t>
        </is>
      </c>
      <c r="B1910" t="inlineStr">
        <is>
          <t>CTR_023</t>
        </is>
      </c>
      <c r="C1910" t="inlineStr">
        <is>
          <t>Yaounde</t>
        </is>
      </c>
      <c r="D1910" t="inlineStr"/>
      <c r="E1910" t="inlineStr"/>
      <c r="F1910" t="inlineStr">
        <is>
          <t>CENTRE</t>
        </is>
      </c>
      <c r="G1910" t="inlineStr">
        <is>
          <t>Yaounde</t>
        </is>
      </c>
      <c r="H1910" t="inlineStr">
        <is>
          <t>ZTE</t>
        </is>
      </c>
      <c r="I1910" t="n">
        <v>0</v>
      </c>
      <c r="J1910" t="n">
        <v>0</v>
      </c>
      <c r="K1910" t="n">
        <v>0</v>
      </c>
      <c r="L1910" t="n">
        <v>0</v>
      </c>
      <c r="M1910" t="n">
        <v>0</v>
      </c>
      <c r="N1910" t="n">
        <v>0</v>
      </c>
      <c r="O1910" t="n">
        <v>0</v>
      </c>
      <c r="P1910" t="n">
        <v>0</v>
      </c>
      <c r="Q1910" t="n">
        <v>0</v>
      </c>
      <c r="R1910" t="inlineStr">
        <is>
          <t>Operationnel</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row>
    <row r="1911">
      <c r="A1911" t="inlineStr">
        <is>
          <t>Mabanda</t>
        </is>
      </c>
      <c r="B1911" t="inlineStr">
        <is>
          <t>LIT_094</t>
        </is>
      </c>
      <c r="C1911" t="inlineStr">
        <is>
          <t>LITTORAL</t>
        </is>
      </c>
      <c r="D1911" t="inlineStr"/>
      <c r="E1911" t="inlineStr"/>
      <c r="F1911" t="inlineStr">
        <is>
          <t>LITTORAL</t>
        </is>
      </c>
      <c r="G1911" t="inlineStr"/>
      <c r="H1911" t="inlineStr">
        <is>
          <t>ZTE</t>
        </is>
      </c>
      <c r="I1911" t="n">
        <v>0</v>
      </c>
      <c r="J1911" t="n">
        <v>0</v>
      </c>
      <c r="K1911" t="n">
        <v>0</v>
      </c>
      <c r="L1911" t="n">
        <v>0</v>
      </c>
      <c r="M1911" t="n">
        <v>0</v>
      </c>
      <c r="N1911" t="n">
        <v>0</v>
      </c>
      <c r="O1911" t="n">
        <v>0</v>
      </c>
      <c r="P1911" t="n">
        <v>0</v>
      </c>
      <c r="Q1911" t="n">
        <v>0</v>
      </c>
      <c r="R1911" t="inlineStr">
        <is>
          <t>Operationnel</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row>
    <row r="1912">
      <c r="A1912" t="inlineStr">
        <is>
          <t>Manjo-new</t>
        </is>
      </c>
      <c r="B1912" t="inlineStr">
        <is>
          <t>LIT_555</t>
        </is>
      </c>
      <c r="C1912" t="inlineStr">
        <is>
          <t>LITTORAL</t>
        </is>
      </c>
      <c r="D1912" t="inlineStr"/>
      <c r="E1912" t="inlineStr"/>
      <c r="F1912" t="inlineStr">
        <is>
          <t>LITTORAL</t>
        </is>
      </c>
      <c r="G1912" t="inlineStr"/>
      <c r="H1912" t="inlineStr">
        <is>
          <t>ZTE</t>
        </is>
      </c>
      <c r="I1912" t="n">
        <v>0</v>
      </c>
      <c r="J1912" t="n">
        <v>0</v>
      </c>
      <c r="K1912" t="n">
        <v>0</v>
      </c>
      <c r="L1912" t="n">
        <v>0</v>
      </c>
      <c r="M1912" t="n">
        <v>0</v>
      </c>
      <c r="N1912" t="n">
        <v>0</v>
      </c>
      <c r="O1912" t="n">
        <v>0</v>
      </c>
      <c r="P1912" t="n">
        <v>0</v>
      </c>
      <c r="Q1912" t="n">
        <v>0</v>
      </c>
      <c r="R1912" t="inlineStr">
        <is>
          <t>Operationnel</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row>
    <row r="1913">
      <c r="A1913" t="inlineStr">
        <is>
          <t>Olembe-staduim</t>
        </is>
      </c>
      <c r="B1913" t="inlineStr">
        <is>
          <t>CTR_853</t>
        </is>
      </c>
      <c r="C1913" t="inlineStr">
        <is>
          <t>CENTRE</t>
        </is>
      </c>
      <c r="D1913" t="inlineStr"/>
      <c r="E1913" t="inlineStr"/>
      <c r="F1913" t="inlineStr">
        <is>
          <t>CENTRE</t>
        </is>
      </c>
      <c r="G1913" t="inlineStr"/>
      <c r="H1913" t="inlineStr">
        <is>
          <t>ZTE</t>
        </is>
      </c>
      <c r="I1913" t="n">
        <v>0</v>
      </c>
      <c r="J1913" t="n">
        <v>0</v>
      </c>
      <c r="K1913" t="n">
        <v>0</v>
      </c>
      <c r="L1913" t="n">
        <v>0</v>
      </c>
      <c r="M1913" t="n">
        <v>0</v>
      </c>
      <c r="N1913" t="n">
        <v>0</v>
      </c>
      <c r="O1913" t="n">
        <v>0</v>
      </c>
      <c r="P1913" t="n">
        <v>0</v>
      </c>
      <c r="Q1913" t="n">
        <v>0</v>
      </c>
      <c r="R1913" t="inlineStr">
        <is>
          <t>Operationnel</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row>
    <row r="1914">
      <c r="A1914" t="inlineStr">
        <is>
          <t>Labogenie</t>
        </is>
      </c>
      <c r="B1914" t="inlineStr">
        <is>
          <t>CTR_015</t>
        </is>
      </c>
      <c r="C1914" t="inlineStr">
        <is>
          <t>Yaounde</t>
        </is>
      </c>
      <c r="D1914" t="inlineStr">
        <is>
          <t>IHS</t>
        </is>
      </c>
      <c r="E1914" t="inlineStr">
        <is>
          <t>GridOnly</t>
        </is>
      </c>
      <c r="F1914" t="inlineStr">
        <is>
          <t>CENTRE</t>
        </is>
      </c>
      <c r="G1914" t="inlineStr">
        <is>
          <t>Yaounde</t>
        </is>
      </c>
      <c r="H1914" t="inlineStr">
        <is>
          <t>ZTE</t>
        </is>
      </c>
      <c r="I1914" t="n">
        <v>0</v>
      </c>
      <c r="J1914" t="n">
        <v>0</v>
      </c>
      <c r="K1914" t="n">
        <v>0</v>
      </c>
      <c r="L1914" t="n">
        <v>0</v>
      </c>
      <c r="M1914" t="n">
        <v>0</v>
      </c>
      <c r="N1914" t="n">
        <v>0</v>
      </c>
      <c r="O1914" t="n">
        <v>0</v>
      </c>
      <c r="P1914" t="n">
        <v>0</v>
      </c>
      <c r="Q1914" t="n">
        <v>0</v>
      </c>
      <c r="R1914" t="inlineStr">
        <is>
          <t>Operationnel</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row>
    <row r="1915">
      <c r="A1915" t="inlineStr">
        <is>
          <t>Ndisamba</t>
        </is>
      </c>
      <c r="B1915" t="inlineStr">
        <is>
          <t>CTR_008</t>
        </is>
      </c>
      <c r="C1915" t="inlineStr">
        <is>
          <t>Yaounde</t>
        </is>
      </c>
      <c r="D1915" t="inlineStr">
        <is>
          <t>IHS</t>
        </is>
      </c>
      <c r="E1915" t="inlineStr">
        <is>
          <t>Grid-Gen</t>
        </is>
      </c>
      <c r="F1915" t="inlineStr">
        <is>
          <t>CENTRE</t>
        </is>
      </c>
      <c r="G1915" t="inlineStr">
        <is>
          <t>Yaounde</t>
        </is>
      </c>
      <c r="H1915" t="inlineStr">
        <is>
          <t>ZTE</t>
        </is>
      </c>
      <c r="I1915" t="n">
        <v>0</v>
      </c>
      <c r="J1915" t="n">
        <v>0</v>
      </c>
      <c r="K1915" t="n">
        <v>0</v>
      </c>
      <c r="L1915" t="n">
        <v>0</v>
      </c>
      <c r="M1915" t="n">
        <v>0</v>
      </c>
      <c r="N1915" t="n">
        <v>0</v>
      </c>
      <c r="O1915" t="n">
        <v>0</v>
      </c>
      <c r="P1915" t="n">
        <v>0</v>
      </c>
      <c r="Q1915" t="n">
        <v>0</v>
      </c>
      <c r="R1915" t="inlineStr">
        <is>
          <t>Operationnel</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row>
    <row r="1916">
      <c r="A1916" t="inlineStr">
        <is>
          <t>Foumban</t>
        </is>
      </c>
      <c r="B1916" t="inlineStr">
        <is>
          <t>OST_004</t>
        </is>
      </c>
      <c r="C1916" t="inlineStr">
        <is>
          <t>OUEST</t>
        </is>
      </c>
      <c r="D1916" t="inlineStr">
        <is>
          <t>IHS</t>
        </is>
      </c>
      <c r="E1916" t="inlineStr">
        <is>
          <t>Grid-Gen</t>
        </is>
      </c>
      <c r="F1916" t="inlineStr">
        <is>
          <t>OUEST</t>
        </is>
      </c>
      <c r="G1916" t="inlineStr">
        <is>
          <t>Foumban</t>
        </is>
      </c>
      <c r="H1916" t="inlineStr">
        <is>
          <t>Huawei</t>
        </is>
      </c>
      <c r="I1916" t="n">
        <v>0</v>
      </c>
      <c r="J1916" t="n">
        <v>0</v>
      </c>
      <c r="K1916" t="n">
        <v>0</v>
      </c>
      <c r="L1916" t="n">
        <v>0</v>
      </c>
      <c r="M1916" t="n">
        <v>0</v>
      </c>
      <c r="N1916" t="n">
        <v>0</v>
      </c>
      <c r="O1916" t="n">
        <v>0</v>
      </c>
      <c r="P1916" t="n">
        <v>0</v>
      </c>
      <c r="Q1916" t="n">
        <v>0</v>
      </c>
      <c r="R1916" t="inlineStr">
        <is>
          <t>Operationnel</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row>
    <row r="1917">
      <c r="A1917" t="inlineStr">
        <is>
          <t>Zingui</t>
        </is>
      </c>
      <c r="B1917" t="inlineStr">
        <is>
          <t>SUD_136</t>
        </is>
      </c>
      <c r="C1917" t="inlineStr">
        <is>
          <t>CENTRE</t>
        </is>
      </c>
      <c r="D1917" t="inlineStr"/>
      <c r="E1917" t="inlineStr"/>
      <c r="F1917" t="inlineStr">
        <is>
          <t>SUD</t>
        </is>
      </c>
      <c r="G1917" t="inlineStr"/>
      <c r="H1917" t="inlineStr">
        <is>
          <t>ZTE</t>
        </is>
      </c>
      <c r="I1917" t="n">
        <v>0</v>
      </c>
      <c r="J1917" t="n">
        <v>0</v>
      </c>
      <c r="K1917" t="n">
        <v>0</v>
      </c>
      <c r="L1917" t="n">
        <v>0</v>
      </c>
      <c r="M1917" t="n">
        <v>0</v>
      </c>
      <c r="N1917" t="n">
        <v>0</v>
      </c>
      <c r="O1917" t="n">
        <v>0</v>
      </c>
      <c r="P1917" t="n">
        <v>0</v>
      </c>
      <c r="Q1917" t="n">
        <v>0</v>
      </c>
      <c r="R1917" t="inlineStr">
        <is>
          <t>Operationnel</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row>
    <row r="1918">
      <c r="A1918" t="inlineStr">
        <is>
          <t>Bonantone</t>
        </is>
      </c>
      <c r="B1918" t="inlineStr">
        <is>
          <t>LIT_085</t>
        </is>
      </c>
      <c r="C1918" t="inlineStr">
        <is>
          <t>Douala</t>
        </is>
      </c>
      <c r="D1918" t="inlineStr">
        <is>
          <t>IHS</t>
        </is>
      </c>
      <c r="E1918" t="inlineStr">
        <is>
          <t>Grid-Gen</t>
        </is>
      </c>
      <c r="F1918" t="inlineStr">
        <is>
          <t>LITTORAL</t>
        </is>
      </c>
      <c r="G1918" t="inlineStr">
        <is>
          <t>Douala</t>
        </is>
      </c>
      <c r="H1918" t="inlineStr">
        <is>
          <t>ZTE</t>
        </is>
      </c>
      <c r="I1918" t="n">
        <v>0</v>
      </c>
      <c r="J1918" t="n">
        <v>0</v>
      </c>
      <c r="K1918" t="n">
        <v>0</v>
      </c>
      <c r="L1918" t="n">
        <v>0</v>
      </c>
      <c r="M1918" t="n">
        <v>0</v>
      </c>
      <c r="N1918" t="n">
        <v>0</v>
      </c>
      <c r="O1918" t="n">
        <v>0</v>
      </c>
      <c r="P1918" t="n">
        <v>0</v>
      </c>
      <c r="Q1918" t="n">
        <v>0</v>
      </c>
      <c r="R1918" t="inlineStr">
        <is>
          <t>Operationnel</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row>
    <row r="1919">
      <c r="A1919" t="inlineStr">
        <is>
          <t>Newb-Q-Haoussa</t>
        </is>
      </c>
      <c r="B1919" t="inlineStr">
        <is>
          <t>LIT_395</t>
        </is>
      </c>
      <c r="C1919" t="inlineStr">
        <is>
          <t>Douala</t>
        </is>
      </c>
      <c r="D1919" t="inlineStr">
        <is>
          <t>CAMUSAT</t>
        </is>
      </c>
      <c r="E1919" t="inlineStr">
        <is>
          <t>Grid-Gen</t>
        </is>
      </c>
      <c r="F1919" t="inlineStr">
        <is>
          <t>LITTORAL</t>
        </is>
      </c>
      <c r="G1919" t="inlineStr">
        <is>
          <t>Douala</t>
        </is>
      </c>
      <c r="H1919" t="inlineStr">
        <is>
          <t>ZTE</t>
        </is>
      </c>
      <c r="I1919" t="n">
        <v>0</v>
      </c>
      <c r="J1919" t="n">
        <v>0</v>
      </c>
      <c r="K1919" t="n">
        <v>0</v>
      </c>
      <c r="L1919" t="n">
        <v>0</v>
      </c>
      <c r="M1919" t="n">
        <v>0</v>
      </c>
      <c r="N1919" t="n">
        <v>0</v>
      </c>
      <c r="O1919" t="n">
        <v>0</v>
      </c>
      <c r="P1919" t="n">
        <v>0</v>
      </c>
      <c r="Q1919" t="n">
        <v>0</v>
      </c>
      <c r="R1919" t="inlineStr">
        <is>
          <t>Operationnel</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row>
    <row r="1920">
      <c r="A1920" t="inlineStr">
        <is>
          <t>Minisite-SOUDANAISE</t>
        </is>
      </c>
      <c r="B1920" t="inlineStr">
        <is>
          <t>LIT_665</t>
        </is>
      </c>
      <c r="C1920" t="inlineStr">
        <is>
          <t>Douala</t>
        </is>
      </c>
      <c r="D1920" t="inlineStr"/>
      <c r="E1920" t="inlineStr"/>
      <c r="F1920" t="inlineStr">
        <is>
          <t>LITTORAL</t>
        </is>
      </c>
      <c r="G1920" t="inlineStr">
        <is>
          <t>Douala</t>
        </is>
      </c>
      <c r="H1920" t="inlineStr">
        <is>
          <t>ZTE</t>
        </is>
      </c>
      <c r="I1920" t="n">
        <v>0</v>
      </c>
      <c r="J1920" t="n">
        <v>0</v>
      </c>
      <c r="K1920" t="n">
        <v>0</v>
      </c>
      <c r="L1920" t="n">
        <v>0</v>
      </c>
      <c r="M1920" t="n">
        <v>0</v>
      </c>
      <c r="N1920" t="n">
        <v>0</v>
      </c>
      <c r="O1920" t="n">
        <v>0</v>
      </c>
      <c r="P1920" t="n">
        <v>0</v>
      </c>
      <c r="Q1920" t="n">
        <v>0</v>
      </c>
      <c r="R1920" t="inlineStr">
        <is>
          <t>Operationnel</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row>
    <row r="1921">
      <c r="A1921" t="inlineStr">
        <is>
          <t>Beka</t>
        </is>
      </c>
      <c r="B1921" t="inlineStr">
        <is>
          <t>NRD_020</t>
        </is>
      </c>
      <c r="C1921" t="inlineStr">
        <is>
          <t>NORD</t>
        </is>
      </c>
      <c r="D1921" t="inlineStr">
        <is>
          <t>IHS</t>
        </is>
      </c>
      <c r="E1921" t="inlineStr">
        <is>
          <t>Solar-Gen</t>
        </is>
      </c>
      <c r="F1921" t="inlineStr">
        <is>
          <t>NORD</t>
        </is>
      </c>
      <c r="G1921" t="inlineStr">
        <is>
          <t>Beka</t>
        </is>
      </c>
      <c r="H1921" t="inlineStr">
        <is>
          <t>Huawei</t>
        </is>
      </c>
      <c r="I1921" t="n">
        <v>0</v>
      </c>
      <c r="J1921" t="n">
        <v>0</v>
      </c>
      <c r="K1921" t="n">
        <v>0</v>
      </c>
      <c r="L1921" t="n">
        <v>0</v>
      </c>
      <c r="M1921" t="n">
        <v>0</v>
      </c>
      <c r="N1921" t="n">
        <v>0</v>
      </c>
      <c r="O1921" t="n">
        <v>0</v>
      </c>
      <c r="P1921" t="n">
        <v>0</v>
      </c>
      <c r="Q1921" t="n">
        <v>0</v>
      </c>
      <c r="R1921" t="inlineStr">
        <is>
          <t>Operationnel</t>
        </is>
      </c>
      <c r="S1921" t="inlineStr"/>
      <c r="T1921" t="inlineStr"/>
      <c r="U1921" t="inlineStr"/>
      <c r="V1921" t="inlineStr"/>
      <c r="W1921" t="inlineStr"/>
      <c r="X1921" t="inlineStr">
        <is>
          <t>{None hourly IHS}: 25/05/2026 04:33..1:50:17..47.4V..Ayang is informed and managing with L0.</t>
        </is>
      </c>
      <c r="Y1921" t="inlineStr">
        <is>
          <t>25/05/2026 04 33.1 50 17.47.4V.Ayang is informed and managing with L0.</t>
        </is>
      </c>
      <c r="Z1921" t="inlineStr"/>
      <c r="AA1921" t="inlineStr"/>
      <c r="AB1921" t="inlineStr"/>
      <c r="AC1921" t="inlineStr"/>
      <c r="AD1921" t="inlineStr"/>
      <c r="AE1921" t="inlineStr">
        <is>
          <t>{None hourly IHS}: 25/05/2026 04:33..1:50:17..47.4V..Ayang is informed and managing with L0.</t>
        </is>
      </c>
      <c r="AF1921" t="inlineStr"/>
      <c r="AG1921" t="inlineStr"/>
      <c r="AH1921" t="inlineStr"/>
      <c r="AI1921" t="inlineStr"/>
      <c r="AJ1921" t="inlineStr"/>
      <c r="AK1921" t="inlineStr"/>
      <c r="AL1921" t="inlineStr"/>
      <c r="AM1921" t="inlineStr"/>
      <c r="AN1921" t="inlineStr"/>
      <c r="AO1921" t="inlineStr"/>
      <c r="AP1921" t="inlineStr"/>
      <c r="AQ1921" t="inlineStr"/>
      <c r="AR1921" t="inlineStr"/>
    </row>
    <row r="1922">
      <c r="A1922" t="inlineStr">
        <is>
          <t>Nkong-Zem</t>
        </is>
      </c>
      <c r="B1922" t="inlineStr">
        <is>
          <t>OST_073</t>
        </is>
      </c>
      <c r="C1922" t="inlineStr">
        <is>
          <t>OUEST</t>
        </is>
      </c>
      <c r="D1922" t="inlineStr">
        <is>
          <t>IHS</t>
        </is>
      </c>
      <c r="E1922" t="inlineStr">
        <is>
          <t>Grid-Gen</t>
        </is>
      </c>
      <c r="F1922" t="inlineStr">
        <is>
          <t>OUEST</t>
        </is>
      </c>
      <c r="G1922" t="inlineStr">
        <is>
          <t>Nkong-Zem</t>
        </is>
      </c>
      <c r="H1922" t="inlineStr">
        <is>
          <t>HUAWEI</t>
        </is>
      </c>
      <c r="I1922" t="n">
        <v>0</v>
      </c>
      <c r="J1922" t="n">
        <v>0</v>
      </c>
      <c r="K1922" t="n">
        <v>0</v>
      </c>
      <c r="L1922" t="n">
        <v>0</v>
      </c>
      <c r="M1922" t="n">
        <v>0</v>
      </c>
      <c r="N1922" t="n">
        <v>0</v>
      </c>
      <c r="O1922" t="n">
        <v>0</v>
      </c>
      <c r="P1922" t="n">
        <v>0</v>
      </c>
      <c r="Q1922" t="n">
        <v>0</v>
      </c>
      <c r="R1922" t="inlineStr">
        <is>
          <t>Operationnel</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row>
    <row r="1923">
      <c r="A1923" t="inlineStr">
        <is>
          <t>Hopital-Mbouo</t>
        </is>
      </c>
      <c r="B1923" t="inlineStr">
        <is>
          <t>OST_296</t>
        </is>
      </c>
      <c r="C1923" t="inlineStr">
        <is>
          <t>Bafoussam</t>
        </is>
      </c>
      <c r="D1923" t="inlineStr">
        <is>
          <t>CAMUSAT</t>
        </is>
      </c>
      <c r="E1923" t="inlineStr">
        <is>
          <t>Good Grid + GE</t>
        </is>
      </c>
      <c r="F1923" t="inlineStr">
        <is>
          <t>OUEST</t>
        </is>
      </c>
      <c r="G1923" t="inlineStr">
        <is>
          <t>Bafoussam</t>
        </is>
      </c>
      <c r="H1923" t="inlineStr">
        <is>
          <t>HUAWEI</t>
        </is>
      </c>
      <c r="I1923" t="n">
        <v>0</v>
      </c>
      <c r="J1923" t="n">
        <v>0</v>
      </c>
      <c r="K1923" t="n">
        <v>0</v>
      </c>
      <c r="L1923" t="n">
        <v>0</v>
      </c>
      <c r="M1923" t="n">
        <v>0</v>
      </c>
      <c r="N1923" t="n">
        <v>0</v>
      </c>
      <c r="O1923" t="n">
        <v>0</v>
      </c>
      <c r="P1923" t="n">
        <v>0</v>
      </c>
      <c r="Q1923" t="n">
        <v>0</v>
      </c>
      <c r="R1923" t="inlineStr">
        <is>
          <t>Operationnel</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row>
    <row r="1924">
      <c r="A1924" t="inlineStr">
        <is>
          <t>Banekane</t>
        </is>
      </c>
      <c r="B1924" t="inlineStr">
        <is>
          <t>OST_052</t>
        </is>
      </c>
      <c r="C1924" t="inlineStr">
        <is>
          <t>OUEST</t>
        </is>
      </c>
      <c r="D1924" t="inlineStr">
        <is>
          <t>IHS</t>
        </is>
      </c>
      <c r="E1924" t="inlineStr">
        <is>
          <t>Grid-Gen</t>
        </is>
      </c>
      <c r="F1924" t="inlineStr">
        <is>
          <t>OUEST</t>
        </is>
      </c>
      <c r="G1924" t="inlineStr">
        <is>
          <t>Banekane</t>
        </is>
      </c>
      <c r="H1924" t="inlineStr">
        <is>
          <t>HUAWEI</t>
        </is>
      </c>
      <c r="I1924" t="n">
        <v>0</v>
      </c>
      <c r="J1924" t="n">
        <v>0</v>
      </c>
      <c r="K1924" t="n">
        <v>0</v>
      </c>
      <c r="L1924" t="n">
        <v>0</v>
      </c>
      <c r="M1924" t="n">
        <v>0</v>
      </c>
      <c r="N1924" t="n">
        <v>0</v>
      </c>
      <c r="O1924" t="n">
        <v>0</v>
      </c>
      <c r="P1924" t="n">
        <v>0</v>
      </c>
      <c r="Q1924" t="n">
        <v>0</v>
      </c>
      <c r="R1924" t="inlineStr">
        <is>
          <t>Operationnel</t>
        </is>
      </c>
      <c r="S1924" t="inlineStr"/>
      <c r="T1924" t="inlineStr"/>
      <c r="U1924" t="inlineStr"/>
      <c r="V1924" t="inlineStr"/>
      <c r="W1924" t="inlineStr"/>
      <c r="X1924" t="inlineStr">
        <is>
          <t>{05-25-2026 incident}:  {05-18-2026 groupe whatsapp incident}: impacted by   N_OST_012 et environs   ,Travaux nokia , full swap yenon_bagante (T605170778) ||  Action: correction par nokia</t>
        </is>
      </c>
      <c r="Y1924" t="inlineStr">
        <is>
          <t>{05-25-2026 incident} {05-18-2026 groupe whatsapp incident} impacted by N_OST_012 et environs ,Travaux nokia , full swap yenon_bagante (T605170778) || Action correction par nokia</t>
        </is>
      </c>
      <c r="Z1924" t="inlineStr"/>
      <c r="AA1924" t="inlineStr">
        <is>
          <t>{05-25-2026 incident}:  {05-18-2026 groupe whatsapp incident}: impacted by   N_OST_012 et environs   ,Travaux nokia , full swap yenon_bagante (T605170778) ||  Action: correction par nokia</t>
        </is>
      </c>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row>
    <row r="1925">
      <c r="A1925" t="inlineStr">
        <is>
          <t>Bangourain</t>
        </is>
      </c>
      <c r="B1925" t="inlineStr">
        <is>
          <t>OST_090</t>
        </is>
      </c>
      <c r="C1925" t="inlineStr">
        <is>
          <t>NORD-OUEST</t>
        </is>
      </c>
      <c r="D1925" t="inlineStr">
        <is>
          <t>IHS</t>
        </is>
      </c>
      <c r="E1925" t="inlineStr">
        <is>
          <t>Grid-Gen</t>
        </is>
      </c>
      <c r="F1925" t="inlineStr">
        <is>
          <t>OUEST</t>
        </is>
      </c>
      <c r="G1925" t="inlineStr">
        <is>
          <t>Bangourain</t>
        </is>
      </c>
      <c r="H1925" t="inlineStr">
        <is>
          <t>NOKIA</t>
        </is>
      </c>
      <c r="I1925" t="n">
        <v>0</v>
      </c>
      <c r="J1925" t="n">
        <v>0</v>
      </c>
      <c r="K1925" t="n">
        <v>0</v>
      </c>
      <c r="L1925" t="n">
        <v>0</v>
      </c>
      <c r="M1925" t="n">
        <v>0</v>
      </c>
      <c r="N1925" t="n">
        <v>0</v>
      </c>
      <c r="O1925" t="n">
        <v>0</v>
      </c>
      <c r="P1925" t="n">
        <v>0</v>
      </c>
      <c r="Q1925" t="n">
        <v>0</v>
      </c>
      <c r="R1925" t="inlineStr">
        <is>
          <t>Operationnel</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row>
    <row r="1926">
      <c r="A1926" t="inlineStr">
        <is>
          <t>Kekem</t>
        </is>
      </c>
      <c r="B1926" t="inlineStr">
        <is>
          <t>OST_103</t>
        </is>
      </c>
      <c r="C1926" t="inlineStr">
        <is>
          <t>OUEST</t>
        </is>
      </c>
      <c r="D1926" t="inlineStr">
        <is>
          <t>IHS</t>
        </is>
      </c>
      <c r="E1926" t="inlineStr">
        <is>
          <t>Grid-Gen</t>
        </is>
      </c>
      <c r="F1926" t="inlineStr">
        <is>
          <t>OUEST</t>
        </is>
      </c>
      <c r="G1926" t="inlineStr">
        <is>
          <t>Kekem</t>
        </is>
      </c>
      <c r="H1926" t="inlineStr">
        <is>
          <t>HUAWEI</t>
        </is>
      </c>
      <c r="I1926" t="n">
        <v>0</v>
      </c>
      <c r="J1926" t="n">
        <v>0</v>
      </c>
      <c r="K1926" t="n">
        <v>0</v>
      </c>
      <c r="L1926" t="n">
        <v>0</v>
      </c>
      <c r="M1926" t="n">
        <v>0</v>
      </c>
      <c r="N1926" t="n">
        <v>0</v>
      </c>
      <c r="O1926" t="n">
        <v>0</v>
      </c>
      <c r="P1926" t="n">
        <v>0</v>
      </c>
      <c r="Q1926" t="n">
        <v>0</v>
      </c>
      <c r="R1926" t="inlineStr">
        <is>
          <t>Operationnel</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row>
    <row r="1927">
      <c r="A1927" t="inlineStr">
        <is>
          <t>Camp-Bertaud</t>
        </is>
      </c>
      <c r="B1927" t="inlineStr">
        <is>
          <t>LIT_281</t>
        </is>
      </c>
      <c r="C1927" t="inlineStr">
        <is>
          <t>Douala</t>
        </is>
      </c>
      <c r="D1927" t="inlineStr">
        <is>
          <t>IHS</t>
        </is>
      </c>
      <c r="E1927" t="inlineStr"/>
      <c r="F1927" t="inlineStr">
        <is>
          <t>LITTORAL</t>
        </is>
      </c>
      <c r="G1927" t="inlineStr">
        <is>
          <t>Douala</t>
        </is>
      </c>
      <c r="H1927" t="inlineStr">
        <is>
          <t>ZTE</t>
        </is>
      </c>
      <c r="I1927" t="n">
        <v>0</v>
      </c>
      <c r="J1927" t="n">
        <v>0</v>
      </c>
      <c r="K1927" t="n">
        <v>0</v>
      </c>
      <c r="L1927" t="n">
        <v>0</v>
      </c>
      <c r="M1927" t="n">
        <v>0</v>
      </c>
      <c r="N1927" t="n">
        <v>0</v>
      </c>
      <c r="O1927" t="n">
        <v>0</v>
      </c>
      <c r="P1927" t="n">
        <v>0</v>
      </c>
      <c r="Q1927" t="n">
        <v>0</v>
      </c>
      <c r="R1927" t="inlineStr">
        <is>
          <t>Operationnel</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row>
    <row r="1928">
      <c r="A1928" t="inlineStr">
        <is>
          <t>Santa-Barbara-Dla-IHS</t>
        </is>
      </c>
      <c r="B1928" t="inlineStr">
        <is>
          <t>LIT_171</t>
        </is>
      </c>
      <c r="C1928" t="inlineStr">
        <is>
          <t>Douala</t>
        </is>
      </c>
      <c r="D1928" t="inlineStr">
        <is>
          <t>IHS</t>
        </is>
      </c>
      <c r="E1928" t="inlineStr">
        <is>
          <t>Grid-Gen (LL)</t>
        </is>
      </c>
      <c r="F1928" t="inlineStr">
        <is>
          <t>LITTORAL</t>
        </is>
      </c>
      <c r="G1928" t="inlineStr">
        <is>
          <t>Douala</t>
        </is>
      </c>
      <c r="H1928" t="inlineStr">
        <is>
          <t>ZTE</t>
        </is>
      </c>
      <c r="I1928" t="n">
        <v>0</v>
      </c>
      <c r="J1928" t="n">
        <v>0</v>
      </c>
      <c r="K1928" t="n">
        <v>0</v>
      </c>
      <c r="L1928" t="n">
        <v>0</v>
      </c>
      <c r="M1928" t="n">
        <v>0</v>
      </c>
      <c r="N1928" t="n">
        <v>0</v>
      </c>
      <c r="O1928" t="n">
        <v>0</v>
      </c>
      <c r="P1928" t="n">
        <v>0</v>
      </c>
      <c r="Q1928" t="n">
        <v>0</v>
      </c>
      <c r="R1928" t="inlineStr">
        <is>
          <t>Operationnel</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row>
    <row r="1929">
      <c r="A1929" t="inlineStr">
        <is>
          <t>Bberi-Q-Princes</t>
        </is>
      </c>
      <c r="B1929" t="inlineStr">
        <is>
          <t>LIT_535</t>
        </is>
      </c>
      <c r="C1929" t="inlineStr">
        <is>
          <t>Douala</t>
        </is>
      </c>
      <c r="D1929" t="inlineStr">
        <is>
          <t>IHS</t>
        </is>
      </c>
      <c r="E1929" t="inlineStr">
        <is>
          <t>Grid-Gen (LL)</t>
        </is>
      </c>
      <c r="F1929" t="inlineStr">
        <is>
          <t>LITTORAL</t>
        </is>
      </c>
      <c r="G1929" t="inlineStr">
        <is>
          <t>Douala</t>
        </is>
      </c>
      <c r="H1929" t="inlineStr">
        <is>
          <t>ZTE</t>
        </is>
      </c>
      <c r="I1929" t="n">
        <v>0</v>
      </c>
      <c r="J1929" t="n">
        <v>0</v>
      </c>
      <c r="K1929" t="n">
        <v>0</v>
      </c>
      <c r="L1929" t="n">
        <v>0</v>
      </c>
      <c r="M1929" t="n">
        <v>0</v>
      </c>
      <c r="N1929" t="n">
        <v>0</v>
      </c>
      <c r="O1929" t="n">
        <v>0</v>
      </c>
      <c r="P1929" t="n">
        <v>0</v>
      </c>
      <c r="Q1929" t="n">
        <v>0</v>
      </c>
      <c r="R1929" t="inlineStr">
        <is>
          <t>Operationnel</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row>
    <row r="1930">
      <c r="A1930" t="inlineStr">
        <is>
          <t>Dschang-Meka</t>
        </is>
      </c>
      <c r="B1930" t="inlineStr">
        <is>
          <t>OST_074</t>
        </is>
      </c>
      <c r="C1930" t="inlineStr">
        <is>
          <t>OUEST</t>
        </is>
      </c>
      <c r="D1930" t="inlineStr">
        <is>
          <t>IHS</t>
        </is>
      </c>
      <c r="E1930" t="inlineStr">
        <is>
          <t>Grid-Gen</t>
        </is>
      </c>
      <c r="F1930" t="inlineStr">
        <is>
          <t>OUEST</t>
        </is>
      </c>
      <c r="G1930" t="inlineStr">
        <is>
          <t>Dschang</t>
        </is>
      </c>
      <c r="H1930" t="inlineStr">
        <is>
          <t>Huawei</t>
        </is>
      </c>
      <c r="I1930" t="n">
        <v>0</v>
      </c>
      <c r="J1930" t="n">
        <v>0</v>
      </c>
      <c r="K1930" t="n">
        <v>0</v>
      </c>
      <c r="L1930" t="n">
        <v>0</v>
      </c>
      <c r="M1930" t="n">
        <v>0</v>
      </c>
      <c r="N1930" t="n">
        <v>0</v>
      </c>
      <c r="O1930" t="n">
        <v>0</v>
      </c>
      <c r="P1930" t="n">
        <v>0</v>
      </c>
      <c r="Q1930" t="n">
        <v>0</v>
      </c>
      <c r="R1930" t="inlineStr">
        <is>
          <t>Operationnel</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row>
    <row r="1931">
      <c r="A1931" t="inlineStr">
        <is>
          <t>Newb-Mairie</t>
        </is>
      </c>
      <c r="B1931" t="inlineStr">
        <is>
          <t>LIT_090</t>
        </is>
      </c>
      <c r="C1931" t="inlineStr">
        <is>
          <t>Douala</t>
        </is>
      </c>
      <c r="D1931" t="inlineStr">
        <is>
          <t>IHS</t>
        </is>
      </c>
      <c r="E1931" t="inlineStr">
        <is>
          <t>Grid-Gen</t>
        </is>
      </c>
      <c r="F1931" t="inlineStr">
        <is>
          <t>LITTORAL</t>
        </is>
      </c>
      <c r="G1931" t="inlineStr">
        <is>
          <t>Douala</t>
        </is>
      </c>
      <c r="H1931" t="inlineStr">
        <is>
          <t>ZTE</t>
        </is>
      </c>
      <c r="I1931" t="n">
        <v>0</v>
      </c>
      <c r="J1931" t="n">
        <v>0</v>
      </c>
      <c r="K1931" t="n">
        <v>0</v>
      </c>
      <c r="L1931" t="n">
        <v>0</v>
      </c>
      <c r="M1931" t="n">
        <v>0</v>
      </c>
      <c r="N1931" t="n">
        <v>0</v>
      </c>
      <c r="O1931" t="n">
        <v>0</v>
      </c>
      <c r="P1931" t="n">
        <v>0</v>
      </c>
      <c r="Q1931" t="n">
        <v>0</v>
      </c>
      <c r="R1931" t="inlineStr">
        <is>
          <t>Operationnel</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row>
    <row r="1932">
      <c r="A1932" t="inlineStr">
        <is>
          <t>Deido-Lycee</t>
        </is>
      </c>
      <c r="B1932" t="inlineStr">
        <is>
          <t>LIT_004</t>
        </is>
      </c>
      <c r="C1932" t="inlineStr">
        <is>
          <t>Douala</t>
        </is>
      </c>
      <c r="D1932" t="inlineStr"/>
      <c r="E1932" t="inlineStr"/>
      <c r="F1932" t="inlineStr">
        <is>
          <t>LITTORAL</t>
        </is>
      </c>
      <c r="G1932" t="inlineStr">
        <is>
          <t>Douala</t>
        </is>
      </c>
      <c r="H1932" t="inlineStr">
        <is>
          <t>ZTE</t>
        </is>
      </c>
      <c r="I1932" t="n">
        <v>0</v>
      </c>
      <c r="J1932" t="n">
        <v>0</v>
      </c>
      <c r="K1932" t="n">
        <v>0</v>
      </c>
      <c r="L1932" t="n">
        <v>0</v>
      </c>
      <c r="M1932" t="n">
        <v>0</v>
      </c>
      <c r="N1932" t="n">
        <v>0</v>
      </c>
      <c r="O1932" t="n">
        <v>0</v>
      </c>
      <c r="P1932" t="n">
        <v>0</v>
      </c>
      <c r="Q1932" t="n">
        <v>0</v>
      </c>
      <c r="R1932" t="inlineStr">
        <is>
          <t>Operationnel</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row>
    <row r="1933">
      <c r="A1933" t="inlineStr">
        <is>
          <t>Bonateki-MRS</t>
        </is>
      </c>
      <c r="B1933" t="inlineStr">
        <is>
          <t>LIT_396</t>
        </is>
      </c>
      <c r="C1933" t="inlineStr">
        <is>
          <t>Douala</t>
        </is>
      </c>
      <c r="D1933" t="inlineStr">
        <is>
          <t>IHS</t>
        </is>
      </c>
      <c r="E1933" t="inlineStr">
        <is>
          <t>Grid-Gen</t>
        </is>
      </c>
      <c r="F1933" t="inlineStr">
        <is>
          <t>LITTORAL</t>
        </is>
      </c>
      <c r="G1933" t="inlineStr">
        <is>
          <t>Douala</t>
        </is>
      </c>
      <c r="H1933" t="inlineStr">
        <is>
          <t>ZTE</t>
        </is>
      </c>
      <c r="I1933" t="n">
        <v>0</v>
      </c>
      <c r="J1933" t="n">
        <v>0</v>
      </c>
      <c r="K1933" t="n">
        <v>0</v>
      </c>
      <c r="L1933" t="n">
        <v>0</v>
      </c>
      <c r="M1933" t="n">
        <v>0</v>
      </c>
      <c r="N1933" t="n">
        <v>0</v>
      </c>
      <c r="O1933" t="n">
        <v>0</v>
      </c>
      <c r="P1933" t="n">
        <v>0</v>
      </c>
      <c r="Q1933" t="n">
        <v>0</v>
      </c>
      <c r="R1933" t="inlineStr">
        <is>
          <t>Operationnel</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row>
    <row r="1934">
      <c r="A1934" t="inlineStr">
        <is>
          <t>Deido-Bonateki</t>
        </is>
      </c>
      <c r="B1934" t="inlineStr">
        <is>
          <t>LIT_414</t>
        </is>
      </c>
      <c r="C1934" t="inlineStr">
        <is>
          <t>Douala</t>
        </is>
      </c>
      <c r="D1934" t="inlineStr">
        <is>
          <t>IHS</t>
        </is>
      </c>
      <c r="E1934" t="inlineStr">
        <is>
          <t>Grid-Gen</t>
        </is>
      </c>
      <c r="F1934" t="inlineStr">
        <is>
          <t>LITTORAL</t>
        </is>
      </c>
      <c r="G1934" t="inlineStr">
        <is>
          <t>Douala</t>
        </is>
      </c>
      <c r="H1934" t="inlineStr">
        <is>
          <t>ZTE</t>
        </is>
      </c>
      <c r="I1934" t="n">
        <v>0</v>
      </c>
      <c r="J1934" t="n">
        <v>0</v>
      </c>
      <c r="K1934" t="n">
        <v>0</v>
      </c>
      <c r="L1934" t="n">
        <v>0</v>
      </c>
      <c r="M1934" t="n">
        <v>0</v>
      </c>
      <c r="N1934" t="n">
        <v>0</v>
      </c>
      <c r="O1934" t="n">
        <v>0</v>
      </c>
      <c r="P1934" t="n">
        <v>0</v>
      </c>
      <c r="Q1934" t="n">
        <v>0</v>
      </c>
      <c r="R1934" t="inlineStr">
        <is>
          <t>Operationnel</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row>
    <row r="1935">
      <c r="A1935" t="inlineStr">
        <is>
          <t>Batoufam-Chefferie</t>
        </is>
      </c>
      <c r="B1935" t="inlineStr">
        <is>
          <t>OST_277</t>
        </is>
      </c>
      <c r="C1935" t="inlineStr">
        <is>
          <t>OUEST</t>
        </is>
      </c>
      <c r="D1935" t="inlineStr">
        <is>
          <t>CAMUSAT</t>
        </is>
      </c>
      <c r="E1935" t="inlineStr">
        <is>
          <t>Good Grid + GE</t>
        </is>
      </c>
      <c r="F1935" t="inlineStr">
        <is>
          <t>OUEST</t>
        </is>
      </c>
      <c r="G1935" t="inlineStr">
        <is>
          <t>Batoufam</t>
        </is>
      </c>
      <c r="H1935" t="inlineStr">
        <is>
          <t>HUAWEI</t>
        </is>
      </c>
      <c r="I1935" t="n">
        <v>0</v>
      </c>
      <c r="J1935" t="n">
        <v>0</v>
      </c>
      <c r="K1935" t="n">
        <v>0</v>
      </c>
      <c r="L1935" t="n">
        <v>0</v>
      </c>
      <c r="M1935" t="n">
        <v>0</v>
      </c>
      <c r="N1935" t="n">
        <v>0</v>
      </c>
      <c r="O1935" t="n">
        <v>0</v>
      </c>
      <c r="P1935" t="n">
        <v>0</v>
      </c>
      <c r="Q1935" t="n">
        <v>0</v>
      </c>
      <c r="R1935" t="inlineStr">
        <is>
          <t>Operationnel</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row>
    <row r="1936">
      <c r="A1936" t="inlineStr">
        <is>
          <t>Garoua-Djamboutou-CICAM</t>
        </is>
      </c>
      <c r="B1936" t="inlineStr">
        <is>
          <t>NRD_047</t>
        </is>
      </c>
      <c r="C1936" t="inlineStr">
        <is>
          <t>Garoua</t>
        </is>
      </c>
      <c r="D1936" t="inlineStr">
        <is>
          <t>IHS</t>
        </is>
      </c>
      <c r="E1936" t="inlineStr">
        <is>
          <t>Grid-Gen</t>
        </is>
      </c>
      <c r="F1936" t="inlineStr">
        <is>
          <t>NORD</t>
        </is>
      </c>
      <c r="G1936" t="inlineStr">
        <is>
          <t>Garoua</t>
        </is>
      </c>
      <c r="H1936" t="inlineStr">
        <is>
          <t>Huawei</t>
        </is>
      </c>
      <c r="I1936" t="n">
        <v>0</v>
      </c>
      <c r="J1936" t="n">
        <v>0</v>
      </c>
      <c r="K1936" t="n">
        <v>0</v>
      </c>
      <c r="L1936" t="n">
        <v>0</v>
      </c>
      <c r="M1936" t="n">
        <v>0</v>
      </c>
      <c r="N1936" t="n">
        <v>0</v>
      </c>
      <c r="O1936" t="n">
        <v>0</v>
      </c>
      <c r="P1936" t="n">
        <v>0</v>
      </c>
      <c r="Q1936" t="n">
        <v>0</v>
      </c>
      <c r="R1936" t="inlineStr">
        <is>
          <t>Operationnel</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row>
    <row r="1937">
      <c r="A1937" t="inlineStr">
        <is>
          <t>Garoua-Orange</t>
        </is>
      </c>
      <c r="B1937" t="inlineStr">
        <is>
          <t>NRD_001</t>
        </is>
      </c>
      <c r="C1937" t="inlineStr">
        <is>
          <t>Garoua</t>
        </is>
      </c>
      <c r="D1937" t="inlineStr">
        <is>
          <t>OCM/Strategique</t>
        </is>
      </c>
      <c r="E1937" t="inlineStr"/>
      <c r="F1937" t="inlineStr">
        <is>
          <t>NORD</t>
        </is>
      </c>
      <c r="G1937" t="inlineStr">
        <is>
          <t>Garoua</t>
        </is>
      </c>
      <c r="H1937" t="inlineStr">
        <is>
          <t>Huawei</t>
        </is>
      </c>
      <c r="I1937" t="n">
        <v>0</v>
      </c>
      <c r="J1937" t="n">
        <v>0</v>
      </c>
      <c r="K1937" t="n">
        <v>0</v>
      </c>
      <c r="L1937" t="n">
        <v>0</v>
      </c>
      <c r="M1937" t="n">
        <v>0</v>
      </c>
      <c r="N1937" t="n">
        <v>0</v>
      </c>
      <c r="O1937" t="n">
        <v>0</v>
      </c>
      <c r="P1937" t="n">
        <v>0</v>
      </c>
      <c r="Q1937" t="n">
        <v>0</v>
      </c>
      <c r="R1937" t="inlineStr">
        <is>
          <t>Operationnel</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row>
    <row r="1938">
      <c r="A1938" t="inlineStr">
        <is>
          <t>Koupa-Kagnam</t>
        </is>
      </c>
      <c r="B1938" t="inlineStr">
        <is>
          <t>OST_114</t>
        </is>
      </c>
      <c r="C1938" t="inlineStr">
        <is>
          <t>OUEST</t>
        </is>
      </c>
      <c r="D1938" t="inlineStr">
        <is>
          <t>IHS</t>
        </is>
      </c>
      <c r="E1938" t="inlineStr">
        <is>
          <t>Grid-Gen</t>
        </is>
      </c>
      <c r="F1938" t="inlineStr">
        <is>
          <t>OUEST</t>
        </is>
      </c>
      <c r="G1938" t="inlineStr">
        <is>
          <t>Koupa-Kagnam</t>
        </is>
      </c>
      <c r="H1938" t="inlineStr">
        <is>
          <t>HUAWEI</t>
        </is>
      </c>
      <c r="I1938" t="n">
        <v>0</v>
      </c>
      <c r="J1938" t="n">
        <v>0</v>
      </c>
      <c r="K1938" t="n">
        <v>0</v>
      </c>
      <c r="L1938" t="n">
        <v>0</v>
      </c>
      <c r="M1938" t="n">
        <v>0</v>
      </c>
      <c r="N1938" t="n">
        <v>0</v>
      </c>
      <c r="O1938" t="n">
        <v>0</v>
      </c>
      <c r="P1938" t="n">
        <v>0</v>
      </c>
      <c r="Q1938" t="n">
        <v>0</v>
      </c>
      <c r="R1938" t="inlineStr">
        <is>
          <t>Operationnel</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row>
    <row r="1939">
      <c r="A1939" t="inlineStr">
        <is>
          <t>Rey-Bouba</t>
        </is>
      </c>
      <c r="B1939" t="inlineStr">
        <is>
          <t>NRD_023</t>
        </is>
      </c>
      <c r="C1939" t="inlineStr">
        <is>
          <t>NORD</t>
        </is>
      </c>
      <c r="D1939" t="inlineStr">
        <is>
          <t>IHS</t>
        </is>
      </c>
      <c r="E1939" t="inlineStr">
        <is>
          <t>Grid-Gen</t>
        </is>
      </c>
      <c r="F1939" t="inlineStr">
        <is>
          <t>NORD</t>
        </is>
      </c>
      <c r="G1939" t="inlineStr">
        <is>
          <t>Rey-bouba</t>
        </is>
      </c>
      <c r="H1939" t="inlineStr">
        <is>
          <t>Huawei</t>
        </is>
      </c>
      <c r="I1939" t="n">
        <v>0</v>
      </c>
      <c r="J1939" t="n">
        <v>0</v>
      </c>
      <c r="K1939" t="n">
        <v>0</v>
      </c>
      <c r="L1939" t="n">
        <v>0</v>
      </c>
      <c r="M1939" t="n">
        <v>0</v>
      </c>
      <c r="N1939" t="n">
        <v>0</v>
      </c>
      <c r="O1939" t="n">
        <v>0</v>
      </c>
      <c r="P1939" t="n">
        <v>0</v>
      </c>
      <c r="Q1939" t="n">
        <v>0</v>
      </c>
      <c r="R1939" t="inlineStr">
        <is>
          <t>Operationnel</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row>
    <row r="1940">
      <c r="A1940" t="inlineStr">
        <is>
          <t>Tchollire</t>
        </is>
      </c>
      <c r="B1940" t="inlineStr">
        <is>
          <t>NRD_008</t>
        </is>
      </c>
      <c r="C1940" t="inlineStr">
        <is>
          <t>NORD</t>
        </is>
      </c>
      <c r="D1940" t="inlineStr">
        <is>
          <t>IHS</t>
        </is>
      </c>
      <c r="E1940" t="inlineStr">
        <is>
          <t>Grid-Hybrid-Gen</t>
        </is>
      </c>
      <c r="F1940" t="inlineStr">
        <is>
          <t>NORD</t>
        </is>
      </c>
      <c r="G1940" t="inlineStr">
        <is>
          <t>Tchollire</t>
        </is>
      </c>
      <c r="H1940" t="inlineStr">
        <is>
          <t>HUAWEI</t>
        </is>
      </c>
      <c r="I1940" t="n">
        <v>0</v>
      </c>
      <c r="J1940" t="n">
        <v>0</v>
      </c>
      <c r="K1940" t="n">
        <v>0</v>
      </c>
      <c r="L1940" t="n">
        <v>0</v>
      </c>
      <c r="M1940" t="n">
        <v>0</v>
      </c>
      <c r="N1940" t="n">
        <v>0</v>
      </c>
      <c r="O1940" t="n">
        <v>0</v>
      </c>
      <c r="P1940" t="n">
        <v>0</v>
      </c>
      <c r="Q1940" t="n">
        <v>0</v>
      </c>
      <c r="R1940" t="inlineStr">
        <is>
          <t>Operationnel</t>
        </is>
      </c>
      <c r="S1940" t="inlineStr"/>
      <c r="T1940" t="inlineStr"/>
      <c r="U1940" t="inlineStr"/>
      <c r="V1940" t="inlineStr"/>
      <c r="W1940" t="inlineStr"/>
      <c r="X1940" t="inlineStr">
        <is>
          <t>{05-25-2026 ocm ran 22H}: 25.05.26: Besoin d'un FME sur NRD_008_Tchollire pour vérifier le stacking MPR_TCHOLLIRE (S1P1) et MPR_TCHOLLIRE_2 (S1P3) ainsi que le statut de la BBU huawei et son interco avec le MPR_TCHOLLIRE_2 (S1P1); CM-20260525-00005769; FME Frank activé pour investigations, update ASAP     ;    {05-25-2026 ocm ran 17H}: 25.05.26: Besoin d'un FME sur NRD_008_Tchollire pour vérifier le stacking MPR_TCHOLLIRE (S1P1) et MPR_TCHOLLIRE_2 (S1P3) ainsi que le statut de la BBU huawei et son interco avec le MPR_TCHOLLIRE_2 (S1P1); CM-20260525-00005769; FME Frank activé pour investigations, update ASAP</t>
        </is>
      </c>
      <c r="Y1940" t="inlineStr">
        <is>
          <t>25.05.26 Besoin d'un FME sur NRD_008_Tchollire pour vérifier le stacking MPR_TCHOLLIRE (S1P1) et MPR_TCHOLLIRE_2 (S1P3) ainsi que le statut de la BBU huawei et son interco avec le MPR_TCHOLLIRE_2 (S1P1); FME Frank activé pour investigations, update ASAP 25.05.26 Besoin d'un FME sur NRD_008_Tchollire pour vérifier le stacking MPR_TCHOLLIRE (S1P1) et MPR_TCHOLLIRE_2 (S1P3) ainsi que le statut de la BBU huawei et son interco avec le MPR_TCHOLLIRE_2 (S1P1); FME Frank activé pour investigations, update ASAP</t>
        </is>
      </c>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{05-25-2026 ocm ran 22H}: 25.05.26: Besoin d'un FME sur NRD_008_Tchollire pour vérifier le stacking MPR_TCHOLLIRE (S1P1) et MPR_TCHOLLIRE_2 (S1P3) ainsi que le statut de la BBU huawei et son interco avec le MPR_TCHOLLIRE_2 (S1P1); CM-20260525-00005769; FME Frank activé pour investigations, update ASAP</t>
        </is>
      </c>
      <c r="AP1940" t="inlineStr">
        <is>
          <t>{05-25-2026 ocm ran 17H}: 25.05.26: Besoin d'un FME sur NRD_008_Tchollire pour vérifier le stacking MPR_TCHOLLIRE (S1P1) et MPR_TCHOLLIRE_2 (S1P3) ainsi que le statut de la BBU huawei et son interco avec le MPR_TCHOLLIRE_2 (S1P1); CM-20260525-00005769; FME Frank activé pour investigations, update ASAP</t>
        </is>
      </c>
      <c r="AQ1940" t="inlineStr"/>
      <c r="AR1940" t="inlineStr"/>
    </row>
    <row r="1941">
      <c r="A1941" t="inlineStr">
        <is>
          <t>Gouna</t>
        </is>
      </c>
      <c r="B1941" t="inlineStr">
        <is>
          <t>NRD_031</t>
        </is>
      </c>
      <c r="C1941" t="inlineStr">
        <is>
          <t>NORD</t>
        </is>
      </c>
      <c r="D1941" t="inlineStr">
        <is>
          <t>IHS</t>
        </is>
      </c>
      <c r="E1941" t="inlineStr">
        <is>
          <t>Solar-Gen</t>
        </is>
      </c>
      <c r="F1941" t="inlineStr">
        <is>
          <t>NORD</t>
        </is>
      </c>
      <c r="G1941" t="inlineStr">
        <is>
          <t>Gouna</t>
        </is>
      </c>
      <c r="H1941" t="inlineStr">
        <is>
          <t>HUAWEI</t>
        </is>
      </c>
      <c r="I1941" t="n">
        <v>0</v>
      </c>
      <c r="J1941" t="n">
        <v>0</v>
      </c>
      <c r="K1941" t="n">
        <v>0</v>
      </c>
      <c r="L1941" t="n">
        <v>0</v>
      </c>
      <c r="M1941" t="n">
        <v>0</v>
      </c>
      <c r="N1941" t="n">
        <v>0</v>
      </c>
      <c r="O1941" t="n">
        <v>0</v>
      </c>
      <c r="P1941" t="n">
        <v>0</v>
      </c>
      <c r="Q1941" t="n">
        <v>0</v>
      </c>
      <c r="R1941" t="inlineStr">
        <is>
          <t>Operationnel</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row>
    <row r="1942">
      <c r="A1942" t="inlineStr">
        <is>
          <t>Pitchoumba</t>
        </is>
      </c>
      <c r="B1942" t="inlineStr">
        <is>
          <t>NRD_171</t>
        </is>
      </c>
      <c r="C1942" t="inlineStr">
        <is>
          <t>NORD</t>
        </is>
      </c>
      <c r="D1942" t="inlineStr">
        <is>
          <t>CAMUSAT</t>
        </is>
      </c>
      <c r="E1942" t="inlineStr">
        <is>
          <t>Hybrid Solar - S3</t>
        </is>
      </c>
      <c r="F1942" t="inlineStr">
        <is>
          <t>NORD</t>
        </is>
      </c>
      <c r="G1942" t="inlineStr">
        <is>
          <t>PITCHOUMBA</t>
        </is>
      </c>
      <c r="H1942" t="inlineStr">
        <is>
          <t>HUAWEI</t>
        </is>
      </c>
      <c r="I1942" t="n">
        <v>0</v>
      </c>
      <c r="J1942" t="n">
        <v>0</v>
      </c>
      <c r="K1942" t="n">
        <v>0</v>
      </c>
      <c r="L1942" t="n">
        <v>0</v>
      </c>
      <c r="M1942" t="n">
        <v>0</v>
      </c>
      <c r="N1942" t="n">
        <v>0</v>
      </c>
      <c r="O1942" t="n">
        <v>0</v>
      </c>
      <c r="P1942" t="n">
        <v>0</v>
      </c>
      <c r="Q1942" t="n">
        <v>0</v>
      </c>
      <c r="R1942" t="inlineStr">
        <is>
          <t>Operationnel</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row>
    <row r="1943">
      <c r="A1943" t="inlineStr">
        <is>
          <t>Lagdo-Marche</t>
        </is>
      </c>
      <c r="B1943" t="inlineStr">
        <is>
          <t>NRD_077</t>
        </is>
      </c>
      <c r="C1943" t="inlineStr">
        <is>
          <t>NORD</t>
        </is>
      </c>
      <c r="D1943" t="inlineStr">
        <is>
          <t>IHS</t>
        </is>
      </c>
      <c r="E1943" t="inlineStr">
        <is>
          <t>Grid-Gen</t>
        </is>
      </c>
      <c r="F1943" t="inlineStr">
        <is>
          <t>NORD</t>
        </is>
      </c>
      <c r="G1943" t="inlineStr">
        <is>
          <t>Lagdo</t>
        </is>
      </c>
      <c r="H1943" t="inlineStr">
        <is>
          <t>HUAWEI</t>
        </is>
      </c>
      <c r="I1943" t="n">
        <v>0</v>
      </c>
      <c r="J1943" t="n">
        <v>0</v>
      </c>
      <c r="K1943" t="n">
        <v>0</v>
      </c>
      <c r="L1943" t="n">
        <v>0</v>
      </c>
      <c r="M1943" t="n">
        <v>0</v>
      </c>
      <c r="N1943" t="n">
        <v>0</v>
      </c>
      <c r="O1943" t="n">
        <v>0</v>
      </c>
      <c r="P1943" t="n">
        <v>0</v>
      </c>
      <c r="Q1943" t="n">
        <v>0</v>
      </c>
      <c r="R1943" t="inlineStr">
        <is>
          <t>Operationnel</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row>
    <row r="1944">
      <c r="A1944" t="inlineStr">
        <is>
          <t>Lagdo</t>
        </is>
      </c>
      <c r="B1944" t="inlineStr">
        <is>
          <t>NRD_012</t>
        </is>
      </c>
      <c r="C1944" t="inlineStr">
        <is>
          <t>NORD</t>
        </is>
      </c>
      <c r="D1944" t="inlineStr">
        <is>
          <t>IHS</t>
        </is>
      </c>
      <c r="E1944" t="inlineStr">
        <is>
          <t>Grid-Gen</t>
        </is>
      </c>
      <c r="F1944" t="inlineStr">
        <is>
          <t>NORD</t>
        </is>
      </c>
      <c r="G1944" t="inlineStr">
        <is>
          <t>Lagdo</t>
        </is>
      </c>
      <c r="H1944" t="inlineStr">
        <is>
          <t>HUAWEI</t>
        </is>
      </c>
      <c r="I1944" t="n">
        <v>0</v>
      </c>
      <c r="J1944" t="n">
        <v>0</v>
      </c>
      <c r="K1944" t="n">
        <v>0</v>
      </c>
      <c r="L1944" t="n">
        <v>0</v>
      </c>
      <c r="M1944" t="n">
        <v>0</v>
      </c>
      <c r="N1944" t="n">
        <v>0</v>
      </c>
      <c r="O1944" t="n">
        <v>0</v>
      </c>
      <c r="P1944" t="n">
        <v>0</v>
      </c>
      <c r="Q1944" t="n">
        <v>0</v>
      </c>
      <c r="R1944" t="inlineStr">
        <is>
          <t>Operationnel</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row>
    <row r="1945">
      <c r="A1945" t="inlineStr">
        <is>
          <t>Djarako</t>
        </is>
      </c>
      <c r="B1945" t="inlineStr">
        <is>
          <t>NRD_030</t>
        </is>
      </c>
      <c r="C1945" t="inlineStr">
        <is>
          <t>NORD</t>
        </is>
      </c>
      <c r="D1945" t="inlineStr">
        <is>
          <t>IHS</t>
        </is>
      </c>
      <c r="E1945" t="inlineStr">
        <is>
          <t>Gen Only</t>
        </is>
      </c>
      <c r="F1945" t="inlineStr">
        <is>
          <t>NORD</t>
        </is>
      </c>
      <c r="G1945" t="inlineStr">
        <is>
          <t>Djarako</t>
        </is>
      </c>
      <c r="H1945" t="inlineStr">
        <is>
          <t>HUAWEI</t>
        </is>
      </c>
      <c r="I1945" t="n">
        <v>0</v>
      </c>
      <c r="J1945" t="n">
        <v>0</v>
      </c>
      <c r="K1945" t="n">
        <v>0</v>
      </c>
      <c r="L1945" t="n">
        <v>0</v>
      </c>
      <c r="M1945" t="n">
        <v>0</v>
      </c>
      <c r="N1945" t="n">
        <v>0</v>
      </c>
      <c r="O1945" t="n">
        <v>0</v>
      </c>
      <c r="P1945" t="n">
        <v>0</v>
      </c>
      <c r="Q1945" t="n">
        <v>0</v>
      </c>
      <c r="R1945" t="inlineStr">
        <is>
          <t>Operationnel</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row>
    <row r="1946">
      <c r="A1946" t="inlineStr">
        <is>
          <t>Bilongue</t>
        </is>
      </c>
      <c r="B1946" t="inlineStr">
        <is>
          <t>LIT_425</t>
        </is>
      </c>
      <c r="C1946" t="inlineStr">
        <is>
          <t>Douala</t>
        </is>
      </c>
      <c r="D1946" t="inlineStr">
        <is>
          <t>IHS</t>
        </is>
      </c>
      <c r="E1946" t="inlineStr">
        <is>
          <t>Grid-Gen</t>
        </is>
      </c>
      <c r="F1946" t="inlineStr">
        <is>
          <t>LITTORAL</t>
        </is>
      </c>
      <c r="G1946" t="inlineStr">
        <is>
          <t>Douala</t>
        </is>
      </c>
      <c r="H1946" t="inlineStr">
        <is>
          <t>ZTE</t>
        </is>
      </c>
      <c r="I1946" t="n">
        <v>0</v>
      </c>
      <c r="J1946" t="n">
        <v>0</v>
      </c>
      <c r="K1946" t="n">
        <v>0</v>
      </c>
      <c r="L1946" t="n">
        <v>0</v>
      </c>
      <c r="M1946" t="n">
        <v>0</v>
      </c>
      <c r="N1946" t="n">
        <v>0</v>
      </c>
      <c r="O1946" t="n">
        <v>0</v>
      </c>
      <c r="P1946" t="n">
        <v>0</v>
      </c>
      <c r="Q1946" t="n">
        <v>0</v>
      </c>
      <c r="R1946" t="inlineStr">
        <is>
          <t>Operationnel</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row>
    <row r="1947">
      <c r="A1947" t="inlineStr">
        <is>
          <t>Ferme-Suisse</t>
        </is>
      </c>
      <c r="B1947" t="inlineStr">
        <is>
          <t>LIT_006</t>
        </is>
      </c>
      <c r="C1947" t="inlineStr">
        <is>
          <t>LITTORAL</t>
        </is>
      </c>
      <c r="D1947" t="inlineStr">
        <is>
          <t>IHS</t>
        </is>
      </c>
      <c r="E1947" t="inlineStr">
        <is>
          <t>Grid-Gen</t>
        </is>
      </c>
      <c r="F1947" t="inlineStr">
        <is>
          <t>LITTORAL</t>
        </is>
      </c>
      <c r="G1947" t="inlineStr">
        <is>
          <t>Ferme-Suisse</t>
        </is>
      </c>
      <c r="H1947" t="inlineStr">
        <is>
          <t>ZTE</t>
        </is>
      </c>
      <c r="I1947" t="n">
        <v>0</v>
      </c>
      <c r="J1947" t="n">
        <v>0</v>
      </c>
      <c r="K1947" t="n">
        <v>0</v>
      </c>
      <c r="L1947" t="n">
        <v>0</v>
      </c>
      <c r="M1947" t="n">
        <v>0</v>
      </c>
      <c r="N1947" t="n">
        <v>0</v>
      </c>
      <c r="O1947" t="n">
        <v>0</v>
      </c>
      <c r="P1947" t="n">
        <v>0</v>
      </c>
      <c r="Q1947" t="n">
        <v>0</v>
      </c>
      <c r="R1947" t="inlineStr">
        <is>
          <t>Operationnel</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row>
    <row r="1948">
      <c r="A1948" t="inlineStr">
        <is>
          <t>Kompigna</t>
        </is>
      </c>
      <c r="B1948" t="inlineStr">
        <is>
          <t>LIT_111</t>
        </is>
      </c>
      <c r="C1948" t="inlineStr">
        <is>
          <t>LITTORAL</t>
        </is>
      </c>
      <c r="D1948" t="inlineStr">
        <is>
          <t>IHS</t>
        </is>
      </c>
      <c r="E1948" t="inlineStr">
        <is>
          <t>Grid-Gen</t>
        </is>
      </c>
      <c r="F1948" t="inlineStr">
        <is>
          <t>LITTORAL</t>
        </is>
      </c>
      <c r="G1948" t="inlineStr">
        <is>
          <t>Kompigna</t>
        </is>
      </c>
      <c r="H1948" t="inlineStr">
        <is>
          <t>ZTE</t>
        </is>
      </c>
      <c r="I1948" t="n">
        <v>0</v>
      </c>
      <c r="J1948" t="n">
        <v>0</v>
      </c>
      <c r="K1948" t="n">
        <v>0</v>
      </c>
      <c r="L1948" t="n">
        <v>0</v>
      </c>
      <c r="M1948" t="n">
        <v>0</v>
      </c>
      <c r="N1948" t="n">
        <v>0</v>
      </c>
      <c r="O1948" t="n">
        <v>0</v>
      </c>
      <c r="P1948" t="n">
        <v>0</v>
      </c>
      <c r="Q1948" t="n">
        <v>0</v>
      </c>
      <c r="R1948" t="inlineStr">
        <is>
          <t>Operationnel</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row>
    <row r="1949">
      <c r="A1949" t="inlineStr">
        <is>
          <t>Kopongo</t>
        </is>
      </c>
      <c r="B1949" t="inlineStr">
        <is>
          <t>LIT_509</t>
        </is>
      </c>
      <c r="C1949" t="inlineStr">
        <is>
          <t>LITTORAL</t>
        </is>
      </c>
      <c r="D1949" t="inlineStr">
        <is>
          <t>IHS</t>
        </is>
      </c>
      <c r="E1949" t="inlineStr">
        <is>
          <t>Grid-Gen</t>
        </is>
      </c>
      <c r="F1949" t="inlineStr">
        <is>
          <t>LITTORAL</t>
        </is>
      </c>
      <c r="G1949" t="inlineStr">
        <is>
          <t>Kopongo</t>
        </is>
      </c>
      <c r="H1949" t="inlineStr">
        <is>
          <t>ZTE</t>
        </is>
      </c>
      <c r="I1949" t="n">
        <v>0</v>
      </c>
      <c r="J1949" t="n">
        <v>0</v>
      </c>
      <c r="K1949" t="n">
        <v>0</v>
      </c>
      <c r="L1949" t="n">
        <v>0</v>
      </c>
      <c r="M1949" t="n">
        <v>0</v>
      </c>
      <c r="N1949" t="n">
        <v>0</v>
      </c>
      <c r="O1949" t="n">
        <v>0</v>
      </c>
      <c r="P1949" t="n">
        <v>0</v>
      </c>
      <c r="Q1949" t="n">
        <v>0</v>
      </c>
      <c r="R1949" t="inlineStr">
        <is>
          <t>Operationnel</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row>
    <row r="1950">
      <c r="A1950" t="inlineStr">
        <is>
          <t>Bagofit</t>
        </is>
      </c>
      <c r="B1950" t="inlineStr">
        <is>
          <t>EST_082</t>
        </is>
      </c>
      <c r="C1950" t="inlineStr">
        <is>
          <t>CENTRE</t>
        </is>
      </c>
      <c r="D1950" t="inlineStr">
        <is>
          <t>IHS</t>
        </is>
      </c>
      <c r="E1950" t="inlineStr">
        <is>
          <t>GenOnly</t>
        </is>
      </c>
      <c r="F1950" t="inlineStr">
        <is>
          <t>EST</t>
        </is>
      </c>
      <c r="G1950" t="inlineStr">
        <is>
          <t>Bagofit</t>
        </is>
      </c>
      <c r="H1950" t="inlineStr">
        <is>
          <t>ZTE</t>
        </is>
      </c>
      <c r="I1950" t="n">
        <v>0</v>
      </c>
      <c r="J1950" t="n">
        <v>0</v>
      </c>
      <c r="K1950" t="n">
        <v>0</v>
      </c>
      <c r="L1950" t="n">
        <v>0</v>
      </c>
      <c r="M1950" t="n">
        <v>0</v>
      </c>
      <c r="N1950" t="n">
        <v>0</v>
      </c>
      <c r="O1950" t="n">
        <v>0</v>
      </c>
      <c r="P1950" t="n">
        <v>0</v>
      </c>
      <c r="Q1950" t="n">
        <v>0</v>
      </c>
      <c r="R1950" t="inlineStr">
        <is>
          <t>Operationnel</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row>
    <row r="1951">
      <c r="A1951" t="inlineStr">
        <is>
          <t>Ntoumba</t>
        </is>
      </c>
      <c r="B1951" t="inlineStr">
        <is>
          <t>CTR_355</t>
        </is>
      </c>
      <c r="C1951" t="inlineStr">
        <is>
          <t>CENTRE</t>
        </is>
      </c>
      <c r="D1951" t="inlineStr">
        <is>
          <t>IHS</t>
        </is>
      </c>
      <c r="E1951" t="inlineStr">
        <is>
          <t>Grid-Gen</t>
        </is>
      </c>
      <c r="F1951" t="inlineStr">
        <is>
          <t>CENTRE</t>
        </is>
      </c>
      <c r="G1951" t="inlineStr">
        <is>
          <t>Ntoumba</t>
        </is>
      </c>
      <c r="H1951" t="inlineStr">
        <is>
          <t>ZTE</t>
        </is>
      </c>
      <c r="I1951" t="n">
        <v>0</v>
      </c>
      <c r="J1951" t="n">
        <v>0</v>
      </c>
      <c r="K1951" t="n">
        <v>0</v>
      </c>
      <c r="L1951" t="n">
        <v>0</v>
      </c>
      <c r="M1951" t="n">
        <v>0</v>
      </c>
      <c r="N1951" t="n">
        <v>0</v>
      </c>
      <c r="O1951" t="n">
        <v>0</v>
      </c>
      <c r="P1951" t="n">
        <v>0</v>
      </c>
      <c r="Q1951" t="n">
        <v>0</v>
      </c>
      <c r="R1951" t="inlineStr">
        <is>
          <t>Operationnel</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row>
    <row r="1952">
      <c r="A1952" t="inlineStr">
        <is>
          <t>Meyo-Centre</t>
        </is>
      </c>
      <c r="B1952" t="inlineStr">
        <is>
          <t>CTR_145</t>
        </is>
      </c>
      <c r="C1952" t="inlineStr">
        <is>
          <t>CENTRE</t>
        </is>
      </c>
      <c r="D1952" t="inlineStr">
        <is>
          <t>IHS</t>
        </is>
      </c>
      <c r="E1952" t="inlineStr">
        <is>
          <t>Solar-Gen-Lithium</t>
        </is>
      </c>
      <c r="F1952" t="inlineStr">
        <is>
          <t>CENTRE</t>
        </is>
      </c>
      <c r="G1952" t="inlineStr">
        <is>
          <t>Meyo</t>
        </is>
      </c>
      <c r="H1952" t="inlineStr">
        <is>
          <t>ZTE</t>
        </is>
      </c>
      <c r="I1952" t="n">
        <v>0</v>
      </c>
      <c r="J1952" t="n">
        <v>0</v>
      </c>
      <c r="K1952" t="n">
        <v>0</v>
      </c>
      <c r="L1952" t="n">
        <v>0</v>
      </c>
      <c r="M1952" t="n">
        <v>0</v>
      </c>
      <c r="N1952" t="n">
        <v>0</v>
      </c>
      <c r="O1952" t="n">
        <v>0</v>
      </c>
      <c r="P1952" t="n">
        <v>0</v>
      </c>
      <c r="Q1952" t="n">
        <v>0</v>
      </c>
      <c r="R1952" t="inlineStr">
        <is>
          <t>Operationnel</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row>
    <row r="1953">
      <c r="A1953" t="inlineStr">
        <is>
          <t>Mengang-MTN</t>
        </is>
      </c>
      <c r="B1953" t="inlineStr">
        <is>
          <t>CTR_306</t>
        </is>
      </c>
      <c r="C1953" t="inlineStr">
        <is>
          <t>CENTRE</t>
        </is>
      </c>
      <c r="D1953" t="inlineStr">
        <is>
          <t>IHS</t>
        </is>
      </c>
      <c r="E1953" t="inlineStr">
        <is>
          <t>Grid-Gen</t>
        </is>
      </c>
      <c r="F1953" t="inlineStr">
        <is>
          <t>CENTRE</t>
        </is>
      </c>
      <c r="G1953" t="inlineStr">
        <is>
          <t>Mengang</t>
        </is>
      </c>
      <c r="H1953" t="inlineStr">
        <is>
          <t>ZTE</t>
        </is>
      </c>
      <c r="I1953" t="n">
        <v>0</v>
      </c>
      <c r="J1953" t="n">
        <v>0</v>
      </c>
      <c r="K1953" t="n">
        <v>0</v>
      </c>
      <c r="L1953" t="n">
        <v>0</v>
      </c>
      <c r="M1953" t="n">
        <v>0</v>
      </c>
      <c r="N1953" t="n">
        <v>0</v>
      </c>
      <c r="O1953" t="n">
        <v>0</v>
      </c>
      <c r="P1953" t="n">
        <v>0</v>
      </c>
      <c r="Q1953" t="n">
        <v>0</v>
      </c>
      <c r="R1953" t="inlineStr">
        <is>
          <t>Operationnel</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row>
    <row r="1954">
      <c r="A1954" t="inlineStr">
        <is>
          <t>Missole</t>
        </is>
      </c>
      <c r="B1954" t="inlineStr">
        <is>
          <t>LIT_227</t>
        </is>
      </c>
      <c r="C1954" t="inlineStr">
        <is>
          <t>LITTORAL</t>
        </is>
      </c>
      <c r="D1954" t="inlineStr">
        <is>
          <t>IHS</t>
        </is>
      </c>
      <c r="E1954" t="inlineStr">
        <is>
          <t>Hybrid-Gen</t>
        </is>
      </c>
      <c r="F1954" t="inlineStr">
        <is>
          <t>LITTORAL</t>
        </is>
      </c>
      <c r="G1954" t="inlineStr">
        <is>
          <t>Missole</t>
        </is>
      </c>
      <c r="H1954" t="inlineStr">
        <is>
          <t>ZTE</t>
        </is>
      </c>
      <c r="I1954" t="n">
        <v>0</v>
      </c>
      <c r="J1954" t="n">
        <v>0</v>
      </c>
      <c r="K1954" t="n">
        <v>0</v>
      </c>
      <c r="L1954" t="n">
        <v>0</v>
      </c>
      <c r="M1954" t="n">
        <v>0</v>
      </c>
      <c r="N1954" t="n">
        <v>0</v>
      </c>
      <c r="O1954" t="n">
        <v>0</v>
      </c>
      <c r="P1954" t="n">
        <v>0</v>
      </c>
      <c r="Q1954" t="n">
        <v>0</v>
      </c>
      <c r="R1954" t="inlineStr">
        <is>
          <t>Operationnel</t>
        </is>
      </c>
      <c r="S1954" t="inlineStr"/>
      <c r="T1954" t="inlineStr"/>
      <c r="U1954" t="inlineStr"/>
      <c r="V1954" t="inlineStr"/>
      <c r="W1954" t="inlineStr"/>
      <c r="X1954" t="inlineStr">
        <is>
          <t>{None hourly IHS}: 25/05/2026 05:39..0:43:51..51.9V..FME is inform, ETA ASAP     ;    {05/25/2026 cell zte}: 25/05/2026 : Need BO RAN analysis</t>
        </is>
      </c>
      <c r="Y1954" t="inlineStr">
        <is>
          <t>25/05/2026 05 39.0 43 51.51.9V.FME is inform, ETA ASAP 25/05/2026 Need BO RAN analysis</t>
        </is>
      </c>
      <c r="Z1954" t="inlineStr"/>
      <c r="AA1954" t="inlineStr"/>
      <c r="AB1954" t="inlineStr"/>
      <c r="AC1954" t="inlineStr"/>
      <c r="AD1954" t="inlineStr"/>
      <c r="AE1954" t="inlineStr">
        <is>
          <t>{None hourly IHS}: 25/05/2026 05:39..0:43:51..51.9V..FME is inform, ETA ASAP</t>
        </is>
      </c>
      <c r="AF1954" t="inlineStr"/>
      <c r="AG1954" t="inlineStr"/>
      <c r="AH1954" t="inlineStr"/>
      <c r="AI1954" t="inlineStr">
        <is>
          <t>{05/25/2026 cell zte}: 25/05/2026 : Need BO RAN analysis</t>
        </is>
      </c>
      <c r="AJ1954" t="inlineStr"/>
      <c r="AK1954" t="inlineStr"/>
      <c r="AL1954" t="inlineStr"/>
      <c r="AM1954" t="inlineStr"/>
      <c r="AN1954" t="inlineStr"/>
      <c r="AO1954" t="inlineStr"/>
      <c r="AP1954" t="inlineStr"/>
      <c r="AQ1954" t="inlineStr"/>
      <c r="AR1954" t="inlineStr"/>
    </row>
    <row r="1955">
      <c r="A1955" t="inlineStr">
        <is>
          <t>Ndokohok-IHS</t>
        </is>
      </c>
      <c r="B1955" t="inlineStr">
        <is>
          <t>OST_025</t>
        </is>
      </c>
      <c r="C1955" t="inlineStr">
        <is>
          <t>CENTRE</t>
        </is>
      </c>
      <c r="D1955" t="inlineStr">
        <is>
          <t>IHS</t>
        </is>
      </c>
      <c r="E1955" t="inlineStr">
        <is>
          <t>Grid-Gen</t>
        </is>
      </c>
      <c r="F1955" t="inlineStr">
        <is>
          <t>OUEST</t>
        </is>
      </c>
      <c r="G1955" t="inlineStr">
        <is>
          <t>Makenene</t>
        </is>
      </c>
      <c r="H1955" t="inlineStr">
        <is>
          <t>ZTE</t>
        </is>
      </c>
      <c r="I1955" t="n">
        <v>0</v>
      </c>
      <c r="J1955" t="n">
        <v>0</v>
      </c>
      <c r="K1955" t="n">
        <v>0</v>
      </c>
      <c r="L1955" t="n">
        <v>0</v>
      </c>
      <c r="M1955" t="n">
        <v>0</v>
      </c>
      <c r="N1955" t="n">
        <v>0</v>
      </c>
      <c r="O1955" t="n">
        <v>0</v>
      </c>
      <c r="P1955" t="n">
        <v>0</v>
      </c>
      <c r="Q1955" t="n">
        <v>0</v>
      </c>
      <c r="R1955" t="inlineStr">
        <is>
          <t>Operationnel</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row>
    <row r="1956">
      <c r="A1956" t="inlineStr">
        <is>
          <t>Dibombari</t>
        </is>
      </c>
      <c r="B1956" t="inlineStr">
        <is>
          <t>LIT_187</t>
        </is>
      </c>
      <c r="C1956" t="inlineStr">
        <is>
          <t>LITTORAL</t>
        </is>
      </c>
      <c r="D1956" t="inlineStr">
        <is>
          <t>IHS</t>
        </is>
      </c>
      <c r="E1956" t="inlineStr">
        <is>
          <t>Grid-Gen</t>
        </is>
      </c>
      <c r="F1956" t="inlineStr">
        <is>
          <t>LITTORAL</t>
        </is>
      </c>
      <c r="G1956" t="inlineStr">
        <is>
          <t>Dibombari</t>
        </is>
      </c>
      <c r="H1956" t="inlineStr">
        <is>
          <t>ZTE</t>
        </is>
      </c>
      <c r="I1956" t="n">
        <v>0</v>
      </c>
      <c r="J1956" t="n">
        <v>0</v>
      </c>
      <c r="K1956" t="n">
        <v>0</v>
      </c>
      <c r="L1956" t="n">
        <v>0</v>
      </c>
      <c r="M1956" t="n">
        <v>0</v>
      </c>
      <c r="N1956" t="n">
        <v>0</v>
      </c>
      <c r="O1956" t="n">
        <v>0</v>
      </c>
      <c r="P1956" t="n">
        <v>0</v>
      </c>
      <c r="Q1956" t="n">
        <v>0</v>
      </c>
      <c r="R1956" t="inlineStr">
        <is>
          <t>Operationnel</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row>
    <row r="1957">
      <c r="A1957" t="inlineStr">
        <is>
          <t>Sud-Cameroun-Hevea-Camtel</t>
        </is>
      </c>
      <c r="B1957" t="inlineStr">
        <is>
          <t>SUD_055</t>
        </is>
      </c>
      <c r="C1957" t="inlineStr">
        <is>
          <t>LITTORAL</t>
        </is>
      </c>
      <c r="D1957" t="inlineStr">
        <is>
          <t>CAMUSAT</t>
        </is>
      </c>
      <c r="E1957" t="inlineStr">
        <is>
          <t>Good Grid no GE - 8h</t>
        </is>
      </c>
      <c r="F1957" t="inlineStr">
        <is>
          <t>SUD</t>
        </is>
      </c>
      <c r="G1957" t="inlineStr">
        <is>
          <t>Niete</t>
        </is>
      </c>
      <c r="H1957" t="inlineStr">
        <is>
          <t>ZTE</t>
        </is>
      </c>
      <c r="I1957" t="n">
        <v>0</v>
      </c>
      <c r="J1957" t="n">
        <v>0</v>
      </c>
      <c r="K1957" t="n">
        <v>0</v>
      </c>
      <c r="L1957" t="n">
        <v>0</v>
      </c>
      <c r="M1957" t="n">
        <v>0</v>
      </c>
      <c r="N1957" t="n">
        <v>0</v>
      </c>
      <c r="O1957" t="n">
        <v>0</v>
      </c>
      <c r="P1957" t="n">
        <v>0</v>
      </c>
      <c r="Q1957" t="n">
        <v>0</v>
      </c>
      <c r="R1957" t="inlineStr">
        <is>
          <t>Operationnel</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row>
    <row r="1958">
      <c r="A1958" t="inlineStr">
        <is>
          <t>Bonalea</t>
        </is>
      </c>
      <c r="B1958" t="inlineStr">
        <is>
          <t>LIT_296</t>
        </is>
      </c>
      <c r="C1958" t="inlineStr">
        <is>
          <t>LITTORAL</t>
        </is>
      </c>
      <c r="D1958" t="inlineStr">
        <is>
          <t>IHS</t>
        </is>
      </c>
      <c r="E1958" t="inlineStr">
        <is>
          <t>Grid-Gen</t>
        </is>
      </c>
      <c r="F1958" t="inlineStr">
        <is>
          <t>LITTORAL</t>
        </is>
      </c>
      <c r="G1958" t="inlineStr">
        <is>
          <t>Bonalea</t>
        </is>
      </c>
      <c r="H1958" t="inlineStr">
        <is>
          <t>ZTE</t>
        </is>
      </c>
      <c r="I1958" t="n">
        <v>0</v>
      </c>
      <c r="J1958" t="n">
        <v>0</v>
      </c>
      <c r="K1958" t="n">
        <v>0</v>
      </c>
      <c r="L1958" t="n">
        <v>0</v>
      </c>
      <c r="M1958" t="n">
        <v>0</v>
      </c>
      <c r="N1958" t="n">
        <v>0</v>
      </c>
      <c r="O1958" t="n">
        <v>0</v>
      </c>
      <c r="P1958" t="n">
        <v>0</v>
      </c>
      <c r="Q1958" t="n">
        <v>0</v>
      </c>
      <c r="R1958" t="inlineStr">
        <is>
          <t>Operationnel</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row>
    <row r="1959">
      <c r="A1959" t="inlineStr">
        <is>
          <t>Bare</t>
        </is>
      </c>
      <c r="B1959" t="inlineStr">
        <is>
          <t>LIT_112</t>
        </is>
      </c>
      <c r="C1959" t="inlineStr">
        <is>
          <t>LITTORAL</t>
        </is>
      </c>
      <c r="D1959" t="inlineStr">
        <is>
          <t>IHS</t>
        </is>
      </c>
      <c r="E1959" t="inlineStr">
        <is>
          <t>Grid-Gen</t>
        </is>
      </c>
      <c r="F1959" t="inlineStr">
        <is>
          <t>LITTORAL</t>
        </is>
      </c>
      <c r="G1959" t="inlineStr">
        <is>
          <t>Bare</t>
        </is>
      </c>
      <c r="H1959" t="inlineStr">
        <is>
          <t>ZTE</t>
        </is>
      </c>
      <c r="I1959" t="n">
        <v>0</v>
      </c>
      <c r="J1959" t="n">
        <v>0</v>
      </c>
      <c r="K1959" t="n">
        <v>0</v>
      </c>
      <c r="L1959" t="n">
        <v>0</v>
      </c>
      <c r="M1959" t="n">
        <v>0</v>
      </c>
      <c r="N1959" t="n">
        <v>0</v>
      </c>
      <c r="O1959" t="n">
        <v>0</v>
      </c>
      <c r="P1959" t="n">
        <v>0</v>
      </c>
      <c r="Q1959" t="n">
        <v>0</v>
      </c>
      <c r="R1959" t="inlineStr">
        <is>
          <t>Operationnel</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row>
    <row r="1960">
      <c r="A1960" t="inlineStr">
        <is>
          <t>Kola-IHS</t>
        </is>
      </c>
      <c r="B1960" t="inlineStr">
        <is>
          <t>LIT_764</t>
        </is>
      </c>
      <c r="C1960" t="inlineStr">
        <is>
          <t>LITTORAL</t>
        </is>
      </c>
      <c r="D1960" t="inlineStr">
        <is>
          <t>IHS</t>
        </is>
      </c>
      <c r="E1960" t="inlineStr">
        <is>
          <t>Grid-Gen</t>
        </is>
      </c>
      <c r="F1960" t="inlineStr">
        <is>
          <t>LITTORAL</t>
        </is>
      </c>
      <c r="G1960" t="inlineStr">
        <is>
          <t>Baaba</t>
        </is>
      </c>
      <c r="H1960" t="inlineStr">
        <is>
          <t>ZTE</t>
        </is>
      </c>
      <c r="I1960" t="n">
        <v>0</v>
      </c>
      <c r="J1960" t="n">
        <v>0</v>
      </c>
      <c r="K1960" t="n">
        <v>0</v>
      </c>
      <c r="L1960" t="n">
        <v>0</v>
      </c>
      <c r="M1960" t="n">
        <v>0</v>
      </c>
      <c r="N1960" t="n">
        <v>0</v>
      </c>
      <c r="O1960" t="n">
        <v>0</v>
      </c>
      <c r="P1960" t="n">
        <v>0</v>
      </c>
      <c r="Q1960" t="n">
        <v>0</v>
      </c>
      <c r="R1960" t="inlineStr">
        <is>
          <t>Operationnel</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row>
    <row r="1961">
      <c r="A1961" t="inlineStr">
        <is>
          <t>Ndoulou-IHS</t>
        </is>
      </c>
      <c r="B1961" t="inlineStr">
        <is>
          <t>LIT_431</t>
        </is>
      </c>
      <c r="C1961" t="inlineStr">
        <is>
          <t>LITTORAL</t>
        </is>
      </c>
      <c r="D1961" t="inlineStr">
        <is>
          <t>IHS</t>
        </is>
      </c>
      <c r="E1961" t="inlineStr">
        <is>
          <t>Grid-Gen</t>
        </is>
      </c>
      <c r="F1961" t="inlineStr">
        <is>
          <t>LITTORAL</t>
        </is>
      </c>
      <c r="G1961" t="inlineStr">
        <is>
          <t>Ndoulou</t>
        </is>
      </c>
      <c r="H1961" t="inlineStr">
        <is>
          <t>ZTE</t>
        </is>
      </c>
      <c r="I1961" t="n">
        <v>0</v>
      </c>
      <c r="J1961" t="n">
        <v>0</v>
      </c>
      <c r="K1961" t="n">
        <v>0</v>
      </c>
      <c r="L1961" t="n">
        <v>0</v>
      </c>
      <c r="M1961" t="n">
        <v>0</v>
      </c>
      <c r="N1961" t="n">
        <v>0</v>
      </c>
      <c r="O1961" t="n">
        <v>0</v>
      </c>
      <c r="P1961" t="n">
        <v>0</v>
      </c>
      <c r="Q1961" t="n">
        <v>0</v>
      </c>
      <c r="R1961" t="inlineStr">
        <is>
          <t>Operationnel</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row>
    <row r="1962">
      <c r="A1962" t="inlineStr">
        <is>
          <t>Manengole</t>
        </is>
      </c>
      <c r="B1962" t="inlineStr">
        <is>
          <t>LIT_356</t>
        </is>
      </c>
      <c r="C1962" t="inlineStr">
        <is>
          <t>LITTORAL</t>
        </is>
      </c>
      <c r="D1962" t="inlineStr">
        <is>
          <t>IHS</t>
        </is>
      </c>
      <c r="E1962" t="inlineStr">
        <is>
          <t>Grid-Gen</t>
        </is>
      </c>
      <c r="F1962" t="inlineStr">
        <is>
          <t>LITTORAL</t>
        </is>
      </c>
      <c r="G1962" t="inlineStr">
        <is>
          <t>Manengole</t>
        </is>
      </c>
      <c r="H1962" t="inlineStr">
        <is>
          <t>ZTE</t>
        </is>
      </c>
      <c r="I1962" t="n">
        <v>0</v>
      </c>
      <c r="J1962" t="n">
        <v>0</v>
      </c>
      <c r="K1962" t="n">
        <v>0</v>
      </c>
      <c r="L1962" t="n">
        <v>0</v>
      </c>
      <c r="M1962" t="n">
        <v>0</v>
      </c>
      <c r="N1962" t="n">
        <v>0</v>
      </c>
      <c r="O1962" t="n">
        <v>0</v>
      </c>
      <c r="P1962" t="n">
        <v>0</v>
      </c>
      <c r="Q1962" t="n">
        <v>0</v>
      </c>
      <c r="R1962" t="inlineStr">
        <is>
          <t>Operationnel</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row>
    <row r="1963">
      <c r="A1963" t="inlineStr">
        <is>
          <t>Logbadjeck-IHS</t>
        </is>
      </c>
      <c r="B1963" t="inlineStr">
        <is>
          <t>LIT_503</t>
        </is>
      </c>
      <c r="C1963" t="inlineStr">
        <is>
          <t>LITTORAL</t>
        </is>
      </c>
      <c r="D1963" t="inlineStr">
        <is>
          <t>IHS</t>
        </is>
      </c>
      <c r="E1963" t="inlineStr">
        <is>
          <t>Grid-Gen</t>
        </is>
      </c>
      <c r="F1963" t="inlineStr">
        <is>
          <t>LITTORAL</t>
        </is>
      </c>
      <c r="G1963" t="inlineStr">
        <is>
          <t>Logbadjeck</t>
        </is>
      </c>
      <c r="H1963" t="inlineStr">
        <is>
          <t>ZTE</t>
        </is>
      </c>
      <c r="I1963" t="n">
        <v>0</v>
      </c>
      <c r="J1963" t="n">
        <v>0</v>
      </c>
      <c r="K1963" t="n">
        <v>0</v>
      </c>
      <c r="L1963" t="n">
        <v>0</v>
      </c>
      <c r="M1963" t="n">
        <v>0</v>
      </c>
      <c r="N1963" t="n">
        <v>0</v>
      </c>
      <c r="O1963" t="n">
        <v>0</v>
      </c>
      <c r="P1963" t="n">
        <v>0</v>
      </c>
      <c r="Q1963" t="n">
        <v>0</v>
      </c>
      <c r="R1963" t="inlineStr">
        <is>
          <t>Operationnel</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row>
    <row r="1964">
      <c r="A1964" t="inlineStr">
        <is>
          <t>Dizangue-KM14-IHS</t>
        </is>
      </c>
      <c r="B1964" t="inlineStr">
        <is>
          <t>LIT_496</t>
        </is>
      </c>
      <c r="C1964" t="inlineStr">
        <is>
          <t>LITTORAL</t>
        </is>
      </c>
      <c r="D1964" t="inlineStr">
        <is>
          <t>IHS</t>
        </is>
      </c>
      <c r="E1964" t="inlineStr">
        <is>
          <t>Grid-Gen</t>
        </is>
      </c>
      <c r="F1964" t="inlineStr">
        <is>
          <t>LITTORAL</t>
        </is>
      </c>
      <c r="G1964" t="inlineStr">
        <is>
          <t>Dizangue</t>
        </is>
      </c>
      <c r="H1964" t="inlineStr">
        <is>
          <t>ZTE</t>
        </is>
      </c>
      <c r="I1964" t="n">
        <v>0</v>
      </c>
      <c r="J1964" t="n">
        <v>0</v>
      </c>
      <c r="K1964" t="n">
        <v>0</v>
      </c>
      <c r="L1964" t="n">
        <v>0</v>
      </c>
      <c r="M1964" t="n">
        <v>0</v>
      </c>
      <c r="N1964" t="n">
        <v>0</v>
      </c>
      <c r="O1964" t="n">
        <v>0</v>
      </c>
      <c r="P1964" t="n">
        <v>0</v>
      </c>
      <c r="Q1964" t="n">
        <v>0</v>
      </c>
      <c r="R1964" t="inlineStr">
        <is>
          <t>Operationnel</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row>
    <row r="1965">
      <c r="A1965" t="inlineStr">
        <is>
          <t>Meyo-Nkoulou</t>
        </is>
      </c>
      <c r="B1965" t="inlineStr">
        <is>
          <t>SUD_117</t>
        </is>
      </c>
      <c r="C1965" t="inlineStr">
        <is>
          <t>CENTRE</t>
        </is>
      </c>
      <c r="D1965" t="inlineStr"/>
      <c r="E1965" t="inlineStr"/>
      <c r="F1965" t="inlineStr">
        <is>
          <t>SUD</t>
        </is>
      </c>
      <c r="G1965" t="inlineStr">
        <is>
          <t>Kyé-Ossi</t>
        </is>
      </c>
      <c r="H1965" t="inlineStr">
        <is>
          <t>ZTE</t>
        </is>
      </c>
      <c r="I1965" t="n">
        <v>0</v>
      </c>
      <c r="J1965" t="n">
        <v>0</v>
      </c>
      <c r="K1965" t="n">
        <v>0</v>
      </c>
      <c r="L1965" t="n">
        <v>0</v>
      </c>
      <c r="M1965" t="n">
        <v>0</v>
      </c>
      <c r="N1965" t="n">
        <v>0</v>
      </c>
      <c r="O1965" t="n">
        <v>0</v>
      </c>
      <c r="P1965" t="n">
        <v>0</v>
      </c>
      <c r="Q1965" t="n">
        <v>0</v>
      </c>
      <c r="R1965" t="inlineStr">
        <is>
          <t>Operationnel</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row>
    <row r="1966">
      <c r="A1966" t="inlineStr">
        <is>
          <t>Mbongo-IHS</t>
        </is>
      </c>
      <c r="B1966" t="inlineStr">
        <is>
          <t>LIT_480</t>
        </is>
      </c>
      <c r="C1966" t="inlineStr">
        <is>
          <t>LITTORAL</t>
        </is>
      </c>
      <c r="D1966" t="inlineStr">
        <is>
          <t>IHS</t>
        </is>
      </c>
      <c r="E1966" t="inlineStr">
        <is>
          <t>Grid-Gen</t>
        </is>
      </c>
      <c r="F1966" t="inlineStr">
        <is>
          <t>LITTORAL</t>
        </is>
      </c>
      <c r="G1966" t="inlineStr">
        <is>
          <t>Mbongo</t>
        </is>
      </c>
      <c r="H1966" t="inlineStr">
        <is>
          <t>ZTE</t>
        </is>
      </c>
      <c r="I1966" t="n">
        <v>0</v>
      </c>
      <c r="J1966" t="n">
        <v>0</v>
      </c>
      <c r="K1966" t="n">
        <v>0</v>
      </c>
      <c r="L1966" t="n">
        <v>0</v>
      </c>
      <c r="M1966" t="n">
        <v>0</v>
      </c>
      <c r="N1966" t="n">
        <v>0</v>
      </c>
      <c r="O1966" t="n">
        <v>0</v>
      </c>
      <c r="P1966" t="n">
        <v>0</v>
      </c>
      <c r="Q1966" t="n">
        <v>0</v>
      </c>
      <c r="R1966" t="inlineStr">
        <is>
          <t>Operationnel</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row>
    <row r="1967">
      <c r="A1967" t="inlineStr">
        <is>
          <t>Apouh</t>
        </is>
      </c>
      <c r="B1967" t="inlineStr">
        <is>
          <t>LIT_512</t>
        </is>
      </c>
      <c r="C1967" t="inlineStr">
        <is>
          <t>LITTORAL</t>
        </is>
      </c>
      <c r="D1967" t="inlineStr">
        <is>
          <t>IHS</t>
        </is>
      </c>
      <c r="E1967" t="inlineStr">
        <is>
          <t>Grid-Gen</t>
        </is>
      </c>
      <c r="F1967" t="inlineStr">
        <is>
          <t>LITTORAL</t>
        </is>
      </c>
      <c r="G1967" t="inlineStr">
        <is>
          <t>Apouh</t>
        </is>
      </c>
      <c r="H1967" t="inlineStr">
        <is>
          <t>ZTE</t>
        </is>
      </c>
      <c r="I1967" t="n">
        <v>0</v>
      </c>
      <c r="J1967" t="n">
        <v>0</v>
      </c>
      <c r="K1967" t="n">
        <v>0</v>
      </c>
      <c r="L1967" t="n">
        <v>0</v>
      </c>
      <c r="M1967" t="n">
        <v>0</v>
      </c>
      <c r="N1967" t="n">
        <v>0</v>
      </c>
      <c r="O1967" t="n">
        <v>0</v>
      </c>
      <c r="P1967" t="n">
        <v>0</v>
      </c>
      <c r="Q1967" t="n">
        <v>0</v>
      </c>
      <c r="R1967" t="inlineStr">
        <is>
          <t>Operationnel</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row>
    <row r="1968">
      <c r="A1968" t="inlineStr">
        <is>
          <t>Ndokok</t>
        </is>
      </c>
      <c r="B1968" t="inlineStr">
        <is>
          <t>CTR_059</t>
        </is>
      </c>
      <c r="C1968" t="inlineStr">
        <is>
          <t>LITTORAL</t>
        </is>
      </c>
      <c r="D1968" t="inlineStr">
        <is>
          <t>IHS</t>
        </is>
      </c>
      <c r="E1968" t="inlineStr">
        <is>
          <t>Grid-Gen</t>
        </is>
      </c>
      <c r="F1968" t="inlineStr">
        <is>
          <t>CENTRE</t>
        </is>
      </c>
      <c r="G1968" t="inlineStr">
        <is>
          <t>Ndokok</t>
        </is>
      </c>
      <c r="H1968" t="inlineStr">
        <is>
          <t>ZTE</t>
        </is>
      </c>
      <c r="I1968" t="n">
        <v>0</v>
      </c>
      <c r="J1968" t="n">
        <v>0</v>
      </c>
      <c r="K1968" t="n">
        <v>0</v>
      </c>
      <c r="L1968" t="n">
        <v>0</v>
      </c>
      <c r="M1968" t="n">
        <v>0</v>
      </c>
      <c r="N1968" t="n">
        <v>0</v>
      </c>
      <c r="O1968" t="n">
        <v>0</v>
      </c>
      <c r="P1968" t="n">
        <v>0</v>
      </c>
      <c r="Q1968" t="n">
        <v>0</v>
      </c>
      <c r="R1968" t="inlineStr">
        <is>
          <t>Operationnel</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row>
    <row r="1969">
      <c r="A1969" t="inlineStr">
        <is>
          <t>MISSOLE-II-PK35-IHS</t>
        </is>
      </c>
      <c r="B1969" t="inlineStr">
        <is>
          <t>LIT_750</t>
        </is>
      </c>
      <c r="C1969" t="inlineStr">
        <is>
          <t>LITTORAL</t>
        </is>
      </c>
      <c r="D1969" t="inlineStr"/>
      <c r="E1969" t="inlineStr"/>
      <c r="F1969" t="inlineStr">
        <is>
          <t>LITTORAL</t>
        </is>
      </c>
      <c r="G1969" t="inlineStr">
        <is>
          <t>Missole</t>
        </is>
      </c>
      <c r="H1969" t="inlineStr">
        <is>
          <t>ZTE</t>
        </is>
      </c>
      <c r="I1969" t="n">
        <v>0</v>
      </c>
      <c r="J1969" t="n">
        <v>0</v>
      </c>
      <c r="K1969" t="n">
        <v>0</v>
      </c>
      <c r="L1969" t="n">
        <v>0</v>
      </c>
      <c r="M1969" t="n">
        <v>0</v>
      </c>
      <c r="N1969" t="n">
        <v>0</v>
      </c>
      <c r="O1969" t="n">
        <v>0</v>
      </c>
      <c r="P1969" t="n">
        <v>0</v>
      </c>
      <c r="Q1969" t="n">
        <v>0</v>
      </c>
      <c r="R1969" t="inlineStr">
        <is>
          <t>Operationnel</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row>
    <row r="1970">
      <c r="A1970" t="inlineStr">
        <is>
          <t>Yembon</t>
        </is>
      </c>
      <c r="B1970" t="inlineStr">
        <is>
          <t>SUD_243</t>
        </is>
      </c>
      <c r="C1970" t="inlineStr">
        <is>
          <t>CENTRE</t>
        </is>
      </c>
      <c r="D1970" t="inlineStr">
        <is>
          <t>CAMUSAT</t>
        </is>
      </c>
      <c r="E1970" t="inlineStr">
        <is>
          <t>HGB</t>
        </is>
      </c>
      <c r="F1970" t="inlineStr">
        <is>
          <t>SUD</t>
        </is>
      </c>
      <c r="G1970" t="inlineStr">
        <is>
          <t>Yembon</t>
        </is>
      </c>
      <c r="H1970" t="inlineStr">
        <is>
          <t>ZTE</t>
        </is>
      </c>
      <c r="I1970" t="n">
        <v>0</v>
      </c>
      <c r="J1970" t="n">
        <v>0</v>
      </c>
      <c r="K1970" t="n">
        <v>0</v>
      </c>
      <c r="L1970" t="n">
        <v>0</v>
      </c>
      <c r="M1970" t="n">
        <v>0</v>
      </c>
      <c r="N1970" t="n">
        <v>0</v>
      </c>
      <c r="O1970" t="n">
        <v>0</v>
      </c>
      <c r="P1970" t="n">
        <v>0</v>
      </c>
      <c r="Q1970" t="n">
        <v>0</v>
      </c>
      <c r="R1970" t="inlineStr">
        <is>
          <t>Operationnel</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row>
    <row r="1971">
      <c r="A1971" t="inlineStr">
        <is>
          <t>Mbomela-IHS</t>
        </is>
      </c>
      <c r="B1971" t="inlineStr">
        <is>
          <t>SUD_105</t>
        </is>
      </c>
      <c r="C1971" t="inlineStr">
        <is>
          <t>CENTRE</t>
        </is>
      </c>
      <c r="D1971" t="inlineStr">
        <is>
          <t>IHS</t>
        </is>
      </c>
      <c r="E1971" t="inlineStr">
        <is>
          <t>Gen-Lithium</t>
        </is>
      </c>
      <c r="F1971" t="inlineStr">
        <is>
          <t>SUD</t>
        </is>
      </c>
      <c r="G1971" t="inlineStr">
        <is>
          <t>Mbomela</t>
        </is>
      </c>
      <c r="H1971" t="inlineStr">
        <is>
          <t>ZTE</t>
        </is>
      </c>
      <c r="I1971" t="n">
        <v>0</v>
      </c>
      <c r="J1971" t="n">
        <v>0</v>
      </c>
      <c r="K1971" t="n">
        <v>0</v>
      </c>
      <c r="L1971" t="n">
        <v>0</v>
      </c>
      <c r="M1971" t="n">
        <v>0</v>
      </c>
      <c r="N1971" t="n">
        <v>0</v>
      </c>
      <c r="O1971" t="n">
        <v>0</v>
      </c>
      <c r="P1971" t="n">
        <v>0</v>
      </c>
      <c r="Q1971" t="n">
        <v>0</v>
      </c>
      <c r="R1971" t="inlineStr">
        <is>
          <t>Operationnel</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row>
    <row r="1972">
      <c r="A1972" t="inlineStr">
        <is>
          <t>Mekoto</t>
        </is>
      </c>
      <c r="B1972" t="inlineStr">
        <is>
          <t>SUD_126</t>
        </is>
      </c>
      <c r="C1972" t="inlineStr">
        <is>
          <t>CENTRE</t>
        </is>
      </c>
      <c r="D1972" t="inlineStr">
        <is>
          <t>CAMUSAT</t>
        </is>
      </c>
      <c r="E1972" t="inlineStr">
        <is>
          <t>Hybrid Solar S3</t>
        </is>
      </c>
      <c r="F1972" t="inlineStr">
        <is>
          <t>SUD</t>
        </is>
      </c>
      <c r="G1972" t="inlineStr">
        <is>
          <t>Ekombitié</t>
        </is>
      </c>
      <c r="H1972" t="inlineStr">
        <is>
          <t>ZTE</t>
        </is>
      </c>
      <c r="I1972" t="n">
        <v>0</v>
      </c>
      <c r="J1972" t="n">
        <v>0</v>
      </c>
      <c r="K1972" t="n">
        <v>0</v>
      </c>
      <c r="L1972" t="n">
        <v>0</v>
      </c>
      <c r="M1972" t="n">
        <v>0</v>
      </c>
      <c r="N1972" t="n">
        <v>0</v>
      </c>
      <c r="O1972" t="n">
        <v>0</v>
      </c>
      <c r="P1972" t="n">
        <v>0</v>
      </c>
      <c r="Q1972" t="n">
        <v>0</v>
      </c>
      <c r="R1972" t="inlineStr">
        <is>
          <t>Operationnel</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row>
    <row r="1973">
      <c r="A1973" t="inlineStr">
        <is>
          <t>Avobengon</t>
        </is>
      </c>
      <c r="B1973" t="inlineStr">
        <is>
          <t>SUD_244</t>
        </is>
      </c>
      <c r="C1973" t="inlineStr">
        <is>
          <t>CENTRE</t>
        </is>
      </c>
      <c r="D1973" t="inlineStr">
        <is>
          <t>IHS</t>
        </is>
      </c>
      <c r="E1973" t="inlineStr">
        <is>
          <t>Gen-Lithium</t>
        </is>
      </c>
      <c r="F1973" t="inlineStr">
        <is>
          <t>SUD</t>
        </is>
      </c>
      <c r="G1973" t="inlineStr">
        <is>
          <t>Avobengon</t>
        </is>
      </c>
      <c r="H1973" t="inlineStr">
        <is>
          <t>ZTE</t>
        </is>
      </c>
      <c r="I1973" t="n">
        <v>0</v>
      </c>
      <c r="J1973" t="n">
        <v>0</v>
      </c>
      <c r="K1973" t="n">
        <v>0</v>
      </c>
      <c r="L1973" t="n">
        <v>0</v>
      </c>
      <c r="M1973" t="n">
        <v>0</v>
      </c>
      <c r="N1973" t="n">
        <v>0</v>
      </c>
      <c r="O1973" t="n">
        <v>0</v>
      </c>
      <c r="P1973" t="n">
        <v>0</v>
      </c>
      <c r="Q1973" t="n">
        <v>0</v>
      </c>
      <c r="R1973" t="inlineStr">
        <is>
          <t>Operationnel</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row>
    <row r="1974">
      <c r="A1974" t="inlineStr">
        <is>
          <t>Koungoulou-MTN</t>
        </is>
      </c>
      <c r="B1974" t="inlineStr">
        <is>
          <t>SUD_248</t>
        </is>
      </c>
      <c r="C1974" t="inlineStr">
        <is>
          <t>CENTRE</t>
        </is>
      </c>
      <c r="D1974" t="inlineStr">
        <is>
          <t>IHS</t>
        </is>
      </c>
      <c r="E1974" t="inlineStr">
        <is>
          <t>Gen-Lithium</t>
        </is>
      </c>
      <c r="F1974" t="inlineStr">
        <is>
          <t>SUD</t>
        </is>
      </c>
      <c r="G1974" t="inlineStr">
        <is>
          <t>Koungoulou</t>
        </is>
      </c>
      <c r="H1974" t="inlineStr">
        <is>
          <t>ZTE</t>
        </is>
      </c>
      <c r="I1974" t="n">
        <v>0</v>
      </c>
      <c r="J1974" t="n">
        <v>0</v>
      </c>
      <c r="K1974" t="n">
        <v>0</v>
      </c>
      <c r="L1974" t="n">
        <v>0</v>
      </c>
      <c r="M1974" t="n">
        <v>0</v>
      </c>
      <c r="N1974" t="n">
        <v>0</v>
      </c>
      <c r="O1974" t="n">
        <v>0</v>
      </c>
      <c r="P1974" t="n">
        <v>0</v>
      </c>
      <c r="Q1974" t="n">
        <v>0</v>
      </c>
      <c r="R1974" t="inlineStr">
        <is>
          <t>Operationnel</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row>
    <row r="1975">
      <c r="A1975" t="inlineStr">
        <is>
          <t>Bikoula-MTN</t>
        </is>
      </c>
      <c r="B1975" t="inlineStr">
        <is>
          <t>SUD_232</t>
        </is>
      </c>
      <c r="C1975" t="inlineStr">
        <is>
          <t>CENTRE</t>
        </is>
      </c>
      <c r="D1975" t="inlineStr">
        <is>
          <t>IHS</t>
        </is>
      </c>
      <c r="E1975" t="inlineStr">
        <is>
          <t>Gen-Lithium</t>
        </is>
      </c>
      <c r="F1975" t="inlineStr">
        <is>
          <t>SUD</t>
        </is>
      </c>
      <c r="G1975" t="inlineStr">
        <is>
          <t>Bikoula</t>
        </is>
      </c>
      <c r="H1975" t="inlineStr">
        <is>
          <t>ZTE</t>
        </is>
      </c>
      <c r="I1975" t="n">
        <v>0</v>
      </c>
      <c r="J1975" t="n">
        <v>0</v>
      </c>
      <c r="K1975" t="n">
        <v>0</v>
      </c>
      <c r="L1975" t="n">
        <v>0</v>
      </c>
      <c r="M1975" t="n">
        <v>0</v>
      </c>
      <c r="N1975" t="n">
        <v>0</v>
      </c>
      <c r="O1975" t="n">
        <v>0</v>
      </c>
      <c r="P1975" t="n">
        <v>0</v>
      </c>
      <c r="Q1975" t="n">
        <v>0</v>
      </c>
      <c r="R1975" t="inlineStr">
        <is>
          <t>Operationnel</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row>
    <row r="1976">
      <c r="A1976" t="inlineStr">
        <is>
          <t>Ngoulemakong-MTN</t>
        </is>
      </c>
      <c r="B1976" t="inlineStr">
        <is>
          <t>EST_067</t>
        </is>
      </c>
      <c r="C1976" t="inlineStr">
        <is>
          <t>CENTRE</t>
        </is>
      </c>
      <c r="D1976" t="inlineStr">
        <is>
          <t>IHS</t>
        </is>
      </c>
      <c r="E1976" t="inlineStr">
        <is>
          <t>Grid-Hybrid-Gen</t>
        </is>
      </c>
      <c r="F1976" t="inlineStr">
        <is>
          <t>EST</t>
        </is>
      </c>
      <c r="G1976" t="inlineStr">
        <is>
          <t>Ngoulemakong</t>
        </is>
      </c>
      <c r="H1976" t="inlineStr">
        <is>
          <t>ZTE</t>
        </is>
      </c>
      <c r="I1976" t="n">
        <v>0</v>
      </c>
      <c r="J1976" t="n">
        <v>0</v>
      </c>
      <c r="K1976" t="n">
        <v>0</v>
      </c>
      <c r="L1976" t="n">
        <v>0</v>
      </c>
      <c r="M1976" t="n">
        <v>0</v>
      </c>
      <c r="N1976" t="n">
        <v>0</v>
      </c>
      <c r="O1976" t="n">
        <v>0</v>
      </c>
      <c r="P1976" t="n">
        <v>0</v>
      </c>
      <c r="Q1976" t="n">
        <v>0</v>
      </c>
      <c r="R1976" t="inlineStr">
        <is>
          <t>Operationnel</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row>
    <row r="1977">
      <c r="A1977" t="inlineStr">
        <is>
          <t>Motcheboum</t>
        </is>
      </c>
      <c r="B1977" t="inlineStr">
        <is>
          <t>EST_062</t>
        </is>
      </c>
      <c r="C1977" t="inlineStr">
        <is>
          <t>CENTRE</t>
        </is>
      </c>
      <c r="D1977" t="inlineStr">
        <is>
          <t>IHS</t>
        </is>
      </c>
      <c r="E1977" t="inlineStr">
        <is>
          <t>Grid-Gen</t>
        </is>
      </c>
      <c r="F1977" t="inlineStr">
        <is>
          <t>EST</t>
        </is>
      </c>
      <c r="G1977" t="inlineStr">
        <is>
          <t>Motcheboum</t>
        </is>
      </c>
      <c r="H1977" t="inlineStr">
        <is>
          <t>ZTE</t>
        </is>
      </c>
      <c r="I1977" t="n">
        <v>0</v>
      </c>
      <c r="J1977" t="n">
        <v>0</v>
      </c>
      <c r="K1977" t="n">
        <v>0</v>
      </c>
      <c r="L1977" t="n">
        <v>0</v>
      </c>
      <c r="M1977" t="n">
        <v>0</v>
      </c>
      <c r="N1977" t="n">
        <v>0</v>
      </c>
      <c r="O1977" t="n">
        <v>0</v>
      </c>
      <c r="P1977" t="n">
        <v>0</v>
      </c>
      <c r="Q1977" t="n">
        <v>0</v>
      </c>
      <c r="R1977" t="inlineStr">
        <is>
          <t>Operationnel</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row>
    <row r="1978">
      <c r="A1978" t="inlineStr">
        <is>
          <t>Nkoum</t>
        </is>
      </c>
      <c r="B1978" t="inlineStr">
        <is>
          <t>EST_022</t>
        </is>
      </c>
      <c r="C1978" t="inlineStr">
        <is>
          <t>CENTRE</t>
        </is>
      </c>
      <c r="D1978" t="inlineStr">
        <is>
          <t>IHS</t>
        </is>
      </c>
      <c r="E1978" t="inlineStr">
        <is>
          <t>Grid-Gen</t>
        </is>
      </c>
      <c r="F1978" t="inlineStr">
        <is>
          <t>EST</t>
        </is>
      </c>
      <c r="G1978" t="inlineStr">
        <is>
          <t>Nkoum</t>
        </is>
      </c>
      <c r="H1978" t="inlineStr">
        <is>
          <t>ZTE</t>
        </is>
      </c>
      <c r="I1978" t="n">
        <v>0</v>
      </c>
      <c r="J1978" t="n">
        <v>0</v>
      </c>
      <c r="K1978" t="n">
        <v>0</v>
      </c>
      <c r="L1978" t="n">
        <v>0</v>
      </c>
      <c r="M1978" t="n">
        <v>0</v>
      </c>
      <c r="N1978" t="n">
        <v>0</v>
      </c>
      <c r="O1978" t="n">
        <v>0</v>
      </c>
      <c r="P1978" t="n">
        <v>0</v>
      </c>
      <c r="Q1978" t="n">
        <v>0</v>
      </c>
      <c r="R1978" t="inlineStr">
        <is>
          <t>Operationnel</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row>
    <row r="1979">
      <c r="A1979" t="inlineStr">
        <is>
          <t>Messok</t>
        </is>
      </c>
      <c r="B1979" t="inlineStr">
        <is>
          <t>SUD_106</t>
        </is>
      </c>
      <c r="C1979" t="inlineStr">
        <is>
          <t>CENTRE</t>
        </is>
      </c>
      <c r="D1979" t="inlineStr">
        <is>
          <t>CAMUSAT</t>
        </is>
      </c>
      <c r="E1979" t="inlineStr">
        <is>
          <t>Hybrid Solar - S3</t>
        </is>
      </c>
      <c r="F1979" t="inlineStr">
        <is>
          <t>SUD</t>
        </is>
      </c>
      <c r="G1979" t="inlineStr">
        <is>
          <t>Messok</t>
        </is>
      </c>
      <c r="H1979" t="inlineStr">
        <is>
          <t>ZTE</t>
        </is>
      </c>
      <c r="I1979" t="n">
        <v>0</v>
      </c>
      <c r="J1979" t="n">
        <v>0</v>
      </c>
      <c r="K1979" t="n">
        <v>0</v>
      </c>
      <c r="L1979" t="n">
        <v>0</v>
      </c>
      <c r="M1979" t="n">
        <v>0</v>
      </c>
      <c r="N1979" t="n">
        <v>0</v>
      </c>
      <c r="O1979" t="n">
        <v>0</v>
      </c>
      <c r="P1979" t="n">
        <v>0</v>
      </c>
      <c r="Q1979" t="n">
        <v>0</v>
      </c>
      <c r="R1979" t="inlineStr">
        <is>
          <t>Operationnel</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row>
    <row r="1980">
      <c r="A1980" t="inlineStr">
        <is>
          <t>Ndonkol-MTN-IHS</t>
        </is>
      </c>
      <c r="B1980" t="inlineStr">
        <is>
          <t>SUD_062</t>
        </is>
      </c>
      <c r="C1980" t="inlineStr">
        <is>
          <t>LITTORAL</t>
        </is>
      </c>
      <c r="D1980" t="inlineStr">
        <is>
          <t>IHS</t>
        </is>
      </c>
      <c r="E1980" t="inlineStr">
        <is>
          <t>Grid-Gen</t>
        </is>
      </c>
      <c r="F1980" t="inlineStr">
        <is>
          <t>SUD</t>
        </is>
      </c>
      <c r="G1980" t="inlineStr">
        <is>
          <t>Ndonkol</t>
        </is>
      </c>
      <c r="H1980" t="inlineStr">
        <is>
          <t>ZTE</t>
        </is>
      </c>
      <c r="I1980" t="n">
        <v>0</v>
      </c>
      <c r="J1980" t="n">
        <v>0</v>
      </c>
      <c r="K1980" t="n">
        <v>0</v>
      </c>
      <c r="L1980" t="n">
        <v>0</v>
      </c>
      <c r="M1980" t="n">
        <v>0</v>
      </c>
      <c r="N1980" t="n">
        <v>0</v>
      </c>
      <c r="O1980" t="n">
        <v>0</v>
      </c>
      <c r="P1980" t="n">
        <v>0</v>
      </c>
      <c r="Q1980" t="n">
        <v>0</v>
      </c>
      <c r="R1980" t="inlineStr">
        <is>
          <t>Operationnel</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row>
    <row r="1981">
      <c r="A1981" t="inlineStr">
        <is>
          <t>Adouma</t>
        </is>
      </c>
      <c r="B1981" t="inlineStr">
        <is>
          <t>EST_134</t>
        </is>
      </c>
      <c r="C1981" t="inlineStr">
        <is>
          <t>CENTRE</t>
        </is>
      </c>
      <c r="D1981" t="inlineStr">
        <is>
          <t>CAMUSAT</t>
        </is>
      </c>
      <c r="E1981" t="inlineStr">
        <is>
          <t>Hybrid Solar - S3</t>
        </is>
      </c>
      <c r="F1981" t="inlineStr">
        <is>
          <t>EST</t>
        </is>
      </c>
      <c r="G1981" t="inlineStr">
        <is>
          <t>Adouma</t>
        </is>
      </c>
      <c r="H1981" t="inlineStr">
        <is>
          <t>ZTE</t>
        </is>
      </c>
      <c r="I1981" t="n">
        <v>0</v>
      </c>
      <c r="J1981" t="n">
        <v>0</v>
      </c>
      <c r="K1981" t="n">
        <v>0</v>
      </c>
      <c r="L1981" t="n">
        <v>0</v>
      </c>
      <c r="M1981" t="n">
        <v>0</v>
      </c>
      <c r="N1981" t="n">
        <v>0</v>
      </c>
      <c r="O1981" t="n">
        <v>0</v>
      </c>
      <c r="P1981" t="n">
        <v>0</v>
      </c>
      <c r="Q1981" t="n">
        <v>0</v>
      </c>
      <c r="R1981" t="inlineStr">
        <is>
          <t>Operationnel</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row>
    <row r="1982">
      <c r="A1982" t="inlineStr">
        <is>
          <t>GADJI</t>
        </is>
      </c>
      <c r="B1982" t="inlineStr">
        <is>
          <t>EST_147</t>
        </is>
      </c>
      <c r="C1982" t="inlineStr">
        <is>
          <t>CENTRE</t>
        </is>
      </c>
      <c r="D1982" t="inlineStr"/>
      <c r="E1982" t="inlineStr"/>
      <c r="F1982" t="inlineStr">
        <is>
          <t>EST</t>
        </is>
      </c>
      <c r="G1982" t="inlineStr">
        <is>
          <t>Gadji</t>
        </is>
      </c>
      <c r="H1982" t="inlineStr">
        <is>
          <t>ZTE</t>
        </is>
      </c>
      <c r="I1982" t="n">
        <v>0</v>
      </c>
      <c r="J1982" t="n">
        <v>0</v>
      </c>
      <c r="K1982" t="n">
        <v>0</v>
      </c>
      <c r="L1982" t="n">
        <v>0</v>
      </c>
      <c r="M1982" t="n">
        <v>0</v>
      </c>
      <c r="N1982" t="n">
        <v>0</v>
      </c>
      <c r="O1982" t="n">
        <v>0</v>
      </c>
      <c r="P1982" t="n">
        <v>0</v>
      </c>
      <c r="Q1982" t="n">
        <v>0</v>
      </c>
      <c r="R1982" t="inlineStr">
        <is>
          <t>Operationnel</t>
        </is>
      </c>
      <c r="S1982" t="inlineStr"/>
      <c r="T1982" t="inlineStr"/>
      <c r="U1982" t="inlineStr"/>
      <c r="V1982" t="inlineStr"/>
      <c r="W1982" t="inlineStr"/>
      <c r="X1982" t="inlineStr">
        <is>
          <t>{05-25-2026 ocm ran 22H}: Impacted by Fio-MTN_EST_084 (TX issue, ODU fault)     ;    {05-25-2026 ocm ran 17H}: Impacted by Fio-MTN_EST_084 (TX issue, ODU fault)</t>
        </is>
      </c>
      <c r="Y1982" t="inlineStr">
        <is>
          <t>Impacted by Fio-MTN_EST_084 (TX issue, ODU fault) Impacted by Fio-MTN_EST_084 (TX issue, ODU fault)</t>
        </is>
      </c>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{05-25-2026 ocm ran 22H}: Impacted by Fio-MTN_EST_084 (TX issue, ODU fault)</t>
        </is>
      </c>
      <c r="AP1982" t="inlineStr">
        <is>
          <t>{05-25-2026 ocm ran 17H}: Impacted by Fio-MTN_EST_084 (TX issue, ODU fault)</t>
        </is>
      </c>
      <c r="AQ1982" t="inlineStr"/>
      <c r="AR1982" t="inlineStr"/>
    </row>
    <row r="1983">
      <c r="A1983" t="inlineStr">
        <is>
          <t>Badongoue-MTN-IHS</t>
        </is>
      </c>
      <c r="B1983" t="inlineStr">
        <is>
          <t>EST_089</t>
        </is>
      </c>
      <c r="C1983" t="inlineStr">
        <is>
          <t>CENTRE</t>
        </is>
      </c>
      <c r="D1983" t="inlineStr">
        <is>
          <t>IHS</t>
        </is>
      </c>
      <c r="E1983" t="inlineStr">
        <is>
          <t>Grid-Gen-Lithium</t>
        </is>
      </c>
      <c r="F1983" t="inlineStr">
        <is>
          <t>EST</t>
        </is>
      </c>
      <c r="G1983" t="inlineStr">
        <is>
          <t>Badongoue</t>
        </is>
      </c>
      <c r="H1983" t="inlineStr">
        <is>
          <t>ZTE</t>
        </is>
      </c>
      <c r="I1983" t="n">
        <v>0</v>
      </c>
      <c r="J1983" t="n">
        <v>0</v>
      </c>
      <c r="K1983" t="n">
        <v>0</v>
      </c>
      <c r="L1983" t="n">
        <v>0</v>
      </c>
      <c r="M1983" t="n">
        <v>0</v>
      </c>
      <c r="N1983" t="n">
        <v>0</v>
      </c>
      <c r="O1983" t="n">
        <v>0</v>
      </c>
      <c r="P1983" t="n">
        <v>0</v>
      </c>
      <c r="Q1983" t="n">
        <v>0</v>
      </c>
      <c r="R1983" t="inlineStr">
        <is>
          <t>Operationnel</t>
        </is>
      </c>
      <c r="S1983" t="inlineStr"/>
      <c r="T1983" t="inlineStr"/>
      <c r="U1983" t="inlineStr"/>
      <c r="V1983" t="inlineStr"/>
      <c r="W1983" t="inlineStr"/>
      <c r="X1983" t="inlineStr">
        <is>
          <t>{None hourly IHS}: 25/05/2026 03:55..2:27:50..42.1V..FME is informed and managing</t>
        </is>
      </c>
      <c r="Y1983" t="inlineStr">
        <is>
          <t>25/05/2026 03 55.2 27 50.42.1V.FME is informed and managing</t>
        </is>
      </c>
      <c r="Z1983" t="inlineStr"/>
      <c r="AA1983" t="inlineStr"/>
      <c r="AB1983" t="inlineStr"/>
      <c r="AC1983" t="inlineStr"/>
      <c r="AD1983" t="inlineStr"/>
      <c r="AE1983" t="inlineStr">
        <is>
          <t>{None hourly IHS}: 25/05/2026 03:55..2:27:50..42.1V..FME is informed and managing</t>
        </is>
      </c>
      <c r="AF1983" t="inlineStr"/>
      <c r="AG1983" t="inlineStr"/>
      <c r="AH1983" t="inlineStr"/>
      <c r="AI1983" t="inlineStr"/>
      <c r="AJ1983" t="inlineStr"/>
      <c r="AK1983" t="inlineStr"/>
      <c r="AL1983" t="inlineStr"/>
      <c r="AM1983" t="inlineStr"/>
      <c r="AN1983" t="inlineStr"/>
      <c r="AO1983" t="inlineStr"/>
      <c r="AP1983" t="inlineStr"/>
      <c r="AQ1983" t="inlineStr"/>
      <c r="AR1983" t="inlineStr"/>
    </row>
    <row r="1984">
      <c r="A1984" t="inlineStr">
        <is>
          <t>Dimako</t>
        </is>
      </c>
      <c r="B1984" t="inlineStr">
        <is>
          <t>EST_019</t>
        </is>
      </c>
      <c r="C1984" t="inlineStr">
        <is>
          <t>CENTRE</t>
        </is>
      </c>
      <c r="D1984" t="inlineStr">
        <is>
          <t>IHS</t>
        </is>
      </c>
      <c r="E1984" t="inlineStr">
        <is>
          <t>Grid-Gen</t>
        </is>
      </c>
      <c r="F1984" t="inlineStr">
        <is>
          <t>EST</t>
        </is>
      </c>
      <c r="G1984" t="inlineStr">
        <is>
          <t>Dimako</t>
        </is>
      </c>
      <c r="H1984" t="inlineStr">
        <is>
          <t>ZTE</t>
        </is>
      </c>
      <c r="I1984" t="n">
        <v>0</v>
      </c>
      <c r="J1984" t="n">
        <v>0</v>
      </c>
      <c r="K1984" t="n">
        <v>0</v>
      </c>
      <c r="L1984" t="n">
        <v>0</v>
      </c>
      <c r="M1984" t="n">
        <v>0</v>
      </c>
      <c r="N1984" t="n">
        <v>0</v>
      </c>
      <c r="O1984" t="n">
        <v>0</v>
      </c>
      <c r="P1984" t="n">
        <v>0</v>
      </c>
      <c r="Q1984" t="n">
        <v>0</v>
      </c>
      <c r="R1984" t="inlineStr">
        <is>
          <t>Operationnel</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row>
    <row r="1985">
      <c r="A1985" t="inlineStr">
        <is>
          <t>Atok</t>
        </is>
      </c>
      <c r="B1985" t="inlineStr">
        <is>
          <t>EST_017</t>
        </is>
      </c>
      <c r="C1985" t="inlineStr">
        <is>
          <t>CENTRE</t>
        </is>
      </c>
      <c r="D1985" t="inlineStr">
        <is>
          <t>IHS</t>
        </is>
      </c>
      <c r="E1985" t="inlineStr">
        <is>
          <t>Grid-Gen-Lithium</t>
        </is>
      </c>
      <c r="F1985" t="inlineStr">
        <is>
          <t>EST</t>
        </is>
      </c>
      <c r="G1985" t="inlineStr">
        <is>
          <t>Atok</t>
        </is>
      </c>
      <c r="H1985" t="inlineStr">
        <is>
          <t>ZTE</t>
        </is>
      </c>
      <c r="I1985" t="n">
        <v>0</v>
      </c>
      <c r="J1985" t="n">
        <v>0</v>
      </c>
      <c r="K1985" t="n">
        <v>0</v>
      </c>
      <c r="L1985" t="n">
        <v>0</v>
      </c>
      <c r="M1985" t="n">
        <v>0</v>
      </c>
      <c r="N1985" t="n">
        <v>0</v>
      </c>
      <c r="O1985" t="n">
        <v>0</v>
      </c>
      <c r="P1985" t="n">
        <v>0</v>
      </c>
      <c r="Q1985" t="n">
        <v>0</v>
      </c>
      <c r="R1985" t="inlineStr">
        <is>
          <t>Operationnel</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row>
    <row r="1986">
      <c r="A1986" t="inlineStr">
        <is>
          <t>Bigoens-IHS</t>
        </is>
      </c>
      <c r="B1986" t="inlineStr">
        <is>
          <t>EST_029</t>
        </is>
      </c>
      <c r="C1986" t="inlineStr">
        <is>
          <t>CENTRE</t>
        </is>
      </c>
      <c r="D1986" t="inlineStr">
        <is>
          <t>IHS</t>
        </is>
      </c>
      <c r="E1986" t="inlineStr">
        <is>
          <t>Gen-Lithium</t>
        </is>
      </c>
      <c r="F1986" t="inlineStr">
        <is>
          <t>EST</t>
        </is>
      </c>
      <c r="G1986" t="inlineStr">
        <is>
          <t>Bigoens</t>
        </is>
      </c>
      <c r="H1986" t="inlineStr">
        <is>
          <t>ZTE</t>
        </is>
      </c>
      <c r="I1986" t="n">
        <v>0</v>
      </c>
      <c r="J1986" t="n">
        <v>0</v>
      </c>
      <c r="K1986" t="n">
        <v>0</v>
      </c>
      <c r="L1986" t="n">
        <v>0</v>
      </c>
      <c r="M1986" t="n">
        <v>0</v>
      </c>
      <c r="N1986" t="n">
        <v>0</v>
      </c>
      <c r="O1986" t="n">
        <v>0</v>
      </c>
      <c r="P1986" t="n">
        <v>0</v>
      </c>
      <c r="Q1986" t="n">
        <v>0</v>
      </c>
      <c r="R1986" t="inlineStr">
        <is>
          <t>Operationnel</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row>
    <row r="1987">
      <c r="A1987" t="inlineStr">
        <is>
          <t>Andom-MTN</t>
        </is>
      </c>
      <c r="B1987" t="inlineStr">
        <is>
          <t>CTR_305</t>
        </is>
      </c>
      <c r="C1987" t="inlineStr">
        <is>
          <t>CENTRE</t>
        </is>
      </c>
      <c r="D1987" t="inlineStr">
        <is>
          <t>IHS</t>
        </is>
      </c>
      <c r="E1987" t="inlineStr">
        <is>
          <t>Hybrid-Gen</t>
        </is>
      </c>
      <c r="F1987" t="inlineStr">
        <is>
          <t>CENTRE</t>
        </is>
      </c>
      <c r="G1987" t="inlineStr">
        <is>
          <t>Andom</t>
        </is>
      </c>
      <c r="H1987" t="inlineStr">
        <is>
          <t>ZTE</t>
        </is>
      </c>
      <c r="I1987" t="n">
        <v>0</v>
      </c>
      <c r="J1987" t="n">
        <v>0</v>
      </c>
      <c r="K1987" t="n">
        <v>0</v>
      </c>
      <c r="L1987" t="n">
        <v>0</v>
      </c>
      <c r="M1987" t="n">
        <v>0</v>
      </c>
      <c r="N1987" t="n">
        <v>0</v>
      </c>
      <c r="O1987" t="n">
        <v>0</v>
      </c>
      <c r="P1987" t="n">
        <v>0</v>
      </c>
      <c r="Q1987" t="n">
        <v>0</v>
      </c>
      <c r="R1987" t="inlineStr">
        <is>
          <t>Operationnel</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row>
    <row r="1988">
      <c r="A1988" t="inlineStr">
        <is>
          <t>Nyazanga</t>
        </is>
      </c>
      <c r="B1988" t="inlineStr">
        <is>
          <t>SUD_249</t>
        </is>
      </c>
      <c r="C1988" t="inlineStr">
        <is>
          <t>CENTRE</t>
        </is>
      </c>
      <c r="D1988" t="inlineStr">
        <is>
          <t>IHS</t>
        </is>
      </c>
      <c r="E1988" t="inlineStr">
        <is>
          <t>Grid-Gen-Lithium</t>
        </is>
      </c>
      <c r="F1988" t="inlineStr">
        <is>
          <t>SUD</t>
        </is>
      </c>
      <c r="G1988" t="inlineStr">
        <is>
          <t>Nyazanga</t>
        </is>
      </c>
      <c r="H1988" t="inlineStr">
        <is>
          <t>ZTE</t>
        </is>
      </c>
      <c r="I1988" t="n">
        <v>0</v>
      </c>
      <c r="J1988" t="n">
        <v>0</v>
      </c>
      <c r="K1988" t="n">
        <v>0</v>
      </c>
      <c r="L1988" t="n">
        <v>0</v>
      </c>
      <c r="M1988" t="n">
        <v>0</v>
      </c>
      <c r="N1988" t="n">
        <v>0</v>
      </c>
      <c r="O1988" t="n">
        <v>0</v>
      </c>
      <c r="P1988" t="n">
        <v>0</v>
      </c>
      <c r="Q1988" t="n">
        <v>0</v>
      </c>
      <c r="R1988" t="inlineStr">
        <is>
          <t>Operationnel</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row>
    <row r="1989">
      <c r="A1989" t="inlineStr">
        <is>
          <t>Melane</t>
        </is>
      </c>
      <c r="B1989" t="inlineStr">
        <is>
          <t>SUD_256</t>
        </is>
      </c>
      <c r="C1989" t="inlineStr">
        <is>
          <t>CENTRE</t>
        </is>
      </c>
      <c r="D1989" t="inlineStr">
        <is>
          <t>IHS</t>
        </is>
      </c>
      <c r="E1989" t="inlineStr">
        <is>
          <t>Grid-Gen</t>
        </is>
      </c>
      <c r="F1989" t="inlineStr">
        <is>
          <t>SUD</t>
        </is>
      </c>
      <c r="G1989" t="inlineStr">
        <is>
          <t>Melane</t>
        </is>
      </c>
      <c r="H1989" t="inlineStr">
        <is>
          <t>ZTE</t>
        </is>
      </c>
      <c r="I1989" t="n">
        <v>0</v>
      </c>
      <c r="J1989" t="n">
        <v>0</v>
      </c>
      <c r="K1989" t="n">
        <v>0</v>
      </c>
      <c r="L1989" t="n">
        <v>0</v>
      </c>
      <c r="M1989" t="n">
        <v>0</v>
      </c>
      <c r="N1989" t="n">
        <v>0</v>
      </c>
      <c r="O1989" t="n">
        <v>0</v>
      </c>
      <c r="P1989" t="n">
        <v>0</v>
      </c>
      <c r="Q1989" t="n">
        <v>0</v>
      </c>
      <c r="R1989" t="inlineStr">
        <is>
          <t>Operationnel</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row>
    <row r="1990">
      <c r="A1990" t="inlineStr">
        <is>
          <t>Kpwang-MTN</t>
        </is>
      </c>
      <c r="B1990" t="inlineStr">
        <is>
          <t>SUD_239</t>
        </is>
      </c>
      <c r="C1990" t="inlineStr">
        <is>
          <t>CENTRE</t>
        </is>
      </c>
      <c r="D1990" t="inlineStr">
        <is>
          <t>IHS</t>
        </is>
      </c>
      <c r="E1990" t="inlineStr">
        <is>
          <t>Grid-Gen</t>
        </is>
      </c>
      <c r="F1990" t="inlineStr">
        <is>
          <t>SUD</t>
        </is>
      </c>
      <c r="G1990" t="inlineStr">
        <is>
          <t>Kpwang</t>
        </is>
      </c>
      <c r="H1990" t="inlineStr">
        <is>
          <t>ZTE</t>
        </is>
      </c>
      <c r="I1990" t="n">
        <v>0</v>
      </c>
      <c r="J1990" t="n">
        <v>0</v>
      </c>
      <c r="K1990" t="n">
        <v>0</v>
      </c>
      <c r="L1990" t="n">
        <v>0</v>
      </c>
      <c r="M1990" t="n">
        <v>0</v>
      </c>
      <c r="N1990" t="n">
        <v>0</v>
      </c>
      <c r="O1990" t="n">
        <v>0</v>
      </c>
      <c r="P1990" t="n">
        <v>0</v>
      </c>
      <c r="Q1990" t="n">
        <v>0</v>
      </c>
      <c r="R1990" t="inlineStr">
        <is>
          <t>Operationnel</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row>
    <row r="1991">
      <c r="A1991" t="inlineStr">
        <is>
          <t>Ebanga-Ngoulou-New</t>
        </is>
      </c>
      <c r="B1991" t="inlineStr">
        <is>
          <t>SUD_019</t>
        </is>
      </c>
      <c r="C1991" t="inlineStr">
        <is>
          <t>CENTRE</t>
        </is>
      </c>
      <c r="D1991" t="inlineStr">
        <is>
          <t>CAMUSAT</t>
        </is>
      </c>
      <c r="E1991" t="inlineStr">
        <is>
          <t>Medium Grid + GE</t>
        </is>
      </c>
      <c r="F1991" t="inlineStr">
        <is>
          <t>SUD</t>
        </is>
      </c>
      <c r="G1991" t="inlineStr">
        <is>
          <t>Ebanga-Ngoulou</t>
        </is>
      </c>
      <c r="H1991" t="inlineStr">
        <is>
          <t>ZTE</t>
        </is>
      </c>
      <c r="I1991" t="n">
        <v>0</v>
      </c>
      <c r="J1991" t="n">
        <v>0</v>
      </c>
      <c r="K1991" t="n">
        <v>0</v>
      </c>
      <c r="L1991" t="n">
        <v>0</v>
      </c>
      <c r="M1991" t="n">
        <v>0</v>
      </c>
      <c r="N1991" t="n">
        <v>0</v>
      </c>
      <c r="O1991" t="n">
        <v>0</v>
      </c>
      <c r="P1991" t="n">
        <v>0</v>
      </c>
      <c r="Q1991" t="n">
        <v>0</v>
      </c>
      <c r="R1991" t="inlineStr">
        <is>
          <t>Operationnel</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row>
    <row r="1992">
      <c r="A1992" t="inlineStr">
        <is>
          <t>EMINEMVOM-IHS</t>
        </is>
      </c>
      <c r="B1992" t="inlineStr">
        <is>
          <t>SUD_107</t>
        </is>
      </c>
      <c r="C1992" t="inlineStr">
        <is>
          <t>CENTRE</t>
        </is>
      </c>
      <c r="D1992" t="inlineStr">
        <is>
          <t>IHS</t>
        </is>
      </c>
      <c r="E1992" t="inlineStr">
        <is>
          <t>Hybrid-Gen-Lithium</t>
        </is>
      </c>
      <c r="F1992" t="inlineStr">
        <is>
          <t>SUD</t>
        </is>
      </c>
      <c r="G1992" t="inlineStr">
        <is>
          <t>Eminevom</t>
        </is>
      </c>
      <c r="H1992" t="inlineStr">
        <is>
          <t>ZTE</t>
        </is>
      </c>
      <c r="I1992" t="n">
        <v>0</v>
      </c>
      <c r="J1992" t="n">
        <v>0</v>
      </c>
      <c r="K1992" t="n">
        <v>0</v>
      </c>
      <c r="L1992" t="n">
        <v>0</v>
      </c>
      <c r="M1992" t="n">
        <v>0</v>
      </c>
      <c r="N1992" t="n">
        <v>0</v>
      </c>
      <c r="O1992" t="n">
        <v>0</v>
      </c>
      <c r="P1992" t="n">
        <v>0</v>
      </c>
      <c r="Q1992" t="n">
        <v>0</v>
      </c>
      <c r="R1992" t="inlineStr">
        <is>
          <t>Operationnel</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row>
    <row r="1993">
      <c r="A1993" t="inlineStr">
        <is>
          <t>Evelessi-IHS</t>
        </is>
      </c>
      <c r="B1993" t="inlineStr">
        <is>
          <t>SUD_138</t>
        </is>
      </c>
      <c r="C1993" t="inlineStr">
        <is>
          <t>CENTRE</t>
        </is>
      </c>
      <c r="D1993" t="inlineStr">
        <is>
          <t>IHS</t>
        </is>
      </c>
      <c r="E1993" t="inlineStr">
        <is>
          <t>Gen-Lithium</t>
        </is>
      </c>
      <c r="F1993" t="inlineStr">
        <is>
          <t>SUD</t>
        </is>
      </c>
      <c r="G1993" t="inlineStr">
        <is>
          <t>Sangmelima</t>
        </is>
      </c>
      <c r="H1993" t="inlineStr">
        <is>
          <t>ZTE</t>
        </is>
      </c>
      <c r="I1993" t="n">
        <v>0</v>
      </c>
      <c r="J1993" t="n">
        <v>0</v>
      </c>
      <c r="K1993" t="n">
        <v>0</v>
      </c>
      <c r="L1993" t="n">
        <v>0</v>
      </c>
      <c r="M1993" t="n">
        <v>0</v>
      </c>
      <c r="N1993" t="n">
        <v>0</v>
      </c>
      <c r="O1993" t="n">
        <v>0</v>
      </c>
      <c r="P1993" t="n">
        <v>0</v>
      </c>
      <c r="Q1993" t="n">
        <v>0</v>
      </c>
      <c r="R1993" t="inlineStr">
        <is>
          <t>Operationnel</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row>
    <row r="1994">
      <c r="A1994" t="inlineStr">
        <is>
          <t>Olounou-MTN</t>
        </is>
      </c>
      <c r="B1994" t="inlineStr">
        <is>
          <t>CTR_298</t>
        </is>
      </c>
      <c r="C1994" t="inlineStr">
        <is>
          <t>CENTRE</t>
        </is>
      </c>
      <c r="D1994" t="inlineStr">
        <is>
          <t>IHS</t>
        </is>
      </c>
      <c r="E1994" t="inlineStr">
        <is>
          <t>Grid-Gen-Lithium</t>
        </is>
      </c>
      <c r="F1994" t="inlineStr">
        <is>
          <t>CENTRE</t>
        </is>
      </c>
      <c r="G1994" t="inlineStr">
        <is>
          <t>Olounou</t>
        </is>
      </c>
      <c r="H1994" t="inlineStr">
        <is>
          <t>ZTE</t>
        </is>
      </c>
      <c r="I1994" t="n">
        <v>0</v>
      </c>
      <c r="J1994" t="n">
        <v>0</v>
      </c>
      <c r="K1994" t="n">
        <v>0</v>
      </c>
      <c r="L1994" t="n">
        <v>0</v>
      </c>
      <c r="M1994" t="n">
        <v>0</v>
      </c>
      <c r="N1994" t="n">
        <v>0</v>
      </c>
      <c r="O1994" t="n">
        <v>0</v>
      </c>
      <c r="P1994" t="n">
        <v>0</v>
      </c>
      <c r="Q1994" t="n">
        <v>0</v>
      </c>
      <c r="R1994" t="inlineStr">
        <is>
          <t>Operationnel</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row>
    <row r="1995">
      <c r="A1995" t="inlineStr">
        <is>
          <t>Koundou-MTN</t>
        </is>
      </c>
      <c r="B1995" t="inlineStr">
        <is>
          <t>CTR_823</t>
        </is>
      </c>
      <c r="C1995" t="inlineStr">
        <is>
          <t>CENTRE</t>
        </is>
      </c>
      <c r="D1995" t="inlineStr">
        <is>
          <t>CAMUSAT</t>
        </is>
      </c>
      <c r="E1995" t="inlineStr">
        <is>
          <t>HGB</t>
        </is>
      </c>
      <c r="F1995" t="inlineStr">
        <is>
          <t>CENTRE</t>
        </is>
      </c>
      <c r="G1995" t="inlineStr">
        <is>
          <t>Koundou</t>
        </is>
      </c>
      <c r="H1995" t="inlineStr">
        <is>
          <t>ZTE</t>
        </is>
      </c>
      <c r="I1995" t="n">
        <v>0</v>
      </c>
      <c r="J1995" t="n">
        <v>0</v>
      </c>
      <c r="K1995" t="n">
        <v>0</v>
      </c>
      <c r="L1995" t="n">
        <v>0</v>
      </c>
      <c r="M1995" t="n">
        <v>0</v>
      </c>
      <c r="N1995" t="n">
        <v>0</v>
      </c>
      <c r="O1995" t="n">
        <v>0</v>
      </c>
      <c r="P1995" t="n">
        <v>0</v>
      </c>
      <c r="Q1995" t="n">
        <v>0</v>
      </c>
      <c r="R1995" t="inlineStr">
        <is>
          <t>Operationnel</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row>
    <row r="1996">
      <c r="A1996" t="inlineStr">
        <is>
          <t>Mvoutessi-MTN</t>
        </is>
      </c>
      <c r="B1996" t="inlineStr">
        <is>
          <t>SUD_237</t>
        </is>
      </c>
      <c r="C1996" t="inlineStr">
        <is>
          <t>CENTRE</t>
        </is>
      </c>
      <c r="D1996" t="inlineStr">
        <is>
          <t>IHS</t>
        </is>
      </c>
      <c r="E1996" t="inlineStr">
        <is>
          <t>Gen Only</t>
        </is>
      </c>
      <c r="F1996" t="inlineStr">
        <is>
          <t>SUD</t>
        </is>
      </c>
      <c r="G1996" t="inlineStr">
        <is>
          <t>Mvoutessi</t>
        </is>
      </c>
      <c r="H1996" t="inlineStr">
        <is>
          <t>ZTE</t>
        </is>
      </c>
      <c r="I1996" t="n">
        <v>0</v>
      </c>
      <c r="J1996" t="n">
        <v>0</v>
      </c>
      <c r="K1996" t="n">
        <v>0</v>
      </c>
      <c r="L1996" t="n">
        <v>0</v>
      </c>
      <c r="M1996" t="n">
        <v>0</v>
      </c>
      <c r="N1996" t="n">
        <v>0</v>
      </c>
      <c r="O1996" t="n">
        <v>0</v>
      </c>
      <c r="P1996" t="n">
        <v>0</v>
      </c>
      <c r="Q1996" t="n">
        <v>0</v>
      </c>
      <c r="R1996" t="inlineStr">
        <is>
          <t>Operationnel</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row>
    <row r="1997">
      <c r="A1997" t="inlineStr">
        <is>
          <t>Nkout</t>
        </is>
      </c>
      <c r="B1997" t="inlineStr">
        <is>
          <t>SUD_012</t>
        </is>
      </c>
      <c r="C1997" t="inlineStr">
        <is>
          <t>CENTRE</t>
        </is>
      </c>
      <c r="D1997" t="inlineStr">
        <is>
          <t>IHS</t>
        </is>
      </c>
      <c r="E1997" t="inlineStr">
        <is>
          <t>Grid-Gen</t>
        </is>
      </c>
      <c r="F1997" t="inlineStr">
        <is>
          <t>SUD</t>
        </is>
      </c>
      <c r="G1997" t="inlineStr">
        <is>
          <t>Nkout</t>
        </is>
      </c>
      <c r="H1997" t="inlineStr">
        <is>
          <t>ZTE</t>
        </is>
      </c>
      <c r="I1997" t="n">
        <v>0</v>
      </c>
      <c r="J1997" t="n">
        <v>0</v>
      </c>
      <c r="K1997" t="n">
        <v>0</v>
      </c>
      <c r="L1997" t="n">
        <v>0</v>
      </c>
      <c r="M1997" t="n">
        <v>0</v>
      </c>
      <c r="N1997" t="n">
        <v>0</v>
      </c>
      <c r="O1997" t="n">
        <v>0</v>
      </c>
      <c r="P1997" t="n">
        <v>0</v>
      </c>
      <c r="Q1997" t="n">
        <v>0</v>
      </c>
      <c r="R1997" t="inlineStr">
        <is>
          <t>Operationnel</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row>
    <row r="1998">
      <c r="A1998" t="inlineStr">
        <is>
          <t>Nguinda</t>
        </is>
      </c>
      <c r="B1998" t="inlineStr">
        <is>
          <t>CTR_353</t>
        </is>
      </c>
      <c r="C1998" t="inlineStr">
        <is>
          <t>CENTRE</t>
        </is>
      </c>
      <c r="D1998" t="inlineStr">
        <is>
          <t>IHS</t>
        </is>
      </c>
      <c r="E1998" t="inlineStr">
        <is>
          <t>Grid-Gen</t>
        </is>
      </c>
      <c r="F1998" t="inlineStr">
        <is>
          <t>CENTRE</t>
        </is>
      </c>
      <c r="G1998" t="inlineStr">
        <is>
          <t>Nguinda</t>
        </is>
      </c>
      <c r="H1998" t="inlineStr">
        <is>
          <t>ZTE</t>
        </is>
      </c>
      <c r="I1998" t="n">
        <v>0</v>
      </c>
      <c r="J1998" t="n">
        <v>0</v>
      </c>
      <c r="K1998" t="n">
        <v>0</v>
      </c>
      <c r="L1998" t="n">
        <v>0</v>
      </c>
      <c r="M1998" t="n">
        <v>0</v>
      </c>
      <c r="N1998" t="n">
        <v>0</v>
      </c>
      <c r="O1998" t="n">
        <v>0</v>
      </c>
      <c r="P1998" t="n">
        <v>0</v>
      </c>
      <c r="Q1998" t="n">
        <v>0</v>
      </c>
      <c r="R1998" t="inlineStr">
        <is>
          <t>Operationnel</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row>
    <row r="1999">
      <c r="A1999" t="inlineStr">
        <is>
          <t>Ayoumgong-MTN</t>
        </is>
      </c>
      <c r="B1999" t="inlineStr">
        <is>
          <t>CTR_349</t>
        </is>
      </c>
      <c r="C1999" t="inlineStr">
        <is>
          <t>CENTRE</t>
        </is>
      </c>
      <c r="D1999" t="inlineStr">
        <is>
          <t>IHS</t>
        </is>
      </c>
      <c r="E1999" t="inlineStr">
        <is>
          <t>Grid-Gen</t>
        </is>
      </c>
      <c r="F1999" t="inlineStr">
        <is>
          <t>CENTRE</t>
        </is>
      </c>
      <c r="G1999" t="inlineStr">
        <is>
          <t>Ayoumgong</t>
        </is>
      </c>
      <c r="H1999" t="inlineStr">
        <is>
          <t>ZTE</t>
        </is>
      </c>
      <c r="I1999" t="n">
        <v>0</v>
      </c>
      <c r="J1999" t="n">
        <v>0</v>
      </c>
      <c r="K1999" t="n">
        <v>0</v>
      </c>
      <c r="L1999" t="n">
        <v>0</v>
      </c>
      <c r="M1999" t="n">
        <v>0</v>
      </c>
      <c r="N1999" t="n">
        <v>0</v>
      </c>
      <c r="O1999" t="n">
        <v>0</v>
      </c>
      <c r="P1999" t="n">
        <v>0</v>
      </c>
      <c r="Q1999" t="n">
        <v>0</v>
      </c>
      <c r="R1999" t="inlineStr">
        <is>
          <t>Operationnel</t>
        </is>
      </c>
      <c r="S1999" t="inlineStr"/>
      <c r="T1999" t="inlineStr"/>
      <c r="U1999" t="inlineStr"/>
      <c r="V1999" t="inlineStr"/>
      <c r="W1999" t="inlineStr"/>
      <c r="X1999" t="inlineStr">
        <is>
          <t>{05/25/2026 cell zte}: 25/05/2026 : Need BO RAN analysis</t>
        </is>
      </c>
      <c r="Y1999" t="inlineStr">
        <is>
          <t>25/05/2026 Need BO RAN analysis</t>
        </is>
      </c>
      <c r="Z1999" t="inlineStr"/>
      <c r="AA1999" t="inlineStr"/>
      <c r="AB1999" t="inlineStr"/>
      <c r="AC1999" t="inlineStr"/>
      <c r="AD1999" t="inlineStr"/>
      <c r="AE1999" t="inlineStr"/>
      <c r="AF1999" t="inlineStr"/>
      <c r="AG1999" t="inlineStr"/>
      <c r="AH1999" t="inlineStr"/>
      <c r="AI1999" t="inlineStr"/>
      <c r="AJ1999" t="inlineStr">
        <is>
          <t>{05/25/2026 cell zte}: 25/05/2026 : Need BO RAN analysis</t>
        </is>
      </c>
      <c r="AK1999" t="inlineStr"/>
      <c r="AL1999" t="inlineStr"/>
      <c r="AM1999" t="inlineStr"/>
      <c r="AN1999" t="inlineStr"/>
      <c r="AO1999" t="inlineStr"/>
      <c r="AP1999" t="inlineStr"/>
      <c r="AQ1999" t="inlineStr"/>
      <c r="AR1999" t="inlineStr"/>
    </row>
    <row r="2000">
      <c r="A2000" t="inlineStr">
        <is>
          <t>Essa-Mintsang-IHS</t>
        </is>
      </c>
      <c r="B2000" t="inlineStr">
        <is>
          <t>CTR_147</t>
        </is>
      </c>
      <c r="C2000" t="inlineStr">
        <is>
          <t>CENTRE</t>
        </is>
      </c>
      <c r="D2000" t="inlineStr">
        <is>
          <t>IHS</t>
        </is>
      </c>
      <c r="E2000" t="inlineStr">
        <is>
          <t>Grid-Hybrid-Gen</t>
        </is>
      </c>
      <c r="F2000" t="inlineStr">
        <is>
          <t>CENTRE</t>
        </is>
      </c>
      <c r="G2000" t="inlineStr">
        <is>
          <t>Essa-Mintsang</t>
        </is>
      </c>
      <c r="H2000" t="inlineStr">
        <is>
          <t>ZTE</t>
        </is>
      </c>
      <c r="I2000" t="n">
        <v>0</v>
      </c>
      <c r="J2000" t="n">
        <v>0</v>
      </c>
      <c r="K2000" t="n">
        <v>0</v>
      </c>
      <c r="L2000" t="n">
        <v>0</v>
      </c>
      <c r="M2000" t="n">
        <v>0</v>
      </c>
      <c r="N2000" t="n">
        <v>0</v>
      </c>
      <c r="O2000" t="n">
        <v>0</v>
      </c>
      <c r="P2000" t="n">
        <v>0</v>
      </c>
      <c r="Q2000" t="n">
        <v>0</v>
      </c>
      <c r="R2000" t="inlineStr">
        <is>
          <t>Operationnel</t>
        </is>
      </c>
      <c r="S2000" t="inlineStr"/>
      <c r="T2000" t="inlineStr"/>
      <c r="U2000" t="inlineStr"/>
      <c r="V2000" t="inlineStr"/>
      <c r="W2000" t="inlineStr"/>
      <c r="X2000" t="inlineStr">
        <is>
          <t>{05/25/2026 cell zte}: 25/05/2026 : Need BO TX analysis</t>
        </is>
      </c>
      <c r="Y2000" t="inlineStr">
        <is>
          <t>25/05/2026 Need BO TX analysis</t>
        </is>
      </c>
      <c r="Z2000" t="inlineStr"/>
      <c r="AA2000" t="inlineStr"/>
      <c r="AB2000" t="inlineStr"/>
      <c r="AC2000" t="inlineStr"/>
      <c r="AD2000" t="inlineStr"/>
      <c r="AE2000" t="inlineStr"/>
      <c r="AF2000" t="inlineStr"/>
      <c r="AG2000" t="inlineStr"/>
      <c r="AH2000" t="inlineStr"/>
      <c r="AI2000" t="inlineStr"/>
      <c r="AJ2000" t="inlineStr"/>
      <c r="AK2000" t="inlineStr">
        <is>
          <t>{05/25/2026 cell zte}: 25/05/2026 : Need BO TX analysis</t>
        </is>
      </c>
      <c r="AL2000" t="inlineStr"/>
      <c r="AM2000" t="inlineStr"/>
      <c r="AN2000" t="inlineStr"/>
      <c r="AO2000" t="inlineStr"/>
      <c r="AP2000" t="inlineStr"/>
      <c r="AQ2000" t="inlineStr"/>
      <c r="AR2000" t="inlineStr"/>
    </row>
    <row r="2001">
      <c r="A2001" t="inlineStr">
        <is>
          <t>Nkototououtou</t>
        </is>
      </c>
      <c r="B2001" t="inlineStr">
        <is>
          <t>SUD_119</t>
        </is>
      </c>
      <c r="C2001" t="inlineStr">
        <is>
          <t>CENTRE</t>
        </is>
      </c>
      <c r="D2001" t="inlineStr">
        <is>
          <t>CAMUSAT</t>
        </is>
      </c>
      <c r="E2001" t="inlineStr">
        <is>
          <t>Hybrid Solar - S3</t>
        </is>
      </c>
      <c r="F2001" t="inlineStr">
        <is>
          <t>SUD</t>
        </is>
      </c>
      <c r="G2001" t="inlineStr">
        <is>
          <t>Sangmelima</t>
        </is>
      </c>
      <c r="H2001" t="inlineStr">
        <is>
          <t>ZTE</t>
        </is>
      </c>
      <c r="I2001" t="n">
        <v>0</v>
      </c>
      <c r="J2001" t="n">
        <v>0</v>
      </c>
      <c r="K2001" t="n">
        <v>0</v>
      </c>
      <c r="L2001" t="n">
        <v>0</v>
      </c>
      <c r="M2001" t="n">
        <v>0</v>
      </c>
      <c r="N2001" t="n">
        <v>0</v>
      </c>
      <c r="O2001" t="n">
        <v>0</v>
      </c>
      <c r="P2001" t="n">
        <v>0</v>
      </c>
      <c r="Q2001" t="n">
        <v>0</v>
      </c>
      <c r="R2001" t="inlineStr">
        <is>
          <t>Operationnel</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row>
    <row r="2002">
      <c r="A2002" t="inlineStr">
        <is>
          <t>Mekouda</t>
        </is>
      </c>
      <c r="B2002" t="inlineStr">
        <is>
          <t>CTR_146</t>
        </is>
      </c>
      <c r="C2002" t="inlineStr">
        <is>
          <t>CENTRE</t>
        </is>
      </c>
      <c r="D2002" t="inlineStr">
        <is>
          <t>IHS</t>
        </is>
      </c>
      <c r="E2002" t="inlineStr">
        <is>
          <t>Grid-Gen</t>
        </is>
      </c>
      <c r="F2002" t="inlineStr">
        <is>
          <t>CENTRE</t>
        </is>
      </c>
      <c r="G2002" t="inlineStr">
        <is>
          <t>Mekouda</t>
        </is>
      </c>
      <c r="H2002" t="inlineStr">
        <is>
          <t>ZTE</t>
        </is>
      </c>
      <c r="I2002" t="n">
        <v>0</v>
      </c>
      <c r="J2002" t="n">
        <v>0</v>
      </c>
      <c r="K2002" t="n">
        <v>0</v>
      </c>
      <c r="L2002" t="n">
        <v>0</v>
      </c>
      <c r="M2002" t="n">
        <v>0</v>
      </c>
      <c r="N2002" t="n">
        <v>0</v>
      </c>
      <c r="O2002" t="n">
        <v>0</v>
      </c>
      <c r="P2002" t="n">
        <v>0</v>
      </c>
      <c r="Q2002" t="n">
        <v>0</v>
      </c>
      <c r="R2002" t="inlineStr">
        <is>
          <t>Operationnel</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row>
    <row r="2003">
      <c r="A2003" t="inlineStr">
        <is>
          <t>Kamkop-IHS</t>
        </is>
      </c>
      <c r="B2003" t="inlineStr">
        <is>
          <t>OST_146</t>
        </is>
      </c>
      <c r="C2003" t="inlineStr">
        <is>
          <t>OUEST</t>
        </is>
      </c>
      <c r="D2003" t="inlineStr">
        <is>
          <t>IHS</t>
        </is>
      </c>
      <c r="E2003" t="inlineStr">
        <is>
          <t>Grid-Gen</t>
        </is>
      </c>
      <c r="F2003" t="inlineStr">
        <is>
          <t>OUEST</t>
        </is>
      </c>
      <c r="G2003" t="inlineStr">
        <is>
          <t>Kamkop</t>
        </is>
      </c>
      <c r="H2003" t="inlineStr">
        <is>
          <t>HUAWEI</t>
        </is>
      </c>
      <c r="I2003" t="n">
        <v>0</v>
      </c>
      <c r="J2003" t="n">
        <v>0</v>
      </c>
      <c r="K2003" t="n">
        <v>0</v>
      </c>
      <c r="L2003" t="n">
        <v>0</v>
      </c>
      <c r="M2003" t="n">
        <v>0</v>
      </c>
      <c r="N2003" t="n">
        <v>0</v>
      </c>
      <c r="O2003" t="n">
        <v>0</v>
      </c>
      <c r="P2003" t="n">
        <v>0</v>
      </c>
      <c r="Q2003" t="n">
        <v>0</v>
      </c>
      <c r="R2003" t="inlineStr">
        <is>
          <t>Operationnel</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row>
    <row r="2004">
      <c r="A2004" t="inlineStr">
        <is>
          <t>Kake</t>
        </is>
      </c>
      <c r="B2004" t="inlineStr">
        <is>
          <t>LIT_769</t>
        </is>
      </c>
      <c r="C2004" t="inlineStr">
        <is>
          <t>LITTORAL</t>
        </is>
      </c>
      <c r="D2004" t="inlineStr">
        <is>
          <t>CAMUSAT</t>
        </is>
      </c>
      <c r="E2004" t="inlineStr">
        <is>
          <t>Hybrid Solar - S3</t>
        </is>
      </c>
      <c r="F2004" t="inlineStr">
        <is>
          <t>LITTORAL</t>
        </is>
      </c>
      <c r="G2004" t="inlineStr">
        <is>
          <t>Kake</t>
        </is>
      </c>
      <c r="H2004" t="inlineStr">
        <is>
          <t>ZTE</t>
        </is>
      </c>
      <c r="I2004" t="n">
        <v>0</v>
      </c>
      <c r="J2004" t="n">
        <v>0</v>
      </c>
      <c r="K2004" t="n">
        <v>0</v>
      </c>
      <c r="L2004" t="n">
        <v>0</v>
      </c>
      <c r="M2004" t="n">
        <v>0</v>
      </c>
      <c r="N2004" t="n">
        <v>0</v>
      </c>
      <c r="O2004" t="n">
        <v>0</v>
      </c>
      <c r="P2004" t="n">
        <v>0</v>
      </c>
      <c r="Q2004" t="n">
        <v>0</v>
      </c>
      <c r="R2004" t="inlineStr">
        <is>
          <t>Operationnel</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row>
    <row r="2005">
      <c r="A2005" t="inlineStr">
        <is>
          <t>Mokom-IHS</t>
        </is>
      </c>
      <c r="B2005" t="inlineStr">
        <is>
          <t>SUD_113</t>
        </is>
      </c>
      <c r="C2005" t="inlineStr">
        <is>
          <t>CENTRE</t>
        </is>
      </c>
      <c r="D2005" t="inlineStr">
        <is>
          <t>IHS</t>
        </is>
      </c>
      <c r="E2005" t="inlineStr">
        <is>
          <t>Gen-Lithium</t>
        </is>
      </c>
      <c r="F2005" t="inlineStr">
        <is>
          <t>SUD</t>
        </is>
      </c>
      <c r="G2005" t="inlineStr">
        <is>
          <t>Mintom</t>
        </is>
      </c>
      <c r="H2005" t="inlineStr">
        <is>
          <t>ZTE</t>
        </is>
      </c>
      <c r="I2005" t="n">
        <v>0</v>
      </c>
      <c r="J2005" t="n">
        <v>0</v>
      </c>
      <c r="K2005" t="n">
        <v>0</v>
      </c>
      <c r="L2005" t="n">
        <v>0</v>
      </c>
      <c r="M2005" t="n">
        <v>0</v>
      </c>
      <c r="N2005" t="n">
        <v>0</v>
      </c>
      <c r="O2005" t="n">
        <v>0</v>
      </c>
      <c r="P2005" t="n">
        <v>0</v>
      </c>
      <c r="Q2005" t="n">
        <v>0</v>
      </c>
      <c r="R2005" t="inlineStr">
        <is>
          <t>Operationnel</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row>
    <row r="2006">
      <c r="A2006" t="inlineStr">
        <is>
          <t>Akom-Centre-Hill-IHS</t>
        </is>
      </c>
      <c r="B2006" t="inlineStr">
        <is>
          <t>SUD_112</t>
        </is>
      </c>
      <c r="C2006" t="inlineStr">
        <is>
          <t>CENTRE</t>
        </is>
      </c>
      <c r="D2006" t="inlineStr">
        <is>
          <t>IHS</t>
        </is>
      </c>
      <c r="E2006" t="inlineStr">
        <is>
          <t>Hybrid-Gen</t>
        </is>
      </c>
      <c r="F2006" t="inlineStr">
        <is>
          <t>SUD</t>
        </is>
      </c>
      <c r="G2006" t="inlineStr">
        <is>
          <t>Akom</t>
        </is>
      </c>
      <c r="H2006" t="inlineStr">
        <is>
          <t>ZTE</t>
        </is>
      </c>
      <c r="I2006" t="n">
        <v>0</v>
      </c>
      <c r="J2006" t="n">
        <v>0</v>
      </c>
      <c r="K2006" t="n">
        <v>0</v>
      </c>
      <c r="L2006" t="n">
        <v>0</v>
      </c>
      <c r="M2006" t="n">
        <v>0</v>
      </c>
      <c r="N2006" t="n">
        <v>0</v>
      </c>
      <c r="O2006" t="n">
        <v>0</v>
      </c>
      <c r="P2006" t="n">
        <v>0</v>
      </c>
      <c r="Q2006" t="n">
        <v>0</v>
      </c>
      <c r="R2006" t="inlineStr">
        <is>
          <t>Operationnel</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row>
    <row r="2007">
      <c r="A2007" t="inlineStr">
        <is>
          <t>Ndoungue</t>
        </is>
      </c>
      <c r="B2007" t="inlineStr">
        <is>
          <t>LIT_109</t>
        </is>
      </c>
      <c r="C2007" t="inlineStr">
        <is>
          <t>LITTORAL</t>
        </is>
      </c>
      <c r="D2007" t="inlineStr">
        <is>
          <t>IHS</t>
        </is>
      </c>
      <c r="E2007" t="inlineStr">
        <is>
          <t>Grid-Gen</t>
        </is>
      </c>
      <c r="F2007" t="inlineStr">
        <is>
          <t>LITTORAL</t>
        </is>
      </c>
      <c r="G2007" t="inlineStr">
        <is>
          <t>Ndoungue</t>
        </is>
      </c>
      <c r="H2007" t="inlineStr">
        <is>
          <t>ZTE</t>
        </is>
      </c>
      <c r="I2007" t="n">
        <v>0</v>
      </c>
      <c r="J2007" t="n">
        <v>0</v>
      </c>
      <c r="K2007" t="n">
        <v>0</v>
      </c>
      <c r="L2007" t="n">
        <v>0</v>
      </c>
      <c r="M2007" t="n">
        <v>0</v>
      </c>
      <c r="N2007" t="n">
        <v>0</v>
      </c>
      <c r="O2007" t="n">
        <v>0</v>
      </c>
      <c r="P2007" t="n">
        <v>0</v>
      </c>
      <c r="Q2007" t="n">
        <v>0</v>
      </c>
      <c r="R2007" t="inlineStr">
        <is>
          <t>Operationnel</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row>
    <row r="2008">
      <c r="A2008" t="inlineStr">
        <is>
          <t>Wasse</t>
        </is>
      </c>
      <c r="B2008" t="inlineStr">
        <is>
          <t>EST_153</t>
        </is>
      </c>
      <c r="C2008" t="inlineStr">
        <is>
          <t>CENTRE</t>
        </is>
      </c>
      <c r="D2008" t="inlineStr">
        <is>
          <t>ESCO</t>
        </is>
      </c>
      <c r="E2008" t="inlineStr">
        <is>
          <t>Hybrid Solar - S3</t>
        </is>
      </c>
      <c r="F2008" t="inlineStr">
        <is>
          <t>EST</t>
        </is>
      </c>
      <c r="G2008" t="inlineStr">
        <is>
          <t>Wasse</t>
        </is>
      </c>
      <c r="H2008" t="inlineStr">
        <is>
          <t>ZTE</t>
        </is>
      </c>
      <c r="I2008" t="n">
        <v>0</v>
      </c>
      <c r="J2008" t="n">
        <v>0</v>
      </c>
      <c r="K2008" t="n">
        <v>0</v>
      </c>
      <c r="L2008" t="n">
        <v>0</v>
      </c>
      <c r="M2008" t="n">
        <v>0</v>
      </c>
      <c r="N2008" t="n">
        <v>0</v>
      </c>
      <c r="O2008" t="n">
        <v>0</v>
      </c>
      <c r="P2008" t="n">
        <v>0</v>
      </c>
      <c r="Q2008" t="n">
        <v>0</v>
      </c>
      <c r="R2008" t="inlineStr">
        <is>
          <t>Operationnel</t>
        </is>
      </c>
      <c r="S2008" t="inlineStr"/>
      <c r="T2008" t="inlineStr"/>
      <c r="U2008" t="inlineStr"/>
      <c r="V2008" t="inlineStr"/>
      <c r="W2008" t="inlineStr"/>
      <c r="X2008" t="inlineStr">
        <is>
          <t>{05-25-2026 incident}: {05-18-2026 groupe whatsapp incident}: impacted by  Kenzou_U_EST_016 , Travaux planifier || Action : fin des travaux     ;    {05-25-2026 ocm ran 22H}: 25.05.26: BO TX analysis ongoing</t>
        </is>
      </c>
      <c r="Y2008" t="inlineStr">
        <is>
          <t>{05-25-2026 incident} {05-18-2026 groupe whatsapp incident} impacted by Kenzou_U_EST_016 , Travaux planifier || Action fin des travaux 25.05.26 BO TX analysis ongoing</t>
        </is>
      </c>
      <c r="Z2008" t="inlineStr"/>
      <c r="AA2008" t="inlineStr">
        <is>
          <t>{05-25-2026 incident}: {05-18-2026 groupe whatsapp incident}: impacted by  Kenzou_U_EST_016 , Travaux planifier || Action : fin des travaux</t>
        </is>
      </c>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{05-25-2026 ocm ran 22H}: 25.05.26: BO TX analysis ongoing</t>
        </is>
      </c>
      <c r="AP2008" t="inlineStr"/>
      <c r="AQ2008" t="inlineStr"/>
      <c r="AR2008" t="inlineStr"/>
    </row>
    <row r="2009">
      <c r="A2009" t="inlineStr">
        <is>
          <t>Paki-IHS</t>
        </is>
      </c>
      <c r="B2009" t="inlineStr">
        <is>
          <t>EST_155</t>
        </is>
      </c>
      <c r="C2009" t="inlineStr">
        <is>
          <t>CENTRE</t>
        </is>
      </c>
      <c r="D2009" t="inlineStr"/>
      <c r="E2009" t="inlineStr"/>
      <c r="F2009" t="inlineStr">
        <is>
          <t>EST</t>
        </is>
      </c>
      <c r="G2009" t="inlineStr">
        <is>
          <t>Doumé</t>
        </is>
      </c>
      <c r="H2009" t="inlineStr">
        <is>
          <t>ZTE</t>
        </is>
      </c>
      <c r="I2009" t="n">
        <v>0</v>
      </c>
      <c r="J2009" t="n">
        <v>0</v>
      </c>
      <c r="K2009" t="n">
        <v>0</v>
      </c>
      <c r="L2009" t="n">
        <v>0</v>
      </c>
      <c r="M2009" t="n">
        <v>0</v>
      </c>
      <c r="N2009" t="n">
        <v>0</v>
      </c>
      <c r="O2009" t="n">
        <v>0</v>
      </c>
      <c r="P2009" t="n">
        <v>0</v>
      </c>
      <c r="Q2009" t="n">
        <v>0</v>
      </c>
      <c r="R2009" t="inlineStr">
        <is>
          <t>Operationnel</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row>
    <row r="2010">
      <c r="A2010" t="inlineStr">
        <is>
          <t>Nintyaminyoumin</t>
        </is>
      </c>
      <c r="B2010" t="inlineStr">
        <is>
          <t>SUD_130</t>
        </is>
      </c>
      <c r="C2010" t="inlineStr">
        <is>
          <t>CENTRE</t>
        </is>
      </c>
      <c r="D2010" t="inlineStr"/>
      <c r="E2010" t="inlineStr"/>
      <c r="F2010" t="inlineStr">
        <is>
          <t>SUD</t>
        </is>
      </c>
      <c r="G2010" t="inlineStr">
        <is>
          <t>Sangmelima</t>
        </is>
      </c>
      <c r="H2010" t="inlineStr">
        <is>
          <t>ZTE</t>
        </is>
      </c>
      <c r="I2010" t="n">
        <v>0</v>
      </c>
      <c r="J2010" t="n">
        <v>0</v>
      </c>
      <c r="K2010" t="n">
        <v>0</v>
      </c>
      <c r="L2010" t="n">
        <v>0</v>
      </c>
      <c r="M2010" t="n">
        <v>0</v>
      </c>
      <c r="N2010" t="n">
        <v>0</v>
      </c>
      <c r="O2010" t="n">
        <v>0</v>
      </c>
      <c r="P2010" t="n">
        <v>0</v>
      </c>
      <c r="Q2010" t="n">
        <v>0</v>
      </c>
      <c r="R2010" t="inlineStr">
        <is>
          <t>Operationnel</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row>
    <row r="2011">
      <c r="A2011" t="inlineStr">
        <is>
          <t>Loum-RoundAbout</t>
        </is>
      </c>
      <c r="B2011" t="inlineStr">
        <is>
          <t>LIT_768</t>
        </is>
      </c>
      <c r="C2011" t="inlineStr">
        <is>
          <t>LITTORAL</t>
        </is>
      </c>
      <c r="D2011" t="inlineStr">
        <is>
          <t>MTN sharing</t>
        </is>
      </c>
      <c r="E2011" t="inlineStr"/>
      <c r="F2011" t="inlineStr">
        <is>
          <t>LITTORAL</t>
        </is>
      </c>
      <c r="G2011" t="inlineStr">
        <is>
          <t>Loum</t>
        </is>
      </c>
      <c r="H2011" t="inlineStr">
        <is>
          <t>ZTE</t>
        </is>
      </c>
      <c r="I2011" t="n">
        <v>0</v>
      </c>
      <c r="J2011" t="n">
        <v>0</v>
      </c>
      <c r="K2011" t="n">
        <v>0</v>
      </c>
      <c r="L2011" t="n">
        <v>0</v>
      </c>
      <c r="M2011" t="n">
        <v>0</v>
      </c>
      <c r="N2011" t="n">
        <v>0</v>
      </c>
      <c r="O2011" t="n">
        <v>0</v>
      </c>
      <c r="P2011" t="n">
        <v>0</v>
      </c>
      <c r="Q2011" t="n">
        <v>0</v>
      </c>
      <c r="R2011" t="inlineStr">
        <is>
          <t>Operationnel</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row>
    <row r="2012">
      <c r="A2012" t="inlineStr">
        <is>
          <t>Ouro-Be-IHS</t>
        </is>
      </c>
      <c r="B2012" t="inlineStr">
        <is>
          <t>NRD_124</t>
        </is>
      </c>
      <c r="C2012" t="inlineStr">
        <is>
          <t>NORD</t>
        </is>
      </c>
      <c r="D2012" t="inlineStr">
        <is>
          <t>IHS</t>
        </is>
      </c>
      <c r="E2012" t="inlineStr">
        <is>
          <t>Grid-Hybrid-Gen</t>
        </is>
      </c>
      <c r="F2012" t="inlineStr">
        <is>
          <t>NORD</t>
        </is>
      </c>
      <c r="G2012" t="inlineStr">
        <is>
          <t>Ouro-Be</t>
        </is>
      </c>
      <c r="H2012" t="inlineStr">
        <is>
          <t>HUAWEI</t>
        </is>
      </c>
      <c r="I2012" t="n">
        <v>0</v>
      </c>
      <c r="J2012" t="n">
        <v>0</v>
      </c>
      <c r="K2012" t="n">
        <v>0</v>
      </c>
      <c r="L2012" t="n">
        <v>0</v>
      </c>
      <c r="M2012" t="n">
        <v>0</v>
      </c>
      <c r="N2012" t="n">
        <v>0</v>
      </c>
      <c r="O2012" t="n">
        <v>0</v>
      </c>
      <c r="P2012" t="n">
        <v>0</v>
      </c>
      <c r="Q2012" t="n">
        <v>0</v>
      </c>
      <c r="R2012" t="inlineStr">
        <is>
          <t>Operationnel</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row>
    <row r="2013">
      <c r="A2013" t="inlineStr">
        <is>
          <t>Petit-Zambi</t>
        </is>
      </c>
      <c r="B2013" t="inlineStr">
        <is>
          <t>SUD_135</t>
        </is>
      </c>
      <c r="C2013" t="inlineStr">
        <is>
          <t>CENTRE</t>
        </is>
      </c>
      <c r="D2013" t="inlineStr">
        <is>
          <t>CAMUSAT</t>
        </is>
      </c>
      <c r="E2013" t="inlineStr">
        <is>
          <t>Hybrid Solar - S3</t>
        </is>
      </c>
      <c r="F2013" t="inlineStr">
        <is>
          <t>SUD</t>
        </is>
      </c>
      <c r="G2013" t="inlineStr">
        <is>
          <t>Bipindi</t>
        </is>
      </c>
      <c r="H2013" t="inlineStr">
        <is>
          <t>ZTE</t>
        </is>
      </c>
      <c r="I2013" t="n">
        <v>0</v>
      </c>
      <c r="J2013" t="n">
        <v>0</v>
      </c>
      <c r="K2013" t="n">
        <v>0</v>
      </c>
      <c r="L2013" t="n">
        <v>0</v>
      </c>
      <c r="M2013" t="n">
        <v>0</v>
      </c>
      <c r="N2013" t="n">
        <v>0</v>
      </c>
      <c r="O2013" t="n">
        <v>0</v>
      </c>
      <c r="P2013" t="n">
        <v>0</v>
      </c>
      <c r="Q2013" t="n">
        <v>0</v>
      </c>
      <c r="R2013" t="inlineStr">
        <is>
          <t>Operationnel</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row>
    <row r="2014">
      <c r="A2014" t="inlineStr">
        <is>
          <t>Campo-Maan</t>
        </is>
      </c>
      <c r="B2014" t="inlineStr">
        <is>
          <t>SUD_085</t>
        </is>
      </c>
      <c r="C2014" t="inlineStr">
        <is>
          <t>CENTRE</t>
        </is>
      </c>
      <c r="D2014" t="inlineStr">
        <is>
          <t>CAMUSAT</t>
        </is>
      </c>
      <c r="E2014" t="inlineStr">
        <is>
          <t>Hybrid Solar - S3</t>
        </is>
      </c>
      <c r="F2014" t="inlineStr">
        <is>
          <t>SUD</t>
        </is>
      </c>
      <c r="G2014" t="inlineStr">
        <is>
          <t>Campo</t>
        </is>
      </c>
      <c r="H2014" t="inlineStr">
        <is>
          <t>NOKIA</t>
        </is>
      </c>
      <c r="I2014" t="n">
        <v>0</v>
      </c>
      <c r="J2014" t="n">
        <v>0</v>
      </c>
      <c r="K2014" t="n">
        <v>0</v>
      </c>
      <c r="L2014" t="n">
        <v>0</v>
      </c>
      <c r="M2014" t="n">
        <v>0</v>
      </c>
      <c r="N2014" t="n">
        <v>0</v>
      </c>
      <c r="O2014" t="n">
        <v>0</v>
      </c>
      <c r="P2014" t="n">
        <v>0</v>
      </c>
      <c r="Q2014" t="n">
        <v>0</v>
      </c>
      <c r="R2014" t="inlineStr">
        <is>
          <t>Operationnel</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row>
    <row r="2015">
      <c r="A2015" t="inlineStr">
        <is>
          <t>Bato</t>
        </is>
      </c>
      <c r="B2015" t="inlineStr">
        <is>
          <t>OST_273</t>
        </is>
      </c>
      <c r="C2015" t="inlineStr">
        <is>
          <t>OUEST</t>
        </is>
      </c>
      <c r="D2015" t="inlineStr">
        <is>
          <t>CAMUSAT</t>
        </is>
      </c>
      <c r="E2015" t="inlineStr">
        <is>
          <t>Bad Grid + GE</t>
        </is>
      </c>
      <c r="F2015" t="inlineStr">
        <is>
          <t>OUEST</t>
        </is>
      </c>
      <c r="G2015" t="inlineStr">
        <is>
          <t>Bato</t>
        </is>
      </c>
      <c r="H2015" t="inlineStr">
        <is>
          <t>HUAWEI</t>
        </is>
      </c>
      <c r="I2015" t="n">
        <v>0</v>
      </c>
      <c r="J2015" t="n">
        <v>0</v>
      </c>
      <c r="K2015" t="n">
        <v>0</v>
      </c>
      <c r="L2015" t="n">
        <v>0</v>
      </c>
      <c r="M2015" t="n">
        <v>0</v>
      </c>
      <c r="N2015" t="n">
        <v>0</v>
      </c>
      <c r="O2015" t="n">
        <v>0</v>
      </c>
      <c r="P2015" t="n">
        <v>0</v>
      </c>
      <c r="Q2015" t="n">
        <v>0</v>
      </c>
      <c r="R2015" t="inlineStr">
        <is>
          <t>Operationnel</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row>
    <row r="2016">
      <c r="A2016" t="inlineStr">
        <is>
          <t>Ambam-FH</t>
        </is>
      </c>
      <c r="B2016" t="inlineStr">
        <is>
          <t>SUD_020</t>
        </is>
      </c>
      <c r="C2016" t="inlineStr">
        <is>
          <t>CENTRE</t>
        </is>
      </c>
      <c r="D2016" t="inlineStr">
        <is>
          <t>IHS</t>
        </is>
      </c>
      <c r="E2016" t="inlineStr">
        <is>
          <t>Solar-Gen</t>
        </is>
      </c>
      <c r="F2016" t="inlineStr">
        <is>
          <t>SUD</t>
        </is>
      </c>
      <c r="G2016" t="inlineStr">
        <is>
          <t>Ambam</t>
        </is>
      </c>
      <c r="H2016" t="inlineStr">
        <is>
          <t>ZTE</t>
        </is>
      </c>
      <c r="I2016" t="n">
        <v>0</v>
      </c>
      <c r="J2016" t="n">
        <v>0</v>
      </c>
      <c r="K2016" t="n">
        <v>0</v>
      </c>
      <c r="L2016" t="n">
        <v>0</v>
      </c>
      <c r="M2016" t="n">
        <v>0</v>
      </c>
      <c r="N2016" t="n">
        <v>0</v>
      </c>
      <c r="O2016" t="n">
        <v>0</v>
      </c>
      <c r="P2016" t="n">
        <v>0</v>
      </c>
      <c r="Q2016" t="n">
        <v>0</v>
      </c>
      <c r="R2016" t="inlineStr">
        <is>
          <t>Operationnel</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row>
    <row r="2017">
      <c r="A2017" t="inlineStr">
        <is>
          <t>Ntui</t>
        </is>
      </c>
      <c r="B2017" t="inlineStr">
        <is>
          <t>CTR_114</t>
        </is>
      </c>
      <c r="C2017" t="inlineStr">
        <is>
          <t>CENTRE</t>
        </is>
      </c>
      <c r="D2017" t="inlineStr">
        <is>
          <t>CAMUSAT</t>
        </is>
      </c>
      <c r="E2017" t="inlineStr">
        <is>
          <t>Medium Grid + Solar + GE</t>
        </is>
      </c>
      <c r="F2017" t="inlineStr">
        <is>
          <t>CENTRE</t>
        </is>
      </c>
      <c r="G2017" t="inlineStr">
        <is>
          <t>Ntui</t>
        </is>
      </c>
      <c r="H2017" t="inlineStr">
        <is>
          <t>ZTE</t>
        </is>
      </c>
      <c r="I2017" t="n">
        <v>0</v>
      </c>
      <c r="J2017" t="n">
        <v>0</v>
      </c>
      <c r="K2017" t="n">
        <v>0</v>
      </c>
      <c r="L2017" t="n">
        <v>0</v>
      </c>
      <c r="M2017" t="n">
        <v>0</v>
      </c>
      <c r="N2017" t="n">
        <v>0</v>
      </c>
      <c r="O2017" t="n">
        <v>0</v>
      </c>
      <c r="P2017" t="n">
        <v>0</v>
      </c>
      <c r="Q2017" t="n">
        <v>0</v>
      </c>
      <c r="R2017" t="inlineStr">
        <is>
          <t>Operationnel</t>
        </is>
      </c>
      <c r="S2017" t="inlineStr"/>
      <c r="T2017" t="inlineStr"/>
      <c r="U2017" t="inlineStr"/>
      <c r="V2017" t="inlineStr"/>
      <c r="W2017" t="inlineStr"/>
      <c r="X201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01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017" t="inlineStr"/>
      <c r="AA2017"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row>
    <row r="2018">
      <c r="A2018" t="inlineStr">
        <is>
          <t>Figuil</t>
        </is>
      </c>
      <c r="B2018" t="inlineStr">
        <is>
          <t>NRD_005</t>
        </is>
      </c>
      <c r="C2018" t="inlineStr">
        <is>
          <t>NORD</t>
        </is>
      </c>
      <c r="D2018" t="inlineStr">
        <is>
          <t>IHS</t>
        </is>
      </c>
      <c r="E2018" t="inlineStr">
        <is>
          <t>Grid Only</t>
        </is>
      </c>
      <c r="F2018" t="inlineStr">
        <is>
          <t>NORD</t>
        </is>
      </c>
      <c r="G2018" t="inlineStr">
        <is>
          <t>Figuil</t>
        </is>
      </c>
      <c r="H2018" t="inlineStr">
        <is>
          <t>HUAWEI</t>
        </is>
      </c>
      <c r="I2018" t="n">
        <v>0</v>
      </c>
      <c r="J2018" t="n">
        <v>0</v>
      </c>
      <c r="K2018" t="n">
        <v>0</v>
      </c>
      <c r="L2018" t="n">
        <v>0</v>
      </c>
      <c r="M2018" t="n">
        <v>0</v>
      </c>
      <c r="N2018" t="n">
        <v>0</v>
      </c>
      <c r="O2018" t="n">
        <v>0</v>
      </c>
      <c r="P2018" t="n">
        <v>0</v>
      </c>
      <c r="Q2018" t="n">
        <v>0</v>
      </c>
      <c r="R2018" t="inlineStr">
        <is>
          <t>Operationnel</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row>
    <row r="2019">
      <c r="A2019" t="inlineStr">
        <is>
          <t>Lagdo-MTN-IHS</t>
        </is>
      </c>
      <c r="B2019" t="inlineStr">
        <is>
          <t>NRD_090</t>
        </is>
      </c>
      <c r="C2019" t="inlineStr">
        <is>
          <t>NORD</t>
        </is>
      </c>
      <c r="D2019" t="inlineStr">
        <is>
          <t>IHS</t>
        </is>
      </c>
      <c r="E2019" t="inlineStr">
        <is>
          <t>Grid Only</t>
        </is>
      </c>
      <c r="F2019" t="inlineStr">
        <is>
          <t>NORD</t>
        </is>
      </c>
      <c r="G2019" t="inlineStr">
        <is>
          <t>Lagdo</t>
        </is>
      </c>
      <c r="H2019" t="inlineStr">
        <is>
          <t>HUAWEI</t>
        </is>
      </c>
      <c r="I2019" t="n">
        <v>0</v>
      </c>
      <c r="J2019" t="n">
        <v>0</v>
      </c>
      <c r="K2019" t="n">
        <v>0</v>
      </c>
      <c r="L2019" t="n">
        <v>0</v>
      </c>
      <c r="M2019" t="n">
        <v>0</v>
      </c>
      <c r="N2019" t="n">
        <v>0</v>
      </c>
      <c r="O2019" t="n">
        <v>0</v>
      </c>
      <c r="P2019" t="n">
        <v>0</v>
      </c>
      <c r="Q2019" t="n">
        <v>0</v>
      </c>
      <c r="R2019" t="inlineStr">
        <is>
          <t>Operationnel</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row>
    <row r="2020">
      <c r="A2020" t="inlineStr">
        <is>
          <t>Crf-Figuil</t>
        </is>
      </c>
      <c r="B2020" t="inlineStr">
        <is>
          <t>NRD_074</t>
        </is>
      </c>
      <c r="C2020" t="inlineStr">
        <is>
          <t>NORD</t>
        </is>
      </c>
      <c r="D2020" t="inlineStr">
        <is>
          <t>IHS</t>
        </is>
      </c>
      <c r="E2020" t="inlineStr">
        <is>
          <t>Grid-Gen</t>
        </is>
      </c>
      <c r="F2020" t="inlineStr">
        <is>
          <t>NORD</t>
        </is>
      </c>
      <c r="G2020" t="inlineStr">
        <is>
          <t>Figuil</t>
        </is>
      </c>
      <c r="H2020" t="inlineStr">
        <is>
          <t>HUAWEI</t>
        </is>
      </c>
      <c r="I2020" t="n">
        <v>0</v>
      </c>
      <c r="J2020" t="n">
        <v>0</v>
      </c>
      <c r="K2020" t="n">
        <v>0</v>
      </c>
      <c r="L2020" t="n">
        <v>0</v>
      </c>
      <c r="M2020" t="n">
        <v>0</v>
      </c>
      <c r="N2020" t="n">
        <v>0</v>
      </c>
      <c r="O2020" t="n">
        <v>0</v>
      </c>
      <c r="P2020" t="n">
        <v>0</v>
      </c>
      <c r="Q2020" t="n">
        <v>0</v>
      </c>
      <c r="R2020" t="inlineStr">
        <is>
          <t>Operationnel</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row>
    <row r="2021">
      <c r="A2021" t="inlineStr">
        <is>
          <t>Bamena</t>
        </is>
      </c>
      <c r="B2021" t="inlineStr">
        <is>
          <t>OST_260</t>
        </is>
      </c>
      <c r="C2021" t="inlineStr">
        <is>
          <t>OUEST</t>
        </is>
      </c>
      <c r="D2021" t="inlineStr">
        <is>
          <t>CAMUSAT</t>
        </is>
      </c>
      <c r="E2021" t="inlineStr">
        <is>
          <t>HGB</t>
        </is>
      </c>
      <c r="F2021" t="inlineStr">
        <is>
          <t>OUEST</t>
        </is>
      </c>
      <c r="G2021" t="inlineStr">
        <is>
          <t>Bamena</t>
        </is>
      </c>
      <c r="H2021" t="inlineStr">
        <is>
          <t>HUAWEI</t>
        </is>
      </c>
      <c r="I2021" t="n">
        <v>0</v>
      </c>
      <c r="J2021" t="n">
        <v>0</v>
      </c>
      <c r="K2021" t="n">
        <v>0</v>
      </c>
      <c r="L2021" t="n">
        <v>0</v>
      </c>
      <c r="M2021" t="n">
        <v>0</v>
      </c>
      <c r="N2021" t="n">
        <v>0</v>
      </c>
      <c r="O2021" t="n">
        <v>0</v>
      </c>
      <c r="P2021" t="n">
        <v>0</v>
      </c>
      <c r="Q2021" t="n">
        <v>0</v>
      </c>
      <c r="R2021" t="inlineStr">
        <is>
          <t>Operationnel</t>
        </is>
      </c>
      <c r="S2021" t="inlineStr"/>
      <c r="T2021" t="inlineStr"/>
      <c r="U2021" t="inlineStr"/>
      <c r="V2021" t="inlineStr"/>
      <c r="W2021" t="inlineStr"/>
      <c r="X2021" t="inlineStr">
        <is>
          <t>{05-25-2026 incident}:  {05-18-2026 groupe whatsapp incident}: impacted by   OST_033_H_Batchingou  ,Adeterminer sans action     ;    {05-25-2026 ocm ran 22H}: P2 Incident at OST_033_H_Batchingou; TX issue, Hammer     ;    {05-25-2026 ocm ran 17H}: Power status check Ongoing</t>
        </is>
      </c>
      <c r="Y2021" t="inlineStr">
        <is>
          <t>{05-25-2026 incident} {05-18-2026 groupe whatsapp incident} impacted by OST_033_H_Batchingou ,Adeterminer sans action P2 Incident at OST_033_H_Batchingou; TX issue, Hammer</t>
        </is>
      </c>
      <c r="Z2021" t="inlineStr"/>
      <c r="AA2021" t="inlineStr">
        <is>
          <t>{05-25-2026 incident}:  {05-18-2026 groupe whatsapp incident}: impacted by   OST_033_H_Batchingou  ,Adeterminer sans action</t>
        </is>
      </c>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{05-25-2026 ocm ran 22H}: P2 Incident at OST_033_H_Batchingou; TX issue, Hammer</t>
        </is>
      </c>
      <c r="AP2021" t="inlineStr">
        <is>
          <t>{05-25-2026 ocm ran 17H}: Power status check Ongoing</t>
        </is>
      </c>
      <c r="AQ2021" t="inlineStr"/>
      <c r="AR2021" t="inlineStr"/>
    </row>
    <row r="2022">
      <c r="A2022" t="inlineStr">
        <is>
          <t>Padarme-IHS</t>
        </is>
      </c>
      <c r="B2022" t="inlineStr">
        <is>
          <t>NRD_164</t>
        </is>
      </c>
      <c r="C2022" t="inlineStr">
        <is>
          <t>NORD</t>
        </is>
      </c>
      <c r="D2022" t="inlineStr">
        <is>
          <t>IHS</t>
        </is>
      </c>
      <c r="E2022" t="inlineStr">
        <is>
          <t>Hybrid-Gen</t>
        </is>
      </c>
      <c r="F2022" t="inlineStr">
        <is>
          <t>NORD</t>
        </is>
      </c>
      <c r="G2022" t="inlineStr">
        <is>
          <t>Padarme</t>
        </is>
      </c>
      <c r="H2022" t="inlineStr">
        <is>
          <t>HUAWEI</t>
        </is>
      </c>
      <c r="I2022" t="n">
        <v>0</v>
      </c>
      <c r="J2022" t="n">
        <v>0</v>
      </c>
      <c r="K2022" t="n">
        <v>0</v>
      </c>
      <c r="L2022" t="n">
        <v>0</v>
      </c>
      <c r="M2022" t="n">
        <v>0</v>
      </c>
      <c r="N2022" t="n">
        <v>0</v>
      </c>
      <c r="O2022" t="n">
        <v>0</v>
      </c>
      <c r="P2022" t="n">
        <v>0</v>
      </c>
      <c r="Q2022" t="n">
        <v>0</v>
      </c>
      <c r="R2022" t="inlineStr">
        <is>
          <t>Operationnel</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row>
    <row r="2023">
      <c r="A2023" t="inlineStr">
        <is>
          <t>Ndokoa-IHS</t>
        </is>
      </c>
      <c r="B2023" t="inlineStr">
        <is>
          <t>CTR_757</t>
        </is>
      </c>
      <c r="C2023" t="inlineStr">
        <is>
          <t>CENTRE</t>
        </is>
      </c>
      <c r="D2023" t="inlineStr">
        <is>
          <t>IHS</t>
        </is>
      </c>
      <c r="E2023" t="inlineStr">
        <is>
          <t>Solar-Gen-Lithium</t>
        </is>
      </c>
      <c r="F2023" t="inlineStr">
        <is>
          <t>CENTRE</t>
        </is>
      </c>
      <c r="G2023" t="inlineStr">
        <is>
          <t>Ndokoa</t>
        </is>
      </c>
      <c r="H2023" t="inlineStr">
        <is>
          <t>ZTE</t>
        </is>
      </c>
      <c r="I2023" t="n">
        <v>0</v>
      </c>
      <c r="J2023" t="n">
        <v>0</v>
      </c>
      <c r="K2023" t="n">
        <v>0</v>
      </c>
      <c r="L2023" t="n">
        <v>0</v>
      </c>
      <c r="M2023" t="n">
        <v>0</v>
      </c>
      <c r="N2023" t="n">
        <v>0</v>
      </c>
      <c r="O2023" t="n">
        <v>0</v>
      </c>
      <c r="P2023" t="n">
        <v>0</v>
      </c>
      <c r="Q2023" t="n">
        <v>0</v>
      </c>
      <c r="R2023" t="inlineStr">
        <is>
          <t>Operationnel</t>
        </is>
      </c>
      <c r="S2023" t="inlineStr"/>
      <c r="T2023" t="inlineStr"/>
      <c r="U2023" t="inlineStr"/>
      <c r="V2023" t="inlineStr"/>
      <c r="W2023" t="inlineStr"/>
      <c r="X202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02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023" t="inlineStr"/>
      <c r="AA202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row>
    <row r="2024">
      <c r="A2024" t="inlineStr">
        <is>
          <t>Bibemi</t>
        </is>
      </c>
      <c r="B2024" t="inlineStr">
        <is>
          <t>NRD_021</t>
        </is>
      </c>
      <c r="C2024" t="inlineStr">
        <is>
          <t>NORD</t>
        </is>
      </c>
      <c r="D2024" t="inlineStr">
        <is>
          <t>IHS</t>
        </is>
      </c>
      <c r="E2024" t="inlineStr">
        <is>
          <t>Solar-Grid-Gen</t>
        </is>
      </c>
      <c r="F2024" t="inlineStr">
        <is>
          <t>NORD</t>
        </is>
      </c>
      <c r="G2024" t="inlineStr">
        <is>
          <t>Bibemi</t>
        </is>
      </c>
      <c r="H2024" t="inlineStr">
        <is>
          <t>HUAWEI</t>
        </is>
      </c>
      <c r="I2024" t="n">
        <v>0</v>
      </c>
      <c r="J2024" t="n">
        <v>0</v>
      </c>
      <c r="K2024" t="n">
        <v>0</v>
      </c>
      <c r="L2024" t="n">
        <v>0</v>
      </c>
      <c r="M2024" t="n">
        <v>0</v>
      </c>
      <c r="N2024" t="n">
        <v>0</v>
      </c>
      <c r="O2024" t="n">
        <v>0</v>
      </c>
      <c r="P2024" t="n">
        <v>0</v>
      </c>
      <c r="Q2024" t="n">
        <v>0</v>
      </c>
      <c r="R2024" t="inlineStr">
        <is>
          <t>Operationnel</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row>
    <row r="2025">
      <c r="A2025" t="inlineStr">
        <is>
          <t>Boula-Ibi-IHS</t>
        </is>
      </c>
      <c r="B2025" t="inlineStr">
        <is>
          <t>NRD_105</t>
        </is>
      </c>
      <c r="C2025" t="inlineStr">
        <is>
          <t>NORD</t>
        </is>
      </c>
      <c r="D2025" t="inlineStr">
        <is>
          <t>IHS</t>
        </is>
      </c>
      <c r="E2025" t="inlineStr">
        <is>
          <t>Hybrid-Gen</t>
        </is>
      </c>
      <c r="F2025" t="inlineStr">
        <is>
          <t>NORD</t>
        </is>
      </c>
      <c r="G2025" t="inlineStr">
        <is>
          <t>Boula-Ibi</t>
        </is>
      </c>
      <c r="H2025" t="inlineStr">
        <is>
          <t>HUAWEI</t>
        </is>
      </c>
      <c r="I2025" t="n">
        <v>0</v>
      </c>
      <c r="J2025" t="n">
        <v>0</v>
      </c>
      <c r="K2025" t="n">
        <v>0</v>
      </c>
      <c r="L2025" t="n">
        <v>0</v>
      </c>
      <c r="M2025" t="n">
        <v>0</v>
      </c>
      <c r="N2025" t="n">
        <v>0</v>
      </c>
      <c r="O2025" t="n">
        <v>0</v>
      </c>
      <c r="P2025" t="n">
        <v>0</v>
      </c>
      <c r="Q2025" t="n">
        <v>0</v>
      </c>
      <c r="R2025" t="inlineStr">
        <is>
          <t>Operationnel</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row>
    <row r="2026">
      <c r="A2026" t="inlineStr">
        <is>
          <t>Adoumri-Houla-IHS</t>
        </is>
      </c>
      <c r="B2026" t="inlineStr">
        <is>
          <t>NRD_126</t>
        </is>
      </c>
      <c r="C2026" t="inlineStr">
        <is>
          <t>NORD</t>
        </is>
      </c>
      <c r="D2026" t="inlineStr">
        <is>
          <t>IHS</t>
        </is>
      </c>
      <c r="E2026" t="inlineStr">
        <is>
          <t>Grid-Gen</t>
        </is>
      </c>
      <c r="F2026" t="inlineStr">
        <is>
          <t>NORD</t>
        </is>
      </c>
      <c r="G2026" t="inlineStr">
        <is>
          <t>Adoumri</t>
        </is>
      </c>
      <c r="H2026" t="inlineStr">
        <is>
          <t>HUAWEI</t>
        </is>
      </c>
      <c r="I2026" t="n">
        <v>0</v>
      </c>
      <c r="J2026" t="n">
        <v>0</v>
      </c>
      <c r="K2026" t="n">
        <v>0</v>
      </c>
      <c r="L2026" t="n">
        <v>0</v>
      </c>
      <c r="M2026" t="n">
        <v>0</v>
      </c>
      <c r="N2026" t="n">
        <v>0</v>
      </c>
      <c r="O2026" t="n">
        <v>0</v>
      </c>
      <c r="P2026" t="n">
        <v>0</v>
      </c>
      <c r="Q2026" t="n">
        <v>0</v>
      </c>
      <c r="R2026" t="inlineStr">
        <is>
          <t>Operationnel</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row>
    <row r="2027">
      <c r="A2027" t="inlineStr">
        <is>
          <t>Poli-New</t>
        </is>
      </c>
      <c r="B2027" t="inlineStr">
        <is>
          <t>ADM_152</t>
        </is>
      </c>
      <c r="C2027" t="inlineStr">
        <is>
          <t>ADAMAOUA</t>
        </is>
      </c>
      <c r="D2027" t="inlineStr">
        <is>
          <t>IHS</t>
        </is>
      </c>
      <c r="E2027" t="inlineStr">
        <is>
          <t>Hybrid-Gen</t>
        </is>
      </c>
      <c r="F2027" t="inlineStr">
        <is>
          <t>ADAMAOUA</t>
        </is>
      </c>
      <c r="G2027" t="inlineStr">
        <is>
          <t>Poli</t>
        </is>
      </c>
      <c r="H2027" t="inlineStr">
        <is>
          <t>HUAWEI</t>
        </is>
      </c>
      <c r="I2027" t="n">
        <v>0</v>
      </c>
      <c r="J2027" t="n">
        <v>0</v>
      </c>
      <c r="K2027" t="n">
        <v>0</v>
      </c>
      <c r="L2027" t="n">
        <v>0</v>
      </c>
      <c r="M2027" t="n">
        <v>0</v>
      </c>
      <c r="N2027" t="n">
        <v>0</v>
      </c>
      <c r="O2027" t="n">
        <v>0</v>
      </c>
      <c r="P2027" t="n">
        <v>0</v>
      </c>
      <c r="Q2027" t="n">
        <v>0</v>
      </c>
      <c r="R2027" t="inlineStr">
        <is>
          <t>Operationnel</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row>
    <row r="2028">
      <c r="A2028" t="inlineStr">
        <is>
          <t>Badjouma</t>
        </is>
      </c>
      <c r="B2028" t="inlineStr">
        <is>
          <t>NRD_026</t>
        </is>
      </c>
      <c r="C2028" t="inlineStr">
        <is>
          <t>NORD</t>
        </is>
      </c>
      <c r="D2028" t="inlineStr">
        <is>
          <t>IHS</t>
        </is>
      </c>
      <c r="E2028" t="inlineStr">
        <is>
          <t>Solar-Gen</t>
        </is>
      </c>
      <c r="F2028" t="inlineStr">
        <is>
          <t>NORD</t>
        </is>
      </c>
      <c r="G2028" t="inlineStr">
        <is>
          <t>Badjouma</t>
        </is>
      </c>
      <c r="H2028" t="inlineStr">
        <is>
          <t>HUAWEI</t>
        </is>
      </c>
      <c r="I2028" t="n">
        <v>0</v>
      </c>
      <c r="J2028" t="n">
        <v>0</v>
      </c>
      <c r="K2028" t="n">
        <v>0</v>
      </c>
      <c r="L2028" t="n">
        <v>0</v>
      </c>
      <c r="M2028" t="n">
        <v>0</v>
      </c>
      <c r="N2028" t="n">
        <v>0</v>
      </c>
      <c r="O2028" t="n">
        <v>0</v>
      </c>
      <c r="P2028" t="n">
        <v>0</v>
      </c>
      <c r="Q2028" t="n">
        <v>0</v>
      </c>
      <c r="R2028" t="inlineStr">
        <is>
          <t>Operationnel</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row>
    <row r="2029">
      <c r="A2029" t="inlineStr">
        <is>
          <t>Tiko-Long-Street-IHS</t>
        </is>
      </c>
      <c r="B2029" t="inlineStr">
        <is>
          <t>LIT_174</t>
        </is>
      </c>
      <c r="C2029" t="inlineStr">
        <is>
          <t>SUD-OUEST</t>
        </is>
      </c>
      <c r="D2029" t="inlineStr">
        <is>
          <t>IHS</t>
        </is>
      </c>
      <c r="E2029" t="inlineStr">
        <is>
          <t>Grid-Gen</t>
        </is>
      </c>
      <c r="F2029" t="inlineStr">
        <is>
          <t>LITTORAL</t>
        </is>
      </c>
      <c r="G2029" t="inlineStr">
        <is>
          <t>Tiko</t>
        </is>
      </c>
      <c r="H2029" t="inlineStr">
        <is>
          <t>HUAWEI</t>
        </is>
      </c>
      <c r="I2029" t="n">
        <v>0</v>
      </c>
      <c r="J2029" t="n">
        <v>0</v>
      </c>
      <c r="K2029" t="n">
        <v>0</v>
      </c>
      <c r="L2029" t="n">
        <v>0</v>
      </c>
      <c r="M2029" t="n">
        <v>0</v>
      </c>
      <c r="N2029" t="n">
        <v>0</v>
      </c>
      <c r="O2029" t="n">
        <v>0</v>
      </c>
      <c r="P2029" t="n">
        <v>0</v>
      </c>
      <c r="Q2029" t="n">
        <v>0</v>
      </c>
      <c r="R2029" t="inlineStr">
        <is>
          <t>Operationnel</t>
        </is>
      </c>
      <c r="S2029" t="inlineStr"/>
      <c r="T2029" t="inlineStr"/>
      <c r="U2029" t="inlineStr"/>
      <c r="V2029" t="inlineStr"/>
      <c r="W2029" t="inlineStr"/>
      <c r="X2029" t="inlineStr">
        <is>
          <t>{None hourly IHS}: 25/05/2026 05:16..1:07:35..DG Stopped due to low fuel.</t>
        </is>
      </c>
      <c r="Y2029" t="inlineStr">
        <is>
          <t>25/05/2026 05 16.1 07 35.DG Stopped due to low fuel.</t>
        </is>
      </c>
      <c r="Z2029" t="inlineStr"/>
      <c r="AA2029" t="inlineStr"/>
      <c r="AB2029" t="inlineStr"/>
      <c r="AC2029" t="inlineStr"/>
      <c r="AD2029" t="inlineStr"/>
      <c r="AE2029" t="inlineStr">
        <is>
          <t>{None hourly IHS}: 25/05/2026 05:16..1:07:35..DG Stopped due to low fuel.</t>
        </is>
      </c>
      <c r="AF2029" t="inlineStr"/>
      <c r="AG2029" t="inlineStr"/>
      <c r="AH2029" t="inlineStr"/>
      <c r="AI2029" t="inlineStr"/>
      <c r="AJ2029" t="inlineStr"/>
      <c r="AK2029" t="inlineStr"/>
      <c r="AL2029" t="inlineStr"/>
      <c r="AM2029" t="inlineStr"/>
      <c r="AN2029" t="inlineStr"/>
      <c r="AO2029" t="inlineStr"/>
      <c r="AP2029" t="inlineStr"/>
      <c r="AQ2029" t="inlineStr"/>
      <c r="AR2029" t="inlineStr"/>
    </row>
    <row r="2030">
      <c r="A2030" t="inlineStr">
        <is>
          <t>Melong</t>
        </is>
      </c>
      <c r="B2030" t="inlineStr">
        <is>
          <t>LIT_063</t>
        </is>
      </c>
      <c r="C2030" t="inlineStr">
        <is>
          <t>LITTORAL</t>
        </is>
      </c>
      <c r="D2030" t="inlineStr">
        <is>
          <t>IHS</t>
        </is>
      </c>
      <c r="E2030" t="inlineStr">
        <is>
          <t>Grid-Gen</t>
        </is>
      </c>
      <c r="F2030" t="inlineStr">
        <is>
          <t>LITTORAL</t>
        </is>
      </c>
      <c r="G2030" t="inlineStr">
        <is>
          <t>Melong</t>
        </is>
      </c>
      <c r="H2030" t="inlineStr">
        <is>
          <t>ZTE</t>
        </is>
      </c>
      <c r="I2030" t="n">
        <v>0</v>
      </c>
      <c r="J2030" t="n">
        <v>0</v>
      </c>
      <c r="K2030" t="n">
        <v>0</v>
      </c>
      <c r="L2030" t="n">
        <v>0</v>
      </c>
      <c r="M2030" t="n">
        <v>0</v>
      </c>
      <c r="N2030" t="n">
        <v>0</v>
      </c>
      <c r="O2030" t="n">
        <v>0</v>
      </c>
      <c r="P2030" t="n">
        <v>0</v>
      </c>
      <c r="Q2030" t="n">
        <v>0</v>
      </c>
      <c r="R2030" t="inlineStr">
        <is>
          <t>Operationnel</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row>
    <row r="2031">
      <c r="A2031" t="inlineStr">
        <is>
          <t>Baliama</t>
        </is>
      </c>
      <c r="B2031" t="inlineStr">
        <is>
          <t>CTR_352</t>
        </is>
      </c>
      <c r="C2031" t="inlineStr">
        <is>
          <t>CENTRE</t>
        </is>
      </c>
      <c r="D2031" t="inlineStr">
        <is>
          <t>IHS</t>
        </is>
      </c>
      <c r="E2031" t="inlineStr">
        <is>
          <t>Grid-Gen</t>
        </is>
      </c>
      <c r="F2031" t="inlineStr">
        <is>
          <t>CENTRE</t>
        </is>
      </c>
      <c r="G2031" t="inlineStr">
        <is>
          <t>Baliama</t>
        </is>
      </c>
      <c r="H2031" t="inlineStr">
        <is>
          <t>ZTE</t>
        </is>
      </c>
      <c r="I2031" t="n">
        <v>0</v>
      </c>
      <c r="J2031" t="n">
        <v>0</v>
      </c>
      <c r="K2031" t="n">
        <v>0</v>
      </c>
      <c r="L2031" t="n">
        <v>0</v>
      </c>
      <c r="M2031" t="n">
        <v>0</v>
      </c>
      <c r="N2031" t="n">
        <v>0</v>
      </c>
      <c r="O2031" t="n">
        <v>0</v>
      </c>
      <c r="P2031" t="n">
        <v>0</v>
      </c>
      <c r="Q2031" t="n">
        <v>0</v>
      </c>
      <c r="R2031" t="inlineStr">
        <is>
          <t>Operationnel</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row>
    <row r="2032">
      <c r="A2032" t="inlineStr">
        <is>
          <t>Deuk</t>
        </is>
      </c>
      <c r="B2032" t="inlineStr">
        <is>
          <t>CTR_277</t>
        </is>
      </c>
      <c r="C2032" t="inlineStr">
        <is>
          <t>CENTRE</t>
        </is>
      </c>
      <c r="D2032" t="inlineStr">
        <is>
          <t>IHS</t>
        </is>
      </c>
      <c r="E2032" t="inlineStr">
        <is>
          <t>Solar-Gen</t>
        </is>
      </c>
      <c r="F2032" t="inlineStr">
        <is>
          <t>CENTRE</t>
        </is>
      </c>
      <c r="G2032" t="inlineStr">
        <is>
          <t>Deuk</t>
        </is>
      </c>
      <c r="H2032" t="inlineStr">
        <is>
          <t>ZTE</t>
        </is>
      </c>
      <c r="I2032" t="n">
        <v>0</v>
      </c>
      <c r="J2032" t="n">
        <v>0</v>
      </c>
      <c r="K2032" t="n">
        <v>0</v>
      </c>
      <c r="L2032" t="n">
        <v>0</v>
      </c>
      <c r="M2032" t="n">
        <v>0</v>
      </c>
      <c r="N2032" t="n">
        <v>0</v>
      </c>
      <c r="O2032" t="n">
        <v>0</v>
      </c>
      <c r="P2032" t="n">
        <v>0</v>
      </c>
      <c r="Q2032" t="n">
        <v>0</v>
      </c>
      <c r="R2032" t="inlineStr">
        <is>
          <t>Operationnel</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row>
    <row r="2033">
      <c r="A2033" t="inlineStr">
        <is>
          <t>Ngoro</t>
        </is>
      </c>
      <c r="B2033" t="inlineStr">
        <is>
          <t>CTR_278</t>
        </is>
      </c>
      <c r="C2033" t="inlineStr">
        <is>
          <t>CENTRE</t>
        </is>
      </c>
      <c r="D2033" t="inlineStr">
        <is>
          <t>IHS</t>
        </is>
      </c>
      <c r="E2033" t="inlineStr">
        <is>
          <t>SolarAER-Gen-Lithium</t>
        </is>
      </c>
      <c r="F2033" t="inlineStr">
        <is>
          <t>CENTRE</t>
        </is>
      </c>
      <c r="G2033" t="inlineStr">
        <is>
          <t>Ngoro</t>
        </is>
      </c>
      <c r="H2033" t="inlineStr">
        <is>
          <t>ZTE</t>
        </is>
      </c>
      <c r="I2033" t="n">
        <v>0</v>
      </c>
      <c r="J2033" t="n">
        <v>0</v>
      </c>
      <c r="K2033" t="n">
        <v>0</v>
      </c>
      <c r="L2033" t="n">
        <v>0</v>
      </c>
      <c r="M2033" t="n">
        <v>0</v>
      </c>
      <c r="N2033" t="n">
        <v>0</v>
      </c>
      <c r="O2033" t="n">
        <v>0</v>
      </c>
      <c r="P2033" t="n">
        <v>0</v>
      </c>
      <c r="Q2033" t="n">
        <v>0</v>
      </c>
      <c r="R2033" t="inlineStr">
        <is>
          <t>Operationnel</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row>
    <row r="2034">
      <c r="A2034" t="inlineStr">
        <is>
          <t>Manoka-IHS</t>
        </is>
      </c>
      <c r="B2034" t="inlineStr">
        <is>
          <t>LIT_497</t>
        </is>
      </c>
      <c r="C2034" t="inlineStr">
        <is>
          <t>LITTORAL</t>
        </is>
      </c>
      <c r="D2034" t="inlineStr">
        <is>
          <t>IHS</t>
        </is>
      </c>
      <c r="E2034" t="inlineStr">
        <is>
          <t>Solar-Gen-Lithium</t>
        </is>
      </c>
      <c r="F2034" t="inlineStr">
        <is>
          <t>LITTORAL</t>
        </is>
      </c>
      <c r="G2034" t="inlineStr">
        <is>
          <t>Manoka</t>
        </is>
      </c>
      <c r="H2034" t="inlineStr">
        <is>
          <t>ZTE</t>
        </is>
      </c>
      <c r="I2034" t="n">
        <v>0</v>
      </c>
      <c r="J2034" t="n">
        <v>0</v>
      </c>
      <c r="K2034" t="n">
        <v>0</v>
      </c>
      <c r="L2034" t="n">
        <v>0</v>
      </c>
      <c r="M2034" t="n">
        <v>0</v>
      </c>
      <c r="N2034" t="n">
        <v>0</v>
      </c>
      <c r="O2034" t="n">
        <v>0</v>
      </c>
      <c r="P2034" t="n">
        <v>0</v>
      </c>
      <c r="Q2034" t="n">
        <v>0</v>
      </c>
      <c r="R2034" t="inlineStr">
        <is>
          <t>Operationnel</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row>
    <row r="2035">
      <c r="A2035" t="inlineStr">
        <is>
          <t>Dikoum-Camtel</t>
        </is>
      </c>
      <c r="B2035" t="inlineStr">
        <is>
          <t>SUD_098</t>
        </is>
      </c>
      <c r="C2035" t="inlineStr">
        <is>
          <t>CENTRE</t>
        </is>
      </c>
      <c r="D2035" t="inlineStr">
        <is>
          <t>CAMUSAT</t>
        </is>
      </c>
      <c r="E2035" t="inlineStr">
        <is>
          <t>Good Grid no GE - 12h</t>
        </is>
      </c>
      <c r="F2035" t="inlineStr">
        <is>
          <t>SUD</t>
        </is>
      </c>
      <c r="G2035" t="inlineStr">
        <is>
          <t>Dikoum</t>
        </is>
      </c>
      <c r="H2035" t="inlineStr">
        <is>
          <t>NOKIA</t>
        </is>
      </c>
      <c r="I2035" t="n">
        <v>0</v>
      </c>
      <c r="J2035" t="n">
        <v>0</v>
      </c>
      <c r="K2035" t="n">
        <v>0</v>
      </c>
      <c r="L2035" t="n">
        <v>0</v>
      </c>
      <c r="M2035" t="n">
        <v>0</v>
      </c>
      <c r="N2035" t="n">
        <v>0</v>
      </c>
      <c r="O2035" t="n">
        <v>0</v>
      </c>
      <c r="P2035" t="n">
        <v>0</v>
      </c>
      <c r="Q2035" t="n">
        <v>0</v>
      </c>
      <c r="R2035" t="inlineStr">
        <is>
          <t>Operationnel</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row>
    <row r="2036">
      <c r="A2036" t="inlineStr">
        <is>
          <t>Ndandouck-IHS</t>
        </is>
      </c>
      <c r="B2036" t="inlineStr">
        <is>
          <t>CTR_141</t>
        </is>
      </c>
      <c r="C2036" t="inlineStr">
        <is>
          <t>CENTRE</t>
        </is>
      </c>
      <c r="D2036" t="inlineStr">
        <is>
          <t>IHS</t>
        </is>
      </c>
      <c r="E2036" t="inlineStr">
        <is>
          <t>Solar-Gen</t>
        </is>
      </c>
      <c r="F2036" t="inlineStr">
        <is>
          <t>CENTRE</t>
        </is>
      </c>
      <c r="G2036" t="inlineStr">
        <is>
          <t>Ndandouck</t>
        </is>
      </c>
      <c r="H2036" t="inlineStr">
        <is>
          <t>ZTE</t>
        </is>
      </c>
      <c r="I2036" t="n">
        <v>0</v>
      </c>
      <c r="J2036" t="n">
        <v>0</v>
      </c>
      <c r="K2036" t="n">
        <v>0</v>
      </c>
      <c r="L2036" t="n">
        <v>0</v>
      </c>
      <c r="M2036" t="n">
        <v>0</v>
      </c>
      <c r="N2036" t="n">
        <v>0</v>
      </c>
      <c r="O2036" t="n">
        <v>0</v>
      </c>
      <c r="P2036" t="n">
        <v>0</v>
      </c>
      <c r="Q2036" t="n">
        <v>0</v>
      </c>
      <c r="R2036" t="inlineStr">
        <is>
          <t>Operationnel</t>
        </is>
      </c>
      <c r="S2036" t="inlineStr"/>
      <c r="T2036" t="inlineStr"/>
      <c r="U2036" t="inlineStr"/>
      <c r="V2036" t="inlineStr"/>
      <c r="W2036" t="inlineStr"/>
      <c r="X2036" t="inlineStr">
        <is>
          <t>{05-25-2026 incident}: {05-18-2026 groupe whatsapp incident}: impacted by  EST_076_N_Diang-MTN</t>
        </is>
      </c>
      <c r="Y2036" t="inlineStr">
        <is>
          <t>{05-25-2026 incident} {05-18-2026 groupe whatsapp incident} impacted by EST_076_N_Diang-MTN</t>
        </is>
      </c>
      <c r="Z2036" t="inlineStr"/>
      <c r="AA2036" t="inlineStr">
        <is>
          <t>{05-25-2026 incident}: {05-18-2026 groupe whatsapp incident}: impacted by  EST_076_N_Diang-MTN</t>
        </is>
      </c>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row>
    <row r="2037">
      <c r="A2037" t="inlineStr">
        <is>
          <t>Melong-Carrefour-MTN</t>
        </is>
      </c>
      <c r="B2037" t="inlineStr">
        <is>
          <t>LIT_679</t>
        </is>
      </c>
      <c r="C2037" t="inlineStr">
        <is>
          <t>LITTORAL</t>
        </is>
      </c>
      <c r="D2037" t="inlineStr">
        <is>
          <t>MTN sharing</t>
        </is>
      </c>
      <c r="E2037" t="inlineStr">
        <is>
          <t>MTN sharing</t>
        </is>
      </c>
      <c r="F2037" t="inlineStr">
        <is>
          <t>LITTORAL</t>
        </is>
      </c>
      <c r="G2037" t="inlineStr">
        <is>
          <t>Melong</t>
        </is>
      </c>
      <c r="H2037" t="inlineStr">
        <is>
          <t>ZTE</t>
        </is>
      </c>
      <c r="I2037" t="n">
        <v>0</v>
      </c>
      <c r="J2037" t="n">
        <v>0</v>
      </c>
      <c r="K2037" t="n">
        <v>0</v>
      </c>
      <c r="L2037" t="n">
        <v>0</v>
      </c>
      <c r="M2037" t="n">
        <v>0</v>
      </c>
      <c r="N2037" t="n">
        <v>0</v>
      </c>
      <c r="O2037" t="n">
        <v>0</v>
      </c>
      <c r="P2037" t="n">
        <v>0</v>
      </c>
      <c r="Q2037" t="n">
        <v>0</v>
      </c>
      <c r="R2037" t="inlineStr">
        <is>
          <t>Operationnel</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row>
    <row r="2038">
      <c r="A2038" t="inlineStr">
        <is>
          <t>Kobdombo</t>
        </is>
      </c>
      <c r="B2038" t="inlineStr">
        <is>
          <t>EST_057</t>
        </is>
      </c>
      <c r="C2038" t="inlineStr">
        <is>
          <t>CENTRE</t>
        </is>
      </c>
      <c r="D2038" t="inlineStr">
        <is>
          <t>IHS</t>
        </is>
      </c>
      <c r="E2038" t="inlineStr">
        <is>
          <t>Grid-Gen</t>
        </is>
      </c>
      <c r="F2038" t="inlineStr">
        <is>
          <t>EST</t>
        </is>
      </c>
      <c r="G2038" t="inlineStr">
        <is>
          <t>Kobdombo</t>
        </is>
      </c>
      <c r="H2038" t="inlineStr">
        <is>
          <t>ZTE</t>
        </is>
      </c>
      <c r="I2038" t="n">
        <v>0</v>
      </c>
      <c r="J2038" t="n">
        <v>0</v>
      </c>
      <c r="K2038" t="n">
        <v>0</v>
      </c>
      <c r="L2038" t="n">
        <v>0</v>
      </c>
      <c r="M2038" t="n">
        <v>0</v>
      </c>
      <c r="N2038" t="n">
        <v>0</v>
      </c>
      <c r="O2038" t="n">
        <v>0</v>
      </c>
      <c r="P2038" t="n">
        <v>0</v>
      </c>
      <c r="Q2038" t="n">
        <v>0</v>
      </c>
      <c r="R2038" t="inlineStr">
        <is>
          <t>Operationnel</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row>
    <row r="2039">
      <c r="A2039" t="inlineStr">
        <is>
          <t>Penja</t>
        </is>
      </c>
      <c r="B2039" t="inlineStr">
        <is>
          <t>LIT_208</t>
        </is>
      </c>
      <c r="C2039" t="inlineStr">
        <is>
          <t>LITTORAL</t>
        </is>
      </c>
      <c r="D2039" t="inlineStr">
        <is>
          <t>IHS</t>
        </is>
      </c>
      <c r="E2039" t="inlineStr">
        <is>
          <t>Grid-Gen</t>
        </is>
      </c>
      <c r="F2039" t="inlineStr">
        <is>
          <t>LITTORAL</t>
        </is>
      </c>
      <c r="G2039" t="inlineStr">
        <is>
          <t>Penja</t>
        </is>
      </c>
      <c r="H2039" t="inlineStr">
        <is>
          <t>ZTE</t>
        </is>
      </c>
      <c r="I2039" t="n">
        <v>0</v>
      </c>
      <c r="J2039" t="n">
        <v>0</v>
      </c>
      <c r="K2039" t="n">
        <v>0</v>
      </c>
      <c r="L2039" t="n">
        <v>0</v>
      </c>
      <c r="M2039" t="n">
        <v>0</v>
      </c>
      <c r="N2039" t="n">
        <v>0</v>
      </c>
      <c r="O2039" t="n">
        <v>0</v>
      </c>
      <c r="P2039" t="n">
        <v>0</v>
      </c>
      <c r="Q2039" t="n">
        <v>0</v>
      </c>
      <c r="R2039" t="inlineStr">
        <is>
          <t>Operationnel</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row>
    <row r="2040">
      <c r="A2040" t="inlineStr">
        <is>
          <t>Okola</t>
        </is>
      </c>
      <c r="B2040" t="inlineStr">
        <is>
          <t>CTR_191</t>
        </is>
      </c>
      <c r="C2040" t="inlineStr">
        <is>
          <t>CENTRE</t>
        </is>
      </c>
      <c r="D2040" t="inlineStr">
        <is>
          <t>IHS</t>
        </is>
      </c>
      <c r="E2040" t="inlineStr">
        <is>
          <t>Grid-Gen</t>
        </is>
      </c>
      <c r="F2040" t="inlineStr">
        <is>
          <t>CENTRE</t>
        </is>
      </c>
      <c r="G2040" t="inlineStr">
        <is>
          <t>Okola</t>
        </is>
      </c>
      <c r="H2040" t="inlineStr">
        <is>
          <t>ZTE</t>
        </is>
      </c>
      <c r="I2040" t="n">
        <v>0</v>
      </c>
      <c r="J2040" t="n">
        <v>0</v>
      </c>
      <c r="K2040" t="n">
        <v>0</v>
      </c>
      <c r="L2040" t="n">
        <v>0</v>
      </c>
      <c r="M2040" t="n">
        <v>0</v>
      </c>
      <c r="N2040" t="n">
        <v>0</v>
      </c>
      <c r="O2040" t="n">
        <v>0</v>
      </c>
      <c r="P2040" t="n">
        <v>0</v>
      </c>
      <c r="Q2040" t="n">
        <v>0</v>
      </c>
      <c r="R2040" t="inlineStr">
        <is>
          <t>Operationnel</t>
        </is>
      </c>
      <c r="S2040" t="inlineStr"/>
      <c r="T2040" t="inlineStr"/>
      <c r="U2040" t="inlineStr"/>
      <c r="V2040" t="inlineStr"/>
      <c r="W2040" t="inlineStr"/>
      <c r="X2040" t="inlineStr">
        <is>
          <t>{None hourly IHS}: 25/05/2026 02:31..0:51:46..45.7V..fme is on the way ETA 03:20 AM</t>
        </is>
      </c>
      <c r="Y2040" t="inlineStr">
        <is>
          <t>25/05/2026 02 31.0 51 46.45.7V.fme is on the way ETA 03 20 AM</t>
        </is>
      </c>
      <c r="Z2040" t="inlineStr"/>
      <c r="AA2040" t="inlineStr"/>
      <c r="AB2040" t="inlineStr"/>
      <c r="AC2040" t="inlineStr"/>
      <c r="AD2040" t="inlineStr"/>
      <c r="AE2040" t="inlineStr">
        <is>
          <t>{None hourly IHS}: 25/05/2026 02:31..0:51:46..45.7V..fme is on the way ETA 03:20 AM</t>
        </is>
      </c>
      <c r="AF2040" t="inlineStr"/>
      <c r="AG2040" t="inlineStr"/>
      <c r="AH2040" t="inlineStr"/>
      <c r="AI2040" t="inlineStr"/>
      <c r="AJ2040" t="inlineStr"/>
      <c r="AK2040" t="inlineStr"/>
      <c r="AL2040" t="inlineStr"/>
      <c r="AM2040" t="inlineStr"/>
      <c r="AN2040" t="inlineStr"/>
      <c r="AO2040" t="inlineStr"/>
      <c r="AP2040" t="inlineStr"/>
      <c r="AQ2040" t="inlineStr"/>
      <c r="AR2040" t="inlineStr"/>
    </row>
    <row r="2041">
      <c r="A2041" t="inlineStr">
        <is>
          <t>Lom-Pangar-MTN</t>
        </is>
      </c>
      <c r="B2041" t="inlineStr">
        <is>
          <t>EST_083</t>
        </is>
      </c>
      <c r="C2041" t="inlineStr">
        <is>
          <t>CENTRE</t>
        </is>
      </c>
      <c r="D2041" t="inlineStr">
        <is>
          <t>IHS</t>
        </is>
      </c>
      <c r="E2041" t="inlineStr">
        <is>
          <t>Grid-Gen-Lithium</t>
        </is>
      </c>
      <c r="F2041" t="inlineStr">
        <is>
          <t>EST</t>
        </is>
      </c>
      <c r="G2041" t="inlineStr">
        <is>
          <t>Lom-Pangar</t>
        </is>
      </c>
      <c r="H2041" t="inlineStr">
        <is>
          <t>NOKIA</t>
        </is>
      </c>
      <c r="I2041" t="n">
        <v>0</v>
      </c>
      <c r="J2041" t="n">
        <v>0</v>
      </c>
      <c r="K2041" t="n">
        <v>0</v>
      </c>
      <c r="L2041" t="n">
        <v>0</v>
      </c>
      <c r="M2041" t="n">
        <v>0</v>
      </c>
      <c r="N2041" t="n">
        <v>0</v>
      </c>
      <c r="O2041" t="n">
        <v>0</v>
      </c>
      <c r="P2041" t="n">
        <v>0</v>
      </c>
      <c r="Q2041" t="n">
        <v>0</v>
      </c>
      <c r="R2041" t="inlineStr">
        <is>
          <t>Operationnel</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row>
    <row r="2042">
      <c r="A2042" t="inlineStr">
        <is>
          <t>Penka-Michel-IHS</t>
        </is>
      </c>
      <c r="B2042" t="inlineStr">
        <is>
          <t>OST_210</t>
        </is>
      </c>
      <c r="C2042" t="inlineStr">
        <is>
          <t>OUEST</t>
        </is>
      </c>
      <c r="D2042" t="inlineStr">
        <is>
          <t>IHS</t>
        </is>
      </c>
      <c r="E2042" t="inlineStr">
        <is>
          <t>Grid-Gen</t>
        </is>
      </c>
      <c r="F2042" t="inlineStr">
        <is>
          <t>OUEST</t>
        </is>
      </c>
      <c r="G2042" t="inlineStr">
        <is>
          <t>Penka-Michel</t>
        </is>
      </c>
      <c r="H2042" t="inlineStr">
        <is>
          <t>HUAWEI</t>
        </is>
      </c>
      <c r="I2042" t="n">
        <v>0</v>
      </c>
      <c r="J2042" t="n">
        <v>0</v>
      </c>
      <c r="K2042" t="n">
        <v>0</v>
      </c>
      <c r="L2042" t="n">
        <v>0</v>
      </c>
      <c r="M2042" t="n">
        <v>0</v>
      </c>
      <c r="N2042" t="n">
        <v>0</v>
      </c>
      <c r="O2042" t="n">
        <v>0</v>
      </c>
      <c r="P2042" t="n">
        <v>0</v>
      </c>
      <c r="Q2042" t="n">
        <v>0</v>
      </c>
      <c r="R2042" t="inlineStr">
        <is>
          <t>Operationnel</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row>
    <row r="2043">
      <c r="A2043" t="inlineStr">
        <is>
          <t>Minta</t>
        </is>
      </c>
      <c r="B2043" t="inlineStr">
        <is>
          <t>CTR_233</t>
        </is>
      </c>
      <c r="C2043" t="inlineStr">
        <is>
          <t>CENTRE</t>
        </is>
      </c>
      <c r="D2043" t="inlineStr">
        <is>
          <t>IHS</t>
        </is>
      </c>
      <c r="E2043" t="inlineStr">
        <is>
          <t>Grid-Hybrid-Gen</t>
        </is>
      </c>
      <c r="F2043" t="inlineStr">
        <is>
          <t>CENTRE</t>
        </is>
      </c>
      <c r="G2043" t="inlineStr">
        <is>
          <t>Minta</t>
        </is>
      </c>
      <c r="H2043" t="inlineStr">
        <is>
          <t>ZTE</t>
        </is>
      </c>
      <c r="I2043" t="n">
        <v>0</v>
      </c>
      <c r="J2043" t="n">
        <v>0</v>
      </c>
      <c r="K2043" t="n">
        <v>0</v>
      </c>
      <c r="L2043" t="n">
        <v>0</v>
      </c>
      <c r="M2043" t="n">
        <v>0</v>
      </c>
      <c r="N2043" t="n">
        <v>0</v>
      </c>
      <c r="O2043" t="n">
        <v>0</v>
      </c>
      <c r="P2043" t="n">
        <v>0</v>
      </c>
      <c r="Q2043" t="n">
        <v>0</v>
      </c>
      <c r="R2043" t="inlineStr">
        <is>
          <t>Operationnel</t>
        </is>
      </c>
      <c r="S2043" t="inlineStr"/>
      <c r="T2043" t="inlineStr"/>
      <c r="U2043" t="inlineStr"/>
      <c r="V2043" t="inlineStr"/>
      <c r="W2043" t="inlineStr"/>
      <c r="X2043" t="inlineStr">
        <is>
          <t>{05-25-2026 incident}: {05-18-2026 groupe whatsapp incident}: impacted by  EST_076_N_Diang-MTN</t>
        </is>
      </c>
      <c r="Y2043" t="inlineStr">
        <is>
          <t>{05-25-2026 incident} {05-18-2026 groupe whatsapp incident} impacted by EST_076_N_Diang-MTN</t>
        </is>
      </c>
      <c r="Z2043" t="inlineStr"/>
      <c r="AA2043" t="inlineStr">
        <is>
          <t>{05-25-2026 incident}: {05-18-2026 groupe whatsapp incident}: impacted by  EST_076_N_Diang-MTN</t>
        </is>
      </c>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row>
    <row r="2044">
      <c r="A2044" t="inlineStr">
        <is>
          <t>Mbitom-camrail</t>
        </is>
      </c>
      <c r="B2044" t="inlineStr">
        <is>
          <t>EST_105</t>
        </is>
      </c>
      <c r="C2044" t="inlineStr">
        <is>
          <t>CENTRE</t>
        </is>
      </c>
      <c r="D2044" t="inlineStr">
        <is>
          <t>CAMUSAT</t>
        </is>
      </c>
      <c r="E2044" t="inlineStr">
        <is>
          <t>Hybrid solar - S1</t>
        </is>
      </c>
      <c r="F2044" t="inlineStr">
        <is>
          <t>EST</t>
        </is>
      </c>
      <c r="G2044" t="inlineStr">
        <is>
          <t>Betare-Oya</t>
        </is>
      </c>
      <c r="H2044" t="inlineStr">
        <is>
          <t>NOKIA</t>
        </is>
      </c>
      <c r="I2044" t="n">
        <v>0</v>
      </c>
      <c r="J2044" t="n">
        <v>0</v>
      </c>
      <c r="K2044" t="n">
        <v>0</v>
      </c>
      <c r="L2044" t="n">
        <v>0</v>
      </c>
      <c r="M2044" t="n">
        <v>0</v>
      </c>
      <c r="N2044" t="n">
        <v>0</v>
      </c>
      <c r="O2044" t="n">
        <v>0</v>
      </c>
      <c r="P2044" t="n">
        <v>0</v>
      </c>
      <c r="Q2044" t="n">
        <v>0</v>
      </c>
      <c r="R2044" t="inlineStr">
        <is>
          <t>Operationnel</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row>
    <row r="2045">
      <c r="A2045" t="inlineStr">
        <is>
          <t>Bembaran-Camtel</t>
        </is>
      </c>
      <c r="B2045" t="inlineStr">
        <is>
          <t>ADM_185</t>
        </is>
      </c>
      <c r="C2045" t="inlineStr">
        <is>
          <t>ADAMAOUA</t>
        </is>
      </c>
      <c r="D2045" t="inlineStr">
        <is>
          <t>CAMUSAT</t>
        </is>
      </c>
      <c r="E2045" t="inlineStr">
        <is>
          <t>Hibrid solar - s3</t>
        </is>
      </c>
      <c r="F2045" t="inlineStr">
        <is>
          <t>ADAMAOUA</t>
        </is>
      </c>
      <c r="G2045" t="inlineStr">
        <is>
          <t>Bembaran</t>
        </is>
      </c>
      <c r="H2045" t="inlineStr">
        <is>
          <t>HUAWEI</t>
        </is>
      </c>
      <c r="I2045" t="n">
        <v>0</v>
      </c>
      <c r="J2045" t="n">
        <v>0</v>
      </c>
      <c r="K2045" t="n">
        <v>0</v>
      </c>
      <c r="L2045" t="n">
        <v>0</v>
      </c>
      <c r="M2045" t="n">
        <v>0</v>
      </c>
      <c r="N2045" t="n">
        <v>0</v>
      </c>
      <c r="O2045" t="n">
        <v>0</v>
      </c>
      <c r="P2045" t="n">
        <v>0</v>
      </c>
      <c r="Q2045" t="n">
        <v>0</v>
      </c>
      <c r="R2045" t="inlineStr">
        <is>
          <t>Operationnel</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row>
    <row r="2046">
      <c r="A2046" t="inlineStr">
        <is>
          <t>Mbargue-Camrail</t>
        </is>
      </c>
      <c r="B2046" t="inlineStr">
        <is>
          <t>CTR_457</t>
        </is>
      </c>
      <c r="C2046" t="inlineStr">
        <is>
          <t>CENTRE</t>
        </is>
      </c>
      <c r="D2046" t="inlineStr">
        <is>
          <t>IHS</t>
        </is>
      </c>
      <c r="E2046" t="inlineStr"/>
      <c r="F2046" t="inlineStr">
        <is>
          <t>CENTRE</t>
        </is>
      </c>
      <c r="G2046" t="inlineStr">
        <is>
          <t>Minta</t>
        </is>
      </c>
      <c r="H2046" t="inlineStr">
        <is>
          <t>NOKIA</t>
        </is>
      </c>
      <c r="I2046" t="n">
        <v>0</v>
      </c>
      <c r="J2046" t="n">
        <v>0</v>
      </c>
      <c r="K2046" t="n">
        <v>0</v>
      </c>
      <c r="L2046" t="n">
        <v>0</v>
      </c>
      <c r="M2046" t="n">
        <v>0</v>
      </c>
      <c r="N2046" t="n">
        <v>0</v>
      </c>
      <c r="O2046" t="n">
        <v>0</v>
      </c>
      <c r="P2046" t="n">
        <v>0</v>
      </c>
      <c r="Q2046" t="n">
        <v>0</v>
      </c>
      <c r="R2046" t="inlineStr">
        <is>
          <t>Operationnel</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row>
    <row r="2047">
      <c r="A2047" t="inlineStr">
        <is>
          <t>Mbandjock</t>
        </is>
      </c>
      <c r="B2047" t="inlineStr">
        <is>
          <t>CTR_030</t>
        </is>
      </c>
      <c r="C2047" t="inlineStr">
        <is>
          <t>CENTRE</t>
        </is>
      </c>
      <c r="D2047" t="inlineStr">
        <is>
          <t>CAMUSAT</t>
        </is>
      </c>
      <c r="E2047" t="inlineStr">
        <is>
          <t>Medium Grid + Solar + GE</t>
        </is>
      </c>
      <c r="F2047" t="inlineStr">
        <is>
          <t>CENTRE</t>
        </is>
      </c>
      <c r="G2047" t="inlineStr">
        <is>
          <t>Mbandjock</t>
        </is>
      </c>
      <c r="H2047" t="inlineStr">
        <is>
          <t>ZTE</t>
        </is>
      </c>
      <c r="I2047" t="n">
        <v>0</v>
      </c>
      <c r="J2047" t="n">
        <v>0</v>
      </c>
      <c r="K2047" t="n">
        <v>0</v>
      </c>
      <c r="L2047" t="n">
        <v>0</v>
      </c>
      <c r="M2047" t="n">
        <v>0</v>
      </c>
      <c r="N2047" t="n">
        <v>0</v>
      </c>
      <c r="O2047" t="n">
        <v>0</v>
      </c>
      <c r="P2047" t="n">
        <v>0</v>
      </c>
      <c r="Q2047" t="n">
        <v>0</v>
      </c>
      <c r="R2047" t="inlineStr">
        <is>
          <t>Operationnel</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row>
    <row r="2048">
      <c r="A2048" t="inlineStr">
        <is>
          <t>Pella</t>
        </is>
      </c>
      <c r="B2048" t="inlineStr">
        <is>
          <t>CTR_894</t>
        </is>
      </c>
      <c r="C2048" t="inlineStr">
        <is>
          <t>CENTRE</t>
        </is>
      </c>
      <c r="D2048" t="inlineStr">
        <is>
          <t>CAMUSAT</t>
        </is>
      </c>
      <c r="E2048" t="inlineStr">
        <is>
          <t>HGB</t>
        </is>
      </c>
      <c r="F2048" t="inlineStr">
        <is>
          <t>CENTRE</t>
        </is>
      </c>
      <c r="G2048" t="inlineStr">
        <is>
          <t>Pella</t>
        </is>
      </c>
      <c r="H2048" t="inlineStr">
        <is>
          <t>ZTE</t>
        </is>
      </c>
      <c r="I2048" t="n">
        <v>0</v>
      </c>
      <c r="J2048" t="n">
        <v>0</v>
      </c>
      <c r="K2048" t="n">
        <v>0</v>
      </c>
      <c r="L2048" t="n">
        <v>0</v>
      </c>
      <c r="M2048" t="n">
        <v>0</v>
      </c>
      <c r="N2048" t="n">
        <v>0</v>
      </c>
      <c r="O2048" t="n">
        <v>0</v>
      </c>
      <c r="P2048" t="n">
        <v>0</v>
      </c>
      <c r="Q2048" t="n">
        <v>0</v>
      </c>
      <c r="R2048" t="inlineStr">
        <is>
          <t>Operationnel</t>
        </is>
      </c>
      <c r="S2048" t="inlineStr"/>
      <c r="T2048" t="inlineStr"/>
      <c r="U2048" t="inlineStr"/>
      <c r="V2048" t="inlineStr"/>
      <c r="W2048" t="inlineStr"/>
      <c r="X2048" t="inlineStr">
        <is>
          <t>{05-25-2026 incident}: {05-18-2026 groupe whatsapp incident}: impacted by  EST_076_N_Diang-MTN</t>
        </is>
      </c>
      <c r="Y2048" t="inlineStr">
        <is>
          <t>{05-25-2026 incident} {05-18-2026 groupe whatsapp incident} impacted by EST_076_N_Diang-MTN</t>
        </is>
      </c>
      <c r="Z2048" t="inlineStr"/>
      <c r="AA2048" t="inlineStr">
        <is>
          <t>{05-25-2026 incident}: {05-18-2026 groupe whatsapp incident}: impacted by  EST_076_N_Diang-MTN</t>
        </is>
      </c>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row>
    <row r="2049">
      <c r="A2049" t="inlineStr">
        <is>
          <t>MENGUE-BIBEY-IHS</t>
        </is>
      </c>
      <c r="B2049" t="inlineStr">
        <is>
          <t>CTR_870</t>
        </is>
      </c>
      <c r="C2049" t="inlineStr">
        <is>
          <t>CENTRE</t>
        </is>
      </c>
      <c r="D2049" t="inlineStr">
        <is>
          <t>IHS</t>
        </is>
      </c>
      <c r="E2049" t="inlineStr">
        <is>
          <t>Hybrid Gen</t>
        </is>
      </c>
      <c r="F2049" t="inlineStr">
        <is>
          <t>CENTRE</t>
        </is>
      </c>
      <c r="G2049" t="inlineStr">
        <is>
          <t>Mengue Bibey</t>
        </is>
      </c>
      <c r="H2049" t="inlineStr">
        <is>
          <t>ZTE</t>
        </is>
      </c>
      <c r="I2049" t="n">
        <v>0</v>
      </c>
      <c r="J2049" t="n">
        <v>0</v>
      </c>
      <c r="K2049" t="n">
        <v>0</v>
      </c>
      <c r="L2049" t="n">
        <v>0</v>
      </c>
      <c r="M2049" t="n">
        <v>0</v>
      </c>
      <c r="N2049" t="n">
        <v>0</v>
      </c>
      <c r="O2049" t="n">
        <v>0</v>
      </c>
      <c r="P2049" t="n">
        <v>0</v>
      </c>
      <c r="Q2049" t="n">
        <v>0</v>
      </c>
      <c r="R2049" t="inlineStr">
        <is>
          <t>Operationnel</t>
        </is>
      </c>
      <c r="S2049" t="inlineStr"/>
      <c r="T2049" t="inlineStr"/>
      <c r="U2049" t="inlineStr"/>
      <c r="V2049" t="inlineStr"/>
      <c r="W2049" t="inlineStr"/>
      <c r="X2049" t="inlineStr">
        <is>
          <t>{05-25-2026 incident}: {05-18-2026 groupe whatsapp incident}: impacted by  EST_076_N_Diang-MTN</t>
        </is>
      </c>
      <c r="Y2049" t="inlineStr">
        <is>
          <t>{05-25-2026 incident} {05-18-2026 groupe whatsapp incident} impacted by EST_076_N_Diang-MTN</t>
        </is>
      </c>
      <c r="Z2049" t="inlineStr"/>
      <c r="AA2049" t="inlineStr">
        <is>
          <t>{05-25-2026 incident}: {05-18-2026 groupe whatsapp incident}: impacted by  EST_076_N_Diang-MTN</t>
        </is>
      </c>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row>
    <row r="2050">
      <c r="A2050" t="inlineStr">
        <is>
          <t>Yabassi-Greenfil</t>
        </is>
      </c>
      <c r="B2050" t="inlineStr">
        <is>
          <t>LIT_586</t>
        </is>
      </c>
      <c r="C2050" t="inlineStr">
        <is>
          <t>LITTORAL</t>
        </is>
      </c>
      <c r="D2050" t="inlineStr">
        <is>
          <t>CAMUSAT</t>
        </is>
      </c>
      <c r="E2050" t="inlineStr">
        <is>
          <t>Hybrid Solar - S3</t>
        </is>
      </c>
      <c r="F2050" t="inlineStr">
        <is>
          <t>LITTORAL</t>
        </is>
      </c>
      <c r="G2050" t="inlineStr">
        <is>
          <t>Yabassi</t>
        </is>
      </c>
      <c r="H2050" t="inlineStr">
        <is>
          <t>ZTE</t>
        </is>
      </c>
      <c r="I2050" t="n">
        <v>0</v>
      </c>
      <c r="J2050" t="n">
        <v>0</v>
      </c>
      <c r="K2050" t="n">
        <v>0</v>
      </c>
      <c r="L2050" t="n">
        <v>0</v>
      </c>
      <c r="M2050" t="n">
        <v>0</v>
      </c>
      <c r="N2050" t="n">
        <v>0</v>
      </c>
      <c r="O2050" t="n">
        <v>0</v>
      </c>
      <c r="P2050" t="n">
        <v>0</v>
      </c>
      <c r="Q2050" t="n">
        <v>0</v>
      </c>
      <c r="R2050" t="inlineStr">
        <is>
          <t>Operationnel</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row>
    <row r="2051">
      <c r="A2051" t="inlineStr">
        <is>
          <t>Ebebda-MTN</t>
        </is>
      </c>
      <c r="B2051" t="inlineStr">
        <is>
          <t>CTR_822</t>
        </is>
      </c>
      <c r="C2051" t="inlineStr">
        <is>
          <t>CENTRE</t>
        </is>
      </c>
      <c r="D2051" t="inlineStr">
        <is>
          <t>CAMUSAT</t>
        </is>
      </c>
      <c r="E2051" t="inlineStr">
        <is>
          <t>Hybrid Solar 3</t>
        </is>
      </c>
      <c r="F2051" t="inlineStr">
        <is>
          <t>CENTRE</t>
        </is>
      </c>
      <c r="G2051" t="inlineStr">
        <is>
          <t>Ebebda</t>
        </is>
      </c>
      <c r="H2051" t="inlineStr">
        <is>
          <t>ZTE</t>
        </is>
      </c>
      <c r="I2051" t="n">
        <v>0</v>
      </c>
      <c r="J2051" t="n">
        <v>0</v>
      </c>
      <c r="K2051" t="n">
        <v>0</v>
      </c>
      <c r="L2051" t="n">
        <v>0</v>
      </c>
      <c r="M2051" t="n">
        <v>0</v>
      </c>
      <c r="N2051" t="n">
        <v>0</v>
      </c>
      <c r="O2051" t="n">
        <v>0</v>
      </c>
      <c r="P2051" t="n">
        <v>0</v>
      </c>
      <c r="Q2051" t="n">
        <v>0</v>
      </c>
      <c r="R2051" t="inlineStr">
        <is>
          <t>Operationnel</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row>
    <row r="2052">
      <c r="A2052" t="inlineStr">
        <is>
          <t>Bipindi-IHS</t>
        </is>
      </c>
      <c r="B2052" t="inlineStr">
        <is>
          <t>SUD_040</t>
        </is>
      </c>
      <c r="C2052" t="inlineStr">
        <is>
          <t>CENTRE</t>
        </is>
      </c>
      <c r="D2052" t="inlineStr">
        <is>
          <t>IHS</t>
        </is>
      </c>
      <c r="E2052" t="inlineStr">
        <is>
          <t>Solar-Gen-Hybrid</t>
        </is>
      </c>
      <c r="F2052" t="inlineStr">
        <is>
          <t>SUD</t>
        </is>
      </c>
      <c r="G2052" t="inlineStr">
        <is>
          <t>Bipindi</t>
        </is>
      </c>
      <c r="H2052" t="inlineStr">
        <is>
          <t>ZTE</t>
        </is>
      </c>
      <c r="I2052" t="n">
        <v>0</v>
      </c>
      <c r="J2052" t="n">
        <v>0</v>
      </c>
      <c r="K2052" t="n">
        <v>0</v>
      </c>
      <c r="L2052" t="n">
        <v>0</v>
      </c>
      <c r="M2052" t="n">
        <v>0</v>
      </c>
      <c r="N2052" t="n">
        <v>0</v>
      </c>
      <c r="O2052" t="n">
        <v>0</v>
      </c>
      <c r="P2052" t="n">
        <v>0</v>
      </c>
      <c r="Q2052" t="n">
        <v>0</v>
      </c>
      <c r="R2052" t="inlineStr">
        <is>
          <t>Operationnel</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row>
    <row r="2053">
      <c r="A2053" t="inlineStr">
        <is>
          <t>Ndogkeng</t>
        </is>
      </c>
      <c r="B2053" t="inlineStr">
        <is>
          <t>LIT_117</t>
        </is>
      </c>
      <c r="C2053" t="inlineStr">
        <is>
          <t>LITTORAL</t>
        </is>
      </c>
      <c r="D2053" t="inlineStr">
        <is>
          <t>IHS</t>
        </is>
      </c>
      <c r="E2053" t="inlineStr">
        <is>
          <t>Grid-Gen</t>
        </is>
      </c>
      <c r="F2053" t="inlineStr">
        <is>
          <t>LITTORAL</t>
        </is>
      </c>
      <c r="G2053" t="inlineStr">
        <is>
          <t>Ndogkeng</t>
        </is>
      </c>
      <c r="H2053" t="inlineStr">
        <is>
          <t>ZTE</t>
        </is>
      </c>
      <c r="I2053" t="n">
        <v>0</v>
      </c>
      <c r="J2053" t="n">
        <v>0</v>
      </c>
      <c r="K2053" t="n">
        <v>0</v>
      </c>
      <c r="L2053" t="n">
        <v>0</v>
      </c>
      <c r="M2053" t="n">
        <v>0</v>
      </c>
      <c r="N2053" t="n">
        <v>0</v>
      </c>
      <c r="O2053" t="n">
        <v>0</v>
      </c>
      <c r="P2053" t="n">
        <v>0</v>
      </c>
      <c r="Q2053" t="n">
        <v>0</v>
      </c>
      <c r="R2053" t="inlineStr">
        <is>
          <t>Operationnel</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row>
    <row r="2054">
      <c r="A2054" t="inlineStr">
        <is>
          <t>Yabassi</t>
        </is>
      </c>
      <c r="B2054" t="inlineStr">
        <is>
          <t>LIT_110</t>
        </is>
      </c>
      <c r="C2054" t="inlineStr">
        <is>
          <t>LITTORAL</t>
        </is>
      </c>
      <c r="D2054" t="inlineStr">
        <is>
          <t>IHS</t>
        </is>
      </c>
      <c r="E2054" t="inlineStr">
        <is>
          <t>Gen-Lithium</t>
        </is>
      </c>
      <c r="F2054" t="inlineStr">
        <is>
          <t>LITTORAL</t>
        </is>
      </c>
      <c r="G2054" t="inlineStr">
        <is>
          <t>Yabassi</t>
        </is>
      </c>
      <c r="H2054" t="inlineStr">
        <is>
          <t>ZTE</t>
        </is>
      </c>
      <c r="I2054" t="n">
        <v>0</v>
      </c>
      <c r="J2054" t="n">
        <v>0</v>
      </c>
      <c r="K2054" t="n">
        <v>0</v>
      </c>
      <c r="L2054" t="n">
        <v>0</v>
      </c>
      <c r="M2054" t="n">
        <v>0</v>
      </c>
      <c r="N2054" t="n">
        <v>0</v>
      </c>
      <c r="O2054" t="n">
        <v>0</v>
      </c>
      <c r="P2054" t="n">
        <v>0</v>
      </c>
      <c r="Q2054" t="n">
        <v>0</v>
      </c>
      <c r="R2054" t="inlineStr">
        <is>
          <t>Operationnel</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row>
    <row r="2055">
      <c r="A2055" t="inlineStr">
        <is>
          <t>Esse-IHS</t>
        </is>
      </c>
      <c r="B2055" t="inlineStr">
        <is>
          <t>CTR_134</t>
        </is>
      </c>
      <c r="C2055" t="inlineStr">
        <is>
          <t>CENTRE</t>
        </is>
      </c>
      <c r="D2055" t="inlineStr">
        <is>
          <t>IHS</t>
        </is>
      </c>
      <c r="E2055" t="inlineStr">
        <is>
          <t>Grid-Gen</t>
        </is>
      </c>
      <c r="F2055" t="inlineStr">
        <is>
          <t>CENTRE</t>
        </is>
      </c>
      <c r="G2055" t="inlineStr">
        <is>
          <t>Esse</t>
        </is>
      </c>
      <c r="H2055" t="inlineStr">
        <is>
          <t>ZTE</t>
        </is>
      </c>
      <c r="I2055" t="n">
        <v>0</v>
      </c>
      <c r="J2055" t="n">
        <v>0</v>
      </c>
      <c r="K2055" t="n">
        <v>0</v>
      </c>
      <c r="L2055" t="n">
        <v>0</v>
      </c>
      <c r="M2055" t="n">
        <v>0</v>
      </c>
      <c r="N2055" t="n">
        <v>0</v>
      </c>
      <c r="O2055" t="n">
        <v>0</v>
      </c>
      <c r="P2055" t="n">
        <v>0</v>
      </c>
      <c r="Q2055" t="n">
        <v>0</v>
      </c>
      <c r="R2055" t="inlineStr">
        <is>
          <t>Operationnel</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row>
    <row r="2056">
      <c r="A2056" t="inlineStr">
        <is>
          <t>Obala-ville-IHS</t>
        </is>
      </c>
      <c r="B2056" t="inlineStr">
        <is>
          <t>CTR_627</t>
        </is>
      </c>
      <c r="C2056" t="inlineStr">
        <is>
          <t>CENTRE</t>
        </is>
      </c>
      <c r="D2056" t="inlineStr">
        <is>
          <t>IHS</t>
        </is>
      </c>
      <c r="E2056" t="inlineStr">
        <is>
          <t>Grid-Gen</t>
        </is>
      </c>
      <c r="F2056" t="inlineStr">
        <is>
          <t>CENTRE</t>
        </is>
      </c>
      <c r="G2056" t="inlineStr">
        <is>
          <t>Obala</t>
        </is>
      </c>
      <c r="H2056" t="inlineStr">
        <is>
          <t>ZTE</t>
        </is>
      </c>
      <c r="I2056" t="n">
        <v>0</v>
      </c>
      <c r="J2056" t="n">
        <v>0</v>
      </c>
      <c r="K2056" t="n">
        <v>0</v>
      </c>
      <c r="L2056" t="n">
        <v>0</v>
      </c>
      <c r="M2056" t="n">
        <v>0</v>
      </c>
      <c r="N2056" t="n">
        <v>0</v>
      </c>
      <c r="O2056" t="n">
        <v>0</v>
      </c>
      <c r="P2056" t="n">
        <v>0</v>
      </c>
      <c r="Q2056" t="n">
        <v>0</v>
      </c>
      <c r="R2056" t="inlineStr">
        <is>
          <t>Operationnel</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row>
    <row r="2057">
      <c r="A2057" t="inlineStr">
        <is>
          <t>Kolomine-IHS</t>
        </is>
      </c>
      <c r="B2057" t="inlineStr">
        <is>
          <t>EST_125</t>
        </is>
      </c>
      <c r="C2057" t="inlineStr">
        <is>
          <t>CENTRE</t>
        </is>
      </c>
      <c r="D2057" t="inlineStr">
        <is>
          <t>IHS</t>
        </is>
      </c>
      <c r="E2057" t="inlineStr">
        <is>
          <t>Hybrid-Gen</t>
        </is>
      </c>
      <c r="F2057" t="inlineStr">
        <is>
          <t>EST</t>
        </is>
      </c>
      <c r="G2057" t="inlineStr">
        <is>
          <t>Kolomine</t>
        </is>
      </c>
      <c r="H2057" t="inlineStr">
        <is>
          <t>ZTE</t>
        </is>
      </c>
      <c r="I2057" t="n">
        <v>0</v>
      </c>
      <c r="J2057" t="n">
        <v>0</v>
      </c>
      <c r="K2057" t="n">
        <v>0</v>
      </c>
      <c r="L2057" t="n">
        <v>0</v>
      </c>
      <c r="M2057" t="n">
        <v>0</v>
      </c>
      <c r="N2057" t="n">
        <v>0</v>
      </c>
      <c r="O2057" t="n">
        <v>0</v>
      </c>
      <c r="P2057" t="n">
        <v>0</v>
      </c>
      <c r="Q2057" t="n">
        <v>0</v>
      </c>
      <c r="R2057" t="inlineStr">
        <is>
          <t>Operationnel</t>
        </is>
      </c>
      <c r="S2057" t="inlineStr"/>
      <c r="T2057" t="inlineStr"/>
      <c r="U2057" t="inlineStr"/>
      <c r="V2057" t="inlineStr"/>
      <c r="W2057" t="inlineStr"/>
      <c r="X2057" t="inlineStr">
        <is>
          <t>{05-25-2026 ocm ran 22H}: Impacted by EST_045_Z_Kette (Power issue)</t>
        </is>
      </c>
      <c r="Y2057" t="inlineStr">
        <is>
          <t>Impacted by EST_045_Z_Kette (Power issue)</t>
        </is>
      </c>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{05-25-2026 ocm ran 22H}: Impacted by EST_045_Z_Kette (Power issue)</t>
        </is>
      </c>
      <c r="AP2057" t="inlineStr"/>
      <c r="AQ2057" t="inlineStr"/>
      <c r="AR2057" t="inlineStr"/>
    </row>
    <row r="2058">
      <c r="A2058" t="inlineStr">
        <is>
          <t>Missole-Entree</t>
        </is>
      </c>
      <c r="B2058" t="inlineStr">
        <is>
          <t>LIT_306</t>
        </is>
      </c>
      <c r="C2058" t="inlineStr">
        <is>
          <t>LITTORAL</t>
        </is>
      </c>
      <c r="D2058" t="inlineStr">
        <is>
          <t>IHS</t>
        </is>
      </c>
      <c r="E2058" t="inlineStr">
        <is>
          <t>Hybrid-Gen</t>
        </is>
      </c>
      <c r="F2058" t="inlineStr">
        <is>
          <t>LITTORAL</t>
        </is>
      </c>
      <c r="G2058" t="inlineStr">
        <is>
          <t>Missole</t>
        </is>
      </c>
      <c r="H2058" t="inlineStr">
        <is>
          <t>ZTE</t>
        </is>
      </c>
      <c r="I2058" t="n">
        <v>0</v>
      </c>
      <c r="J2058" t="n">
        <v>0</v>
      </c>
      <c r="K2058" t="n">
        <v>0</v>
      </c>
      <c r="L2058" t="n">
        <v>0</v>
      </c>
      <c r="M2058" t="n">
        <v>0</v>
      </c>
      <c r="N2058" t="n">
        <v>0</v>
      </c>
      <c r="O2058" t="n">
        <v>0</v>
      </c>
      <c r="P2058" t="n">
        <v>0</v>
      </c>
      <c r="Q2058" t="n">
        <v>0</v>
      </c>
      <c r="R2058" t="inlineStr">
        <is>
          <t>Operationnel</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row>
    <row r="2059">
      <c r="A2059" t="inlineStr">
        <is>
          <t>Baigon</t>
        </is>
      </c>
      <c r="B2059" t="inlineStr">
        <is>
          <t>OST_070</t>
        </is>
      </c>
      <c r="C2059" t="inlineStr">
        <is>
          <t>OUEST</t>
        </is>
      </c>
      <c r="D2059" t="inlineStr">
        <is>
          <t>IHS</t>
        </is>
      </c>
      <c r="E2059" t="inlineStr">
        <is>
          <t>Grid-Gen</t>
        </is>
      </c>
      <c r="F2059" t="inlineStr">
        <is>
          <t>OUEST</t>
        </is>
      </c>
      <c r="G2059" t="inlineStr">
        <is>
          <t>Baigon</t>
        </is>
      </c>
      <c r="H2059" t="inlineStr">
        <is>
          <t>HUAWEI</t>
        </is>
      </c>
      <c r="I2059" t="n">
        <v>0</v>
      </c>
      <c r="J2059" t="n">
        <v>0</v>
      </c>
      <c r="K2059" t="n">
        <v>0</v>
      </c>
      <c r="L2059" t="n">
        <v>0</v>
      </c>
      <c r="M2059" t="n">
        <v>0</v>
      </c>
      <c r="N2059" t="n">
        <v>0</v>
      </c>
      <c r="O2059" t="n">
        <v>0</v>
      </c>
      <c r="P2059" t="n">
        <v>0</v>
      </c>
      <c r="Q2059" t="n">
        <v>0</v>
      </c>
      <c r="R2059" t="inlineStr">
        <is>
          <t>Operationnel</t>
        </is>
      </c>
      <c r="S2059" t="inlineStr"/>
      <c r="T2059" t="inlineStr"/>
      <c r="U2059" t="inlineStr"/>
      <c r="V2059" t="inlineStr"/>
      <c r="W2059" t="inlineStr"/>
      <c r="X2059" t="inlineStr">
        <is>
          <t>{05-25-2026 ocm ran 17H}: Power status check Ongoing</t>
        </is>
      </c>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{05-25-2026 ocm ran 17H}: Power status check Ongoing</t>
        </is>
      </c>
      <c r="AQ2059" t="inlineStr"/>
      <c r="AR2059" t="inlineStr"/>
    </row>
    <row r="2060">
      <c r="A2060" t="inlineStr">
        <is>
          <t>Bangangte-Ville</t>
        </is>
      </c>
      <c r="B2060" t="inlineStr">
        <is>
          <t>OST_018</t>
        </is>
      </c>
      <c r="C2060" t="inlineStr">
        <is>
          <t>OUEST</t>
        </is>
      </c>
      <c r="D2060" t="inlineStr">
        <is>
          <t>IHS</t>
        </is>
      </c>
      <c r="E2060" t="inlineStr">
        <is>
          <t>Grid Only</t>
        </is>
      </c>
      <c r="F2060" t="inlineStr">
        <is>
          <t>OUEST</t>
        </is>
      </c>
      <c r="G2060" t="inlineStr">
        <is>
          <t>Bangangte</t>
        </is>
      </c>
      <c r="H2060" t="inlineStr">
        <is>
          <t>HUAWEI</t>
        </is>
      </c>
      <c r="I2060" t="n">
        <v>0</v>
      </c>
      <c r="J2060" t="n">
        <v>0</v>
      </c>
      <c r="K2060" t="n">
        <v>0</v>
      </c>
      <c r="L2060" t="n">
        <v>0</v>
      </c>
      <c r="M2060" t="n">
        <v>0</v>
      </c>
      <c r="N2060" t="n">
        <v>0</v>
      </c>
      <c r="O2060" t="n">
        <v>0</v>
      </c>
      <c r="P2060" t="n">
        <v>0</v>
      </c>
      <c r="Q2060" t="n">
        <v>0</v>
      </c>
      <c r="R2060" t="inlineStr">
        <is>
          <t>Operationnel</t>
        </is>
      </c>
      <c r="S2060" t="inlineStr"/>
      <c r="T2060" t="inlineStr"/>
      <c r="U2060" t="inlineStr"/>
      <c r="V2060" t="inlineStr"/>
      <c r="W2060" t="inlineStr"/>
      <c r="X2060" t="inlineStr">
        <is>
          <t>{05-25-2026 incident}:  {05-18-2026 groupe whatsapp incident}: impacted by   N_OST_012 et environs   ,Travaux nokia , full swap yenon_bagante (T605170778) ||  Action: correction par nokia</t>
        </is>
      </c>
      <c r="Y2060" t="inlineStr">
        <is>
          <t>{05-25-2026 incident} {05-18-2026 groupe whatsapp incident} impacted by N_OST_012 et environs ,Travaux nokia , full swap yenon_bagante (T605170778) || Action correction par nokia</t>
        </is>
      </c>
      <c r="Z2060" t="inlineStr"/>
      <c r="AA2060" t="inlineStr">
        <is>
          <t>{05-25-2026 incident}:  {05-18-2026 groupe whatsapp incident}: impacted by   N_OST_012 et environs   ,Travaux nokia , full swap yenon_bagante (T605170778) ||  Action: correction par nokia</t>
        </is>
      </c>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row>
    <row r="2061">
      <c r="A2061" t="inlineStr">
        <is>
          <t>Kenzou</t>
        </is>
      </c>
      <c r="B2061" t="inlineStr">
        <is>
          <t>EST_016</t>
        </is>
      </c>
      <c r="C2061" t="inlineStr">
        <is>
          <t>CENTRE</t>
        </is>
      </c>
      <c r="D2061" t="inlineStr">
        <is>
          <t>IHS</t>
        </is>
      </c>
      <c r="E2061" t="inlineStr">
        <is>
          <t>Solar-Gen</t>
        </is>
      </c>
      <c r="F2061" t="inlineStr">
        <is>
          <t>EST</t>
        </is>
      </c>
      <c r="G2061" t="inlineStr">
        <is>
          <t>Kenzou</t>
        </is>
      </c>
      <c r="H2061" t="inlineStr">
        <is>
          <t>ZTE</t>
        </is>
      </c>
      <c r="I2061" t="n">
        <v>0</v>
      </c>
      <c r="J2061" t="n">
        <v>0</v>
      </c>
      <c r="K2061" t="n">
        <v>0</v>
      </c>
      <c r="L2061" t="n">
        <v>0</v>
      </c>
      <c r="M2061" t="n">
        <v>0</v>
      </c>
      <c r="N2061" t="n">
        <v>0</v>
      </c>
      <c r="O2061" t="n">
        <v>0</v>
      </c>
      <c r="P2061" t="n">
        <v>0</v>
      </c>
      <c r="Q2061" t="n">
        <v>0</v>
      </c>
      <c r="R2061" t="inlineStr">
        <is>
          <t>Operationnel</t>
        </is>
      </c>
      <c r="S2061" t="inlineStr"/>
      <c r="T2061" t="inlineStr"/>
      <c r="U2061" t="inlineStr"/>
      <c r="V2061" t="inlineStr"/>
      <c r="W2061" t="inlineStr"/>
      <c r="X2061" t="inlineStr">
        <is>
          <t>{05-25-2026 incident}: {05-18-2026 groupe whatsapp incident}: impacted by  Kenzou_U_EST_016 , Travaux planifier || Action : fin des travaux</t>
        </is>
      </c>
      <c r="Y2061" t="inlineStr">
        <is>
          <t>{05-25-2026 incident} {05-18-2026 groupe whatsapp incident} impacted by Kenzou_U_EST_016 , Travaux planifier || Action fin des travaux</t>
        </is>
      </c>
      <c r="Z2061" t="inlineStr"/>
      <c r="AA2061" t="inlineStr">
        <is>
          <t>{05-25-2026 incident}: {05-18-2026 groupe whatsapp incident}: impacted by  Kenzou_U_EST_016 , Travaux planifier || Action : fin des travaux</t>
        </is>
      </c>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row>
    <row r="2062">
      <c r="A2062" t="inlineStr">
        <is>
          <t>Nkoundja</t>
        </is>
      </c>
      <c r="B2062" t="inlineStr">
        <is>
          <t>OST_006</t>
        </is>
      </c>
      <c r="C2062" t="inlineStr">
        <is>
          <t>OUEST</t>
        </is>
      </c>
      <c r="D2062" t="inlineStr">
        <is>
          <t>IHS</t>
        </is>
      </c>
      <c r="E2062" t="inlineStr">
        <is>
          <t>Grid-Gen</t>
        </is>
      </c>
      <c r="F2062" t="inlineStr">
        <is>
          <t>OUEST</t>
        </is>
      </c>
      <c r="G2062" t="inlineStr">
        <is>
          <t>Nkoundja</t>
        </is>
      </c>
      <c r="H2062" t="inlineStr">
        <is>
          <t>HUAWEI</t>
        </is>
      </c>
      <c r="I2062" t="n">
        <v>0</v>
      </c>
      <c r="J2062" t="n">
        <v>0</v>
      </c>
      <c r="K2062" t="n">
        <v>0</v>
      </c>
      <c r="L2062" t="n">
        <v>0</v>
      </c>
      <c r="M2062" t="n">
        <v>0</v>
      </c>
      <c r="N2062" t="n">
        <v>0</v>
      </c>
      <c r="O2062" t="n">
        <v>0</v>
      </c>
      <c r="P2062" t="n">
        <v>0</v>
      </c>
      <c r="Q2062" t="n">
        <v>0</v>
      </c>
      <c r="R2062" t="inlineStr">
        <is>
          <t>Operationnel</t>
        </is>
      </c>
      <c r="S2062" t="inlineStr"/>
      <c r="T2062" t="inlineStr"/>
      <c r="U2062" t="inlineStr"/>
      <c r="V2062" t="inlineStr"/>
      <c r="W2062" t="inlineStr"/>
      <c r="X2062" t="inlineStr">
        <is>
          <t>{05-25-2026 ocm ran 17H}: Power status check Ongoing</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{05-25-2026 ocm ran 17H}: Power status check Ongoing</t>
        </is>
      </c>
      <c r="AQ2062" t="inlineStr"/>
      <c r="AR2062" t="inlineStr"/>
    </row>
    <row r="2063">
      <c r="A2063" t="inlineStr">
        <is>
          <t>Mbanga</t>
        </is>
      </c>
      <c r="B2063" t="inlineStr">
        <is>
          <t>LIT_031</t>
        </is>
      </c>
      <c r="C2063" t="inlineStr">
        <is>
          <t>LITTORAL</t>
        </is>
      </c>
      <c r="D2063" t="inlineStr">
        <is>
          <t>IHS</t>
        </is>
      </c>
      <c r="E2063" t="inlineStr">
        <is>
          <t>Grid-Gen</t>
        </is>
      </c>
      <c r="F2063" t="inlineStr">
        <is>
          <t>LITTORAL</t>
        </is>
      </c>
      <c r="G2063" t="inlineStr">
        <is>
          <t>Mbanga</t>
        </is>
      </c>
      <c r="H2063" t="inlineStr">
        <is>
          <t>ZTE</t>
        </is>
      </c>
      <c r="I2063" t="n">
        <v>0</v>
      </c>
      <c r="J2063" t="n">
        <v>0</v>
      </c>
      <c r="K2063" t="n">
        <v>0</v>
      </c>
      <c r="L2063" t="n">
        <v>0</v>
      </c>
      <c r="M2063" t="n">
        <v>0</v>
      </c>
      <c r="N2063" t="n">
        <v>0</v>
      </c>
      <c r="O2063" t="n">
        <v>0</v>
      </c>
      <c r="P2063" t="n">
        <v>0</v>
      </c>
      <c r="Q2063" t="n">
        <v>0</v>
      </c>
      <c r="R2063" t="inlineStr">
        <is>
          <t>Operationnel</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row>
    <row r="2064">
      <c r="A2064" t="inlineStr">
        <is>
          <t>Mbanga2-IHS</t>
        </is>
      </c>
      <c r="B2064" t="inlineStr">
        <is>
          <t>LIT_430</t>
        </is>
      </c>
      <c r="C2064" t="inlineStr">
        <is>
          <t>LITTORAL</t>
        </is>
      </c>
      <c r="D2064" t="inlineStr">
        <is>
          <t>IHS</t>
        </is>
      </c>
      <c r="E2064" t="inlineStr">
        <is>
          <t>Grid-Gen</t>
        </is>
      </c>
      <c r="F2064" t="inlineStr">
        <is>
          <t>LITTORAL</t>
        </is>
      </c>
      <c r="G2064" t="inlineStr">
        <is>
          <t>Mbanga</t>
        </is>
      </c>
      <c r="H2064" t="inlineStr">
        <is>
          <t>ZTE</t>
        </is>
      </c>
      <c r="I2064" t="n">
        <v>0</v>
      </c>
      <c r="J2064" t="n">
        <v>0</v>
      </c>
      <c r="K2064" t="n">
        <v>0</v>
      </c>
      <c r="L2064" t="n">
        <v>0</v>
      </c>
      <c r="M2064" t="n">
        <v>0</v>
      </c>
      <c r="N2064" t="n">
        <v>0</v>
      </c>
      <c r="O2064" t="n">
        <v>0</v>
      </c>
      <c r="P2064" t="n">
        <v>0</v>
      </c>
      <c r="Q2064" t="n">
        <v>0</v>
      </c>
      <c r="R2064" t="inlineStr">
        <is>
          <t>Operationnel</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row>
    <row r="2065">
      <c r="A2065" t="inlineStr">
        <is>
          <t>Mbankomo-IHS</t>
        </is>
      </c>
      <c r="B2065" t="inlineStr">
        <is>
          <t>CTR_528</t>
        </is>
      </c>
      <c r="C2065" t="inlineStr">
        <is>
          <t>CENTRE</t>
        </is>
      </c>
      <c r="D2065" t="inlineStr">
        <is>
          <t>IHS</t>
        </is>
      </c>
      <c r="E2065" t="inlineStr">
        <is>
          <t>Grid-Gen</t>
        </is>
      </c>
      <c r="F2065" t="inlineStr">
        <is>
          <t>CENTRE</t>
        </is>
      </c>
      <c r="G2065" t="inlineStr">
        <is>
          <t>Mbankomo</t>
        </is>
      </c>
      <c r="H2065" t="inlineStr">
        <is>
          <t>ZTE</t>
        </is>
      </c>
      <c r="I2065" t="n">
        <v>0</v>
      </c>
      <c r="J2065" t="n">
        <v>0</v>
      </c>
      <c r="K2065" t="n">
        <v>0</v>
      </c>
      <c r="L2065" t="n">
        <v>0</v>
      </c>
      <c r="M2065" t="n">
        <v>0</v>
      </c>
      <c r="N2065" t="n">
        <v>0</v>
      </c>
      <c r="O2065" t="n">
        <v>0</v>
      </c>
      <c r="P2065" t="n">
        <v>0</v>
      </c>
      <c r="Q2065" t="n">
        <v>0</v>
      </c>
      <c r="R2065" t="inlineStr">
        <is>
          <t>Operationnel</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row>
    <row r="2066">
      <c r="A2066" t="inlineStr">
        <is>
          <t>Akok</t>
        </is>
      </c>
      <c r="B2066" t="inlineStr">
        <is>
          <t>CTR_663</t>
        </is>
      </c>
      <c r="C2066" t="inlineStr">
        <is>
          <t>CENTRE</t>
        </is>
      </c>
      <c r="D2066" t="inlineStr">
        <is>
          <t>CAMUSAT</t>
        </is>
      </c>
      <c r="E2066" t="inlineStr">
        <is>
          <t>Good Grid + Solar + GE</t>
        </is>
      </c>
      <c r="F2066" t="inlineStr">
        <is>
          <t>CENTRE</t>
        </is>
      </c>
      <c r="G2066" t="inlineStr">
        <is>
          <t>Akok</t>
        </is>
      </c>
      <c r="H2066" t="inlineStr">
        <is>
          <t>ZTE</t>
        </is>
      </c>
      <c r="I2066" t="n">
        <v>0</v>
      </c>
      <c r="J2066" t="n">
        <v>0</v>
      </c>
      <c r="K2066" t="n">
        <v>0</v>
      </c>
      <c r="L2066" t="n">
        <v>0</v>
      </c>
      <c r="M2066" t="n">
        <v>0</v>
      </c>
      <c r="N2066" t="n">
        <v>0</v>
      </c>
      <c r="O2066" t="n">
        <v>0</v>
      </c>
      <c r="P2066" t="n">
        <v>0</v>
      </c>
      <c r="Q2066" t="n">
        <v>0</v>
      </c>
      <c r="R2066" t="inlineStr">
        <is>
          <t>Operationnel</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row>
    <row r="2067">
      <c r="A2067" t="inlineStr">
        <is>
          <t>Loum-Joli-IHS</t>
        </is>
      </c>
      <c r="B2067" t="inlineStr">
        <is>
          <t>LIT_521</t>
        </is>
      </c>
      <c r="C2067" t="inlineStr">
        <is>
          <t>LITTORAL</t>
        </is>
      </c>
      <c r="D2067" t="inlineStr">
        <is>
          <t>IHS</t>
        </is>
      </c>
      <c r="E2067" t="inlineStr">
        <is>
          <t>Grid-Gen</t>
        </is>
      </c>
      <c r="F2067" t="inlineStr">
        <is>
          <t>LITTORAL</t>
        </is>
      </c>
      <c r="G2067" t="inlineStr">
        <is>
          <t>Loum</t>
        </is>
      </c>
      <c r="H2067" t="inlineStr">
        <is>
          <t>ZTE</t>
        </is>
      </c>
      <c r="I2067" t="n">
        <v>0</v>
      </c>
      <c r="J2067" t="n">
        <v>0</v>
      </c>
      <c r="K2067" t="n">
        <v>0</v>
      </c>
      <c r="L2067" t="n">
        <v>0</v>
      </c>
      <c r="M2067" t="n">
        <v>0</v>
      </c>
      <c r="N2067" t="n">
        <v>0</v>
      </c>
      <c r="O2067" t="n">
        <v>0</v>
      </c>
      <c r="P2067" t="n">
        <v>0</v>
      </c>
      <c r="Q2067" t="n">
        <v>0</v>
      </c>
      <c r="R2067" t="inlineStr">
        <is>
          <t>Operationnel</t>
        </is>
      </c>
      <c r="S2067" t="inlineStr"/>
      <c r="T2067" t="inlineStr"/>
      <c r="U2067" t="inlineStr"/>
      <c r="V2067" t="inlineStr"/>
      <c r="W2067" t="inlineStr"/>
      <c r="X2067" t="inlineStr">
        <is>
          <t>{None hourly IHS}: 25/05/2026 16:37..0:42:05..Fme is managing with level 0</t>
        </is>
      </c>
      <c r="Y2067" t="inlineStr">
        <is>
          <t>25/05/2026 16 37.0 42 05.Fme is managing with level 0</t>
        </is>
      </c>
      <c r="Z2067" t="inlineStr"/>
      <c r="AA2067" t="inlineStr"/>
      <c r="AB2067" t="inlineStr"/>
      <c r="AC2067" t="inlineStr"/>
      <c r="AD2067" t="inlineStr"/>
      <c r="AE2067" t="inlineStr">
        <is>
          <t>{None hourly IHS}: 25/05/2026 16:37..0:42:05..Fme is managing with level 0</t>
        </is>
      </c>
      <c r="AF2067" t="inlineStr"/>
      <c r="AG2067" t="inlineStr"/>
      <c r="AH2067" t="inlineStr"/>
      <c r="AI2067" t="inlineStr"/>
      <c r="AJ2067" t="inlineStr"/>
      <c r="AK2067" t="inlineStr"/>
      <c r="AL2067" t="inlineStr"/>
      <c r="AM2067" t="inlineStr"/>
      <c r="AN2067" t="inlineStr"/>
      <c r="AO2067" t="inlineStr"/>
      <c r="AP2067" t="inlineStr"/>
      <c r="AQ2067" t="inlineStr"/>
      <c r="AR2067" t="inlineStr"/>
    </row>
    <row r="2068">
      <c r="A2068" t="inlineStr">
        <is>
          <t>Ngambe-Tikar-IHS</t>
        </is>
      </c>
      <c r="B2068" t="inlineStr">
        <is>
          <t>OST_031</t>
        </is>
      </c>
      <c r="C2068" t="inlineStr">
        <is>
          <t>OUEST</t>
        </is>
      </c>
      <c r="D2068" t="inlineStr">
        <is>
          <t>IHS</t>
        </is>
      </c>
      <c r="E2068" t="inlineStr">
        <is>
          <t>Grid-Gen</t>
        </is>
      </c>
      <c r="F2068" t="inlineStr">
        <is>
          <t>OUEST</t>
        </is>
      </c>
      <c r="G2068" t="inlineStr">
        <is>
          <t>Ngambe-Tikar</t>
        </is>
      </c>
      <c r="H2068" t="inlineStr">
        <is>
          <t>ZTE</t>
        </is>
      </c>
      <c r="I2068" t="n">
        <v>0</v>
      </c>
      <c r="J2068" t="n">
        <v>0</v>
      </c>
      <c r="K2068" t="n">
        <v>0</v>
      </c>
      <c r="L2068" t="n">
        <v>0</v>
      </c>
      <c r="M2068" t="n">
        <v>0</v>
      </c>
      <c r="N2068" t="n">
        <v>0</v>
      </c>
      <c r="O2068" t="n">
        <v>0</v>
      </c>
      <c r="P2068" t="n">
        <v>0</v>
      </c>
      <c r="Q2068" t="n">
        <v>0</v>
      </c>
      <c r="R2068" t="inlineStr">
        <is>
          <t>Operationnel</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row>
    <row r="2069">
      <c r="A2069" t="inlineStr">
        <is>
          <t>Ndokayo</t>
        </is>
      </c>
      <c r="B2069" t="inlineStr">
        <is>
          <t>EST_054</t>
        </is>
      </c>
      <c r="C2069" t="inlineStr">
        <is>
          <t>CENTRE</t>
        </is>
      </c>
      <c r="D2069" t="inlineStr">
        <is>
          <t>IHS</t>
        </is>
      </c>
      <c r="E2069" t="inlineStr">
        <is>
          <t>Solar-Gen-Lithium</t>
        </is>
      </c>
      <c r="F2069" t="inlineStr">
        <is>
          <t>EST</t>
        </is>
      </c>
      <c r="G2069" t="inlineStr">
        <is>
          <t>Ndokayo</t>
        </is>
      </c>
      <c r="H2069" t="inlineStr">
        <is>
          <t>ZTE</t>
        </is>
      </c>
      <c r="I2069" t="n">
        <v>0</v>
      </c>
      <c r="J2069" t="n">
        <v>0</v>
      </c>
      <c r="K2069" t="n">
        <v>0</v>
      </c>
      <c r="L2069" t="n">
        <v>0</v>
      </c>
      <c r="M2069" t="n">
        <v>0</v>
      </c>
      <c r="N2069" t="n">
        <v>0</v>
      </c>
      <c r="O2069" t="n">
        <v>0</v>
      </c>
      <c r="P2069" t="n">
        <v>0</v>
      </c>
      <c r="Q2069" t="n">
        <v>0</v>
      </c>
      <c r="R2069" t="inlineStr">
        <is>
          <t>Operationnel</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row>
    <row r="2070">
      <c r="A2070" t="inlineStr">
        <is>
          <t>Ouli-IHS</t>
        </is>
      </c>
      <c r="B2070" t="inlineStr">
        <is>
          <t>EST_114</t>
        </is>
      </c>
      <c r="C2070" t="inlineStr">
        <is>
          <t>CENTRE</t>
        </is>
      </c>
      <c r="D2070" t="inlineStr">
        <is>
          <t>IHS</t>
        </is>
      </c>
      <c r="E2070" t="inlineStr">
        <is>
          <t>Gen Only</t>
        </is>
      </c>
      <c r="F2070" t="inlineStr">
        <is>
          <t>EST</t>
        </is>
      </c>
      <c r="G2070" t="inlineStr">
        <is>
          <t>Ouli</t>
        </is>
      </c>
      <c r="H2070" t="inlineStr">
        <is>
          <t>ZTE</t>
        </is>
      </c>
      <c r="I2070" t="n">
        <v>0</v>
      </c>
      <c r="J2070" t="n">
        <v>0</v>
      </c>
      <c r="K2070" t="n">
        <v>0</v>
      </c>
      <c r="L2070" t="n">
        <v>0</v>
      </c>
      <c r="M2070" t="n">
        <v>0</v>
      </c>
      <c r="N2070" t="n">
        <v>0</v>
      </c>
      <c r="O2070" t="n">
        <v>0</v>
      </c>
      <c r="P2070" t="n">
        <v>0</v>
      </c>
      <c r="Q2070" t="n">
        <v>0</v>
      </c>
      <c r="R2070" t="inlineStr">
        <is>
          <t>Operationnel</t>
        </is>
      </c>
      <c r="S2070" t="inlineStr"/>
      <c r="T2070" t="inlineStr"/>
      <c r="U2070" t="inlineStr"/>
      <c r="V2070" t="inlineStr"/>
      <c r="W2070" t="inlineStr"/>
      <c r="X2070" t="inlineStr">
        <is>
          <t>{05-25-2026 ocm ran 22H}: 25.05.26: IHS: FME is managing with level 0 - Escalated to L2</t>
        </is>
      </c>
      <c r="Y2070" t="inlineStr">
        <is>
          <t>25.05.26 IHS FME is managing with level 0 - Escalated to L2</t>
        </is>
      </c>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{05-25-2026 ocm ran 22H}: 25.05.26: IHS: FME is managing with level 0 - Escalated to L2</t>
        </is>
      </c>
      <c r="AP2070" t="inlineStr"/>
      <c r="AQ2070" t="inlineStr"/>
      <c r="AR2070" t="inlineStr"/>
    </row>
    <row r="2071">
      <c r="A2071" t="inlineStr">
        <is>
          <t>Pouma</t>
        </is>
      </c>
      <c r="B2071" t="inlineStr">
        <is>
          <t>LIT_069</t>
        </is>
      </c>
      <c r="C2071" t="inlineStr">
        <is>
          <t>LITTORAL</t>
        </is>
      </c>
      <c r="D2071" t="inlineStr">
        <is>
          <t>IHS</t>
        </is>
      </c>
      <c r="E2071" t="inlineStr">
        <is>
          <t>Grid-Gen</t>
        </is>
      </c>
      <c r="F2071" t="inlineStr">
        <is>
          <t>LITTORAL</t>
        </is>
      </c>
      <c r="G2071" t="inlineStr">
        <is>
          <t>Pouma</t>
        </is>
      </c>
      <c r="H2071" t="inlineStr">
        <is>
          <t>ZTE</t>
        </is>
      </c>
      <c r="I2071" t="n">
        <v>0</v>
      </c>
      <c r="J2071" t="n">
        <v>0</v>
      </c>
      <c r="K2071" t="n">
        <v>0</v>
      </c>
      <c r="L2071" t="n">
        <v>0</v>
      </c>
      <c r="M2071" t="n">
        <v>0</v>
      </c>
      <c r="N2071" t="n">
        <v>0</v>
      </c>
      <c r="O2071" t="n">
        <v>0</v>
      </c>
      <c r="P2071" t="n">
        <v>0</v>
      </c>
      <c r="Q2071" t="n">
        <v>0</v>
      </c>
      <c r="R2071" t="inlineStr">
        <is>
          <t>Operationnel</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row>
    <row r="2072">
      <c r="A2072" t="inlineStr">
        <is>
          <t>Kouoptamo</t>
        </is>
      </c>
      <c r="B2072" t="inlineStr">
        <is>
          <t>OST_058</t>
        </is>
      </c>
      <c r="C2072" t="inlineStr">
        <is>
          <t>OUEST</t>
        </is>
      </c>
      <c r="D2072" t="inlineStr">
        <is>
          <t>IHS</t>
        </is>
      </c>
      <c r="E2072" t="inlineStr">
        <is>
          <t>Grid-Gen</t>
        </is>
      </c>
      <c r="F2072" t="inlineStr">
        <is>
          <t>OUEST</t>
        </is>
      </c>
      <c r="G2072" t="inlineStr">
        <is>
          <t>Kouoptamo</t>
        </is>
      </c>
      <c r="H2072" t="inlineStr">
        <is>
          <t>HUAWEI</t>
        </is>
      </c>
      <c r="I2072" t="n">
        <v>0</v>
      </c>
      <c r="J2072" t="n">
        <v>0</v>
      </c>
      <c r="K2072" t="n">
        <v>0</v>
      </c>
      <c r="L2072" t="n">
        <v>0</v>
      </c>
      <c r="M2072" t="n">
        <v>0</v>
      </c>
      <c r="N2072" t="n">
        <v>0</v>
      </c>
      <c r="O2072" t="n">
        <v>0</v>
      </c>
      <c r="P2072" t="n">
        <v>0</v>
      </c>
      <c r="Q2072" t="n">
        <v>0</v>
      </c>
      <c r="R2072" t="inlineStr">
        <is>
          <t>Operationnel</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row>
    <row r="2073">
      <c r="A2073" t="inlineStr">
        <is>
          <t>Gomala-IHS</t>
        </is>
      </c>
      <c r="B2073" t="inlineStr">
        <is>
          <t>EST_126</t>
        </is>
      </c>
      <c r="C2073" t="inlineStr">
        <is>
          <t>CENTRE</t>
        </is>
      </c>
      <c r="D2073" t="inlineStr">
        <is>
          <t>IHS</t>
        </is>
      </c>
      <c r="E2073" t="inlineStr">
        <is>
          <t>Solar-Gen-Lithium</t>
        </is>
      </c>
      <c r="F2073" t="inlineStr">
        <is>
          <t>EST</t>
        </is>
      </c>
      <c r="G2073" t="inlineStr">
        <is>
          <t>Gomala</t>
        </is>
      </c>
      <c r="H2073" t="inlineStr">
        <is>
          <t>ZTE</t>
        </is>
      </c>
      <c r="I2073" t="n">
        <v>0</v>
      </c>
      <c r="J2073" t="n">
        <v>0</v>
      </c>
      <c r="K2073" t="n">
        <v>0</v>
      </c>
      <c r="L2073" t="n">
        <v>0</v>
      </c>
      <c r="M2073" t="n">
        <v>0</v>
      </c>
      <c r="N2073" t="n">
        <v>0</v>
      </c>
      <c r="O2073" t="n">
        <v>0</v>
      </c>
      <c r="P2073" t="n">
        <v>0</v>
      </c>
      <c r="Q2073" t="n">
        <v>0</v>
      </c>
      <c r="R2073" t="inlineStr">
        <is>
          <t>Operationnel</t>
        </is>
      </c>
      <c r="S2073" t="inlineStr"/>
      <c r="T2073" t="inlineStr"/>
      <c r="U2073" t="inlineStr"/>
      <c r="V2073" t="inlineStr"/>
      <c r="W2073" t="inlineStr"/>
      <c r="X2073" t="inlineStr">
        <is>
          <t>{05-25-2026 incident}: {05-18-2026 groupe whatsapp incident}: impacted by  Kenzou_U_EST_016 , Travaux planifier || Action : fin des travaux</t>
        </is>
      </c>
      <c r="Y2073" t="inlineStr">
        <is>
          <t>{05-25-2026 incident} {05-18-2026 groupe whatsapp incident} impacted by Kenzou_U_EST_016 , Travaux planifier || Action fin des travaux</t>
        </is>
      </c>
      <c r="Z2073" t="inlineStr"/>
      <c r="AA2073" t="inlineStr">
        <is>
          <t>{05-25-2026 incident}: {05-18-2026 groupe whatsapp incident}: impacted by  Kenzou_U_EST_016 , Travaux planifier || Action : fin des travaux</t>
        </is>
      </c>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row>
    <row r="2074">
      <c r="A2074" t="inlineStr">
        <is>
          <t>Njombe-Market-IHS</t>
        </is>
      </c>
      <c r="B2074" t="inlineStr">
        <is>
          <t>LIT_492</t>
        </is>
      </c>
      <c r="C2074" t="inlineStr">
        <is>
          <t>LITTORAL</t>
        </is>
      </c>
      <c r="D2074" t="inlineStr">
        <is>
          <t>IHS</t>
        </is>
      </c>
      <c r="E2074" t="inlineStr">
        <is>
          <t>Grid-Gen</t>
        </is>
      </c>
      <c r="F2074" t="inlineStr">
        <is>
          <t>LITTORAL</t>
        </is>
      </c>
      <c r="G2074" t="inlineStr">
        <is>
          <t>Njombe</t>
        </is>
      </c>
      <c r="H2074" t="inlineStr">
        <is>
          <t>ZTE</t>
        </is>
      </c>
      <c r="I2074" t="n">
        <v>0</v>
      </c>
      <c r="J2074" t="n">
        <v>0</v>
      </c>
      <c r="K2074" t="n">
        <v>0</v>
      </c>
      <c r="L2074" t="n">
        <v>0</v>
      </c>
      <c r="M2074" t="n">
        <v>0</v>
      </c>
      <c r="N2074" t="n">
        <v>0</v>
      </c>
      <c r="O2074" t="n">
        <v>0</v>
      </c>
      <c r="P2074" t="n">
        <v>0</v>
      </c>
      <c r="Q2074" t="n">
        <v>0</v>
      </c>
      <c r="R2074" t="inlineStr">
        <is>
          <t>Operationnel</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row>
    <row r="2075">
      <c r="A2075" t="inlineStr">
        <is>
          <t>Boumnyebel-MTN</t>
        </is>
      </c>
      <c r="B2075" t="inlineStr">
        <is>
          <t>CTR_286</t>
        </is>
      </c>
      <c r="C2075" t="inlineStr">
        <is>
          <t>CENTRE</t>
        </is>
      </c>
      <c r="D2075" t="inlineStr">
        <is>
          <t>IHS</t>
        </is>
      </c>
      <c r="E2075" t="inlineStr">
        <is>
          <t>Grid-Gen</t>
        </is>
      </c>
      <c r="F2075" t="inlineStr">
        <is>
          <t>CENTRE</t>
        </is>
      </c>
      <c r="G2075" t="inlineStr">
        <is>
          <t>Boumnyebel</t>
        </is>
      </c>
      <c r="H2075" t="inlineStr">
        <is>
          <t>ZTE</t>
        </is>
      </c>
      <c r="I2075" t="n">
        <v>0</v>
      </c>
      <c r="J2075" t="n">
        <v>0</v>
      </c>
      <c r="K2075" t="n">
        <v>0</v>
      </c>
      <c r="L2075" t="n">
        <v>0</v>
      </c>
      <c r="M2075" t="n">
        <v>0</v>
      </c>
      <c r="N2075" t="n">
        <v>0</v>
      </c>
      <c r="O2075" t="n">
        <v>0</v>
      </c>
      <c r="P2075" t="n">
        <v>0</v>
      </c>
      <c r="Q2075" t="n">
        <v>0</v>
      </c>
      <c r="R2075" t="inlineStr">
        <is>
          <t>Operationnel</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row>
    <row r="2076">
      <c r="A2076" t="inlineStr">
        <is>
          <t>Nkolnkoumou</t>
        </is>
      </c>
      <c r="B2076" t="inlineStr">
        <is>
          <t>CTR_676</t>
        </is>
      </c>
      <c r="C2076" t="inlineStr">
        <is>
          <t>Yaounde</t>
        </is>
      </c>
      <c r="D2076" t="inlineStr">
        <is>
          <t>IHS</t>
        </is>
      </c>
      <c r="E2076" t="inlineStr">
        <is>
          <t>Grid-Gen-Lithium</t>
        </is>
      </c>
      <c r="F2076" t="inlineStr">
        <is>
          <t>CENTRE</t>
        </is>
      </c>
      <c r="G2076" t="inlineStr">
        <is>
          <t>Yaounde</t>
        </is>
      </c>
      <c r="H2076" t="inlineStr">
        <is>
          <t>ZTE</t>
        </is>
      </c>
      <c r="I2076" t="n">
        <v>0</v>
      </c>
      <c r="J2076" t="n">
        <v>0</v>
      </c>
      <c r="K2076" t="n">
        <v>0</v>
      </c>
      <c r="L2076" t="n">
        <v>0</v>
      </c>
      <c r="M2076" t="n">
        <v>0</v>
      </c>
      <c r="N2076" t="n">
        <v>0</v>
      </c>
      <c r="O2076" t="n">
        <v>0</v>
      </c>
      <c r="P2076" t="n">
        <v>0</v>
      </c>
      <c r="Q2076" t="n">
        <v>0</v>
      </c>
      <c r="R2076" t="inlineStr">
        <is>
          <t>Operationnel</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row>
    <row r="2077">
      <c r="A2077" t="inlineStr">
        <is>
          <t>Mengbwa-Camtel</t>
        </is>
      </c>
      <c r="B2077" t="inlineStr">
        <is>
          <t>SUD_078</t>
        </is>
      </c>
      <c r="C2077" t="inlineStr">
        <is>
          <t>CENTRE</t>
        </is>
      </c>
      <c r="D2077" t="inlineStr">
        <is>
          <t>CAMUSAT</t>
        </is>
      </c>
      <c r="E2077" t="inlineStr">
        <is>
          <t>Bad Grid + GE</t>
        </is>
      </c>
      <c r="F2077" t="inlineStr">
        <is>
          <t>SUD</t>
        </is>
      </c>
      <c r="G2077" t="inlineStr">
        <is>
          <t>Mengbwa</t>
        </is>
      </c>
      <c r="H2077" t="inlineStr">
        <is>
          <t>NOKIA</t>
        </is>
      </c>
      <c r="I2077" t="n">
        <v>0</v>
      </c>
      <c r="J2077" t="n">
        <v>0</v>
      </c>
      <c r="K2077" t="n">
        <v>0</v>
      </c>
      <c r="L2077" t="n">
        <v>0</v>
      </c>
      <c r="M2077" t="n">
        <v>0</v>
      </c>
      <c r="N2077" t="n">
        <v>0</v>
      </c>
      <c r="O2077" t="n">
        <v>0</v>
      </c>
      <c r="P2077" t="n">
        <v>0</v>
      </c>
      <c r="Q2077" t="n">
        <v>0</v>
      </c>
      <c r="R2077" t="inlineStr">
        <is>
          <t>Operationnel</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row>
    <row r="2078">
      <c r="A2078" t="inlineStr">
        <is>
          <t>Awae-MTN-IHS</t>
        </is>
      </c>
      <c r="B2078" t="inlineStr">
        <is>
          <t>CTR_187</t>
        </is>
      </c>
      <c r="C2078" t="inlineStr">
        <is>
          <t>CENTRE</t>
        </is>
      </c>
      <c r="D2078" t="inlineStr">
        <is>
          <t>IHS</t>
        </is>
      </c>
      <c r="E2078" t="inlineStr">
        <is>
          <t>Grid-Gen</t>
        </is>
      </c>
      <c r="F2078" t="inlineStr">
        <is>
          <t>CENTRE</t>
        </is>
      </c>
      <c r="G2078" t="inlineStr">
        <is>
          <t>Awae</t>
        </is>
      </c>
      <c r="H2078" t="inlineStr">
        <is>
          <t>ZTE</t>
        </is>
      </c>
      <c r="I2078" t="n">
        <v>0</v>
      </c>
      <c r="J2078" t="n">
        <v>0</v>
      </c>
      <c r="K2078" t="n">
        <v>0</v>
      </c>
      <c r="L2078" t="n">
        <v>0</v>
      </c>
      <c r="M2078" t="n">
        <v>0</v>
      </c>
      <c r="N2078" t="n">
        <v>0</v>
      </c>
      <c r="O2078" t="n">
        <v>0</v>
      </c>
      <c r="P2078" t="n">
        <v>0</v>
      </c>
      <c r="Q2078" t="n">
        <v>0</v>
      </c>
      <c r="R2078" t="inlineStr">
        <is>
          <t>Operationnel</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row>
    <row r="2079">
      <c r="A2079" t="inlineStr">
        <is>
          <t>Obala-Carrefour-MTN-IHS</t>
        </is>
      </c>
      <c r="B2079" t="inlineStr">
        <is>
          <t>CTR_174</t>
        </is>
      </c>
      <c r="C2079" t="inlineStr">
        <is>
          <t>CENTRE</t>
        </is>
      </c>
      <c r="D2079" t="inlineStr">
        <is>
          <t>IHS</t>
        </is>
      </c>
      <c r="E2079" t="inlineStr">
        <is>
          <t>Hybrid-Gen</t>
        </is>
      </c>
      <c r="F2079" t="inlineStr">
        <is>
          <t>CENTRE</t>
        </is>
      </c>
      <c r="G2079" t="inlineStr">
        <is>
          <t>Obala</t>
        </is>
      </c>
      <c r="H2079" t="inlineStr">
        <is>
          <t>ZTE</t>
        </is>
      </c>
      <c r="I2079" t="n">
        <v>0</v>
      </c>
      <c r="J2079" t="n">
        <v>0</v>
      </c>
      <c r="K2079" t="n">
        <v>0</v>
      </c>
      <c r="L2079" t="n">
        <v>0</v>
      </c>
      <c r="M2079" t="n">
        <v>0</v>
      </c>
      <c r="N2079" t="n">
        <v>0</v>
      </c>
      <c r="O2079" t="n">
        <v>0</v>
      </c>
      <c r="P2079" t="n">
        <v>0</v>
      </c>
      <c r="Q2079" t="n">
        <v>0</v>
      </c>
      <c r="R2079" t="inlineStr">
        <is>
          <t>Operationnel</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row>
    <row r="2080">
      <c r="A2080" t="inlineStr">
        <is>
          <t>Nkoteng-Ville-IHS</t>
        </is>
      </c>
      <c r="B2080" t="inlineStr">
        <is>
          <t>CTR_506</t>
        </is>
      </c>
      <c r="C2080" t="inlineStr">
        <is>
          <t>CENTRE</t>
        </is>
      </c>
      <c r="D2080" t="inlineStr">
        <is>
          <t>IHS</t>
        </is>
      </c>
      <c r="E2080" t="inlineStr">
        <is>
          <t>Grid-Gen</t>
        </is>
      </c>
      <c r="F2080" t="inlineStr">
        <is>
          <t>CENTRE</t>
        </is>
      </c>
      <c r="G2080" t="inlineStr">
        <is>
          <t>Nkoteng</t>
        </is>
      </c>
      <c r="H2080" t="inlineStr">
        <is>
          <t>ZTE</t>
        </is>
      </c>
      <c r="I2080" t="n">
        <v>0</v>
      </c>
      <c r="J2080" t="n">
        <v>0</v>
      </c>
      <c r="K2080" t="n">
        <v>0</v>
      </c>
      <c r="L2080" t="n">
        <v>0</v>
      </c>
      <c r="M2080" t="n">
        <v>0</v>
      </c>
      <c r="N2080" t="n">
        <v>0</v>
      </c>
      <c r="O2080" t="n">
        <v>0</v>
      </c>
      <c r="P2080" t="n">
        <v>0</v>
      </c>
      <c r="Q2080" t="n">
        <v>0</v>
      </c>
      <c r="R2080" t="inlineStr">
        <is>
          <t>Operationnel</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row>
    <row r="2081">
      <c r="A2081" t="inlineStr">
        <is>
          <t>Botmakak</t>
        </is>
      </c>
      <c r="B2081" t="inlineStr">
        <is>
          <t>CTR_189</t>
        </is>
      </c>
      <c r="C2081" t="inlineStr">
        <is>
          <t>CENTRE</t>
        </is>
      </c>
      <c r="D2081" t="inlineStr">
        <is>
          <t>IHS</t>
        </is>
      </c>
      <c r="E2081" t="inlineStr">
        <is>
          <t>Grid-Gen</t>
        </is>
      </c>
      <c r="F2081" t="inlineStr">
        <is>
          <t>CENTRE</t>
        </is>
      </c>
      <c r="G2081" t="inlineStr">
        <is>
          <t>Botmakak</t>
        </is>
      </c>
      <c r="H2081" t="inlineStr">
        <is>
          <t>ZTE</t>
        </is>
      </c>
      <c r="I2081" t="n">
        <v>0</v>
      </c>
      <c r="J2081" t="n">
        <v>0</v>
      </c>
      <c r="K2081" t="n">
        <v>0</v>
      </c>
      <c r="L2081" t="n">
        <v>0</v>
      </c>
      <c r="M2081" t="n">
        <v>0</v>
      </c>
      <c r="N2081" t="n">
        <v>0</v>
      </c>
      <c r="O2081" t="n">
        <v>0</v>
      </c>
      <c r="P2081" t="n">
        <v>0</v>
      </c>
      <c r="Q2081" t="n">
        <v>0</v>
      </c>
      <c r="R2081" t="inlineStr">
        <is>
          <t>Operationnel</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row>
    <row r="2082">
      <c r="A2082" t="inlineStr">
        <is>
          <t>Djoum-Ville-IHS</t>
        </is>
      </c>
      <c r="B2082" t="inlineStr">
        <is>
          <t>SUD_064</t>
        </is>
      </c>
      <c r="C2082" t="inlineStr">
        <is>
          <t>CENTRE</t>
        </is>
      </c>
      <c r="D2082" t="inlineStr">
        <is>
          <t>IHS</t>
        </is>
      </c>
      <c r="E2082" t="inlineStr">
        <is>
          <t>Grid-Gen</t>
        </is>
      </c>
      <c r="F2082" t="inlineStr">
        <is>
          <t>SUD</t>
        </is>
      </c>
      <c r="G2082" t="inlineStr">
        <is>
          <t>Djoum</t>
        </is>
      </c>
      <c r="H2082" t="inlineStr">
        <is>
          <t>ZTE</t>
        </is>
      </c>
      <c r="I2082" t="n">
        <v>0</v>
      </c>
      <c r="J2082" t="n">
        <v>0</v>
      </c>
      <c r="K2082" t="n">
        <v>0</v>
      </c>
      <c r="L2082" t="n">
        <v>0</v>
      </c>
      <c r="M2082" t="n">
        <v>0</v>
      </c>
      <c r="N2082" t="n">
        <v>0</v>
      </c>
      <c r="O2082" t="n">
        <v>0</v>
      </c>
      <c r="P2082" t="n">
        <v>0</v>
      </c>
      <c r="Q2082" t="n">
        <v>0</v>
      </c>
      <c r="R2082" t="inlineStr">
        <is>
          <t>Operationnel</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row>
    <row r="2083">
      <c r="A2083" t="inlineStr">
        <is>
          <t>SANGLA</t>
        </is>
      </c>
      <c r="B2083" t="inlineStr">
        <is>
          <t>CTR_892</t>
        </is>
      </c>
      <c r="C2083" t="inlineStr">
        <is>
          <t>CENTRE</t>
        </is>
      </c>
      <c r="D2083" t="inlineStr">
        <is>
          <t>CAMUSAT</t>
        </is>
      </c>
      <c r="E2083" t="inlineStr">
        <is>
          <t>Hybrid Solar - S3</t>
        </is>
      </c>
      <c r="F2083" t="inlineStr">
        <is>
          <t>CENTRE</t>
        </is>
      </c>
      <c r="G2083" t="inlineStr">
        <is>
          <t>Sangla</t>
        </is>
      </c>
      <c r="H2083" t="inlineStr">
        <is>
          <t>ZTE</t>
        </is>
      </c>
      <c r="I2083" t="n">
        <v>0</v>
      </c>
      <c r="J2083" t="n">
        <v>0</v>
      </c>
      <c r="K2083" t="n">
        <v>0</v>
      </c>
      <c r="L2083" t="n">
        <v>0</v>
      </c>
      <c r="M2083" t="n">
        <v>0</v>
      </c>
      <c r="N2083" t="n">
        <v>0</v>
      </c>
      <c r="O2083" t="n">
        <v>0</v>
      </c>
      <c r="P2083" t="n">
        <v>0</v>
      </c>
      <c r="Q2083" t="n">
        <v>0</v>
      </c>
      <c r="R2083" t="inlineStr">
        <is>
          <t>Operationnel</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row>
    <row r="2084">
      <c r="A2084" t="inlineStr">
        <is>
          <t>Mbankomo-Dajoll</t>
        </is>
      </c>
      <c r="B2084" t="inlineStr">
        <is>
          <t>CTR_710</t>
        </is>
      </c>
      <c r="C2084" t="inlineStr">
        <is>
          <t>CENTRE</t>
        </is>
      </c>
      <c r="D2084" t="inlineStr">
        <is>
          <t>CAMUSAT</t>
        </is>
      </c>
      <c r="E2084" t="inlineStr">
        <is>
          <t>Good Grid + GE</t>
        </is>
      </c>
      <c r="F2084" t="inlineStr">
        <is>
          <t>CENTRE</t>
        </is>
      </c>
      <c r="G2084" t="inlineStr">
        <is>
          <t>Mbankomo</t>
        </is>
      </c>
      <c r="H2084" t="inlineStr">
        <is>
          <t>ZTE</t>
        </is>
      </c>
      <c r="I2084" t="n">
        <v>0</v>
      </c>
      <c r="J2084" t="n">
        <v>0</v>
      </c>
      <c r="K2084" t="n">
        <v>0</v>
      </c>
      <c r="L2084" t="n">
        <v>0</v>
      </c>
      <c r="M2084" t="n">
        <v>0</v>
      </c>
      <c r="N2084" t="n">
        <v>0</v>
      </c>
      <c r="O2084" t="n">
        <v>0</v>
      </c>
      <c r="P2084" t="n">
        <v>0</v>
      </c>
      <c r="Q2084" t="n">
        <v>0</v>
      </c>
      <c r="R2084" t="inlineStr">
        <is>
          <t>Operationnel</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row>
    <row r="2085">
      <c r="A2085" t="inlineStr">
        <is>
          <t>Oveng-Mission-Catholique</t>
        </is>
      </c>
      <c r="B2085" t="inlineStr">
        <is>
          <t>CTR_898</t>
        </is>
      </c>
      <c r="C2085" t="inlineStr">
        <is>
          <t>CENTRE</t>
        </is>
      </c>
      <c r="D2085" t="inlineStr">
        <is>
          <t>CAMUSAT</t>
        </is>
      </c>
      <c r="E2085" t="inlineStr">
        <is>
          <t>Medium Grid + GE</t>
        </is>
      </c>
      <c r="F2085" t="inlineStr">
        <is>
          <t>CENTRE</t>
        </is>
      </c>
      <c r="G2085" t="inlineStr">
        <is>
          <t>Mbankomo</t>
        </is>
      </c>
      <c r="H2085" t="inlineStr">
        <is>
          <t>NOKIA</t>
        </is>
      </c>
      <c r="I2085" t="n">
        <v>0</v>
      </c>
      <c r="J2085" t="n">
        <v>0</v>
      </c>
      <c r="K2085" t="n">
        <v>0</v>
      </c>
      <c r="L2085" t="n">
        <v>0</v>
      </c>
      <c r="M2085" t="n">
        <v>0</v>
      </c>
      <c r="N2085" t="n">
        <v>0</v>
      </c>
      <c r="O2085" t="n">
        <v>0</v>
      </c>
      <c r="P2085" t="n">
        <v>0</v>
      </c>
      <c r="Q2085" t="n">
        <v>0</v>
      </c>
      <c r="R2085" t="inlineStr">
        <is>
          <t>Operationnel</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row>
    <row r="2086">
      <c r="A2086" t="inlineStr">
        <is>
          <t>DZENG</t>
        </is>
      </c>
      <c r="B2086" t="inlineStr">
        <is>
          <t>CTR_856</t>
        </is>
      </c>
      <c r="C2086" t="inlineStr">
        <is>
          <t>CENTRE</t>
        </is>
      </c>
      <c r="D2086" t="inlineStr">
        <is>
          <t>IHS</t>
        </is>
      </c>
      <c r="E2086" t="inlineStr"/>
      <c r="F2086" t="inlineStr">
        <is>
          <t>CENTRE</t>
        </is>
      </c>
      <c r="G2086" t="inlineStr">
        <is>
          <t>Binguela</t>
        </is>
      </c>
      <c r="H2086" t="inlineStr">
        <is>
          <t>ZTE</t>
        </is>
      </c>
      <c r="I2086" t="n">
        <v>0</v>
      </c>
      <c r="J2086" t="n">
        <v>0</v>
      </c>
      <c r="K2086" t="n">
        <v>0</v>
      </c>
      <c r="L2086" t="n">
        <v>0</v>
      </c>
      <c r="M2086" t="n">
        <v>0</v>
      </c>
      <c r="N2086" t="n">
        <v>0</v>
      </c>
      <c r="O2086" t="n">
        <v>0</v>
      </c>
      <c r="P2086" t="n">
        <v>0</v>
      </c>
      <c r="Q2086" t="n">
        <v>0</v>
      </c>
      <c r="R2086" t="inlineStr">
        <is>
          <t>Operationnel</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row>
    <row r="2087">
      <c r="A2087" t="inlineStr">
        <is>
          <t>Essiezik</t>
        </is>
      </c>
      <c r="B2087" t="inlineStr">
        <is>
          <t>CTR_348</t>
        </is>
      </c>
      <c r="C2087" t="inlineStr">
        <is>
          <t>CENTRE</t>
        </is>
      </c>
      <c r="D2087" t="inlineStr">
        <is>
          <t>IHS</t>
        </is>
      </c>
      <c r="E2087" t="inlineStr">
        <is>
          <t>Gen-Lithium</t>
        </is>
      </c>
      <c r="F2087" t="inlineStr">
        <is>
          <t>CENTRE</t>
        </is>
      </c>
      <c r="G2087" t="inlineStr">
        <is>
          <t>Essiezik</t>
        </is>
      </c>
      <c r="H2087" t="inlineStr">
        <is>
          <t>ZTE</t>
        </is>
      </c>
      <c r="I2087" t="n">
        <v>0</v>
      </c>
      <c r="J2087" t="n">
        <v>0</v>
      </c>
      <c r="K2087" t="n">
        <v>0</v>
      </c>
      <c r="L2087" t="n">
        <v>0</v>
      </c>
      <c r="M2087" t="n">
        <v>0</v>
      </c>
      <c r="N2087" t="n">
        <v>0</v>
      </c>
      <c r="O2087" t="n">
        <v>0</v>
      </c>
      <c r="P2087" t="n">
        <v>0</v>
      </c>
      <c r="Q2087" t="n">
        <v>0</v>
      </c>
      <c r="R2087" t="inlineStr">
        <is>
          <t>Operationnel</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row>
    <row r="2088">
      <c r="A2088" t="inlineStr">
        <is>
          <t>Bangoulap</t>
        </is>
      </c>
      <c r="B2088" t="inlineStr">
        <is>
          <t>OST_314</t>
        </is>
      </c>
      <c r="C2088" t="inlineStr">
        <is>
          <t>OUEST</t>
        </is>
      </c>
      <c r="D2088" t="inlineStr"/>
      <c r="E2088" t="inlineStr"/>
      <c r="F2088" t="inlineStr">
        <is>
          <t>OUEST</t>
        </is>
      </c>
      <c r="G2088" t="inlineStr">
        <is>
          <t>Bangangté</t>
        </is>
      </c>
      <c r="H2088" t="inlineStr">
        <is>
          <t>HUAWEI</t>
        </is>
      </c>
      <c r="I2088" t="n">
        <v>0</v>
      </c>
      <c r="J2088" t="n">
        <v>0</v>
      </c>
      <c r="K2088" t="n">
        <v>0</v>
      </c>
      <c r="L2088" t="n">
        <v>0</v>
      </c>
      <c r="M2088" t="n">
        <v>0</v>
      </c>
      <c r="N2088" t="n">
        <v>0</v>
      </c>
      <c r="O2088" t="n">
        <v>0</v>
      </c>
      <c r="P2088" t="n">
        <v>0</v>
      </c>
      <c r="Q2088" t="n">
        <v>0</v>
      </c>
      <c r="R2088" t="inlineStr">
        <is>
          <t>Operationnel</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row>
    <row r="2089">
      <c r="A2089" t="inlineStr">
        <is>
          <t>Nguila</t>
        </is>
      </c>
      <c r="B2089" t="inlineStr">
        <is>
          <t>CTR_299</t>
        </is>
      </c>
      <c r="C2089" t="inlineStr">
        <is>
          <t>CENTRE</t>
        </is>
      </c>
      <c r="D2089" t="inlineStr">
        <is>
          <t>IHS</t>
        </is>
      </c>
      <c r="E2089" t="inlineStr">
        <is>
          <t>Gen Only</t>
        </is>
      </c>
      <c r="F2089" t="inlineStr">
        <is>
          <t>CENTRE</t>
        </is>
      </c>
      <c r="G2089" t="inlineStr">
        <is>
          <t>Nguila</t>
        </is>
      </c>
      <c r="H2089" t="inlineStr">
        <is>
          <t>ZTE</t>
        </is>
      </c>
      <c r="I2089" t="n">
        <v>0</v>
      </c>
      <c r="J2089" t="n">
        <v>0</v>
      </c>
      <c r="K2089" t="n">
        <v>0</v>
      </c>
      <c r="L2089" t="n">
        <v>0</v>
      </c>
      <c r="M2089" t="n">
        <v>0</v>
      </c>
      <c r="N2089" t="n">
        <v>0</v>
      </c>
      <c r="O2089" t="n">
        <v>0</v>
      </c>
      <c r="P2089" t="n">
        <v>0</v>
      </c>
      <c r="Q2089" t="n">
        <v>0</v>
      </c>
      <c r="R2089" t="inlineStr">
        <is>
          <t>Operationnel</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row>
    <row r="2090">
      <c r="A2090" t="inlineStr">
        <is>
          <t>Talba</t>
        </is>
      </c>
      <c r="B2090" t="inlineStr">
        <is>
          <t>CTR_206</t>
        </is>
      </c>
      <c r="C2090" t="inlineStr">
        <is>
          <t>CENTRE</t>
        </is>
      </c>
      <c r="D2090" t="inlineStr">
        <is>
          <t>IHS</t>
        </is>
      </c>
      <c r="E2090" t="inlineStr">
        <is>
          <t>Grid-Gen</t>
        </is>
      </c>
      <c r="F2090" t="inlineStr">
        <is>
          <t>CENTRE</t>
        </is>
      </c>
      <c r="G2090" t="inlineStr">
        <is>
          <t>Talba</t>
        </is>
      </c>
      <c r="H2090" t="inlineStr">
        <is>
          <t>ZTE</t>
        </is>
      </c>
      <c r="I2090" t="n">
        <v>0</v>
      </c>
      <c r="J2090" t="n">
        <v>0</v>
      </c>
      <c r="K2090" t="n">
        <v>0</v>
      </c>
      <c r="L2090" t="n">
        <v>0</v>
      </c>
      <c r="M2090" t="n">
        <v>0</v>
      </c>
      <c r="N2090" t="n">
        <v>0</v>
      </c>
      <c r="O2090" t="n">
        <v>0</v>
      </c>
      <c r="P2090" t="n">
        <v>0</v>
      </c>
      <c r="Q2090" t="n">
        <v>0</v>
      </c>
      <c r="R2090" t="inlineStr">
        <is>
          <t>Operationnel</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row>
    <row r="2091">
      <c r="A2091" t="inlineStr">
        <is>
          <t>Batcham-II</t>
        </is>
      </c>
      <c r="B2091" t="inlineStr">
        <is>
          <t>OST_243</t>
        </is>
      </c>
      <c r="C2091" t="inlineStr">
        <is>
          <t>OUEST</t>
        </is>
      </c>
      <c r="D2091" t="inlineStr">
        <is>
          <t>CAMUSAT</t>
        </is>
      </c>
      <c r="E2091" t="inlineStr">
        <is>
          <t>HGB</t>
        </is>
      </c>
      <c r="F2091" t="inlineStr">
        <is>
          <t>OUEST</t>
        </is>
      </c>
      <c r="G2091" t="inlineStr">
        <is>
          <t>Batcham</t>
        </is>
      </c>
      <c r="H2091" t="inlineStr">
        <is>
          <t>HUAWEI</t>
        </is>
      </c>
      <c r="I2091" t="n">
        <v>0</v>
      </c>
      <c r="J2091" t="n">
        <v>0</v>
      </c>
      <c r="K2091" t="n">
        <v>0</v>
      </c>
      <c r="L2091" t="n">
        <v>0</v>
      </c>
      <c r="M2091" t="n">
        <v>0</v>
      </c>
      <c r="N2091" t="n">
        <v>0</v>
      </c>
      <c r="O2091" t="n">
        <v>0</v>
      </c>
      <c r="P2091" t="n">
        <v>0</v>
      </c>
      <c r="Q2091" t="n">
        <v>0</v>
      </c>
      <c r="R2091" t="inlineStr">
        <is>
          <t>Operationnel</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row>
    <row r="2092">
      <c r="A2092" t="inlineStr">
        <is>
          <t>Badoumguia</t>
        </is>
      </c>
      <c r="B2092" t="inlineStr">
        <is>
          <t>OST_303</t>
        </is>
      </c>
      <c r="C2092" t="inlineStr">
        <is>
          <t>OUEST</t>
        </is>
      </c>
      <c r="D2092" t="inlineStr">
        <is>
          <t>CAMUSAT</t>
        </is>
      </c>
      <c r="E2092" t="inlineStr">
        <is>
          <t>Hybrid Solar - S3</t>
        </is>
      </c>
      <c r="F2092" t="inlineStr">
        <is>
          <t>OUEST</t>
        </is>
      </c>
      <c r="G2092" t="inlineStr">
        <is>
          <t>Badoumguia</t>
        </is>
      </c>
      <c r="H2092" t="inlineStr">
        <is>
          <t>HUAWEI</t>
        </is>
      </c>
      <c r="I2092" t="n">
        <v>0</v>
      </c>
      <c r="J2092" t="n">
        <v>0</v>
      </c>
      <c r="K2092" t="n">
        <v>0</v>
      </c>
      <c r="L2092" t="n">
        <v>0</v>
      </c>
      <c r="M2092" t="n">
        <v>0</v>
      </c>
      <c r="N2092" t="n">
        <v>0</v>
      </c>
      <c r="O2092" t="n">
        <v>0</v>
      </c>
      <c r="P2092" t="n">
        <v>0</v>
      </c>
      <c r="Q2092" t="n">
        <v>0</v>
      </c>
      <c r="R2092" t="inlineStr">
        <is>
          <t>Operationnel</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row>
    <row r="2093">
      <c r="A2093" t="inlineStr">
        <is>
          <t>Gbiti-IHS</t>
        </is>
      </c>
      <c r="B2093" t="inlineStr">
        <is>
          <t>EST_101</t>
        </is>
      </c>
      <c r="C2093" t="inlineStr">
        <is>
          <t>CENTRE</t>
        </is>
      </c>
      <c r="D2093" t="inlineStr">
        <is>
          <t>IHS</t>
        </is>
      </c>
      <c r="E2093" t="inlineStr">
        <is>
          <t>Hybrid-Gen</t>
        </is>
      </c>
      <c r="F2093" t="inlineStr">
        <is>
          <t>EST</t>
        </is>
      </c>
      <c r="G2093" t="inlineStr">
        <is>
          <t>Gbiti</t>
        </is>
      </c>
      <c r="H2093" t="inlineStr">
        <is>
          <t>ZTE</t>
        </is>
      </c>
      <c r="I2093" t="n">
        <v>0</v>
      </c>
      <c r="J2093" t="n">
        <v>0</v>
      </c>
      <c r="K2093" t="n">
        <v>0</v>
      </c>
      <c r="L2093" t="n">
        <v>0</v>
      </c>
      <c r="M2093" t="n">
        <v>0</v>
      </c>
      <c r="N2093" t="n">
        <v>0</v>
      </c>
      <c r="O2093" t="n">
        <v>0</v>
      </c>
      <c r="P2093" t="n">
        <v>0</v>
      </c>
      <c r="Q2093" t="n">
        <v>0</v>
      </c>
      <c r="R2093" t="inlineStr">
        <is>
          <t>Operationnel</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row>
    <row r="2094">
      <c r="A2094" t="inlineStr">
        <is>
          <t>Bangangte</t>
        </is>
      </c>
      <c r="B2094" t="inlineStr">
        <is>
          <t>OST_012</t>
        </is>
      </c>
      <c r="C2094" t="inlineStr">
        <is>
          <t>OUEST</t>
        </is>
      </c>
      <c r="D2094" t="inlineStr">
        <is>
          <t>IHS</t>
        </is>
      </c>
      <c r="E2094" t="inlineStr">
        <is>
          <t>Grid-Gen</t>
        </is>
      </c>
      <c r="F2094" t="inlineStr">
        <is>
          <t>OUEST</t>
        </is>
      </c>
      <c r="G2094" t="inlineStr">
        <is>
          <t>Bangangte</t>
        </is>
      </c>
      <c r="H2094" t="inlineStr">
        <is>
          <t>HUAWEI</t>
        </is>
      </c>
      <c r="I2094" t="n">
        <v>0</v>
      </c>
      <c r="J2094" t="n">
        <v>0</v>
      </c>
      <c r="K2094" t="n">
        <v>0</v>
      </c>
      <c r="L2094" t="n">
        <v>0</v>
      </c>
      <c r="M2094" t="n">
        <v>0</v>
      </c>
      <c r="N2094" t="n">
        <v>0</v>
      </c>
      <c r="O2094" t="n">
        <v>0</v>
      </c>
      <c r="P2094" t="n">
        <v>0</v>
      </c>
      <c r="Q2094" t="n">
        <v>0</v>
      </c>
      <c r="R2094" t="inlineStr">
        <is>
          <t>Operationnel</t>
        </is>
      </c>
      <c r="S2094" t="inlineStr"/>
      <c r="T2094" t="inlineStr"/>
      <c r="U2094" t="inlineStr"/>
      <c r="V2094" t="inlineStr"/>
      <c r="W2094" t="inlineStr"/>
      <c r="X2094" t="inlineStr">
        <is>
          <t>{05-25-2026 incident}:  {05-18-2026 groupe whatsapp incident}: impacted by   N_OST_012 et environs   ,Travaux nokia , full swap yenon_bagante (T605170778) ||  Action: correction par nokia</t>
        </is>
      </c>
      <c r="Y2094" t="inlineStr">
        <is>
          <t>{05-25-2026 incident} {05-18-2026 groupe whatsapp incident} impacted by N_OST_012 et environs ,Travaux nokia , full swap yenon_bagante (T605170778) || Action correction par nokia</t>
        </is>
      </c>
      <c r="Z2094" t="inlineStr"/>
      <c r="AA2094" t="inlineStr">
        <is>
          <t>{05-25-2026 incident}:  {05-18-2026 groupe whatsapp incident}: impacted by   N_OST_012 et environs   ,Travaux nokia , full swap yenon_bagante (T605170778) ||  Action: correction par nokia</t>
        </is>
      </c>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row>
    <row r="2095">
      <c r="A2095" t="inlineStr">
        <is>
          <t>Bambit-MTN</t>
        </is>
      </c>
      <c r="B2095" t="inlineStr">
        <is>
          <t>OST_048</t>
        </is>
      </c>
      <c r="C2095" t="inlineStr">
        <is>
          <t>OUEST</t>
        </is>
      </c>
      <c r="D2095" t="inlineStr">
        <is>
          <t>IHS</t>
        </is>
      </c>
      <c r="E2095" t="inlineStr">
        <is>
          <t>Grid-Gen</t>
        </is>
      </c>
      <c r="F2095" t="inlineStr">
        <is>
          <t>OUEST</t>
        </is>
      </c>
      <c r="G2095" t="inlineStr">
        <is>
          <t>Bambit</t>
        </is>
      </c>
      <c r="H2095" t="inlineStr">
        <is>
          <t>HUAWEI</t>
        </is>
      </c>
      <c r="I2095" t="n">
        <v>0</v>
      </c>
      <c r="J2095" t="n">
        <v>0</v>
      </c>
      <c r="K2095" t="n">
        <v>0</v>
      </c>
      <c r="L2095" t="n">
        <v>0</v>
      </c>
      <c r="M2095" t="n">
        <v>0</v>
      </c>
      <c r="N2095" t="n">
        <v>0</v>
      </c>
      <c r="O2095" t="n">
        <v>0</v>
      </c>
      <c r="P2095" t="n">
        <v>0</v>
      </c>
      <c r="Q2095" t="n">
        <v>0</v>
      </c>
      <c r="R2095" t="inlineStr">
        <is>
          <t>Operationnel</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row>
    <row r="2096">
      <c r="A2096" t="inlineStr">
        <is>
          <t>Saa-IHS</t>
        </is>
      </c>
      <c r="B2096" t="inlineStr">
        <is>
          <t>CTR_829</t>
        </is>
      </c>
      <c r="C2096" t="inlineStr">
        <is>
          <t>CENTRE</t>
        </is>
      </c>
      <c r="D2096" t="inlineStr">
        <is>
          <t>IHS</t>
        </is>
      </c>
      <c r="E2096" t="inlineStr">
        <is>
          <t>Grid-Gen</t>
        </is>
      </c>
      <c r="F2096" t="inlineStr">
        <is>
          <t>CENTRE</t>
        </is>
      </c>
      <c r="G2096" t="inlineStr">
        <is>
          <t>Saa</t>
        </is>
      </c>
      <c r="H2096" t="inlineStr">
        <is>
          <t>ZTE</t>
        </is>
      </c>
      <c r="I2096" t="n">
        <v>0</v>
      </c>
      <c r="J2096" t="n">
        <v>0</v>
      </c>
      <c r="K2096" t="n">
        <v>0</v>
      </c>
      <c r="L2096" t="n">
        <v>0</v>
      </c>
      <c r="M2096" t="n">
        <v>0</v>
      </c>
      <c r="N2096" t="n">
        <v>0</v>
      </c>
      <c r="O2096" t="n">
        <v>0</v>
      </c>
      <c r="P2096" t="n">
        <v>0</v>
      </c>
      <c r="Q2096" t="n">
        <v>0</v>
      </c>
      <c r="R2096" t="inlineStr">
        <is>
          <t>Operationnel</t>
        </is>
      </c>
      <c r="S2096" t="inlineStr"/>
      <c r="T2096" t="inlineStr"/>
      <c r="U2096" t="inlineStr"/>
      <c r="V2096" t="inlineStr"/>
      <c r="W2096" t="inlineStr"/>
      <c r="X2096"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    {None hourly IHS}: 25/05/2026 06:08..0:14:52..0.9V..fme is on the way ETA 07:20 AM</t>
        </is>
      </c>
      <c r="Y2096"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 25/05/2026 06 08.0 14 52.0.9V.fme is on the way ETA 07 20 AM</t>
        </is>
      </c>
      <c r="Z2096" t="inlineStr"/>
      <c r="AA2096"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096" t="inlineStr"/>
      <c r="AC2096" t="inlineStr"/>
      <c r="AD2096" t="inlineStr"/>
      <c r="AE2096" t="inlineStr">
        <is>
          <t>{None hourly IHS}: 25/05/2026 06:08..0:14:52..0.9V..fme is on the way ETA 07:20 AM</t>
        </is>
      </c>
      <c r="AF2096" t="inlineStr"/>
      <c r="AG2096" t="inlineStr"/>
      <c r="AH2096" t="inlineStr"/>
      <c r="AI2096" t="inlineStr"/>
      <c r="AJ2096" t="inlineStr"/>
      <c r="AK2096" t="inlineStr"/>
      <c r="AL2096" t="inlineStr"/>
      <c r="AM2096" t="inlineStr"/>
      <c r="AN2096" t="inlineStr"/>
      <c r="AO2096" t="inlineStr"/>
      <c r="AP2096" t="inlineStr"/>
      <c r="AQ2096" t="inlineStr"/>
      <c r="AR2096" t="inlineStr"/>
    </row>
    <row r="2097">
      <c r="A2097" t="inlineStr">
        <is>
          <t>Basseu-MTN</t>
        </is>
      </c>
      <c r="B2097" t="inlineStr">
        <is>
          <t>OST_322</t>
        </is>
      </c>
      <c r="C2097" t="inlineStr">
        <is>
          <t>OUEST</t>
        </is>
      </c>
      <c r="D2097" t="inlineStr"/>
      <c r="E2097" t="inlineStr"/>
      <c r="F2097" t="inlineStr">
        <is>
          <t>OUEST</t>
        </is>
      </c>
      <c r="G2097" t="inlineStr">
        <is>
          <t>Bandja</t>
        </is>
      </c>
      <c r="H2097" t="inlineStr">
        <is>
          <t>HUAWEI</t>
        </is>
      </c>
      <c r="I2097" t="n">
        <v>0</v>
      </c>
      <c r="J2097" t="n">
        <v>0</v>
      </c>
      <c r="K2097" t="n">
        <v>0</v>
      </c>
      <c r="L2097" t="n">
        <v>0</v>
      </c>
      <c r="M2097" t="n">
        <v>0</v>
      </c>
      <c r="N2097" t="n">
        <v>0</v>
      </c>
      <c r="O2097" t="n">
        <v>0</v>
      </c>
      <c r="P2097" t="n">
        <v>0</v>
      </c>
      <c r="Q2097" t="n">
        <v>0</v>
      </c>
      <c r="R2097" t="inlineStr">
        <is>
          <t>Operationnel</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row>
    <row r="2098">
      <c r="A2098" t="inlineStr">
        <is>
          <t>Tchabal</t>
        </is>
      </c>
      <c r="B2098" t="inlineStr">
        <is>
          <t>ADM_016</t>
        </is>
      </c>
      <c r="C2098" t="inlineStr">
        <is>
          <t>ADAMAOUA</t>
        </is>
      </c>
      <c r="D2098" t="inlineStr">
        <is>
          <t>IHS</t>
        </is>
      </c>
      <c r="E2098" t="inlineStr">
        <is>
          <t>Solar-Grid-Gen</t>
        </is>
      </c>
      <c r="F2098" t="inlineStr">
        <is>
          <t>ADAMAOUA</t>
        </is>
      </c>
      <c r="G2098" t="inlineStr">
        <is>
          <t>Tchabal</t>
        </is>
      </c>
      <c r="H2098" t="inlineStr">
        <is>
          <t>HUAWEI</t>
        </is>
      </c>
      <c r="I2098" t="n">
        <v>0</v>
      </c>
      <c r="J2098" t="n">
        <v>0</v>
      </c>
      <c r="K2098" t="n">
        <v>0</v>
      </c>
      <c r="L2098" t="n">
        <v>0</v>
      </c>
      <c r="M2098" t="n">
        <v>0</v>
      </c>
      <c r="N2098" t="n">
        <v>0</v>
      </c>
      <c r="O2098" t="n">
        <v>0</v>
      </c>
      <c r="P2098" t="n">
        <v>0</v>
      </c>
      <c r="Q2098" t="n">
        <v>0</v>
      </c>
      <c r="R2098" t="inlineStr">
        <is>
          <t>Operationnel</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row>
    <row r="2099">
      <c r="A2099" t="inlineStr">
        <is>
          <t>Nkolbewae-IHS</t>
        </is>
      </c>
      <c r="B2099" t="inlineStr">
        <is>
          <t>CTR_440</t>
        </is>
      </c>
      <c r="C2099" t="inlineStr">
        <is>
          <t>CENTRE</t>
        </is>
      </c>
      <c r="D2099" t="inlineStr">
        <is>
          <t>IHS</t>
        </is>
      </c>
      <c r="E2099" t="inlineStr">
        <is>
          <t>Grid-Gen</t>
        </is>
      </c>
      <c r="F2099" t="inlineStr">
        <is>
          <t>CENTRE</t>
        </is>
      </c>
      <c r="G2099" t="inlineStr">
        <is>
          <t>Nkol-bewaa</t>
        </is>
      </c>
      <c r="H2099" t="inlineStr">
        <is>
          <t>ZTE</t>
        </is>
      </c>
      <c r="I2099" t="n">
        <v>0</v>
      </c>
      <c r="J2099" t="n">
        <v>0</v>
      </c>
      <c r="K2099" t="n">
        <v>0</v>
      </c>
      <c r="L2099" t="n">
        <v>0</v>
      </c>
      <c r="M2099" t="n">
        <v>0</v>
      </c>
      <c r="N2099" t="n">
        <v>0</v>
      </c>
      <c r="O2099" t="n">
        <v>0</v>
      </c>
      <c r="P2099" t="n">
        <v>0</v>
      </c>
      <c r="Q2099" t="n">
        <v>0</v>
      </c>
      <c r="R2099" t="inlineStr">
        <is>
          <t>Operationnel</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row>
    <row r="2100">
      <c r="A2100" t="inlineStr">
        <is>
          <t>Bangangte-Centre</t>
        </is>
      </c>
      <c r="B2100" t="inlineStr">
        <is>
          <t>OST_180</t>
        </is>
      </c>
      <c r="C2100" t="inlineStr">
        <is>
          <t>OUEST</t>
        </is>
      </c>
      <c r="D2100" t="inlineStr">
        <is>
          <t>IHS</t>
        </is>
      </c>
      <c r="E2100" t="inlineStr">
        <is>
          <t>Grid-Gen</t>
        </is>
      </c>
      <c r="F2100" t="inlineStr">
        <is>
          <t>OUEST</t>
        </is>
      </c>
      <c r="G2100" t="inlineStr">
        <is>
          <t>Bangangte</t>
        </is>
      </c>
      <c r="H2100" t="inlineStr">
        <is>
          <t>HUAWEI</t>
        </is>
      </c>
      <c r="I2100" t="n">
        <v>0</v>
      </c>
      <c r="J2100" t="n">
        <v>0</v>
      </c>
      <c r="K2100" t="n">
        <v>0</v>
      </c>
      <c r="L2100" t="n">
        <v>0</v>
      </c>
      <c r="M2100" t="n">
        <v>0</v>
      </c>
      <c r="N2100" t="n">
        <v>0</v>
      </c>
      <c r="O2100" t="n">
        <v>0</v>
      </c>
      <c r="P2100" t="n">
        <v>0</v>
      </c>
      <c r="Q2100" t="n">
        <v>0</v>
      </c>
      <c r="R2100" t="inlineStr">
        <is>
          <t>Operationnel</t>
        </is>
      </c>
      <c r="S2100" t="inlineStr"/>
      <c r="T2100" t="inlineStr"/>
      <c r="U2100" t="inlineStr"/>
      <c r="V2100" t="inlineStr"/>
      <c r="W2100" t="inlineStr"/>
      <c r="X2100" t="inlineStr">
        <is>
          <t>{05-25-2026 incident}:  {05-18-2026 groupe whatsapp incident}: impacted by   N_OST_012 et environs   ,Travaux nokia , full swap yenon_bagante (T605170778) ||  Action: correction par nokia</t>
        </is>
      </c>
      <c r="Y2100" t="inlineStr">
        <is>
          <t>{05-25-2026 incident} {05-18-2026 groupe whatsapp incident} impacted by N_OST_012 et environs ,Travaux nokia , full swap yenon_bagante (T605170778) || Action correction par nokia</t>
        </is>
      </c>
      <c r="Z2100" t="inlineStr"/>
      <c r="AA2100" t="inlineStr">
        <is>
          <t>{05-25-2026 incident}:  {05-18-2026 groupe whatsapp incident}: impacted by   N_OST_012 et environs   ,Travaux nokia , full swap yenon_bagante (T605170778) ||  Action: correction par nokia</t>
        </is>
      </c>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row>
    <row r="2101">
      <c r="A2101" t="inlineStr">
        <is>
          <t>Makenene</t>
        </is>
      </c>
      <c r="B2101" t="inlineStr">
        <is>
          <t>CTR_081</t>
        </is>
      </c>
      <c r="C2101" t="inlineStr">
        <is>
          <t>CENTRE</t>
        </is>
      </c>
      <c r="D2101" t="inlineStr">
        <is>
          <t>IHS</t>
        </is>
      </c>
      <c r="E2101" t="inlineStr">
        <is>
          <t>Grid-Gen</t>
        </is>
      </c>
      <c r="F2101" t="inlineStr">
        <is>
          <t>CENTRE</t>
        </is>
      </c>
      <c r="G2101" t="inlineStr">
        <is>
          <t>Makenene</t>
        </is>
      </c>
      <c r="H2101" t="inlineStr">
        <is>
          <t>ZTE</t>
        </is>
      </c>
      <c r="I2101" t="n">
        <v>0</v>
      </c>
      <c r="J2101" t="n">
        <v>0</v>
      </c>
      <c r="K2101" t="n">
        <v>0</v>
      </c>
      <c r="L2101" t="n">
        <v>0</v>
      </c>
      <c r="M2101" t="n">
        <v>0</v>
      </c>
      <c r="N2101" t="n">
        <v>0</v>
      </c>
      <c r="O2101" t="n">
        <v>0</v>
      </c>
      <c r="P2101" t="n">
        <v>0</v>
      </c>
      <c r="Q2101" t="n">
        <v>0</v>
      </c>
      <c r="R2101" t="inlineStr">
        <is>
          <t>Operationnel</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row>
    <row r="2102">
      <c r="A2102" t="inlineStr">
        <is>
          <t>Ngom</t>
        </is>
      </c>
      <c r="B2102" t="inlineStr">
        <is>
          <t>SUD_115</t>
        </is>
      </c>
      <c r="C2102" t="inlineStr">
        <is>
          <t>CENTRE</t>
        </is>
      </c>
      <c r="D2102" t="inlineStr"/>
      <c r="E2102" t="inlineStr"/>
      <c r="F2102" t="inlineStr">
        <is>
          <t>SUD</t>
        </is>
      </c>
      <c r="G2102" t="inlineStr">
        <is>
          <t>Ngom</t>
        </is>
      </c>
      <c r="H2102" t="inlineStr">
        <is>
          <t>ZTE</t>
        </is>
      </c>
      <c r="I2102" t="n">
        <v>0</v>
      </c>
      <c r="J2102" t="n">
        <v>0</v>
      </c>
      <c r="K2102" t="n">
        <v>0</v>
      </c>
      <c r="L2102" t="n">
        <v>0</v>
      </c>
      <c r="M2102" t="n">
        <v>0</v>
      </c>
      <c r="N2102" t="n">
        <v>0</v>
      </c>
      <c r="O2102" t="n">
        <v>0</v>
      </c>
      <c r="P2102" t="n">
        <v>0</v>
      </c>
      <c r="Q2102" t="n">
        <v>0</v>
      </c>
      <c r="R2102" t="inlineStr">
        <is>
          <t>Operationnel</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row>
    <row r="2103">
      <c r="A2103" t="inlineStr">
        <is>
          <t>Loum-PHP</t>
        </is>
      </c>
      <c r="B2103" t="inlineStr">
        <is>
          <t>LIT_593</t>
        </is>
      </c>
      <c r="C2103" t="inlineStr">
        <is>
          <t>LITTORAL</t>
        </is>
      </c>
      <c r="D2103" t="inlineStr">
        <is>
          <t>CAMUSAT</t>
        </is>
      </c>
      <c r="E2103" t="inlineStr">
        <is>
          <t>Medium Grid + GE</t>
        </is>
      </c>
      <c r="F2103" t="inlineStr">
        <is>
          <t>LITTORAL</t>
        </is>
      </c>
      <c r="G2103" t="inlineStr">
        <is>
          <t>Loum</t>
        </is>
      </c>
      <c r="H2103" t="inlineStr">
        <is>
          <t>ZTE</t>
        </is>
      </c>
      <c r="I2103" t="n">
        <v>0</v>
      </c>
      <c r="J2103" t="n">
        <v>0</v>
      </c>
      <c r="K2103" t="n">
        <v>0</v>
      </c>
      <c r="L2103" t="n">
        <v>0</v>
      </c>
      <c r="M2103" t="n">
        <v>0</v>
      </c>
      <c r="N2103" t="n">
        <v>0</v>
      </c>
      <c r="O2103" t="n">
        <v>0</v>
      </c>
      <c r="P2103" t="n">
        <v>0</v>
      </c>
      <c r="Q2103" t="n">
        <v>0</v>
      </c>
      <c r="R2103" t="inlineStr">
        <is>
          <t>Operationnel</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row>
    <row r="2104">
      <c r="A2104" t="inlineStr">
        <is>
          <t>Bafou-Dzinmezo</t>
        </is>
      </c>
      <c r="B2104" t="inlineStr">
        <is>
          <t>OST_254</t>
        </is>
      </c>
      <c r="C2104" t="inlineStr">
        <is>
          <t>OUEST</t>
        </is>
      </c>
      <c r="D2104" t="inlineStr">
        <is>
          <t>CAMUSAT</t>
        </is>
      </c>
      <c r="E2104" t="inlineStr">
        <is>
          <t>Hybrid Solar - S2</t>
        </is>
      </c>
      <c r="F2104" t="inlineStr">
        <is>
          <t>OUEST</t>
        </is>
      </c>
      <c r="G2104" t="inlineStr">
        <is>
          <t>Bafou</t>
        </is>
      </c>
      <c r="H2104" t="inlineStr">
        <is>
          <t>HUAWEI</t>
        </is>
      </c>
      <c r="I2104" t="n">
        <v>0</v>
      </c>
      <c r="J2104" t="n">
        <v>0</v>
      </c>
      <c r="K2104" t="n">
        <v>0</v>
      </c>
      <c r="L2104" t="n">
        <v>0</v>
      </c>
      <c r="M2104" t="n">
        <v>0</v>
      </c>
      <c r="N2104" t="n">
        <v>0</v>
      </c>
      <c r="O2104" t="n">
        <v>0</v>
      </c>
      <c r="P2104" t="n">
        <v>0</v>
      </c>
      <c r="Q2104" t="n">
        <v>0</v>
      </c>
      <c r="R2104" t="inlineStr">
        <is>
          <t>Operationnel</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row>
    <row r="2105">
      <c r="A2105" t="inlineStr">
        <is>
          <t>Awae-Metet</t>
        </is>
      </c>
      <c r="B2105" t="inlineStr">
        <is>
          <t>CTR_880</t>
        </is>
      </c>
      <c r="C2105" t="inlineStr">
        <is>
          <t>CENTRE</t>
        </is>
      </c>
      <c r="D2105" t="inlineStr">
        <is>
          <t>CAMUSAT</t>
        </is>
      </c>
      <c r="E2105" t="inlineStr">
        <is>
          <t>Good Grid + GE</t>
        </is>
      </c>
      <c r="F2105" t="inlineStr">
        <is>
          <t>CENTRE</t>
        </is>
      </c>
      <c r="G2105" t="inlineStr">
        <is>
          <t>Ebolmadzom</t>
        </is>
      </c>
      <c r="H2105" t="inlineStr">
        <is>
          <t>ZTE</t>
        </is>
      </c>
      <c r="I2105" t="n">
        <v>0</v>
      </c>
      <c r="J2105" t="n">
        <v>0</v>
      </c>
      <c r="K2105" t="n">
        <v>0</v>
      </c>
      <c r="L2105" t="n">
        <v>0</v>
      </c>
      <c r="M2105" t="n">
        <v>0</v>
      </c>
      <c r="N2105" t="n">
        <v>0</v>
      </c>
      <c r="O2105" t="n">
        <v>0</v>
      </c>
      <c r="P2105" t="n">
        <v>0</v>
      </c>
      <c r="Q2105" t="n">
        <v>0</v>
      </c>
      <c r="R2105" t="inlineStr">
        <is>
          <t>Operationnel</t>
        </is>
      </c>
      <c r="S2105" t="inlineStr"/>
      <c r="T2105" t="inlineStr"/>
      <c r="U2105" t="inlineStr"/>
      <c r="V2105" t="inlineStr"/>
      <c r="W2105" t="inlineStr"/>
      <c r="X2105" t="inlineStr">
        <is>
          <t>{05-25-2026 ocm ran 17H}: 25.05.26: Camusat: investigations ongoing / FME is trying to get level0</t>
        </is>
      </c>
      <c r="Y2105" t="inlineStr">
        <is>
          <t>25.05.26 Camusat investigations ongoing / FME is trying to get level0</t>
        </is>
      </c>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{05-25-2026 ocm ran 17H}: 25.05.26: Camusat: investigations ongoing / FME is trying to get level0</t>
        </is>
      </c>
      <c r="AQ2105" t="inlineStr"/>
      <c r="AR2105" t="inlineStr"/>
    </row>
    <row r="2106">
      <c r="A2106" t="inlineStr">
        <is>
          <t>Abouta-MTN</t>
        </is>
      </c>
      <c r="B2106" t="inlineStr">
        <is>
          <t>SUD_238</t>
        </is>
      </c>
      <c r="C2106" t="inlineStr">
        <is>
          <t>CENTRE</t>
        </is>
      </c>
      <c r="D2106" t="inlineStr">
        <is>
          <t>IHS</t>
        </is>
      </c>
      <c r="E2106" t="inlineStr">
        <is>
          <t>Solar-Grid-Gen-Lithium</t>
        </is>
      </c>
      <c r="F2106" t="inlineStr">
        <is>
          <t>SUD</t>
        </is>
      </c>
      <c r="G2106" t="inlineStr">
        <is>
          <t>Abouta</t>
        </is>
      </c>
      <c r="H2106" t="inlineStr">
        <is>
          <t>ZTE</t>
        </is>
      </c>
      <c r="I2106" t="n">
        <v>0</v>
      </c>
      <c r="J2106" t="n">
        <v>0</v>
      </c>
      <c r="K2106" t="n">
        <v>0</v>
      </c>
      <c r="L2106" t="n">
        <v>0</v>
      </c>
      <c r="M2106" t="n">
        <v>0</v>
      </c>
      <c r="N2106" t="n">
        <v>0</v>
      </c>
      <c r="O2106" t="n">
        <v>0</v>
      </c>
      <c r="P2106" t="n">
        <v>0</v>
      </c>
      <c r="Q2106" t="n">
        <v>0</v>
      </c>
      <c r="R2106" t="inlineStr">
        <is>
          <t>Operationnel</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row>
    <row r="2107">
      <c r="A2107" t="inlineStr">
        <is>
          <t>Tongo-Ngandima-IHS</t>
        </is>
      </c>
      <c r="B2107" t="inlineStr">
        <is>
          <t>EST_116</t>
        </is>
      </c>
      <c r="C2107" t="inlineStr">
        <is>
          <t>CENTRE</t>
        </is>
      </c>
      <c r="D2107" t="inlineStr">
        <is>
          <t>IHS</t>
        </is>
      </c>
      <c r="E2107" t="inlineStr">
        <is>
          <t>Hybrid-Gen</t>
        </is>
      </c>
      <c r="F2107" t="inlineStr">
        <is>
          <t>EST</t>
        </is>
      </c>
      <c r="G2107" t="inlineStr">
        <is>
          <t>Tongo-Ngandima</t>
        </is>
      </c>
      <c r="H2107" t="inlineStr">
        <is>
          <t>NOKIA</t>
        </is>
      </c>
      <c r="I2107" t="n">
        <v>0</v>
      </c>
      <c r="J2107" t="n">
        <v>0</v>
      </c>
      <c r="K2107" t="n">
        <v>0</v>
      </c>
      <c r="L2107" t="n">
        <v>0</v>
      </c>
      <c r="M2107" t="n">
        <v>0</v>
      </c>
      <c r="N2107" t="n">
        <v>0</v>
      </c>
      <c r="O2107" t="n">
        <v>0</v>
      </c>
      <c r="P2107" t="n">
        <v>0</v>
      </c>
      <c r="Q2107" t="n">
        <v>0</v>
      </c>
      <c r="R2107" t="inlineStr">
        <is>
          <t>Operationnel</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row>
    <row r="2108">
      <c r="A2108" t="inlineStr">
        <is>
          <t>Dibang</t>
        </is>
      </c>
      <c r="B2108" t="inlineStr">
        <is>
          <t>CTR_204</t>
        </is>
      </c>
      <c r="C2108" t="inlineStr">
        <is>
          <t>CENTRE</t>
        </is>
      </c>
      <c r="D2108" t="inlineStr">
        <is>
          <t>IHS</t>
        </is>
      </c>
      <c r="E2108" t="inlineStr">
        <is>
          <t>Grid-Gen</t>
        </is>
      </c>
      <c r="F2108" t="inlineStr">
        <is>
          <t>CENTRE</t>
        </is>
      </c>
      <c r="G2108" t="inlineStr">
        <is>
          <t>Dibang</t>
        </is>
      </c>
      <c r="H2108" t="inlineStr">
        <is>
          <t>ZTE</t>
        </is>
      </c>
      <c r="I2108" t="n">
        <v>0</v>
      </c>
      <c r="J2108" t="n">
        <v>0</v>
      </c>
      <c r="K2108" t="n">
        <v>0</v>
      </c>
      <c r="L2108" t="n">
        <v>0</v>
      </c>
      <c r="M2108" t="n">
        <v>0</v>
      </c>
      <c r="N2108" t="n">
        <v>0</v>
      </c>
      <c r="O2108" t="n">
        <v>0</v>
      </c>
      <c r="P2108" t="n">
        <v>0</v>
      </c>
      <c r="Q2108" t="n">
        <v>0</v>
      </c>
      <c r="R2108" t="inlineStr">
        <is>
          <t>Operationnel</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row>
    <row r="2109">
      <c r="A2109" t="inlineStr">
        <is>
          <t>Mbandjock-II</t>
        </is>
      </c>
      <c r="B2109" t="inlineStr">
        <is>
          <t>CTR_510</t>
        </is>
      </c>
      <c r="C2109" t="inlineStr">
        <is>
          <t>CENTRE</t>
        </is>
      </c>
      <c r="D2109" t="inlineStr">
        <is>
          <t>CAMUSAT</t>
        </is>
      </c>
      <c r="E2109" t="inlineStr">
        <is>
          <t>Good Grid no GE - 8h</t>
        </is>
      </c>
      <c r="F2109" t="inlineStr">
        <is>
          <t>CENTRE</t>
        </is>
      </c>
      <c r="G2109" t="inlineStr">
        <is>
          <t>Mbandjock</t>
        </is>
      </c>
      <c r="H2109" t="inlineStr">
        <is>
          <t>ZTE</t>
        </is>
      </c>
      <c r="I2109" t="n">
        <v>0</v>
      </c>
      <c r="J2109" t="n">
        <v>0</v>
      </c>
      <c r="K2109" t="n">
        <v>0</v>
      </c>
      <c r="L2109" t="n">
        <v>0</v>
      </c>
      <c r="M2109" t="n">
        <v>0</v>
      </c>
      <c r="N2109" t="n">
        <v>0</v>
      </c>
      <c r="O2109" t="n">
        <v>0</v>
      </c>
      <c r="P2109" t="n">
        <v>0</v>
      </c>
      <c r="Q2109" t="n">
        <v>0</v>
      </c>
      <c r="R2109" t="inlineStr">
        <is>
          <t>Operationnel</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row>
    <row r="2110">
      <c r="A2110" t="inlineStr">
        <is>
          <t>Djohong</t>
        </is>
      </c>
      <c r="B2110" t="inlineStr">
        <is>
          <t>ADM_022</t>
        </is>
      </c>
      <c r="C2110" t="inlineStr">
        <is>
          <t>ADAMAOUA</t>
        </is>
      </c>
      <c r="D2110" t="inlineStr">
        <is>
          <t>IHS</t>
        </is>
      </c>
      <c r="E2110" t="inlineStr">
        <is>
          <t>Solar-Gen</t>
        </is>
      </c>
      <c r="F2110" t="inlineStr">
        <is>
          <t>ADAMAOUA</t>
        </is>
      </c>
      <c r="G2110" t="inlineStr">
        <is>
          <t>Djohong</t>
        </is>
      </c>
      <c r="H2110" t="inlineStr">
        <is>
          <t>HUAWEI</t>
        </is>
      </c>
      <c r="I2110" t="n">
        <v>0</v>
      </c>
      <c r="J2110" t="n">
        <v>0</v>
      </c>
      <c r="K2110" t="n">
        <v>0</v>
      </c>
      <c r="L2110" t="n">
        <v>0</v>
      </c>
      <c r="M2110" t="n">
        <v>0</v>
      </c>
      <c r="N2110" t="n">
        <v>0</v>
      </c>
      <c r="O2110" t="n">
        <v>0</v>
      </c>
      <c r="P2110" t="n">
        <v>0</v>
      </c>
      <c r="Q2110" t="n">
        <v>0</v>
      </c>
      <c r="R2110" t="inlineStr">
        <is>
          <t>Operationnel</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row>
    <row r="2111">
      <c r="A2111" t="inlineStr">
        <is>
          <t>Ke-Eke-MTN</t>
        </is>
      </c>
      <c r="B2111" t="inlineStr">
        <is>
          <t>SUD_255</t>
        </is>
      </c>
      <c r="C2111" t="inlineStr">
        <is>
          <t>CENTRE</t>
        </is>
      </c>
      <c r="D2111" t="inlineStr">
        <is>
          <t>IHS</t>
        </is>
      </c>
      <c r="E2111" t="inlineStr">
        <is>
          <t>Grid-Gen</t>
        </is>
      </c>
      <c r="F2111" t="inlineStr">
        <is>
          <t>SUD</t>
        </is>
      </c>
      <c r="G2111" t="inlineStr">
        <is>
          <t>Ke-Eke</t>
        </is>
      </c>
      <c r="H2111" t="inlineStr">
        <is>
          <t>ZTE</t>
        </is>
      </c>
      <c r="I2111" t="n">
        <v>0</v>
      </c>
      <c r="J2111" t="n">
        <v>0</v>
      </c>
      <c r="K2111" t="n">
        <v>0</v>
      </c>
      <c r="L2111" t="n">
        <v>0</v>
      </c>
      <c r="M2111" t="n">
        <v>0</v>
      </c>
      <c r="N2111" t="n">
        <v>0</v>
      </c>
      <c r="O2111" t="n">
        <v>0</v>
      </c>
      <c r="P2111" t="n">
        <v>0</v>
      </c>
      <c r="Q2111" t="n">
        <v>0</v>
      </c>
      <c r="R2111" t="inlineStr">
        <is>
          <t>Operationnel</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row>
    <row r="2112">
      <c r="A2112" t="inlineStr">
        <is>
          <t>Nkondjock-MTN</t>
        </is>
      </c>
      <c r="B2112" t="inlineStr">
        <is>
          <t>LIT_239</t>
        </is>
      </c>
      <c r="C2112" t="inlineStr">
        <is>
          <t>LITTORAL</t>
        </is>
      </c>
      <c r="D2112" t="inlineStr">
        <is>
          <t>IHS</t>
        </is>
      </c>
      <c r="E2112" t="inlineStr">
        <is>
          <t>Grid-Gen</t>
        </is>
      </c>
      <c r="F2112" t="inlineStr">
        <is>
          <t>LITTORAL</t>
        </is>
      </c>
      <c r="G2112" t="inlineStr">
        <is>
          <t>Nkondjock</t>
        </is>
      </c>
      <c r="H2112" t="inlineStr">
        <is>
          <t>ZTE</t>
        </is>
      </c>
      <c r="I2112" t="n">
        <v>0</v>
      </c>
      <c r="J2112" t="n">
        <v>0</v>
      </c>
      <c r="K2112" t="n">
        <v>0</v>
      </c>
      <c r="L2112" t="n">
        <v>0</v>
      </c>
      <c r="M2112" t="n">
        <v>0</v>
      </c>
      <c r="N2112" t="n">
        <v>0</v>
      </c>
      <c r="O2112" t="n">
        <v>0</v>
      </c>
      <c r="P2112" t="n">
        <v>0</v>
      </c>
      <c r="Q2112" t="n">
        <v>0</v>
      </c>
      <c r="R2112" t="inlineStr">
        <is>
          <t>Operationnel</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row>
    <row r="2113">
      <c r="A2113" t="inlineStr">
        <is>
          <t>Ekabita-Essele</t>
        </is>
      </c>
      <c r="B2113" t="inlineStr">
        <is>
          <t>CTR_437</t>
        </is>
      </c>
      <c r="C2113" t="inlineStr">
        <is>
          <t>CENTRE</t>
        </is>
      </c>
      <c r="D2113" t="inlineStr">
        <is>
          <t>IHS</t>
        </is>
      </c>
      <c r="E2113" t="inlineStr">
        <is>
          <t>Grid-Gen</t>
        </is>
      </c>
      <c r="F2113" t="inlineStr">
        <is>
          <t>CENTRE</t>
        </is>
      </c>
      <c r="G2113" t="inlineStr">
        <is>
          <t>Ekabita-Essele</t>
        </is>
      </c>
      <c r="H2113" t="inlineStr">
        <is>
          <t>ZTE</t>
        </is>
      </c>
      <c r="I2113" t="n">
        <v>0</v>
      </c>
      <c r="J2113" t="n">
        <v>0</v>
      </c>
      <c r="K2113" t="n">
        <v>0</v>
      </c>
      <c r="L2113" t="n">
        <v>0</v>
      </c>
      <c r="M2113" t="n">
        <v>0</v>
      </c>
      <c r="N2113" t="n">
        <v>0</v>
      </c>
      <c r="O2113" t="n">
        <v>0</v>
      </c>
      <c r="P2113" t="n">
        <v>0</v>
      </c>
      <c r="Q2113" t="n">
        <v>0</v>
      </c>
      <c r="R2113" t="inlineStr">
        <is>
          <t>Operationnel</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row>
    <row r="2114">
      <c r="A2114" t="inlineStr">
        <is>
          <t>Nkometou-Razel</t>
        </is>
      </c>
      <c r="B2114" t="inlineStr">
        <is>
          <t>CTR_825</t>
        </is>
      </c>
      <c r="C2114" t="inlineStr">
        <is>
          <t>CENTRE</t>
        </is>
      </c>
      <c r="D2114" t="inlineStr">
        <is>
          <t>CAMUSAT</t>
        </is>
      </c>
      <c r="E2114" t="inlineStr">
        <is>
          <t>Hybrid Solar - S3</t>
        </is>
      </c>
      <c r="F2114" t="inlineStr">
        <is>
          <t>CENTRE</t>
        </is>
      </c>
      <c r="G2114" t="inlineStr">
        <is>
          <t>Nkometou</t>
        </is>
      </c>
      <c r="H2114" t="inlineStr">
        <is>
          <t>ZTE</t>
        </is>
      </c>
      <c r="I2114" t="n">
        <v>0</v>
      </c>
      <c r="J2114" t="n">
        <v>0</v>
      </c>
      <c r="K2114" t="n">
        <v>0</v>
      </c>
      <c r="L2114" t="n">
        <v>0</v>
      </c>
      <c r="M2114" t="n">
        <v>0</v>
      </c>
      <c r="N2114" t="n">
        <v>0</v>
      </c>
      <c r="O2114" t="n">
        <v>0</v>
      </c>
      <c r="P2114" t="n">
        <v>0</v>
      </c>
      <c r="Q2114" t="n">
        <v>0</v>
      </c>
      <c r="R2114" t="inlineStr">
        <is>
          <t>Operationnel</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row>
    <row r="2115">
      <c r="A2115" t="inlineStr">
        <is>
          <t>Yegeassi</t>
        </is>
      </c>
      <c r="B2115" t="inlineStr">
        <is>
          <t>CTR_770</t>
        </is>
      </c>
      <c r="C2115" t="inlineStr">
        <is>
          <t>CENTRE</t>
        </is>
      </c>
      <c r="D2115" t="inlineStr">
        <is>
          <t>CAMUSAT</t>
        </is>
      </c>
      <c r="E2115" t="inlineStr">
        <is>
          <t>Hybrid Solar - S1</t>
        </is>
      </c>
      <c r="F2115" t="inlineStr">
        <is>
          <t>CENTRE</t>
        </is>
      </c>
      <c r="G2115" t="inlineStr">
        <is>
          <t>Yegeassi</t>
        </is>
      </c>
      <c r="H2115" t="inlineStr">
        <is>
          <t>ZTE</t>
        </is>
      </c>
      <c r="I2115" t="n">
        <v>0</v>
      </c>
      <c r="J2115" t="n">
        <v>0</v>
      </c>
      <c r="K2115" t="n">
        <v>0</v>
      </c>
      <c r="L2115" t="n">
        <v>0</v>
      </c>
      <c r="M2115" t="n">
        <v>0</v>
      </c>
      <c r="N2115" t="n">
        <v>0</v>
      </c>
      <c r="O2115" t="n">
        <v>0</v>
      </c>
      <c r="P2115" t="n">
        <v>0</v>
      </c>
      <c r="Q2115" t="n">
        <v>0</v>
      </c>
      <c r="R2115" t="inlineStr">
        <is>
          <t>Operationnel</t>
        </is>
      </c>
      <c r="S2115" t="inlineStr"/>
      <c r="T2115" t="inlineStr"/>
      <c r="U2115" t="inlineStr"/>
      <c r="V2115" t="inlineStr"/>
      <c r="W2115" t="inlineStr"/>
      <c r="X2115" t="inlineStr">
        <is>
          <t>{05-25-2026 ocm ran 22H}: 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     ;    {05-25-2026 ocm ran 17H}: 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Y2115" t="inlineStr">
        <is>
          <t>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FME Totat activé pour investigations, update ASAP
30/04/2026 CAMUSAT FME is on the way ETA 16H 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FME Totat activé pour investigations, update ASAP
30/04/2026 CAMUSAT FME is on the way ETA 16H</t>
        </is>
      </c>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{05-25-2026 ocm ran 22H}: 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AP2115" t="inlineStr">
        <is>
          <t>{05-25-2026 ocm ran 17H}: 23/05/2026 Chassis MSS8 faulty. Celui remis a été utilisé sur Mimboman-Ecole, point au niveau de OCM
22/05/2026 Chassis MSS8 faulty. Celui remis a été utilisé sur Mimboman-Ecole, point au niveau de OCM
21/05/2026 Chassis MSS8 faulty. Celui remis a été utilisé sur Mimboman-Ecole, point au niveau de OCM
18.05.26: Chassis MSS8 faulty. Celui remis a été utilisé sur Mimboman-Ecole, point au niveau de OCM
17.05.2026: Chassis pas encore recue. Relance du Transporteuren Cours
16.05.26: Chassis faulty et expédié de Douala pour Yaoundé. ETD=16.05.26 (WH manager à l'agence)
15/05/2026 Expedition en cours de douala vers Yaounde ETD=15/05/2026 15H UTC 
14/05/2026 Expedition de prevu pour demain 15/05/2026 VERS YDE 
14/05/2026 defaut Chassis 3DB18485EA. commande passée à OCM, Rapport d’analyse validée par le CEX-R. OCM a donne le GO ce soir pour recuperer le chassis a Douala. ca sera recupere demain et expedeie vers Yaounde. ETD 15/05/2026 
12/05/2026 Rapport d’analyse validée par le CEX-R,en attente de la mise à disposition du chassis// rapport remis en question par l’ingénierie, révision du CEX attendue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is>
      </c>
      <c r="AQ2115" t="inlineStr"/>
      <c r="AR2115" t="inlineStr"/>
    </row>
    <row r="2116">
      <c r="A2116" t="inlineStr">
        <is>
          <t>Abang-Minko-IHS</t>
        </is>
      </c>
      <c r="B2116" t="inlineStr">
        <is>
          <t>SUD_044</t>
        </is>
      </c>
      <c r="C2116" t="inlineStr">
        <is>
          <t>CENTRE</t>
        </is>
      </c>
      <c r="D2116" t="inlineStr">
        <is>
          <t>IHS</t>
        </is>
      </c>
      <c r="E2116" t="inlineStr">
        <is>
          <t>Solar-Grid-Gen</t>
        </is>
      </c>
      <c r="F2116" t="inlineStr">
        <is>
          <t>SUD</t>
        </is>
      </c>
      <c r="G2116" t="inlineStr">
        <is>
          <t>Abang-Minko</t>
        </is>
      </c>
      <c r="H2116" t="inlineStr">
        <is>
          <t>ZTE</t>
        </is>
      </c>
      <c r="I2116" t="n">
        <v>0</v>
      </c>
      <c r="J2116" t="n">
        <v>0</v>
      </c>
      <c r="K2116" t="n">
        <v>0</v>
      </c>
      <c r="L2116" t="n">
        <v>0</v>
      </c>
      <c r="M2116" t="n">
        <v>0</v>
      </c>
      <c r="N2116" t="n">
        <v>0</v>
      </c>
      <c r="O2116" t="n">
        <v>0</v>
      </c>
      <c r="P2116" t="n">
        <v>0</v>
      </c>
      <c r="Q2116" t="n">
        <v>0</v>
      </c>
      <c r="R2116" t="inlineStr">
        <is>
          <t>Operationnel</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row>
    <row r="2117">
      <c r="A2117" t="inlineStr">
        <is>
          <t>Bazou</t>
        </is>
      </c>
      <c r="B2117" t="inlineStr">
        <is>
          <t>OST_037</t>
        </is>
      </c>
      <c r="C2117" t="inlineStr">
        <is>
          <t>OUEST</t>
        </is>
      </c>
      <c r="D2117" t="inlineStr">
        <is>
          <t>IHS</t>
        </is>
      </c>
      <c r="E2117" t="inlineStr">
        <is>
          <t>Grid-Gen</t>
        </is>
      </c>
      <c r="F2117" t="inlineStr">
        <is>
          <t>OUEST</t>
        </is>
      </c>
      <c r="G2117" t="inlineStr">
        <is>
          <t>Bazou</t>
        </is>
      </c>
      <c r="H2117" t="inlineStr">
        <is>
          <t>HUAWEI</t>
        </is>
      </c>
      <c r="I2117" t="n">
        <v>0</v>
      </c>
      <c r="J2117" t="n">
        <v>0</v>
      </c>
      <c r="K2117" t="n">
        <v>0</v>
      </c>
      <c r="L2117" t="n">
        <v>0</v>
      </c>
      <c r="M2117" t="n">
        <v>0</v>
      </c>
      <c r="N2117" t="n">
        <v>0</v>
      </c>
      <c r="O2117" t="n">
        <v>0</v>
      </c>
      <c r="P2117" t="n">
        <v>0</v>
      </c>
      <c r="Q2117" t="n">
        <v>0</v>
      </c>
      <c r="R2117" t="inlineStr">
        <is>
          <t>Operationnel</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row>
    <row r="2118">
      <c r="A2118" t="inlineStr">
        <is>
          <t>Efok</t>
        </is>
      </c>
      <c r="B2118" t="inlineStr">
        <is>
          <t>CTR_221</t>
        </is>
      </c>
      <c r="C2118" t="inlineStr">
        <is>
          <t>CENTRE</t>
        </is>
      </c>
      <c r="D2118" t="inlineStr">
        <is>
          <t>IHS</t>
        </is>
      </c>
      <c r="E2118" t="inlineStr">
        <is>
          <t>Grid-Gen</t>
        </is>
      </c>
      <c r="F2118" t="inlineStr">
        <is>
          <t>CENTRE</t>
        </is>
      </c>
      <c r="G2118" t="inlineStr">
        <is>
          <t>Efok</t>
        </is>
      </c>
      <c r="H2118" t="inlineStr">
        <is>
          <t>ZTE</t>
        </is>
      </c>
      <c r="I2118" t="n">
        <v>0</v>
      </c>
      <c r="J2118" t="n">
        <v>0</v>
      </c>
      <c r="K2118" t="n">
        <v>0</v>
      </c>
      <c r="L2118" t="n">
        <v>0</v>
      </c>
      <c r="M2118" t="n">
        <v>0</v>
      </c>
      <c r="N2118" t="n">
        <v>0</v>
      </c>
      <c r="O2118" t="n">
        <v>0</v>
      </c>
      <c r="P2118" t="n">
        <v>0</v>
      </c>
      <c r="Q2118" t="n">
        <v>0</v>
      </c>
      <c r="R2118" t="inlineStr">
        <is>
          <t>Operationnel</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row>
    <row r="2119">
      <c r="A2119" t="inlineStr">
        <is>
          <t>Mintom-MTN</t>
        </is>
      </c>
      <c r="B2119" t="inlineStr">
        <is>
          <t>SUD_246</t>
        </is>
      </c>
      <c r="C2119" t="inlineStr">
        <is>
          <t>CENTRE</t>
        </is>
      </c>
      <c r="D2119" t="inlineStr">
        <is>
          <t>IHS</t>
        </is>
      </c>
      <c r="E2119" t="inlineStr">
        <is>
          <t>Solar-Gen-Lithium</t>
        </is>
      </c>
      <c r="F2119" t="inlineStr">
        <is>
          <t>SUD</t>
        </is>
      </c>
      <c r="G2119" t="inlineStr">
        <is>
          <t>Mintom</t>
        </is>
      </c>
      <c r="H2119" t="inlineStr">
        <is>
          <t>ZTE</t>
        </is>
      </c>
      <c r="I2119" t="n">
        <v>0</v>
      </c>
      <c r="J2119" t="n">
        <v>0</v>
      </c>
      <c r="K2119" t="n">
        <v>0</v>
      </c>
      <c r="L2119" t="n">
        <v>0</v>
      </c>
      <c r="M2119" t="n">
        <v>0</v>
      </c>
      <c r="N2119" t="n">
        <v>0</v>
      </c>
      <c r="O2119" t="n">
        <v>0</v>
      </c>
      <c r="P2119" t="n">
        <v>0</v>
      </c>
      <c r="Q2119" t="n">
        <v>0</v>
      </c>
      <c r="R2119" t="inlineStr">
        <is>
          <t>Operationnel</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row>
    <row r="2120">
      <c r="A2120" t="inlineStr">
        <is>
          <t>BTS-Mobile-Mbandjock</t>
        </is>
      </c>
      <c r="B2120" t="inlineStr">
        <is>
          <t>CTR_636</t>
        </is>
      </c>
      <c r="C2120" t="inlineStr">
        <is>
          <t>CENTRE</t>
        </is>
      </c>
      <c r="D2120" t="inlineStr">
        <is>
          <t>CAMUSAT</t>
        </is>
      </c>
      <c r="E2120" t="inlineStr">
        <is>
          <t>HGB</t>
        </is>
      </c>
      <c r="F2120" t="inlineStr">
        <is>
          <t>CENTRE</t>
        </is>
      </c>
      <c r="G2120" t="inlineStr">
        <is>
          <t>Mbandjock</t>
        </is>
      </c>
      <c r="H2120" t="inlineStr">
        <is>
          <t>NOKIA</t>
        </is>
      </c>
      <c r="I2120" t="n">
        <v>0</v>
      </c>
      <c r="J2120" t="n">
        <v>0</v>
      </c>
      <c r="K2120" t="n">
        <v>0</v>
      </c>
      <c r="L2120" t="n">
        <v>0</v>
      </c>
      <c r="M2120" t="n">
        <v>0</v>
      </c>
      <c r="N2120" t="n">
        <v>0</v>
      </c>
      <c r="O2120" t="n">
        <v>0</v>
      </c>
      <c r="P2120" t="n">
        <v>0</v>
      </c>
      <c r="Q2120" t="n">
        <v>0</v>
      </c>
      <c r="R2120" t="inlineStr">
        <is>
          <t>Operationnel</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row>
    <row r="2121">
      <c r="A2121" t="inlineStr">
        <is>
          <t>Niete-V14</t>
        </is>
      </c>
      <c r="B2121" t="inlineStr">
        <is>
          <t>LIT_193</t>
        </is>
      </c>
      <c r="C2121" t="inlineStr">
        <is>
          <t>LITTORAL</t>
        </is>
      </c>
      <c r="D2121" t="inlineStr">
        <is>
          <t>IHS</t>
        </is>
      </c>
      <c r="E2121" t="inlineStr">
        <is>
          <t>Grid-Gen</t>
        </is>
      </c>
      <c r="F2121" t="inlineStr">
        <is>
          <t>LITTORAL</t>
        </is>
      </c>
      <c r="G2121" t="inlineStr">
        <is>
          <t>Niete</t>
        </is>
      </c>
      <c r="H2121" t="inlineStr">
        <is>
          <t>ZTE</t>
        </is>
      </c>
      <c r="I2121" t="n">
        <v>0</v>
      </c>
      <c r="J2121" t="n">
        <v>0</v>
      </c>
      <c r="K2121" t="n">
        <v>0</v>
      </c>
      <c r="L2121" t="n">
        <v>0</v>
      </c>
      <c r="M2121" t="n">
        <v>0</v>
      </c>
      <c r="N2121" t="n">
        <v>0</v>
      </c>
      <c r="O2121" t="n">
        <v>0</v>
      </c>
      <c r="P2121" t="n">
        <v>0</v>
      </c>
      <c r="Q2121" t="n">
        <v>0</v>
      </c>
      <c r="R2121" t="inlineStr">
        <is>
          <t>Operationnel</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row>
    <row r="2122">
      <c r="A2122" t="inlineStr">
        <is>
          <t>Niete-V15-IHS</t>
        </is>
      </c>
      <c r="B2122" t="inlineStr">
        <is>
          <t>LIT_495</t>
        </is>
      </c>
      <c r="C2122" t="inlineStr">
        <is>
          <t>LITTORAL</t>
        </is>
      </c>
      <c r="D2122" t="inlineStr">
        <is>
          <t>IHS</t>
        </is>
      </c>
      <c r="E2122" t="inlineStr">
        <is>
          <t>Grid-Gen</t>
        </is>
      </c>
      <c r="F2122" t="inlineStr">
        <is>
          <t>LITTORAL</t>
        </is>
      </c>
      <c r="G2122" t="inlineStr">
        <is>
          <t>Niete</t>
        </is>
      </c>
      <c r="H2122" t="inlineStr">
        <is>
          <t>ZTE</t>
        </is>
      </c>
      <c r="I2122" t="n">
        <v>0</v>
      </c>
      <c r="J2122" t="n">
        <v>0</v>
      </c>
      <c r="K2122" t="n">
        <v>0</v>
      </c>
      <c r="L2122" t="n">
        <v>0</v>
      </c>
      <c r="M2122" t="n">
        <v>0</v>
      </c>
      <c r="N2122" t="n">
        <v>0</v>
      </c>
      <c r="O2122" t="n">
        <v>0</v>
      </c>
      <c r="P2122" t="n">
        <v>0</v>
      </c>
      <c r="Q2122" t="n">
        <v>0</v>
      </c>
      <c r="R2122" t="inlineStr">
        <is>
          <t>Operationnel</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row>
    <row r="2123">
      <c r="A2123" t="inlineStr">
        <is>
          <t>Niete-V13</t>
        </is>
      </c>
      <c r="B2123" t="inlineStr">
        <is>
          <t>LIT_194</t>
        </is>
      </c>
      <c r="C2123" t="inlineStr">
        <is>
          <t>LITTORAL</t>
        </is>
      </c>
      <c r="D2123" t="inlineStr">
        <is>
          <t>IHS</t>
        </is>
      </c>
      <c r="E2123" t="inlineStr">
        <is>
          <t>Grid-Gen-Lithium</t>
        </is>
      </c>
      <c r="F2123" t="inlineStr">
        <is>
          <t>LITTORAL</t>
        </is>
      </c>
      <c r="G2123" t="inlineStr">
        <is>
          <t>Niete</t>
        </is>
      </c>
      <c r="H2123" t="inlineStr">
        <is>
          <t>NOKIA</t>
        </is>
      </c>
      <c r="I2123" t="n">
        <v>0</v>
      </c>
      <c r="J2123" t="n">
        <v>0</v>
      </c>
      <c r="K2123" t="n">
        <v>0</v>
      </c>
      <c r="L2123" t="n">
        <v>0</v>
      </c>
      <c r="M2123" t="n">
        <v>0</v>
      </c>
      <c r="N2123" t="n">
        <v>0</v>
      </c>
      <c r="O2123" t="n">
        <v>0</v>
      </c>
      <c r="P2123" t="n">
        <v>0</v>
      </c>
      <c r="Q2123" t="n">
        <v>0</v>
      </c>
      <c r="R2123" t="inlineStr">
        <is>
          <t>Operationnel</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row>
    <row r="2124">
      <c r="A2124" t="inlineStr">
        <is>
          <t>NR-Cite</t>
        </is>
      </c>
      <c r="B2124" t="inlineStr">
        <is>
          <t>LIT_404</t>
        </is>
      </c>
      <c r="C2124" t="inlineStr">
        <is>
          <t>Douala</t>
        </is>
      </c>
      <c r="D2124" t="inlineStr">
        <is>
          <t>IHS</t>
        </is>
      </c>
      <c r="E2124" t="inlineStr">
        <is>
          <t>Grid-Gen</t>
        </is>
      </c>
      <c r="F2124" t="inlineStr">
        <is>
          <t>LITTORAL</t>
        </is>
      </c>
      <c r="G2124" t="inlineStr">
        <is>
          <t>Douala</t>
        </is>
      </c>
      <c r="H2124" t="inlineStr">
        <is>
          <t>ZTE</t>
        </is>
      </c>
      <c r="I2124" t="n">
        <v>0</v>
      </c>
      <c r="J2124" t="n">
        <v>0</v>
      </c>
      <c r="K2124" t="n">
        <v>0</v>
      </c>
      <c r="L2124" t="n">
        <v>0</v>
      </c>
      <c r="M2124" t="n">
        <v>0</v>
      </c>
      <c r="N2124" t="n">
        <v>0</v>
      </c>
      <c r="O2124" t="n">
        <v>0</v>
      </c>
      <c r="P2124" t="n">
        <v>0</v>
      </c>
      <c r="Q2124" t="n">
        <v>0</v>
      </c>
      <c r="R2124" t="inlineStr">
        <is>
          <t>Operationnel</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row>
    <row r="2125">
      <c r="A2125" t="inlineStr">
        <is>
          <t>Bazou-IHS</t>
        </is>
      </c>
      <c r="B2125" t="inlineStr">
        <is>
          <t>OST_152</t>
        </is>
      </c>
      <c r="C2125" t="inlineStr">
        <is>
          <t>OUEST</t>
        </is>
      </c>
      <c r="D2125" t="inlineStr">
        <is>
          <t>IHS</t>
        </is>
      </c>
      <c r="E2125" t="inlineStr">
        <is>
          <t>Grid-Gen</t>
        </is>
      </c>
      <c r="F2125" t="inlineStr">
        <is>
          <t>OUEST</t>
        </is>
      </c>
      <c r="G2125" t="inlineStr">
        <is>
          <t>Bazou</t>
        </is>
      </c>
      <c r="H2125" t="inlineStr">
        <is>
          <t>HUAWEI</t>
        </is>
      </c>
      <c r="I2125" t="n">
        <v>0</v>
      </c>
      <c r="J2125" t="n">
        <v>0</v>
      </c>
      <c r="K2125" t="n">
        <v>0</v>
      </c>
      <c r="L2125" t="n">
        <v>0</v>
      </c>
      <c r="M2125" t="n">
        <v>0</v>
      </c>
      <c r="N2125" t="n">
        <v>0</v>
      </c>
      <c r="O2125" t="n">
        <v>0</v>
      </c>
      <c r="P2125" t="n">
        <v>0</v>
      </c>
      <c r="Q2125" t="n">
        <v>0</v>
      </c>
      <c r="R2125" t="inlineStr">
        <is>
          <t>Operationnel</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row>
    <row r="2126">
      <c r="A2126" t="inlineStr">
        <is>
          <t>Babadjou</t>
        </is>
      </c>
      <c r="B2126" t="inlineStr">
        <is>
          <t>OST_060</t>
        </is>
      </c>
      <c r="C2126" t="inlineStr">
        <is>
          <t>OUEST</t>
        </is>
      </c>
      <c r="D2126" t="inlineStr">
        <is>
          <t>IHS</t>
        </is>
      </c>
      <c r="E2126" t="inlineStr">
        <is>
          <t>Grid-Gen</t>
        </is>
      </c>
      <c r="F2126" t="inlineStr">
        <is>
          <t>OUEST</t>
        </is>
      </c>
      <c r="G2126" t="inlineStr">
        <is>
          <t>Babadjou</t>
        </is>
      </c>
      <c r="H2126" t="inlineStr">
        <is>
          <t>HUAWEI</t>
        </is>
      </c>
      <c r="I2126" t="n">
        <v>0</v>
      </c>
      <c r="J2126" t="n">
        <v>0</v>
      </c>
      <c r="K2126" t="n">
        <v>0</v>
      </c>
      <c r="L2126" t="n">
        <v>0</v>
      </c>
      <c r="M2126" t="n">
        <v>0</v>
      </c>
      <c r="N2126" t="n">
        <v>0</v>
      </c>
      <c r="O2126" t="n">
        <v>0</v>
      </c>
      <c r="P2126" t="n">
        <v>0</v>
      </c>
      <c r="Q2126" t="n">
        <v>0</v>
      </c>
      <c r="R2126" t="inlineStr">
        <is>
          <t>Operationnel</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row>
    <row r="2127">
      <c r="A2127" t="inlineStr">
        <is>
          <t>EDZENDOUAN</t>
        </is>
      </c>
      <c r="B2127" t="inlineStr">
        <is>
          <t>CTR_795</t>
        </is>
      </c>
      <c r="C2127" t="inlineStr">
        <is>
          <t>CENTRE</t>
        </is>
      </c>
      <c r="D2127" t="inlineStr">
        <is>
          <t>CAMUSAT</t>
        </is>
      </c>
      <c r="E2127" t="inlineStr">
        <is>
          <t>HGB</t>
        </is>
      </c>
      <c r="F2127" t="inlineStr">
        <is>
          <t>CENTRE</t>
        </is>
      </c>
      <c r="G2127" t="inlineStr">
        <is>
          <t>Edzendouan</t>
        </is>
      </c>
      <c r="H2127" t="inlineStr">
        <is>
          <t>ZTE</t>
        </is>
      </c>
      <c r="I2127" t="n">
        <v>0</v>
      </c>
      <c r="J2127" t="n">
        <v>0</v>
      </c>
      <c r="K2127" t="n">
        <v>0</v>
      </c>
      <c r="L2127" t="n">
        <v>0</v>
      </c>
      <c r="M2127" t="n">
        <v>0</v>
      </c>
      <c r="N2127" t="n">
        <v>0</v>
      </c>
      <c r="O2127" t="n">
        <v>0</v>
      </c>
      <c r="P2127" t="n">
        <v>0</v>
      </c>
      <c r="Q2127" t="n">
        <v>0</v>
      </c>
      <c r="R2127" t="inlineStr">
        <is>
          <t>Operationnel</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row>
    <row r="2128">
      <c r="A2128" t="inlineStr">
        <is>
          <t>Bangang</t>
        </is>
      </c>
      <c r="B2128" t="inlineStr">
        <is>
          <t>OST_311</t>
        </is>
      </c>
      <c r="C2128" t="inlineStr">
        <is>
          <t>OUEST</t>
        </is>
      </c>
      <c r="D2128" t="inlineStr">
        <is>
          <t>ESCO</t>
        </is>
      </c>
      <c r="E2128" t="inlineStr">
        <is>
          <t>Hybrid Solar - S3</t>
        </is>
      </c>
      <c r="F2128" t="inlineStr">
        <is>
          <t>OUEST</t>
        </is>
      </c>
      <c r="G2128" t="inlineStr">
        <is>
          <t>MBOUDA</t>
        </is>
      </c>
      <c r="H2128" t="inlineStr">
        <is>
          <t>HUAWEI</t>
        </is>
      </c>
      <c r="I2128" t="n">
        <v>0</v>
      </c>
      <c r="J2128" t="n">
        <v>0</v>
      </c>
      <c r="K2128" t="n">
        <v>0</v>
      </c>
      <c r="L2128" t="n">
        <v>0</v>
      </c>
      <c r="M2128" t="n">
        <v>0</v>
      </c>
      <c r="N2128" t="n">
        <v>0</v>
      </c>
      <c r="O2128" t="n">
        <v>0</v>
      </c>
      <c r="P2128" t="n">
        <v>0</v>
      </c>
      <c r="Q2128" t="n">
        <v>0</v>
      </c>
      <c r="R2128" t="inlineStr">
        <is>
          <t>Operationnel</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row>
    <row r="2129">
      <c r="A2129" t="inlineStr">
        <is>
          <t>Mbongouen-MTN</t>
        </is>
      </c>
      <c r="B2129" t="inlineStr">
        <is>
          <t>SUD_214</t>
        </is>
      </c>
      <c r="C2129" t="inlineStr">
        <is>
          <t>CENTRE</t>
        </is>
      </c>
      <c r="D2129" t="inlineStr">
        <is>
          <t>IHS</t>
        </is>
      </c>
      <c r="E2129" t="inlineStr">
        <is>
          <t>Grid-Gen</t>
        </is>
      </c>
      <c r="F2129" t="inlineStr">
        <is>
          <t>SUD</t>
        </is>
      </c>
      <c r="G2129" t="inlineStr">
        <is>
          <t>Mbongouen</t>
        </is>
      </c>
      <c r="H2129" t="inlineStr">
        <is>
          <t>ZTE</t>
        </is>
      </c>
      <c r="I2129" t="n">
        <v>0</v>
      </c>
      <c r="J2129" t="n">
        <v>0</v>
      </c>
      <c r="K2129" t="n">
        <v>0</v>
      </c>
      <c r="L2129" t="n">
        <v>0</v>
      </c>
      <c r="M2129" t="n">
        <v>0</v>
      </c>
      <c r="N2129" t="n">
        <v>0</v>
      </c>
      <c r="O2129" t="n">
        <v>0</v>
      </c>
      <c r="P2129" t="n">
        <v>0</v>
      </c>
      <c r="Q2129" t="n">
        <v>0</v>
      </c>
      <c r="R2129" t="inlineStr">
        <is>
          <t>Operationnel</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row>
    <row r="2130">
      <c r="A2130" t="inlineStr">
        <is>
          <t>Kienke</t>
        </is>
      </c>
      <c r="B2130" t="inlineStr">
        <is>
          <t>LIT_195</t>
        </is>
      </c>
      <c r="C2130" t="inlineStr">
        <is>
          <t>LITTORAL</t>
        </is>
      </c>
      <c r="D2130" t="inlineStr">
        <is>
          <t>IHS</t>
        </is>
      </c>
      <c r="E2130" t="inlineStr">
        <is>
          <t>Grid-Gen</t>
        </is>
      </c>
      <c r="F2130" t="inlineStr">
        <is>
          <t>LITTORAL</t>
        </is>
      </c>
      <c r="G2130" t="inlineStr">
        <is>
          <t>Kiienke</t>
        </is>
      </c>
      <c r="H2130" t="inlineStr">
        <is>
          <t>ZTE</t>
        </is>
      </c>
      <c r="I2130" t="n">
        <v>0</v>
      </c>
      <c r="J2130" t="n">
        <v>0</v>
      </c>
      <c r="K2130" t="n">
        <v>0</v>
      </c>
      <c r="L2130" t="n">
        <v>0</v>
      </c>
      <c r="M2130" t="n">
        <v>0</v>
      </c>
      <c r="N2130" t="n">
        <v>0</v>
      </c>
      <c r="O2130" t="n">
        <v>0</v>
      </c>
      <c r="P2130" t="n">
        <v>0</v>
      </c>
      <c r="Q2130" t="n">
        <v>0</v>
      </c>
      <c r="R2130" t="inlineStr">
        <is>
          <t>Operationnel</t>
        </is>
      </c>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row>
    <row r="2131">
      <c r="A2131" t="inlineStr">
        <is>
          <t>Saa</t>
        </is>
      </c>
      <c r="B2131" t="inlineStr">
        <is>
          <t>CTR_192</t>
        </is>
      </c>
      <c r="C2131" t="inlineStr">
        <is>
          <t>CENTRE</t>
        </is>
      </c>
      <c r="D2131" t="inlineStr">
        <is>
          <t>IHS</t>
        </is>
      </c>
      <c r="E2131" t="inlineStr">
        <is>
          <t>Grid-Gen</t>
        </is>
      </c>
      <c r="F2131" t="inlineStr">
        <is>
          <t>CENTRE</t>
        </is>
      </c>
      <c r="G2131" t="inlineStr">
        <is>
          <t>Saa</t>
        </is>
      </c>
      <c r="H2131" t="inlineStr">
        <is>
          <t>ZTE</t>
        </is>
      </c>
      <c r="I2131" t="n">
        <v>0</v>
      </c>
      <c r="J2131" t="n">
        <v>0</v>
      </c>
      <c r="K2131" t="n">
        <v>0</v>
      </c>
      <c r="L2131" t="n">
        <v>0</v>
      </c>
      <c r="M2131" t="n">
        <v>0</v>
      </c>
      <c r="N2131" t="n">
        <v>0</v>
      </c>
      <c r="O2131" t="n">
        <v>0</v>
      </c>
      <c r="P2131" t="n">
        <v>0</v>
      </c>
      <c r="Q2131" t="n">
        <v>0</v>
      </c>
      <c r="R2131" t="inlineStr">
        <is>
          <t>Operationnel</t>
        </is>
      </c>
      <c r="S2131" t="inlineStr"/>
      <c r="T2131" t="inlineStr"/>
      <c r="U2131" t="inlineStr"/>
      <c r="V2131" t="inlineStr"/>
      <c r="W2131" t="inlineStr"/>
      <c r="X2131"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131"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131" t="inlineStr"/>
      <c r="AA2131"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row>
    <row r="2132">
      <c r="A2132" t="inlineStr">
        <is>
          <t>BIAKOA-MTN-IHS</t>
        </is>
      </c>
      <c r="B2132" t="inlineStr">
        <is>
          <t>CTR_443</t>
        </is>
      </c>
      <c r="C2132" t="inlineStr">
        <is>
          <t>CENTRE</t>
        </is>
      </c>
      <c r="D2132" t="inlineStr">
        <is>
          <t>IHS</t>
        </is>
      </c>
      <c r="E2132" t="inlineStr">
        <is>
          <t>Solar-Grid-Gen-Lithium</t>
        </is>
      </c>
      <c r="F2132" t="inlineStr">
        <is>
          <t>CENTRE</t>
        </is>
      </c>
      <c r="G2132" t="inlineStr">
        <is>
          <t>Biakoa</t>
        </is>
      </c>
      <c r="H2132" t="inlineStr">
        <is>
          <t>ZTE</t>
        </is>
      </c>
      <c r="I2132" t="n">
        <v>0</v>
      </c>
      <c r="J2132" t="n">
        <v>0</v>
      </c>
      <c r="K2132" t="n">
        <v>0</v>
      </c>
      <c r="L2132" t="n">
        <v>0</v>
      </c>
      <c r="M2132" t="n">
        <v>0</v>
      </c>
      <c r="N2132" t="n">
        <v>0</v>
      </c>
      <c r="O2132" t="n">
        <v>0</v>
      </c>
      <c r="P2132" t="n">
        <v>0</v>
      </c>
      <c r="Q2132" t="n">
        <v>0</v>
      </c>
      <c r="R2132" t="inlineStr">
        <is>
          <t>Operationnel</t>
        </is>
      </c>
      <c r="S2132" t="inlineStr"/>
      <c r="T2132" t="inlineStr"/>
      <c r="U2132" t="inlineStr"/>
      <c r="V2132" t="inlineStr"/>
      <c r="W2132" t="inlineStr"/>
      <c r="X213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13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132" t="inlineStr"/>
      <c r="AA2132"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row>
    <row r="2133">
      <c r="A2133" t="inlineStr">
        <is>
          <t>Bihaing-IHS</t>
        </is>
      </c>
      <c r="B2133" t="inlineStr">
        <is>
          <t>LIT_517</t>
        </is>
      </c>
      <c r="C2133" t="inlineStr">
        <is>
          <t>LITTORAL</t>
        </is>
      </c>
      <c r="D2133" t="inlineStr">
        <is>
          <t>HIS</t>
        </is>
      </c>
      <c r="E2133" t="inlineStr">
        <is>
          <t>Grid-Gen</t>
        </is>
      </c>
      <c r="F2133" t="inlineStr">
        <is>
          <t>LITTORAL</t>
        </is>
      </c>
      <c r="G2133" t="inlineStr">
        <is>
          <t>Bihaing</t>
        </is>
      </c>
      <c r="H2133" t="inlineStr">
        <is>
          <t>ZTE</t>
        </is>
      </c>
      <c r="I2133" t="n">
        <v>0</v>
      </c>
      <c r="J2133" t="n">
        <v>0</v>
      </c>
      <c r="K2133" t="n">
        <v>0</v>
      </c>
      <c r="L2133" t="n">
        <v>0</v>
      </c>
      <c r="M2133" t="n">
        <v>0</v>
      </c>
      <c r="N2133" t="n">
        <v>0</v>
      </c>
      <c r="O2133" t="n">
        <v>0</v>
      </c>
      <c r="P2133" t="n">
        <v>0</v>
      </c>
      <c r="Q2133" t="n">
        <v>0</v>
      </c>
      <c r="R2133" t="inlineStr">
        <is>
          <t>Operationnel</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row>
    <row r="2134">
      <c r="A2134" t="inlineStr">
        <is>
          <t>Penja-PHP</t>
        </is>
      </c>
      <c r="B2134" t="inlineStr">
        <is>
          <t>LIT_594</t>
        </is>
      </c>
      <c r="C2134" t="inlineStr">
        <is>
          <t>LITTORAL</t>
        </is>
      </c>
      <c r="D2134" t="inlineStr">
        <is>
          <t>CAMUSAT</t>
        </is>
      </c>
      <c r="E2134" t="inlineStr">
        <is>
          <t>Good Grid + GE</t>
        </is>
      </c>
      <c r="F2134" t="inlineStr">
        <is>
          <t>LITTORAL</t>
        </is>
      </c>
      <c r="G2134" t="inlineStr">
        <is>
          <t>Penja</t>
        </is>
      </c>
      <c r="H2134" t="inlineStr">
        <is>
          <t>ZTE</t>
        </is>
      </c>
      <c r="I2134" t="n">
        <v>0</v>
      </c>
      <c r="J2134" t="n">
        <v>0</v>
      </c>
      <c r="K2134" t="n">
        <v>0</v>
      </c>
      <c r="L2134" t="n">
        <v>0</v>
      </c>
      <c r="M2134" t="n">
        <v>0</v>
      </c>
      <c r="N2134" t="n">
        <v>0</v>
      </c>
      <c r="O2134" t="n">
        <v>0</v>
      </c>
      <c r="P2134" t="n">
        <v>0</v>
      </c>
      <c r="Q2134" t="n">
        <v>0</v>
      </c>
      <c r="R2134" t="inlineStr">
        <is>
          <t>Operationnel</t>
        </is>
      </c>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row>
    <row r="2135">
      <c r="A2135" t="inlineStr">
        <is>
          <t>Bikok</t>
        </is>
      </c>
      <c r="B2135" t="inlineStr">
        <is>
          <t>CTR_260</t>
        </is>
      </c>
      <c r="C2135" t="inlineStr">
        <is>
          <t>CENTRE</t>
        </is>
      </c>
      <c r="D2135" t="inlineStr">
        <is>
          <t>IHS</t>
        </is>
      </c>
      <c r="E2135" t="inlineStr">
        <is>
          <t>Grid-Hybrid-Gen</t>
        </is>
      </c>
      <c r="F2135" t="inlineStr">
        <is>
          <t>CENTRE</t>
        </is>
      </c>
      <c r="G2135" t="inlineStr">
        <is>
          <t>Bikok</t>
        </is>
      </c>
      <c r="H2135" t="inlineStr">
        <is>
          <t>ZTE</t>
        </is>
      </c>
      <c r="I2135" t="n">
        <v>0</v>
      </c>
      <c r="J2135" t="n">
        <v>0</v>
      </c>
      <c r="K2135" t="n">
        <v>0</v>
      </c>
      <c r="L2135" t="n">
        <v>0</v>
      </c>
      <c r="M2135" t="n">
        <v>0</v>
      </c>
      <c r="N2135" t="n">
        <v>0</v>
      </c>
      <c r="O2135" t="n">
        <v>0</v>
      </c>
      <c r="P2135" t="n">
        <v>0</v>
      </c>
      <c r="Q2135" t="n">
        <v>0</v>
      </c>
      <c r="R2135" t="inlineStr">
        <is>
          <t>Operationnel</t>
        </is>
      </c>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row>
    <row r="2136">
      <c r="A2136" t="inlineStr">
        <is>
          <t>Mengue-Bibey-Camrail</t>
        </is>
      </c>
      <c r="B2136" t="inlineStr">
        <is>
          <t>CTR_455</t>
        </is>
      </c>
      <c r="C2136" t="inlineStr">
        <is>
          <t>CENTRE</t>
        </is>
      </c>
      <c r="D2136" t="inlineStr">
        <is>
          <t>CAMUSAT</t>
        </is>
      </c>
      <c r="E2136" t="inlineStr">
        <is>
          <t>Gen Only</t>
        </is>
      </c>
      <c r="F2136" t="inlineStr">
        <is>
          <t>CENTRE</t>
        </is>
      </c>
      <c r="G2136" t="inlineStr">
        <is>
          <t>Mengue-Bibey</t>
        </is>
      </c>
      <c r="H2136" t="inlineStr">
        <is>
          <t>NOKIA</t>
        </is>
      </c>
      <c r="I2136" t="n">
        <v>0</v>
      </c>
      <c r="J2136" t="n">
        <v>0</v>
      </c>
      <c r="K2136" t="n">
        <v>0</v>
      </c>
      <c r="L2136" t="n">
        <v>0</v>
      </c>
      <c r="M2136" t="n">
        <v>0</v>
      </c>
      <c r="N2136" t="n">
        <v>0</v>
      </c>
      <c r="O2136" t="n">
        <v>0</v>
      </c>
      <c r="P2136" t="n">
        <v>0</v>
      </c>
      <c r="Q2136" t="n">
        <v>0</v>
      </c>
      <c r="R2136" t="inlineStr">
        <is>
          <t>Operationnel</t>
        </is>
      </c>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row>
    <row r="2137">
      <c r="A2137" t="inlineStr">
        <is>
          <t>Botko</t>
        </is>
      </c>
      <c r="B2137" t="inlineStr">
        <is>
          <t>LIT_319</t>
        </is>
      </c>
      <c r="C2137" t="inlineStr">
        <is>
          <t>LITTORAL</t>
        </is>
      </c>
      <c r="D2137" t="inlineStr">
        <is>
          <t>IHS</t>
        </is>
      </c>
      <c r="E2137" t="inlineStr">
        <is>
          <t>Grid-Gen</t>
        </is>
      </c>
      <c r="F2137" t="inlineStr">
        <is>
          <t>LITTORAL</t>
        </is>
      </c>
      <c r="G2137" t="inlineStr">
        <is>
          <t>Botko</t>
        </is>
      </c>
      <c r="H2137" t="inlineStr">
        <is>
          <t>ZTE</t>
        </is>
      </c>
      <c r="I2137" t="n">
        <v>0</v>
      </c>
      <c r="J2137" t="n">
        <v>0</v>
      </c>
      <c r="K2137" t="n">
        <v>0</v>
      </c>
      <c r="L2137" t="n">
        <v>0</v>
      </c>
      <c r="M2137" t="n">
        <v>0</v>
      </c>
      <c r="N2137" t="n">
        <v>0</v>
      </c>
      <c r="O2137" t="n">
        <v>0</v>
      </c>
      <c r="P2137" t="n">
        <v>0</v>
      </c>
      <c r="Q2137" t="n">
        <v>0</v>
      </c>
      <c r="R2137" t="inlineStr">
        <is>
          <t>Operationnel</t>
        </is>
      </c>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row>
    <row r="2138">
      <c r="A2138" t="inlineStr">
        <is>
          <t>Belabo</t>
        </is>
      </c>
      <c r="B2138" t="inlineStr">
        <is>
          <t>EST_002</t>
        </is>
      </c>
      <c r="C2138" t="inlineStr">
        <is>
          <t>CENTRE</t>
        </is>
      </c>
      <c r="D2138" t="inlineStr">
        <is>
          <t>CAMUSAT</t>
        </is>
      </c>
      <c r="E2138" t="inlineStr">
        <is>
          <t>Good Grid + GE</t>
        </is>
      </c>
      <c r="F2138" t="inlineStr">
        <is>
          <t>EST</t>
        </is>
      </c>
      <c r="G2138" t="inlineStr">
        <is>
          <t>Belabo</t>
        </is>
      </c>
      <c r="H2138" t="inlineStr">
        <is>
          <t>NOKIA</t>
        </is>
      </c>
      <c r="I2138" t="n">
        <v>0</v>
      </c>
      <c r="J2138" t="n">
        <v>0</v>
      </c>
      <c r="K2138" t="n">
        <v>0</v>
      </c>
      <c r="L2138" t="n">
        <v>0</v>
      </c>
      <c r="M2138" t="n">
        <v>0</v>
      </c>
      <c r="N2138" t="n">
        <v>0</v>
      </c>
      <c r="O2138" t="n">
        <v>0</v>
      </c>
      <c r="P2138" t="n">
        <v>0</v>
      </c>
      <c r="Q2138" t="n">
        <v>0</v>
      </c>
      <c r="R2138" t="inlineStr">
        <is>
          <t>Operationnel</t>
        </is>
      </c>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row>
    <row r="2139">
      <c r="A2139" t="inlineStr">
        <is>
          <t>Gado-Badzere</t>
        </is>
      </c>
      <c r="B2139" t="inlineStr">
        <is>
          <t>EST_055</t>
        </is>
      </c>
      <c r="C2139" t="inlineStr">
        <is>
          <t>CENTRE</t>
        </is>
      </c>
      <c r="D2139" t="inlineStr">
        <is>
          <t>IHS</t>
        </is>
      </c>
      <c r="E2139" t="inlineStr">
        <is>
          <t>Solar-Gen-Lithium</t>
        </is>
      </c>
      <c r="F2139" t="inlineStr">
        <is>
          <t>EST</t>
        </is>
      </c>
      <c r="G2139" t="inlineStr">
        <is>
          <t>Gado-Badzere</t>
        </is>
      </c>
      <c r="H2139" t="inlineStr">
        <is>
          <t>ZTE</t>
        </is>
      </c>
      <c r="I2139" t="n">
        <v>0</v>
      </c>
      <c r="J2139" t="n">
        <v>0</v>
      </c>
      <c r="K2139" t="n">
        <v>0</v>
      </c>
      <c r="L2139" t="n">
        <v>0</v>
      </c>
      <c r="M2139" t="n">
        <v>0</v>
      </c>
      <c r="N2139" t="n">
        <v>0</v>
      </c>
      <c r="O2139" t="n">
        <v>0</v>
      </c>
      <c r="P2139" t="n">
        <v>0</v>
      </c>
      <c r="Q2139" t="n">
        <v>0</v>
      </c>
      <c r="R2139" t="inlineStr">
        <is>
          <t>Operationnel</t>
        </is>
      </c>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row>
    <row r="2140">
      <c r="A2140" t="inlineStr">
        <is>
          <t>Angongo</t>
        </is>
      </c>
      <c r="B2140" t="inlineStr">
        <is>
          <t>CTR_358</t>
        </is>
      </c>
      <c r="C2140" t="inlineStr">
        <is>
          <t>CENTRE</t>
        </is>
      </c>
      <c r="D2140" t="inlineStr">
        <is>
          <t>IHS</t>
        </is>
      </c>
      <c r="E2140" t="inlineStr">
        <is>
          <t>Grid-Gen</t>
        </is>
      </c>
      <c r="F2140" t="inlineStr">
        <is>
          <t>CENTRE</t>
        </is>
      </c>
      <c r="G2140" t="inlineStr">
        <is>
          <t>Angongo</t>
        </is>
      </c>
      <c r="H2140" t="inlineStr">
        <is>
          <t>ZTE</t>
        </is>
      </c>
      <c r="I2140" t="n">
        <v>0</v>
      </c>
      <c r="J2140" t="n">
        <v>0</v>
      </c>
      <c r="K2140" t="n">
        <v>0</v>
      </c>
      <c r="L2140" t="n">
        <v>0</v>
      </c>
      <c r="M2140" t="n">
        <v>0</v>
      </c>
      <c r="N2140" t="n">
        <v>0</v>
      </c>
      <c r="O2140" t="n">
        <v>0</v>
      </c>
      <c r="P2140" t="n">
        <v>0</v>
      </c>
      <c r="Q2140" t="n">
        <v>0</v>
      </c>
      <c r="R2140" t="inlineStr">
        <is>
          <t>Operationnel</t>
        </is>
      </c>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row>
    <row r="2141">
      <c r="A2141" t="inlineStr">
        <is>
          <t>Ombessa</t>
        </is>
      </c>
      <c r="B2141" t="inlineStr">
        <is>
          <t>CTR_095</t>
        </is>
      </c>
      <c r="C2141" t="inlineStr">
        <is>
          <t>CENTRE</t>
        </is>
      </c>
      <c r="D2141" t="inlineStr">
        <is>
          <t>IHS</t>
        </is>
      </c>
      <c r="E2141" t="inlineStr">
        <is>
          <t>Grid-Gen</t>
        </is>
      </c>
      <c r="F2141" t="inlineStr">
        <is>
          <t>CENTRE</t>
        </is>
      </c>
      <c r="G2141" t="inlineStr">
        <is>
          <t>Ombessa</t>
        </is>
      </c>
      <c r="H2141" t="inlineStr">
        <is>
          <t>ZTE</t>
        </is>
      </c>
      <c r="I2141" t="n">
        <v>0</v>
      </c>
      <c r="J2141" t="n">
        <v>0</v>
      </c>
      <c r="K2141" t="n">
        <v>0</v>
      </c>
      <c r="L2141" t="n">
        <v>0</v>
      </c>
      <c r="M2141" t="n">
        <v>0</v>
      </c>
      <c r="N2141" t="n">
        <v>0</v>
      </c>
      <c r="O2141" t="n">
        <v>0</v>
      </c>
      <c r="P2141" t="n">
        <v>0</v>
      </c>
      <c r="Q2141" t="n">
        <v>0</v>
      </c>
      <c r="R2141" t="inlineStr">
        <is>
          <t>Operationnel</t>
        </is>
      </c>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row>
    <row r="2142">
      <c r="A2142" t="inlineStr">
        <is>
          <t>Nkongtock-IHS</t>
        </is>
      </c>
      <c r="B2142" t="inlineStr">
        <is>
          <t>CTR_733</t>
        </is>
      </c>
      <c r="C2142" t="inlineStr">
        <is>
          <t>CENTRE</t>
        </is>
      </c>
      <c r="D2142" t="inlineStr">
        <is>
          <t>IHS</t>
        </is>
      </c>
      <c r="E2142" t="inlineStr">
        <is>
          <t>Solar-Gen</t>
        </is>
      </c>
      <c r="F2142" t="inlineStr">
        <is>
          <t>CENTRE</t>
        </is>
      </c>
      <c r="G2142" t="inlineStr">
        <is>
          <t>Nkongtock</t>
        </is>
      </c>
      <c r="H2142" t="inlineStr">
        <is>
          <t>ZTE</t>
        </is>
      </c>
      <c r="I2142" t="n">
        <v>0</v>
      </c>
      <c r="J2142" t="n">
        <v>0</v>
      </c>
      <c r="K2142" t="n">
        <v>0</v>
      </c>
      <c r="L2142" t="n">
        <v>0</v>
      </c>
      <c r="M2142" t="n">
        <v>0</v>
      </c>
      <c r="N2142" t="n">
        <v>0</v>
      </c>
      <c r="O2142" t="n">
        <v>0</v>
      </c>
      <c r="P2142" t="n">
        <v>0</v>
      </c>
      <c r="Q2142" t="n">
        <v>0</v>
      </c>
      <c r="R2142" t="inlineStr">
        <is>
          <t>Operationnel</t>
        </is>
      </c>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row>
    <row r="2143">
      <c r="A2143" t="inlineStr">
        <is>
          <t>Ekali-MTN</t>
        </is>
      </c>
      <c r="B2143" t="inlineStr">
        <is>
          <t>CTR_309</t>
        </is>
      </c>
      <c r="C2143" t="inlineStr">
        <is>
          <t>CENTRE</t>
        </is>
      </c>
      <c r="D2143" t="inlineStr">
        <is>
          <t>IHS</t>
        </is>
      </c>
      <c r="E2143" t="inlineStr">
        <is>
          <t>Grid-Gen</t>
        </is>
      </c>
      <c r="F2143" t="inlineStr">
        <is>
          <t>CENTRE</t>
        </is>
      </c>
      <c r="G2143" t="inlineStr">
        <is>
          <t>Ekali</t>
        </is>
      </c>
      <c r="H2143" t="inlineStr">
        <is>
          <t>ZTE</t>
        </is>
      </c>
      <c r="I2143" t="n">
        <v>0</v>
      </c>
      <c r="J2143" t="n">
        <v>0</v>
      </c>
      <c r="K2143" t="n">
        <v>0</v>
      </c>
      <c r="L2143" t="n">
        <v>0</v>
      </c>
      <c r="M2143" t="n">
        <v>0</v>
      </c>
      <c r="N2143" t="n">
        <v>0</v>
      </c>
      <c r="O2143" t="n">
        <v>0</v>
      </c>
      <c r="P2143" t="n">
        <v>0</v>
      </c>
      <c r="Q2143" t="n">
        <v>0</v>
      </c>
      <c r="R2143" t="inlineStr">
        <is>
          <t>Operationnel</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row>
    <row r="2144">
      <c r="A2144" t="inlineStr">
        <is>
          <t>Niete-FH</t>
        </is>
      </c>
      <c r="B2144" t="inlineStr">
        <is>
          <t>SUD_005</t>
        </is>
      </c>
      <c r="C2144" t="inlineStr">
        <is>
          <t>LITTORAL</t>
        </is>
      </c>
      <c r="D2144" t="inlineStr">
        <is>
          <t>IHS</t>
        </is>
      </c>
      <c r="E2144" t="inlineStr">
        <is>
          <t>Grid-Gen-Lithium</t>
        </is>
      </c>
      <c r="F2144" t="inlineStr">
        <is>
          <t>SUD</t>
        </is>
      </c>
      <c r="G2144" t="inlineStr">
        <is>
          <t>Niete</t>
        </is>
      </c>
      <c r="H2144" t="inlineStr">
        <is>
          <t>ZTE</t>
        </is>
      </c>
      <c r="I2144" t="n">
        <v>0</v>
      </c>
      <c r="J2144" t="n">
        <v>0</v>
      </c>
      <c r="K2144" t="n">
        <v>0</v>
      </c>
      <c r="L2144" t="n">
        <v>0</v>
      </c>
      <c r="M2144" t="n">
        <v>0</v>
      </c>
      <c r="N2144" t="n">
        <v>0</v>
      </c>
      <c r="O2144" t="n">
        <v>0</v>
      </c>
      <c r="P2144" t="n">
        <v>0</v>
      </c>
      <c r="Q2144" t="n">
        <v>0</v>
      </c>
      <c r="R2144" t="inlineStr">
        <is>
          <t>Operationnel</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row>
    <row r="2145">
      <c r="A2145" t="inlineStr">
        <is>
          <t>Nkolafamba</t>
        </is>
      </c>
      <c r="B2145" t="inlineStr">
        <is>
          <t>CTR_780</t>
        </is>
      </c>
      <c r="C2145" t="inlineStr">
        <is>
          <t>CENTRE</t>
        </is>
      </c>
      <c r="D2145" t="inlineStr">
        <is>
          <t>CAMUSAT</t>
        </is>
      </c>
      <c r="E2145" t="inlineStr">
        <is>
          <t>HGB</t>
        </is>
      </c>
      <c r="F2145" t="inlineStr">
        <is>
          <t>CENTRE</t>
        </is>
      </c>
      <c r="G2145" t="inlineStr">
        <is>
          <t>Nkolafamba</t>
        </is>
      </c>
      <c r="H2145" t="inlineStr">
        <is>
          <t>ZTE</t>
        </is>
      </c>
      <c r="I2145" t="n">
        <v>0</v>
      </c>
      <c r="J2145" t="n">
        <v>0</v>
      </c>
      <c r="K2145" t="n">
        <v>0</v>
      </c>
      <c r="L2145" t="n">
        <v>0</v>
      </c>
      <c r="M2145" t="n">
        <v>0</v>
      </c>
      <c r="N2145" t="n">
        <v>0</v>
      </c>
      <c r="O2145" t="n">
        <v>0</v>
      </c>
      <c r="P2145" t="n">
        <v>0</v>
      </c>
      <c r="Q2145" t="n">
        <v>0</v>
      </c>
      <c r="R2145" t="inlineStr">
        <is>
          <t>Operationnel</t>
        </is>
      </c>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row>
    <row r="2146">
      <c r="A2146" t="inlineStr">
        <is>
          <t>Lolodorf</t>
        </is>
      </c>
      <c r="B2146" t="inlineStr">
        <is>
          <t>SUD_024</t>
        </is>
      </c>
      <c r="C2146" t="inlineStr">
        <is>
          <t>CENTRE</t>
        </is>
      </c>
      <c r="D2146" t="inlineStr">
        <is>
          <t>IHS</t>
        </is>
      </c>
      <c r="E2146" t="inlineStr">
        <is>
          <t>Solar-Gen</t>
        </is>
      </c>
      <c r="F2146" t="inlineStr">
        <is>
          <t>SUD</t>
        </is>
      </c>
      <c r="G2146" t="inlineStr">
        <is>
          <t>Lolodorf</t>
        </is>
      </c>
      <c r="H2146" t="inlineStr">
        <is>
          <t>ZTE</t>
        </is>
      </c>
      <c r="I2146" t="n">
        <v>0</v>
      </c>
      <c r="J2146" t="n">
        <v>0</v>
      </c>
      <c r="K2146" t="n">
        <v>0</v>
      </c>
      <c r="L2146" t="n">
        <v>0</v>
      </c>
      <c r="M2146" t="n">
        <v>0</v>
      </c>
      <c r="N2146" t="n">
        <v>0</v>
      </c>
      <c r="O2146" t="n">
        <v>0</v>
      </c>
      <c r="P2146" t="n">
        <v>0</v>
      </c>
      <c r="Q2146" t="n">
        <v>0</v>
      </c>
      <c r="R2146" t="inlineStr">
        <is>
          <t>Operationnel</t>
        </is>
      </c>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row>
    <row r="2147">
      <c r="A2147" t="inlineStr">
        <is>
          <t>Poutkak</t>
        </is>
      </c>
      <c r="B2147" t="inlineStr">
        <is>
          <t>LIT_513</t>
        </is>
      </c>
      <c r="C2147" t="inlineStr">
        <is>
          <t>LITTORAL</t>
        </is>
      </c>
      <c r="D2147" t="inlineStr">
        <is>
          <t>IHS</t>
        </is>
      </c>
      <c r="E2147" t="inlineStr">
        <is>
          <t>Hybrid-Gen</t>
        </is>
      </c>
      <c r="F2147" t="inlineStr">
        <is>
          <t>LITTORAL</t>
        </is>
      </c>
      <c r="G2147" t="inlineStr">
        <is>
          <t>Poutkak</t>
        </is>
      </c>
      <c r="H2147" t="inlineStr">
        <is>
          <t>ZTE</t>
        </is>
      </c>
      <c r="I2147" t="n">
        <v>0</v>
      </c>
      <c r="J2147" t="n">
        <v>0</v>
      </c>
      <c r="K2147" t="n">
        <v>0</v>
      </c>
      <c r="L2147" t="n">
        <v>0</v>
      </c>
      <c r="M2147" t="n">
        <v>0</v>
      </c>
      <c r="N2147" t="n">
        <v>0</v>
      </c>
      <c r="O2147" t="n">
        <v>0</v>
      </c>
      <c r="P2147" t="n">
        <v>0</v>
      </c>
      <c r="Q2147" t="n">
        <v>0</v>
      </c>
      <c r="R2147" t="inlineStr">
        <is>
          <t>Operationnel</t>
        </is>
      </c>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row>
    <row r="2148">
      <c r="A2148" t="inlineStr">
        <is>
          <t>Akoeman</t>
        </is>
      </c>
      <c r="B2148" t="inlineStr">
        <is>
          <t>CTR_517</t>
        </is>
      </c>
      <c r="C2148" t="inlineStr">
        <is>
          <t>CENTRE</t>
        </is>
      </c>
      <c r="D2148" t="inlineStr">
        <is>
          <t>IHS</t>
        </is>
      </c>
      <c r="E2148" t="inlineStr">
        <is>
          <t>Grid-Hybrid-Gen</t>
        </is>
      </c>
      <c r="F2148" t="inlineStr">
        <is>
          <t>CENTRE</t>
        </is>
      </c>
      <c r="G2148" t="inlineStr">
        <is>
          <t>Akoeman</t>
        </is>
      </c>
      <c r="H2148" t="inlineStr">
        <is>
          <t>NOKIA</t>
        </is>
      </c>
      <c r="I2148" t="n">
        <v>0</v>
      </c>
      <c r="J2148" t="n">
        <v>0</v>
      </c>
      <c r="K2148" t="n">
        <v>0</v>
      </c>
      <c r="L2148" t="n">
        <v>0</v>
      </c>
      <c r="M2148" t="n">
        <v>0</v>
      </c>
      <c r="N2148" t="n">
        <v>0</v>
      </c>
      <c r="O2148" t="n">
        <v>0</v>
      </c>
      <c r="P2148" t="n">
        <v>0</v>
      </c>
      <c r="Q2148" t="n">
        <v>0</v>
      </c>
      <c r="R2148" t="inlineStr">
        <is>
          <t>Operationnel</t>
        </is>
      </c>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row>
    <row r="2149">
      <c r="A2149" t="inlineStr">
        <is>
          <t>Ngomo</t>
        </is>
      </c>
      <c r="B2149" t="inlineStr">
        <is>
          <t>CTR_083</t>
        </is>
      </c>
      <c r="C2149" t="inlineStr">
        <is>
          <t>CENTRE</t>
        </is>
      </c>
      <c r="D2149" t="inlineStr">
        <is>
          <t>IHS</t>
        </is>
      </c>
      <c r="E2149" t="inlineStr">
        <is>
          <t>Grid-Gen</t>
        </is>
      </c>
      <c r="F2149" t="inlineStr">
        <is>
          <t>CENTRE</t>
        </is>
      </c>
      <c r="G2149" t="inlineStr">
        <is>
          <t>Ngomo</t>
        </is>
      </c>
      <c r="H2149" t="inlineStr">
        <is>
          <t>ZTE</t>
        </is>
      </c>
      <c r="I2149" t="n">
        <v>0</v>
      </c>
      <c r="J2149" t="n">
        <v>0</v>
      </c>
      <c r="K2149" t="n">
        <v>0</v>
      </c>
      <c r="L2149" t="n">
        <v>0</v>
      </c>
      <c r="M2149" t="n">
        <v>0</v>
      </c>
      <c r="N2149" t="n">
        <v>0</v>
      </c>
      <c r="O2149" t="n">
        <v>0</v>
      </c>
      <c r="P2149" t="n">
        <v>0</v>
      </c>
      <c r="Q2149" t="n">
        <v>0</v>
      </c>
      <c r="R2149" t="inlineStr">
        <is>
          <t>Operationnel</t>
        </is>
      </c>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row>
    <row r="2150">
      <c r="A2150" t="inlineStr">
        <is>
          <t>MBPIKILIKI</t>
        </is>
      </c>
      <c r="B2150" t="inlineStr">
        <is>
          <t>SUD_110</t>
        </is>
      </c>
      <c r="C2150" t="inlineStr">
        <is>
          <t>CENTRE</t>
        </is>
      </c>
      <c r="D2150" t="inlineStr">
        <is>
          <t>IHS</t>
        </is>
      </c>
      <c r="E2150" t="inlineStr">
        <is>
          <t>Gen Only</t>
        </is>
      </c>
      <c r="F2150" t="inlineStr">
        <is>
          <t>SUD</t>
        </is>
      </c>
      <c r="G2150" t="inlineStr">
        <is>
          <t>Mbikiliki</t>
        </is>
      </c>
      <c r="H2150" t="inlineStr">
        <is>
          <t>ZTE</t>
        </is>
      </c>
      <c r="I2150" t="n">
        <v>0</v>
      </c>
      <c r="J2150" t="n">
        <v>0</v>
      </c>
      <c r="K2150" t="n">
        <v>0</v>
      </c>
      <c r="L2150" t="n">
        <v>0</v>
      </c>
      <c r="M2150" t="n">
        <v>0</v>
      </c>
      <c r="N2150" t="n">
        <v>0</v>
      </c>
      <c r="O2150" t="n">
        <v>0</v>
      </c>
      <c r="P2150" t="n">
        <v>0</v>
      </c>
      <c r="Q2150" t="n">
        <v>0</v>
      </c>
      <c r="R2150" t="inlineStr">
        <is>
          <t>Operationnel</t>
        </is>
      </c>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row>
    <row r="2151">
      <c r="A2151" t="inlineStr">
        <is>
          <t>Minkama-IHS</t>
        </is>
      </c>
      <c r="B2151" t="inlineStr">
        <is>
          <t>CTR_909</t>
        </is>
      </c>
      <c r="C2151" t="inlineStr">
        <is>
          <t>CENTRE</t>
        </is>
      </c>
      <c r="D2151" t="inlineStr"/>
      <c r="E2151" t="inlineStr"/>
      <c r="F2151" t="inlineStr">
        <is>
          <t>CENTRE</t>
        </is>
      </c>
      <c r="G2151" t="inlineStr">
        <is>
          <t>Obala</t>
        </is>
      </c>
      <c r="H2151" t="inlineStr">
        <is>
          <t>ZTE</t>
        </is>
      </c>
      <c r="I2151" t="n">
        <v>0</v>
      </c>
      <c r="J2151" t="n">
        <v>0</v>
      </c>
      <c r="K2151" t="n">
        <v>0</v>
      </c>
      <c r="L2151" t="n">
        <v>0</v>
      </c>
      <c r="M2151" t="n">
        <v>0</v>
      </c>
      <c r="N2151" t="n">
        <v>0</v>
      </c>
      <c r="O2151" t="n">
        <v>0</v>
      </c>
      <c r="P2151" t="n">
        <v>0</v>
      </c>
      <c r="Q2151" t="n">
        <v>0</v>
      </c>
      <c r="R2151" t="inlineStr">
        <is>
          <t>Operationnel</t>
        </is>
      </c>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row>
    <row r="2152">
      <c r="A2152" t="inlineStr">
        <is>
          <t>Nomale</t>
        </is>
      </c>
      <c r="B2152" t="inlineStr">
        <is>
          <t>CTR_297</t>
        </is>
      </c>
      <c r="C2152" t="inlineStr">
        <is>
          <t>CENTRE</t>
        </is>
      </c>
      <c r="D2152" t="inlineStr">
        <is>
          <t>IHS</t>
        </is>
      </c>
      <c r="E2152" t="inlineStr">
        <is>
          <t>Grid-Gen</t>
        </is>
      </c>
      <c r="F2152" t="inlineStr">
        <is>
          <t>CENTRE</t>
        </is>
      </c>
      <c r="G2152" t="inlineStr">
        <is>
          <t>Nomale</t>
        </is>
      </c>
      <c r="H2152" t="inlineStr">
        <is>
          <t>ZTE</t>
        </is>
      </c>
      <c r="I2152" t="n">
        <v>0</v>
      </c>
      <c r="J2152" t="n">
        <v>0</v>
      </c>
      <c r="K2152" t="n">
        <v>0</v>
      </c>
      <c r="L2152" t="n">
        <v>0</v>
      </c>
      <c r="M2152" t="n">
        <v>0</v>
      </c>
      <c r="N2152" t="n">
        <v>0</v>
      </c>
      <c r="O2152" t="n">
        <v>0</v>
      </c>
      <c r="P2152" t="n">
        <v>0</v>
      </c>
      <c r="Q2152" t="n">
        <v>0</v>
      </c>
      <c r="R2152" t="inlineStr">
        <is>
          <t>Operationnel</t>
        </is>
      </c>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row>
    <row r="2153">
      <c r="A2153" t="inlineStr">
        <is>
          <t>Tangui</t>
        </is>
      </c>
      <c r="B2153" t="inlineStr">
        <is>
          <t>LIT_233</t>
        </is>
      </c>
      <c r="C2153" t="inlineStr">
        <is>
          <t>LITTORAL</t>
        </is>
      </c>
      <c r="D2153" t="inlineStr">
        <is>
          <t>IHS</t>
        </is>
      </c>
      <c r="E2153" t="inlineStr">
        <is>
          <t>Grid-Gen</t>
        </is>
      </c>
      <c r="F2153" t="inlineStr">
        <is>
          <t>LITTORAL</t>
        </is>
      </c>
      <c r="G2153" t="inlineStr">
        <is>
          <t>Mbanga</t>
        </is>
      </c>
      <c r="H2153" t="inlineStr">
        <is>
          <t>ZTE</t>
        </is>
      </c>
      <c r="I2153" t="n">
        <v>0</v>
      </c>
      <c r="J2153" t="n">
        <v>0</v>
      </c>
      <c r="K2153" t="n">
        <v>0</v>
      </c>
      <c r="L2153" t="n">
        <v>0</v>
      </c>
      <c r="M2153" t="n">
        <v>0</v>
      </c>
      <c r="N2153" t="n">
        <v>0</v>
      </c>
      <c r="O2153" t="n">
        <v>0</v>
      </c>
      <c r="P2153" t="n">
        <v>0</v>
      </c>
      <c r="Q2153" t="n">
        <v>0</v>
      </c>
      <c r="R2153" t="inlineStr">
        <is>
          <t>Operationnel</t>
        </is>
      </c>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row>
    <row r="2154">
      <c r="A2154" t="inlineStr">
        <is>
          <t>Borongoue-IHS</t>
        </is>
      </c>
      <c r="B2154" t="inlineStr">
        <is>
          <t>EST_130</t>
        </is>
      </c>
      <c r="C2154" t="inlineStr">
        <is>
          <t>CENTRE</t>
        </is>
      </c>
      <c r="D2154" t="inlineStr">
        <is>
          <t>IHS</t>
        </is>
      </c>
      <c r="E2154" t="inlineStr">
        <is>
          <t>Solar-Gen</t>
        </is>
      </c>
      <c r="F2154" t="inlineStr">
        <is>
          <t>EST</t>
        </is>
      </c>
      <c r="G2154" t="inlineStr">
        <is>
          <t>Borongoue</t>
        </is>
      </c>
      <c r="H2154" t="inlineStr">
        <is>
          <t>NOKIA</t>
        </is>
      </c>
      <c r="I2154" t="n">
        <v>0</v>
      </c>
      <c r="J2154" t="n">
        <v>0</v>
      </c>
      <c r="K2154" t="n">
        <v>0</v>
      </c>
      <c r="L2154" t="n">
        <v>0</v>
      </c>
      <c r="M2154" t="n">
        <v>0</v>
      </c>
      <c r="N2154" t="n">
        <v>0</v>
      </c>
      <c r="O2154" t="n">
        <v>0</v>
      </c>
      <c r="P2154" t="n">
        <v>0</v>
      </c>
      <c r="Q2154" t="n">
        <v>0</v>
      </c>
      <c r="R2154" t="inlineStr">
        <is>
          <t>Operationnel</t>
        </is>
      </c>
      <c r="S2154" t="inlineStr"/>
      <c r="T2154" t="inlineStr"/>
      <c r="U2154" t="inlineStr"/>
      <c r="V2154" t="inlineStr"/>
      <c r="W2154" t="inlineStr"/>
      <c r="X2154" t="inlineStr">
        <is>
          <t>{05-25-2026 incident}: {05-18-2026 groupe whatsapp incident}: impacted by  Kenzou_U_EST_016 , Travaux planifier || Action : fin des travaux</t>
        </is>
      </c>
      <c r="Y2154" t="inlineStr">
        <is>
          <t>{05-25-2026 incident} {05-18-2026 groupe whatsapp incident} impacted by Kenzou_U_EST_016 , Travaux planifier || Action fin des travaux</t>
        </is>
      </c>
      <c r="Z2154" t="inlineStr"/>
      <c r="AA2154" t="inlineStr">
        <is>
          <t>{05-25-2026 incident}: {05-18-2026 groupe whatsapp incident}: impacted by  Kenzou_U_EST_016 , Travaux planifier || Action : fin des travaux</t>
        </is>
      </c>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row>
    <row r="2155">
      <c r="A2155" t="inlineStr">
        <is>
          <t>Lounghe-Camrail</t>
        </is>
      </c>
      <c r="B2155" t="inlineStr">
        <is>
          <t>LIT_389</t>
        </is>
      </c>
      <c r="C2155" t="inlineStr">
        <is>
          <t>LITTORAL</t>
        </is>
      </c>
      <c r="D2155" t="inlineStr">
        <is>
          <t>CAMUSAT</t>
        </is>
      </c>
      <c r="E2155" t="inlineStr">
        <is>
          <t>Pure Solar</t>
        </is>
      </c>
      <c r="F2155" t="inlineStr">
        <is>
          <t>LITTORAL</t>
        </is>
      </c>
      <c r="G2155" t="inlineStr">
        <is>
          <t>Dibamba</t>
        </is>
      </c>
      <c r="H2155" t="inlineStr">
        <is>
          <t>ZTE</t>
        </is>
      </c>
      <c r="I2155" t="n">
        <v>0</v>
      </c>
      <c r="J2155" t="n">
        <v>0</v>
      </c>
      <c r="K2155" t="n">
        <v>0</v>
      </c>
      <c r="L2155" t="n">
        <v>0</v>
      </c>
      <c r="M2155" t="n">
        <v>0</v>
      </c>
      <c r="N2155" t="n">
        <v>0</v>
      </c>
      <c r="O2155" t="n">
        <v>0</v>
      </c>
      <c r="P2155" t="n">
        <v>0</v>
      </c>
      <c r="Q2155" t="n">
        <v>0</v>
      </c>
      <c r="R2155" t="inlineStr">
        <is>
          <t>Operationnel</t>
        </is>
      </c>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row>
    <row r="2156">
      <c r="A2156" t="inlineStr">
        <is>
          <t>Bangoua</t>
        </is>
      </c>
      <c r="B2156" t="inlineStr">
        <is>
          <t>OST_183</t>
        </is>
      </c>
      <c r="C2156" t="inlineStr">
        <is>
          <t>OUEST</t>
        </is>
      </c>
      <c r="D2156" t="inlineStr">
        <is>
          <t>IHS</t>
        </is>
      </c>
      <c r="E2156" t="inlineStr">
        <is>
          <t>Grid-Gen</t>
        </is>
      </c>
      <c r="F2156" t="inlineStr">
        <is>
          <t>OUEST</t>
        </is>
      </c>
      <c r="G2156" t="inlineStr">
        <is>
          <t>Bangoua</t>
        </is>
      </c>
      <c r="H2156" t="inlineStr">
        <is>
          <t>HUAWEI</t>
        </is>
      </c>
      <c r="I2156" t="n">
        <v>0</v>
      </c>
      <c r="J2156" t="n">
        <v>0</v>
      </c>
      <c r="K2156" t="n">
        <v>0</v>
      </c>
      <c r="L2156" t="n">
        <v>0</v>
      </c>
      <c r="M2156" t="n">
        <v>0</v>
      </c>
      <c r="N2156" t="n">
        <v>0</v>
      </c>
      <c r="O2156" t="n">
        <v>0</v>
      </c>
      <c r="P2156" t="n">
        <v>0</v>
      </c>
      <c r="Q2156" t="n">
        <v>0</v>
      </c>
      <c r="R2156" t="inlineStr">
        <is>
          <t>Operationnel</t>
        </is>
      </c>
      <c r="S2156" t="inlineStr"/>
      <c r="T2156" t="inlineStr"/>
      <c r="U2156" t="inlineStr"/>
      <c r="V2156" t="inlineStr"/>
      <c r="W2156" t="inlineStr"/>
      <c r="X2156" t="inlineStr">
        <is>
          <t>{05-25-2026 incident}:  {05-18-2026 groupe whatsapp incident}: impacted by   OST_033_H_Batchingou  ,Adeterminer sans action     ;    {05-25-2026 ocm ran 22H}: P2 Incident at OST_033_H_Batchingou; TX issue, Hammer     ;    {05-25-2026 ocm ran 17H}: Power status check Ongoing</t>
        </is>
      </c>
      <c r="Y2156" t="inlineStr">
        <is>
          <t>{05-25-2026 incident} {05-18-2026 groupe whatsapp incident} impacted by OST_033_H_Batchingou ,Adeterminer sans action P2 Incident at OST_033_H_Batchingou; TX issue, Hammer</t>
        </is>
      </c>
      <c r="Z2156" t="inlineStr"/>
      <c r="AA2156" t="inlineStr">
        <is>
          <t>{05-25-2026 incident}:  {05-18-2026 groupe whatsapp incident}: impacted by   OST_033_H_Batchingou  ,Adeterminer sans action</t>
        </is>
      </c>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{05-25-2026 ocm ran 22H}: P2 Incident at OST_033_H_Batchingou; TX issue, Hammer</t>
        </is>
      </c>
      <c r="AP2156" t="inlineStr">
        <is>
          <t>{05-25-2026 ocm ran 17H}: Power status check Ongoing</t>
        </is>
      </c>
      <c r="AQ2156" t="inlineStr"/>
      <c r="AR2156" t="inlineStr"/>
    </row>
    <row r="2157">
      <c r="A2157" t="inlineStr">
        <is>
          <t>Batchingou</t>
        </is>
      </c>
      <c r="B2157" t="inlineStr">
        <is>
          <t>OST_033</t>
        </is>
      </c>
      <c r="C2157" t="inlineStr">
        <is>
          <t>OUEST</t>
        </is>
      </c>
      <c r="D2157" t="inlineStr">
        <is>
          <t>IHS</t>
        </is>
      </c>
      <c r="E2157" t="inlineStr">
        <is>
          <t>Grid-Gen</t>
        </is>
      </c>
      <c r="F2157" t="inlineStr">
        <is>
          <t>OUEST</t>
        </is>
      </c>
      <c r="G2157" t="inlineStr">
        <is>
          <t>Batchingou</t>
        </is>
      </c>
      <c r="H2157" t="inlineStr">
        <is>
          <t>HUAWEI</t>
        </is>
      </c>
      <c r="I2157" t="n">
        <v>0</v>
      </c>
      <c r="J2157" t="n">
        <v>0</v>
      </c>
      <c r="K2157" t="n">
        <v>0</v>
      </c>
      <c r="L2157" t="n">
        <v>0</v>
      </c>
      <c r="M2157" t="n">
        <v>0</v>
      </c>
      <c r="N2157" t="n">
        <v>0</v>
      </c>
      <c r="O2157" t="n">
        <v>0</v>
      </c>
      <c r="P2157" t="n">
        <v>0</v>
      </c>
      <c r="Q2157" t="n">
        <v>0</v>
      </c>
      <c r="R2157" t="inlineStr">
        <is>
          <t>Operationnel</t>
        </is>
      </c>
      <c r="S2157" t="inlineStr"/>
      <c r="T2157" t="inlineStr"/>
      <c r="U2157" t="inlineStr"/>
      <c r="V2157" t="inlineStr"/>
      <c r="W2157" t="inlineStr"/>
      <c r="X2157" t="inlineStr">
        <is>
          <t>{05-25-2026 incident}:  {05-18-2026 groupe whatsapp incident}: impacted by   OST_033_H_Batchingou  ,Adeterminer sans action     ;    {None hourly IHS}: 25/05/2026 16:54..0:25:05..Fme is managing with level 0     ;    {05-25-2026 ocm ran 22H}: P2 Incident at OST_033_H_Batchingou; TX issue, Hammer     ;    {05-25-2026 ocm ran 17H}: Power status check Ongoing</t>
        </is>
      </c>
      <c r="Y2157" t="inlineStr">
        <is>
          <t>{05-25-2026 incident} {05-18-2026 groupe whatsapp incident} impacted by OST_033_H_Batchingou ,Adeterminer sans action 25/05/2026 16 54.0 25 05.Fme is managing with level 0 P2 Incident at OST_033_H_Batchingou; TX issue, Hammer</t>
        </is>
      </c>
      <c r="Z2157" t="inlineStr"/>
      <c r="AA2157" t="inlineStr">
        <is>
          <t>{05-25-2026 incident}:  {05-18-2026 groupe whatsapp incident}: impacted by   OST_033_H_Batchingou  ,Adeterminer sans action</t>
        </is>
      </c>
      <c r="AB2157" t="inlineStr"/>
      <c r="AC2157" t="inlineStr"/>
      <c r="AD2157" t="inlineStr"/>
      <c r="AE2157" t="inlineStr">
        <is>
          <t>{None hourly IHS}: 25/05/2026 16:54..0:25:05..Fme is managing with level 0</t>
        </is>
      </c>
      <c r="AF2157" t="inlineStr"/>
      <c r="AG2157" t="inlineStr"/>
      <c r="AH2157" t="inlineStr"/>
      <c r="AI2157" t="inlineStr"/>
      <c r="AJ2157" t="inlineStr"/>
      <c r="AK2157" t="inlineStr"/>
      <c r="AL2157" t="inlineStr"/>
      <c r="AM2157" t="inlineStr"/>
      <c r="AN2157" t="inlineStr"/>
      <c r="AO2157" t="inlineStr">
        <is>
          <t>{05-25-2026 ocm ran 22H}: P2 Incident at OST_033_H_Batchingou; TX issue, Hammer</t>
        </is>
      </c>
      <c r="AP2157" t="inlineStr">
        <is>
          <t>{05-25-2026 ocm ran 17H}: Power status check Ongoing</t>
        </is>
      </c>
      <c r="AQ2157" t="inlineStr"/>
      <c r="AR2157" t="inlineStr"/>
    </row>
    <row r="2158">
      <c r="A2158" t="inlineStr">
        <is>
          <t>Niete-DG</t>
        </is>
      </c>
      <c r="B2158" t="inlineStr">
        <is>
          <t>SUD_011</t>
        </is>
      </c>
      <c r="C2158" t="inlineStr">
        <is>
          <t>LITTORAL</t>
        </is>
      </c>
      <c r="D2158" t="inlineStr">
        <is>
          <t>IHS</t>
        </is>
      </c>
      <c r="E2158" t="inlineStr">
        <is>
          <t>Grid-Gen</t>
        </is>
      </c>
      <c r="F2158" t="inlineStr">
        <is>
          <t>SUD</t>
        </is>
      </c>
      <c r="G2158" t="inlineStr">
        <is>
          <t>Niete</t>
        </is>
      </c>
      <c r="H2158" t="inlineStr">
        <is>
          <t>ZTE</t>
        </is>
      </c>
      <c r="I2158" t="n">
        <v>0</v>
      </c>
      <c r="J2158" t="n">
        <v>0</v>
      </c>
      <c r="K2158" t="n">
        <v>0</v>
      </c>
      <c r="L2158" t="n">
        <v>0</v>
      </c>
      <c r="M2158" t="n">
        <v>0</v>
      </c>
      <c r="N2158" t="n">
        <v>0</v>
      </c>
      <c r="O2158" t="n">
        <v>0</v>
      </c>
      <c r="P2158" t="n">
        <v>0</v>
      </c>
      <c r="Q2158" t="n">
        <v>0</v>
      </c>
      <c r="R2158" t="inlineStr">
        <is>
          <t>Operationnel</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row>
    <row r="2159">
      <c r="A2159" t="inlineStr">
        <is>
          <t>Adjap-IHS</t>
        </is>
      </c>
      <c r="B2159" t="inlineStr">
        <is>
          <t>SUD_070</t>
        </is>
      </c>
      <c r="C2159" t="inlineStr">
        <is>
          <t>CENTRE</t>
        </is>
      </c>
      <c r="D2159" t="inlineStr">
        <is>
          <t>IHS</t>
        </is>
      </c>
      <c r="E2159" t="inlineStr">
        <is>
          <t>Grid-Gen</t>
        </is>
      </c>
      <c r="F2159" t="inlineStr">
        <is>
          <t>SUD</t>
        </is>
      </c>
      <c r="G2159" t="inlineStr">
        <is>
          <t>Adjap</t>
        </is>
      </c>
      <c r="H2159" t="inlineStr">
        <is>
          <t>NOKIA</t>
        </is>
      </c>
      <c r="I2159" t="n">
        <v>0</v>
      </c>
      <c r="J2159" t="n">
        <v>0</v>
      </c>
      <c r="K2159" t="n">
        <v>0</v>
      </c>
      <c r="L2159" t="n">
        <v>0</v>
      </c>
      <c r="M2159" t="n">
        <v>0</v>
      </c>
      <c r="N2159" t="n">
        <v>0</v>
      </c>
      <c r="O2159" t="n">
        <v>0</v>
      </c>
      <c r="P2159" t="n">
        <v>0</v>
      </c>
      <c r="Q2159" t="n">
        <v>0</v>
      </c>
      <c r="R2159" t="inlineStr">
        <is>
          <t>Operationnel</t>
        </is>
      </c>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row>
    <row r="2160">
      <c r="A2160" t="inlineStr">
        <is>
          <t>Minka-MTN-IHS</t>
        </is>
      </c>
      <c r="B2160" t="inlineStr">
        <is>
          <t>CTR_186</t>
        </is>
      </c>
      <c r="C2160" t="inlineStr">
        <is>
          <t>CENTRE</t>
        </is>
      </c>
      <c r="D2160" t="inlineStr">
        <is>
          <t>IHS</t>
        </is>
      </c>
      <c r="E2160" t="inlineStr">
        <is>
          <t>Hybrid-Gen</t>
        </is>
      </c>
      <c r="F2160" t="inlineStr">
        <is>
          <t>CENTRE</t>
        </is>
      </c>
      <c r="G2160" t="inlineStr">
        <is>
          <t>Minka</t>
        </is>
      </c>
      <c r="H2160" t="inlineStr">
        <is>
          <t>ZTE</t>
        </is>
      </c>
      <c r="I2160" t="n">
        <v>0</v>
      </c>
      <c r="J2160" t="n">
        <v>0</v>
      </c>
      <c r="K2160" t="n">
        <v>0</v>
      </c>
      <c r="L2160" t="n">
        <v>0</v>
      </c>
      <c r="M2160" t="n">
        <v>0</v>
      </c>
      <c r="N2160" t="n">
        <v>0</v>
      </c>
      <c r="O2160" t="n">
        <v>0</v>
      </c>
      <c r="P2160" t="n">
        <v>0</v>
      </c>
      <c r="Q2160" t="n">
        <v>0</v>
      </c>
      <c r="R2160" t="inlineStr">
        <is>
          <t>Operationnel</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row>
    <row r="2161">
      <c r="A2161" t="inlineStr">
        <is>
          <t>Tonga</t>
        </is>
      </c>
      <c r="B2161" t="inlineStr">
        <is>
          <t>OST_053</t>
        </is>
      </c>
      <c r="C2161" t="inlineStr">
        <is>
          <t>OUEST</t>
        </is>
      </c>
      <c r="D2161" t="inlineStr">
        <is>
          <t>IHS</t>
        </is>
      </c>
      <c r="E2161" t="inlineStr">
        <is>
          <t>Grid-Gen</t>
        </is>
      </c>
      <c r="F2161" t="inlineStr">
        <is>
          <t>OUEST</t>
        </is>
      </c>
      <c r="G2161" t="inlineStr">
        <is>
          <t>Tonga</t>
        </is>
      </c>
      <c r="H2161" t="inlineStr">
        <is>
          <t>HUAWEI</t>
        </is>
      </c>
      <c r="I2161" t="n">
        <v>0</v>
      </c>
      <c r="J2161" t="n">
        <v>0</v>
      </c>
      <c r="K2161" t="n">
        <v>0</v>
      </c>
      <c r="L2161" t="n">
        <v>0</v>
      </c>
      <c r="M2161" t="n">
        <v>0</v>
      </c>
      <c r="N2161" t="n">
        <v>0</v>
      </c>
      <c r="O2161" t="n">
        <v>0</v>
      </c>
      <c r="P2161" t="n">
        <v>0</v>
      </c>
      <c r="Q2161" t="n">
        <v>0</v>
      </c>
      <c r="R2161" t="inlineStr">
        <is>
          <t>Operationnel</t>
        </is>
      </c>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row>
    <row r="2162">
      <c r="A2162" t="inlineStr">
        <is>
          <t>Minisite-Bonapriso-Castel-Hall</t>
        </is>
      </c>
      <c r="B2162" t="inlineStr">
        <is>
          <t>LIT_628</t>
        </is>
      </c>
      <c r="C2162" t="inlineStr">
        <is>
          <t>Douala</t>
        </is>
      </c>
      <c r="D2162" t="inlineStr"/>
      <c r="E2162" t="inlineStr"/>
      <c r="F2162" t="inlineStr">
        <is>
          <t>LITTORAL</t>
        </is>
      </c>
      <c r="G2162" t="inlineStr">
        <is>
          <t>Douala</t>
        </is>
      </c>
      <c r="H2162" t="inlineStr">
        <is>
          <t>NOKIA</t>
        </is>
      </c>
      <c r="I2162" t="n">
        <v>0</v>
      </c>
      <c r="J2162" t="n">
        <v>0</v>
      </c>
      <c r="K2162" t="n">
        <v>0</v>
      </c>
      <c r="L2162" t="n">
        <v>0</v>
      </c>
      <c r="M2162" t="n">
        <v>0</v>
      </c>
      <c r="N2162" t="n">
        <v>0</v>
      </c>
      <c r="O2162" t="n">
        <v>0</v>
      </c>
      <c r="P2162" t="n">
        <v>0</v>
      </c>
      <c r="Q2162" t="n">
        <v>0</v>
      </c>
      <c r="R2162" t="inlineStr">
        <is>
          <t>Operationnel</t>
        </is>
      </c>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row>
    <row r="2163">
      <c r="A2163" t="inlineStr">
        <is>
          <t>Babette</t>
        </is>
      </c>
      <c r="B2163" t="inlineStr">
        <is>
          <t>OST_257</t>
        </is>
      </c>
      <c r="C2163" t="inlineStr">
        <is>
          <t>OUEST</t>
        </is>
      </c>
      <c r="D2163" t="inlineStr">
        <is>
          <t>CAMUSAT</t>
        </is>
      </c>
      <c r="E2163" t="inlineStr">
        <is>
          <t>Hybrid Solar - S3</t>
        </is>
      </c>
      <c r="F2163" t="inlineStr">
        <is>
          <t>OUEST</t>
        </is>
      </c>
      <c r="G2163" t="inlineStr">
        <is>
          <t>Babette</t>
        </is>
      </c>
      <c r="H2163" t="inlineStr">
        <is>
          <t>HUAWEI</t>
        </is>
      </c>
      <c r="I2163" t="n">
        <v>0</v>
      </c>
      <c r="J2163" t="n">
        <v>0</v>
      </c>
      <c r="K2163" t="n">
        <v>0</v>
      </c>
      <c r="L2163" t="n">
        <v>0</v>
      </c>
      <c r="M2163" t="n">
        <v>0</v>
      </c>
      <c r="N2163" t="n">
        <v>0</v>
      </c>
      <c r="O2163" t="n">
        <v>0</v>
      </c>
      <c r="P2163" t="n">
        <v>0</v>
      </c>
      <c r="Q2163" t="n">
        <v>0</v>
      </c>
      <c r="R2163" t="inlineStr">
        <is>
          <t>Operationnel</t>
        </is>
      </c>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row>
    <row r="2164">
      <c r="A2164" t="inlineStr">
        <is>
          <t>Nkoteng-II</t>
        </is>
      </c>
      <c r="B2164" t="inlineStr">
        <is>
          <t>CTR_220</t>
        </is>
      </c>
      <c r="C2164" t="inlineStr">
        <is>
          <t>CENTRE</t>
        </is>
      </c>
      <c r="D2164" t="inlineStr">
        <is>
          <t>IHS</t>
        </is>
      </c>
      <c r="E2164" t="inlineStr">
        <is>
          <t>Grid-Gen</t>
        </is>
      </c>
      <c r="F2164" t="inlineStr">
        <is>
          <t>CENTRE</t>
        </is>
      </c>
      <c r="G2164" t="inlineStr">
        <is>
          <t>Nkoteng</t>
        </is>
      </c>
      <c r="H2164" t="inlineStr">
        <is>
          <t>ZTE</t>
        </is>
      </c>
      <c r="I2164" t="n">
        <v>0</v>
      </c>
      <c r="J2164" t="n">
        <v>0</v>
      </c>
      <c r="K2164" t="n">
        <v>0</v>
      </c>
      <c r="L2164" t="n">
        <v>0</v>
      </c>
      <c r="M2164" t="n">
        <v>0</v>
      </c>
      <c r="N2164" t="n">
        <v>0</v>
      </c>
      <c r="O2164" t="n">
        <v>0</v>
      </c>
      <c r="P2164" t="n">
        <v>0</v>
      </c>
      <c r="Q2164" t="n">
        <v>0</v>
      </c>
      <c r="R2164" t="inlineStr">
        <is>
          <t>Operationnel</t>
        </is>
      </c>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row>
    <row r="2165">
      <c r="A2165" t="inlineStr">
        <is>
          <t>Talla-Monatele-IHS</t>
        </is>
      </c>
      <c r="B2165" t="inlineStr">
        <is>
          <t>CTR_135</t>
        </is>
      </c>
      <c r="C2165" t="inlineStr">
        <is>
          <t>CENTRE</t>
        </is>
      </c>
      <c r="D2165" t="inlineStr">
        <is>
          <t>IHS</t>
        </is>
      </c>
      <c r="E2165" t="inlineStr">
        <is>
          <t>Grid-Gen</t>
        </is>
      </c>
      <c r="F2165" t="inlineStr">
        <is>
          <t>CENTRE</t>
        </is>
      </c>
      <c r="G2165" t="inlineStr">
        <is>
          <t>Monatele</t>
        </is>
      </c>
      <c r="H2165" t="inlineStr">
        <is>
          <t>ZTE</t>
        </is>
      </c>
      <c r="I2165" t="n">
        <v>0</v>
      </c>
      <c r="J2165" t="n">
        <v>0</v>
      </c>
      <c r="K2165" t="n">
        <v>0</v>
      </c>
      <c r="L2165" t="n">
        <v>0</v>
      </c>
      <c r="M2165" t="n">
        <v>0</v>
      </c>
      <c r="N2165" t="n">
        <v>0</v>
      </c>
      <c r="O2165" t="n">
        <v>0</v>
      </c>
      <c r="P2165" t="n">
        <v>0</v>
      </c>
      <c r="Q2165" t="n">
        <v>0</v>
      </c>
      <c r="R2165" t="inlineStr">
        <is>
          <t>Operationnel</t>
        </is>
      </c>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row>
    <row r="2166">
      <c r="A2166" t="inlineStr">
        <is>
          <t>Enganme-IHS</t>
        </is>
      </c>
      <c r="B2166" t="inlineStr">
        <is>
          <t>CTR_143</t>
        </is>
      </c>
      <c r="C2166" t="inlineStr">
        <is>
          <t>CENTRE</t>
        </is>
      </c>
      <c r="D2166" t="inlineStr">
        <is>
          <t>IHS</t>
        </is>
      </c>
      <c r="E2166" t="inlineStr">
        <is>
          <t>Solar-Gen</t>
        </is>
      </c>
      <c r="F2166" t="inlineStr">
        <is>
          <t>CENTRE</t>
        </is>
      </c>
      <c r="G2166" t="inlineStr">
        <is>
          <t>Enganme</t>
        </is>
      </c>
      <c r="H2166" t="inlineStr">
        <is>
          <t>ZTE</t>
        </is>
      </c>
      <c r="I2166" t="n">
        <v>0</v>
      </c>
      <c r="J2166" t="n">
        <v>0</v>
      </c>
      <c r="K2166" t="n">
        <v>0</v>
      </c>
      <c r="L2166" t="n">
        <v>0</v>
      </c>
      <c r="M2166" t="n">
        <v>0</v>
      </c>
      <c r="N2166" t="n">
        <v>0</v>
      </c>
      <c r="O2166" t="n">
        <v>0</v>
      </c>
      <c r="P2166" t="n">
        <v>0</v>
      </c>
      <c r="Q2166" t="n">
        <v>0</v>
      </c>
      <c r="R2166" t="inlineStr">
        <is>
          <t>Operationnel</t>
        </is>
      </c>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row>
    <row r="2167">
      <c r="A2167" t="inlineStr">
        <is>
          <t>Mfessang</t>
        </is>
      </c>
      <c r="B2167" t="inlineStr">
        <is>
          <t>OST_189</t>
        </is>
      </c>
      <c r="C2167" t="inlineStr">
        <is>
          <t>OUEST</t>
        </is>
      </c>
      <c r="D2167" t="inlineStr">
        <is>
          <t>IHS</t>
        </is>
      </c>
      <c r="E2167" t="inlineStr">
        <is>
          <t>Hybrid-Gen</t>
        </is>
      </c>
      <c r="F2167" t="inlineStr">
        <is>
          <t>OUEST</t>
        </is>
      </c>
      <c r="G2167" t="inlineStr">
        <is>
          <t>Mfessang</t>
        </is>
      </c>
      <c r="H2167" t="inlineStr">
        <is>
          <t>HUAWEI</t>
        </is>
      </c>
      <c r="I2167" t="n">
        <v>0</v>
      </c>
      <c r="J2167" t="n">
        <v>0</v>
      </c>
      <c r="K2167" t="n">
        <v>0</v>
      </c>
      <c r="L2167" t="n">
        <v>0</v>
      </c>
      <c r="M2167" t="n">
        <v>0</v>
      </c>
      <c r="N2167" t="n">
        <v>0</v>
      </c>
      <c r="O2167" t="n">
        <v>0</v>
      </c>
      <c r="P2167" t="n">
        <v>0</v>
      </c>
      <c r="Q2167" t="n">
        <v>0</v>
      </c>
      <c r="R2167" t="inlineStr">
        <is>
          <t>Operationnel</t>
        </is>
      </c>
      <c r="S2167" t="inlineStr"/>
      <c r="T2167" t="inlineStr"/>
      <c r="U2167" t="inlineStr"/>
      <c r="V2167" t="inlineStr"/>
      <c r="W2167" t="inlineStr"/>
      <c r="X2167" t="inlineStr">
        <is>
          <t>{None hourly IHS}: 25/05/2026 15:11..2:08:05..Yannick is informed and managing</t>
        </is>
      </c>
      <c r="Y2167" t="inlineStr">
        <is>
          <t>25/05/2026 15 11.2 08 05.Yannick is informed and managing</t>
        </is>
      </c>
      <c r="Z2167" t="inlineStr"/>
      <c r="AA2167" t="inlineStr"/>
      <c r="AB2167" t="inlineStr"/>
      <c r="AC2167" t="inlineStr"/>
      <c r="AD2167" t="inlineStr"/>
      <c r="AE2167" t="inlineStr">
        <is>
          <t>{None hourly IHS}: 25/05/2026 15:11..2:08:05..Yannick is informed and managing</t>
        </is>
      </c>
      <c r="AF2167" t="inlineStr"/>
      <c r="AG2167" t="inlineStr"/>
      <c r="AH2167" t="inlineStr"/>
      <c r="AI2167" t="inlineStr"/>
      <c r="AJ2167" t="inlineStr"/>
      <c r="AK2167" t="inlineStr"/>
      <c r="AL2167" t="inlineStr"/>
      <c r="AM2167" t="inlineStr"/>
      <c r="AN2167" t="inlineStr"/>
      <c r="AO2167" t="inlineStr"/>
      <c r="AP2167" t="inlineStr"/>
      <c r="AQ2167" t="inlineStr"/>
      <c r="AR2167" t="inlineStr"/>
    </row>
    <row r="2168">
      <c r="A2168" t="inlineStr">
        <is>
          <t>Demdeng</t>
        </is>
      </c>
      <c r="B2168" t="inlineStr">
        <is>
          <t>OST_088</t>
        </is>
      </c>
      <c r="C2168" t="inlineStr">
        <is>
          <t>OUEST</t>
        </is>
      </c>
      <c r="D2168" t="inlineStr">
        <is>
          <t>IHS</t>
        </is>
      </c>
      <c r="E2168" t="inlineStr">
        <is>
          <t>Grid-Gen</t>
        </is>
      </c>
      <c r="F2168" t="inlineStr">
        <is>
          <t>OUEST</t>
        </is>
      </c>
      <c r="G2168" t="inlineStr">
        <is>
          <t>Demdeng</t>
        </is>
      </c>
      <c r="H2168" t="inlineStr">
        <is>
          <t>HUAWEI</t>
        </is>
      </c>
      <c r="I2168" t="n">
        <v>0</v>
      </c>
      <c r="J2168" t="n">
        <v>0</v>
      </c>
      <c r="K2168" t="n">
        <v>0</v>
      </c>
      <c r="L2168" t="n">
        <v>0</v>
      </c>
      <c r="M2168" t="n">
        <v>0</v>
      </c>
      <c r="N2168" t="n">
        <v>0</v>
      </c>
      <c r="O2168" t="n">
        <v>0</v>
      </c>
      <c r="P2168" t="n">
        <v>0</v>
      </c>
      <c r="Q2168" t="n">
        <v>0</v>
      </c>
      <c r="R2168" t="inlineStr">
        <is>
          <t>Operationnel</t>
        </is>
      </c>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row>
    <row r="2169">
      <c r="A2169" t="inlineStr">
        <is>
          <t>Bayomen-Kalong-MTN</t>
        </is>
      </c>
      <c r="B2169" t="inlineStr">
        <is>
          <t>CTR_364</t>
        </is>
      </c>
      <c r="C2169" t="inlineStr">
        <is>
          <t>CENTRE</t>
        </is>
      </c>
      <c r="D2169" t="inlineStr">
        <is>
          <t>IHS</t>
        </is>
      </c>
      <c r="E2169" t="inlineStr"/>
      <c r="F2169" t="inlineStr">
        <is>
          <t>CENTRE</t>
        </is>
      </c>
      <c r="G2169" t="inlineStr">
        <is>
          <t>Bayomen-Kalong</t>
        </is>
      </c>
      <c r="H2169" t="inlineStr">
        <is>
          <t>ZTE</t>
        </is>
      </c>
      <c r="I2169" t="n">
        <v>0</v>
      </c>
      <c r="J2169" t="n">
        <v>0</v>
      </c>
      <c r="K2169" t="n">
        <v>0</v>
      </c>
      <c r="L2169" t="n">
        <v>0</v>
      </c>
      <c r="M2169" t="n">
        <v>0</v>
      </c>
      <c r="N2169" t="n">
        <v>0</v>
      </c>
      <c r="O2169" t="n">
        <v>0</v>
      </c>
      <c r="P2169" t="n">
        <v>0</v>
      </c>
      <c r="Q2169" t="n">
        <v>0</v>
      </c>
      <c r="R2169" t="inlineStr">
        <is>
          <t>Operationnel</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row>
    <row r="2170">
      <c r="A2170" t="inlineStr">
        <is>
          <t>Pouma-Makob</t>
        </is>
      </c>
      <c r="B2170" t="inlineStr">
        <is>
          <t>LIT_201</t>
        </is>
      </c>
      <c r="C2170" t="inlineStr">
        <is>
          <t>LITTORAL</t>
        </is>
      </c>
      <c r="D2170" t="inlineStr">
        <is>
          <t>IHS</t>
        </is>
      </c>
      <c r="E2170" t="inlineStr"/>
      <c r="F2170" t="inlineStr">
        <is>
          <t>LITTORAL</t>
        </is>
      </c>
      <c r="G2170" t="inlineStr">
        <is>
          <t>Pouma</t>
        </is>
      </c>
      <c r="H2170" t="inlineStr">
        <is>
          <t>ZTE</t>
        </is>
      </c>
      <c r="I2170" t="n">
        <v>0</v>
      </c>
      <c r="J2170" t="n">
        <v>0</v>
      </c>
      <c r="K2170" t="n">
        <v>0</v>
      </c>
      <c r="L2170" t="n">
        <v>0</v>
      </c>
      <c r="M2170" t="n">
        <v>0</v>
      </c>
      <c r="N2170" t="n">
        <v>0</v>
      </c>
      <c r="O2170" t="n">
        <v>0</v>
      </c>
      <c r="P2170" t="n">
        <v>0</v>
      </c>
      <c r="Q2170" t="n">
        <v>0</v>
      </c>
      <c r="R2170" t="inlineStr">
        <is>
          <t>Operationnel</t>
        </is>
      </c>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row>
    <row r="2171">
      <c r="A2171" t="inlineStr">
        <is>
          <t>Zamakoe-MTN</t>
        </is>
      </c>
      <c r="B2171" t="inlineStr">
        <is>
          <t>CTR_366</t>
        </is>
      </c>
      <c r="C2171" t="inlineStr">
        <is>
          <t>CENTRE</t>
        </is>
      </c>
      <c r="D2171" t="inlineStr">
        <is>
          <t>IHS</t>
        </is>
      </c>
      <c r="E2171" t="inlineStr">
        <is>
          <t>Grid-Gen</t>
        </is>
      </c>
      <c r="F2171" t="inlineStr">
        <is>
          <t>CENTRE</t>
        </is>
      </c>
      <c r="G2171" t="inlineStr">
        <is>
          <t>Zamakoe</t>
        </is>
      </c>
      <c r="H2171" t="inlineStr">
        <is>
          <t>ZTE</t>
        </is>
      </c>
      <c r="I2171" t="n">
        <v>0</v>
      </c>
      <c r="J2171" t="n">
        <v>0</v>
      </c>
      <c r="K2171" t="n">
        <v>0</v>
      </c>
      <c r="L2171" t="n">
        <v>0</v>
      </c>
      <c r="M2171" t="n">
        <v>0</v>
      </c>
      <c r="N2171" t="n">
        <v>0</v>
      </c>
      <c r="O2171" t="n">
        <v>0</v>
      </c>
      <c r="P2171" t="n">
        <v>0</v>
      </c>
      <c r="Q2171" t="n">
        <v>0</v>
      </c>
      <c r="R2171" t="inlineStr">
        <is>
          <t>Operationnel</t>
        </is>
      </c>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row>
    <row r="2172">
      <c r="A2172" t="inlineStr">
        <is>
          <t>Loum</t>
        </is>
      </c>
      <c r="B2172" t="inlineStr">
        <is>
          <t>LIT_029</t>
        </is>
      </c>
      <c r="C2172" t="inlineStr">
        <is>
          <t>LITTORAL</t>
        </is>
      </c>
      <c r="D2172" t="inlineStr">
        <is>
          <t>IHS</t>
        </is>
      </c>
      <c r="E2172" t="inlineStr">
        <is>
          <t>Grid-Gen</t>
        </is>
      </c>
      <c r="F2172" t="inlineStr">
        <is>
          <t>LITTORAL</t>
        </is>
      </c>
      <c r="G2172" t="inlineStr">
        <is>
          <t>Loum</t>
        </is>
      </c>
      <c r="H2172" t="inlineStr">
        <is>
          <t>ZTE</t>
        </is>
      </c>
      <c r="I2172" t="n">
        <v>0</v>
      </c>
      <c r="J2172" t="n">
        <v>0</v>
      </c>
      <c r="K2172" t="n">
        <v>0</v>
      </c>
      <c r="L2172" t="n">
        <v>0</v>
      </c>
      <c r="M2172" t="n">
        <v>0</v>
      </c>
      <c r="N2172" t="n">
        <v>0</v>
      </c>
      <c r="O2172" t="n">
        <v>0</v>
      </c>
      <c r="P2172" t="n">
        <v>0</v>
      </c>
      <c r="Q2172" t="n">
        <v>0</v>
      </c>
      <c r="R2172" t="inlineStr">
        <is>
          <t>Operationnel</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row>
    <row r="2173">
      <c r="A2173" t="inlineStr">
        <is>
          <t>DIDANGO-II</t>
        </is>
      </c>
      <c r="B2173" t="inlineStr">
        <is>
          <t>OST_316</t>
        </is>
      </c>
      <c r="C2173" t="inlineStr">
        <is>
          <t>OUEST</t>
        </is>
      </c>
      <c r="D2173" t="inlineStr"/>
      <c r="E2173" t="inlineStr"/>
      <c r="F2173" t="inlineStr">
        <is>
          <t>OUEST</t>
        </is>
      </c>
      <c r="G2173" t="inlineStr">
        <is>
          <t>Koutaba</t>
        </is>
      </c>
      <c r="H2173" t="inlineStr">
        <is>
          <t>HUAWEI</t>
        </is>
      </c>
      <c r="I2173" t="n">
        <v>0</v>
      </c>
      <c r="J2173" t="n">
        <v>0</v>
      </c>
      <c r="K2173" t="n">
        <v>0</v>
      </c>
      <c r="L2173" t="n">
        <v>0</v>
      </c>
      <c r="M2173" t="n">
        <v>0</v>
      </c>
      <c r="N2173" t="n">
        <v>0</v>
      </c>
      <c r="O2173" t="n">
        <v>0</v>
      </c>
      <c r="P2173" t="n">
        <v>0</v>
      </c>
      <c r="Q2173" t="n">
        <v>0</v>
      </c>
      <c r="R2173" t="inlineStr">
        <is>
          <t>Operationnel</t>
        </is>
      </c>
      <c r="S2173" t="inlineStr"/>
      <c r="T2173" t="inlineStr"/>
      <c r="U2173" t="inlineStr"/>
      <c r="V2173" t="inlineStr"/>
      <c r="W2173" t="inlineStr"/>
      <c r="X2173" t="inlineStr">
        <is>
          <t>{05-25-2026 ocm ran 17H}: Power status check Ongoing</t>
        </is>
      </c>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{05-25-2026 ocm ran 17H}: Power status check Ongoing</t>
        </is>
      </c>
      <c r="AQ2173" t="inlineStr"/>
      <c r="AR2173" t="inlineStr"/>
    </row>
    <row r="2174">
      <c r="A2174" t="inlineStr">
        <is>
          <t>Sombo</t>
        </is>
      </c>
      <c r="B2174" t="inlineStr">
        <is>
          <t>CTR_013</t>
        </is>
      </c>
      <c r="C2174" t="inlineStr">
        <is>
          <t>CENTRE</t>
        </is>
      </c>
      <c r="D2174" t="inlineStr">
        <is>
          <t>IHS</t>
        </is>
      </c>
      <c r="E2174" t="inlineStr">
        <is>
          <t>Grid-Gen</t>
        </is>
      </c>
      <c r="F2174" t="inlineStr">
        <is>
          <t>CENTRE</t>
        </is>
      </c>
      <c r="G2174" t="inlineStr">
        <is>
          <t>Sombo</t>
        </is>
      </c>
      <c r="H2174" t="inlineStr">
        <is>
          <t>ZTE</t>
        </is>
      </c>
      <c r="I2174" t="n">
        <v>0</v>
      </c>
      <c r="J2174" t="n">
        <v>0</v>
      </c>
      <c r="K2174" t="n">
        <v>0</v>
      </c>
      <c r="L2174" t="n">
        <v>0</v>
      </c>
      <c r="M2174" t="n">
        <v>0</v>
      </c>
      <c r="N2174" t="n">
        <v>0</v>
      </c>
      <c r="O2174" t="n">
        <v>0</v>
      </c>
      <c r="P2174" t="n">
        <v>0</v>
      </c>
      <c r="Q2174" t="n">
        <v>0</v>
      </c>
      <c r="R2174" t="inlineStr">
        <is>
          <t>Operationnel</t>
        </is>
      </c>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row>
    <row r="2175">
      <c r="A2175" t="inlineStr">
        <is>
          <t>Akono</t>
        </is>
      </c>
      <c r="B2175" t="inlineStr">
        <is>
          <t>CTR_063</t>
        </is>
      </c>
      <c r="C2175" t="inlineStr">
        <is>
          <t>CENTRE</t>
        </is>
      </c>
      <c r="D2175" t="inlineStr">
        <is>
          <t>IHS</t>
        </is>
      </c>
      <c r="E2175" t="inlineStr">
        <is>
          <t>Grid-Gen</t>
        </is>
      </c>
      <c r="F2175" t="inlineStr">
        <is>
          <t>CENTRE</t>
        </is>
      </c>
      <c r="G2175" t="inlineStr">
        <is>
          <t>Akono</t>
        </is>
      </c>
      <c r="H2175" t="inlineStr">
        <is>
          <t>ZTE</t>
        </is>
      </c>
      <c r="I2175" t="n">
        <v>0</v>
      </c>
      <c r="J2175" t="n">
        <v>0</v>
      </c>
      <c r="K2175" t="n">
        <v>0</v>
      </c>
      <c r="L2175" t="n">
        <v>0</v>
      </c>
      <c r="M2175" t="n">
        <v>0</v>
      </c>
      <c r="N2175" t="n">
        <v>0</v>
      </c>
      <c r="O2175" t="n">
        <v>0</v>
      </c>
      <c r="P2175" t="n">
        <v>0</v>
      </c>
      <c r="Q2175" t="n">
        <v>0</v>
      </c>
      <c r="R2175" t="inlineStr">
        <is>
          <t>Operationnel</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row>
    <row r="2176">
      <c r="A2176" t="inlineStr">
        <is>
          <t>Balengou</t>
        </is>
      </c>
      <c r="B2176" t="inlineStr">
        <is>
          <t>OST_049</t>
        </is>
      </c>
      <c r="C2176" t="inlineStr">
        <is>
          <t>OUEST</t>
        </is>
      </c>
      <c r="D2176" t="inlineStr">
        <is>
          <t>IHS</t>
        </is>
      </c>
      <c r="E2176" t="inlineStr">
        <is>
          <t>Grid-Gen</t>
        </is>
      </c>
      <c r="F2176" t="inlineStr">
        <is>
          <t>OUEST</t>
        </is>
      </c>
      <c r="G2176" t="inlineStr">
        <is>
          <t>Balengou</t>
        </is>
      </c>
      <c r="H2176" t="inlineStr">
        <is>
          <t>HUAWEI</t>
        </is>
      </c>
      <c r="I2176" t="n">
        <v>0</v>
      </c>
      <c r="J2176" t="n">
        <v>0</v>
      </c>
      <c r="K2176" t="n">
        <v>0</v>
      </c>
      <c r="L2176" t="n">
        <v>0</v>
      </c>
      <c r="M2176" t="n">
        <v>0</v>
      </c>
      <c r="N2176" t="n">
        <v>0</v>
      </c>
      <c r="O2176" t="n">
        <v>0</v>
      </c>
      <c r="P2176" t="n">
        <v>0</v>
      </c>
      <c r="Q2176" t="n">
        <v>0</v>
      </c>
      <c r="R2176" t="inlineStr">
        <is>
          <t>Operationnel</t>
        </is>
      </c>
      <c r="S2176" t="inlineStr"/>
      <c r="T2176" t="inlineStr"/>
      <c r="U2176" t="inlineStr"/>
      <c r="V2176" t="inlineStr"/>
      <c r="W2176" t="inlineStr"/>
      <c r="X2176" t="inlineStr">
        <is>
          <t>{05-25-2026 ocm ran 22H}: Power status check Ongoing</t>
        </is>
      </c>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is>
          <t>{05-25-2026 ocm ran 22H}: Power status check Ongoing</t>
        </is>
      </c>
      <c r="AP2176" t="inlineStr"/>
      <c r="AQ2176" t="inlineStr"/>
      <c r="AR2176" t="inlineStr"/>
    </row>
    <row r="2177">
      <c r="A2177" t="inlineStr">
        <is>
          <t>Bokito-MTN</t>
        </is>
      </c>
      <c r="B2177" t="inlineStr">
        <is>
          <t>CTR_193</t>
        </is>
      </c>
      <c r="C2177" t="inlineStr">
        <is>
          <t>CENTRE</t>
        </is>
      </c>
      <c r="D2177" t="inlineStr">
        <is>
          <t>IHS</t>
        </is>
      </c>
      <c r="E2177" t="inlineStr">
        <is>
          <t>Grid-Gen</t>
        </is>
      </c>
      <c r="F2177" t="inlineStr">
        <is>
          <t>CENTRE</t>
        </is>
      </c>
      <c r="G2177" t="inlineStr">
        <is>
          <t>Bokito</t>
        </is>
      </c>
      <c r="H2177" t="inlineStr">
        <is>
          <t>ZTE</t>
        </is>
      </c>
      <c r="I2177" t="n">
        <v>0</v>
      </c>
      <c r="J2177" t="n">
        <v>0</v>
      </c>
      <c r="K2177" t="n">
        <v>0</v>
      </c>
      <c r="L2177" t="n">
        <v>0</v>
      </c>
      <c r="M2177" t="n">
        <v>0</v>
      </c>
      <c r="N2177" t="n">
        <v>0</v>
      </c>
      <c r="O2177" t="n">
        <v>0</v>
      </c>
      <c r="P2177" t="n">
        <v>0</v>
      </c>
      <c r="Q2177" t="n">
        <v>0</v>
      </c>
      <c r="R2177" t="inlineStr">
        <is>
          <t>Operationnel</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row>
    <row r="2178">
      <c r="A2178" t="inlineStr">
        <is>
          <t>Bissiang</t>
        </is>
      </c>
      <c r="B2178" t="inlineStr">
        <is>
          <t>LIT_505</t>
        </is>
      </c>
      <c r="C2178" t="inlineStr">
        <is>
          <t>LITTORAL</t>
        </is>
      </c>
      <c r="D2178" t="inlineStr">
        <is>
          <t>IHS</t>
        </is>
      </c>
      <c r="E2178" t="inlineStr">
        <is>
          <t>Hybrid-Gen</t>
        </is>
      </c>
      <c r="F2178" t="inlineStr">
        <is>
          <t>LITTORAL</t>
        </is>
      </c>
      <c r="G2178" t="inlineStr">
        <is>
          <t>Bissiang</t>
        </is>
      </c>
      <c r="H2178" t="inlineStr">
        <is>
          <t>ZTE</t>
        </is>
      </c>
      <c r="I2178" t="n">
        <v>0</v>
      </c>
      <c r="J2178" t="n">
        <v>0</v>
      </c>
      <c r="K2178" t="n">
        <v>0</v>
      </c>
      <c r="L2178" t="n">
        <v>0</v>
      </c>
      <c r="M2178" t="n">
        <v>0</v>
      </c>
      <c r="N2178" t="n">
        <v>0</v>
      </c>
      <c r="O2178" t="n">
        <v>0</v>
      </c>
      <c r="P2178" t="n">
        <v>0</v>
      </c>
      <c r="Q2178" t="n">
        <v>0</v>
      </c>
      <c r="R2178" t="inlineStr">
        <is>
          <t>Operationnel</t>
        </is>
      </c>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row>
    <row r="2179">
      <c r="A2179" t="inlineStr">
        <is>
          <t>Afambassi-MTN</t>
        </is>
      </c>
      <c r="B2179" t="inlineStr">
        <is>
          <t>CTR_365</t>
        </is>
      </c>
      <c r="C2179" t="inlineStr">
        <is>
          <t>CENTRE</t>
        </is>
      </c>
      <c r="D2179" t="inlineStr">
        <is>
          <t>IHS</t>
        </is>
      </c>
      <c r="E2179" t="inlineStr"/>
      <c r="F2179" t="inlineStr">
        <is>
          <t>CENTRE</t>
        </is>
      </c>
      <c r="G2179" t="inlineStr">
        <is>
          <t>Afambassi</t>
        </is>
      </c>
      <c r="H2179" t="inlineStr">
        <is>
          <t>ZTE</t>
        </is>
      </c>
      <c r="I2179" t="n">
        <v>0</v>
      </c>
      <c r="J2179" t="n">
        <v>0</v>
      </c>
      <c r="K2179" t="n">
        <v>0</v>
      </c>
      <c r="L2179" t="n">
        <v>0</v>
      </c>
      <c r="M2179" t="n">
        <v>0</v>
      </c>
      <c r="N2179" t="n">
        <v>0</v>
      </c>
      <c r="O2179" t="n">
        <v>0</v>
      </c>
      <c r="P2179" t="n">
        <v>0</v>
      </c>
      <c r="Q2179" t="n">
        <v>0</v>
      </c>
      <c r="R2179" t="inlineStr">
        <is>
          <t>Operationnel</t>
        </is>
      </c>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row>
    <row r="2180">
      <c r="A2180" t="inlineStr">
        <is>
          <t>Ezezang-MTN</t>
        </is>
      </c>
      <c r="B2180" t="inlineStr">
        <is>
          <t>CTR_230</t>
        </is>
      </c>
      <c r="C2180" t="inlineStr">
        <is>
          <t>CENTRE</t>
        </is>
      </c>
      <c r="D2180" t="inlineStr">
        <is>
          <t>IHS</t>
        </is>
      </c>
      <c r="E2180" t="inlineStr"/>
      <c r="F2180" t="inlineStr">
        <is>
          <t>CENTRE</t>
        </is>
      </c>
      <c r="G2180" t="inlineStr">
        <is>
          <t>Ezezang</t>
        </is>
      </c>
      <c r="H2180" t="inlineStr">
        <is>
          <t>ZTE</t>
        </is>
      </c>
      <c r="I2180" t="n">
        <v>0</v>
      </c>
      <c r="J2180" t="n">
        <v>0</v>
      </c>
      <c r="K2180" t="n">
        <v>0</v>
      </c>
      <c r="L2180" t="n">
        <v>0</v>
      </c>
      <c r="M2180" t="n">
        <v>0</v>
      </c>
      <c r="N2180" t="n">
        <v>0</v>
      </c>
      <c r="O2180" t="n">
        <v>0</v>
      </c>
      <c r="P2180" t="n">
        <v>0</v>
      </c>
      <c r="Q2180" t="n">
        <v>0</v>
      </c>
      <c r="R2180" t="inlineStr">
        <is>
          <t>Operationnel</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row>
    <row r="2181">
      <c r="A2181" t="inlineStr">
        <is>
          <t>Yop-IHS</t>
        </is>
      </c>
      <c r="B2181" t="inlineStr">
        <is>
          <t>CTR_673</t>
        </is>
      </c>
      <c r="C2181" t="inlineStr">
        <is>
          <t>CENTRE</t>
        </is>
      </c>
      <c r="D2181" t="inlineStr">
        <is>
          <t>IHS</t>
        </is>
      </c>
      <c r="E2181" t="inlineStr">
        <is>
          <t>Solar-Grid-Gen</t>
        </is>
      </c>
      <c r="F2181" t="inlineStr">
        <is>
          <t>CENTRE</t>
        </is>
      </c>
      <c r="G2181" t="inlineStr">
        <is>
          <t>Yop</t>
        </is>
      </c>
      <c r="H2181" t="inlineStr">
        <is>
          <t>ZTE</t>
        </is>
      </c>
      <c r="I2181" t="n">
        <v>0</v>
      </c>
      <c r="J2181" t="n">
        <v>0</v>
      </c>
      <c r="K2181" t="n">
        <v>0</v>
      </c>
      <c r="L2181" t="n">
        <v>0</v>
      </c>
      <c r="M2181" t="n">
        <v>0</v>
      </c>
      <c r="N2181" t="n">
        <v>0</v>
      </c>
      <c r="O2181" t="n">
        <v>0</v>
      </c>
      <c r="P2181" t="n">
        <v>0</v>
      </c>
      <c r="Q2181" t="n">
        <v>0</v>
      </c>
      <c r="R2181" t="inlineStr">
        <is>
          <t>Operationnel</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row>
    <row r="2182">
      <c r="A2182" t="inlineStr">
        <is>
          <t>Taete-MTN-IHS</t>
        </is>
      </c>
      <c r="B2182" t="inlineStr">
        <is>
          <t>CTR_184</t>
        </is>
      </c>
      <c r="C2182" t="inlineStr">
        <is>
          <t>CENTRE</t>
        </is>
      </c>
      <c r="D2182" t="inlineStr">
        <is>
          <t>IHS</t>
        </is>
      </c>
      <c r="E2182" t="inlineStr">
        <is>
          <t>Grid-Gen-Lithium</t>
        </is>
      </c>
      <c r="F2182" t="inlineStr">
        <is>
          <t>CENTRE</t>
        </is>
      </c>
      <c r="G2182" t="inlineStr">
        <is>
          <t>Taete</t>
        </is>
      </c>
      <c r="H2182" t="inlineStr">
        <is>
          <t>ZTE</t>
        </is>
      </c>
      <c r="I2182" t="n">
        <v>0</v>
      </c>
      <c r="J2182" t="n">
        <v>0</v>
      </c>
      <c r="K2182" t="n">
        <v>0</v>
      </c>
      <c r="L2182" t="n">
        <v>0</v>
      </c>
      <c r="M2182" t="n">
        <v>0</v>
      </c>
      <c r="N2182" t="n">
        <v>0</v>
      </c>
      <c r="O2182" t="n">
        <v>0</v>
      </c>
      <c r="P2182" t="n">
        <v>0</v>
      </c>
      <c r="Q2182" t="n">
        <v>0</v>
      </c>
      <c r="R2182" t="inlineStr">
        <is>
          <t>Operationnel</t>
        </is>
      </c>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row>
    <row r="2183">
      <c r="A2183" t="inlineStr">
        <is>
          <t>Sikoum</t>
        </is>
      </c>
      <c r="B2183" t="inlineStr">
        <is>
          <t>LIT_012</t>
        </is>
      </c>
      <c r="C2183" t="inlineStr">
        <is>
          <t>LITTORAL</t>
        </is>
      </c>
      <c r="D2183" t="inlineStr">
        <is>
          <t>IHS</t>
        </is>
      </c>
      <c r="E2183" t="inlineStr">
        <is>
          <t>Solar-Gen-Lithium</t>
        </is>
      </c>
      <c r="F2183" t="inlineStr">
        <is>
          <t>LITTORAL</t>
        </is>
      </c>
      <c r="G2183" t="inlineStr">
        <is>
          <t>Sikoum</t>
        </is>
      </c>
      <c r="H2183" t="inlineStr">
        <is>
          <t>ZTE</t>
        </is>
      </c>
      <c r="I2183" t="n">
        <v>0</v>
      </c>
      <c r="J2183" t="n">
        <v>0</v>
      </c>
      <c r="K2183" t="n">
        <v>0</v>
      </c>
      <c r="L2183" t="n">
        <v>0</v>
      </c>
      <c r="M2183" t="n">
        <v>0</v>
      </c>
      <c r="N2183" t="n">
        <v>0</v>
      </c>
      <c r="O2183" t="n">
        <v>0</v>
      </c>
      <c r="P2183" t="n">
        <v>0</v>
      </c>
      <c r="Q2183" t="n">
        <v>0</v>
      </c>
      <c r="R2183" t="inlineStr">
        <is>
          <t>Operationnel</t>
        </is>
      </c>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row>
    <row r="2184">
      <c r="A2184" t="inlineStr">
        <is>
          <t>Memiam-MTN</t>
        </is>
      </c>
      <c r="B2184" t="inlineStr">
        <is>
          <t>SUD_235</t>
        </is>
      </c>
      <c r="C2184" t="inlineStr">
        <is>
          <t>CENTRE</t>
        </is>
      </c>
      <c r="D2184" t="inlineStr">
        <is>
          <t>IHS</t>
        </is>
      </c>
      <c r="E2184" t="inlineStr">
        <is>
          <t>Grid-Gen</t>
        </is>
      </c>
      <c r="F2184" t="inlineStr">
        <is>
          <t>SUD</t>
        </is>
      </c>
      <c r="G2184" t="inlineStr">
        <is>
          <t>Memiam</t>
        </is>
      </c>
      <c r="H2184" t="inlineStr">
        <is>
          <t>ZTE</t>
        </is>
      </c>
      <c r="I2184" t="n">
        <v>0</v>
      </c>
      <c r="J2184" t="n">
        <v>0</v>
      </c>
      <c r="K2184" t="n">
        <v>0</v>
      </c>
      <c r="L2184" t="n">
        <v>0</v>
      </c>
      <c r="M2184" t="n">
        <v>0</v>
      </c>
      <c r="N2184" t="n">
        <v>0</v>
      </c>
      <c r="O2184" t="n">
        <v>0</v>
      </c>
      <c r="P2184" t="n">
        <v>0</v>
      </c>
      <c r="Q2184" t="n">
        <v>0</v>
      </c>
      <c r="R2184" t="inlineStr">
        <is>
          <t>Operationnel</t>
        </is>
      </c>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row>
    <row r="2185">
      <c r="A2185" t="inlineStr">
        <is>
          <t>Sikoum-II</t>
        </is>
      </c>
      <c r="B2185" t="inlineStr">
        <is>
          <t>LIT_388</t>
        </is>
      </c>
      <c r="C2185" t="inlineStr">
        <is>
          <t>LITTORAL</t>
        </is>
      </c>
      <c r="D2185" t="inlineStr">
        <is>
          <t>IHS</t>
        </is>
      </c>
      <c r="E2185" t="inlineStr">
        <is>
          <t>Gen-Lithium</t>
        </is>
      </c>
      <c r="F2185" t="inlineStr">
        <is>
          <t>LITTORAL</t>
        </is>
      </c>
      <c r="G2185" t="inlineStr">
        <is>
          <t>Sikoum</t>
        </is>
      </c>
      <c r="H2185" t="inlineStr">
        <is>
          <t>ZTE</t>
        </is>
      </c>
      <c r="I2185" t="n">
        <v>0</v>
      </c>
      <c r="J2185" t="n">
        <v>0</v>
      </c>
      <c r="K2185" t="n">
        <v>0</v>
      </c>
      <c r="L2185" t="n">
        <v>0</v>
      </c>
      <c r="M2185" t="n">
        <v>0</v>
      </c>
      <c r="N2185" t="n">
        <v>0</v>
      </c>
      <c r="O2185" t="n">
        <v>0</v>
      </c>
      <c r="P2185" t="n">
        <v>0</v>
      </c>
      <c r="Q2185" t="n">
        <v>0</v>
      </c>
      <c r="R2185" t="inlineStr">
        <is>
          <t>Operationnel</t>
        </is>
      </c>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row>
    <row r="2186">
      <c r="A2186" t="inlineStr">
        <is>
          <t>Nkongkarak-MTN-IHS</t>
        </is>
      </c>
      <c r="B2186" t="inlineStr">
        <is>
          <t>CTR_696</t>
        </is>
      </c>
      <c r="C2186" t="inlineStr">
        <is>
          <t>CENTRE</t>
        </is>
      </c>
      <c r="D2186" t="inlineStr">
        <is>
          <t>IHS</t>
        </is>
      </c>
      <c r="E2186" t="inlineStr">
        <is>
          <t>Hybrid-Gen</t>
        </is>
      </c>
      <c r="F2186" t="inlineStr">
        <is>
          <t>CENTRE</t>
        </is>
      </c>
      <c r="G2186" t="inlineStr">
        <is>
          <t>Nkongkarak</t>
        </is>
      </c>
      <c r="H2186" t="inlineStr">
        <is>
          <t>ZTE</t>
        </is>
      </c>
      <c r="I2186" t="n">
        <v>0</v>
      </c>
      <c r="J2186" t="n">
        <v>0</v>
      </c>
      <c r="K2186" t="n">
        <v>0</v>
      </c>
      <c r="L2186" t="n">
        <v>0</v>
      </c>
      <c r="M2186" t="n">
        <v>0</v>
      </c>
      <c r="N2186" t="n">
        <v>0</v>
      </c>
      <c r="O2186" t="n">
        <v>0</v>
      </c>
      <c r="P2186" t="n">
        <v>0</v>
      </c>
      <c r="Q2186" t="n">
        <v>0</v>
      </c>
      <c r="R2186" t="inlineStr">
        <is>
          <t>Operationnel</t>
        </is>
      </c>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row>
    <row r="2187">
      <c r="A2187" t="inlineStr">
        <is>
          <t>Metet</t>
        </is>
      </c>
      <c r="B2187" t="inlineStr">
        <is>
          <t>CTR_053</t>
        </is>
      </c>
      <c r="C2187" t="inlineStr">
        <is>
          <t>CENTRE</t>
        </is>
      </c>
      <c r="D2187" t="inlineStr">
        <is>
          <t>IHS</t>
        </is>
      </c>
      <c r="E2187" t="inlineStr">
        <is>
          <t>Grid-Gen</t>
        </is>
      </c>
      <c r="F2187" t="inlineStr">
        <is>
          <t>CENTRE</t>
        </is>
      </c>
      <c r="G2187" t="inlineStr">
        <is>
          <t>Metet</t>
        </is>
      </c>
      <c r="H2187" t="inlineStr">
        <is>
          <t>ZTE</t>
        </is>
      </c>
      <c r="I2187" t="n">
        <v>0</v>
      </c>
      <c r="J2187" t="n">
        <v>0</v>
      </c>
      <c r="K2187" t="n">
        <v>0</v>
      </c>
      <c r="L2187" t="n">
        <v>0</v>
      </c>
      <c r="M2187" t="n">
        <v>0</v>
      </c>
      <c r="N2187" t="n">
        <v>0</v>
      </c>
      <c r="O2187" t="n">
        <v>0</v>
      </c>
      <c r="P2187" t="n">
        <v>0</v>
      </c>
      <c r="Q2187" t="n">
        <v>0</v>
      </c>
      <c r="R2187" t="inlineStr">
        <is>
          <t>Operationnel</t>
        </is>
      </c>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row>
    <row r="2188">
      <c r="A2188" t="inlineStr">
        <is>
          <t>Yambassa</t>
        </is>
      </c>
      <c r="B2188" t="inlineStr">
        <is>
          <t>CTR_232</t>
        </is>
      </c>
      <c r="C2188" t="inlineStr">
        <is>
          <t>CENTRE</t>
        </is>
      </c>
      <c r="D2188" t="inlineStr">
        <is>
          <t>IHS</t>
        </is>
      </c>
      <c r="E2188" t="inlineStr">
        <is>
          <t>Grid-Gen</t>
        </is>
      </c>
      <c r="F2188" t="inlineStr">
        <is>
          <t>CENTRE</t>
        </is>
      </c>
      <c r="G2188" t="inlineStr">
        <is>
          <t>Yambassa</t>
        </is>
      </c>
      <c r="H2188" t="inlineStr">
        <is>
          <t>ZTE</t>
        </is>
      </c>
      <c r="I2188" t="n">
        <v>0</v>
      </c>
      <c r="J2188" t="n">
        <v>0</v>
      </c>
      <c r="K2188" t="n">
        <v>0</v>
      </c>
      <c r="L2188" t="n">
        <v>0</v>
      </c>
      <c r="M2188" t="n">
        <v>0</v>
      </c>
      <c r="N2188" t="n">
        <v>0</v>
      </c>
      <c r="O2188" t="n">
        <v>0</v>
      </c>
      <c r="P2188" t="n">
        <v>0</v>
      </c>
      <c r="Q2188" t="n">
        <v>0</v>
      </c>
      <c r="R2188" t="inlineStr">
        <is>
          <t>Operationnel</t>
        </is>
      </c>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row>
    <row r="2189">
      <c r="A2189" t="inlineStr">
        <is>
          <t>Sackbayeme</t>
        </is>
      </c>
      <c r="B2189" t="inlineStr">
        <is>
          <t>LIT_138</t>
        </is>
      </c>
      <c r="C2189" t="inlineStr">
        <is>
          <t>LITTORAL</t>
        </is>
      </c>
      <c r="D2189" t="inlineStr">
        <is>
          <t>IHS</t>
        </is>
      </c>
      <c r="E2189" t="inlineStr">
        <is>
          <t>Grid-Gen</t>
        </is>
      </c>
      <c r="F2189" t="inlineStr">
        <is>
          <t>LITTORAL</t>
        </is>
      </c>
      <c r="G2189" t="inlineStr">
        <is>
          <t>Sacbayeme</t>
        </is>
      </c>
      <c r="H2189" t="inlineStr">
        <is>
          <t>ZTE</t>
        </is>
      </c>
      <c r="I2189" t="n">
        <v>0</v>
      </c>
      <c r="J2189" t="n">
        <v>0</v>
      </c>
      <c r="K2189" t="n">
        <v>0</v>
      </c>
      <c r="L2189" t="n">
        <v>0</v>
      </c>
      <c r="M2189" t="n">
        <v>0</v>
      </c>
      <c r="N2189" t="n">
        <v>0</v>
      </c>
      <c r="O2189" t="n">
        <v>0</v>
      </c>
      <c r="P2189" t="n">
        <v>0</v>
      </c>
      <c r="Q2189" t="n">
        <v>0</v>
      </c>
      <c r="R2189" t="inlineStr">
        <is>
          <t>Operationnel</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row>
    <row r="2190">
      <c r="A2190" t="inlineStr">
        <is>
          <t>Bamoko</t>
        </is>
      </c>
      <c r="B2190" t="inlineStr">
        <is>
          <t>CTR_091</t>
        </is>
      </c>
      <c r="C2190" t="inlineStr">
        <is>
          <t>CENTRE</t>
        </is>
      </c>
      <c r="D2190" t="inlineStr">
        <is>
          <t>IHS</t>
        </is>
      </c>
      <c r="E2190" t="inlineStr">
        <is>
          <t>Solar-Gen</t>
        </is>
      </c>
      <c r="F2190" t="inlineStr">
        <is>
          <t>CENTRE</t>
        </is>
      </c>
      <c r="G2190" t="inlineStr">
        <is>
          <t>Bamoko</t>
        </is>
      </c>
      <c r="H2190" t="inlineStr">
        <is>
          <t>ZTE</t>
        </is>
      </c>
      <c r="I2190" t="n">
        <v>0</v>
      </c>
      <c r="J2190" t="n">
        <v>0</v>
      </c>
      <c r="K2190" t="n">
        <v>0</v>
      </c>
      <c r="L2190" t="n">
        <v>0</v>
      </c>
      <c r="M2190" t="n">
        <v>0</v>
      </c>
      <c r="N2190" t="n">
        <v>0</v>
      </c>
      <c r="O2190" t="n">
        <v>0</v>
      </c>
      <c r="P2190" t="n">
        <v>0</v>
      </c>
      <c r="Q2190" t="n">
        <v>0</v>
      </c>
      <c r="R2190" t="inlineStr">
        <is>
          <t>Operationnel</t>
        </is>
      </c>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row>
    <row r="2191">
      <c r="A2191" t="inlineStr">
        <is>
          <t>Penja-Market-MTN</t>
        </is>
      </c>
      <c r="B2191" t="inlineStr">
        <is>
          <t>LIT_767</t>
        </is>
      </c>
      <c r="C2191" t="inlineStr">
        <is>
          <t>LITTORAL</t>
        </is>
      </c>
      <c r="D2191" t="inlineStr"/>
      <c r="E2191" t="inlineStr"/>
      <c r="F2191" t="inlineStr">
        <is>
          <t>LITTORAL</t>
        </is>
      </c>
      <c r="G2191" t="inlineStr">
        <is>
          <t>Penja</t>
        </is>
      </c>
      <c r="H2191" t="inlineStr">
        <is>
          <t>ZTE</t>
        </is>
      </c>
      <c r="I2191" t="n">
        <v>0</v>
      </c>
      <c r="J2191" t="n">
        <v>0</v>
      </c>
      <c r="K2191" t="n">
        <v>0</v>
      </c>
      <c r="L2191" t="n">
        <v>0</v>
      </c>
      <c r="M2191" t="n">
        <v>0</v>
      </c>
      <c r="N2191" t="n">
        <v>0</v>
      </c>
      <c r="O2191" t="n">
        <v>0</v>
      </c>
      <c r="P2191" t="n">
        <v>0</v>
      </c>
      <c r="Q2191" t="n">
        <v>0</v>
      </c>
      <c r="R2191" t="inlineStr">
        <is>
          <t>Operationnel</t>
        </is>
      </c>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row>
    <row r="2192">
      <c r="A2192" t="inlineStr">
        <is>
          <t>Ngwei-II-IHS</t>
        </is>
      </c>
      <c r="B2192" t="inlineStr">
        <is>
          <t>LIT_664</t>
        </is>
      </c>
      <c r="C2192" t="inlineStr">
        <is>
          <t>LITTORAL</t>
        </is>
      </c>
      <c r="D2192" t="inlineStr">
        <is>
          <t>IHS</t>
        </is>
      </c>
      <c r="E2192" t="inlineStr">
        <is>
          <t>Solar-Gen</t>
        </is>
      </c>
      <c r="F2192" t="inlineStr">
        <is>
          <t>LITTORAL</t>
        </is>
      </c>
      <c r="G2192" t="inlineStr">
        <is>
          <t>Ngwei</t>
        </is>
      </c>
      <c r="H2192" t="inlineStr">
        <is>
          <t>ZTE</t>
        </is>
      </c>
      <c r="I2192" t="n">
        <v>0</v>
      </c>
      <c r="J2192" t="n">
        <v>0</v>
      </c>
      <c r="K2192" t="n">
        <v>0</v>
      </c>
      <c r="L2192" t="n">
        <v>0</v>
      </c>
      <c r="M2192" t="n">
        <v>0</v>
      </c>
      <c r="N2192" t="n">
        <v>0</v>
      </c>
      <c r="O2192" t="n">
        <v>0</v>
      </c>
      <c r="P2192" t="n">
        <v>0</v>
      </c>
      <c r="Q2192" t="n">
        <v>0</v>
      </c>
      <c r="R2192" t="inlineStr">
        <is>
          <t>Operationnel</t>
        </is>
      </c>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row>
    <row r="2193">
      <c r="A2193" t="inlineStr">
        <is>
          <t>Pama</t>
        </is>
      </c>
      <c r="B2193" t="inlineStr">
        <is>
          <t>SUD_004</t>
        </is>
      </c>
      <c r="C2193" t="inlineStr">
        <is>
          <t>LITTORAL</t>
        </is>
      </c>
      <c r="D2193" t="inlineStr">
        <is>
          <t>IHS</t>
        </is>
      </c>
      <c r="E2193" t="inlineStr">
        <is>
          <t>Grid-Gen</t>
        </is>
      </c>
      <c r="F2193" t="inlineStr">
        <is>
          <t>SUD</t>
        </is>
      </c>
      <c r="G2193" t="inlineStr">
        <is>
          <t>Pama</t>
        </is>
      </c>
      <c r="H2193" t="inlineStr">
        <is>
          <t>NOKIA</t>
        </is>
      </c>
      <c r="I2193" t="n">
        <v>0</v>
      </c>
      <c r="J2193" t="n">
        <v>0</v>
      </c>
      <c r="K2193" t="n">
        <v>0</v>
      </c>
      <c r="L2193" t="n">
        <v>0</v>
      </c>
      <c r="M2193" t="n">
        <v>0</v>
      </c>
      <c r="N2193" t="n">
        <v>0</v>
      </c>
      <c r="O2193" t="n">
        <v>0</v>
      </c>
      <c r="P2193" t="n">
        <v>0</v>
      </c>
      <c r="Q2193" t="n">
        <v>0</v>
      </c>
      <c r="R2193" t="inlineStr">
        <is>
          <t>Operationnel</t>
        </is>
      </c>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row>
    <row r="2194">
      <c r="A2194" t="inlineStr">
        <is>
          <t>Ntui-Ecole-Publique</t>
        </is>
      </c>
      <c r="B2194" t="inlineStr">
        <is>
          <t>CTR_826</t>
        </is>
      </c>
      <c r="C2194" t="inlineStr">
        <is>
          <t>CENTRE</t>
        </is>
      </c>
      <c r="D2194" t="inlineStr">
        <is>
          <t>CAMUSAT</t>
        </is>
      </c>
      <c r="E2194" t="inlineStr">
        <is>
          <t>HGB</t>
        </is>
      </c>
      <c r="F2194" t="inlineStr">
        <is>
          <t>CENTRE</t>
        </is>
      </c>
      <c r="G2194" t="inlineStr">
        <is>
          <t>Ntui</t>
        </is>
      </c>
      <c r="H2194" t="inlineStr">
        <is>
          <t>ZTE</t>
        </is>
      </c>
      <c r="I2194" t="n">
        <v>0</v>
      </c>
      <c r="J2194" t="n">
        <v>0</v>
      </c>
      <c r="K2194" t="n">
        <v>0</v>
      </c>
      <c r="L2194" t="n">
        <v>0</v>
      </c>
      <c r="M2194" t="n">
        <v>0</v>
      </c>
      <c r="N2194" t="n">
        <v>0</v>
      </c>
      <c r="O2194" t="n">
        <v>0</v>
      </c>
      <c r="P2194" t="n">
        <v>0</v>
      </c>
      <c r="Q2194" t="n">
        <v>0</v>
      </c>
      <c r="R2194" t="inlineStr">
        <is>
          <t>Operationnel</t>
        </is>
      </c>
      <c r="S2194" t="inlineStr"/>
      <c r="T2194" t="inlineStr"/>
      <c r="U2194" t="inlineStr"/>
      <c r="V2194" t="inlineStr"/>
      <c r="W2194" t="inlineStr"/>
      <c r="X2194"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194"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194" t="inlineStr"/>
      <c r="AA2194"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row>
    <row r="2195">
      <c r="A2195" t="inlineStr">
        <is>
          <t>Mamb</t>
        </is>
      </c>
      <c r="B2195" t="inlineStr">
        <is>
          <t>CTR_356</t>
        </is>
      </c>
      <c r="C2195" t="inlineStr">
        <is>
          <t>CENTRE</t>
        </is>
      </c>
      <c r="D2195" t="inlineStr">
        <is>
          <t>IHS</t>
        </is>
      </c>
      <c r="E2195" t="inlineStr">
        <is>
          <t>Grid-Gen</t>
        </is>
      </c>
      <c r="F2195" t="inlineStr">
        <is>
          <t>CENTRE</t>
        </is>
      </c>
      <c r="G2195" t="inlineStr">
        <is>
          <t>Mamb</t>
        </is>
      </c>
      <c r="H2195" t="inlineStr">
        <is>
          <t>ZTE</t>
        </is>
      </c>
      <c r="I2195" t="n">
        <v>0</v>
      </c>
      <c r="J2195" t="n">
        <v>0</v>
      </c>
      <c r="K2195" t="n">
        <v>0</v>
      </c>
      <c r="L2195" t="n">
        <v>0</v>
      </c>
      <c r="M2195" t="n">
        <v>0</v>
      </c>
      <c r="N2195" t="n">
        <v>0</v>
      </c>
      <c r="O2195" t="n">
        <v>0</v>
      </c>
      <c r="P2195" t="n">
        <v>0</v>
      </c>
      <c r="Q2195" t="n">
        <v>0</v>
      </c>
      <c r="R2195" t="inlineStr">
        <is>
          <t>Operationnel</t>
        </is>
      </c>
      <c r="S2195" t="inlineStr"/>
      <c r="T2195" t="inlineStr"/>
      <c r="U2195" t="inlineStr"/>
      <c r="V2195" t="inlineStr"/>
      <c r="W2195" t="inlineStr"/>
      <c r="X2195" t="inlineStr">
        <is>
          <t>{None hourly IHS}: 25/05/2026 06:17..1:43:00..45..Fme is informed and managing</t>
        </is>
      </c>
      <c r="Y2195" t="inlineStr">
        <is>
          <t>25/05/2026 06 17.1 43 00.45.Fme is informed and managing</t>
        </is>
      </c>
      <c r="Z2195" t="inlineStr"/>
      <c r="AA2195" t="inlineStr"/>
      <c r="AB2195" t="inlineStr"/>
      <c r="AC2195" t="inlineStr"/>
      <c r="AD2195" t="inlineStr"/>
      <c r="AE2195" t="inlineStr">
        <is>
          <t>{None hourly IHS}: 25/05/2026 06:17..1:43:00..45..Fme is informed and managing</t>
        </is>
      </c>
      <c r="AF2195" t="inlineStr"/>
      <c r="AG2195" t="inlineStr"/>
      <c r="AH2195" t="inlineStr"/>
      <c r="AI2195" t="inlineStr"/>
      <c r="AJ2195" t="inlineStr"/>
      <c r="AK2195" t="inlineStr"/>
      <c r="AL2195" t="inlineStr"/>
      <c r="AM2195" t="inlineStr"/>
      <c r="AN2195" t="inlineStr"/>
      <c r="AO2195" t="inlineStr"/>
      <c r="AP2195" t="inlineStr"/>
      <c r="AQ2195" t="inlineStr"/>
      <c r="AR2195" t="inlineStr"/>
    </row>
    <row r="2196">
      <c r="A2196" t="inlineStr">
        <is>
          <t>MONATELE-IHS</t>
        </is>
      </c>
      <c r="B2196" t="inlineStr">
        <is>
          <t>CTR_869</t>
        </is>
      </c>
      <c r="C2196" t="inlineStr">
        <is>
          <t>CENTRE</t>
        </is>
      </c>
      <c r="D2196" t="inlineStr">
        <is>
          <t>IHS</t>
        </is>
      </c>
      <c r="E2196" t="inlineStr">
        <is>
          <t>Grid-Gen</t>
        </is>
      </c>
      <c r="F2196" t="inlineStr">
        <is>
          <t>CENTRE</t>
        </is>
      </c>
      <c r="G2196" t="inlineStr">
        <is>
          <t>Monatele</t>
        </is>
      </c>
      <c r="H2196" t="inlineStr">
        <is>
          <t>ZTE</t>
        </is>
      </c>
      <c r="I2196" t="n">
        <v>0</v>
      </c>
      <c r="J2196" t="n">
        <v>0</v>
      </c>
      <c r="K2196" t="n">
        <v>0</v>
      </c>
      <c r="L2196" t="n">
        <v>0</v>
      </c>
      <c r="M2196" t="n">
        <v>0</v>
      </c>
      <c r="N2196" t="n">
        <v>0</v>
      </c>
      <c r="O2196" t="n">
        <v>0</v>
      </c>
      <c r="P2196" t="n">
        <v>0</v>
      </c>
      <c r="Q2196" t="n">
        <v>0</v>
      </c>
      <c r="R2196" t="inlineStr">
        <is>
          <t>Operationnel</t>
        </is>
      </c>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row>
    <row r="2197">
      <c r="A2197" t="inlineStr">
        <is>
          <t>Mbanga-Mouyouka-IHS</t>
        </is>
      </c>
      <c r="B2197" t="inlineStr">
        <is>
          <t>LIT_789</t>
        </is>
      </c>
      <c r="C2197" t="inlineStr">
        <is>
          <t>LITTORAL</t>
        </is>
      </c>
      <c r="D2197" t="inlineStr"/>
      <c r="E2197" t="inlineStr"/>
      <c r="F2197" t="inlineStr">
        <is>
          <t>LITTORAL</t>
        </is>
      </c>
      <c r="G2197" t="inlineStr">
        <is>
          <t>Mouyouka</t>
        </is>
      </c>
      <c r="H2197" t="inlineStr">
        <is>
          <t>ZTE</t>
        </is>
      </c>
      <c r="I2197" t="n">
        <v>0</v>
      </c>
      <c r="J2197" t="n">
        <v>0</v>
      </c>
      <c r="K2197" t="n">
        <v>0</v>
      </c>
      <c r="L2197" t="n">
        <v>0</v>
      </c>
      <c r="M2197" t="n">
        <v>0</v>
      </c>
      <c r="N2197" t="n">
        <v>0</v>
      </c>
      <c r="O2197" t="n">
        <v>0</v>
      </c>
      <c r="P2197" t="n">
        <v>0</v>
      </c>
      <c r="Q2197" t="n">
        <v>0</v>
      </c>
      <c r="R2197" t="inlineStr">
        <is>
          <t>Operationnel</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row>
    <row r="2198">
      <c r="A2198" t="inlineStr">
        <is>
          <t>Bidou-IHS</t>
        </is>
      </c>
      <c r="B2198" t="inlineStr">
        <is>
          <t>SUD_125</t>
        </is>
      </c>
      <c r="C2198" t="inlineStr">
        <is>
          <t>NORD-OUEST</t>
        </is>
      </c>
      <c r="D2198" t="inlineStr"/>
      <c r="E2198" t="inlineStr"/>
      <c r="F2198" t="inlineStr">
        <is>
          <t>SUD</t>
        </is>
      </c>
      <c r="G2198" t="inlineStr">
        <is>
          <t>Bamenda</t>
        </is>
      </c>
      <c r="H2198" t="inlineStr">
        <is>
          <t>ZTE</t>
        </is>
      </c>
      <c r="I2198" t="n">
        <v>0</v>
      </c>
      <c r="J2198" t="n">
        <v>0</v>
      </c>
      <c r="K2198" t="n">
        <v>0</v>
      </c>
      <c r="L2198" t="n">
        <v>0</v>
      </c>
      <c r="M2198" t="n">
        <v>0</v>
      </c>
      <c r="N2198" t="n">
        <v>0</v>
      </c>
      <c r="O2198" t="n">
        <v>0</v>
      </c>
      <c r="P2198" t="n">
        <v>0</v>
      </c>
      <c r="Q2198" t="n">
        <v>0</v>
      </c>
      <c r="R2198" t="inlineStr">
        <is>
          <t>Operationnel</t>
        </is>
      </c>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row>
    <row r="2199">
      <c r="A2199" t="inlineStr">
        <is>
          <t>Makoda-MTN</t>
        </is>
      </c>
      <c r="B2199" t="inlineStr">
        <is>
          <t>CTR_360</t>
        </is>
      </c>
      <c r="C2199" t="inlineStr">
        <is>
          <t>CENTRE</t>
        </is>
      </c>
      <c r="D2199" t="inlineStr">
        <is>
          <t>IHS</t>
        </is>
      </c>
      <c r="E2199" t="inlineStr">
        <is>
          <t>Gen-Lithium</t>
        </is>
      </c>
      <c r="F2199" t="inlineStr">
        <is>
          <t>CENTRE</t>
        </is>
      </c>
      <c r="G2199" t="inlineStr">
        <is>
          <t>Makoda</t>
        </is>
      </c>
      <c r="H2199" t="inlineStr">
        <is>
          <t>ZTE</t>
        </is>
      </c>
      <c r="I2199" t="n">
        <v>0</v>
      </c>
      <c r="J2199" t="n">
        <v>0</v>
      </c>
      <c r="K2199" t="n">
        <v>0</v>
      </c>
      <c r="L2199" t="n">
        <v>0</v>
      </c>
      <c r="M2199" t="n">
        <v>0</v>
      </c>
      <c r="N2199" t="n">
        <v>0</v>
      </c>
      <c r="O2199" t="n">
        <v>0</v>
      </c>
      <c r="P2199" t="n">
        <v>0</v>
      </c>
      <c r="Q2199" t="n">
        <v>0</v>
      </c>
      <c r="R2199" t="inlineStr">
        <is>
          <t>Operationnel</t>
        </is>
      </c>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row>
    <row r="2200">
      <c r="A2200" t="inlineStr">
        <is>
          <t>Manjo-Q2-MTN</t>
        </is>
      </c>
      <c r="B2200" t="inlineStr">
        <is>
          <t>LIT_772</t>
        </is>
      </c>
      <c r="C2200" t="inlineStr">
        <is>
          <t>LITTORAL</t>
        </is>
      </c>
      <c r="D2200" t="inlineStr"/>
      <c r="E2200" t="inlineStr"/>
      <c r="F2200" t="inlineStr">
        <is>
          <t>LITTORAL</t>
        </is>
      </c>
      <c r="G2200" t="inlineStr">
        <is>
          <t>Manjo</t>
        </is>
      </c>
      <c r="H2200" t="inlineStr">
        <is>
          <t>ZTE</t>
        </is>
      </c>
      <c r="I2200" t="n">
        <v>0</v>
      </c>
      <c r="J2200" t="n">
        <v>0</v>
      </c>
      <c r="K2200" t="n">
        <v>0</v>
      </c>
      <c r="L2200" t="n">
        <v>0</v>
      </c>
      <c r="M2200" t="n">
        <v>0</v>
      </c>
      <c r="N2200" t="n">
        <v>0</v>
      </c>
      <c r="O2200" t="n">
        <v>0</v>
      </c>
      <c r="P2200" t="n">
        <v>0</v>
      </c>
      <c r="Q2200" t="n">
        <v>0</v>
      </c>
      <c r="R2200" t="inlineStr">
        <is>
          <t>Operationnel</t>
        </is>
      </c>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row>
    <row r="2201">
      <c r="A2201" t="inlineStr">
        <is>
          <t>BISSIANG-Kribi</t>
        </is>
      </c>
      <c r="B2201" t="inlineStr">
        <is>
          <t>SUD_128</t>
        </is>
      </c>
      <c r="C2201" t="inlineStr">
        <is>
          <t>CENTRE</t>
        </is>
      </c>
      <c r="D2201" t="inlineStr">
        <is>
          <t>CAMUSAT</t>
        </is>
      </c>
      <c r="E2201" t="inlineStr">
        <is>
          <t>Hybrid Solar - S3</t>
        </is>
      </c>
      <c r="F2201" t="inlineStr">
        <is>
          <t>SUD</t>
        </is>
      </c>
      <c r="G2201" t="inlineStr">
        <is>
          <t>BISSIANG</t>
        </is>
      </c>
      <c r="H2201" t="inlineStr">
        <is>
          <t>ZTE</t>
        </is>
      </c>
      <c r="I2201" t="n">
        <v>0</v>
      </c>
      <c r="J2201" t="n">
        <v>0</v>
      </c>
      <c r="K2201" t="n">
        <v>0</v>
      </c>
      <c r="L2201" t="n">
        <v>0</v>
      </c>
      <c r="M2201" t="n">
        <v>0</v>
      </c>
      <c r="N2201" t="n">
        <v>0</v>
      </c>
      <c r="O2201" t="n">
        <v>0</v>
      </c>
      <c r="P2201" t="n">
        <v>0</v>
      </c>
      <c r="Q2201" t="n">
        <v>0</v>
      </c>
      <c r="R2201" t="inlineStr">
        <is>
          <t>Operationnel</t>
        </is>
      </c>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row>
    <row r="2202">
      <c r="A2202" t="inlineStr">
        <is>
          <t>Ndokoma</t>
        </is>
      </c>
      <c r="B2202" t="inlineStr">
        <is>
          <t>LIT_308</t>
        </is>
      </c>
      <c r="C2202" t="inlineStr">
        <is>
          <t>LITTORAL</t>
        </is>
      </c>
      <c r="D2202" t="inlineStr">
        <is>
          <t>IHS</t>
        </is>
      </c>
      <c r="E2202" t="inlineStr">
        <is>
          <t>Grid-Gen-Lithium</t>
        </is>
      </c>
      <c r="F2202" t="inlineStr">
        <is>
          <t>LITTORAL</t>
        </is>
      </c>
      <c r="G2202" t="inlineStr">
        <is>
          <t>Ndokoma</t>
        </is>
      </c>
      <c r="H2202" t="inlineStr">
        <is>
          <t>ZTE</t>
        </is>
      </c>
      <c r="I2202" t="n">
        <v>0</v>
      </c>
      <c r="J2202" t="n">
        <v>0</v>
      </c>
      <c r="K2202" t="n">
        <v>0</v>
      </c>
      <c r="L2202" t="n">
        <v>0</v>
      </c>
      <c r="M2202" t="n">
        <v>0</v>
      </c>
      <c r="N2202" t="n">
        <v>0</v>
      </c>
      <c r="O2202" t="n">
        <v>0</v>
      </c>
      <c r="P2202" t="n">
        <v>0</v>
      </c>
      <c r="Q2202" t="n">
        <v>0</v>
      </c>
      <c r="R2202" t="inlineStr">
        <is>
          <t>Operationnel</t>
        </is>
      </c>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row>
    <row r="2203">
      <c r="A2203" t="inlineStr">
        <is>
          <t>Ngwei</t>
        </is>
      </c>
      <c r="B2203" t="inlineStr">
        <is>
          <t>LIT_108</t>
        </is>
      </c>
      <c r="C2203" t="inlineStr">
        <is>
          <t>LITTORAL</t>
        </is>
      </c>
      <c r="D2203" t="inlineStr">
        <is>
          <t>IHS</t>
        </is>
      </c>
      <c r="E2203" t="inlineStr">
        <is>
          <t>Solar-Grid-Gen</t>
        </is>
      </c>
      <c r="F2203" t="inlineStr">
        <is>
          <t>LITTORAL</t>
        </is>
      </c>
      <c r="G2203" t="inlineStr">
        <is>
          <t>Ngwei</t>
        </is>
      </c>
      <c r="H2203" t="inlineStr">
        <is>
          <t>ZTE</t>
        </is>
      </c>
      <c r="I2203" t="n">
        <v>0</v>
      </c>
      <c r="J2203" t="n">
        <v>0</v>
      </c>
      <c r="K2203" t="n">
        <v>0</v>
      </c>
      <c r="L2203" t="n">
        <v>0</v>
      </c>
      <c r="M2203" t="n">
        <v>0</v>
      </c>
      <c r="N2203" t="n">
        <v>0</v>
      </c>
      <c r="O2203" t="n">
        <v>0</v>
      </c>
      <c r="P2203" t="n">
        <v>0</v>
      </c>
      <c r="Q2203" t="n">
        <v>0</v>
      </c>
      <c r="R2203" t="inlineStr">
        <is>
          <t>Operationnel</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row>
    <row r="2204">
      <c r="A2204" t="inlineStr">
        <is>
          <t>Essazok</t>
        </is>
      </c>
      <c r="B2204" t="inlineStr">
        <is>
          <t>CTR_749</t>
        </is>
      </c>
      <c r="C2204" t="inlineStr">
        <is>
          <t>CENTRE</t>
        </is>
      </c>
      <c r="D2204" t="inlineStr">
        <is>
          <t>CAMUSAT</t>
        </is>
      </c>
      <c r="E2204" t="inlineStr">
        <is>
          <t>Hybrid Solar - S3</t>
        </is>
      </c>
      <c r="F2204" t="inlineStr">
        <is>
          <t>CENTRE</t>
        </is>
      </c>
      <c r="G2204" t="inlineStr">
        <is>
          <t>Essazok</t>
        </is>
      </c>
      <c r="H2204" t="inlineStr">
        <is>
          <t>ZTE</t>
        </is>
      </c>
      <c r="I2204" t="n">
        <v>0</v>
      </c>
      <c r="J2204" t="n">
        <v>0</v>
      </c>
      <c r="K2204" t="n">
        <v>0</v>
      </c>
      <c r="L2204" t="n">
        <v>0</v>
      </c>
      <c r="M2204" t="n">
        <v>0</v>
      </c>
      <c r="N2204" t="n">
        <v>0</v>
      </c>
      <c r="O2204" t="n">
        <v>0</v>
      </c>
      <c r="P2204" t="n">
        <v>0</v>
      </c>
      <c r="Q2204" t="n">
        <v>0</v>
      </c>
      <c r="R2204" t="inlineStr">
        <is>
          <t>Operationnel</t>
        </is>
      </c>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row>
    <row r="2205">
      <c r="A2205" t="inlineStr">
        <is>
          <t>Nkometou-Edouma-IHS</t>
        </is>
      </c>
      <c r="B2205" t="inlineStr">
        <is>
          <t>CTR_695</t>
        </is>
      </c>
      <c r="C2205" t="inlineStr">
        <is>
          <t>Yaounde</t>
        </is>
      </c>
      <c r="D2205" t="inlineStr">
        <is>
          <t>IHS</t>
        </is>
      </c>
      <c r="E2205" t="inlineStr">
        <is>
          <t>Grid-Gen-Lithium</t>
        </is>
      </c>
      <c r="F2205" t="inlineStr">
        <is>
          <t>CENTRE</t>
        </is>
      </c>
      <c r="G2205" t="inlineStr">
        <is>
          <t>Yaounde</t>
        </is>
      </c>
      <c r="H2205" t="inlineStr">
        <is>
          <t>ZTE</t>
        </is>
      </c>
      <c r="I2205" t="n">
        <v>0</v>
      </c>
      <c r="J2205" t="n">
        <v>0</v>
      </c>
      <c r="K2205" t="n">
        <v>0</v>
      </c>
      <c r="L2205" t="n">
        <v>0</v>
      </c>
      <c r="M2205" t="n">
        <v>0</v>
      </c>
      <c r="N2205" t="n">
        <v>0</v>
      </c>
      <c r="O2205" t="n">
        <v>0</v>
      </c>
      <c r="P2205" t="n">
        <v>0</v>
      </c>
      <c r="Q2205" t="n">
        <v>0</v>
      </c>
      <c r="R2205" t="inlineStr">
        <is>
          <t>Operationnel</t>
        </is>
      </c>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row>
    <row r="2206">
      <c r="A2206" t="inlineStr">
        <is>
          <t>Njombe</t>
        </is>
      </c>
      <c r="B2206" t="inlineStr">
        <is>
          <t>LIT_039</t>
        </is>
      </c>
      <c r="C2206" t="inlineStr">
        <is>
          <t>LITTORAL</t>
        </is>
      </c>
      <c r="D2206" t="inlineStr">
        <is>
          <t>IHS</t>
        </is>
      </c>
      <c r="E2206" t="inlineStr">
        <is>
          <t>Grid-Gen</t>
        </is>
      </c>
      <c r="F2206" t="inlineStr">
        <is>
          <t>LITTORAL</t>
        </is>
      </c>
      <c r="G2206" t="inlineStr">
        <is>
          <t>Njombe</t>
        </is>
      </c>
      <c r="H2206" t="inlineStr">
        <is>
          <t>ZTE</t>
        </is>
      </c>
      <c r="I2206" t="n">
        <v>0</v>
      </c>
      <c r="J2206" t="n">
        <v>0</v>
      </c>
      <c r="K2206" t="n">
        <v>0</v>
      </c>
      <c r="L2206" t="n">
        <v>0</v>
      </c>
      <c r="M2206" t="n">
        <v>0</v>
      </c>
      <c r="N2206" t="n">
        <v>0</v>
      </c>
      <c r="O2206" t="n">
        <v>0</v>
      </c>
      <c r="P2206" t="n">
        <v>0</v>
      </c>
      <c r="Q2206" t="n">
        <v>0</v>
      </c>
      <c r="R2206" t="inlineStr">
        <is>
          <t>Operationnel</t>
        </is>
      </c>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row>
    <row r="2207">
      <c r="A2207" t="inlineStr">
        <is>
          <t>Edea-Ndokok</t>
        </is>
      </c>
      <c r="B2207" t="inlineStr">
        <is>
          <t>LIT_230</t>
        </is>
      </c>
      <c r="C2207" t="inlineStr">
        <is>
          <t>LITTORAL</t>
        </is>
      </c>
      <c r="D2207" t="inlineStr">
        <is>
          <t>IHS</t>
        </is>
      </c>
      <c r="E2207" t="inlineStr">
        <is>
          <t>Grid-Gen</t>
        </is>
      </c>
      <c r="F2207" t="inlineStr">
        <is>
          <t>LITTORAL</t>
        </is>
      </c>
      <c r="G2207" t="inlineStr">
        <is>
          <t>Edea</t>
        </is>
      </c>
      <c r="H2207" t="inlineStr">
        <is>
          <t>ZTE</t>
        </is>
      </c>
      <c r="I2207" t="n">
        <v>0</v>
      </c>
      <c r="J2207" t="n">
        <v>0</v>
      </c>
      <c r="K2207" t="n">
        <v>0</v>
      </c>
      <c r="L2207" t="n">
        <v>0</v>
      </c>
      <c r="M2207" t="n">
        <v>0</v>
      </c>
      <c r="N2207" t="n">
        <v>0</v>
      </c>
      <c r="O2207" t="n">
        <v>0</v>
      </c>
      <c r="P2207" t="n">
        <v>0</v>
      </c>
      <c r="Q2207" t="n">
        <v>0</v>
      </c>
      <c r="R2207" t="inlineStr">
        <is>
          <t>Operationnel</t>
        </is>
      </c>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row>
    <row r="2208">
      <c r="A2208" t="inlineStr">
        <is>
          <t>Mengueme</t>
        </is>
      </c>
      <c r="B2208" t="inlineStr">
        <is>
          <t>CTR_354</t>
        </is>
      </c>
      <c r="C2208" t="inlineStr">
        <is>
          <t>CENTRE</t>
        </is>
      </c>
      <c r="D2208" t="inlineStr">
        <is>
          <t>IHS</t>
        </is>
      </c>
      <c r="E2208" t="inlineStr">
        <is>
          <t>Grid-Gen</t>
        </is>
      </c>
      <c r="F2208" t="inlineStr">
        <is>
          <t>CENTRE</t>
        </is>
      </c>
      <c r="G2208" t="inlineStr">
        <is>
          <t>Mengueme</t>
        </is>
      </c>
      <c r="H2208" t="inlineStr">
        <is>
          <t>ZTE</t>
        </is>
      </c>
      <c r="I2208" t="n">
        <v>0</v>
      </c>
      <c r="J2208" t="n">
        <v>0</v>
      </c>
      <c r="K2208" t="n">
        <v>0</v>
      </c>
      <c r="L2208" t="n">
        <v>0</v>
      </c>
      <c r="M2208" t="n">
        <v>0</v>
      </c>
      <c r="N2208" t="n">
        <v>0</v>
      </c>
      <c r="O2208" t="n">
        <v>0</v>
      </c>
      <c r="P2208" t="n">
        <v>0</v>
      </c>
      <c r="Q2208" t="n">
        <v>0</v>
      </c>
      <c r="R2208" t="inlineStr">
        <is>
          <t>Operationnel</t>
        </is>
      </c>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row>
    <row r="2209">
      <c r="A2209" t="inlineStr">
        <is>
          <t>Mandoumba</t>
        </is>
      </c>
      <c r="B2209" t="inlineStr">
        <is>
          <t>CTR_066</t>
        </is>
      </c>
      <c r="C2209" t="inlineStr">
        <is>
          <t>CENTRE</t>
        </is>
      </c>
      <c r="D2209" t="inlineStr">
        <is>
          <t>IHS</t>
        </is>
      </c>
      <c r="E2209" t="inlineStr">
        <is>
          <t>Solar-Grid-Gen-Lithium</t>
        </is>
      </c>
      <c r="F2209" t="inlineStr">
        <is>
          <t>CENTRE</t>
        </is>
      </c>
      <c r="G2209" t="inlineStr">
        <is>
          <t>Mandoumba</t>
        </is>
      </c>
      <c r="H2209" t="inlineStr">
        <is>
          <t>ZTE</t>
        </is>
      </c>
      <c r="I2209" t="n">
        <v>0</v>
      </c>
      <c r="J2209" t="n">
        <v>0</v>
      </c>
      <c r="K2209" t="n">
        <v>0</v>
      </c>
      <c r="L2209" t="n">
        <v>0</v>
      </c>
      <c r="M2209" t="n">
        <v>0</v>
      </c>
      <c r="N2209" t="n">
        <v>0</v>
      </c>
      <c r="O2209" t="n">
        <v>0</v>
      </c>
      <c r="P2209" t="n">
        <v>0</v>
      </c>
      <c r="Q2209" t="n">
        <v>0</v>
      </c>
      <c r="R2209" t="inlineStr">
        <is>
          <t>Operationnel</t>
        </is>
      </c>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row>
    <row r="2210">
      <c r="A2210" t="inlineStr">
        <is>
          <t>Djoum-CIFAN</t>
        </is>
      </c>
      <c r="B2210" t="inlineStr">
        <is>
          <t>SUD_231</t>
        </is>
      </c>
      <c r="C2210" t="inlineStr">
        <is>
          <t>CENTRE</t>
        </is>
      </c>
      <c r="D2210" t="inlineStr">
        <is>
          <t>IHS</t>
        </is>
      </c>
      <c r="E2210" t="inlineStr">
        <is>
          <t>Grid-Gen-Lithium</t>
        </is>
      </c>
      <c r="F2210" t="inlineStr">
        <is>
          <t>SUD</t>
        </is>
      </c>
      <c r="G2210" t="inlineStr">
        <is>
          <t>Djoum</t>
        </is>
      </c>
      <c r="H2210" t="inlineStr">
        <is>
          <t>ZTE</t>
        </is>
      </c>
      <c r="I2210" t="n">
        <v>0</v>
      </c>
      <c r="J2210" t="n">
        <v>0</v>
      </c>
      <c r="K2210" t="n">
        <v>0</v>
      </c>
      <c r="L2210" t="n">
        <v>0</v>
      </c>
      <c r="M2210" t="n">
        <v>0</v>
      </c>
      <c r="N2210" t="n">
        <v>0</v>
      </c>
      <c r="O2210" t="n">
        <v>0</v>
      </c>
      <c r="P2210" t="n">
        <v>0</v>
      </c>
      <c r="Q2210" t="n">
        <v>0</v>
      </c>
      <c r="R2210" t="inlineStr">
        <is>
          <t>Operationnel</t>
        </is>
      </c>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row>
    <row r="2211">
      <c r="A2211" t="inlineStr">
        <is>
          <t>Avebe-MTN</t>
        </is>
      </c>
      <c r="B2211" t="inlineStr">
        <is>
          <t>SUD_236</t>
        </is>
      </c>
      <c r="C2211" t="inlineStr">
        <is>
          <t>CENTRE</t>
        </is>
      </c>
      <c r="D2211" t="inlineStr">
        <is>
          <t>IHS</t>
        </is>
      </c>
      <c r="E2211" t="inlineStr">
        <is>
          <t>Grid-Gen</t>
        </is>
      </c>
      <c r="F2211" t="inlineStr">
        <is>
          <t>SUD</t>
        </is>
      </c>
      <c r="G2211" t="inlineStr">
        <is>
          <t>Avebe</t>
        </is>
      </c>
      <c r="H2211" t="inlineStr">
        <is>
          <t>ZTE</t>
        </is>
      </c>
      <c r="I2211" t="n">
        <v>0</v>
      </c>
      <c r="J2211" t="n">
        <v>0</v>
      </c>
      <c r="K2211" t="n">
        <v>0</v>
      </c>
      <c r="L2211" t="n">
        <v>0</v>
      </c>
      <c r="M2211" t="n">
        <v>0</v>
      </c>
      <c r="N2211" t="n">
        <v>0</v>
      </c>
      <c r="O2211" t="n">
        <v>0</v>
      </c>
      <c r="P2211" t="n">
        <v>0</v>
      </c>
      <c r="Q2211" t="n">
        <v>0</v>
      </c>
      <c r="R2211" t="inlineStr">
        <is>
          <t>Operationnel</t>
        </is>
      </c>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row>
    <row r="2212">
      <c r="A2212" t="inlineStr">
        <is>
          <t>Goufan</t>
        </is>
      </c>
      <c r="B2212" t="inlineStr">
        <is>
          <t>CTR_231</t>
        </is>
      </c>
      <c r="C2212" t="inlineStr">
        <is>
          <t>CENTRE</t>
        </is>
      </c>
      <c r="D2212" t="inlineStr">
        <is>
          <t>IHS</t>
        </is>
      </c>
      <c r="E2212" t="inlineStr">
        <is>
          <t>Grid-Gen</t>
        </is>
      </c>
      <c r="F2212" t="inlineStr">
        <is>
          <t>CENTRE</t>
        </is>
      </c>
      <c r="G2212" t="inlineStr">
        <is>
          <t>Goufan</t>
        </is>
      </c>
      <c r="H2212" t="inlineStr">
        <is>
          <t>ZTE</t>
        </is>
      </c>
      <c r="I2212" t="n">
        <v>0</v>
      </c>
      <c r="J2212" t="n">
        <v>0</v>
      </c>
      <c r="K2212" t="n">
        <v>0</v>
      </c>
      <c r="L2212" t="n">
        <v>0</v>
      </c>
      <c r="M2212" t="n">
        <v>0</v>
      </c>
      <c r="N2212" t="n">
        <v>0</v>
      </c>
      <c r="O2212" t="n">
        <v>0</v>
      </c>
      <c r="P2212" t="n">
        <v>0</v>
      </c>
      <c r="Q2212" t="n">
        <v>0</v>
      </c>
      <c r="R2212" t="inlineStr">
        <is>
          <t>Operationnel</t>
        </is>
      </c>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row>
    <row r="2213">
      <c r="A2213" t="inlineStr">
        <is>
          <t>Mvoundou-Ngoke-MTN-IHS</t>
        </is>
      </c>
      <c r="B2213" t="inlineStr">
        <is>
          <t>CTR_183</t>
        </is>
      </c>
      <c r="C2213" t="inlineStr">
        <is>
          <t>CENTRE</t>
        </is>
      </c>
      <c r="D2213" t="inlineStr">
        <is>
          <t>IHS</t>
        </is>
      </c>
      <c r="E2213" t="inlineStr">
        <is>
          <t>Gen-Lithium</t>
        </is>
      </c>
      <c r="F2213" t="inlineStr">
        <is>
          <t>CENTRE</t>
        </is>
      </c>
      <c r="G2213" t="inlineStr">
        <is>
          <t>Mvoundou-Ngoke</t>
        </is>
      </c>
      <c r="H2213" t="inlineStr">
        <is>
          <t>ZTE</t>
        </is>
      </c>
      <c r="I2213" t="n">
        <v>0</v>
      </c>
      <c r="J2213" t="n">
        <v>0</v>
      </c>
      <c r="K2213" t="n">
        <v>0</v>
      </c>
      <c r="L2213" t="n">
        <v>0</v>
      </c>
      <c r="M2213" t="n">
        <v>0</v>
      </c>
      <c r="N2213" t="n">
        <v>0</v>
      </c>
      <c r="O2213" t="n">
        <v>0</v>
      </c>
      <c r="P2213" t="n">
        <v>0</v>
      </c>
      <c r="Q2213" t="n">
        <v>0</v>
      </c>
      <c r="R2213" t="inlineStr">
        <is>
          <t>Operationnel</t>
        </is>
      </c>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row>
    <row r="2214">
      <c r="A2214" t="inlineStr">
        <is>
          <t>Ebombe</t>
        </is>
      </c>
      <c r="B2214" t="inlineStr">
        <is>
          <t>CTR_003</t>
        </is>
      </c>
      <c r="C2214" t="inlineStr">
        <is>
          <t>LITTORAL</t>
        </is>
      </c>
      <c r="D2214" t="inlineStr">
        <is>
          <t>IHS</t>
        </is>
      </c>
      <c r="E2214" t="inlineStr">
        <is>
          <t>Solar-Gen-Lithium</t>
        </is>
      </c>
      <c r="F2214" t="inlineStr">
        <is>
          <t>CENTRE</t>
        </is>
      </c>
      <c r="G2214" t="inlineStr">
        <is>
          <t>Ebombe</t>
        </is>
      </c>
      <c r="H2214" t="inlineStr">
        <is>
          <t>ZTE</t>
        </is>
      </c>
      <c r="I2214" t="n">
        <v>0</v>
      </c>
      <c r="J2214" t="n">
        <v>0</v>
      </c>
      <c r="K2214" t="n">
        <v>0</v>
      </c>
      <c r="L2214" t="n">
        <v>0</v>
      </c>
      <c r="M2214" t="n">
        <v>0</v>
      </c>
      <c r="N2214" t="n">
        <v>0</v>
      </c>
      <c r="O2214" t="n">
        <v>0</v>
      </c>
      <c r="P2214" t="n">
        <v>0</v>
      </c>
      <c r="Q2214" t="n">
        <v>0</v>
      </c>
      <c r="R2214" t="inlineStr">
        <is>
          <t>Operationnel</t>
        </is>
      </c>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row>
    <row r="2215">
      <c r="A2215" t="inlineStr">
        <is>
          <t>Lobo</t>
        </is>
      </c>
      <c r="B2215" t="inlineStr">
        <is>
          <t>CTR_227</t>
        </is>
      </c>
      <c r="C2215" t="inlineStr">
        <is>
          <t>CENTRE</t>
        </is>
      </c>
      <c r="D2215" t="inlineStr">
        <is>
          <t>ESCO</t>
        </is>
      </c>
      <c r="E2215" t="inlineStr">
        <is>
          <t>Bad Grid + Solar + GE</t>
        </is>
      </c>
      <c r="F2215" t="inlineStr">
        <is>
          <t>CENTRE</t>
        </is>
      </c>
      <c r="G2215" t="inlineStr">
        <is>
          <t>Lobo</t>
        </is>
      </c>
      <c r="H2215" t="inlineStr">
        <is>
          <t>ZTE</t>
        </is>
      </c>
      <c r="I2215" t="n">
        <v>0</v>
      </c>
      <c r="J2215" t="n">
        <v>0</v>
      </c>
      <c r="K2215" t="n">
        <v>0</v>
      </c>
      <c r="L2215" t="n">
        <v>0</v>
      </c>
      <c r="M2215" t="n">
        <v>0</v>
      </c>
      <c r="N2215" t="n">
        <v>0</v>
      </c>
      <c r="O2215" t="n">
        <v>0</v>
      </c>
      <c r="P2215" t="n">
        <v>0</v>
      </c>
      <c r="Q2215" t="n">
        <v>0</v>
      </c>
      <c r="R2215" t="inlineStr">
        <is>
          <t>Operationnel</t>
        </is>
      </c>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row>
    <row r="2216">
      <c r="A2216" t="inlineStr">
        <is>
          <t>Campo</t>
        </is>
      </c>
      <c r="B2216" t="inlineStr">
        <is>
          <t>LIT_132</t>
        </is>
      </c>
      <c r="C2216" t="inlineStr">
        <is>
          <t>LITTORAL</t>
        </is>
      </c>
      <c r="D2216" t="inlineStr">
        <is>
          <t>IHS</t>
        </is>
      </c>
      <c r="E2216" t="inlineStr">
        <is>
          <t>Grid-Gen</t>
        </is>
      </c>
      <c r="F2216" t="inlineStr">
        <is>
          <t>LITTORAL</t>
        </is>
      </c>
      <c r="G2216" t="inlineStr">
        <is>
          <t>Campo</t>
        </is>
      </c>
      <c r="H2216" t="inlineStr">
        <is>
          <t>ZTE</t>
        </is>
      </c>
      <c r="I2216" t="n">
        <v>0</v>
      </c>
      <c r="J2216" t="n">
        <v>0</v>
      </c>
      <c r="K2216" t="n">
        <v>0</v>
      </c>
      <c r="L2216" t="n">
        <v>0</v>
      </c>
      <c r="M2216" t="n">
        <v>0</v>
      </c>
      <c r="N2216" t="n">
        <v>0</v>
      </c>
      <c r="O2216" t="n">
        <v>0</v>
      </c>
      <c r="P2216" t="n">
        <v>0</v>
      </c>
      <c r="Q2216" t="n">
        <v>0</v>
      </c>
      <c r="R2216" t="inlineStr">
        <is>
          <t>Operationnel</t>
        </is>
      </c>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row>
    <row r="2217">
      <c r="A2217" t="inlineStr">
        <is>
          <t>Nkenglikok</t>
        </is>
      </c>
      <c r="B2217" t="inlineStr">
        <is>
          <t>CTR_060</t>
        </is>
      </c>
      <c r="C2217" t="inlineStr">
        <is>
          <t>CENTRE</t>
        </is>
      </c>
      <c r="D2217" t="inlineStr">
        <is>
          <t>IHS</t>
        </is>
      </c>
      <c r="E2217" t="inlineStr">
        <is>
          <t>Solar-Grid-Gen</t>
        </is>
      </c>
      <c r="F2217" t="inlineStr">
        <is>
          <t>CENTRE</t>
        </is>
      </c>
      <c r="G2217" t="inlineStr">
        <is>
          <t>Nkeng-likok</t>
        </is>
      </c>
      <c r="H2217" t="inlineStr">
        <is>
          <t>ZTE</t>
        </is>
      </c>
      <c r="I2217" t="n">
        <v>0</v>
      </c>
      <c r="J2217" t="n">
        <v>0</v>
      </c>
      <c r="K2217" t="n">
        <v>0</v>
      </c>
      <c r="L2217" t="n">
        <v>0</v>
      </c>
      <c r="M2217" t="n">
        <v>0</v>
      </c>
      <c r="N2217" t="n">
        <v>0</v>
      </c>
      <c r="O2217" t="n">
        <v>0</v>
      </c>
      <c r="P2217" t="n">
        <v>0</v>
      </c>
      <c r="Q2217" t="n">
        <v>0</v>
      </c>
      <c r="R2217" t="inlineStr">
        <is>
          <t>Operationnel</t>
        </is>
      </c>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row>
    <row r="2218">
      <c r="A2218" t="inlineStr">
        <is>
          <t>Monatele</t>
        </is>
      </c>
      <c r="B2218" t="inlineStr">
        <is>
          <t>CTR_073</t>
        </is>
      </c>
      <c r="C2218" t="inlineStr">
        <is>
          <t>CENTRE</t>
        </is>
      </c>
      <c r="D2218" t="inlineStr">
        <is>
          <t>IHS</t>
        </is>
      </c>
      <c r="E2218" t="inlineStr">
        <is>
          <t>Grid-Gen</t>
        </is>
      </c>
      <c r="F2218" t="inlineStr">
        <is>
          <t>CENTRE</t>
        </is>
      </c>
      <c r="G2218" t="inlineStr">
        <is>
          <t>Monatele</t>
        </is>
      </c>
      <c r="H2218" t="inlineStr">
        <is>
          <t>ZTE</t>
        </is>
      </c>
      <c r="I2218" t="n">
        <v>0</v>
      </c>
      <c r="J2218" t="n">
        <v>0</v>
      </c>
      <c r="K2218" t="n">
        <v>0</v>
      </c>
      <c r="L2218" t="n">
        <v>0</v>
      </c>
      <c r="M2218" t="n">
        <v>0</v>
      </c>
      <c r="N2218" t="n">
        <v>0</v>
      </c>
      <c r="O2218" t="n">
        <v>0</v>
      </c>
      <c r="P2218" t="n">
        <v>0</v>
      </c>
      <c r="Q2218" t="n">
        <v>0</v>
      </c>
      <c r="R2218" t="inlineStr">
        <is>
          <t>Operationnel</t>
        </is>
      </c>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row>
    <row r="2219">
      <c r="A2219" t="inlineStr">
        <is>
          <t>Mbambou-IHS</t>
        </is>
      </c>
      <c r="B2219" t="inlineStr">
        <is>
          <t>LIT_143</t>
        </is>
      </c>
      <c r="C2219" t="inlineStr">
        <is>
          <t>LITTORAL</t>
        </is>
      </c>
      <c r="D2219" t="inlineStr">
        <is>
          <t>IHS</t>
        </is>
      </c>
      <c r="E2219" t="inlineStr">
        <is>
          <t>Gen-Lithium</t>
        </is>
      </c>
      <c r="F2219" t="inlineStr">
        <is>
          <t>LITTORAL</t>
        </is>
      </c>
      <c r="G2219" t="inlineStr">
        <is>
          <t>Mbambou</t>
        </is>
      </c>
      <c r="H2219" t="inlineStr">
        <is>
          <t>ZTE</t>
        </is>
      </c>
      <c r="I2219" t="n">
        <v>0</v>
      </c>
      <c r="J2219" t="n">
        <v>0</v>
      </c>
      <c r="K2219" t="n">
        <v>0</v>
      </c>
      <c r="L2219" t="n">
        <v>0</v>
      </c>
      <c r="M2219" t="n">
        <v>0</v>
      </c>
      <c r="N2219" t="n">
        <v>0</v>
      </c>
      <c r="O2219" t="n">
        <v>0</v>
      </c>
      <c r="P2219" t="n">
        <v>0</v>
      </c>
      <c r="Q2219" t="n">
        <v>0</v>
      </c>
      <c r="R2219" t="inlineStr">
        <is>
          <t>Operationnel</t>
        </is>
      </c>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row>
    <row r="2220">
      <c r="A2220" t="inlineStr">
        <is>
          <t>Mengong</t>
        </is>
      </c>
      <c r="B2220" t="inlineStr">
        <is>
          <t>SUD_017</t>
        </is>
      </c>
      <c r="C2220" t="inlineStr">
        <is>
          <t>CENTRE</t>
        </is>
      </c>
      <c r="D2220" t="inlineStr">
        <is>
          <t>IHS</t>
        </is>
      </c>
      <c r="E2220" t="inlineStr">
        <is>
          <t>GenOnly</t>
        </is>
      </c>
      <c r="F2220" t="inlineStr">
        <is>
          <t>SUD</t>
        </is>
      </c>
      <c r="G2220" t="inlineStr">
        <is>
          <t>Abiete</t>
        </is>
      </c>
      <c r="H2220" t="inlineStr">
        <is>
          <t>ZTE</t>
        </is>
      </c>
      <c r="I2220" t="n">
        <v>0</v>
      </c>
      <c r="J2220" t="n">
        <v>0</v>
      </c>
      <c r="K2220" t="n">
        <v>0</v>
      </c>
      <c r="L2220" t="n">
        <v>0</v>
      </c>
      <c r="M2220" t="n">
        <v>0</v>
      </c>
      <c r="N2220" t="n">
        <v>0</v>
      </c>
      <c r="O2220" t="n">
        <v>0</v>
      </c>
      <c r="P2220" t="n">
        <v>0</v>
      </c>
      <c r="Q2220" t="n">
        <v>0</v>
      </c>
      <c r="R2220" t="inlineStr">
        <is>
          <t>Operationnel</t>
        </is>
      </c>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row>
    <row r="2221">
      <c r="A2221" t="inlineStr">
        <is>
          <t>Minisite-Tsinga</t>
        </is>
      </c>
      <c r="B2221" t="inlineStr">
        <is>
          <t>CTR_690</t>
        </is>
      </c>
      <c r="C2221" t="inlineStr">
        <is>
          <t>Yaounde</t>
        </is>
      </c>
      <c r="D2221" t="inlineStr">
        <is>
          <t>CAMUSAT</t>
        </is>
      </c>
      <c r="E2221" t="inlineStr">
        <is>
          <t>Good Grid no GE - 8h</t>
        </is>
      </c>
      <c r="F2221" t="inlineStr">
        <is>
          <t>CENTRE</t>
        </is>
      </c>
      <c r="G2221" t="inlineStr">
        <is>
          <t>Yaounde</t>
        </is>
      </c>
      <c r="H2221" t="inlineStr">
        <is>
          <t>ZTE</t>
        </is>
      </c>
      <c r="I2221" t="n">
        <v>0</v>
      </c>
      <c r="J2221" t="n">
        <v>0</v>
      </c>
      <c r="K2221" t="n">
        <v>0</v>
      </c>
      <c r="L2221" t="n">
        <v>0</v>
      </c>
      <c r="M2221" t="n">
        <v>0</v>
      </c>
      <c r="N2221" t="n">
        <v>0</v>
      </c>
      <c r="O2221" t="n">
        <v>0</v>
      </c>
      <c r="P2221" t="n">
        <v>0</v>
      </c>
      <c r="Q2221" t="n">
        <v>0</v>
      </c>
      <c r="R2221" t="inlineStr">
        <is>
          <t>Operationnel</t>
        </is>
      </c>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row>
    <row r="2222">
      <c r="A2222" t="inlineStr">
        <is>
          <t>Olamze-IHS</t>
        </is>
      </c>
      <c r="B2222" t="inlineStr">
        <is>
          <t>SUD_038</t>
        </is>
      </c>
      <c r="C2222" t="inlineStr">
        <is>
          <t>CENTRE</t>
        </is>
      </c>
      <c r="D2222" t="inlineStr">
        <is>
          <t>IHS</t>
        </is>
      </c>
      <c r="E2222" t="inlineStr">
        <is>
          <t>Grid-Gen</t>
        </is>
      </c>
      <c r="F2222" t="inlineStr">
        <is>
          <t>SUD</t>
        </is>
      </c>
      <c r="G2222" t="inlineStr">
        <is>
          <t>Olamze</t>
        </is>
      </c>
      <c r="H2222" t="inlineStr">
        <is>
          <t>ZTE</t>
        </is>
      </c>
      <c r="I2222" t="n">
        <v>0</v>
      </c>
      <c r="J2222" t="n">
        <v>0</v>
      </c>
      <c r="K2222" t="n">
        <v>0</v>
      </c>
      <c r="L2222" t="n">
        <v>0</v>
      </c>
      <c r="M2222" t="n">
        <v>0</v>
      </c>
      <c r="N2222" t="n">
        <v>0</v>
      </c>
      <c r="O2222" t="n">
        <v>0</v>
      </c>
      <c r="P2222" t="n">
        <v>0</v>
      </c>
      <c r="Q2222" t="n">
        <v>0</v>
      </c>
      <c r="R2222" t="inlineStr">
        <is>
          <t>Operationnel</t>
        </is>
      </c>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row>
    <row r="2223">
      <c r="A2223" t="inlineStr">
        <is>
          <t>Mfou-Entree</t>
        </is>
      </c>
      <c r="B2223" t="inlineStr">
        <is>
          <t>CTR_653</t>
        </is>
      </c>
      <c r="C2223" t="inlineStr">
        <is>
          <t>CENTRE</t>
        </is>
      </c>
      <c r="D2223" t="inlineStr">
        <is>
          <t>CAMUSAT</t>
        </is>
      </c>
      <c r="E2223" t="inlineStr">
        <is>
          <t>Hybrid Solar - S1</t>
        </is>
      </c>
      <c r="F2223" t="inlineStr">
        <is>
          <t>CENTRE</t>
        </is>
      </c>
      <c r="G2223" t="inlineStr">
        <is>
          <t>Mfou</t>
        </is>
      </c>
      <c r="H2223" t="inlineStr">
        <is>
          <t>ZTE</t>
        </is>
      </c>
      <c r="I2223" t="n">
        <v>0</v>
      </c>
      <c r="J2223" t="n">
        <v>0</v>
      </c>
      <c r="K2223" t="n">
        <v>0</v>
      </c>
      <c r="L2223" t="n">
        <v>0</v>
      </c>
      <c r="M2223" t="n">
        <v>0</v>
      </c>
      <c r="N2223" t="n">
        <v>0</v>
      </c>
      <c r="O2223" t="n">
        <v>0</v>
      </c>
      <c r="P2223" t="n">
        <v>0</v>
      </c>
      <c r="Q2223" t="n">
        <v>0</v>
      </c>
      <c r="R2223" t="inlineStr">
        <is>
          <t>Operationnel</t>
        </is>
      </c>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row>
    <row r="2224">
      <c r="A2224" t="inlineStr">
        <is>
          <t>Boutourou</t>
        </is>
      </c>
      <c r="B2224" t="inlineStr">
        <is>
          <t>CTR_092</t>
        </is>
      </c>
      <c r="C2224" t="inlineStr">
        <is>
          <t>CENTRE</t>
        </is>
      </c>
      <c r="D2224" t="inlineStr">
        <is>
          <t>IHS</t>
        </is>
      </c>
      <c r="E2224" t="inlineStr">
        <is>
          <t>Grid-Gen-Lithium</t>
        </is>
      </c>
      <c r="F2224" t="inlineStr">
        <is>
          <t>CENTRE</t>
        </is>
      </c>
      <c r="G2224" t="inlineStr">
        <is>
          <t>Boutourou</t>
        </is>
      </c>
      <c r="H2224" t="inlineStr">
        <is>
          <t>ZTE</t>
        </is>
      </c>
      <c r="I2224" t="n">
        <v>0</v>
      </c>
      <c r="J2224" t="n">
        <v>0</v>
      </c>
      <c r="K2224" t="n">
        <v>0</v>
      </c>
      <c r="L2224" t="n">
        <v>0</v>
      </c>
      <c r="M2224" t="n">
        <v>0</v>
      </c>
      <c r="N2224" t="n">
        <v>0</v>
      </c>
      <c r="O2224" t="n">
        <v>0</v>
      </c>
      <c r="P2224" t="n">
        <v>0</v>
      </c>
      <c r="Q2224" t="n">
        <v>0</v>
      </c>
      <c r="R2224" t="inlineStr">
        <is>
          <t>Operationnel</t>
        </is>
      </c>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row>
    <row r="2225">
      <c r="A2225" t="inlineStr">
        <is>
          <t>Nkak</t>
        </is>
      </c>
      <c r="B2225" t="inlineStr">
        <is>
          <t>LIT_231</t>
        </is>
      </c>
      <c r="C2225" t="inlineStr">
        <is>
          <t>LITTORAL</t>
        </is>
      </c>
      <c r="D2225" t="inlineStr">
        <is>
          <t>IHS</t>
        </is>
      </c>
      <c r="E2225" t="inlineStr">
        <is>
          <t>Solar-Gen-Lithium</t>
        </is>
      </c>
      <c r="F2225" t="inlineStr">
        <is>
          <t>LITTORAL</t>
        </is>
      </c>
      <c r="G2225" t="inlineStr">
        <is>
          <t>Mapubbi</t>
        </is>
      </c>
      <c r="H2225" t="inlineStr">
        <is>
          <t>ZTE</t>
        </is>
      </c>
      <c r="I2225" t="n">
        <v>0</v>
      </c>
      <c r="J2225" t="n">
        <v>0</v>
      </c>
      <c r="K2225" t="n">
        <v>0</v>
      </c>
      <c r="L2225" t="n">
        <v>0</v>
      </c>
      <c r="M2225" t="n">
        <v>0</v>
      </c>
      <c r="N2225" t="n">
        <v>0</v>
      </c>
      <c r="O2225" t="n">
        <v>0</v>
      </c>
      <c r="P2225" t="n">
        <v>0</v>
      </c>
      <c r="Q2225" t="n">
        <v>0</v>
      </c>
      <c r="R2225" t="inlineStr">
        <is>
          <t>Operationnel</t>
        </is>
      </c>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row>
    <row r="2226">
      <c r="A2226" t="inlineStr">
        <is>
          <t>Ambassade-Gabon</t>
        </is>
      </c>
      <c r="B2226" t="inlineStr">
        <is>
          <t>CTR_745</t>
        </is>
      </c>
      <c r="C2226" t="inlineStr">
        <is>
          <t>Yaounde</t>
        </is>
      </c>
      <c r="D2226" t="inlineStr">
        <is>
          <t>CAMUSAT</t>
        </is>
      </c>
      <c r="E2226" t="inlineStr">
        <is>
          <t>Good Grid no GE - 8h</t>
        </is>
      </c>
      <c r="F2226" t="inlineStr">
        <is>
          <t>CENTRE</t>
        </is>
      </c>
      <c r="G2226" t="inlineStr">
        <is>
          <t>Yaounde</t>
        </is>
      </c>
      <c r="H2226" t="inlineStr">
        <is>
          <t>ZTE</t>
        </is>
      </c>
      <c r="I2226" t="n">
        <v>0</v>
      </c>
      <c r="J2226" t="n">
        <v>0</v>
      </c>
      <c r="K2226" t="n">
        <v>0</v>
      </c>
      <c r="L2226" t="n">
        <v>0</v>
      </c>
      <c r="M2226" t="n">
        <v>0</v>
      </c>
      <c r="N2226" t="n">
        <v>0</v>
      </c>
      <c r="O2226" t="n">
        <v>0</v>
      </c>
      <c r="P2226" t="n">
        <v>0</v>
      </c>
      <c r="Q2226" t="n">
        <v>0</v>
      </c>
      <c r="R2226" t="inlineStr">
        <is>
          <t>Operationnel</t>
        </is>
      </c>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row>
    <row r="2227">
      <c r="A2227" t="inlineStr">
        <is>
          <t>Dibamba-Camrail</t>
        </is>
      </c>
      <c r="B2227" t="inlineStr">
        <is>
          <t>LIT_385</t>
        </is>
      </c>
      <c r="C2227" t="inlineStr">
        <is>
          <t>Douala</t>
        </is>
      </c>
      <c r="D2227" t="inlineStr">
        <is>
          <t>CAMUSAT</t>
        </is>
      </c>
      <c r="E2227" t="inlineStr">
        <is>
          <t>Hybrid Solar - S3</t>
        </is>
      </c>
      <c r="F2227" t="inlineStr">
        <is>
          <t>LITTORAL</t>
        </is>
      </c>
      <c r="G2227" t="inlineStr">
        <is>
          <t>Douala</t>
        </is>
      </c>
      <c r="H2227" t="inlineStr">
        <is>
          <t>ZTE</t>
        </is>
      </c>
      <c r="I2227" t="n">
        <v>0</v>
      </c>
      <c r="J2227" t="n">
        <v>0</v>
      </c>
      <c r="K2227" t="n">
        <v>0</v>
      </c>
      <c r="L2227" t="n">
        <v>0</v>
      </c>
      <c r="M2227" t="n">
        <v>0</v>
      </c>
      <c r="N2227" t="n">
        <v>0</v>
      </c>
      <c r="O2227" t="n">
        <v>0</v>
      </c>
      <c r="P2227" t="n">
        <v>0</v>
      </c>
      <c r="Q2227" t="n">
        <v>0</v>
      </c>
      <c r="R2227" t="inlineStr">
        <is>
          <t>Operationnel</t>
        </is>
      </c>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row>
    <row r="2228">
      <c r="A2228" t="inlineStr">
        <is>
          <t>Campo-Beach-IHS</t>
        </is>
      </c>
      <c r="B2228" t="inlineStr">
        <is>
          <t>LIT_494</t>
        </is>
      </c>
      <c r="C2228" t="inlineStr">
        <is>
          <t>LITTORAL</t>
        </is>
      </c>
      <c r="D2228" t="inlineStr">
        <is>
          <t>IHS</t>
        </is>
      </c>
      <c r="E2228" t="inlineStr">
        <is>
          <t>Grid-Gen</t>
        </is>
      </c>
      <c r="F2228" t="inlineStr">
        <is>
          <t>LITTORAL</t>
        </is>
      </c>
      <c r="G2228" t="inlineStr">
        <is>
          <t>Campo</t>
        </is>
      </c>
      <c r="H2228" t="inlineStr">
        <is>
          <t>ZTE</t>
        </is>
      </c>
      <c r="I2228" t="n">
        <v>0</v>
      </c>
      <c r="J2228" t="n">
        <v>0</v>
      </c>
      <c r="K2228" t="n">
        <v>0</v>
      </c>
      <c r="L2228" t="n">
        <v>0</v>
      </c>
      <c r="M2228" t="n">
        <v>0</v>
      </c>
      <c r="N2228" t="n">
        <v>0</v>
      </c>
      <c r="O2228" t="n">
        <v>0</v>
      </c>
      <c r="P2228" t="n">
        <v>0</v>
      </c>
      <c r="Q2228" t="n">
        <v>0</v>
      </c>
      <c r="R2228" t="inlineStr">
        <is>
          <t>Operationnel</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row>
    <row r="2229">
      <c r="A2229" t="inlineStr">
        <is>
          <t>Abong-Mbang</t>
        </is>
      </c>
      <c r="B2229" t="inlineStr">
        <is>
          <t>EST_009</t>
        </is>
      </c>
      <c r="C2229" t="inlineStr">
        <is>
          <t>CENTRE</t>
        </is>
      </c>
      <c r="D2229" t="inlineStr">
        <is>
          <t>CAMUSAT</t>
        </is>
      </c>
      <c r="E2229" t="inlineStr">
        <is>
          <t>Bad Grid + Solar + GE</t>
        </is>
      </c>
      <c r="F2229" t="inlineStr">
        <is>
          <t>EST</t>
        </is>
      </c>
      <c r="G2229" t="inlineStr">
        <is>
          <t>Abong-Mbang</t>
        </is>
      </c>
      <c r="H2229" t="inlineStr">
        <is>
          <t>NOKIA</t>
        </is>
      </c>
      <c r="I2229" t="n">
        <v>0</v>
      </c>
      <c r="J2229" t="n">
        <v>0</v>
      </c>
      <c r="K2229" t="n">
        <v>0</v>
      </c>
      <c r="L2229" t="n">
        <v>0</v>
      </c>
      <c r="M2229" t="n">
        <v>0</v>
      </c>
      <c r="N2229" t="n">
        <v>0</v>
      </c>
      <c r="O2229" t="n">
        <v>0</v>
      </c>
      <c r="P2229" t="n">
        <v>0</v>
      </c>
      <c r="Q2229" t="n">
        <v>0</v>
      </c>
      <c r="R2229" t="inlineStr">
        <is>
          <t>Operationnel</t>
        </is>
      </c>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row>
    <row r="2230">
      <c r="A2230" t="inlineStr">
        <is>
          <t>Fifinda-MTN</t>
        </is>
      </c>
      <c r="B2230" t="inlineStr">
        <is>
          <t>SUD_215</t>
        </is>
      </c>
      <c r="C2230" t="inlineStr">
        <is>
          <t>LITTORAL</t>
        </is>
      </c>
      <c r="D2230" t="inlineStr">
        <is>
          <t>IHS</t>
        </is>
      </c>
      <c r="E2230" t="inlineStr">
        <is>
          <t>Grid-Gen</t>
        </is>
      </c>
      <c r="F2230" t="inlineStr">
        <is>
          <t>SUD</t>
        </is>
      </c>
      <c r="G2230" t="inlineStr">
        <is>
          <t>Fifinda</t>
        </is>
      </c>
      <c r="H2230" t="inlineStr">
        <is>
          <t>ZTE</t>
        </is>
      </c>
      <c r="I2230" t="n">
        <v>0</v>
      </c>
      <c r="J2230" t="n">
        <v>0</v>
      </c>
      <c r="K2230" t="n">
        <v>0</v>
      </c>
      <c r="L2230" t="n">
        <v>0</v>
      </c>
      <c r="M2230" t="n">
        <v>0</v>
      </c>
      <c r="N2230" t="n">
        <v>0</v>
      </c>
      <c r="O2230" t="n">
        <v>0</v>
      </c>
      <c r="P2230" t="n">
        <v>0</v>
      </c>
      <c r="Q2230" t="n">
        <v>0</v>
      </c>
      <c r="R2230" t="inlineStr">
        <is>
          <t>Operationnel</t>
        </is>
      </c>
      <c r="S2230" t="inlineStr"/>
      <c r="T2230" t="inlineStr"/>
      <c r="U2230" t="inlineStr"/>
      <c r="V2230" t="inlineStr"/>
      <c r="W2230" t="inlineStr"/>
      <c r="X2230" t="inlineStr">
        <is>
          <t>{05-25-2026 ocm ran 22H}: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{05-25-2026 ocm ran 17H}: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Y2230" t="inlineStr">
        <is>
          <t>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 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 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{05-25-2026 ocm ran 22H}: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AP2230" t="inlineStr">
        <is>
          <t>{05-25-2026 ocm ran 17H}: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23/05/2026  ODU MPT HQAM, 7/8GHz 3DB20773BA radio à demanteler pour le 12/05 sur les liaisons ci dessous
Nyom-II-IHS_Nkometou // Ndogbong_PK10-Sœurs-Dominicaines // Nkog-Edzen_Monatele
15/05/2026 6 radio à demanteler pour le 12/05 sur les liaisons ci dessous
Nyom-II-IHS_Nkometou // Ndogbong_PK10-Sœurs-Dominicaines // Nkog-Edzen_Monatele
12/05/2026 6 radio à demanteler pour le 12/05 sur les liaisons ci dessous
Nyom-II-IHS_Nkometou
Ndogbong_PK10-Sœurs-Dominicaines
Nkog-Edzen_Monatele
14/05/2026 6 radio à demanteler pour le 12/05 sur les liaisons ci dessous
Nyom-II-IHS_Nkometou
Ndogbong_PK10-Sœurs-Dominicaines
Nkog-Edzen_Monatele
12/05/2026 6 radio à demanteler pour le 12/05 sur les liaisons ci dessous
Nyom-II-IHS_Nkometou
Ndogbong_PK10-Sœurs-Dominicaines
Nkog-Edzen_Monatele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is>
      </c>
      <c r="AQ2230" t="inlineStr"/>
      <c r="AR2230" t="inlineStr"/>
    </row>
    <row r="2231">
      <c r="A2231" t="inlineStr">
        <is>
          <t>Dehane-PHP</t>
        </is>
      </c>
      <c r="B2231" t="inlineStr">
        <is>
          <t>LIT_591</t>
        </is>
      </c>
      <c r="C2231" t="inlineStr">
        <is>
          <t>LITTORAL</t>
        </is>
      </c>
      <c r="D2231" t="inlineStr">
        <is>
          <t>CAMUSAT</t>
        </is>
      </c>
      <c r="E2231" t="inlineStr">
        <is>
          <t>Good Grid + GE</t>
        </is>
      </c>
      <c r="F2231" t="inlineStr">
        <is>
          <t>LITTORAL</t>
        </is>
      </c>
      <c r="G2231" t="inlineStr">
        <is>
          <t>Dehane</t>
        </is>
      </c>
      <c r="H2231" t="inlineStr">
        <is>
          <t>ZTE</t>
        </is>
      </c>
      <c r="I2231" t="n">
        <v>0</v>
      </c>
      <c r="J2231" t="n">
        <v>0</v>
      </c>
      <c r="K2231" t="n">
        <v>0</v>
      </c>
      <c r="L2231" t="n">
        <v>0</v>
      </c>
      <c r="M2231" t="n">
        <v>0</v>
      </c>
      <c r="N2231" t="n">
        <v>0</v>
      </c>
      <c r="O2231" t="n">
        <v>0</v>
      </c>
      <c r="P2231" t="n">
        <v>0</v>
      </c>
      <c r="Q2231" t="n">
        <v>0</v>
      </c>
      <c r="R2231" t="inlineStr">
        <is>
          <t>Operationnel</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row>
    <row r="2232">
      <c r="A2232" t="inlineStr">
        <is>
          <t>Ndoussan</t>
        </is>
      </c>
      <c r="B2232" t="inlineStr">
        <is>
          <t>CTR_054</t>
        </is>
      </c>
      <c r="C2232" t="inlineStr">
        <is>
          <t>CENTRE</t>
        </is>
      </c>
      <c r="D2232" t="inlineStr">
        <is>
          <t>IHS</t>
        </is>
      </c>
      <c r="E2232" t="inlineStr">
        <is>
          <t>Gen-Lithium</t>
        </is>
      </c>
      <c r="F2232" t="inlineStr">
        <is>
          <t>CENTRE</t>
        </is>
      </c>
      <c r="G2232" t="inlineStr">
        <is>
          <t>Ndoussan</t>
        </is>
      </c>
      <c r="H2232" t="inlineStr">
        <is>
          <t>ZTE</t>
        </is>
      </c>
      <c r="I2232" t="n">
        <v>0</v>
      </c>
      <c r="J2232" t="n">
        <v>0</v>
      </c>
      <c r="K2232" t="n">
        <v>0</v>
      </c>
      <c r="L2232" t="n">
        <v>0</v>
      </c>
      <c r="M2232" t="n">
        <v>0</v>
      </c>
      <c r="N2232" t="n">
        <v>0</v>
      </c>
      <c r="O2232" t="n">
        <v>0</v>
      </c>
      <c r="P2232" t="n">
        <v>0</v>
      </c>
      <c r="Q2232" t="n">
        <v>0</v>
      </c>
      <c r="R2232" t="inlineStr">
        <is>
          <t>Operationnel</t>
        </is>
      </c>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row>
    <row r="2233">
      <c r="A2233" t="inlineStr">
        <is>
          <t>Nkog-Edzen</t>
        </is>
      </c>
      <c r="B2233" t="inlineStr">
        <is>
          <t>CTR_041</t>
        </is>
      </c>
      <c r="C2233" t="inlineStr">
        <is>
          <t>CENTRE</t>
        </is>
      </c>
      <c r="D2233" t="inlineStr"/>
      <c r="E2233" t="inlineStr"/>
      <c r="F2233" t="inlineStr">
        <is>
          <t>CENTRE</t>
        </is>
      </c>
      <c r="G2233" t="inlineStr">
        <is>
          <t>Nkog-Edzen</t>
        </is>
      </c>
      <c r="H2233" t="inlineStr">
        <is>
          <t>ZTE</t>
        </is>
      </c>
      <c r="I2233" t="n">
        <v>0</v>
      </c>
      <c r="J2233" t="n">
        <v>0</v>
      </c>
      <c r="K2233" t="n">
        <v>0</v>
      </c>
      <c r="L2233" t="n">
        <v>0</v>
      </c>
      <c r="M2233" t="n">
        <v>0</v>
      </c>
      <c r="N2233" t="n">
        <v>0</v>
      </c>
      <c r="O2233" t="n">
        <v>0</v>
      </c>
      <c r="P2233" t="n">
        <v>0</v>
      </c>
      <c r="Q2233" t="n">
        <v>0</v>
      </c>
      <c r="R2233" t="inlineStr">
        <is>
          <t>Operationnel</t>
        </is>
      </c>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row>
    <row r="2234">
      <c r="A2234" t="inlineStr">
        <is>
          <t>Nakong</t>
        </is>
      </c>
      <c r="B2234" t="inlineStr">
        <is>
          <t>NRD_157</t>
        </is>
      </c>
      <c r="C2234" t="inlineStr">
        <is>
          <t>NORD</t>
        </is>
      </c>
      <c r="D2234" t="inlineStr">
        <is>
          <t>CAMUSAT</t>
        </is>
      </c>
      <c r="E2234" t="inlineStr">
        <is>
          <t>Bad Grid + Solar + GE</t>
        </is>
      </c>
      <c r="F2234" t="inlineStr">
        <is>
          <t>NORD</t>
        </is>
      </c>
      <c r="G2234" t="inlineStr">
        <is>
          <t>Nakong</t>
        </is>
      </c>
      <c r="H2234" t="inlineStr">
        <is>
          <t>HUAWEI</t>
        </is>
      </c>
      <c r="I2234" t="n">
        <v>0</v>
      </c>
      <c r="J2234" t="n">
        <v>0</v>
      </c>
      <c r="K2234" t="n">
        <v>0</v>
      </c>
      <c r="L2234" t="n">
        <v>0</v>
      </c>
      <c r="M2234" t="n">
        <v>0</v>
      </c>
      <c r="N2234" t="n">
        <v>0</v>
      </c>
      <c r="O2234" t="n">
        <v>0</v>
      </c>
      <c r="P2234" t="n">
        <v>0</v>
      </c>
      <c r="Q2234" t="n">
        <v>0</v>
      </c>
      <c r="R2234" t="inlineStr">
        <is>
          <t>Operationnel</t>
        </is>
      </c>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row>
    <row r="2235">
      <c r="A2235" t="inlineStr">
        <is>
          <t>Balessing</t>
        </is>
      </c>
      <c r="B2235" t="inlineStr">
        <is>
          <t>OST_008</t>
        </is>
      </c>
      <c r="C2235" t="inlineStr">
        <is>
          <t>OUEST</t>
        </is>
      </c>
      <c r="D2235" t="inlineStr">
        <is>
          <t>OCM/Strategique</t>
        </is>
      </c>
      <c r="E2235" t="inlineStr">
        <is>
          <t>OCM/Stratégique</t>
        </is>
      </c>
      <c r="F2235" t="inlineStr">
        <is>
          <t>OUEST</t>
        </is>
      </c>
      <c r="G2235" t="inlineStr">
        <is>
          <t>Balessing</t>
        </is>
      </c>
      <c r="H2235" t="inlineStr">
        <is>
          <t>HUAWEI</t>
        </is>
      </c>
      <c r="I2235" t="n">
        <v>0</v>
      </c>
      <c r="J2235" t="n">
        <v>0</v>
      </c>
      <c r="K2235" t="n">
        <v>0</v>
      </c>
      <c r="L2235" t="n">
        <v>0</v>
      </c>
      <c r="M2235" t="n">
        <v>0</v>
      </c>
      <c r="N2235" t="n">
        <v>0</v>
      </c>
      <c r="O2235" t="n">
        <v>0</v>
      </c>
      <c r="P2235" t="n">
        <v>0</v>
      </c>
      <c r="Q2235" t="n">
        <v>0</v>
      </c>
      <c r="R2235" t="inlineStr">
        <is>
          <t>Operationnel</t>
        </is>
      </c>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row>
    <row r="2236">
      <c r="A2236" t="inlineStr">
        <is>
          <t>Mbouda-SIK-IHS</t>
        </is>
      </c>
      <c r="B2236" t="inlineStr">
        <is>
          <t>OST_144</t>
        </is>
      </c>
      <c r="C2236" t="inlineStr">
        <is>
          <t>OUEST</t>
        </is>
      </c>
      <c r="D2236" t="inlineStr">
        <is>
          <t>IHS</t>
        </is>
      </c>
      <c r="E2236" t="inlineStr">
        <is>
          <t>Grid-Gen</t>
        </is>
      </c>
      <c r="F2236" t="inlineStr">
        <is>
          <t>OUEST</t>
        </is>
      </c>
      <c r="G2236" t="inlineStr">
        <is>
          <t>Mbouda</t>
        </is>
      </c>
      <c r="H2236" t="inlineStr">
        <is>
          <t>Huawei</t>
        </is>
      </c>
      <c r="I2236" t="n">
        <v>0</v>
      </c>
      <c r="J2236" t="n">
        <v>0</v>
      </c>
      <c r="K2236" t="n">
        <v>0</v>
      </c>
      <c r="L2236" t="n">
        <v>0</v>
      </c>
      <c r="M2236" t="n">
        <v>0</v>
      </c>
      <c r="N2236" t="n">
        <v>0</v>
      </c>
      <c r="O2236" t="n">
        <v>0</v>
      </c>
      <c r="P2236" t="n">
        <v>0</v>
      </c>
      <c r="Q2236" t="n">
        <v>0</v>
      </c>
      <c r="R2236" t="inlineStr">
        <is>
          <t>Operationnel</t>
        </is>
      </c>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row>
    <row r="2237">
      <c r="A2237" t="inlineStr">
        <is>
          <t>Yenon</t>
        </is>
      </c>
      <c r="B2237" t="inlineStr">
        <is>
          <t>OST_013</t>
        </is>
      </c>
      <c r="C2237" t="inlineStr">
        <is>
          <t>OUEST</t>
        </is>
      </c>
      <c r="D2237" t="inlineStr">
        <is>
          <t>IHS</t>
        </is>
      </c>
      <c r="E2237" t="inlineStr">
        <is>
          <t>Grid-Gen</t>
        </is>
      </c>
      <c r="F2237" t="inlineStr">
        <is>
          <t>OUEST</t>
        </is>
      </c>
      <c r="G2237" t="inlineStr">
        <is>
          <t>Yenon</t>
        </is>
      </c>
      <c r="H2237" t="inlineStr">
        <is>
          <t>HUAWEI</t>
        </is>
      </c>
      <c r="I2237" t="n">
        <v>0</v>
      </c>
      <c r="J2237" t="n">
        <v>0</v>
      </c>
      <c r="K2237" t="n">
        <v>0</v>
      </c>
      <c r="L2237" t="n">
        <v>0</v>
      </c>
      <c r="M2237" t="n">
        <v>0</v>
      </c>
      <c r="N2237" t="n">
        <v>0</v>
      </c>
      <c r="O2237" t="n">
        <v>0</v>
      </c>
      <c r="P2237" t="n">
        <v>0</v>
      </c>
      <c r="Q2237" t="n">
        <v>0</v>
      </c>
      <c r="R2237" t="inlineStr">
        <is>
          <t>Operationnel</t>
        </is>
      </c>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row>
    <row r="2238">
      <c r="A2238" t="inlineStr">
        <is>
          <t>Baham</t>
        </is>
      </c>
      <c r="B2238" t="inlineStr">
        <is>
          <t>OST_035</t>
        </is>
      </c>
      <c r="C2238" t="inlineStr">
        <is>
          <t>OUEST</t>
        </is>
      </c>
      <c r="D2238" t="inlineStr">
        <is>
          <t>IHS</t>
        </is>
      </c>
      <c r="E2238" t="inlineStr">
        <is>
          <t>Grid-Gen</t>
        </is>
      </c>
      <c r="F2238" t="inlineStr">
        <is>
          <t>OUEST</t>
        </is>
      </c>
      <c r="G2238" t="inlineStr">
        <is>
          <t>Baham</t>
        </is>
      </c>
      <c r="H2238" t="inlineStr">
        <is>
          <t>HUAWEI</t>
        </is>
      </c>
      <c r="I2238" t="n">
        <v>0</v>
      </c>
      <c r="J2238" t="n">
        <v>0</v>
      </c>
      <c r="K2238" t="n">
        <v>0</v>
      </c>
      <c r="L2238" t="n">
        <v>0</v>
      </c>
      <c r="M2238" t="n">
        <v>0</v>
      </c>
      <c r="N2238" t="n">
        <v>0</v>
      </c>
      <c r="O2238" t="n">
        <v>0</v>
      </c>
      <c r="P2238" t="n">
        <v>0</v>
      </c>
      <c r="Q2238" t="n">
        <v>0</v>
      </c>
      <c r="R2238" t="inlineStr">
        <is>
          <t>Operationnel</t>
        </is>
      </c>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row>
    <row r="2239">
      <c r="A2239" t="inlineStr">
        <is>
          <t>Batcham</t>
        </is>
      </c>
      <c r="B2239" t="inlineStr">
        <is>
          <t>OST_040</t>
        </is>
      </c>
      <c r="C2239" t="inlineStr">
        <is>
          <t>OUEST</t>
        </is>
      </c>
      <c r="D2239" t="inlineStr">
        <is>
          <t>IHS</t>
        </is>
      </c>
      <c r="E2239" t="inlineStr">
        <is>
          <t>Grid-Gen</t>
        </is>
      </c>
      <c r="F2239" t="inlineStr">
        <is>
          <t>OUEST</t>
        </is>
      </c>
      <c r="G2239" t="inlineStr">
        <is>
          <t>Batcham</t>
        </is>
      </c>
      <c r="H2239" t="inlineStr">
        <is>
          <t>HUAWEI</t>
        </is>
      </c>
      <c r="I2239" t="n">
        <v>0</v>
      </c>
      <c r="J2239" t="n">
        <v>0</v>
      </c>
      <c r="K2239" t="n">
        <v>0</v>
      </c>
      <c r="L2239" t="n">
        <v>0</v>
      </c>
      <c r="M2239" t="n">
        <v>0</v>
      </c>
      <c r="N2239" t="n">
        <v>0</v>
      </c>
      <c r="O2239" t="n">
        <v>0</v>
      </c>
      <c r="P2239" t="n">
        <v>0</v>
      </c>
      <c r="Q2239" t="n">
        <v>0</v>
      </c>
      <c r="R2239" t="inlineStr">
        <is>
          <t>Operationnel</t>
        </is>
      </c>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row>
    <row r="2240">
      <c r="A2240" t="inlineStr">
        <is>
          <t>Batie</t>
        </is>
      </c>
      <c r="B2240" t="inlineStr">
        <is>
          <t>OST_034</t>
        </is>
      </c>
      <c r="C2240" t="inlineStr">
        <is>
          <t>OUEST</t>
        </is>
      </c>
      <c r="D2240" t="inlineStr">
        <is>
          <t>IHS</t>
        </is>
      </c>
      <c r="E2240" t="inlineStr">
        <is>
          <t>Grid-Gen</t>
        </is>
      </c>
      <c r="F2240" t="inlineStr">
        <is>
          <t>OUEST</t>
        </is>
      </c>
      <c r="G2240" t="inlineStr">
        <is>
          <t>Batie</t>
        </is>
      </c>
      <c r="H2240" t="inlineStr">
        <is>
          <t>HUAWEI</t>
        </is>
      </c>
      <c r="I2240" t="n">
        <v>0</v>
      </c>
      <c r="J2240" t="n">
        <v>0</v>
      </c>
      <c r="K2240" t="n">
        <v>0</v>
      </c>
      <c r="L2240" t="n">
        <v>0</v>
      </c>
      <c r="M2240" t="n">
        <v>0</v>
      </c>
      <c r="N2240" t="n">
        <v>0</v>
      </c>
      <c r="O2240" t="n">
        <v>0</v>
      </c>
      <c r="P2240" t="n">
        <v>0</v>
      </c>
      <c r="Q2240" t="n">
        <v>0</v>
      </c>
      <c r="R2240" t="inlineStr">
        <is>
          <t>Operationnel</t>
        </is>
      </c>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row>
    <row r="2241">
      <c r="A2241" t="inlineStr">
        <is>
          <t>Bafounda-IHS</t>
        </is>
      </c>
      <c r="B2241" t="inlineStr">
        <is>
          <t>OST_150</t>
        </is>
      </c>
      <c r="C2241" t="inlineStr">
        <is>
          <t>NORD-OUEST</t>
        </is>
      </c>
      <c r="D2241" t="inlineStr">
        <is>
          <t>IHS</t>
        </is>
      </c>
      <c r="E2241" t="inlineStr">
        <is>
          <t>Grid-Gen</t>
        </is>
      </c>
      <c r="F2241" t="inlineStr">
        <is>
          <t>OUEST</t>
        </is>
      </c>
      <c r="G2241" t="inlineStr">
        <is>
          <t>Bafounda</t>
        </is>
      </c>
      <c r="H2241" t="inlineStr">
        <is>
          <t>HUAWEI</t>
        </is>
      </c>
      <c r="I2241" t="n">
        <v>0</v>
      </c>
      <c r="J2241" t="n">
        <v>0</v>
      </c>
      <c r="K2241" t="n">
        <v>0</v>
      </c>
      <c r="L2241" t="n">
        <v>0</v>
      </c>
      <c r="M2241" t="n">
        <v>0</v>
      </c>
      <c r="N2241" t="n">
        <v>0</v>
      </c>
      <c r="O2241" t="n">
        <v>0</v>
      </c>
      <c r="P2241" t="n">
        <v>0</v>
      </c>
      <c r="Q2241" t="n">
        <v>0</v>
      </c>
      <c r="R2241" t="inlineStr">
        <is>
          <t>Operationnel</t>
        </is>
      </c>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row>
    <row r="2242">
      <c r="A2242" t="inlineStr">
        <is>
          <t>Bameka-IHS</t>
        </is>
      </c>
      <c r="B2242" t="inlineStr">
        <is>
          <t>OST_162</t>
        </is>
      </c>
      <c r="C2242" t="inlineStr">
        <is>
          <t>OUEST</t>
        </is>
      </c>
      <c r="D2242" t="inlineStr">
        <is>
          <t>IHS</t>
        </is>
      </c>
      <c r="E2242" t="inlineStr">
        <is>
          <t>Grid-Gen</t>
        </is>
      </c>
      <c r="F2242" t="inlineStr">
        <is>
          <t>OUEST</t>
        </is>
      </c>
      <c r="G2242" t="inlineStr">
        <is>
          <t>Bameka</t>
        </is>
      </c>
      <c r="H2242" t="inlineStr">
        <is>
          <t>HUAWEI</t>
        </is>
      </c>
      <c r="I2242" t="n">
        <v>0</v>
      </c>
      <c r="J2242" t="n">
        <v>0</v>
      </c>
      <c r="K2242" t="n">
        <v>0</v>
      </c>
      <c r="L2242" t="n">
        <v>0</v>
      </c>
      <c r="M2242" t="n">
        <v>0</v>
      </c>
      <c r="N2242" t="n">
        <v>0</v>
      </c>
      <c r="O2242" t="n">
        <v>0</v>
      </c>
      <c r="P2242" t="n">
        <v>0</v>
      </c>
      <c r="Q2242" t="n">
        <v>0</v>
      </c>
      <c r="R2242" t="inlineStr">
        <is>
          <t>Operationnel</t>
        </is>
      </c>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row>
    <row r="2243">
      <c r="A2243" t="inlineStr">
        <is>
          <t>Bamendjou-II</t>
        </is>
      </c>
      <c r="B2243" t="inlineStr">
        <is>
          <t>OST_298</t>
        </is>
      </c>
      <c r="C2243" t="inlineStr">
        <is>
          <t>OUEST</t>
        </is>
      </c>
      <c r="D2243" t="inlineStr">
        <is>
          <t>CAMUSAT</t>
        </is>
      </c>
      <c r="E2243" t="inlineStr">
        <is>
          <t>Hybrid Solar - S3</t>
        </is>
      </c>
      <c r="F2243" t="inlineStr">
        <is>
          <t>OUEST</t>
        </is>
      </c>
      <c r="G2243" t="inlineStr">
        <is>
          <t>Bamendjou</t>
        </is>
      </c>
      <c r="H2243" t="inlineStr">
        <is>
          <t>HUAWEI</t>
        </is>
      </c>
      <c r="I2243" t="n">
        <v>0</v>
      </c>
      <c r="J2243" t="n">
        <v>0</v>
      </c>
      <c r="K2243" t="n">
        <v>0</v>
      </c>
      <c r="L2243" t="n">
        <v>0</v>
      </c>
      <c r="M2243" t="n">
        <v>0</v>
      </c>
      <c r="N2243" t="n">
        <v>0</v>
      </c>
      <c r="O2243" t="n">
        <v>0</v>
      </c>
      <c r="P2243" t="n">
        <v>0</v>
      </c>
      <c r="Q2243" t="n">
        <v>0</v>
      </c>
      <c r="R2243" t="inlineStr">
        <is>
          <t>Operationnel</t>
        </is>
      </c>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row>
    <row r="2244">
      <c r="A2244" t="inlineStr">
        <is>
          <t>Bakassi</t>
        </is>
      </c>
      <c r="B2244" t="inlineStr">
        <is>
          <t>SUO_018</t>
        </is>
      </c>
      <c r="C2244" t="inlineStr">
        <is>
          <t>SUD-OUEST</t>
        </is>
      </c>
      <c r="D2244" t="inlineStr">
        <is>
          <t>IHS</t>
        </is>
      </c>
      <c r="E2244" t="inlineStr">
        <is>
          <t>Solar-Gen</t>
        </is>
      </c>
      <c r="F2244" t="inlineStr">
        <is>
          <t>SUD-OUEST</t>
        </is>
      </c>
      <c r="G2244" t="inlineStr">
        <is>
          <t>Bakassi</t>
        </is>
      </c>
      <c r="H2244" t="inlineStr">
        <is>
          <t>HUAWEI</t>
        </is>
      </c>
      <c r="I2244" t="n">
        <v>0</v>
      </c>
      <c r="J2244" t="n">
        <v>0</v>
      </c>
      <c r="K2244" t="n">
        <v>0</v>
      </c>
      <c r="L2244" t="n">
        <v>0</v>
      </c>
      <c r="M2244" t="n">
        <v>0</v>
      </c>
      <c r="N2244" t="n">
        <v>0</v>
      </c>
      <c r="O2244" t="n">
        <v>0</v>
      </c>
      <c r="P2244" t="n">
        <v>0</v>
      </c>
      <c r="Q2244" t="n">
        <v>0</v>
      </c>
      <c r="R2244" t="inlineStr">
        <is>
          <t>Operationnel</t>
        </is>
      </c>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row>
    <row r="2245">
      <c r="A2245" t="inlineStr">
        <is>
          <t>Botatango-MTN</t>
        </is>
      </c>
      <c r="B2245" t="inlineStr">
        <is>
          <t>CTR_223</t>
        </is>
      </c>
      <c r="C2245" t="inlineStr">
        <is>
          <t>CENTRE</t>
        </is>
      </c>
      <c r="D2245" t="inlineStr">
        <is>
          <t>IHS</t>
        </is>
      </c>
      <c r="E2245" t="inlineStr">
        <is>
          <t>Solar-Gen</t>
        </is>
      </c>
      <c r="F2245" t="inlineStr">
        <is>
          <t>CENTRE</t>
        </is>
      </c>
      <c r="G2245" t="inlineStr">
        <is>
          <t>Botatango</t>
        </is>
      </c>
      <c r="H2245" t="inlineStr">
        <is>
          <t>ZTE</t>
        </is>
      </c>
      <c r="I2245" t="n">
        <v>0</v>
      </c>
      <c r="J2245" t="n">
        <v>0</v>
      </c>
      <c r="K2245" t="n">
        <v>0</v>
      </c>
      <c r="L2245" t="n">
        <v>0</v>
      </c>
      <c r="M2245" t="n">
        <v>0</v>
      </c>
      <c r="N2245" t="n">
        <v>0</v>
      </c>
      <c r="O2245" t="n">
        <v>0</v>
      </c>
      <c r="P2245" t="n">
        <v>0</v>
      </c>
      <c r="Q2245" t="n">
        <v>0</v>
      </c>
      <c r="R2245" t="inlineStr">
        <is>
          <t>Operationnel</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row>
    <row r="2246">
      <c r="A2246" t="inlineStr">
        <is>
          <t>Foumbot-Mangoum</t>
        </is>
      </c>
      <c r="B2246" t="inlineStr">
        <is>
          <t>OST_136</t>
        </is>
      </c>
      <c r="C2246" t="inlineStr">
        <is>
          <t>OUEST</t>
        </is>
      </c>
      <c r="D2246" t="inlineStr">
        <is>
          <t>IHS</t>
        </is>
      </c>
      <c r="E2246" t="inlineStr">
        <is>
          <t>Grid-Gen</t>
        </is>
      </c>
      <c r="F2246" t="inlineStr">
        <is>
          <t>OUEST</t>
        </is>
      </c>
      <c r="G2246" t="inlineStr">
        <is>
          <t>Foumbot</t>
        </is>
      </c>
      <c r="H2246" t="inlineStr">
        <is>
          <t>Huawei</t>
        </is>
      </c>
      <c r="I2246" t="n">
        <v>0</v>
      </c>
      <c r="J2246" t="n">
        <v>0</v>
      </c>
      <c r="K2246" t="n">
        <v>0</v>
      </c>
      <c r="L2246" t="n">
        <v>0</v>
      </c>
      <c r="M2246" t="n">
        <v>0</v>
      </c>
      <c r="N2246" t="n">
        <v>0</v>
      </c>
      <c r="O2246" t="n">
        <v>0</v>
      </c>
      <c r="P2246" t="n">
        <v>0</v>
      </c>
      <c r="Q2246" t="n">
        <v>0</v>
      </c>
      <c r="R2246" t="inlineStr">
        <is>
          <t>Operationnel</t>
        </is>
      </c>
      <c r="S2246" t="inlineStr"/>
      <c r="T2246" t="inlineStr"/>
      <c r="U2246" t="inlineStr"/>
      <c r="V2246" t="inlineStr"/>
      <c r="W2246" t="inlineStr"/>
      <c r="X2246" t="inlineStr">
        <is>
          <t>{None hourly IHS}: 25/05/2026 16:21..0:58:05..Fme is managing with level 0     ;    {05-25-2026 ocm ran 17H}: Power status check Ongoing</t>
        </is>
      </c>
      <c r="Y2246" t="inlineStr">
        <is>
          <t>25/05/2026 16 21.0 58 05.Fme is managing with level 0</t>
        </is>
      </c>
      <c r="Z2246" t="inlineStr"/>
      <c r="AA2246" t="inlineStr"/>
      <c r="AB2246" t="inlineStr"/>
      <c r="AC2246" t="inlineStr"/>
      <c r="AD2246" t="inlineStr"/>
      <c r="AE2246" t="inlineStr">
        <is>
          <t>{None hourly IHS}: 25/05/2026 16:21..0:58:05..Fme is managing with level 0</t>
        </is>
      </c>
      <c r="AF2246" t="inlineStr"/>
      <c r="AG2246" t="inlineStr"/>
      <c r="AH2246" t="inlineStr"/>
      <c r="AI2246" t="inlineStr"/>
      <c r="AJ2246" t="inlineStr"/>
      <c r="AK2246" t="inlineStr"/>
      <c r="AL2246" t="inlineStr"/>
      <c r="AM2246" t="inlineStr"/>
      <c r="AN2246" t="inlineStr"/>
      <c r="AO2246" t="inlineStr"/>
      <c r="AP2246" t="inlineStr">
        <is>
          <t>{05-25-2026 ocm ran 17H}: Power status check Ongoing</t>
        </is>
      </c>
      <c r="AQ2246" t="inlineStr"/>
      <c r="AR2246" t="inlineStr"/>
    </row>
    <row r="2247">
      <c r="A2247" t="inlineStr">
        <is>
          <t>OZOM-I</t>
        </is>
      </c>
      <c r="B2247" t="inlineStr">
        <is>
          <t>CTR_743</t>
        </is>
      </c>
      <c r="C2247" t="inlineStr">
        <is>
          <t>CENTRE</t>
        </is>
      </c>
      <c r="D2247" t="inlineStr">
        <is>
          <t>CAMUSAT</t>
        </is>
      </c>
      <c r="E2247" t="inlineStr">
        <is>
          <t>Hybrid Solar - S1</t>
        </is>
      </c>
      <c r="F2247" t="inlineStr">
        <is>
          <t>CENTRE</t>
        </is>
      </c>
      <c r="G2247" t="inlineStr">
        <is>
          <t>Ozom</t>
        </is>
      </c>
      <c r="H2247" t="inlineStr">
        <is>
          <t>ZTE</t>
        </is>
      </c>
      <c r="I2247" t="n">
        <v>0</v>
      </c>
      <c r="J2247" t="n">
        <v>0</v>
      </c>
      <c r="K2247" t="n">
        <v>0</v>
      </c>
      <c r="L2247" t="n">
        <v>0</v>
      </c>
      <c r="M2247" t="n">
        <v>0</v>
      </c>
      <c r="N2247" t="n">
        <v>0</v>
      </c>
      <c r="O2247" t="n">
        <v>0</v>
      </c>
      <c r="P2247" t="n">
        <v>0</v>
      </c>
      <c r="Q2247" t="n">
        <v>0</v>
      </c>
      <c r="R2247" t="inlineStr">
        <is>
          <t>Operationnel</t>
        </is>
      </c>
      <c r="S2247" t="inlineStr"/>
      <c r="T2247" t="inlineStr"/>
      <c r="U2247" t="inlineStr"/>
      <c r="V2247" t="inlineStr"/>
      <c r="W2247" t="inlineStr"/>
      <c r="X2247" t="inlineStr">
        <is>
          <t>{05-25-2026 ocm ran 22H}: Power status check Ongoing</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{05-25-2026 ocm ran 22H}: Power status check Ongoing</t>
        </is>
      </c>
      <c r="AP2247" t="inlineStr"/>
      <c r="AQ2247" t="inlineStr"/>
      <c r="AR2247" t="inlineStr"/>
    </row>
    <row r="2248">
      <c r="A2248" t="inlineStr">
        <is>
          <t>Loum-Nkombi-II-IHS</t>
        </is>
      </c>
      <c r="B2248" t="inlineStr">
        <is>
          <t>LIT_520</t>
        </is>
      </c>
      <c r="C2248" t="inlineStr">
        <is>
          <t>LITTORAL</t>
        </is>
      </c>
      <c r="D2248" t="inlineStr">
        <is>
          <t>IHS</t>
        </is>
      </c>
      <c r="E2248" t="inlineStr">
        <is>
          <t>Grid-Gen</t>
        </is>
      </c>
      <c r="F2248" t="inlineStr">
        <is>
          <t>LITTORAL</t>
        </is>
      </c>
      <c r="G2248" t="inlineStr">
        <is>
          <t>Loum</t>
        </is>
      </c>
      <c r="H2248" t="inlineStr">
        <is>
          <t>ZTE</t>
        </is>
      </c>
      <c r="I2248" t="n">
        <v>0</v>
      </c>
      <c r="J2248" t="n">
        <v>0</v>
      </c>
      <c r="K2248" t="n">
        <v>0</v>
      </c>
      <c r="L2248" t="n">
        <v>0</v>
      </c>
      <c r="M2248" t="n">
        <v>0</v>
      </c>
      <c r="N2248" t="n">
        <v>0</v>
      </c>
      <c r="O2248" t="n">
        <v>0</v>
      </c>
      <c r="P2248" t="n">
        <v>0</v>
      </c>
      <c r="Q2248" t="n">
        <v>0</v>
      </c>
      <c r="R2248" t="inlineStr">
        <is>
          <t>Operationnel</t>
        </is>
      </c>
      <c r="S2248" t="inlineStr"/>
      <c r="T2248" t="inlineStr"/>
      <c r="U2248" t="inlineStr"/>
      <c r="V2248" t="inlineStr"/>
      <c r="W2248" t="inlineStr"/>
      <c r="X2248" t="inlineStr">
        <is>
          <t xml:space="preserve">{05/25/2026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    {05/25/2026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    {05/25/2026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t>
        </is>
      </c>
      <c r="Y2248" t="inlineStr">
        <is>
          <t>24/05/2026 En attente du PN
23/05/2026 En attente du PN
22/05/2026 Jumpeur MQ4 faulty || En attente du PN pour passer la commande au SPMS
21/05/2026 Intervention ce jour apres le realignement de Loum joliet Loum || ETA en attente || Intervention en cours || Feedback FME C'est le MQ4 qui est faulty, due à l'infiltration d'eau
19/05/2026 FME sur le site coupe de Loum joli || Intervention apres le site de Loum joli
18/05/2026 Check and clean RRU 61 ANT 7 || FME activer || FME activer || Investiguation en cours || FME presentement sur le sitecouper de LOUM. || ETA 19/05/2026 24/05/2026 En attente du PN
23/05/2026 En attente du PN
22/05/2026 Jumpeur MQ4 faulty || En attente du PN pour passer la commande au SPMS
21/05/2026 Intervention ce jour apres le realignement de Loum joliet Loum || ETA en attente || Intervention en cours || Feedback FME C'est le MQ4 qui est faulty, due à l'infiltration d'eau
19/05/2026 FME sur le site coupe de Loum joli || Intervention apres le site de Loum joli
18/05/2026 Check and clean RRU 61 ANT 7 || FME activer || FME activer || Investiguation en cours || FME presentement sur le sitecouper de LOUM. || ETA 19/05/2026 24/05/2026 En attente du PN
23/05/2026 En attente du PN
22/05/2026 Jumpeur MQ4 faulty || En attente du PN pour passer la commande au SPMS
21/05/2026 Intervention ce jour apres le realignement de Loum joliet Loum || ETA en attente || Intervention en cours || Feedback FME C'est le MQ4 qui est faulty, due à l'infiltration d'eau
19/05/2026 FME sur le site coupe de Loum joli || Intervention apres le site de Loum joli
18/05/2026 Check and clean RRU 61 ANT 7 || FME activer || FME activer || Investiguation en cours || FME presentement sur le sitecouper de LOUM. || ETA 19/05/2026</t>
        </is>
      </c>
      <c r="Z2248" t="inlineStr"/>
      <c r="AA2248" t="inlineStr"/>
      <c r="AB2248" t="inlineStr"/>
      <c r="AC2248" t="inlineStr"/>
      <c r="AD2248" t="inlineStr"/>
      <c r="AE2248" t="inlineStr"/>
      <c r="AF2248" t="inlineStr"/>
      <c r="AG2248" t="inlineStr"/>
      <c r="AH2248" t="inlineStr"/>
      <c r="AI2248" t="inlineStr">
        <is>
          <t xml:space="preserve">{05/25/2026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t>
        </is>
      </c>
      <c r="AJ2248" t="inlineStr">
        <is>
          <t xml:space="preserve">{05/25/2026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t>
        </is>
      </c>
      <c r="AK2248" t="inlineStr">
        <is>
          <t xml:space="preserve">{05/25/2026 cell zte}: 24/05/2026 : En attente du PN 
23/05/2026 : En attente du PN 
22/05/2026 : Jumpeur MQ4 faulty || En attente du PN pour passer la commande au SPMS 
21/05/2026 : Intervention ce jour apres le realignement de   Loum joliet Loum || ETA en attente || Intervention en cours || Feedback FME : C'est le MQ4 qui est faulty, due à l'infiltration d'eau
19/05/2026 : FME sur le site coupe de Loum joli || Intervention apres le site de Loum joli 
18/05/2026 : Check and clean RRU 61 ANT 7 || FME activer  || FME activer||Investiguation en cours ||FME presentement sur le sitecouper  de LOUM. || ETA : 19/05/2026 </t>
        </is>
      </c>
      <c r="AL2248" t="inlineStr"/>
      <c r="AM2248" t="inlineStr"/>
      <c r="AN2248" t="inlineStr"/>
      <c r="AO2248" t="inlineStr"/>
      <c r="AP2248" t="inlineStr"/>
      <c r="AQ2248" t="inlineStr"/>
      <c r="AR2248" t="inlineStr"/>
    </row>
    <row r="2249">
      <c r="A2249" t="inlineStr">
        <is>
          <t>Ndikinimeki-New</t>
        </is>
      </c>
      <c r="B2249" t="inlineStr">
        <is>
          <t>CTR_544</t>
        </is>
      </c>
      <c r="C2249" t="inlineStr">
        <is>
          <t>CENTRE</t>
        </is>
      </c>
      <c r="D2249" t="inlineStr"/>
      <c r="E2249" t="inlineStr"/>
      <c r="F2249" t="inlineStr">
        <is>
          <t>CENTRE</t>
        </is>
      </c>
      <c r="G2249" t="inlineStr">
        <is>
          <t>Ndikinimeki</t>
        </is>
      </c>
      <c r="H2249" t="inlineStr">
        <is>
          <t>ZTE</t>
        </is>
      </c>
      <c r="I2249" t="n">
        <v>0</v>
      </c>
      <c r="J2249" t="n">
        <v>0</v>
      </c>
      <c r="K2249" t="n">
        <v>0</v>
      </c>
      <c r="L2249" t="n">
        <v>0</v>
      </c>
      <c r="M2249" t="n">
        <v>0</v>
      </c>
      <c r="N2249" t="n">
        <v>0</v>
      </c>
      <c r="O2249" t="n">
        <v>0</v>
      </c>
      <c r="P2249" t="n">
        <v>0</v>
      </c>
      <c r="Q2249" t="n">
        <v>0</v>
      </c>
      <c r="R2249" t="inlineStr">
        <is>
          <t>Operationnel</t>
        </is>
      </c>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row>
    <row r="2250">
      <c r="A2250" t="inlineStr">
        <is>
          <t>Madagascar</t>
        </is>
      </c>
      <c r="B2250" t="inlineStr">
        <is>
          <t>LIT_049</t>
        </is>
      </c>
      <c r="C2250" t="inlineStr">
        <is>
          <t>Douala</t>
        </is>
      </c>
      <c r="D2250" t="inlineStr">
        <is>
          <t>IHS</t>
        </is>
      </c>
      <c r="E2250" t="inlineStr">
        <is>
          <t>Grid-Gen</t>
        </is>
      </c>
      <c r="F2250" t="inlineStr">
        <is>
          <t>LITTORAL</t>
        </is>
      </c>
      <c r="G2250" t="inlineStr">
        <is>
          <t>Douala</t>
        </is>
      </c>
      <c r="H2250" t="inlineStr">
        <is>
          <t>ZTE</t>
        </is>
      </c>
      <c r="I2250" t="n">
        <v>0</v>
      </c>
      <c r="J2250" t="n">
        <v>0</v>
      </c>
      <c r="K2250" t="n">
        <v>0</v>
      </c>
      <c r="L2250" t="n">
        <v>0</v>
      </c>
      <c r="M2250" t="n">
        <v>0</v>
      </c>
      <c r="N2250" t="n">
        <v>0</v>
      </c>
      <c r="O2250" t="n">
        <v>0</v>
      </c>
      <c r="P2250" t="n">
        <v>0</v>
      </c>
      <c r="Q2250" t="n">
        <v>0</v>
      </c>
      <c r="R2250" t="inlineStr">
        <is>
          <t>Operationnel</t>
        </is>
      </c>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row>
    <row r="2251">
      <c r="A2251" t="inlineStr">
        <is>
          <t>Nyabi</t>
        </is>
      </c>
      <c r="B2251" t="inlineStr">
        <is>
          <t>EST_133</t>
        </is>
      </c>
      <c r="C2251" t="inlineStr">
        <is>
          <t>CENTRE</t>
        </is>
      </c>
      <c r="D2251" t="inlineStr">
        <is>
          <t>CAMUSAT</t>
        </is>
      </c>
      <c r="E2251" t="inlineStr">
        <is>
          <t>HGB</t>
        </is>
      </c>
      <c r="F2251" t="inlineStr">
        <is>
          <t>EST</t>
        </is>
      </c>
      <c r="G2251" t="inlineStr">
        <is>
          <t>Nyabi</t>
        </is>
      </c>
      <c r="H2251" t="inlineStr">
        <is>
          <t>ZTE</t>
        </is>
      </c>
      <c r="I2251" t="n">
        <v>0</v>
      </c>
      <c r="J2251" t="n">
        <v>0</v>
      </c>
      <c r="K2251" t="n">
        <v>0</v>
      </c>
      <c r="L2251" t="n">
        <v>0</v>
      </c>
      <c r="M2251" t="n">
        <v>0</v>
      </c>
      <c r="N2251" t="n">
        <v>0</v>
      </c>
      <c r="O2251" t="n">
        <v>0</v>
      </c>
      <c r="P2251" t="n">
        <v>0</v>
      </c>
      <c r="Q2251" t="n">
        <v>0</v>
      </c>
      <c r="R2251" t="inlineStr">
        <is>
          <t>Operationnel</t>
        </is>
      </c>
      <c r="S2251" t="inlineStr"/>
      <c r="T2251" t="inlineStr"/>
      <c r="U2251" t="inlineStr"/>
      <c r="V2251" t="inlineStr"/>
      <c r="W2251" t="inlineStr"/>
      <c r="X2251" t="inlineStr">
        <is>
          <t>{05-25-2026 incident}: {05-18-2026 groupe whatsapp incident}: impacted by  Kenzou_U_EST_016 , Travaux planifier || Action : fin des travaux</t>
        </is>
      </c>
      <c r="Y2251" t="inlineStr">
        <is>
          <t>{05-25-2026 incident} {05-18-2026 groupe whatsapp incident} impacted by Kenzou_U_EST_016 , Travaux planifier || Action fin des travaux</t>
        </is>
      </c>
      <c r="Z2251" t="inlineStr"/>
      <c r="AA2251" t="inlineStr">
        <is>
          <t>{05-25-2026 incident}: {05-18-2026 groupe whatsapp incident}: impacted by  Kenzou_U_EST_016 , Travaux planifier || Action : fin des travaux</t>
        </is>
      </c>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row>
    <row r="2252">
      <c r="A2252" t="inlineStr">
        <is>
          <t>Njombe-SDH-IHS</t>
        </is>
      </c>
      <c r="B2252" t="inlineStr">
        <is>
          <t>LIT_787</t>
        </is>
      </c>
      <c r="C2252" t="inlineStr">
        <is>
          <t>LITTORAL</t>
        </is>
      </c>
      <c r="D2252" t="inlineStr">
        <is>
          <t>IHS</t>
        </is>
      </c>
      <c r="E2252" t="inlineStr">
        <is>
          <t>Gen Only</t>
        </is>
      </c>
      <c r="F2252" t="inlineStr">
        <is>
          <t>LITTORAL</t>
        </is>
      </c>
      <c r="G2252" t="inlineStr">
        <is>
          <t>Njombe-Penja</t>
        </is>
      </c>
      <c r="H2252" t="inlineStr">
        <is>
          <t>ZTE</t>
        </is>
      </c>
      <c r="I2252" t="n">
        <v>0</v>
      </c>
      <c r="J2252" t="n">
        <v>0</v>
      </c>
      <c r="K2252" t="n">
        <v>0</v>
      </c>
      <c r="L2252" t="n">
        <v>0</v>
      </c>
      <c r="M2252" t="n">
        <v>0</v>
      </c>
      <c r="N2252" t="n">
        <v>0</v>
      </c>
      <c r="O2252" t="n">
        <v>0</v>
      </c>
      <c r="P2252" t="n">
        <v>0</v>
      </c>
      <c r="Q2252" t="n">
        <v>0</v>
      </c>
      <c r="R2252" t="inlineStr">
        <is>
          <t>Operationnel</t>
        </is>
      </c>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row>
    <row r="2253">
      <c r="A2253" t="inlineStr">
        <is>
          <t>Gara-Guider-IHS</t>
        </is>
      </c>
      <c r="B2253" t="inlineStr">
        <is>
          <t>NRD_115</t>
        </is>
      </c>
      <c r="C2253" t="inlineStr">
        <is>
          <t>NORD</t>
        </is>
      </c>
      <c r="D2253" t="inlineStr">
        <is>
          <t>IHS</t>
        </is>
      </c>
      <c r="E2253" t="inlineStr">
        <is>
          <t>Hybrid-Gen</t>
        </is>
      </c>
      <c r="F2253" t="inlineStr">
        <is>
          <t>NORD</t>
        </is>
      </c>
      <c r="G2253" t="inlineStr">
        <is>
          <t>Guider</t>
        </is>
      </c>
      <c r="H2253" t="inlineStr">
        <is>
          <t>HUAWEI</t>
        </is>
      </c>
      <c r="I2253" t="n">
        <v>0</v>
      </c>
      <c r="J2253" t="n">
        <v>0</v>
      </c>
      <c r="K2253" t="n">
        <v>0</v>
      </c>
      <c r="L2253" t="n">
        <v>0</v>
      </c>
      <c r="M2253" t="n">
        <v>0</v>
      </c>
      <c r="N2253" t="n">
        <v>0</v>
      </c>
      <c r="O2253" t="n">
        <v>0</v>
      </c>
      <c r="P2253" t="n">
        <v>0</v>
      </c>
      <c r="Q2253" t="n">
        <v>0</v>
      </c>
      <c r="R2253" t="inlineStr">
        <is>
          <t>Operationnel</t>
        </is>
      </c>
      <c r="S2253" t="inlineStr"/>
      <c r="T2253" t="inlineStr"/>
      <c r="U2253" t="inlineStr"/>
      <c r="V2253" t="inlineStr"/>
      <c r="W2253" t="inlineStr"/>
      <c r="X2253" t="inlineStr">
        <is>
          <t>{None hourly IHS}: 25/05/2026 22:13..0:46:59..FME Maxim is managing with level 0</t>
        </is>
      </c>
      <c r="Y2253" t="inlineStr">
        <is>
          <t>25/05/2026 22 13.0 46 59.FME Maxim is managing with level 0</t>
        </is>
      </c>
      <c r="Z2253" t="inlineStr"/>
      <c r="AA2253" t="inlineStr"/>
      <c r="AB2253" t="inlineStr"/>
      <c r="AC2253" t="inlineStr"/>
      <c r="AD2253" t="inlineStr"/>
      <c r="AE2253" t="inlineStr">
        <is>
          <t>{None hourly IHS}: 25/05/2026 22:13..0:46:59..FME Maxim is managing with level 0</t>
        </is>
      </c>
      <c r="AF2253" t="inlineStr"/>
      <c r="AG2253" t="inlineStr"/>
      <c r="AH2253" t="inlineStr"/>
      <c r="AI2253" t="inlineStr"/>
      <c r="AJ2253" t="inlineStr"/>
      <c r="AK2253" t="inlineStr"/>
      <c r="AL2253" t="inlineStr"/>
      <c r="AM2253" t="inlineStr"/>
      <c r="AN2253" t="inlineStr"/>
      <c r="AO2253" t="inlineStr"/>
      <c r="AP2253" t="inlineStr"/>
      <c r="AQ2253" t="inlineStr"/>
      <c r="AR2253" t="inlineStr"/>
    </row>
    <row r="2254">
      <c r="A2254" t="inlineStr">
        <is>
          <t>BIBA-MTN</t>
        </is>
      </c>
      <c r="B2254" t="inlineStr">
        <is>
          <t>CTR_304</t>
        </is>
      </c>
      <c r="C2254" t="inlineStr">
        <is>
          <t>CENTRE</t>
        </is>
      </c>
      <c r="D2254" t="inlineStr">
        <is>
          <t>IHS</t>
        </is>
      </c>
      <c r="E2254" t="inlineStr">
        <is>
          <t>Grid-Gen</t>
        </is>
      </c>
      <c r="F2254" t="inlineStr">
        <is>
          <t>CENTRE</t>
        </is>
      </c>
      <c r="G2254" t="inlineStr">
        <is>
          <t>Biba</t>
        </is>
      </c>
      <c r="H2254" t="inlineStr">
        <is>
          <t>ZTE</t>
        </is>
      </c>
      <c r="I2254" t="n">
        <v>0</v>
      </c>
      <c r="J2254" t="n">
        <v>0</v>
      </c>
      <c r="K2254" t="n">
        <v>0</v>
      </c>
      <c r="L2254" t="n">
        <v>0</v>
      </c>
      <c r="M2254" t="n">
        <v>0</v>
      </c>
      <c r="N2254" t="n">
        <v>0</v>
      </c>
      <c r="O2254" t="n">
        <v>0</v>
      </c>
      <c r="P2254" t="n">
        <v>0</v>
      </c>
      <c r="Q2254" t="n">
        <v>0</v>
      </c>
      <c r="R2254" t="inlineStr">
        <is>
          <t>Operationnel</t>
        </is>
      </c>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row>
    <row r="2255">
      <c r="A2255" t="inlineStr">
        <is>
          <t>Bambili-Round-About-IHS</t>
        </is>
      </c>
      <c r="B2255" t="inlineStr">
        <is>
          <t>NRO_068</t>
        </is>
      </c>
      <c r="C2255" t="inlineStr">
        <is>
          <t>NORD-OUEST</t>
        </is>
      </c>
      <c r="D2255" t="inlineStr">
        <is>
          <t>IHS</t>
        </is>
      </c>
      <c r="E2255" t="inlineStr">
        <is>
          <t>Grid-Gen</t>
        </is>
      </c>
      <c r="F2255" t="inlineStr">
        <is>
          <t>NORD-OUEST</t>
        </is>
      </c>
      <c r="G2255" t="inlineStr">
        <is>
          <t>Bamenda</t>
        </is>
      </c>
      <c r="H2255" t="inlineStr">
        <is>
          <t>Huawei</t>
        </is>
      </c>
      <c r="I2255" t="n">
        <v>0</v>
      </c>
      <c r="J2255" t="n">
        <v>0</v>
      </c>
      <c r="K2255" t="n">
        <v>0</v>
      </c>
      <c r="L2255" t="n">
        <v>0</v>
      </c>
      <c r="M2255" t="n">
        <v>0</v>
      </c>
      <c r="N2255" t="n">
        <v>0</v>
      </c>
      <c r="O2255" t="n">
        <v>0</v>
      </c>
      <c r="P2255" t="n">
        <v>0</v>
      </c>
      <c r="Q2255" t="n">
        <v>0</v>
      </c>
      <c r="R2255" t="inlineStr">
        <is>
          <t>Insecurity</t>
        </is>
      </c>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row>
    <row r="2256">
      <c r="A2256" t="inlineStr">
        <is>
          <t>Bokwai-IHS</t>
        </is>
      </c>
      <c r="B2256" t="inlineStr">
        <is>
          <t>SUO_197</t>
        </is>
      </c>
      <c r="C2256" t="inlineStr">
        <is>
          <t>SUD-OUEST</t>
        </is>
      </c>
      <c r="D2256" t="inlineStr">
        <is>
          <t>IHS</t>
        </is>
      </c>
      <c r="E2256" t="inlineStr">
        <is>
          <t>Grid-Gen</t>
        </is>
      </c>
      <c r="F2256" t="inlineStr">
        <is>
          <t>SUD-OUEST</t>
        </is>
      </c>
      <c r="G2256" t="inlineStr">
        <is>
          <t>Buea</t>
        </is>
      </c>
      <c r="H2256" t="inlineStr">
        <is>
          <t>Huawei</t>
        </is>
      </c>
      <c r="I2256" t="n">
        <v>0</v>
      </c>
      <c r="J2256" t="n">
        <v>0</v>
      </c>
      <c r="K2256" t="n">
        <v>0</v>
      </c>
      <c r="L2256" t="n">
        <v>0</v>
      </c>
      <c r="M2256" t="n">
        <v>0</v>
      </c>
      <c r="N2256" t="n">
        <v>0</v>
      </c>
      <c r="O2256" t="n">
        <v>0</v>
      </c>
      <c r="P2256" t="n">
        <v>0</v>
      </c>
      <c r="Q2256" t="n">
        <v>0</v>
      </c>
      <c r="R2256" t="inlineStr">
        <is>
          <t>Insecurity</t>
        </is>
      </c>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row>
    <row r="2257">
      <c r="A2257" t="inlineStr">
        <is>
          <t>Ekindi-MTN</t>
        </is>
      </c>
      <c r="B2257" t="inlineStr">
        <is>
          <t>SUO_045</t>
        </is>
      </c>
      <c r="C2257" t="inlineStr">
        <is>
          <t>SUD-OUEST</t>
        </is>
      </c>
      <c r="D2257" t="inlineStr">
        <is>
          <t>IHS</t>
        </is>
      </c>
      <c r="E2257" t="inlineStr">
        <is>
          <t>Grid-Gen</t>
        </is>
      </c>
      <c r="F2257" t="inlineStr">
        <is>
          <t>SUD-OUEST</t>
        </is>
      </c>
      <c r="G2257" t="inlineStr">
        <is>
          <t>Ekindi</t>
        </is>
      </c>
      <c r="H2257" t="inlineStr">
        <is>
          <t>NOKIA</t>
        </is>
      </c>
      <c r="I2257" t="n">
        <v>0</v>
      </c>
      <c r="J2257" t="n">
        <v>0</v>
      </c>
      <c r="K2257" t="n">
        <v>0</v>
      </c>
      <c r="L2257" t="n">
        <v>0</v>
      </c>
      <c r="M2257" t="n">
        <v>0</v>
      </c>
      <c r="N2257" t="n">
        <v>0</v>
      </c>
      <c r="O2257" t="n">
        <v>0</v>
      </c>
      <c r="P2257" t="n">
        <v>0</v>
      </c>
      <c r="Q2257" t="n">
        <v>0</v>
      </c>
      <c r="R2257" t="inlineStr">
        <is>
          <t>Insecurity</t>
        </is>
      </c>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row>
    <row r="2258">
      <c r="A2258" t="inlineStr">
        <is>
          <t>Bambalang</t>
        </is>
      </c>
      <c r="B2258" t="inlineStr">
        <is>
          <t>NRO_100</t>
        </is>
      </c>
      <c r="C2258" t="inlineStr">
        <is>
          <t>NORD-OUEST</t>
        </is>
      </c>
      <c r="D2258" t="inlineStr">
        <is>
          <t>IHS</t>
        </is>
      </c>
      <c r="E2258" t="inlineStr">
        <is>
          <t>Hybrid-Gen</t>
        </is>
      </c>
      <c r="F2258" t="inlineStr">
        <is>
          <t>NORD-OUEST</t>
        </is>
      </c>
      <c r="G2258" t="inlineStr">
        <is>
          <t>Bambalang</t>
        </is>
      </c>
      <c r="H2258" t="inlineStr">
        <is>
          <t>HUAWEI</t>
        </is>
      </c>
      <c r="I2258" t="n">
        <v>0</v>
      </c>
      <c r="J2258" t="n">
        <v>0</v>
      </c>
      <c r="K2258" t="n">
        <v>0</v>
      </c>
      <c r="L2258" t="n">
        <v>0</v>
      </c>
      <c r="M2258" t="n">
        <v>0</v>
      </c>
      <c r="N2258" t="n">
        <v>0</v>
      </c>
      <c r="O2258" t="n">
        <v>0</v>
      </c>
      <c r="P2258" t="n">
        <v>0</v>
      </c>
      <c r="Q2258" t="n">
        <v>0</v>
      </c>
      <c r="R2258" t="inlineStr">
        <is>
          <t>Insecurity</t>
        </is>
      </c>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row>
    <row r="2259">
      <c r="A2259" t="inlineStr">
        <is>
          <t>Tourou</t>
        </is>
      </c>
      <c r="B2259" t="inlineStr">
        <is>
          <t>EXN_231</t>
        </is>
      </c>
      <c r="C2259" t="inlineStr">
        <is>
          <t>EXTREME-NORD</t>
        </is>
      </c>
      <c r="D2259" t="inlineStr">
        <is>
          <t>CAMUSAT</t>
        </is>
      </c>
      <c r="E2259" t="inlineStr">
        <is>
          <t>Hybrid Solar - S3</t>
        </is>
      </c>
      <c r="F2259" t="inlineStr">
        <is>
          <t>EXTREME-NORD</t>
        </is>
      </c>
      <c r="G2259" t="inlineStr">
        <is>
          <t>Tourou</t>
        </is>
      </c>
      <c r="H2259" t="inlineStr">
        <is>
          <t>Huawei</t>
        </is>
      </c>
      <c r="I2259" t="n">
        <v>0</v>
      </c>
      <c r="J2259" t="n">
        <v>0</v>
      </c>
      <c r="K2259" t="n">
        <v>0</v>
      </c>
      <c r="L2259" t="n">
        <v>0</v>
      </c>
      <c r="M2259" t="n">
        <v>0</v>
      </c>
      <c r="N2259" t="n">
        <v>0</v>
      </c>
      <c r="O2259" t="n">
        <v>0</v>
      </c>
      <c r="P2259" t="n">
        <v>0</v>
      </c>
      <c r="Q2259" t="n">
        <v>0</v>
      </c>
      <c r="R2259" t="inlineStr">
        <is>
          <t>Insecurity</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row>
    <row r="2260">
      <c r="A2260" t="inlineStr">
        <is>
          <t>Ndoukoula</t>
        </is>
      </c>
      <c r="B2260" t="inlineStr">
        <is>
          <t>EXN_073</t>
        </is>
      </c>
      <c r="C2260" t="inlineStr">
        <is>
          <t>EXTREME-NORD</t>
        </is>
      </c>
      <c r="D2260" t="inlineStr">
        <is>
          <t>IHS</t>
        </is>
      </c>
      <c r="E2260" t="inlineStr">
        <is>
          <t>Hybrid-Gen</t>
        </is>
      </c>
      <c r="F2260" t="inlineStr">
        <is>
          <t>EXTREME-NORD</t>
        </is>
      </c>
      <c r="G2260" t="inlineStr">
        <is>
          <t>Ndoukoula</t>
        </is>
      </c>
      <c r="H2260" t="inlineStr">
        <is>
          <t>HUAWEI</t>
        </is>
      </c>
      <c r="I2260" t="n">
        <v>0</v>
      </c>
      <c r="J2260" t="n">
        <v>0</v>
      </c>
      <c r="K2260" t="n">
        <v>0</v>
      </c>
      <c r="L2260" t="n">
        <v>0</v>
      </c>
      <c r="M2260" t="n">
        <v>0</v>
      </c>
      <c r="N2260" t="n">
        <v>0</v>
      </c>
      <c r="O2260" t="n">
        <v>0</v>
      </c>
      <c r="P2260" t="n">
        <v>0</v>
      </c>
      <c r="Q2260" t="n">
        <v>0</v>
      </c>
      <c r="R2260" t="inlineStr">
        <is>
          <t>Insecurity</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row>
    <row r="2261">
      <c r="A2261" t="inlineStr">
        <is>
          <t>Kay-Kay</t>
        </is>
      </c>
      <c r="B2261" t="inlineStr">
        <is>
          <t>EXN_050</t>
        </is>
      </c>
      <c r="C2261" t="inlineStr">
        <is>
          <t>EXTREME-NORD</t>
        </is>
      </c>
      <c r="D2261" t="inlineStr">
        <is>
          <t>IHS</t>
        </is>
      </c>
      <c r="E2261" t="inlineStr">
        <is>
          <t>Solar-Gen</t>
        </is>
      </c>
      <c r="F2261" t="inlineStr">
        <is>
          <t>EXTREME-NORD</t>
        </is>
      </c>
      <c r="G2261" t="inlineStr">
        <is>
          <t>Kay-Kay</t>
        </is>
      </c>
      <c r="H2261" t="inlineStr">
        <is>
          <t>HUAWEI</t>
        </is>
      </c>
      <c r="I2261" t="n">
        <v>0</v>
      </c>
      <c r="J2261" t="n">
        <v>0</v>
      </c>
      <c r="K2261" t="n">
        <v>0</v>
      </c>
      <c r="L2261" t="n">
        <v>0</v>
      </c>
      <c r="M2261" t="n">
        <v>0</v>
      </c>
      <c r="N2261" t="n">
        <v>0</v>
      </c>
      <c r="O2261" t="n">
        <v>0</v>
      </c>
      <c r="P2261" t="n">
        <v>0</v>
      </c>
      <c r="Q2261" t="n">
        <v>0</v>
      </c>
      <c r="R2261" t="inlineStr">
        <is>
          <t>Insecurity</t>
        </is>
      </c>
      <c r="S2261" t="inlineStr"/>
      <c r="T2261" t="inlineStr"/>
      <c r="U2261" t="inlineStr"/>
      <c r="V2261" t="inlineStr"/>
      <c r="W2261" t="inlineStr"/>
      <c r="X2261" t="inlineStr">
        <is>
          <t>{None hourly IHS}: 25/05/2026 16:13..1:06:05..Grid outage, no space to deploy MDG, awaiting grid return     ;    {05-25-2026 ocm ran 22H}: 25.05.26: IHS: FME is informed and managing      ;    {05-25-2026 ocm ran 17H}: Power status check Ongoing</t>
        </is>
      </c>
      <c r="Y2261" t="inlineStr">
        <is>
          <t>25/05/2026 16 13.1 06 05.Grid outage, no space to deploy MDG, awaiting grid return 25.05.26 IHS FME is informed and managing</t>
        </is>
      </c>
      <c r="Z2261" t="inlineStr"/>
      <c r="AA2261" t="inlineStr"/>
      <c r="AB2261" t="inlineStr"/>
      <c r="AC2261" t="inlineStr"/>
      <c r="AD2261" t="inlineStr"/>
      <c r="AE2261" t="inlineStr">
        <is>
          <t>{None hourly IHS}: 25/05/2026 16:13..1:06:05..Grid outage, no space to deploy MDG, awaiting grid return</t>
        </is>
      </c>
      <c r="AF2261" t="inlineStr"/>
      <c r="AG2261" t="inlineStr"/>
      <c r="AH2261" t="inlineStr"/>
      <c r="AI2261" t="inlineStr"/>
      <c r="AJ2261" t="inlineStr"/>
      <c r="AK2261" t="inlineStr"/>
      <c r="AL2261" t="inlineStr"/>
      <c r="AM2261" t="inlineStr"/>
      <c r="AN2261" t="inlineStr"/>
      <c r="AO2261" t="inlineStr">
        <is>
          <t xml:space="preserve">{05-25-2026 ocm ran 22H}: 25.05.26: IHS: FME is informed and managing </t>
        </is>
      </c>
      <c r="AP2261" t="inlineStr">
        <is>
          <t>{05-25-2026 ocm ran 17H}: Power status check Ongoing</t>
        </is>
      </c>
      <c r="AQ2261" t="inlineStr"/>
      <c r="AR2261" t="inlineStr"/>
    </row>
    <row r="2262">
      <c r="A2262" t="inlineStr">
        <is>
          <t>Doreissou-IHS</t>
        </is>
      </c>
      <c r="B2262" t="inlineStr">
        <is>
          <t>EXN_118</t>
        </is>
      </c>
      <c r="C2262" t="inlineStr">
        <is>
          <t>EXTREME-NORD</t>
        </is>
      </c>
      <c r="D2262" t="inlineStr">
        <is>
          <t>IHS</t>
        </is>
      </c>
      <c r="E2262" t="inlineStr">
        <is>
          <t>Hybrid-Gen</t>
        </is>
      </c>
      <c r="F2262" t="inlineStr">
        <is>
          <t>EXTREME-NORD</t>
        </is>
      </c>
      <c r="G2262" t="inlineStr">
        <is>
          <t>Doreissou</t>
        </is>
      </c>
      <c r="H2262" t="inlineStr">
        <is>
          <t>Huawei</t>
        </is>
      </c>
      <c r="I2262" t="n">
        <v>0</v>
      </c>
      <c r="J2262" t="n">
        <v>0</v>
      </c>
      <c r="K2262" t="n">
        <v>0</v>
      </c>
      <c r="L2262" t="n">
        <v>0</v>
      </c>
      <c r="M2262" t="n">
        <v>0</v>
      </c>
      <c r="N2262" t="n">
        <v>0</v>
      </c>
      <c r="O2262" t="n">
        <v>0</v>
      </c>
      <c r="P2262" t="n">
        <v>0</v>
      </c>
      <c r="Q2262" t="n">
        <v>0</v>
      </c>
      <c r="R2262" t="inlineStr">
        <is>
          <t>Insecurity</t>
        </is>
      </c>
      <c r="S2262" t="inlineStr"/>
      <c r="T2262" t="inlineStr"/>
      <c r="U2262" t="inlineStr"/>
      <c r="V2262" t="inlineStr"/>
      <c r="W2262" t="inlineStr"/>
      <c r="X2262" t="inlineStr">
        <is>
          <t>{None hourly IHS}: 25-05-2026 15:21:46..7:38:14..FME Severin is managing with level 0     ;    {05-25-2026 ocm ran 22H}: P1 Incident at EXN_074_H_Dziguilao; Power issue; IHS     ;    {05-25-2026 ocm ran 17H}: P1 Incident at EXN_074_H_Dziguilao; Power issue; IHS</t>
        </is>
      </c>
      <c r="Y2262" t="inlineStr">
        <is>
          <t>25-05-2026 15 21 46.7 38 14.FME Severin is managing with level 0 P1 Incident at EXN_074_H_Dziguilao; Power issue; IHS P1 Incident at EXN_074_H_Dziguilao; Power issue; IHS</t>
        </is>
      </c>
      <c r="Z2262" t="inlineStr"/>
      <c r="AA2262" t="inlineStr"/>
      <c r="AB2262" t="inlineStr"/>
      <c r="AC2262" t="inlineStr"/>
      <c r="AD2262" t="inlineStr"/>
      <c r="AE2262" t="inlineStr">
        <is>
          <t>{None hourly IHS}: 25-05-2026 15:21:46..7:38:14..FME Severin is managing with level 0</t>
        </is>
      </c>
      <c r="AF2262" t="inlineStr"/>
      <c r="AG2262" t="inlineStr"/>
      <c r="AH2262" t="inlineStr"/>
      <c r="AI2262" t="inlineStr"/>
      <c r="AJ2262" t="inlineStr"/>
      <c r="AK2262" t="inlineStr"/>
      <c r="AL2262" t="inlineStr"/>
      <c r="AM2262" t="inlineStr"/>
      <c r="AN2262" t="inlineStr"/>
      <c r="AO2262" t="inlineStr">
        <is>
          <t>{05-25-2026 ocm ran 22H}: P1 Incident at EXN_074_H_Dziguilao; Power issue; IHS</t>
        </is>
      </c>
      <c r="AP2262" t="inlineStr">
        <is>
          <t>{05-25-2026 ocm ran 17H}: P1 Incident at EXN_074_H_Dziguilao; Power issue; IHS</t>
        </is>
      </c>
      <c r="AQ2262" t="inlineStr"/>
      <c r="AR2262" t="inlineStr"/>
    </row>
    <row r="2263">
      <c r="A2263" t="inlineStr">
        <is>
          <t>Guirvidig</t>
        </is>
      </c>
      <c r="B2263" t="inlineStr">
        <is>
          <t>EXN_098</t>
        </is>
      </c>
      <c r="C2263" t="inlineStr">
        <is>
          <t>EXTREME-NORD</t>
        </is>
      </c>
      <c r="D2263" t="inlineStr">
        <is>
          <t>IHS</t>
        </is>
      </c>
      <c r="E2263" t="inlineStr">
        <is>
          <t>Grid-Gen</t>
        </is>
      </c>
      <c r="F2263" t="inlineStr">
        <is>
          <t>EXTREME-NORD</t>
        </is>
      </c>
      <c r="G2263" t="inlineStr">
        <is>
          <t>Guirvidig</t>
        </is>
      </c>
      <c r="H2263" t="inlineStr">
        <is>
          <t>HUAWEI</t>
        </is>
      </c>
      <c r="I2263" t="n">
        <v>0</v>
      </c>
      <c r="J2263" t="n">
        <v>0</v>
      </c>
      <c r="K2263" t="n">
        <v>0</v>
      </c>
      <c r="L2263" t="n">
        <v>0</v>
      </c>
      <c r="M2263" t="n">
        <v>0</v>
      </c>
      <c r="N2263" t="n">
        <v>0</v>
      </c>
      <c r="O2263" t="n">
        <v>0</v>
      </c>
      <c r="P2263" t="n">
        <v>0</v>
      </c>
      <c r="Q2263" t="n">
        <v>0</v>
      </c>
      <c r="R2263" t="inlineStr">
        <is>
          <t>Insecurity</t>
        </is>
      </c>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row>
    <row r="2264">
      <c r="A2264" t="inlineStr">
        <is>
          <t>Baligam</t>
        </is>
      </c>
      <c r="B2264" t="inlineStr">
        <is>
          <t>OST_283</t>
        </is>
      </c>
      <c r="C2264" t="inlineStr">
        <is>
          <t>OUEST</t>
        </is>
      </c>
      <c r="D2264" t="inlineStr">
        <is>
          <t>ESCO</t>
        </is>
      </c>
      <c r="E2264" t="inlineStr">
        <is>
          <t>Hybrid solar - S3</t>
        </is>
      </c>
      <c r="F2264" t="inlineStr">
        <is>
          <t>OUEST</t>
        </is>
      </c>
      <c r="G2264" t="inlineStr">
        <is>
          <t>Galim</t>
        </is>
      </c>
      <c r="H2264" t="inlineStr">
        <is>
          <t>HUAWEI</t>
        </is>
      </c>
      <c r="I2264" t="n">
        <v>0</v>
      </c>
      <c r="J2264" t="n">
        <v>0</v>
      </c>
      <c r="K2264" t="n">
        <v>0</v>
      </c>
      <c r="L2264" t="n">
        <v>0</v>
      </c>
      <c r="M2264" t="n">
        <v>0</v>
      </c>
      <c r="N2264" t="n">
        <v>0</v>
      </c>
      <c r="O2264" t="n">
        <v>0</v>
      </c>
      <c r="P2264" t="n">
        <v>0</v>
      </c>
      <c r="Q2264" t="n">
        <v>0</v>
      </c>
      <c r="R2264" t="inlineStr">
        <is>
          <t>Insecurity</t>
        </is>
      </c>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row>
    <row r="2265">
      <c r="A2265" t="inlineStr">
        <is>
          <t>Tekele</t>
        </is>
      </c>
      <c r="B2265" t="inlineStr">
        <is>
          <t>EXN_230</t>
        </is>
      </c>
      <c r="C2265" t="inlineStr">
        <is>
          <t>EXTREME-NORD</t>
        </is>
      </c>
      <c r="D2265" t="inlineStr">
        <is>
          <t>CAMUSAT</t>
        </is>
      </c>
      <c r="E2265" t="inlineStr">
        <is>
          <t>Hybrid Solar - S3</t>
        </is>
      </c>
      <c r="F2265" t="inlineStr">
        <is>
          <t>EXTREME-NORD</t>
        </is>
      </c>
      <c r="G2265" t="inlineStr">
        <is>
          <t>Tekele</t>
        </is>
      </c>
      <c r="H2265" t="inlineStr">
        <is>
          <t>HUAWEI</t>
        </is>
      </c>
      <c r="I2265" t="n">
        <v>0</v>
      </c>
      <c r="J2265" t="n">
        <v>0</v>
      </c>
      <c r="K2265" t="n">
        <v>0</v>
      </c>
      <c r="L2265" t="n">
        <v>0</v>
      </c>
      <c r="M2265" t="n">
        <v>0</v>
      </c>
      <c r="N2265" t="n">
        <v>0</v>
      </c>
      <c r="O2265" t="n">
        <v>0</v>
      </c>
      <c r="P2265" t="n">
        <v>0</v>
      </c>
      <c r="Q2265" t="n">
        <v>0</v>
      </c>
      <c r="R2265" t="inlineStr">
        <is>
          <t>Insecurity</t>
        </is>
      </c>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row>
    <row r="2266">
      <c r="A2266" t="inlineStr">
        <is>
          <t>Torock-IHS</t>
        </is>
      </c>
      <c r="B2266" t="inlineStr">
        <is>
          <t>EXN_178</t>
        </is>
      </c>
      <c r="C2266" t="inlineStr">
        <is>
          <t>EXTREME-NORD</t>
        </is>
      </c>
      <c r="D2266" t="inlineStr">
        <is>
          <t>IHS</t>
        </is>
      </c>
      <c r="E2266" t="inlineStr">
        <is>
          <t>Solar-Grid-Gen</t>
        </is>
      </c>
      <c r="F2266" t="inlineStr">
        <is>
          <t>EXTREME-NORD</t>
        </is>
      </c>
      <c r="G2266" t="inlineStr">
        <is>
          <t>Torock</t>
        </is>
      </c>
      <c r="H2266" t="inlineStr">
        <is>
          <t>HUAWEI</t>
        </is>
      </c>
      <c r="I2266" t="n">
        <v>0</v>
      </c>
      <c r="J2266" t="n">
        <v>0</v>
      </c>
      <c r="K2266" t="n">
        <v>0</v>
      </c>
      <c r="L2266" t="n">
        <v>0</v>
      </c>
      <c r="M2266" t="n">
        <v>0</v>
      </c>
      <c r="N2266" t="n">
        <v>0</v>
      </c>
      <c r="O2266" t="n">
        <v>0</v>
      </c>
      <c r="P2266" t="n">
        <v>0</v>
      </c>
      <c r="Q2266" t="n">
        <v>0</v>
      </c>
      <c r="R2266" t="inlineStr">
        <is>
          <t>Insecurity</t>
        </is>
      </c>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row>
    <row r="2267">
      <c r="A2267" t="inlineStr">
        <is>
          <t>Ilor-MTN</t>
        </is>
      </c>
      <c r="B2267" t="inlineStr">
        <is>
          <t>SUO_046</t>
        </is>
      </c>
      <c r="C2267" t="inlineStr">
        <is>
          <t>SUD-OUEST</t>
        </is>
      </c>
      <c r="D2267" t="inlineStr">
        <is>
          <t>IHS</t>
        </is>
      </c>
      <c r="E2267" t="inlineStr">
        <is>
          <t>Gen Only</t>
        </is>
      </c>
      <c r="F2267" t="inlineStr">
        <is>
          <t>SUD-OUEST</t>
        </is>
      </c>
      <c r="G2267" t="inlineStr">
        <is>
          <t>Ilor</t>
        </is>
      </c>
      <c r="H2267" t="inlineStr">
        <is>
          <t>HUAWEI</t>
        </is>
      </c>
      <c r="I2267" t="n">
        <v>0</v>
      </c>
      <c r="J2267" t="n">
        <v>0</v>
      </c>
      <c r="K2267" t="n">
        <v>0</v>
      </c>
      <c r="L2267" t="n">
        <v>0</v>
      </c>
      <c r="M2267" t="n">
        <v>0</v>
      </c>
      <c r="N2267" t="n">
        <v>0</v>
      </c>
      <c r="O2267" t="n">
        <v>0</v>
      </c>
      <c r="P2267" t="n">
        <v>0</v>
      </c>
      <c r="Q2267" t="n">
        <v>0</v>
      </c>
      <c r="R2267" t="inlineStr">
        <is>
          <t>Insecurity</t>
        </is>
      </c>
      <c r="S2267" t="inlineStr"/>
      <c r="T2267" t="inlineStr"/>
      <c r="U2267" t="inlineStr"/>
      <c r="V2267" t="inlineStr"/>
      <c r="W2267" t="inlineStr"/>
      <c r="X2267" t="inlineStr">
        <is>
          <t>{05-25-2026 ocm ran 22H}: Impacted by SUO_043_H_Loe MTN (TX issue)     ;    {05-25-2026 ocm ran 17H}: Impacted by SUO_043_H_Loe MTN (TX issue)</t>
        </is>
      </c>
      <c r="Y2267" t="inlineStr">
        <is>
          <t>Impacted by SUO_043_H_Loe MTN (TX issue) Impacted by SUO_043_H_Loe MTN (TX issue)</t>
        </is>
      </c>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{05-25-2026 ocm ran 22H}: Impacted by SUO_043_H_Loe MTN (TX issue)</t>
        </is>
      </c>
      <c r="AP2267" t="inlineStr">
        <is>
          <t>{05-25-2026 ocm ran 17H}: Impacted by SUO_043_H_Loe MTN (TX issue)</t>
        </is>
      </c>
      <c r="AQ2267" t="inlineStr"/>
      <c r="AR2267" t="inlineStr"/>
    </row>
    <row r="2268">
      <c r="A2268" t="inlineStr">
        <is>
          <t>Kumbo</t>
        </is>
      </c>
      <c r="B2268" t="inlineStr">
        <is>
          <t>NRO_037</t>
        </is>
      </c>
      <c r="C2268" t="inlineStr">
        <is>
          <t>NORD-OUEST</t>
        </is>
      </c>
      <c r="D2268" t="inlineStr">
        <is>
          <t>CAMUSAT</t>
        </is>
      </c>
      <c r="E2268" t="inlineStr">
        <is>
          <t>Medium Grid + Solar + GE</t>
        </is>
      </c>
      <c r="F2268" t="inlineStr">
        <is>
          <t>NORD-OUEST</t>
        </is>
      </c>
      <c r="G2268" t="inlineStr">
        <is>
          <t>Kumbo</t>
        </is>
      </c>
      <c r="H2268" t="inlineStr">
        <is>
          <t>Huawei</t>
        </is>
      </c>
      <c r="I2268" t="n">
        <v>0</v>
      </c>
      <c r="J2268" t="n">
        <v>0</v>
      </c>
      <c r="K2268" t="n">
        <v>0</v>
      </c>
      <c r="L2268" t="n">
        <v>0</v>
      </c>
      <c r="M2268" t="n">
        <v>0</v>
      </c>
      <c r="N2268" t="n">
        <v>0</v>
      </c>
      <c r="O2268" t="n">
        <v>0</v>
      </c>
      <c r="P2268" t="n">
        <v>0</v>
      </c>
      <c r="Q2268" t="n">
        <v>0</v>
      </c>
      <c r="R2268" t="inlineStr">
        <is>
          <t>Insecurity</t>
        </is>
      </c>
      <c r="S2268" t="inlineStr"/>
      <c r="T2268" t="inlineStr"/>
      <c r="U2268" t="inlineStr"/>
      <c r="V2268" t="inlineStr"/>
      <c r="W2268" t="inlineStr"/>
      <c r="X2268" t="inlineStr">
        <is>
          <t>{05/25/2026 cell huawei}: 25/05/2026 : Besoin d'analyse BO RAN || Fme should check SFP , Optical fibre status between BBU and RRU 60&amp;80 || Ghost town     ;    {05/25/2026 cell huawei}: 25/05/2026 : Besoin d'analyse BO RAN || Fme should check SFP , Optical fibre status between BBU and RRU 60&amp;80 || Ghost town</t>
        </is>
      </c>
      <c r="Y2268" t="inlineStr">
        <is>
          <t>25/05/2026 Besoin d'analyse BO RAN || Fme should check SFP , Optical fibre status between BBU and RRU 60&amp;80 || Ghost town 25/05/2026 Besoin d'analyse BO RAN || Fme should check SFP , Optical fibre status between BBU and RRU 60&amp;80 || Ghost town</t>
        </is>
      </c>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is>
          <t>{05/25/2026 cell huawei}: 25/05/2026 : Besoin d'analyse BO RAN || Fme should check SFP , Optical fibre status between BBU and RRU 60&amp;80 || Ghost town</t>
        </is>
      </c>
      <c r="AN2268" t="inlineStr">
        <is>
          <t>{05/25/2026 cell huawei}: 25/05/2026 : Besoin d'analyse BO RAN || Fme should check SFP , Optical fibre status between BBU and RRU 60&amp;80 || Ghost town</t>
        </is>
      </c>
      <c r="AO2268" t="inlineStr"/>
      <c r="AP2268" t="inlineStr"/>
      <c r="AQ2268" t="inlineStr"/>
      <c r="AR2268" t="inlineStr"/>
    </row>
    <row r="2269">
      <c r="A2269" t="inlineStr">
        <is>
          <t>NEW-Bonako</t>
        </is>
      </c>
      <c r="B2269" t="inlineStr">
        <is>
          <t>SUO_157</t>
        </is>
      </c>
      <c r="C2269" t="inlineStr">
        <is>
          <t>SUD-OUEST</t>
        </is>
      </c>
      <c r="D2269" t="inlineStr">
        <is>
          <t>IHS</t>
        </is>
      </c>
      <c r="E2269" t="inlineStr">
        <is>
          <t>Grid-Gen</t>
        </is>
      </c>
      <c r="F2269" t="inlineStr">
        <is>
          <t>SUD-OUEST</t>
        </is>
      </c>
      <c r="G2269" t="inlineStr">
        <is>
          <t>Tiko</t>
        </is>
      </c>
      <c r="H2269" t="inlineStr">
        <is>
          <t>HUAWEI</t>
        </is>
      </c>
      <c r="I2269" t="n">
        <v>0</v>
      </c>
      <c r="J2269" t="n">
        <v>0</v>
      </c>
      <c r="K2269" t="n">
        <v>0</v>
      </c>
      <c r="L2269" t="n">
        <v>0</v>
      </c>
      <c r="M2269" t="n">
        <v>0</v>
      </c>
      <c r="N2269" t="n">
        <v>0</v>
      </c>
      <c r="O2269" t="n">
        <v>0</v>
      </c>
      <c r="P2269" t="n">
        <v>0</v>
      </c>
      <c r="Q2269" t="n">
        <v>0</v>
      </c>
      <c r="R2269" t="inlineStr">
        <is>
          <t>Insecurity</t>
        </is>
      </c>
      <c r="S2269" t="inlineStr"/>
      <c r="T2269" t="inlineStr"/>
      <c r="U2269" t="inlineStr"/>
      <c r="V2269" t="inlineStr"/>
      <c r="W2269" t="inlineStr"/>
      <c r="X2269" t="inlineStr">
        <is>
          <t>{None hourly IHS}: 25/05/2026 03:40..19:19:31..FME is managing with level 0     ;    {05-25-2026 ocm ran 22H}: 25.05.26: IHS: 43.1 V : FME is informed and will manage in the morning, Insecurity area.     ;    {05-25-2026 ocm ran 17H}: 25.05.26: IHS: 43.1 V : FME is informed and will manage in the morning, Insecurity area.     ;    {05-25-2026 ticket}: INC-20260525-00002623..FME is informed and will manage in the morning, Insecurity area...Rectifier issue on site...Grid Outage..user:DRAME IMOURANA</t>
        </is>
      </c>
      <c r="Y2269" t="inlineStr">
        <is>
          <t>25/05/2026 03 40.19 19 31.FME is managing with level 0 25.05.26 IHS 43.1 V FME is informed and will manage in the morning, Insecurity area. 25.05.26 IHS 43.1 V FME is informed and will manage in the morning, Insecurity area. .FME is informed and will manage in the morning, Insecurity area.Rectifier issue on site.Grid Outage.user DRAME IMOURANA</t>
        </is>
      </c>
      <c r="Z2269" t="inlineStr"/>
      <c r="AA2269" t="inlineStr"/>
      <c r="AB2269" t="inlineStr"/>
      <c r="AC2269" t="inlineStr"/>
      <c r="AD2269" t="inlineStr"/>
      <c r="AE2269" t="inlineStr">
        <is>
          <t>{None hourly IHS}: 25/05/2026 03:40..19:19:31..FME is managing with level 0</t>
        </is>
      </c>
      <c r="AF2269" t="inlineStr"/>
      <c r="AG2269" t="inlineStr"/>
      <c r="AH2269" t="inlineStr"/>
      <c r="AI2269" t="inlineStr"/>
      <c r="AJ2269" t="inlineStr"/>
      <c r="AK2269" t="inlineStr"/>
      <c r="AL2269" t="inlineStr"/>
      <c r="AM2269" t="inlineStr"/>
      <c r="AN2269" t="inlineStr"/>
      <c r="AO2269" t="inlineStr">
        <is>
          <t>{05-25-2026 ocm ran 22H}: 25.05.26: IHS: 43.1 V : FME is informed and will manage in the morning, Insecurity area.</t>
        </is>
      </c>
      <c r="AP2269" t="inlineStr">
        <is>
          <t>{05-25-2026 ocm ran 17H}: 25.05.26: IHS: 43.1 V : FME is informed and will manage in the morning, Insecurity area.</t>
        </is>
      </c>
      <c r="AQ2269" t="inlineStr">
        <is>
          <t>{05-25-2026 ticket}: INC-20260525-00002623..FME is informed and will manage in the morning, Insecurity area...Rectifier issue on site...Grid Outage..user:DRAME IMOURANA</t>
        </is>
      </c>
      <c r="AR2269" t="inlineStr"/>
    </row>
    <row r="2270">
      <c r="A2270" t="inlineStr">
        <is>
          <t>Wotutu-IHS</t>
        </is>
      </c>
      <c r="B2270" t="inlineStr">
        <is>
          <t>SUO_127</t>
        </is>
      </c>
      <c r="C2270" t="inlineStr">
        <is>
          <t>SUD-OUEST</t>
        </is>
      </c>
      <c r="D2270" t="inlineStr">
        <is>
          <t>IHS</t>
        </is>
      </c>
      <c r="E2270" t="inlineStr">
        <is>
          <t>Grid-Gen</t>
        </is>
      </c>
      <c r="F2270" t="inlineStr">
        <is>
          <t>SUD-OUEST</t>
        </is>
      </c>
      <c r="G2270" t="inlineStr">
        <is>
          <t>Wotutu</t>
        </is>
      </c>
      <c r="H2270" t="inlineStr">
        <is>
          <t>HUAWEI</t>
        </is>
      </c>
      <c r="I2270" t="n">
        <v>0</v>
      </c>
      <c r="J2270" t="n">
        <v>0</v>
      </c>
      <c r="K2270" t="n">
        <v>0</v>
      </c>
      <c r="L2270" t="n">
        <v>0</v>
      </c>
      <c r="M2270" t="n">
        <v>0</v>
      </c>
      <c r="N2270" t="n">
        <v>0</v>
      </c>
      <c r="O2270" t="n">
        <v>0</v>
      </c>
      <c r="P2270" t="n">
        <v>0</v>
      </c>
      <c r="Q2270" t="n">
        <v>0</v>
      </c>
      <c r="R2270" t="inlineStr">
        <is>
          <t>Insecurity</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row>
    <row r="2271">
      <c r="A2271" t="inlineStr">
        <is>
          <t>Sedek</t>
        </is>
      </c>
      <c r="B2271" t="inlineStr">
        <is>
          <t>EXN_218</t>
        </is>
      </c>
      <c r="C2271" t="inlineStr">
        <is>
          <t>EXTREME-NORD</t>
        </is>
      </c>
      <c r="D2271" t="inlineStr">
        <is>
          <t>IHS</t>
        </is>
      </c>
      <c r="E2271" t="inlineStr">
        <is>
          <t>Hybrid-Gen</t>
        </is>
      </c>
      <c r="F2271" t="inlineStr">
        <is>
          <t>EXTREME-NORD</t>
        </is>
      </c>
      <c r="G2271" t="inlineStr">
        <is>
          <t>Sedek</t>
        </is>
      </c>
      <c r="H2271" t="inlineStr">
        <is>
          <t>HUAWEI</t>
        </is>
      </c>
      <c r="I2271" t="n">
        <v>0</v>
      </c>
      <c r="J2271" t="n">
        <v>0</v>
      </c>
      <c r="K2271" t="n">
        <v>0</v>
      </c>
      <c r="L2271" t="n">
        <v>0</v>
      </c>
      <c r="M2271" t="n">
        <v>0</v>
      </c>
      <c r="N2271" t="n">
        <v>0</v>
      </c>
      <c r="O2271" t="n">
        <v>0</v>
      </c>
      <c r="P2271" t="n">
        <v>0</v>
      </c>
      <c r="Q2271" t="n">
        <v>0</v>
      </c>
      <c r="R2271" t="inlineStr">
        <is>
          <t>Insecurity</t>
        </is>
      </c>
      <c r="S2271" t="inlineStr"/>
      <c r="T2271" t="inlineStr"/>
      <c r="U2271" t="inlineStr"/>
      <c r="V2271" t="inlineStr"/>
      <c r="W2271" t="inlineStr"/>
      <c r="X2271" t="inlineStr">
        <is>
          <t>{None hourly IHS}: 25-05-2026 14:21:46..8:38:14..FME Romaric is managing with level 0     ;    {05-25-2026 ocm ran 22H}: P1 Incident at EXN_074_H_Dziguilao; Power issue; IHS     ;    {05-25-2026 ocm ran 17H}: P1 Incident at EXN_074_H_Dziguilao; Power issue; IHS</t>
        </is>
      </c>
      <c r="Y2271" t="inlineStr">
        <is>
          <t>25-05-2026 14 21 46.8 38 14.FME Romaric is managing with level 0 P1 Incident at EXN_074_H_Dziguilao; Power issue; IHS P1 Incident at EXN_074_H_Dziguilao; Power issue; IHS</t>
        </is>
      </c>
      <c r="Z2271" t="inlineStr"/>
      <c r="AA2271" t="inlineStr"/>
      <c r="AB2271" t="inlineStr"/>
      <c r="AC2271" t="inlineStr"/>
      <c r="AD2271" t="inlineStr"/>
      <c r="AE2271" t="inlineStr">
        <is>
          <t>{None hourly IHS}: 25-05-2026 14:21:46..8:38:14..FME Romaric is managing with level 0</t>
        </is>
      </c>
      <c r="AF2271" t="inlineStr"/>
      <c r="AG2271" t="inlineStr"/>
      <c r="AH2271" t="inlineStr"/>
      <c r="AI2271" t="inlineStr"/>
      <c r="AJ2271" t="inlineStr"/>
      <c r="AK2271" t="inlineStr"/>
      <c r="AL2271" t="inlineStr"/>
      <c r="AM2271" t="inlineStr"/>
      <c r="AN2271" t="inlineStr"/>
      <c r="AO2271" t="inlineStr">
        <is>
          <t>{05-25-2026 ocm ran 22H}: P1 Incident at EXN_074_H_Dziguilao; Power issue; IHS</t>
        </is>
      </c>
      <c r="AP2271" t="inlineStr">
        <is>
          <t>{05-25-2026 ocm ran 17H}: P1 Incident at EXN_074_H_Dziguilao; Power issue; IHS</t>
        </is>
      </c>
      <c r="AQ2271" t="inlineStr"/>
      <c r="AR2271" t="inlineStr"/>
    </row>
    <row r="2272">
      <c r="A2272" t="inlineStr">
        <is>
          <t>Gabarairou</t>
        </is>
      </c>
      <c r="B2272" t="inlineStr">
        <is>
          <t>EXN_210</t>
        </is>
      </c>
      <c r="C2272" t="inlineStr">
        <is>
          <t>EXTREME-NORD</t>
        </is>
      </c>
      <c r="D2272" t="inlineStr">
        <is>
          <t>IHS</t>
        </is>
      </c>
      <c r="E2272" t="inlineStr">
        <is>
          <t>Hybrid-Gen</t>
        </is>
      </c>
      <c r="F2272" t="inlineStr">
        <is>
          <t>EXTREME-NORD</t>
        </is>
      </c>
      <c r="G2272" t="inlineStr">
        <is>
          <t>Moulvoudaye</t>
        </is>
      </c>
      <c r="H2272" t="inlineStr">
        <is>
          <t>HUAWEI</t>
        </is>
      </c>
      <c r="I2272" t="n">
        <v>0</v>
      </c>
      <c r="J2272" t="n">
        <v>0</v>
      </c>
      <c r="K2272" t="n">
        <v>0</v>
      </c>
      <c r="L2272" t="n">
        <v>0</v>
      </c>
      <c r="M2272" t="n">
        <v>0</v>
      </c>
      <c r="N2272" t="n">
        <v>0</v>
      </c>
      <c r="O2272" t="n">
        <v>0</v>
      </c>
      <c r="P2272" t="n">
        <v>0</v>
      </c>
      <c r="Q2272" t="n">
        <v>0</v>
      </c>
      <c r="R2272" t="inlineStr">
        <is>
          <t>Insecurity</t>
        </is>
      </c>
      <c r="S2272" t="inlineStr"/>
      <c r="T2272" t="inlineStr"/>
      <c r="U2272" t="inlineStr"/>
      <c r="V2272" t="inlineStr"/>
      <c r="W2272" t="inlineStr"/>
      <c r="X2272" t="inlineStr">
        <is>
          <t>{None hourly IHS}: 25-05-2026 18:24:09..4:35:51..FME Romaric is managing with level 0     ;    {05-25-2026 ocm ran 22H}: 25.05.26: BO TX analysis ongoing</t>
        </is>
      </c>
      <c r="Y2272" t="inlineStr">
        <is>
          <t>25-05-2026 18 24 09.4 35 51.FME Romaric is managing with level 0 25.05.26 BO TX analysis ongoing</t>
        </is>
      </c>
      <c r="Z2272" t="inlineStr"/>
      <c r="AA2272" t="inlineStr"/>
      <c r="AB2272" t="inlineStr"/>
      <c r="AC2272" t="inlineStr"/>
      <c r="AD2272" t="inlineStr"/>
      <c r="AE2272" t="inlineStr">
        <is>
          <t>{None hourly IHS}: 25-05-2026 18:24:09..4:35:51..FME Romaric is managing with level 0</t>
        </is>
      </c>
      <c r="AF2272" t="inlineStr"/>
      <c r="AG2272" t="inlineStr"/>
      <c r="AH2272" t="inlineStr"/>
      <c r="AI2272" t="inlineStr"/>
      <c r="AJ2272" t="inlineStr"/>
      <c r="AK2272" t="inlineStr"/>
      <c r="AL2272" t="inlineStr"/>
      <c r="AM2272" t="inlineStr"/>
      <c r="AN2272" t="inlineStr"/>
      <c r="AO2272" t="inlineStr">
        <is>
          <t>{05-25-2026 ocm ran 22H}: 25.05.26: BO TX analysis ongoing</t>
        </is>
      </c>
      <c r="AP2272" t="inlineStr"/>
      <c r="AQ2272" t="inlineStr"/>
      <c r="AR2272" t="inlineStr"/>
    </row>
    <row r="2273">
      <c r="A2273" t="inlineStr">
        <is>
          <t>Moulvouday</t>
        </is>
      </c>
      <c r="B2273" t="inlineStr">
        <is>
          <t>EXN_038</t>
        </is>
      </c>
      <c r="C2273" t="inlineStr">
        <is>
          <t>EXTREME-NORD</t>
        </is>
      </c>
      <c r="D2273" t="inlineStr">
        <is>
          <t>IHS</t>
        </is>
      </c>
      <c r="E2273" t="inlineStr">
        <is>
          <t>Solar-Gen</t>
        </is>
      </c>
      <c r="F2273" t="inlineStr">
        <is>
          <t>EXTREME-NORD</t>
        </is>
      </c>
      <c r="G2273" t="inlineStr">
        <is>
          <t>Moulvoudaye</t>
        </is>
      </c>
      <c r="H2273" t="inlineStr">
        <is>
          <t>HUAWEI</t>
        </is>
      </c>
      <c r="I2273" t="n">
        <v>0</v>
      </c>
      <c r="J2273" t="n">
        <v>0</v>
      </c>
      <c r="K2273" t="n">
        <v>0</v>
      </c>
      <c r="L2273" t="n">
        <v>0</v>
      </c>
      <c r="M2273" t="n">
        <v>0</v>
      </c>
      <c r="N2273" t="n">
        <v>0</v>
      </c>
      <c r="O2273" t="n">
        <v>0</v>
      </c>
      <c r="P2273" t="n">
        <v>0</v>
      </c>
      <c r="Q2273" t="n">
        <v>0</v>
      </c>
      <c r="R2273" t="inlineStr">
        <is>
          <t>Insecurity</t>
        </is>
      </c>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row>
    <row r="2274">
      <c r="A2274" t="inlineStr">
        <is>
          <t>Loe-MTN</t>
        </is>
      </c>
      <c r="B2274" t="inlineStr">
        <is>
          <t>SUO_043</t>
        </is>
      </c>
      <c r="C2274" t="inlineStr">
        <is>
          <t>SUD-OUEST</t>
        </is>
      </c>
      <c r="D2274" t="inlineStr">
        <is>
          <t>IHS</t>
        </is>
      </c>
      <c r="E2274" t="inlineStr">
        <is>
          <t>Gen Only</t>
        </is>
      </c>
      <c r="F2274" t="inlineStr">
        <is>
          <t>SUD-OUEST</t>
        </is>
      </c>
      <c r="G2274" t="inlineStr">
        <is>
          <t>Loe</t>
        </is>
      </c>
      <c r="H2274" t="inlineStr">
        <is>
          <t>HUAWEI</t>
        </is>
      </c>
      <c r="I2274" t="n">
        <v>0</v>
      </c>
      <c r="J2274" t="n">
        <v>0</v>
      </c>
      <c r="K2274" t="n">
        <v>0</v>
      </c>
      <c r="L2274" t="n">
        <v>0</v>
      </c>
      <c r="M2274" t="n">
        <v>0</v>
      </c>
      <c r="N2274" t="n">
        <v>0</v>
      </c>
      <c r="O2274" t="n">
        <v>0</v>
      </c>
      <c r="P2274" t="n">
        <v>0</v>
      </c>
      <c r="Q2274" t="n">
        <v>0</v>
      </c>
      <c r="R2274" t="inlineStr">
        <is>
          <t>Insecurity</t>
        </is>
      </c>
      <c r="S2274" t="inlineStr"/>
      <c r="T2274" t="inlineStr"/>
      <c r="U2274" t="inlineStr"/>
      <c r="V2274" t="inlineStr"/>
      <c r="W2274" t="inlineStr"/>
      <c r="X2274" t="inlineStr">
        <is>
          <t>{05-25-2026 ocm ran 22H}: 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CM-20260516-00002765; FME André activé pour investigations, update ASAP     ;    {05-25-2026 ocm ran 17H}: 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CM-20260516-00002765; FME André activé pour investigations, update ASAP</t>
        </is>
      </c>
      <c r="Y2274" t="inlineStr">
        <is>
          <t>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FME André activé pour investigations, update ASAP 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FME André activé pour investigations, update ASAP</t>
        </is>
      </c>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{05-25-2026 ocm ran 22H}: 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CM-20260516-00002765; FME André activé pour investigations, update ASAP</t>
        </is>
      </c>
      <c r="AP2274" t="inlineStr">
        <is>
          <t>{05-25-2026 ocm ran 17H}: 23.05.26: Installation MW pas encore accepté, escalade faite à l'équipe projet
22.05.26: Installation MW pas encore accepté, escalade faite à l'équipe projet
21.05.26: Installation MW pas encore accepté, escalade faite à l'équipe projet
19/05/2026 red zone Lockdown 
18/05/2026 plan for 19/05/2026 ghost town to day 
16.05.26: FME Andre is managing with level 0, update ASAP
16.05.26: Besoin d'un FME sur site pour vérifier le statut de la RTN; CM-20260516-00002765; FME André activé pour investigations, update ASAP</t>
        </is>
      </c>
      <c r="AQ2274" t="inlineStr"/>
      <c r="AR2274" t="inlineStr"/>
    </row>
    <row r="2275">
      <c r="A2275" t="inlineStr">
        <is>
          <t>Berore-IHS</t>
        </is>
      </c>
      <c r="B2275" t="inlineStr">
        <is>
          <t>NRO_086</t>
        </is>
      </c>
      <c r="C2275" t="inlineStr">
        <is>
          <t>NORD-OUEST</t>
        </is>
      </c>
      <c r="D2275" t="inlineStr">
        <is>
          <t>IHS</t>
        </is>
      </c>
      <c r="E2275" t="inlineStr">
        <is>
          <t>Gen Only</t>
        </is>
      </c>
      <c r="F2275" t="inlineStr">
        <is>
          <t>NORD-OUEST</t>
        </is>
      </c>
      <c r="G2275" t="inlineStr">
        <is>
          <t>Berore</t>
        </is>
      </c>
      <c r="H2275" t="inlineStr">
        <is>
          <t>HUAWEI</t>
        </is>
      </c>
      <c r="I2275" t="n">
        <v>0</v>
      </c>
      <c r="J2275" t="n">
        <v>0</v>
      </c>
      <c r="K2275" t="n">
        <v>0</v>
      </c>
      <c r="L2275" t="n">
        <v>0</v>
      </c>
      <c r="M2275" t="n">
        <v>0</v>
      </c>
      <c r="N2275" t="n">
        <v>0</v>
      </c>
      <c r="O2275" t="n">
        <v>0</v>
      </c>
      <c r="P2275" t="n">
        <v>0</v>
      </c>
      <c r="Q2275" t="n">
        <v>0</v>
      </c>
      <c r="R2275" t="inlineStr">
        <is>
          <t>Insecurity</t>
        </is>
      </c>
      <c r="S2275" t="inlineStr"/>
      <c r="T2275" t="inlineStr"/>
      <c r="U2275" t="inlineStr"/>
      <c r="V2275" t="inlineStr"/>
      <c r="W2275" t="inlineStr"/>
      <c r="X2275" t="inlineStr">
        <is>
          <t>{05-25-2026 incident}:  {05-18-2026 groupe whatsapp incident}: impacted by     SUO_030_N_Bachuo-Ntai  ,RCA: Dépointage du lien Fontem_Fainchang / Sans action     ;    {05-25-2026 ticket}: INC-20260525-00003865..Others Transmission equipement fault</t>
        </is>
      </c>
      <c r="Y2275" t="inlineStr">
        <is>
          <t>{05-25-2026 incident} {05-18-2026 groupe whatsapp incident} impacted by SUO_030_N_Bachuo-Ntai ,RCA Dépointage du lien Fontem_Fainchang / Sans action .</t>
        </is>
      </c>
      <c r="Z2275" t="inlineStr"/>
      <c r="AA2275" t="inlineStr">
        <is>
          <t>{05-25-2026 incident}:  {05-18-2026 groupe whatsapp incident}: impacted by     SUO_030_N_Bachuo-Ntai  ,RCA: Dépointage du lien Fontem_Fainchang / Sans action</t>
        </is>
      </c>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is>
          <t>{05-25-2026 ticket}: INC-20260525-00003865..Others Transmission equipement fault</t>
        </is>
      </c>
      <c r="AR2275" t="inlineStr"/>
    </row>
    <row r="2276">
      <c r="A2276" t="inlineStr">
        <is>
          <t>Mutengene-Qter8</t>
        </is>
      </c>
      <c r="B2276" t="inlineStr">
        <is>
          <t>SUO_064</t>
        </is>
      </c>
      <c r="C2276" t="inlineStr">
        <is>
          <t>SUD-OUEST</t>
        </is>
      </c>
      <c r="D2276" t="inlineStr">
        <is>
          <t>IHS</t>
        </is>
      </c>
      <c r="E2276" t="inlineStr">
        <is>
          <t>Grid-Gen</t>
        </is>
      </c>
      <c r="F2276" t="inlineStr">
        <is>
          <t>SUD-OUEST</t>
        </is>
      </c>
      <c r="G2276" t="inlineStr">
        <is>
          <t>Mutengene</t>
        </is>
      </c>
      <c r="H2276" t="inlineStr">
        <is>
          <t>Huawei</t>
        </is>
      </c>
      <c r="I2276" t="n">
        <v>0</v>
      </c>
      <c r="J2276" t="n">
        <v>0</v>
      </c>
      <c r="K2276" t="n">
        <v>0</v>
      </c>
      <c r="L2276" t="n">
        <v>0</v>
      </c>
      <c r="M2276" t="n">
        <v>0</v>
      </c>
      <c r="N2276" t="n">
        <v>0</v>
      </c>
      <c r="O2276" t="n">
        <v>0</v>
      </c>
      <c r="P2276" t="n">
        <v>0</v>
      </c>
      <c r="Q2276" t="n">
        <v>0</v>
      </c>
      <c r="R2276" t="inlineStr">
        <is>
          <t>Insecurity</t>
        </is>
      </c>
      <c r="S2276" t="inlineStr"/>
      <c r="T2276" t="inlineStr"/>
      <c r="U2276" t="inlineStr"/>
      <c r="V2276" t="inlineStr"/>
      <c r="W2276" t="inlineStr"/>
      <c r="X2276" t="inlineStr">
        <is>
          <t>{None hourly IHS}: 25/05/2026 04:14..2:09:30..44.1V..FME is informed and will manage in the morning, Insecurity area.</t>
        </is>
      </c>
      <c r="Y2276" t="inlineStr">
        <is>
          <t>25/05/2026 04 14.2 09 30.44.1V.FME is informed and will manage in the morning, Insecurity area.</t>
        </is>
      </c>
      <c r="Z2276" t="inlineStr"/>
      <c r="AA2276" t="inlineStr"/>
      <c r="AB2276" t="inlineStr"/>
      <c r="AC2276" t="inlineStr"/>
      <c r="AD2276" t="inlineStr"/>
      <c r="AE2276" t="inlineStr">
        <is>
          <t>{None hourly IHS}: 25/05/2026 04:14..2:09:30..44.1V..FME is informed and will manage in the morning, Insecurity area.</t>
        </is>
      </c>
      <c r="AF2276" t="inlineStr"/>
      <c r="AG2276" t="inlineStr"/>
      <c r="AH2276" t="inlineStr"/>
      <c r="AI2276" t="inlineStr"/>
      <c r="AJ2276" t="inlineStr"/>
      <c r="AK2276" t="inlineStr"/>
      <c r="AL2276" t="inlineStr"/>
      <c r="AM2276" t="inlineStr"/>
      <c r="AN2276" t="inlineStr"/>
      <c r="AO2276" t="inlineStr"/>
      <c r="AP2276" t="inlineStr"/>
      <c r="AQ2276" t="inlineStr"/>
      <c r="AR2276" t="inlineStr"/>
    </row>
    <row r="2277">
      <c r="A2277" t="inlineStr">
        <is>
          <t>Mutengene-E-Police</t>
        </is>
      </c>
      <c r="B2277" t="inlineStr">
        <is>
          <t>SUO_164</t>
        </is>
      </c>
      <c r="C2277" t="inlineStr">
        <is>
          <t>SUD-OUEST</t>
        </is>
      </c>
      <c r="D2277" t="inlineStr">
        <is>
          <t>CAMUSAT</t>
        </is>
      </c>
      <c r="E2277" t="inlineStr">
        <is>
          <t>Hybrid Solar - S1</t>
        </is>
      </c>
      <c r="F2277" t="inlineStr">
        <is>
          <t>SUD-OUEST</t>
        </is>
      </c>
      <c r="G2277" t="inlineStr">
        <is>
          <t>Mutengene</t>
        </is>
      </c>
      <c r="H2277" t="inlineStr">
        <is>
          <t>Huawei</t>
        </is>
      </c>
      <c r="I2277" t="n">
        <v>0</v>
      </c>
      <c r="J2277" t="n">
        <v>0</v>
      </c>
      <c r="K2277" t="n">
        <v>0</v>
      </c>
      <c r="L2277" t="n">
        <v>0</v>
      </c>
      <c r="M2277" t="n">
        <v>0</v>
      </c>
      <c r="N2277" t="n">
        <v>0</v>
      </c>
      <c r="O2277" t="n">
        <v>0</v>
      </c>
      <c r="P2277" t="n">
        <v>0</v>
      </c>
      <c r="Q2277" t="n">
        <v>0</v>
      </c>
      <c r="R2277" t="inlineStr">
        <is>
          <t>Insecurity</t>
        </is>
      </c>
      <c r="S2277" t="inlineStr"/>
      <c r="T2277" t="inlineStr"/>
      <c r="U2277" t="inlineStr"/>
      <c r="V2277" t="inlineStr"/>
      <c r="W2277" t="inlineStr"/>
      <c r="X2277" t="inlineStr">
        <is>
          <t xml:space="preserve">{05-25-2026 ocm ran 22H}: 24/05/2026 besoin d'un fme sur site pour le status du MPR et la chaine antennaire de l ODU 3/1 Fme desmond activé ETA ASAP      ;    {05-25-2026 ocm ran 17H}: 24/05/2026 besoin d'un fme sur site pour le status du MPR et la chaine antennaire de l ODU 3/1 Fme desmond activé ETA ASAP </t>
        </is>
      </c>
      <c r="Y2277" t="inlineStr">
        <is>
          <t>24/05/2026 besoin d'un fme sur site pour le status du MPR et la chaine antennaire de l ODU 3/1 Fme desmond activé ETA ASAP 24/05/2026 besoin d'un fme sur site pour le status du MPR et la chaine antennaire de l ODU 3/1 Fme desmond activé ETA ASAP</t>
        </is>
      </c>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 xml:space="preserve">{05-25-2026 ocm ran 22H}: 24/05/2026 besoin d'un fme sur site pour le status du MPR et la chaine antennaire de l ODU 3/1 Fme desmond activé ETA ASAP </t>
        </is>
      </c>
      <c r="AP2277" t="inlineStr">
        <is>
          <t xml:space="preserve">{05-25-2026 ocm ran 17H}: 24/05/2026 besoin d'un fme sur site pour le status du MPR et la chaine antennaire de l ODU 3/1 Fme desmond activé ETA ASAP </t>
        </is>
      </c>
      <c r="AQ2277" t="inlineStr"/>
      <c r="AR2277" t="inlineStr"/>
    </row>
    <row r="2278">
      <c r="A2278" t="inlineStr">
        <is>
          <t>Ndop-Kake-Hill</t>
        </is>
      </c>
      <c r="B2278" t="inlineStr">
        <is>
          <t>NRO_137</t>
        </is>
      </c>
      <c r="C2278" t="inlineStr">
        <is>
          <t>NORD-OUEST</t>
        </is>
      </c>
      <c r="D2278" t="inlineStr">
        <is>
          <t>IHS</t>
        </is>
      </c>
      <c r="E2278" t="inlineStr">
        <is>
          <t>Grid-Gen</t>
        </is>
      </c>
      <c r="F2278" t="inlineStr">
        <is>
          <t>NORD-OUEST</t>
        </is>
      </c>
      <c r="G2278" t="inlineStr">
        <is>
          <t>Ndop</t>
        </is>
      </c>
      <c r="H2278" t="inlineStr">
        <is>
          <t>HUAWEI</t>
        </is>
      </c>
      <c r="I2278" t="n">
        <v>0</v>
      </c>
      <c r="J2278" t="n">
        <v>0</v>
      </c>
      <c r="K2278" t="n">
        <v>0</v>
      </c>
      <c r="L2278" t="n">
        <v>0</v>
      </c>
      <c r="M2278" t="n">
        <v>0</v>
      </c>
      <c r="N2278" t="n">
        <v>0</v>
      </c>
      <c r="O2278" t="n">
        <v>0</v>
      </c>
      <c r="P2278" t="n">
        <v>0</v>
      </c>
      <c r="Q2278" t="n">
        <v>0</v>
      </c>
      <c r="R2278" t="inlineStr">
        <is>
          <t>Insecurity</t>
        </is>
      </c>
      <c r="S2278" t="inlineStr"/>
      <c r="T2278" t="inlineStr"/>
      <c r="U2278" t="inlineStr"/>
      <c r="V2278" t="inlineStr"/>
      <c r="W2278" t="inlineStr"/>
      <c r="X2278" t="inlineStr">
        <is>
          <t>{None hourly IHS}: 25/05/2026 10:51..1:09:00..46 V..FME is informed and managing</t>
        </is>
      </c>
      <c r="Y2278" t="inlineStr">
        <is>
          <t>25/05/2026 10 51.1 09 00.46 V.FME is informed and managing</t>
        </is>
      </c>
      <c r="Z2278" t="inlineStr"/>
      <c r="AA2278" t="inlineStr"/>
      <c r="AB2278" t="inlineStr"/>
      <c r="AC2278" t="inlineStr"/>
      <c r="AD2278" t="inlineStr"/>
      <c r="AE2278" t="inlineStr">
        <is>
          <t>{None hourly IHS}: 25/05/2026 10:51..1:09:00..46 V..FME is informed and managing</t>
        </is>
      </c>
      <c r="AF2278" t="inlineStr"/>
      <c r="AG2278" t="inlineStr"/>
      <c r="AH2278" t="inlineStr"/>
      <c r="AI2278" t="inlineStr"/>
      <c r="AJ2278" t="inlineStr"/>
      <c r="AK2278" t="inlineStr"/>
      <c r="AL2278" t="inlineStr"/>
      <c r="AM2278" t="inlineStr"/>
      <c r="AN2278" t="inlineStr"/>
      <c r="AO2278" t="inlineStr"/>
      <c r="AP2278" t="inlineStr"/>
      <c r="AQ2278" t="inlineStr"/>
      <c r="AR2278" t="inlineStr"/>
    </row>
    <row r="2279">
      <c r="A2279" t="inlineStr">
        <is>
          <t>Mutengene</t>
        </is>
      </c>
      <c r="B2279" t="inlineStr">
        <is>
          <t>SUO_005</t>
        </is>
      </c>
      <c r="C2279" t="inlineStr">
        <is>
          <t>SUD-OUEST</t>
        </is>
      </c>
      <c r="D2279" t="inlineStr">
        <is>
          <t>IHS</t>
        </is>
      </c>
      <c r="E2279" t="inlineStr">
        <is>
          <t>Grid-Gen</t>
        </is>
      </c>
      <c r="F2279" t="inlineStr">
        <is>
          <t>SUD-OUEST</t>
        </is>
      </c>
      <c r="G2279" t="inlineStr">
        <is>
          <t>Mutengene</t>
        </is>
      </c>
      <c r="H2279" t="inlineStr">
        <is>
          <t>Huawei</t>
        </is>
      </c>
      <c r="I2279" t="n">
        <v>0</v>
      </c>
      <c r="J2279" t="n">
        <v>0</v>
      </c>
      <c r="K2279" t="n">
        <v>0</v>
      </c>
      <c r="L2279" t="n">
        <v>0</v>
      </c>
      <c r="M2279" t="n">
        <v>0</v>
      </c>
      <c r="N2279" t="n">
        <v>0</v>
      </c>
      <c r="O2279" t="n">
        <v>0</v>
      </c>
      <c r="P2279" t="n">
        <v>0</v>
      </c>
      <c r="Q2279" t="n">
        <v>0</v>
      </c>
      <c r="R2279" t="inlineStr">
        <is>
          <t>Insecurity</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row>
    <row r="2280">
      <c r="A2280" t="inlineStr">
        <is>
          <t>Tinto</t>
        </is>
      </c>
      <c r="B2280" t="inlineStr">
        <is>
          <t>SUO_040</t>
        </is>
      </c>
      <c r="C2280" t="inlineStr">
        <is>
          <t>SUD-OUEST</t>
        </is>
      </c>
      <c r="D2280" t="inlineStr">
        <is>
          <t>IHS</t>
        </is>
      </c>
      <c r="E2280" t="inlineStr">
        <is>
          <t>Gen Only</t>
        </is>
      </c>
      <c r="F2280" t="inlineStr">
        <is>
          <t>SUD-OUEST</t>
        </is>
      </c>
      <c r="G2280" t="inlineStr">
        <is>
          <t>Tinto</t>
        </is>
      </c>
      <c r="H2280" t="inlineStr">
        <is>
          <t>HUAWEI</t>
        </is>
      </c>
      <c r="I2280" t="n">
        <v>0</v>
      </c>
      <c r="J2280" t="n">
        <v>0</v>
      </c>
      <c r="K2280" t="n">
        <v>0</v>
      </c>
      <c r="L2280" t="n">
        <v>0</v>
      </c>
      <c r="M2280" t="n">
        <v>0</v>
      </c>
      <c r="N2280" t="n">
        <v>0</v>
      </c>
      <c r="O2280" t="n">
        <v>0</v>
      </c>
      <c r="P2280" t="n">
        <v>0</v>
      </c>
      <c r="Q2280" t="n">
        <v>0</v>
      </c>
      <c r="R2280" t="inlineStr">
        <is>
          <t>Insecurity</t>
        </is>
      </c>
      <c r="S2280" t="inlineStr"/>
      <c r="T2280" t="inlineStr"/>
      <c r="U2280" t="inlineStr"/>
      <c r="V2280" t="inlineStr"/>
      <c r="W2280" t="inlineStr"/>
      <c r="X2280" t="inlineStr">
        <is>
          <t>{05-25-2026 ocm ran 22H}: 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     ;    {05-25-2026 ocm ran 17H}: 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t>
        </is>
      </c>
      <c r="Y2280" t="inlineStr">
        <is>
          <t>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 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t>
        </is>
      </c>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{05-25-2026 ocm ran 22H}: 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t>
        </is>
      </c>
      <c r="AP2280" t="inlineStr">
        <is>
          <t>{05-25-2026 ocm ran 17H}: 24/05/2026 Apres travaux avec le level 0 probleme sur site de fainschang red zone 
23/05/2026 |Check ongoing with FME Donald and level zero ETA=03PM
22/05/2026 FME is checking remotly with Level0
22.05.2026: FME Activated is managing no ETA. Site under NOSO Area
22.05.2026: Need FME on the site to check RTN Status</t>
        </is>
      </c>
      <c r="AQ2280" t="inlineStr"/>
      <c r="AR2280" t="inlineStr"/>
    </row>
    <row r="2281">
      <c r="A2281" t="inlineStr">
        <is>
          <t>Logone-Birni</t>
        </is>
      </c>
      <c r="B2281" t="inlineStr">
        <is>
          <t>EXN_051</t>
        </is>
      </c>
      <c r="C2281" t="inlineStr">
        <is>
          <t>EXTREME-NORD</t>
        </is>
      </c>
      <c r="D2281" t="inlineStr">
        <is>
          <t>IHS</t>
        </is>
      </c>
      <c r="E2281" t="inlineStr">
        <is>
          <t>Solar-Gen</t>
        </is>
      </c>
      <c r="F2281" t="inlineStr">
        <is>
          <t>EXTREME-NORD</t>
        </is>
      </c>
      <c r="G2281" t="inlineStr">
        <is>
          <t>Logone-Birni</t>
        </is>
      </c>
      <c r="H2281" t="inlineStr">
        <is>
          <t>HUAWEI</t>
        </is>
      </c>
      <c r="I2281" t="n">
        <v>0</v>
      </c>
      <c r="J2281" t="n">
        <v>0</v>
      </c>
      <c r="K2281" t="n">
        <v>0</v>
      </c>
      <c r="L2281" t="n">
        <v>0</v>
      </c>
      <c r="M2281" t="n">
        <v>0</v>
      </c>
      <c r="N2281" t="n">
        <v>0</v>
      </c>
      <c r="O2281" t="n">
        <v>0</v>
      </c>
      <c r="P2281" t="n">
        <v>0</v>
      </c>
      <c r="Q2281" t="n">
        <v>0</v>
      </c>
      <c r="R2281" t="inlineStr">
        <is>
          <t>Insecurity</t>
        </is>
      </c>
      <c r="S2281" t="inlineStr"/>
      <c r="T2281" t="inlineStr"/>
      <c r="U2281" t="inlineStr"/>
      <c r="V2281" t="inlineStr"/>
      <c r="W2281" t="inlineStr"/>
      <c r="X228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281"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281" t="inlineStr"/>
      <c r="AA228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row>
    <row r="2282">
      <c r="A2282" t="inlineStr">
        <is>
          <t>Kosseoua</t>
        </is>
      </c>
      <c r="B2282" t="inlineStr">
        <is>
          <t>EXN_244</t>
        </is>
      </c>
      <c r="C2282" t="inlineStr">
        <is>
          <t>EXTREME-NORD</t>
        </is>
      </c>
      <c r="D2282" t="inlineStr">
        <is>
          <t>CAMUSAT</t>
        </is>
      </c>
      <c r="E2282" t="inlineStr">
        <is>
          <t>HGB</t>
        </is>
      </c>
      <c r="F2282" t="inlineStr">
        <is>
          <t>EXTREME-NORD</t>
        </is>
      </c>
      <c r="G2282" t="inlineStr">
        <is>
          <t>Kosseoua</t>
        </is>
      </c>
      <c r="H2282" t="inlineStr">
        <is>
          <t>HUAWEI</t>
        </is>
      </c>
      <c r="I2282" t="n">
        <v>0</v>
      </c>
      <c r="J2282" t="n">
        <v>0</v>
      </c>
      <c r="K2282" t="n">
        <v>0</v>
      </c>
      <c r="L2282" t="n">
        <v>0</v>
      </c>
      <c r="M2282" t="n">
        <v>0</v>
      </c>
      <c r="N2282" t="n">
        <v>0</v>
      </c>
      <c r="O2282" t="n">
        <v>0</v>
      </c>
      <c r="P2282" t="n">
        <v>0</v>
      </c>
      <c r="Q2282" t="n">
        <v>0</v>
      </c>
      <c r="R2282" t="inlineStr">
        <is>
          <t>Insecurity</t>
        </is>
      </c>
      <c r="S2282" t="inlineStr"/>
      <c r="T2282" t="inlineStr"/>
      <c r="U2282" t="inlineStr"/>
      <c r="V2282" t="inlineStr"/>
      <c r="W2282" t="inlineStr"/>
      <c r="X2282" t="inlineStr">
        <is>
          <t>{05-25-2026 ocm ran 22H}: Power status check Ongoing</t>
        </is>
      </c>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{05-25-2026 ocm ran 22H}: Power status check Ongoing</t>
        </is>
      </c>
      <c r="AP2282" t="inlineStr"/>
      <c r="AQ2282" t="inlineStr"/>
      <c r="AR2282" t="inlineStr"/>
    </row>
    <row r="2283">
      <c r="A2283" t="inlineStr">
        <is>
          <t>Akum-Ville-MTN</t>
        </is>
      </c>
      <c r="B2283" t="inlineStr">
        <is>
          <t>NRO_240</t>
        </is>
      </c>
      <c r="C2283" t="inlineStr">
        <is>
          <t>NORD-OUEST</t>
        </is>
      </c>
      <c r="D2283" t="inlineStr">
        <is>
          <t>IHS</t>
        </is>
      </c>
      <c r="E2283" t="inlineStr">
        <is>
          <t>Grid-Gen</t>
        </is>
      </c>
      <c r="F2283" t="inlineStr">
        <is>
          <t>NORD-OUEST</t>
        </is>
      </c>
      <c r="G2283" t="inlineStr">
        <is>
          <t>Akum</t>
        </is>
      </c>
      <c r="H2283" t="inlineStr">
        <is>
          <t>HUAWEI</t>
        </is>
      </c>
      <c r="I2283" t="n">
        <v>0</v>
      </c>
      <c r="J2283" t="n">
        <v>0</v>
      </c>
      <c r="K2283" t="n">
        <v>0</v>
      </c>
      <c r="L2283" t="n">
        <v>0</v>
      </c>
      <c r="M2283" t="n">
        <v>0</v>
      </c>
      <c r="N2283" t="n">
        <v>0</v>
      </c>
      <c r="O2283" t="n">
        <v>0</v>
      </c>
      <c r="P2283" t="n">
        <v>0</v>
      </c>
      <c r="Q2283" t="n">
        <v>0</v>
      </c>
      <c r="R2283" t="inlineStr">
        <is>
          <t>Insecurity</t>
        </is>
      </c>
      <c r="S2283" t="inlineStr"/>
      <c r="T2283" t="inlineStr"/>
      <c r="U2283" t="inlineStr"/>
      <c r="V2283" t="inlineStr"/>
      <c r="W2283" t="inlineStr"/>
      <c r="X2283" t="inlineStr">
        <is>
          <t>{None hourly IHS}: 25/05/2026 21:49..1:10:32..FME Pascal is managing with level 0</t>
        </is>
      </c>
      <c r="Y2283" t="inlineStr">
        <is>
          <t>25/05/2026 21 49.1 10 32.FME Pascal is managing with level 0</t>
        </is>
      </c>
      <c r="Z2283" t="inlineStr"/>
      <c r="AA2283" t="inlineStr"/>
      <c r="AB2283" t="inlineStr"/>
      <c r="AC2283" t="inlineStr"/>
      <c r="AD2283" t="inlineStr"/>
      <c r="AE2283" t="inlineStr">
        <is>
          <t>{None hourly IHS}: 25/05/2026 21:49..1:10:32..FME Pascal is managing with level 0</t>
        </is>
      </c>
      <c r="AF2283" t="inlineStr"/>
      <c r="AG2283" t="inlineStr"/>
      <c r="AH2283" t="inlineStr"/>
      <c r="AI2283" t="inlineStr"/>
      <c r="AJ2283" t="inlineStr"/>
      <c r="AK2283" t="inlineStr"/>
      <c r="AL2283" t="inlineStr"/>
      <c r="AM2283" t="inlineStr"/>
      <c r="AN2283" t="inlineStr"/>
      <c r="AO2283" t="inlineStr"/>
      <c r="AP2283" t="inlineStr"/>
      <c r="AQ2283" t="inlineStr"/>
      <c r="AR2283" t="inlineStr"/>
    </row>
    <row r="2284">
      <c r="A2284" t="inlineStr">
        <is>
          <t>Tokombere</t>
        </is>
      </c>
      <c r="B2284" t="inlineStr">
        <is>
          <t>EXN_015</t>
        </is>
      </c>
      <c r="C2284" t="inlineStr">
        <is>
          <t>EXTREME-NORD</t>
        </is>
      </c>
      <c r="D2284" t="inlineStr">
        <is>
          <t>IHS</t>
        </is>
      </c>
      <c r="E2284" t="inlineStr">
        <is>
          <t>Grid-Gen</t>
        </is>
      </c>
      <c r="F2284" t="inlineStr">
        <is>
          <t>EXTREME-NORD</t>
        </is>
      </c>
      <c r="G2284" t="inlineStr">
        <is>
          <t>Tokombere</t>
        </is>
      </c>
      <c r="H2284" t="inlineStr">
        <is>
          <t>HUAWEI</t>
        </is>
      </c>
      <c r="I2284" t="n">
        <v>0</v>
      </c>
      <c r="J2284" t="n">
        <v>0</v>
      </c>
      <c r="K2284" t="n">
        <v>0</v>
      </c>
      <c r="L2284" t="n">
        <v>0</v>
      </c>
      <c r="M2284" t="n">
        <v>0</v>
      </c>
      <c r="N2284" t="n">
        <v>0</v>
      </c>
      <c r="O2284" t="n">
        <v>0</v>
      </c>
      <c r="P2284" t="n">
        <v>0</v>
      </c>
      <c r="Q2284" t="n">
        <v>0</v>
      </c>
      <c r="R2284" t="inlineStr">
        <is>
          <t>Insecurity</t>
        </is>
      </c>
      <c r="S2284" t="inlineStr"/>
      <c r="T2284" t="inlineStr"/>
      <c r="U2284" t="inlineStr"/>
      <c r="V2284" t="inlineStr"/>
      <c r="W2284" t="inlineStr"/>
      <c r="X2284" t="inlineStr">
        <is>
          <t>{None hourly IHS}: 25/05/2026 15:02..2:17:05..Brice is informed and managing</t>
        </is>
      </c>
      <c r="Y2284" t="inlineStr">
        <is>
          <t>25/05/2026 15 02.2 17 05.Brice is informed and managing</t>
        </is>
      </c>
      <c r="Z2284" t="inlineStr"/>
      <c r="AA2284" t="inlineStr"/>
      <c r="AB2284" t="inlineStr"/>
      <c r="AC2284" t="inlineStr"/>
      <c r="AD2284" t="inlineStr"/>
      <c r="AE2284" t="inlineStr">
        <is>
          <t>{None hourly IHS}: 25/05/2026 15:02..2:17:05..Brice is informed and managing</t>
        </is>
      </c>
      <c r="AF2284" t="inlineStr"/>
      <c r="AG2284" t="inlineStr"/>
      <c r="AH2284" t="inlineStr"/>
      <c r="AI2284" t="inlineStr"/>
      <c r="AJ2284" t="inlineStr"/>
      <c r="AK2284" t="inlineStr"/>
      <c r="AL2284" t="inlineStr"/>
      <c r="AM2284" t="inlineStr"/>
      <c r="AN2284" t="inlineStr"/>
      <c r="AO2284" t="inlineStr"/>
      <c r="AP2284" t="inlineStr"/>
      <c r="AQ2284" t="inlineStr"/>
      <c r="AR2284" t="inlineStr"/>
    </row>
    <row r="2285">
      <c r="A2285" t="inlineStr">
        <is>
          <t>Ekombe-Bondji-IHS</t>
        </is>
      </c>
      <c r="B2285" t="inlineStr">
        <is>
          <t>SUO_091</t>
        </is>
      </c>
      <c r="C2285" t="inlineStr">
        <is>
          <t>SUD-OUEST</t>
        </is>
      </c>
      <c r="D2285" t="inlineStr">
        <is>
          <t>IHS</t>
        </is>
      </c>
      <c r="E2285" t="inlineStr">
        <is>
          <t>Gen Only</t>
        </is>
      </c>
      <c r="F2285" t="inlineStr">
        <is>
          <t>SUD-OUEST</t>
        </is>
      </c>
      <c r="G2285" t="inlineStr">
        <is>
          <t>Mbongue</t>
        </is>
      </c>
      <c r="H2285" t="inlineStr">
        <is>
          <t>HUAWEI</t>
        </is>
      </c>
      <c r="I2285" t="n">
        <v>0</v>
      </c>
      <c r="J2285" t="n">
        <v>0</v>
      </c>
      <c r="K2285" t="n">
        <v>0</v>
      </c>
      <c r="L2285" t="n">
        <v>0</v>
      </c>
      <c r="M2285" t="n">
        <v>0</v>
      </c>
      <c r="N2285" t="n">
        <v>0</v>
      </c>
      <c r="O2285" t="n">
        <v>0</v>
      </c>
      <c r="P2285" t="n">
        <v>0</v>
      </c>
      <c r="Q2285" t="n">
        <v>0</v>
      </c>
      <c r="R2285" t="inlineStr">
        <is>
          <t>Insecurity</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row>
    <row r="2286">
      <c r="A2286" t="inlineStr">
        <is>
          <t>Bombanda-Ebulu-IHS</t>
        </is>
      </c>
      <c r="B2286" t="inlineStr">
        <is>
          <t>SUO_095</t>
        </is>
      </c>
      <c r="C2286" t="inlineStr">
        <is>
          <t>SUD-OUEST</t>
        </is>
      </c>
      <c r="D2286" t="inlineStr">
        <is>
          <t>IHS</t>
        </is>
      </c>
      <c r="E2286" t="inlineStr">
        <is>
          <t>Vandalized</t>
        </is>
      </c>
      <c r="F2286" t="inlineStr">
        <is>
          <t>SUD-OUEST</t>
        </is>
      </c>
      <c r="G2286" t="inlineStr">
        <is>
          <t>Mbongue</t>
        </is>
      </c>
      <c r="H2286" t="inlineStr">
        <is>
          <t>Huawei</t>
        </is>
      </c>
      <c r="I2286" t="n">
        <v>0</v>
      </c>
      <c r="J2286" t="n">
        <v>0</v>
      </c>
      <c r="K2286" t="n">
        <v>0</v>
      </c>
      <c r="L2286" t="n">
        <v>0</v>
      </c>
      <c r="M2286" t="n">
        <v>0</v>
      </c>
      <c r="N2286" t="n">
        <v>0</v>
      </c>
      <c r="O2286" t="n">
        <v>0</v>
      </c>
      <c r="P2286" t="n">
        <v>0</v>
      </c>
      <c r="Q2286" t="n">
        <v>0</v>
      </c>
      <c r="R2286" t="inlineStr">
        <is>
          <t>Insecurity</t>
        </is>
      </c>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row>
    <row r="2287">
      <c r="A2287" t="inlineStr">
        <is>
          <t>Ekondo-titi</t>
        </is>
      </c>
      <c r="B2287" t="inlineStr">
        <is>
          <t>SUO_019</t>
        </is>
      </c>
      <c r="C2287" t="inlineStr">
        <is>
          <t>SUD-OUEST</t>
        </is>
      </c>
      <c r="D2287" t="inlineStr">
        <is>
          <t>IHS</t>
        </is>
      </c>
      <c r="E2287" t="inlineStr">
        <is>
          <t>Grid-Gen</t>
        </is>
      </c>
      <c r="F2287" t="inlineStr">
        <is>
          <t>SUD-OUEST</t>
        </is>
      </c>
      <c r="G2287" t="inlineStr">
        <is>
          <t>Ekondo-Titi</t>
        </is>
      </c>
      <c r="H2287" t="inlineStr">
        <is>
          <t>HUAWEI</t>
        </is>
      </c>
      <c r="I2287" t="n">
        <v>0</v>
      </c>
      <c r="J2287" t="n">
        <v>0</v>
      </c>
      <c r="K2287" t="n">
        <v>0</v>
      </c>
      <c r="L2287" t="n">
        <v>0</v>
      </c>
      <c r="M2287" t="n">
        <v>0</v>
      </c>
      <c r="N2287" t="n">
        <v>0</v>
      </c>
      <c r="O2287" t="n">
        <v>0</v>
      </c>
      <c r="P2287" t="n">
        <v>0</v>
      </c>
      <c r="Q2287" t="n">
        <v>0</v>
      </c>
      <c r="R2287" t="inlineStr">
        <is>
          <t>Insecurity</t>
        </is>
      </c>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row>
    <row r="2288">
      <c r="A2288" t="inlineStr">
        <is>
          <t>Mada-IHS</t>
        </is>
      </c>
      <c r="B2288" t="inlineStr">
        <is>
          <t>EXN_223</t>
        </is>
      </c>
      <c r="C2288" t="inlineStr">
        <is>
          <t>EXTREME-NORD</t>
        </is>
      </c>
      <c r="D2288" t="inlineStr">
        <is>
          <t>IHS</t>
        </is>
      </c>
      <c r="E2288" t="inlineStr">
        <is>
          <t>Gen Only</t>
        </is>
      </c>
      <c r="F2288" t="inlineStr">
        <is>
          <t>EXTREME-NORD</t>
        </is>
      </c>
      <c r="G2288" t="inlineStr">
        <is>
          <t>Mada</t>
        </is>
      </c>
      <c r="H2288" t="inlineStr">
        <is>
          <t>Huawei</t>
        </is>
      </c>
      <c r="I2288" t="n">
        <v>0</v>
      </c>
      <c r="J2288" t="n">
        <v>0</v>
      </c>
      <c r="K2288" t="n">
        <v>0</v>
      </c>
      <c r="L2288" t="n">
        <v>0</v>
      </c>
      <c r="M2288" t="n">
        <v>0</v>
      </c>
      <c r="N2288" t="n">
        <v>0</v>
      </c>
      <c r="O2288" t="n">
        <v>0</v>
      </c>
      <c r="P2288" t="n">
        <v>0</v>
      </c>
      <c r="Q2288" t="n">
        <v>0</v>
      </c>
      <c r="R2288" t="inlineStr">
        <is>
          <t>Insecurity</t>
        </is>
      </c>
      <c r="S2288" t="inlineStr"/>
      <c r="T2288" t="inlineStr"/>
      <c r="U2288" t="inlineStr"/>
      <c r="V2288" t="inlineStr"/>
      <c r="W2288" t="inlineStr"/>
      <c r="X228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288"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288" t="inlineStr"/>
      <c r="AA2288"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row>
    <row r="2289">
      <c r="A2289" t="inlineStr">
        <is>
          <t>Kar-Hay</t>
        </is>
      </c>
      <c r="B2289" t="inlineStr">
        <is>
          <t>EXN_022</t>
        </is>
      </c>
      <c r="C2289" t="inlineStr">
        <is>
          <t>EXTREME-NORD</t>
        </is>
      </c>
      <c r="D2289" t="inlineStr">
        <is>
          <t>IHS</t>
        </is>
      </c>
      <c r="E2289" t="inlineStr">
        <is>
          <t>Solar-Grid-Gen</t>
        </is>
      </c>
      <c r="F2289" t="inlineStr">
        <is>
          <t>EXTREME-NORD</t>
        </is>
      </c>
      <c r="G2289" t="inlineStr">
        <is>
          <t>Kar-Hay</t>
        </is>
      </c>
      <c r="H2289" t="inlineStr">
        <is>
          <t>HUAWEI</t>
        </is>
      </c>
      <c r="I2289" t="n">
        <v>0</v>
      </c>
      <c r="J2289" t="n">
        <v>0</v>
      </c>
      <c r="K2289" t="n">
        <v>0</v>
      </c>
      <c r="L2289" t="n">
        <v>0</v>
      </c>
      <c r="M2289" t="n">
        <v>0</v>
      </c>
      <c r="N2289" t="n">
        <v>0</v>
      </c>
      <c r="O2289" t="n">
        <v>0</v>
      </c>
      <c r="P2289" t="n">
        <v>0</v>
      </c>
      <c r="Q2289" t="n">
        <v>0</v>
      </c>
      <c r="R2289" t="inlineStr">
        <is>
          <t>Insecurity</t>
        </is>
      </c>
      <c r="S2289" t="inlineStr"/>
      <c r="T2289" t="inlineStr"/>
      <c r="U2289" t="inlineStr"/>
      <c r="V2289" t="inlineStr"/>
      <c r="W2289" t="inlineStr"/>
      <c r="X228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{None hourly IHS}: 25/05/2026 02:41..0:41:27..49.5V..Mamoudou is informed and managing with L0.     ;    {05-25-2026 ocm ran 17H}: P1 Incident at EXN_074_H_Dziguilao; Power issue; IHS</t>
        </is>
      </c>
      <c r="Y2289"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25/05/2026 02 41.0 41 27.49.5V.Mamoudou is informed and managing with L0. P1 Incident at EXN_074_H_Dziguilao; Power issue; IHS</t>
        </is>
      </c>
      <c r="Z2289" t="inlineStr"/>
      <c r="AA2289"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289" t="inlineStr"/>
      <c r="AC2289" t="inlineStr"/>
      <c r="AD2289" t="inlineStr"/>
      <c r="AE2289" t="inlineStr">
        <is>
          <t>{None hourly IHS}: 25/05/2026 02:41..0:41:27..49.5V..Mamoudou is informed and managing with L0.</t>
        </is>
      </c>
      <c r="AF2289" t="inlineStr"/>
      <c r="AG2289" t="inlineStr"/>
      <c r="AH2289" t="inlineStr"/>
      <c r="AI2289" t="inlineStr"/>
      <c r="AJ2289" t="inlineStr"/>
      <c r="AK2289" t="inlineStr"/>
      <c r="AL2289" t="inlineStr"/>
      <c r="AM2289" t="inlineStr"/>
      <c r="AN2289" t="inlineStr"/>
      <c r="AO2289" t="inlineStr"/>
      <c r="AP2289" t="inlineStr">
        <is>
          <t>{05-25-2026 ocm ran 17H}: P1 Incident at EXN_074_H_Dziguilao; Power issue; IHS</t>
        </is>
      </c>
      <c r="AQ2289" t="inlineStr"/>
      <c r="AR2289" t="inlineStr"/>
    </row>
    <row r="2290">
      <c r="A2290" t="inlineStr">
        <is>
          <t>Bai-Panya-IHS</t>
        </is>
      </c>
      <c r="B2290" t="inlineStr">
        <is>
          <t>SUO_093</t>
        </is>
      </c>
      <c r="C2290" t="inlineStr">
        <is>
          <t>SUD-OUEST</t>
        </is>
      </c>
      <c r="D2290" t="inlineStr">
        <is>
          <t>IHS</t>
        </is>
      </c>
      <c r="E2290" t="inlineStr">
        <is>
          <t>Gen Only</t>
        </is>
      </c>
      <c r="F2290" t="inlineStr">
        <is>
          <t>SUD-OUEST</t>
        </is>
      </c>
      <c r="G2290" t="inlineStr">
        <is>
          <t>Mbongue</t>
        </is>
      </c>
      <c r="H2290" t="inlineStr">
        <is>
          <t>HUAWEI</t>
        </is>
      </c>
      <c r="I2290" t="n">
        <v>0</v>
      </c>
      <c r="J2290" t="n">
        <v>0</v>
      </c>
      <c r="K2290" t="n">
        <v>0</v>
      </c>
      <c r="L2290" t="n">
        <v>0</v>
      </c>
      <c r="M2290" t="n">
        <v>0</v>
      </c>
      <c r="N2290" t="n">
        <v>0</v>
      </c>
      <c r="O2290" t="n">
        <v>0</v>
      </c>
      <c r="P2290" t="n">
        <v>0</v>
      </c>
      <c r="Q2290" t="n">
        <v>0</v>
      </c>
      <c r="R2290" t="inlineStr">
        <is>
          <t>Insecurity</t>
        </is>
      </c>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row>
    <row r="2291">
      <c r="A2291" t="inlineStr">
        <is>
          <t>Ekondo-Nege-MTN</t>
        </is>
      </c>
      <c r="B2291" t="inlineStr">
        <is>
          <t>SUO_047</t>
        </is>
      </c>
      <c r="C2291" t="inlineStr">
        <is>
          <t>SUD-OUEST</t>
        </is>
      </c>
      <c r="D2291" t="inlineStr">
        <is>
          <t>IHS</t>
        </is>
      </c>
      <c r="E2291" t="inlineStr">
        <is>
          <t>Hybrid-Gen</t>
        </is>
      </c>
      <c r="F2291" t="inlineStr">
        <is>
          <t>SUD-OUEST</t>
        </is>
      </c>
      <c r="G2291" t="inlineStr">
        <is>
          <t>Ekondo-Nege</t>
        </is>
      </c>
      <c r="H2291" t="inlineStr">
        <is>
          <t>HUAWEI</t>
        </is>
      </c>
      <c r="I2291" t="n">
        <v>0</v>
      </c>
      <c r="J2291" t="n">
        <v>0</v>
      </c>
      <c r="K2291" t="n">
        <v>0</v>
      </c>
      <c r="L2291" t="n">
        <v>0</v>
      </c>
      <c r="M2291" t="n">
        <v>0</v>
      </c>
      <c r="N2291" t="n">
        <v>0</v>
      </c>
      <c r="O2291" t="n">
        <v>0</v>
      </c>
      <c r="P2291" t="n">
        <v>0</v>
      </c>
      <c r="Q2291" t="n">
        <v>0</v>
      </c>
      <c r="R2291" t="inlineStr">
        <is>
          <t>Insecurity</t>
        </is>
      </c>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row>
    <row r="2292">
      <c r="A2292" t="inlineStr">
        <is>
          <t>Fotokol-Town-IHS</t>
        </is>
      </c>
      <c r="B2292" t="inlineStr">
        <is>
          <t>EXN_259</t>
        </is>
      </c>
      <c r="C2292" t="inlineStr">
        <is>
          <t>EXTREME-NORD</t>
        </is>
      </c>
      <c r="D2292" t="inlineStr">
        <is>
          <t>IHS</t>
        </is>
      </c>
      <c r="E2292" t="inlineStr">
        <is>
          <t>Hybrid-Gen</t>
        </is>
      </c>
      <c r="F2292" t="inlineStr">
        <is>
          <t>EXTREME-NORD</t>
        </is>
      </c>
      <c r="G2292" t="inlineStr">
        <is>
          <t>Fotokol</t>
        </is>
      </c>
      <c r="H2292" t="inlineStr">
        <is>
          <t>HUAWEI</t>
        </is>
      </c>
      <c r="I2292" t="n">
        <v>0</v>
      </c>
      <c r="J2292" t="n">
        <v>0</v>
      </c>
      <c r="K2292" t="n">
        <v>0</v>
      </c>
      <c r="L2292" t="n">
        <v>0</v>
      </c>
      <c r="M2292" t="n">
        <v>0</v>
      </c>
      <c r="N2292" t="n">
        <v>0</v>
      </c>
      <c r="O2292" t="n">
        <v>0</v>
      </c>
      <c r="P2292" t="n">
        <v>0</v>
      </c>
      <c r="Q2292" t="n">
        <v>0</v>
      </c>
      <c r="R2292" t="inlineStr">
        <is>
          <t>Insecurity</t>
        </is>
      </c>
      <c r="S2292" t="inlineStr"/>
      <c r="T2292" t="inlineStr"/>
      <c r="U2292" t="inlineStr"/>
      <c r="V2292" t="inlineStr"/>
      <c r="W2292" t="inlineStr"/>
      <c r="X229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292"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292" t="inlineStr"/>
      <c r="AA2292"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row>
    <row r="2293">
      <c r="A2293" t="inlineStr">
        <is>
          <t>Bogo-Marche</t>
        </is>
      </c>
      <c r="B2293" t="inlineStr">
        <is>
          <t>EXN_191</t>
        </is>
      </c>
      <c r="C2293" t="inlineStr">
        <is>
          <t>EXTREME-NORD</t>
        </is>
      </c>
      <c r="D2293" t="inlineStr">
        <is>
          <t>CAMUSAT</t>
        </is>
      </c>
      <c r="E2293" t="inlineStr">
        <is>
          <t>Bad Grid + GE</t>
        </is>
      </c>
      <c r="F2293" t="inlineStr">
        <is>
          <t>EXTREME-NORD</t>
        </is>
      </c>
      <c r="G2293" t="inlineStr">
        <is>
          <t>Bogo</t>
        </is>
      </c>
      <c r="H2293" t="inlineStr">
        <is>
          <t>HUAWEI</t>
        </is>
      </c>
      <c r="I2293" t="n">
        <v>0</v>
      </c>
      <c r="J2293" t="n">
        <v>0</v>
      </c>
      <c r="K2293" t="n">
        <v>0</v>
      </c>
      <c r="L2293" t="n">
        <v>0</v>
      </c>
      <c r="M2293" t="n">
        <v>0</v>
      </c>
      <c r="N2293" t="n">
        <v>0</v>
      </c>
      <c r="O2293" t="n">
        <v>0</v>
      </c>
      <c r="P2293" t="n">
        <v>0</v>
      </c>
      <c r="Q2293" t="n">
        <v>0</v>
      </c>
      <c r="R2293" t="inlineStr">
        <is>
          <t>Insecurity</t>
        </is>
      </c>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row>
    <row r="2294">
      <c r="A2294" t="inlineStr">
        <is>
          <t>Jakiri</t>
        </is>
      </c>
      <c r="B2294" t="inlineStr">
        <is>
          <t>NRO_019</t>
        </is>
      </c>
      <c r="C2294" t="inlineStr">
        <is>
          <t>NORD-OUEST</t>
        </is>
      </c>
      <c r="D2294" t="inlineStr">
        <is>
          <t>IHS</t>
        </is>
      </c>
      <c r="E2294" t="inlineStr">
        <is>
          <t>Grid-Gen</t>
        </is>
      </c>
      <c r="F2294" t="inlineStr">
        <is>
          <t>NORD-OUEST</t>
        </is>
      </c>
      <c r="G2294" t="inlineStr">
        <is>
          <t>Jakiri</t>
        </is>
      </c>
      <c r="H2294" t="inlineStr">
        <is>
          <t>HUAWEI</t>
        </is>
      </c>
      <c r="I2294" t="n">
        <v>0</v>
      </c>
      <c r="J2294" t="n">
        <v>0</v>
      </c>
      <c r="K2294" t="n">
        <v>0</v>
      </c>
      <c r="L2294" t="n">
        <v>0</v>
      </c>
      <c r="M2294" t="n">
        <v>0</v>
      </c>
      <c r="N2294" t="n">
        <v>0</v>
      </c>
      <c r="O2294" t="n">
        <v>0</v>
      </c>
      <c r="P2294" t="n">
        <v>0</v>
      </c>
      <c r="Q2294" t="n">
        <v>0</v>
      </c>
      <c r="R2294" t="inlineStr">
        <is>
          <t>Insecurity</t>
        </is>
      </c>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row>
    <row r="2295">
      <c r="A2295" t="inlineStr">
        <is>
          <t>Kumbo-II</t>
        </is>
      </c>
      <c r="B2295" t="inlineStr">
        <is>
          <t>NRO_020</t>
        </is>
      </c>
      <c r="C2295" t="inlineStr">
        <is>
          <t>NORD-OUEST</t>
        </is>
      </c>
      <c r="D2295" t="inlineStr"/>
      <c r="E2295" t="inlineStr"/>
      <c r="F2295" t="inlineStr">
        <is>
          <t>NORD-OUEST</t>
        </is>
      </c>
      <c r="G2295" t="inlineStr">
        <is>
          <t>Kumbo</t>
        </is>
      </c>
      <c r="H2295" t="inlineStr">
        <is>
          <t>Huawei</t>
        </is>
      </c>
      <c r="I2295" t="n">
        <v>0</v>
      </c>
      <c r="J2295" t="n">
        <v>0</v>
      </c>
      <c r="K2295" t="n">
        <v>0</v>
      </c>
      <c r="L2295" t="n">
        <v>0</v>
      </c>
      <c r="M2295" t="n">
        <v>0</v>
      </c>
      <c r="N2295" t="n">
        <v>0</v>
      </c>
      <c r="O2295" t="n">
        <v>0</v>
      </c>
      <c r="P2295" t="n">
        <v>0</v>
      </c>
      <c r="Q2295" t="n">
        <v>0</v>
      </c>
      <c r="R2295" t="inlineStr">
        <is>
          <t>Insecurity</t>
        </is>
      </c>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row>
    <row r="2296">
      <c r="A2296" t="inlineStr">
        <is>
          <t>MBIYEH-IHS</t>
        </is>
      </c>
      <c r="B2296" t="inlineStr">
        <is>
          <t>NRO_150</t>
        </is>
      </c>
      <c r="C2296" t="inlineStr">
        <is>
          <t>NORD-OUEST</t>
        </is>
      </c>
      <c r="D2296" t="inlineStr">
        <is>
          <t>IHS</t>
        </is>
      </c>
      <c r="E2296" t="inlineStr"/>
      <c r="F2296" t="inlineStr">
        <is>
          <t>NORD-OUEST</t>
        </is>
      </c>
      <c r="G2296" t="inlineStr">
        <is>
          <t>Ndu</t>
        </is>
      </c>
      <c r="H2296" t="inlineStr">
        <is>
          <t>Huawei</t>
        </is>
      </c>
      <c r="I2296" t="n">
        <v>0</v>
      </c>
      <c r="J2296" t="n">
        <v>0</v>
      </c>
      <c r="K2296" t="n">
        <v>0</v>
      </c>
      <c r="L2296" t="n">
        <v>0</v>
      </c>
      <c r="M2296" t="n">
        <v>0</v>
      </c>
      <c r="N2296" t="n">
        <v>0</v>
      </c>
      <c r="O2296" t="n">
        <v>0</v>
      </c>
      <c r="P2296" t="n">
        <v>0</v>
      </c>
      <c r="Q2296" t="n">
        <v>0</v>
      </c>
      <c r="R2296" t="inlineStr">
        <is>
          <t>Insecurity</t>
        </is>
      </c>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row>
    <row r="2297">
      <c r="A2297" t="inlineStr">
        <is>
          <t>Ndop-Catholic-Church</t>
        </is>
      </c>
      <c r="B2297" t="inlineStr">
        <is>
          <t>NRO_136</t>
        </is>
      </c>
      <c r="C2297" t="inlineStr">
        <is>
          <t>NORD-OUEST</t>
        </is>
      </c>
      <c r="D2297" t="inlineStr">
        <is>
          <t>IHS</t>
        </is>
      </c>
      <c r="E2297" t="inlineStr">
        <is>
          <t>Grid-Gen</t>
        </is>
      </c>
      <c r="F2297" t="inlineStr">
        <is>
          <t>NORD-OUEST</t>
        </is>
      </c>
      <c r="G2297" t="inlineStr">
        <is>
          <t>Ndop</t>
        </is>
      </c>
      <c r="H2297" t="inlineStr">
        <is>
          <t>HUAWEI</t>
        </is>
      </c>
      <c r="I2297" t="n">
        <v>0</v>
      </c>
      <c r="J2297" t="n">
        <v>0</v>
      </c>
      <c r="K2297" t="n">
        <v>0</v>
      </c>
      <c r="L2297" t="n">
        <v>0</v>
      </c>
      <c r="M2297" t="n">
        <v>0</v>
      </c>
      <c r="N2297" t="n">
        <v>0</v>
      </c>
      <c r="O2297" t="n">
        <v>0</v>
      </c>
      <c r="P2297" t="n">
        <v>0</v>
      </c>
      <c r="Q2297" t="n">
        <v>0</v>
      </c>
      <c r="R2297" t="inlineStr">
        <is>
          <t>Insecurity</t>
        </is>
      </c>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row>
    <row r="2298">
      <c r="A2298" t="inlineStr">
        <is>
          <t>Jakiri-Church-IHS</t>
        </is>
      </c>
      <c r="B2298" t="inlineStr">
        <is>
          <t>NRO_138</t>
        </is>
      </c>
      <c r="C2298" t="inlineStr">
        <is>
          <t>NORD-OUEST</t>
        </is>
      </c>
      <c r="D2298" t="inlineStr">
        <is>
          <t>IHS</t>
        </is>
      </c>
      <c r="E2298" t="inlineStr">
        <is>
          <t>Grid-Gen</t>
        </is>
      </c>
      <c r="F2298" t="inlineStr">
        <is>
          <t>NORD-OUEST</t>
        </is>
      </c>
      <c r="G2298" t="inlineStr">
        <is>
          <t>Jakiri</t>
        </is>
      </c>
      <c r="H2298" t="inlineStr">
        <is>
          <t>HUAWEI</t>
        </is>
      </c>
      <c r="I2298" t="n">
        <v>0</v>
      </c>
      <c r="J2298" t="n">
        <v>0</v>
      </c>
      <c r="K2298" t="n">
        <v>0</v>
      </c>
      <c r="L2298" t="n">
        <v>0</v>
      </c>
      <c r="M2298" t="n">
        <v>0</v>
      </c>
      <c r="N2298" t="n">
        <v>0</v>
      </c>
      <c r="O2298" t="n">
        <v>0</v>
      </c>
      <c r="P2298" t="n">
        <v>0</v>
      </c>
      <c r="Q2298" t="n">
        <v>0</v>
      </c>
      <c r="R2298" t="inlineStr">
        <is>
          <t>Insecurity</t>
        </is>
      </c>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row>
    <row r="2299">
      <c r="A2299" t="inlineStr">
        <is>
          <t>Amchide</t>
        </is>
      </c>
      <c r="B2299" t="inlineStr">
        <is>
          <t>EXN_007</t>
        </is>
      </c>
      <c r="C2299" t="inlineStr">
        <is>
          <t>EXTREME-NORD</t>
        </is>
      </c>
      <c r="D2299" t="inlineStr">
        <is>
          <t>IHS</t>
        </is>
      </c>
      <c r="E2299" t="inlineStr">
        <is>
          <t>Grid-Hybrid-Gen</t>
        </is>
      </c>
      <c r="F2299" t="inlineStr">
        <is>
          <t>EXTREME-NORD</t>
        </is>
      </c>
      <c r="G2299" t="inlineStr">
        <is>
          <t>Amchide</t>
        </is>
      </c>
      <c r="H2299" t="inlineStr">
        <is>
          <t>HUAWEI</t>
        </is>
      </c>
      <c r="I2299" t="n">
        <v>0</v>
      </c>
      <c r="J2299" t="n">
        <v>0</v>
      </c>
      <c r="K2299" t="n">
        <v>0</v>
      </c>
      <c r="L2299" t="n">
        <v>0</v>
      </c>
      <c r="M2299" t="n">
        <v>0</v>
      </c>
      <c r="N2299" t="n">
        <v>0</v>
      </c>
      <c r="O2299" t="n">
        <v>0</v>
      </c>
      <c r="P2299" t="n">
        <v>0</v>
      </c>
      <c r="Q2299" t="n">
        <v>0</v>
      </c>
      <c r="R2299" t="inlineStr">
        <is>
          <t>EXCLU</t>
        </is>
      </c>
      <c r="S2299" t="inlineStr">
        <is>
          <t>site vandalise</t>
        </is>
      </c>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row>
    <row r="2300">
      <c r="A2300" t="inlineStr">
        <is>
          <t>Mindif</t>
        </is>
      </c>
      <c r="B2300" t="inlineStr">
        <is>
          <t>EXN_037</t>
        </is>
      </c>
      <c r="C2300" t="inlineStr">
        <is>
          <t>EXTREME-NORD</t>
        </is>
      </c>
      <c r="D2300" t="inlineStr">
        <is>
          <t>IHS</t>
        </is>
      </c>
      <c r="E2300" t="inlineStr">
        <is>
          <t>Grid-Gen</t>
        </is>
      </c>
      <c r="F2300" t="inlineStr">
        <is>
          <t>EXTREME-NORD</t>
        </is>
      </c>
      <c r="G2300" t="inlineStr">
        <is>
          <t>Mindif</t>
        </is>
      </c>
      <c r="H2300" t="inlineStr">
        <is>
          <t>HUAWEI</t>
        </is>
      </c>
      <c r="I2300" t="n">
        <v>0</v>
      </c>
      <c r="J2300" t="n">
        <v>0</v>
      </c>
      <c r="K2300" t="n">
        <v>0</v>
      </c>
      <c r="L2300" t="n">
        <v>0</v>
      </c>
      <c r="M2300" t="n">
        <v>0</v>
      </c>
      <c r="N2300" t="n">
        <v>0</v>
      </c>
      <c r="O2300" t="n">
        <v>0</v>
      </c>
      <c r="P2300" t="n">
        <v>0</v>
      </c>
      <c r="Q2300" t="n">
        <v>0</v>
      </c>
      <c r="R2300" t="inlineStr">
        <is>
          <t>Insecurity</t>
        </is>
      </c>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row>
    <row r="2301">
      <c r="A2301" t="inlineStr">
        <is>
          <t>Pette</t>
        </is>
      </c>
      <c r="B2301" t="inlineStr">
        <is>
          <t>EXN_039</t>
        </is>
      </c>
      <c r="C2301" t="inlineStr">
        <is>
          <t>EXTREME-NORD</t>
        </is>
      </c>
      <c r="D2301" t="inlineStr">
        <is>
          <t>CAMUSAT</t>
        </is>
      </c>
      <c r="E2301" t="inlineStr">
        <is>
          <t>Hybrid Solar - S3</t>
        </is>
      </c>
      <c r="F2301" t="inlineStr">
        <is>
          <t>EXTREME-NORD</t>
        </is>
      </c>
      <c r="G2301" t="inlineStr">
        <is>
          <t>Pette</t>
        </is>
      </c>
      <c r="H2301" t="inlineStr">
        <is>
          <t>HUAWEI</t>
        </is>
      </c>
      <c r="I2301" t="n">
        <v>0</v>
      </c>
      <c r="J2301" t="n">
        <v>0</v>
      </c>
      <c r="K2301" t="n">
        <v>0</v>
      </c>
      <c r="L2301" t="n">
        <v>0</v>
      </c>
      <c r="M2301" t="n">
        <v>0</v>
      </c>
      <c r="N2301" t="n">
        <v>0</v>
      </c>
      <c r="O2301" t="n">
        <v>0</v>
      </c>
      <c r="P2301" t="n">
        <v>0</v>
      </c>
      <c r="Q2301" t="n">
        <v>0</v>
      </c>
      <c r="R2301" t="inlineStr">
        <is>
          <t>Insecurity</t>
        </is>
      </c>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row>
    <row r="2302">
      <c r="A2302" t="inlineStr">
        <is>
          <t>Bafut-Swie-Hill-IHS</t>
        </is>
      </c>
      <c r="B2302" t="inlineStr">
        <is>
          <t>NRO_102</t>
        </is>
      </c>
      <c r="C2302" t="inlineStr">
        <is>
          <t>NORD-OUEST</t>
        </is>
      </c>
      <c r="D2302" t="inlineStr">
        <is>
          <t>IHS</t>
        </is>
      </c>
      <c r="E2302" t="inlineStr">
        <is>
          <t>Gen Only</t>
        </is>
      </c>
      <c r="F2302" t="inlineStr">
        <is>
          <t>NORD-OUEST</t>
        </is>
      </c>
      <c r="G2302" t="inlineStr">
        <is>
          <t>Bafut</t>
        </is>
      </c>
      <c r="H2302" t="inlineStr">
        <is>
          <t>HUAWEI</t>
        </is>
      </c>
      <c r="I2302" t="n">
        <v>0</v>
      </c>
      <c r="J2302" t="n">
        <v>0</v>
      </c>
      <c r="K2302" t="n">
        <v>0</v>
      </c>
      <c r="L2302" t="n">
        <v>0</v>
      </c>
      <c r="M2302" t="n">
        <v>0</v>
      </c>
      <c r="N2302" t="n">
        <v>0</v>
      </c>
      <c r="O2302" t="n">
        <v>0</v>
      </c>
      <c r="P2302" t="n">
        <v>0</v>
      </c>
      <c r="Q2302" t="n">
        <v>0</v>
      </c>
      <c r="R2302" t="inlineStr">
        <is>
          <t>Insecurity</t>
        </is>
      </c>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row>
    <row r="2303">
      <c r="A2303" t="inlineStr">
        <is>
          <t>Muyuka-Beach-Bush-IHS</t>
        </is>
      </c>
      <c r="B2303" t="inlineStr">
        <is>
          <t>SUO_255</t>
        </is>
      </c>
      <c r="C2303" t="inlineStr">
        <is>
          <t>SUD-OUEST</t>
        </is>
      </c>
      <c r="D2303" t="inlineStr">
        <is>
          <t xml:space="preserve">HIS </t>
        </is>
      </c>
      <c r="E2303" t="inlineStr">
        <is>
          <t>Hybrid-Gen</t>
        </is>
      </c>
      <c r="F2303" t="inlineStr">
        <is>
          <t>SUD-OUEST</t>
        </is>
      </c>
      <c r="G2303" t="inlineStr">
        <is>
          <t>Muyuka</t>
        </is>
      </c>
      <c r="H2303" t="inlineStr">
        <is>
          <t>HUAWEI</t>
        </is>
      </c>
      <c r="I2303" t="n">
        <v>0</v>
      </c>
      <c r="J2303" t="n">
        <v>0</v>
      </c>
      <c r="K2303" t="n">
        <v>0</v>
      </c>
      <c r="L2303" t="n">
        <v>0</v>
      </c>
      <c r="M2303" t="n">
        <v>0</v>
      </c>
      <c r="N2303" t="n">
        <v>0</v>
      </c>
      <c r="O2303" t="n">
        <v>0</v>
      </c>
      <c r="P2303" t="n">
        <v>0</v>
      </c>
      <c r="Q2303" t="n">
        <v>0</v>
      </c>
      <c r="R2303" t="inlineStr">
        <is>
          <t>Insecurity</t>
        </is>
      </c>
      <c r="S2303" t="inlineStr"/>
      <c r="T2303" t="inlineStr"/>
      <c r="U2303" t="inlineStr"/>
      <c r="V2303" t="inlineStr"/>
      <c r="W2303" t="inlineStr"/>
      <c r="X2303" t="inlineStr">
        <is>
          <t>{05-25-2026 ocm ran 22H}: P2 incident at SUO_008_N_Mpenda-Mbocko-IHS; Power issue; IHS     ;    {05-25-2026 ocm ran 17H}: P2 incident at SUO_008_N_Mpenda-Mbocko-IHS</t>
        </is>
      </c>
      <c r="Y2303" t="inlineStr">
        <is>
          <t>P2 incident at SUO_008_N_Mpenda-Mbocko-IHS; Power issue; IHS P2 incident at SUO_008_N_Mpenda-Mbocko-IHS</t>
        </is>
      </c>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{05-25-2026 ocm ran 22H}: P2 incident at SUO_008_N_Mpenda-Mbocko-IHS; Power issue; IHS</t>
        </is>
      </c>
      <c r="AP2303" t="inlineStr">
        <is>
          <t>{05-25-2026 ocm ran 17H}: P2 incident at SUO_008_N_Mpenda-Mbocko-IHS</t>
        </is>
      </c>
      <c r="AQ2303" t="inlineStr"/>
      <c r="AR2303" t="inlineStr"/>
    </row>
    <row r="2304">
      <c r="A2304" t="inlineStr">
        <is>
          <t>Ouro-Zangui</t>
        </is>
      </c>
      <c r="B2304" t="inlineStr">
        <is>
          <t>EXN_199</t>
        </is>
      </c>
      <c r="C2304" t="inlineStr">
        <is>
          <t>EXTREME-NORD</t>
        </is>
      </c>
      <c r="D2304" t="inlineStr">
        <is>
          <t>IHS</t>
        </is>
      </c>
      <c r="E2304" t="inlineStr">
        <is>
          <t>Hybrid-Gen</t>
        </is>
      </c>
      <c r="F2304" t="inlineStr">
        <is>
          <t>EXTREME-NORD</t>
        </is>
      </c>
      <c r="G2304" t="inlineStr">
        <is>
          <t>Ouro Zangui</t>
        </is>
      </c>
      <c r="H2304" t="inlineStr">
        <is>
          <t>HUAWEI</t>
        </is>
      </c>
      <c r="I2304" t="n">
        <v>0</v>
      </c>
      <c r="J2304" t="n">
        <v>0</v>
      </c>
      <c r="K2304" t="n">
        <v>0</v>
      </c>
      <c r="L2304" t="n">
        <v>0</v>
      </c>
      <c r="M2304" t="n">
        <v>0</v>
      </c>
      <c r="N2304" t="n">
        <v>0</v>
      </c>
      <c r="O2304" t="n">
        <v>0</v>
      </c>
      <c r="P2304" t="n">
        <v>0</v>
      </c>
      <c r="Q2304" t="n">
        <v>0</v>
      </c>
      <c r="R2304" t="inlineStr">
        <is>
          <t>Insecurity</t>
        </is>
      </c>
      <c r="S2304" t="inlineStr"/>
      <c r="T2304" t="inlineStr"/>
      <c r="U2304" t="inlineStr"/>
      <c r="V2304" t="inlineStr"/>
      <c r="W2304" t="inlineStr"/>
      <c r="X2304" t="inlineStr">
        <is>
          <t>{None hourly IHS}: 25/05/2026 01:49..4:34:30..50.2V..Gen stopped due to fuel shortage</t>
        </is>
      </c>
      <c r="Y2304" t="inlineStr">
        <is>
          <t>25/05/2026 01 49.4 34 30.50.2V.Gen stopped due to fuel shortage</t>
        </is>
      </c>
      <c r="Z2304" t="inlineStr"/>
      <c r="AA2304" t="inlineStr"/>
      <c r="AB2304" t="inlineStr"/>
      <c r="AC2304" t="inlineStr"/>
      <c r="AD2304" t="inlineStr"/>
      <c r="AE2304" t="inlineStr">
        <is>
          <t>{None hourly IHS}: 25/05/2026 01:49..4:34:30..50.2V..Gen stopped due to fuel shortage</t>
        </is>
      </c>
      <c r="AF2304" t="inlineStr"/>
      <c r="AG2304" t="inlineStr"/>
      <c r="AH2304" t="inlineStr"/>
      <c r="AI2304" t="inlineStr"/>
      <c r="AJ2304" t="inlineStr"/>
      <c r="AK2304" t="inlineStr"/>
      <c r="AL2304" t="inlineStr"/>
      <c r="AM2304" t="inlineStr"/>
      <c r="AN2304" t="inlineStr"/>
      <c r="AO2304" t="inlineStr"/>
      <c r="AP2304" t="inlineStr"/>
      <c r="AQ2304" t="inlineStr"/>
      <c r="AR2304" t="inlineStr"/>
    </row>
    <row r="2305">
      <c r="A2305" t="inlineStr">
        <is>
          <t>Dargala-New</t>
        </is>
      </c>
      <c r="B2305" t="inlineStr">
        <is>
          <t>EXN_190</t>
        </is>
      </c>
      <c r="C2305" t="inlineStr">
        <is>
          <t>EXTREME-NORD</t>
        </is>
      </c>
      <c r="D2305" t="inlineStr">
        <is>
          <t>IHS</t>
        </is>
      </c>
      <c r="E2305" t="inlineStr">
        <is>
          <t>Grid-Gen</t>
        </is>
      </c>
      <c r="F2305" t="inlineStr">
        <is>
          <t>EXTREME-NORD</t>
        </is>
      </c>
      <c r="G2305" t="inlineStr">
        <is>
          <t>Dargala</t>
        </is>
      </c>
      <c r="H2305" t="inlineStr">
        <is>
          <t>HUAWEI</t>
        </is>
      </c>
      <c r="I2305" t="n">
        <v>0</v>
      </c>
      <c r="J2305" t="n">
        <v>0</v>
      </c>
      <c r="K2305" t="n">
        <v>0</v>
      </c>
      <c r="L2305" t="n">
        <v>0</v>
      </c>
      <c r="M2305" t="n">
        <v>0</v>
      </c>
      <c r="N2305" t="n">
        <v>0</v>
      </c>
      <c r="O2305" t="n">
        <v>0</v>
      </c>
      <c r="P2305" t="n">
        <v>0</v>
      </c>
      <c r="Q2305" t="n">
        <v>0</v>
      </c>
      <c r="R2305" t="inlineStr">
        <is>
          <t>Insecurity</t>
        </is>
      </c>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row>
    <row r="2306">
      <c r="A2306" t="inlineStr">
        <is>
          <t>Gagadje</t>
        </is>
      </c>
      <c r="B2306" t="inlineStr">
        <is>
          <t>EXN_209</t>
        </is>
      </c>
      <c r="C2306" t="inlineStr">
        <is>
          <t>EXTREME-NORD</t>
        </is>
      </c>
      <c r="D2306" t="inlineStr">
        <is>
          <t>CAMUSAT</t>
        </is>
      </c>
      <c r="E2306" t="inlineStr">
        <is>
          <t>Hybrid Solar - S3</t>
        </is>
      </c>
      <c r="F2306" t="inlineStr">
        <is>
          <t>EXTREME-NORD</t>
        </is>
      </c>
      <c r="G2306" t="inlineStr">
        <is>
          <t>Mindif</t>
        </is>
      </c>
      <c r="H2306" t="inlineStr">
        <is>
          <t>Huawei</t>
        </is>
      </c>
      <c r="I2306" t="n">
        <v>0</v>
      </c>
      <c r="J2306" t="n">
        <v>0</v>
      </c>
      <c r="K2306" t="n">
        <v>0</v>
      </c>
      <c r="L2306" t="n">
        <v>0</v>
      </c>
      <c r="M2306" t="n">
        <v>0</v>
      </c>
      <c r="N2306" t="n">
        <v>0</v>
      </c>
      <c r="O2306" t="n">
        <v>0</v>
      </c>
      <c r="P2306" t="n">
        <v>0</v>
      </c>
      <c r="Q2306" t="n">
        <v>0</v>
      </c>
      <c r="R2306" t="inlineStr">
        <is>
          <t>Insecurity</t>
        </is>
      </c>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row>
    <row r="2307">
      <c r="A2307" t="inlineStr">
        <is>
          <t>Kar-Hay-Ville</t>
        </is>
      </c>
      <c r="B2307" t="inlineStr">
        <is>
          <t>EXN_192</t>
        </is>
      </c>
      <c r="C2307" t="inlineStr">
        <is>
          <t>EXTREME-NORD</t>
        </is>
      </c>
      <c r="D2307" t="inlineStr">
        <is>
          <t>CAMUSAT</t>
        </is>
      </c>
      <c r="E2307" t="inlineStr">
        <is>
          <t>Bad Grid + GE</t>
        </is>
      </c>
      <c r="F2307" t="inlineStr">
        <is>
          <t>EXTREME-NORD</t>
        </is>
      </c>
      <c r="G2307" t="inlineStr">
        <is>
          <t>Kar-Hay</t>
        </is>
      </c>
      <c r="H2307" t="inlineStr">
        <is>
          <t>HUAWEI</t>
        </is>
      </c>
      <c r="I2307" t="n">
        <v>0</v>
      </c>
      <c r="J2307" t="n">
        <v>0</v>
      </c>
      <c r="K2307" t="n">
        <v>0</v>
      </c>
      <c r="L2307" t="n">
        <v>0</v>
      </c>
      <c r="M2307" t="n">
        <v>0</v>
      </c>
      <c r="N2307" t="n">
        <v>0</v>
      </c>
      <c r="O2307" t="n">
        <v>0</v>
      </c>
      <c r="P2307" t="n">
        <v>0</v>
      </c>
      <c r="Q2307" t="n">
        <v>0</v>
      </c>
      <c r="R2307" t="inlineStr">
        <is>
          <t>Insecurity</t>
        </is>
      </c>
      <c r="S2307" t="inlineStr"/>
      <c r="T2307" t="inlineStr"/>
      <c r="U2307" t="inlineStr"/>
      <c r="V2307" t="inlineStr"/>
      <c r="W2307" t="inlineStr"/>
      <c r="X230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ocm ran 17H}: P1 Incident at EXN_074_H_Dziguilao; Power issue; IHS</t>
        </is>
      </c>
      <c r="Y2307"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P1 Incident at EXN_074_H_Dziguilao; Power issue; IHS</t>
        </is>
      </c>
      <c r="Z2307" t="inlineStr"/>
      <c r="AA230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{05-25-2026 ocm ran 17H}: P1 Incident at EXN_074_H_Dziguilao; Power issue; IHS</t>
        </is>
      </c>
      <c r="AQ2307" t="inlineStr"/>
      <c r="AR2307" t="inlineStr"/>
    </row>
    <row r="2308">
      <c r="A2308" t="inlineStr">
        <is>
          <t>Meri</t>
        </is>
      </c>
      <c r="B2308" t="inlineStr">
        <is>
          <t>EXN_023</t>
        </is>
      </c>
      <c r="C2308" t="inlineStr">
        <is>
          <t>EXTREME-NORD</t>
        </is>
      </c>
      <c r="D2308" t="inlineStr">
        <is>
          <t>IHS</t>
        </is>
      </c>
      <c r="E2308" t="inlineStr">
        <is>
          <t>Grid-Gen</t>
        </is>
      </c>
      <c r="F2308" t="inlineStr">
        <is>
          <t>EXTREME-NORD</t>
        </is>
      </c>
      <c r="G2308" t="inlineStr">
        <is>
          <t>Meri</t>
        </is>
      </c>
      <c r="H2308" t="inlineStr">
        <is>
          <t>HUAWEI</t>
        </is>
      </c>
      <c r="I2308" t="n">
        <v>0</v>
      </c>
      <c r="J2308" t="n">
        <v>0</v>
      </c>
      <c r="K2308" t="n">
        <v>0</v>
      </c>
      <c r="L2308" t="n">
        <v>0</v>
      </c>
      <c r="M2308" t="n">
        <v>0</v>
      </c>
      <c r="N2308" t="n">
        <v>0</v>
      </c>
      <c r="O2308" t="n">
        <v>0</v>
      </c>
      <c r="P2308" t="n">
        <v>0</v>
      </c>
      <c r="Q2308" t="n">
        <v>0</v>
      </c>
      <c r="R2308" t="inlineStr">
        <is>
          <t>Insecurity</t>
        </is>
      </c>
      <c r="S2308" t="inlineStr"/>
      <c r="T2308" t="inlineStr"/>
      <c r="U2308" t="inlineStr"/>
      <c r="V2308" t="inlineStr"/>
      <c r="W2308" t="inlineStr"/>
      <c r="X2308" t="inlineStr">
        <is>
          <t>{None hourly IHS}: 25/05/2026 21:52..1:07:23..FME Brice is managing with level 0     ;    {05-25-2026 ticket}: INC-20260525-00024900</t>
        </is>
      </c>
      <c r="Y2308" t="inlineStr">
        <is>
          <t>25/05/2026 21 52.1 07 23.FME Brice is managing with level 0</t>
        </is>
      </c>
      <c r="Z2308" t="inlineStr"/>
      <c r="AA2308" t="inlineStr"/>
      <c r="AB2308" t="inlineStr"/>
      <c r="AC2308" t="inlineStr"/>
      <c r="AD2308" t="inlineStr"/>
      <c r="AE2308" t="inlineStr">
        <is>
          <t>{None hourly IHS}: 25/05/2026 21:52..1:07:23..FME Brice is managing with level 0</t>
        </is>
      </c>
      <c r="AF2308" t="inlineStr"/>
      <c r="AG2308" t="inlineStr"/>
      <c r="AH2308" t="inlineStr"/>
      <c r="AI2308" t="inlineStr"/>
      <c r="AJ2308" t="inlineStr"/>
      <c r="AK2308" t="inlineStr"/>
      <c r="AL2308" t="inlineStr"/>
      <c r="AM2308" t="inlineStr"/>
      <c r="AN2308" t="inlineStr"/>
      <c r="AO2308" t="inlineStr"/>
      <c r="AP2308" t="inlineStr"/>
      <c r="AQ2308" t="inlineStr">
        <is>
          <t>{05-25-2026 ticket}: INC-20260525-00024900</t>
        </is>
      </c>
      <c r="AR2308" t="inlineStr"/>
    </row>
    <row r="2309">
      <c r="A2309" t="inlineStr">
        <is>
          <t>Maga</t>
        </is>
      </c>
      <c r="B2309" t="inlineStr">
        <is>
          <t>EXN_014</t>
        </is>
      </c>
      <c r="C2309" t="inlineStr">
        <is>
          <t>EXTREME-NORD</t>
        </is>
      </c>
      <c r="D2309" t="inlineStr">
        <is>
          <t>IHS</t>
        </is>
      </c>
      <c r="E2309" t="inlineStr">
        <is>
          <t>Grid-Gen</t>
        </is>
      </c>
      <c r="F2309" t="inlineStr">
        <is>
          <t>EXTREME-NORD</t>
        </is>
      </c>
      <c r="G2309" t="inlineStr">
        <is>
          <t>Maga</t>
        </is>
      </c>
      <c r="H2309" t="inlineStr">
        <is>
          <t>HUAWEI</t>
        </is>
      </c>
      <c r="I2309" t="n">
        <v>0</v>
      </c>
      <c r="J2309" t="n">
        <v>0</v>
      </c>
      <c r="K2309" t="n">
        <v>0</v>
      </c>
      <c r="L2309" t="n">
        <v>0</v>
      </c>
      <c r="M2309" t="n">
        <v>0</v>
      </c>
      <c r="N2309" t="n">
        <v>0</v>
      </c>
      <c r="O2309" t="n">
        <v>0</v>
      </c>
      <c r="P2309" t="n">
        <v>0</v>
      </c>
      <c r="Q2309" t="n">
        <v>0</v>
      </c>
      <c r="R2309" t="inlineStr">
        <is>
          <t>Insecurity</t>
        </is>
      </c>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row>
    <row r="2310">
      <c r="A2310" t="inlineStr">
        <is>
          <t>Zouhaye</t>
        </is>
      </c>
      <c r="B2310" t="inlineStr">
        <is>
          <t>EXN_242</t>
        </is>
      </c>
      <c r="C2310" t="inlineStr">
        <is>
          <t>EXTREME-NORD</t>
        </is>
      </c>
      <c r="D2310" t="inlineStr">
        <is>
          <t>CAMUSAT</t>
        </is>
      </c>
      <c r="E2310" t="inlineStr">
        <is>
          <t>Hybrid Solar - S3</t>
        </is>
      </c>
      <c r="F2310" t="inlineStr">
        <is>
          <t>EXTREME-NORD</t>
        </is>
      </c>
      <c r="G2310" t="inlineStr">
        <is>
          <t>Zouhaye</t>
        </is>
      </c>
      <c r="H2310" t="inlineStr">
        <is>
          <t>HUAWEI</t>
        </is>
      </c>
      <c r="I2310" t="n">
        <v>0</v>
      </c>
      <c r="J2310" t="n">
        <v>0</v>
      </c>
      <c r="K2310" t="n">
        <v>0</v>
      </c>
      <c r="L2310" t="n">
        <v>0</v>
      </c>
      <c r="M2310" t="n">
        <v>0</v>
      </c>
      <c r="N2310" t="n">
        <v>0</v>
      </c>
      <c r="O2310" t="n">
        <v>0</v>
      </c>
      <c r="P2310" t="n">
        <v>0</v>
      </c>
      <c r="Q2310" t="n">
        <v>0</v>
      </c>
      <c r="R2310" t="inlineStr">
        <is>
          <t>Insecurity</t>
        </is>
      </c>
      <c r="S2310" t="inlineStr"/>
      <c r="T2310" t="inlineStr"/>
      <c r="U2310" t="inlineStr"/>
      <c r="V2310" t="inlineStr"/>
      <c r="W2310" t="inlineStr"/>
      <c r="X2310" t="inlineStr">
        <is>
          <t>{05-25-2026 ocm ran 17H}: P1 Incident at EXN_074_H_Dziguilao; Power issue; IHS</t>
        </is>
      </c>
      <c r="Y2310" t="inlineStr">
        <is>
          <t>P1 Incident at EXN_074_H_Dziguilao; Power issue; IHS</t>
        </is>
      </c>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{05-25-2026 ocm ran 17H}: P1 Incident at EXN_074_H_Dziguilao; Power issue; IHS</t>
        </is>
      </c>
      <c r="AQ2310" t="inlineStr"/>
      <c r="AR2310" t="inlineStr"/>
    </row>
    <row r="2311">
      <c r="A2311" t="inlineStr">
        <is>
          <t>Hougno</t>
        </is>
      </c>
      <c r="B2311" t="inlineStr">
        <is>
          <t>EXN_245</t>
        </is>
      </c>
      <c r="C2311" t="inlineStr">
        <is>
          <t>EXTREME-NORD</t>
        </is>
      </c>
      <c r="D2311" t="inlineStr">
        <is>
          <t>CAMUSAT</t>
        </is>
      </c>
      <c r="E2311" t="inlineStr">
        <is>
          <t>HGB</t>
        </is>
      </c>
      <c r="F2311" t="inlineStr">
        <is>
          <t>EXTREME-NORD</t>
        </is>
      </c>
      <c r="G2311" t="inlineStr">
        <is>
          <t>Hougno</t>
        </is>
      </c>
      <c r="H2311" t="inlineStr">
        <is>
          <t>HUAWEI</t>
        </is>
      </c>
      <c r="I2311" t="n">
        <v>0</v>
      </c>
      <c r="J2311" t="n">
        <v>0</v>
      </c>
      <c r="K2311" t="n">
        <v>0</v>
      </c>
      <c r="L2311" t="n">
        <v>0</v>
      </c>
      <c r="M2311" t="n">
        <v>0</v>
      </c>
      <c r="N2311" t="n">
        <v>0</v>
      </c>
      <c r="O2311" t="n">
        <v>0</v>
      </c>
      <c r="P2311" t="n">
        <v>0</v>
      </c>
      <c r="Q2311" t="n">
        <v>0</v>
      </c>
      <c r="R2311" t="inlineStr">
        <is>
          <t>Insecurity</t>
        </is>
      </c>
      <c r="S2311" t="inlineStr"/>
      <c r="T2311" t="inlineStr"/>
      <c r="U2311" t="inlineStr"/>
      <c r="V2311" t="inlineStr"/>
      <c r="W2311" t="inlineStr"/>
      <c r="X2311" t="inlineStr">
        <is>
          <t>{05-25-2026 ocm ran 17H}: P1 Incident at EXN_074_H_Dziguilao; Power issue; IHS</t>
        </is>
      </c>
      <c r="Y2311" t="inlineStr">
        <is>
          <t>P1 Incident at EXN_074_H_Dziguilao; Power issue; IHS</t>
        </is>
      </c>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{05-25-2026 ocm ran 17H}: P1 Incident at EXN_074_H_Dziguilao; Power issue; IHS</t>
        </is>
      </c>
      <c r="AQ2311" t="inlineStr"/>
      <c r="AR2311" t="inlineStr"/>
    </row>
    <row r="2312">
      <c r="A2312" t="inlineStr">
        <is>
          <t>Idenau-MTN</t>
        </is>
      </c>
      <c r="B2312" t="inlineStr">
        <is>
          <t>SUO_036</t>
        </is>
      </c>
      <c r="C2312" t="inlineStr">
        <is>
          <t>SUD-OUEST</t>
        </is>
      </c>
      <c r="D2312" t="inlineStr">
        <is>
          <t>IHS</t>
        </is>
      </c>
      <c r="E2312" t="inlineStr">
        <is>
          <t>Grid-Gen</t>
        </is>
      </c>
      <c r="F2312" t="inlineStr">
        <is>
          <t>SUD-OUEST</t>
        </is>
      </c>
      <c r="G2312" t="inlineStr">
        <is>
          <t>Idenau</t>
        </is>
      </c>
      <c r="H2312" t="inlineStr">
        <is>
          <t>HUAWEI</t>
        </is>
      </c>
      <c r="I2312" t="n">
        <v>0</v>
      </c>
      <c r="J2312" t="n">
        <v>0</v>
      </c>
      <c r="K2312" t="n">
        <v>0</v>
      </c>
      <c r="L2312" t="n">
        <v>0</v>
      </c>
      <c r="M2312" t="n">
        <v>0</v>
      </c>
      <c r="N2312" t="n">
        <v>0</v>
      </c>
      <c r="O2312" t="n">
        <v>0</v>
      </c>
      <c r="P2312" t="n">
        <v>0</v>
      </c>
      <c r="Q2312" t="n">
        <v>0</v>
      </c>
      <c r="R2312" t="inlineStr">
        <is>
          <t>Insecurity</t>
        </is>
      </c>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row>
    <row r="2313">
      <c r="A2313" t="inlineStr">
        <is>
          <t>Bogo</t>
        </is>
      </c>
      <c r="B2313" t="inlineStr">
        <is>
          <t>EXN_006</t>
        </is>
      </c>
      <c r="C2313" t="inlineStr">
        <is>
          <t>EXTREME-NORD</t>
        </is>
      </c>
      <c r="D2313" t="inlineStr">
        <is>
          <t>IHS</t>
        </is>
      </c>
      <c r="E2313" t="inlineStr">
        <is>
          <t>Grid-Hybrid-Gen</t>
        </is>
      </c>
      <c r="F2313" t="inlineStr">
        <is>
          <t>EXTREME-NORD</t>
        </is>
      </c>
      <c r="G2313" t="inlineStr">
        <is>
          <t>Bogo</t>
        </is>
      </c>
      <c r="H2313" t="inlineStr">
        <is>
          <t>HUAWEI</t>
        </is>
      </c>
      <c r="I2313" t="n">
        <v>0</v>
      </c>
      <c r="J2313" t="n">
        <v>0</v>
      </c>
      <c r="K2313" t="n">
        <v>0</v>
      </c>
      <c r="L2313" t="n">
        <v>0</v>
      </c>
      <c r="M2313" t="n">
        <v>0</v>
      </c>
      <c r="N2313" t="n">
        <v>0</v>
      </c>
      <c r="O2313" t="n">
        <v>0</v>
      </c>
      <c r="P2313" t="n">
        <v>0</v>
      </c>
      <c r="Q2313" t="n">
        <v>0</v>
      </c>
      <c r="R2313" t="inlineStr">
        <is>
          <t>Insecurity</t>
        </is>
      </c>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row>
    <row r="2314">
      <c r="A2314" t="inlineStr">
        <is>
          <t>Zidim-IHS</t>
        </is>
      </c>
      <c r="B2314" t="inlineStr">
        <is>
          <t>EXN_154</t>
        </is>
      </c>
      <c r="C2314" t="inlineStr">
        <is>
          <t>EXTREME-NORD</t>
        </is>
      </c>
      <c r="D2314" t="inlineStr">
        <is>
          <t>IHS</t>
        </is>
      </c>
      <c r="E2314" t="inlineStr">
        <is>
          <t>Solar-Gen</t>
        </is>
      </c>
      <c r="F2314" t="inlineStr">
        <is>
          <t>EXTREME-NORD</t>
        </is>
      </c>
      <c r="G2314" t="inlineStr">
        <is>
          <t>Zidim</t>
        </is>
      </c>
      <c r="H2314" t="inlineStr">
        <is>
          <t>HUAWEI</t>
        </is>
      </c>
      <c r="I2314" t="n">
        <v>0</v>
      </c>
      <c r="J2314" t="n">
        <v>0</v>
      </c>
      <c r="K2314" t="n">
        <v>0</v>
      </c>
      <c r="L2314" t="n">
        <v>0</v>
      </c>
      <c r="M2314" t="n">
        <v>0</v>
      </c>
      <c r="N2314" t="n">
        <v>0</v>
      </c>
      <c r="O2314" t="n">
        <v>0</v>
      </c>
      <c r="P2314" t="n">
        <v>0</v>
      </c>
      <c r="Q2314" t="n">
        <v>0</v>
      </c>
      <c r="R2314" t="inlineStr">
        <is>
          <t>Insecurity</t>
        </is>
      </c>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row>
    <row r="2315">
      <c r="A2315" t="inlineStr">
        <is>
          <t>Mamfe-Camtel</t>
        </is>
      </c>
      <c r="B2315" t="inlineStr">
        <is>
          <t>SUO_245</t>
        </is>
      </c>
      <c r="C2315" t="inlineStr">
        <is>
          <t>SUD-OUEST</t>
        </is>
      </c>
      <c r="D2315" t="inlineStr">
        <is>
          <t>ESCO</t>
        </is>
      </c>
      <c r="E2315" t="inlineStr">
        <is>
          <t>HGB</t>
        </is>
      </c>
      <c r="F2315" t="inlineStr">
        <is>
          <t>SUD-OUEST</t>
        </is>
      </c>
      <c r="G2315" t="inlineStr">
        <is>
          <t>Mamfe</t>
        </is>
      </c>
      <c r="H2315" t="inlineStr">
        <is>
          <t>NOKIA</t>
        </is>
      </c>
      <c r="I2315" t="n">
        <v>0</v>
      </c>
      <c r="J2315" t="n">
        <v>0</v>
      </c>
      <c r="K2315" t="n">
        <v>0</v>
      </c>
      <c r="L2315" t="n">
        <v>0</v>
      </c>
      <c r="M2315" t="n">
        <v>0</v>
      </c>
      <c r="N2315" t="n">
        <v>0</v>
      </c>
      <c r="O2315" t="n">
        <v>0</v>
      </c>
      <c r="P2315" t="n">
        <v>0</v>
      </c>
      <c r="Q2315" t="n">
        <v>0</v>
      </c>
      <c r="R2315" t="inlineStr">
        <is>
          <t>Insecurity</t>
        </is>
      </c>
      <c r="S2315" t="inlineStr"/>
      <c r="T2315" t="inlineStr"/>
      <c r="U2315" t="inlineStr"/>
      <c r="V2315" t="inlineStr"/>
      <c r="W2315" t="inlineStr"/>
      <c r="X2315" t="inlineStr">
        <is>
          <t>{05-25-2026 incident}: Upadate 6: d'apres le retour du PM , le vevel 0 ne peut pas se rendre sur site aujourdhui car il ya un lockdown declarer dans la zonne jusqu'au 21.05.2026. point EZCALADE a THEO pour Support     ;    {05-25-2026 ocm ran 22H}: 23/05/2026 Site resté down apres bachuo ntai  FME stanley activé ETA asap 
Indisponibiilité des services voix &amp; data dans la zone de SUO_030_N_Bachuo-Ntai et envrions     ;    {05-25-2026 ocm ran 17H}: 23/05/2026 Site resté down apres bachuo ntai  FME stanley activé ETA asap 
Indisponibiilité des services voix &amp; data dans la zone de SUO_030_N_Bachuo-Ntai et envrions</t>
        </is>
      </c>
      <c r="Y2315" t="inlineStr">
        <is>
          <t>{05-25-2026 incident} Upadate 6 d'apres le retour du PM , le vevel 0 ne peut pas se rendre sur site aujourdhui car il ya un lockdown declarer dans la zonne jusqu'au 21.05.2026. point EZCALADE a THEO pour Support 23/05/2026 Site resté down apres bachuo ntai FME stanley activé ETA asap
Indisponibiilité des services voix &amp; data dans la zone de SUO_030_N_Bachuo-Ntai et envrions 23/05/2026 Site resté down apres bachuo ntai FME stanley activé ETA asap
Indisponibiilité des services voix &amp; data dans la zone de SUO_030_N_Bachuo-Ntai et envrions</t>
        </is>
      </c>
      <c r="Z2315" t="inlineStr"/>
      <c r="AA2315" t="inlineStr">
        <is>
          <t>{05-25-2026 incident}: Upadate 6: d'apres le retour du PM , le vevel 0 ne peut pas se rendre sur site aujourdhui car il ya un lockdown declarer dans la zonne jusqu'au 21.05.2026. point EZCALADE a THEO pour Support</t>
        </is>
      </c>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{05-25-2026 ocm ran 22H}: 23/05/2026 Site resté down apres bachuo ntai  FME stanley activé ETA asap 
Indisponibiilité des services voix &amp; data dans la zone de SUO_030_N_Bachuo-Ntai et envrions</t>
        </is>
      </c>
      <c r="AP2315" t="inlineStr">
        <is>
          <t>{05-25-2026 ocm ran 17H}: 23/05/2026 Site resté down apres bachuo ntai  FME stanley activé ETA asap 
Indisponibiilité des services voix &amp; data dans la zone de SUO_030_N_Bachuo-Ntai et envrions</t>
        </is>
      </c>
      <c r="AQ2315" t="inlineStr"/>
      <c r="AR2315" t="inlineStr"/>
    </row>
    <row r="2316">
      <c r="A2316" t="inlineStr">
        <is>
          <t>Kumbo-Bangam-IHS</t>
        </is>
      </c>
      <c r="B2316" t="inlineStr">
        <is>
          <t>NRO_052</t>
        </is>
      </c>
      <c r="C2316" t="inlineStr">
        <is>
          <t>NORD-OUEST</t>
        </is>
      </c>
      <c r="D2316" t="inlineStr">
        <is>
          <t>IHS</t>
        </is>
      </c>
      <c r="E2316" t="inlineStr">
        <is>
          <t>Grid-Gen</t>
        </is>
      </c>
      <c r="F2316" t="inlineStr">
        <is>
          <t>NORD-OUEST</t>
        </is>
      </c>
      <c r="G2316" t="inlineStr">
        <is>
          <t>Kumbo-Bangam</t>
        </is>
      </c>
      <c r="H2316" t="inlineStr">
        <is>
          <t>Huawei</t>
        </is>
      </c>
      <c r="I2316" t="n">
        <v>0</v>
      </c>
      <c r="J2316" t="n">
        <v>0</v>
      </c>
      <c r="K2316" t="n">
        <v>0</v>
      </c>
      <c r="L2316" t="n">
        <v>0</v>
      </c>
      <c r="M2316" t="n">
        <v>0</v>
      </c>
      <c r="N2316" t="n">
        <v>0</v>
      </c>
      <c r="O2316" t="n">
        <v>0</v>
      </c>
      <c r="P2316" t="n">
        <v>0</v>
      </c>
      <c r="Q2316" t="n">
        <v>0</v>
      </c>
      <c r="R2316" t="inlineStr">
        <is>
          <t>Insecurity</t>
        </is>
      </c>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row>
    <row r="2317">
      <c r="A2317" t="inlineStr">
        <is>
          <t>Wina-IHS</t>
        </is>
      </c>
      <c r="B2317" t="inlineStr">
        <is>
          <t>EXN_127</t>
        </is>
      </c>
      <c r="C2317" t="inlineStr">
        <is>
          <t>EXTREME-NORD</t>
        </is>
      </c>
      <c r="D2317" t="inlineStr">
        <is>
          <t>IHS</t>
        </is>
      </c>
      <c r="E2317" t="inlineStr">
        <is>
          <t>Gen Only</t>
        </is>
      </c>
      <c r="F2317" t="inlineStr">
        <is>
          <t>EXTREME-NORD</t>
        </is>
      </c>
      <c r="G2317" t="inlineStr">
        <is>
          <t>Wina</t>
        </is>
      </c>
      <c r="H2317" t="inlineStr">
        <is>
          <t>HUAWEI</t>
        </is>
      </c>
      <c r="I2317" t="n">
        <v>0</v>
      </c>
      <c r="J2317" t="n">
        <v>0</v>
      </c>
      <c r="K2317" t="n">
        <v>0</v>
      </c>
      <c r="L2317" t="n">
        <v>0</v>
      </c>
      <c r="M2317" t="n">
        <v>0</v>
      </c>
      <c r="N2317" t="n">
        <v>0</v>
      </c>
      <c r="O2317" t="n">
        <v>0</v>
      </c>
      <c r="P2317" t="n">
        <v>0</v>
      </c>
      <c r="Q2317" t="n">
        <v>0</v>
      </c>
      <c r="R2317" t="inlineStr">
        <is>
          <t>Insecurity</t>
        </is>
      </c>
      <c r="S2317" t="inlineStr"/>
      <c r="T2317" t="inlineStr"/>
      <c r="U2317" t="inlineStr"/>
      <c r="V2317" t="inlineStr"/>
      <c r="W2317" t="inlineStr"/>
      <c r="X2317" t="inlineStr">
        <is>
          <t>{05-25-2026 ocm ran 17H}: P1 Incident at EXN_074_H_Dziguilao; Power issue; IHS</t>
        </is>
      </c>
      <c r="Y2317" t="inlineStr">
        <is>
          <t>P1 Incident at EXN_074_H_Dziguilao; Power issue; IHS</t>
        </is>
      </c>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is>
          <t>{05-25-2026 ocm ran 17H}: P1 Incident at EXN_074_H_Dziguilao; Power issue; IHS</t>
        </is>
      </c>
      <c r="AQ2317" t="inlineStr"/>
      <c r="AR2317" t="inlineStr"/>
    </row>
    <row r="2318">
      <c r="A2318" t="inlineStr">
        <is>
          <t>Tiko-Stadium-IHS</t>
        </is>
      </c>
      <c r="B2318" t="inlineStr">
        <is>
          <t>SUO_105</t>
        </is>
      </c>
      <c r="C2318" t="inlineStr">
        <is>
          <t>SUD-OUEST</t>
        </is>
      </c>
      <c r="D2318" t="inlineStr">
        <is>
          <t>IHS</t>
        </is>
      </c>
      <c r="E2318" t="inlineStr">
        <is>
          <t>Grid-Gen</t>
        </is>
      </c>
      <c r="F2318" t="inlineStr">
        <is>
          <t>SUD-OUEST</t>
        </is>
      </c>
      <c r="G2318" t="inlineStr">
        <is>
          <t>Tiko</t>
        </is>
      </c>
      <c r="H2318" t="inlineStr">
        <is>
          <t>HUAWEI</t>
        </is>
      </c>
      <c r="I2318" t="n">
        <v>0</v>
      </c>
      <c r="J2318" t="n">
        <v>0</v>
      </c>
      <c r="K2318" t="n">
        <v>0</v>
      </c>
      <c r="L2318" t="n">
        <v>0</v>
      </c>
      <c r="M2318" t="n">
        <v>0</v>
      </c>
      <c r="N2318" t="n">
        <v>0</v>
      </c>
      <c r="O2318" t="n">
        <v>0</v>
      </c>
      <c r="P2318" t="n">
        <v>0</v>
      </c>
      <c r="Q2318" t="n">
        <v>0</v>
      </c>
      <c r="R2318" t="inlineStr">
        <is>
          <t>Insecurity</t>
        </is>
      </c>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row>
    <row r="2319">
      <c r="A2319" t="inlineStr">
        <is>
          <t>Balaza</t>
        </is>
      </c>
      <c r="B2319" t="inlineStr">
        <is>
          <t>EXN_036</t>
        </is>
      </c>
      <c r="C2319" t="inlineStr">
        <is>
          <t>EXTREME-NORD</t>
        </is>
      </c>
      <c r="D2319" t="inlineStr">
        <is>
          <t>IHS</t>
        </is>
      </c>
      <c r="E2319" t="inlineStr">
        <is>
          <t>Solar-Grid-Gen</t>
        </is>
      </c>
      <c r="F2319" t="inlineStr">
        <is>
          <t>EXTREME-NORD</t>
        </is>
      </c>
      <c r="G2319" t="inlineStr">
        <is>
          <t>Balaza</t>
        </is>
      </c>
      <c r="H2319" t="inlineStr">
        <is>
          <t>HUAWEI</t>
        </is>
      </c>
      <c r="I2319" t="n">
        <v>0</v>
      </c>
      <c r="J2319" t="n">
        <v>0</v>
      </c>
      <c r="K2319" t="n">
        <v>0</v>
      </c>
      <c r="L2319" t="n">
        <v>0</v>
      </c>
      <c r="M2319" t="n">
        <v>0</v>
      </c>
      <c r="N2319" t="n">
        <v>0</v>
      </c>
      <c r="O2319" t="n">
        <v>0</v>
      </c>
      <c r="P2319" t="n">
        <v>0</v>
      </c>
      <c r="Q2319" t="n">
        <v>0</v>
      </c>
      <c r="R2319" t="inlineStr">
        <is>
          <t>Insecurity</t>
        </is>
      </c>
      <c r="S2319" t="inlineStr"/>
      <c r="T2319" t="inlineStr"/>
      <c r="U2319" t="inlineStr"/>
      <c r="V2319" t="inlineStr"/>
      <c r="W2319" t="inlineStr"/>
      <c r="X2319" t="inlineStr">
        <is>
          <t>{None hourly IHS}: 25/05/2026 20:20..2:39:24..FME isinformed and managing ETA ASAP     ;    {05-25-2026 ocm ran 22H}: Power status check Ongoing</t>
        </is>
      </c>
      <c r="Y2319" t="inlineStr">
        <is>
          <t>25/05/2026 20 20.2 39 24.FME isinformed and managing ETA ASAP</t>
        </is>
      </c>
      <c r="Z2319" t="inlineStr"/>
      <c r="AA2319" t="inlineStr"/>
      <c r="AB2319" t="inlineStr"/>
      <c r="AC2319" t="inlineStr"/>
      <c r="AD2319" t="inlineStr"/>
      <c r="AE2319" t="inlineStr">
        <is>
          <t>{None hourly IHS}: 25/05/2026 20:20..2:39:24..FME isinformed and managing ETA ASAP</t>
        </is>
      </c>
      <c r="AF2319" t="inlineStr"/>
      <c r="AG2319" t="inlineStr"/>
      <c r="AH2319" t="inlineStr"/>
      <c r="AI2319" t="inlineStr"/>
      <c r="AJ2319" t="inlineStr"/>
      <c r="AK2319" t="inlineStr"/>
      <c r="AL2319" t="inlineStr"/>
      <c r="AM2319" t="inlineStr"/>
      <c r="AN2319" t="inlineStr"/>
      <c r="AO2319" t="inlineStr">
        <is>
          <t>{05-25-2026 ocm ran 22H}: Power status check Ongoing</t>
        </is>
      </c>
      <c r="AP2319" t="inlineStr"/>
      <c r="AQ2319" t="inlineStr"/>
      <c r="AR2319" t="inlineStr"/>
    </row>
    <row r="2320">
      <c r="A2320" t="inlineStr">
        <is>
          <t>Kolofata</t>
        </is>
      </c>
      <c r="B2320" t="inlineStr">
        <is>
          <t>EXN_104</t>
        </is>
      </c>
      <c r="C2320" t="inlineStr">
        <is>
          <t>EXTREME-NORD</t>
        </is>
      </c>
      <c r="D2320" t="inlineStr">
        <is>
          <t>IHS</t>
        </is>
      </c>
      <c r="E2320" t="inlineStr">
        <is>
          <t>Grid-Hybrid-Gen</t>
        </is>
      </c>
      <c r="F2320" t="inlineStr">
        <is>
          <t>EXTREME-NORD</t>
        </is>
      </c>
      <c r="G2320" t="inlineStr">
        <is>
          <t>Kolofata</t>
        </is>
      </c>
      <c r="H2320" t="inlineStr">
        <is>
          <t>HUAWEI</t>
        </is>
      </c>
      <c r="I2320" t="n">
        <v>0</v>
      </c>
      <c r="J2320" t="n">
        <v>0</v>
      </c>
      <c r="K2320" t="n">
        <v>0</v>
      </c>
      <c r="L2320" t="n">
        <v>0</v>
      </c>
      <c r="M2320" t="n">
        <v>0</v>
      </c>
      <c r="N2320" t="n">
        <v>0</v>
      </c>
      <c r="O2320" t="n">
        <v>0</v>
      </c>
      <c r="P2320" t="n">
        <v>0</v>
      </c>
      <c r="Q2320" t="n">
        <v>0</v>
      </c>
      <c r="R2320" t="inlineStr">
        <is>
          <t>Insecurity</t>
        </is>
      </c>
      <c r="S2320" t="inlineStr"/>
      <c r="T2320" t="inlineStr"/>
      <c r="U2320" t="inlineStr"/>
      <c r="V2320" t="inlineStr"/>
      <c r="W2320" t="inlineStr"/>
      <c r="X2320" t="inlineStr">
        <is>
          <t>{05-25-2026 incident}:  {05-18-2026 groupe whatsapp incident}: impacted by    EXN_104_H_Kolofata  ,soucis  d'energie || Action RCA attendu de HIS     ;    {None hourly IHS}: 25/05/2026 13:03..0:57:00..23..Our FME MICHEL is manahging with level zero</t>
        </is>
      </c>
      <c r="Y2320" t="inlineStr">
        <is>
          <t>{05-25-2026 incident} {05-18-2026 groupe whatsapp incident} impacted by EXN_104_H_Kolofata ,soucis d'energie || Action RCA attendu de HIS 25/05/2026 13 03.0 57 00.23.Our FME MICHEL is manahging with level zero</t>
        </is>
      </c>
      <c r="Z2320" t="inlineStr"/>
      <c r="AA2320" t="inlineStr">
        <is>
          <t>{05-25-2026 incident}:  {05-18-2026 groupe whatsapp incident}: impacted by    EXN_104_H_Kolofata  ,soucis  d'energie || Action RCA attendu de HIS</t>
        </is>
      </c>
      <c r="AB2320" t="inlineStr"/>
      <c r="AC2320" t="inlineStr"/>
      <c r="AD2320" t="inlineStr"/>
      <c r="AE2320" t="inlineStr">
        <is>
          <t>{None hourly IHS}: 25/05/2026 13:03..0:57:00..23..Our FME MICHEL is manahging with level zero</t>
        </is>
      </c>
      <c r="AF2320" t="inlineStr"/>
      <c r="AG2320" t="inlineStr"/>
      <c r="AH2320" t="inlineStr"/>
      <c r="AI2320" t="inlineStr"/>
      <c r="AJ2320" t="inlineStr"/>
      <c r="AK2320" t="inlineStr"/>
      <c r="AL2320" t="inlineStr"/>
      <c r="AM2320" t="inlineStr"/>
      <c r="AN2320" t="inlineStr"/>
      <c r="AO2320" t="inlineStr"/>
      <c r="AP2320" t="inlineStr"/>
      <c r="AQ2320" t="inlineStr"/>
      <c r="AR2320" t="inlineStr"/>
    </row>
    <row r="2321">
      <c r="A2321" t="inlineStr">
        <is>
          <t>Pouss-New</t>
        </is>
      </c>
      <c r="B2321" t="inlineStr">
        <is>
          <t>EXN_189</t>
        </is>
      </c>
      <c r="C2321" t="inlineStr">
        <is>
          <t>EXTREME-NORD</t>
        </is>
      </c>
      <c r="D2321" t="inlineStr">
        <is>
          <t>IHS</t>
        </is>
      </c>
      <c r="E2321" t="inlineStr">
        <is>
          <t>Grid-Hybrid-Gen</t>
        </is>
      </c>
      <c r="F2321" t="inlineStr">
        <is>
          <t>EXTREME-NORD</t>
        </is>
      </c>
      <c r="G2321" t="inlineStr">
        <is>
          <t>Pouss</t>
        </is>
      </c>
      <c r="H2321" t="inlineStr">
        <is>
          <t>HUAWEI</t>
        </is>
      </c>
      <c r="I2321" t="n">
        <v>0</v>
      </c>
      <c r="J2321" t="n">
        <v>0</v>
      </c>
      <c r="K2321" t="n">
        <v>0</v>
      </c>
      <c r="L2321" t="n">
        <v>0</v>
      </c>
      <c r="M2321" t="n">
        <v>0</v>
      </c>
      <c r="N2321" t="n">
        <v>0</v>
      </c>
      <c r="O2321" t="n">
        <v>0</v>
      </c>
      <c r="P2321" t="n">
        <v>0</v>
      </c>
      <c r="Q2321" t="n">
        <v>0</v>
      </c>
      <c r="R2321" t="inlineStr">
        <is>
          <t>Insecurity</t>
        </is>
      </c>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row>
    <row r="2322">
      <c r="A2322" t="inlineStr">
        <is>
          <t>Bogo-MTN</t>
        </is>
      </c>
      <c r="B2322" t="inlineStr">
        <is>
          <t>EXN_097</t>
        </is>
      </c>
      <c r="C2322" t="inlineStr">
        <is>
          <t>EXTREME-NORD</t>
        </is>
      </c>
      <c r="D2322" t="inlineStr">
        <is>
          <t>IHS</t>
        </is>
      </c>
      <c r="E2322" t="inlineStr">
        <is>
          <t>Grid-Gen</t>
        </is>
      </c>
      <c r="F2322" t="inlineStr">
        <is>
          <t>EXTREME-NORD</t>
        </is>
      </c>
      <c r="G2322" t="inlineStr">
        <is>
          <t>Bogo</t>
        </is>
      </c>
      <c r="H2322" t="inlineStr">
        <is>
          <t>HUAWEI</t>
        </is>
      </c>
      <c r="I2322" t="n">
        <v>0</v>
      </c>
      <c r="J2322" t="n">
        <v>0</v>
      </c>
      <c r="K2322" t="n">
        <v>0</v>
      </c>
      <c r="L2322" t="n">
        <v>0</v>
      </c>
      <c r="M2322" t="n">
        <v>0</v>
      </c>
      <c r="N2322" t="n">
        <v>0</v>
      </c>
      <c r="O2322" t="n">
        <v>0</v>
      </c>
      <c r="P2322" t="n">
        <v>0</v>
      </c>
      <c r="Q2322" t="n">
        <v>0</v>
      </c>
      <c r="R2322" t="inlineStr">
        <is>
          <t>Insecurity</t>
        </is>
      </c>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row>
    <row r="2323">
      <c r="A2323" t="inlineStr">
        <is>
          <t>Dziguilao</t>
        </is>
      </c>
      <c r="B2323" t="inlineStr">
        <is>
          <t>EXN_074</t>
        </is>
      </c>
      <c r="C2323" t="inlineStr">
        <is>
          <t>EXTREME-NORD</t>
        </is>
      </c>
      <c r="D2323" t="inlineStr">
        <is>
          <t>IHS</t>
        </is>
      </c>
      <c r="E2323" t="inlineStr">
        <is>
          <t>Gen-Solar AER</t>
        </is>
      </c>
      <c r="F2323" t="inlineStr">
        <is>
          <t>EXTREME-NORD</t>
        </is>
      </c>
      <c r="G2323" t="inlineStr">
        <is>
          <t>Dziguilao</t>
        </is>
      </c>
      <c r="H2323" t="inlineStr">
        <is>
          <t>HUAWEI</t>
        </is>
      </c>
      <c r="I2323" t="n">
        <v>0</v>
      </c>
      <c r="J2323" t="n">
        <v>0</v>
      </c>
      <c r="K2323" t="n">
        <v>0</v>
      </c>
      <c r="L2323" t="n">
        <v>0</v>
      </c>
      <c r="M2323" t="n">
        <v>0</v>
      </c>
      <c r="N2323" t="n">
        <v>0</v>
      </c>
      <c r="O2323" t="n">
        <v>0</v>
      </c>
      <c r="P2323" t="n">
        <v>0</v>
      </c>
      <c r="Q2323" t="n">
        <v>0</v>
      </c>
      <c r="R2323" t="inlineStr">
        <is>
          <t>Insecurity</t>
        </is>
      </c>
      <c r="S2323" t="inlineStr"/>
      <c r="T2323" t="inlineStr"/>
      <c r="U2323" t="inlineStr"/>
      <c r="V2323" t="inlineStr"/>
      <c r="W2323" t="inlineStr"/>
      <c r="X2323" t="inlineStr">
        <is>
          <t>{None hourly IHS}: 25/05/2026 14:12..3:07:21..Theo reports DG Faulty     ;    {05-25-2026 ocm ran 17H}: P1 Incident at EXN_074_H_Dziguilao; Power issue; IHS</t>
        </is>
      </c>
      <c r="Y2323" t="inlineStr">
        <is>
          <t>25/05/2026 14 12.3 07 21.Theo reports DG Faulty P1 Incident at EXN_074_H_Dziguilao; Power issue; IHS</t>
        </is>
      </c>
      <c r="Z2323" t="inlineStr"/>
      <c r="AA2323" t="inlineStr"/>
      <c r="AB2323" t="inlineStr"/>
      <c r="AC2323" t="inlineStr"/>
      <c r="AD2323" t="inlineStr"/>
      <c r="AE2323" t="inlineStr">
        <is>
          <t>{None hourly IHS}: 25/05/2026 14:12..3:07:21..Theo reports DG Faulty</t>
        </is>
      </c>
      <c r="AF2323" t="inlineStr"/>
      <c r="AG2323" t="inlineStr"/>
      <c r="AH2323" t="inlineStr"/>
      <c r="AI2323" t="inlineStr"/>
      <c r="AJ2323" t="inlineStr"/>
      <c r="AK2323" t="inlineStr"/>
      <c r="AL2323" t="inlineStr"/>
      <c r="AM2323" t="inlineStr"/>
      <c r="AN2323" t="inlineStr"/>
      <c r="AO2323" t="inlineStr"/>
      <c r="AP2323" t="inlineStr">
        <is>
          <t>{05-25-2026 ocm ran 17H}: P1 Incident at EXN_074_H_Dziguilao; Power issue; IHS</t>
        </is>
      </c>
      <c r="AQ2323" t="inlineStr"/>
      <c r="AR2323" t="inlineStr"/>
    </row>
    <row r="2324">
      <c r="A2324" t="inlineStr">
        <is>
          <t>Tiko-Junction-IHS</t>
        </is>
      </c>
      <c r="B2324" t="inlineStr">
        <is>
          <t>SUO_205</t>
        </is>
      </c>
      <c r="C2324" t="inlineStr">
        <is>
          <t>SUD-OUEST</t>
        </is>
      </c>
      <c r="D2324" t="inlineStr">
        <is>
          <t>IHS</t>
        </is>
      </c>
      <c r="E2324" t="inlineStr">
        <is>
          <t>Grid-Gen</t>
        </is>
      </c>
      <c r="F2324" t="inlineStr">
        <is>
          <t>SUD-OUEST</t>
        </is>
      </c>
      <c r="G2324" t="inlineStr">
        <is>
          <t>Tiko</t>
        </is>
      </c>
      <c r="H2324" t="inlineStr">
        <is>
          <t>HUAWEI</t>
        </is>
      </c>
      <c r="I2324" t="n">
        <v>0</v>
      </c>
      <c r="J2324" t="n">
        <v>0</v>
      </c>
      <c r="K2324" t="n">
        <v>0</v>
      </c>
      <c r="L2324" t="n">
        <v>0</v>
      </c>
      <c r="M2324" t="n">
        <v>0</v>
      </c>
      <c r="N2324" t="n">
        <v>0</v>
      </c>
      <c r="O2324" t="n">
        <v>0</v>
      </c>
      <c r="P2324" t="n">
        <v>0</v>
      </c>
      <c r="Q2324" t="n">
        <v>0</v>
      </c>
      <c r="R2324" t="inlineStr">
        <is>
          <t>Insecurity</t>
        </is>
      </c>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row>
    <row r="2325">
      <c r="A2325" t="inlineStr">
        <is>
          <t>Kembong</t>
        </is>
      </c>
      <c r="B2325" t="inlineStr">
        <is>
          <t>NRO_026</t>
        </is>
      </c>
      <c r="C2325" t="inlineStr">
        <is>
          <t>NORD-OUEST</t>
        </is>
      </c>
      <c r="D2325" t="inlineStr">
        <is>
          <t>IHS</t>
        </is>
      </c>
      <c r="E2325" t="inlineStr">
        <is>
          <t>Grid-Gen</t>
        </is>
      </c>
      <c r="F2325" t="inlineStr">
        <is>
          <t>NORD-OUEST</t>
        </is>
      </c>
      <c r="G2325" t="inlineStr">
        <is>
          <t>Kembong</t>
        </is>
      </c>
      <c r="H2325" t="inlineStr">
        <is>
          <t>NOKIA</t>
        </is>
      </c>
      <c r="I2325" t="n">
        <v>0</v>
      </c>
      <c r="J2325" t="n">
        <v>0</v>
      </c>
      <c r="K2325" t="n">
        <v>0</v>
      </c>
      <c r="L2325" t="n">
        <v>0</v>
      </c>
      <c r="M2325" t="n">
        <v>0</v>
      </c>
      <c r="N2325" t="n">
        <v>0</v>
      </c>
      <c r="O2325" t="n">
        <v>0</v>
      </c>
      <c r="P2325" t="n">
        <v>0</v>
      </c>
      <c r="Q2325" t="n">
        <v>0</v>
      </c>
      <c r="R2325" t="inlineStr">
        <is>
          <t>Insecurity</t>
        </is>
      </c>
      <c r="S2325" t="inlineStr"/>
      <c r="T2325" t="inlineStr"/>
      <c r="U2325" t="inlineStr"/>
      <c r="V2325" t="inlineStr"/>
      <c r="W2325" t="inlineStr"/>
      <c r="X2325" t="inlineStr">
        <is>
          <t>{05-25-2026 incident}:  {05-18-2026 groupe whatsapp incident}: impacted by     SUO_030_N_Bachuo-Ntai  ,RCA: Dépointage du lien Fontem_Fainchang / Sans action     ;    {05/25/2026 cell nokia}: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     ;    {05/25/2026 cell nokia}: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     ;    {05-25-2026 ticket}: INC-20260525-00002579..IHS Please share your feedback..Sans action..MW Link Instability..Dépointage lien Fontem - Fainchang..user:TCHOUPOU BAUDOIN VALDAS</t>
        </is>
      </c>
      <c r="Y2325" t="inlineStr">
        <is>
          <t>{05-25-2026 incident} {05-18-2026 groupe whatsapp incident} impacted by SUO_030_N_Bachuo-Ntai ,RCA Dépointage du lien Fontem_Fainchang / Sans action 25/05/2026 GHOST TOWN
22/05/2026 Action avec le level non productive || Look down dans la zone || Feedback PM Intevenion planned 24.05.2025 while waiting acces to be granted by local resident
21/05/2026 Access isssue || Action evec le level 0 en cours || Si l'action n'aboutti pas le FME interveindra demain si l'access est possible
19/05/2026 LOCK DOWN
18/05/2026 GHOST TOWN
17/05/2026 No access for this site for now we keep tryin
16/05/2026 No access for this site for now we keep trying
15/05/2026 No access for this site for now we keep trying
14/05/2026 Feedback RM No access for this site for now we keep trying
12/05/2026 Fme should check and clean jumper, port 1 || Insecurity zone Access clearance negotiation on site for intervention
11/05/2026 Ghost town
09/05/2026 Need BO RAN analysis || Fme should check and clean jumper, port 1 25/05/2026 GHOST TOWN
22/05/2026 Action avec le level non productive || Look down dans la zone || Feedback PM Intevenion planned 24.05.2025 while waiting acces to be granted by local resident
21/05/2026 Access isssue || Action evec le level 0 en cours || Si l'action n'aboutti pas le FME interveindra demain si l'access est possible
19/05/2026 LOCK DOWN
18/05/2026 GHOST TOWN
17/05/2026 No access for this site for now we keep tryin
16/05/2026 No access for this site for now we keep trying
15/05/2026 No access for this site for now we keep trying
14/05/2026 Feedback RM No access for this site for now we keep trying
12/05/2026 Fme should check and clean jumper, port 1 || Insecurity zone Access clearance negotiation on site for intervention
11/05/2026 Ghost town
09/05/2026 Need BO RAN analysis || Fme should check and clean jumper, port 1 .IHS Please share your feedback.Sans action.MW Link Instability.Dépointage lien Fontem - Fainchang.user TCHOUPOU BAUDOIN VALDAS</t>
        </is>
      </c>
      <c r="Z2325" t="inlineStr"/>
      <c r="AA2325" t="inlineStr">
        <is>
          <t>{05-25-2026 incident}:  {05-18-2026 groupe whatsapp incident}: impacted by     SUO_030_N_Bachuo-Ntai  ,RCA: Dépointage du lien Fontem_Fainchang / Sans action</t>
        </is>
      </c>
      <c r="AB2325" t="inlineStr"/>
      <c r="AC2325" t="inlineStr"/>
      <c r="AD2325" t="inlineStr"/>
      <c r="AE2325" t="inlineStr"/>
      <c r="AF2325" t="inlineStr">
        <is>
          <t>{05/25/2026 cell nokia}: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325" t="inlineStr">
        <is>
          <t>{05/25/2026 cell nokia}: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325" t="inlineStr"/>
      <c r="AI2325" t="inlineStr"/>
      <c r="AJ2325" t="inlineStr"/>
      <c r="AK2325" t="inlineStr"/>
      <c r="AL2325" t="inlineStr"/>
      <c r="AM2325" t="inlineStr"/>
      <c r="AN2325" t="inlineStr"/>
      <c r="AO2325" t="inlineStr"/>
      <c r="AP2325" t="inlineStr"/>
      <c r="AQ2325" t="inlineStr">
        <is>
          <t>{05-25-2026 ticket}: INC-20260525-00002579..IHS Please share your feedback..Sans action..MW Link Instability..Dépointage lien Fontem - Fainchang..user:TCHOUPOU BAUDOIN VALDAS</t>
        </is>
      </c>
      <c r="AR2325" t="inlineStr"/>
    </row>
    <row r="2326">
      <c r="A2326" t="inlineStr">
        <is>
          <t>Mamfe-Brasserie</t>
        </is>
      </c>
      <c r="B2326" t="inlineStr">
        <is>
          <t>SUO_073</t>
        </is>
      </c>
      <c r="C2326" t="inlineStr">
        <is>
          <t>SUD-OUEST</t>
        </is>
      </c>
      <c r="D2326" t="inlineStr">
        <is>
          <t>IHS</t>
        </is>
      </c>
      <c r="E2326" t="inlineStr">
        <is>
          <t>Grid-Gen</t>
        </is>
      </c>
      <c r="F2326" t="inlineStr">
        <is>
          <t>SUD-OUEST</t>
        </is>
      </c>
      <c r="G2326" t="inlineStr">
        <is>
          <t>Mamfe</t>
        </is>
      </c>
      <c r="H2326" t="inlineStr">
        <is>
          <t>Huawei</t>
        </is>
      </c>
      <c r="I2326" t="n">
        <v>0</v>
      </c>
      <c r="J2326" t="n">
        <v>0</v>
      </c>
      <c r="K2326" t="n">
        <v>0</v>
      </c>
      <c r="L2326" t="n">
        <v>0</v>
      </c>
      <c r="M2326" t="n">
        <v>0</v>
      </c>
      <c r="N2326" t="n">
        <v>0</v>
      </c>
      <c r="O2326" t="n">
        <v>0</v>
      </c>
      <c r="P2326" t="n">
        <v>0</v>
      </c>
      <c r="Q2326" t="n">
        <v>0</v>
      </c>
      <c r="R2326" t="inlineStr">
        <is>
          <t>Insecurity</t>
        </is>
      </c>
      <c r="S2326" t="inlineStr"/>
      <c r="T2326" t="inlineStr"/>
      <c r="U2326" t="inlineStr"/>
      <c r="V2326" t="inlineStr"/>
      <c r="W2326" t="inlineStr"/>
      <c r="X2326" t="inlineStr">
        <is>
          <t>{05-25-2026 incident}: Upadate 6: d'apres le retour du PM , le vevel 0 ne peut pas se rendre sur site aujourdhui car il ya un lockdown declarer dans la zonne jusqu'au 21.05.2026. point EZCALADE a THEO pour Support</t>
        </is>
      </c>
      <c r="Y2326" t="inlineStr">
        <is>
          <t>{05-25-2026 incident} Upadate 6 d'apres le retour du PM , le vevel 0 ne peut pas se rendre sur site aujourdhui car il ya un lockdown declarer dans la zonne jusqu'au 21.05.2026. point EZCALADE a THEO pour Support</t>
        </is>
      </c>
      <c r="Z2326" t="inlineStr"/>
      <c r="AA2326" t="inlineStr">
        <is>
          <t>{05-25-2026 incident}: Upadate 6: d'apres le retour du PM , le vevel 0 ne peut pas se rendre sur site aujourdhui car il ya un lockdown declarer dans la zonne jusqu'au 21.05.2026. point EZCALADE a THEO pour Support</t>
        </is>
      </c>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row>
    <row r="2327">
      <c r="A2327" t="inlineStr">
        <is>
          <t>Guidiguis</t>
        </is>
      </c>
      <c r="B2327" t="inlineStr">
        <is>
          <t>EXN_018</t>
        </is>
      </c>
      <c r="C2327" t="inlineStr">
        <is>
          <t>EXTREME-NORD</t>
        </is>
      </c>
      <c r="D2327" t="inlineStr">
        <is>
          <t>IHS</t>
        </is>
      </c>
      <c r="E2327" t="inlineStr">
        <is>
          <t>Grid-Gen</t>
        </is>
      </c>
      <c r="F2327" t="inlineStr">
        <is>
          <t>EXTREME-NORD</t>
        </is>
      </c>
      <c r="G2327" t="inlineStr">
        <is>
          <t>Guidiguis</t>
        </is>
      </c>
      <c r="H2327" t="inlineStr">
        <is>
          <t>HUAWEI</t>
        </is>
      </c>
      <c r="I2327" t="n">
        <v>0</v>
      </c>
      <c r="J2327" t="n">
        <v>0</v>
      </c>
      <c r="K2327" t="n">
        <v>0</v>
      </c>
      <c r="L2327" t="n">
        <v>0</v>
      </c>
      <c r="M2327" t="n">
        <v>0</v>
      </c>
      <c r="N2327" t="n">
        <v>0</v>
      </c>
      <c r="O2327" t="n">
        <v>0</v>
      </c>
      <c r="P2327" t="n">
        <v>0</v>
      </c>
      <c r="Q2327" t="n">
        <v>0</v>
      </c>
      <c r="R2327" t="inlineStr">
        <is>
          <t>Insecurity</t>
        </is>
      </c>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row>
    <row r="2328">
      <c r="A2328" t="inlineStr">
        <is>
          <t>Ekata-IHS</t>
        </is>
      </c>
      <c r="B2328" t="inlineStr">
        <is>
          <t>SUO_266</t>
        </is>
      </c>
      <c r="C2328" t="inlineStr">
        <is>
          <t>SUD-OUEST</t>
        </is>
      </c>
      <c r="D2328" t="inlineStr"/>
      <c r="E2328" t="inlineStr"/>
      <c r="F2328" t="inlineStr">
        <is>
          <t>SUD-OUEST</t>
        </is>
      </c>
      <c r="G2328" t="inlineStr">
        <is>
          <t>Bavenga</t>
        </is>
      </c>
      <c r="H2328" t="inlineStr">
        <is>
          <t>HUAWEI</t>
        </is>
      </c>
      <c r="I2328" t="n">
        <v>0</v>
      </c>
      <c r="J2328" t="n">
        <v>0</v>
      </c>
      <c r="K2328" t="n">
        <v>0</v>
      </c>
      <c r="L2328" t="n">
        <v>0</v>
      </c>
      <c r="M2328" t="n">
        <v>0</v>
      </c>
      <c r="N2328" t="n">
        <v>0</v>
      </c>
      <c r="O2328" t="n">
        <v>0</v>
      </c>
      <c r="P2328" t="n">
        <v>0</v>
      </c>
      <c r="Q2328" t="n">
        <v>0</v>
      </c>
      <c r="R2328" t="inlineStr">
        <is>
          <t>Insecurity</t>
        </is>
      </c>
      <c r="S2328" t="inlineStr"/>
      <c r="T2328" t="inlineStr"/>
      <c r="U2328" t="inlineStr"/>
      <c r="V2328" t="inlineStr"/>
      <c r="W2328" t="inlineStr"/>
      <c r="X2328" t="inlineStr">
        <is>
          <t>{05-25-2026 ocm ran 22H}: P2 incident at SUO_008_N_Mpenda-Mbocko-IHS; Power issue; IHS     ;    {05-25-2026 ocm ran 17H}: P2 incident at SUO_008_N_Mpenda-Mbocko-IHS</t>
        </is>
      </c>
      <c r="Y2328" t="inlineStr">
        <is>
          <t>P2 incident at SUO_008_N_Mpenda-Mbocko-IHS; Power issue; IHS P2 incident at SUO_008_N_Mpenda-Mbocko-IHS</t>
        </is>
      </c>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{05-25-2026 ocm ran 22H}: P2 incident at SUO_008_N_Mpenda-Mbocko-IHS; Power issue; IHS</t>
        </is>
      </c>
      <c r="AP2328" t="inlineStr">
        <is>
          <t>{05-25-2026 ocm ran 17H}: P2 incident at SUO_008_N_Mpenda-Mbocko-IHS</t>
        </is>
      </c>
      <c r="AQ2328" t="inlineStr"/>
      <c r="AR2328" t="inlineStr"/>
    </row>
    <row r="2329">
      <c r="A2329" t="inlineStr">
        <is>
          <t>Bambili</t>
        </is>
      </c>
      <c r="B2329" t="inlineStr">
        <is>
          <t>SUO_010</t>
        </is>
      </c>
      <c r="C2329" t="inlineStr">
        <is>
          <t>NORD-OUEST</t>
        </is>
      </c>
      <c r="D2329" t="inlineStr">
        <is>
          <t>IHS</t>
        </is>
      </c>
      <c r="E2329" t="inlineStr">
        <is>
          <t>Grid-Gen</t>
        </is>
      </c>
      <c r="F2329" t="inlineStr">
        <is>
          <t>SUD-OUEST</t>
        </is>
      </c>
      <c r="G2329" t="inlineStr">
        <is>
          <t>Bambili</t>
        </is>
      </c>
      <c r="H2329" t="inlineStr">
        <is>
          <t>Huawei</t>
        </is>
      </c>
      <c r="I2329" t="n">
        <v>0</v>
      </c>
      <c r="J2329" t="n">
        <v>0</v>
      </c>
      <c r="K2329" t="n">
        <v>0</v>
      </c>
      <c r="L2329" t="n">
        <v>0</v>
      </c>
      <c r="M2329" t="n">
        <v>0</v>
      </c>
      <c r="N2329" t="n">
        <v>0</v>
      </c>
      <c r="O2329" t="n">
        <v>0</v>
      </c>
      <c r="P2329" t="n">
        <v>0</v>
      </c>
      <c r="Q2329" t="n">
        <v>0</v>
      </c>
      <c r="R2329" t="inlineStr">
        <is>
          <t>Insecurity</t>
        </is>
      </c>
      <c r="S2329" t="inlineStr"/>
      <c r="T2329" t="inlineStr"/>
      <c r="U2329" t="inlineStr"/>
      <c r="V2329" t="inlineStr"/>
      <c r="W2329" t="inlineStr"/>
      <c r="X2329" t="inlineStr">
        <is>
          <t>{None hourly IHS}: 25/05/2026 05:19..1:04:19..FME is managing with L0 ETA 06:10</t>
        </is>
      </c>
      <c r="Y2329" t="inlineStr">
        <is>
          <t>25/05/2026 05 19.1 04 19.FME is managing with L0 ETA 06 10</t>
        </is>
      </c>
      <c r="Z2329" t="inlineStr"/>
      <c r="AA2329" t="inlineStr"/>
      <c r="AB2329" t="inlineStr"/>
      <c r="AC2329" t="inlineStr"/>
      <c r="AD2329" t="inlineStr"/>
      <c r="AE2329" t="inlineStr">
        <is>
          <t>{None hourly IHS}: 25/05/2026 05:19..1:04:19..FME is managing with L0 ETA 06:10</t>
        </is>
      </c>
      <c r="AF2329" t="inlineStr"/>
      <c r="AG2329" t="inlineStr"/>
      <c r="AH2329" t="inlineStr"/>
      <c r="AI2329" t="inlineStr"/>
      <c r="AJ2329" t="inlineStr"/>
      <c r="AK2329" t="inlineStr"/>
      <c r="AL2329" t="inlineStr"/>
      <c r="AM2329" t="inlineStr"/>
      <c r="AN2329" t="inlineStr"/>
      <c r="AO2329" t="inlineStr"/>
      <c r="AP2329" t="inlineStr"/>
      <c r="AQ2329" t="inlineStr"/>
      <c r="AR2329" t="inlineStr"/>
    </row>
    <row r="2330">
      <c r="A2330" t="inlineStr">
        <is>
          <t>Hina</t>
        </is>
      </c>
      <c r="B2330" t="inlineStr">
        <is>
          <t>EXN_047</t>
        </is>
      </c>
      <c r="C2330" t="inlineStr">
        <is>
          <t>EXTREME-NORD</t>
        </is>
      </c>
      <c r="D2330" t="inlineStr">
        <is>
          <t>IHS</t>
        </is>
      </c>
      <c r="E2330" t="inlineStr">
        <is>
          <t>Solar-Gen</t>
        </is>
      </c>
      <c r="F2330" t="inlineStr">
        <is>
          <t>EXTREME-NORD</t>
        </is>
      </c>
      <c r="G2330" t="inlineStr">
        <is>
          <t>Hina</t>
        </is>
      </c>
      <c r="H2330" t="inlineStr">
        <is>
          <t>HUAWEI</t>
        </is>
      </c>
      <c r="I2330" t="n">
        <v>0</v>
      </c>
      <c r="J2330" t="n">
        <v>0</v>
      </c>
      <c r="K2330" t="n">
        <v>0</v>
      </c>
      <c r="L2330" t="n">
        <v>0</v>
      </c>
      <c r="M2330" t="n">
        <v>0</v>
      </c>
      <c r="N2330" t="n">
        <v>0</v>
      </c>
      <c r="O2330" t="n">
        <v>0</v>
      </c>
      <c r="P2330" t="n">
        <v>0</v>
      </c>
      <c r="Q2330" t="n">
        <v>0</v>
      </c>
      <c r="R2330" t="inlineStr">
        <is>
          <t>Insecurity</t>
        </is>
      </c>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row>
    <row r="2331">
      <c r="A2331" t="inlineStr">
        <is>
          <t>Mile29-Mamfe-IHS</t>
        </is>
      </c>
      <c r="B2331" t="inlineStr">
        <is>
          <t>SUO_102</t>
        </is>
      </c>
      <c r="C2331" t="inlineStr">
        <is>
          <t>SUD-OUEST</t>
        </is>
      </c>
      <c r="D2331" t="inlineStr">
        <is>
          <t>IHS</t>
        </is>
      </c>
      <c r="E2331" t="inlineStr">
        <is>
          <t>Solar-Gen</t>
        </is>
      </c>
      <c r="F2331" t="inlineStr">
        <is>
          <t>SUD-OUEST</t>
        </is>
      </c>
      <c r="G2331" t="inlineStr">
        <is>
          <t>Mile29</t>
        </is>
      </c>
      <c r="H2331" t="inlineStr">
        <is>
          <t>NOKIA</t>
        </is>
      </c>
      <c r="I2331" t="n">
        <v>0</v>
      </c>
      <c r="J2331" t="n">
        <v>0</v>
      </c>
      <c r="K2331" t="n">
        <v>0</v>
      </c>
      <c r="L2331" t="n">
        <v>0</v>
      </c>
      <c r="M2331" t="n">
        <v>0</v>
      </c>
      <c r="N2331" t="n">
        <v>0</v>
      </c>
      <c r="O2331" t="n">
        <v>0</v>
      </c>
      <c r="P2331" t="n">
        <v>0</v>
      </c>
      <c r="Q2331" t="n">
        <v>0</v>
      </c>
      <c r="R2331" t="inlineStr">
        <is>
          <t>Insecurity</t>
        </is>
      </c>
      <c r="S2331" t="inlineStr"/>
      <c r="T2331" t="inlineStr"/>
      <c r="U2331" t="inlineStr"/>
      <c r="V2331" t="inlineStr"/>
      <c r="W2331" t="inlineStr"/>
      <c r="X2331" t="inlineStr">
        <is>
          <t>{05-25-2026 incident}: Upadate 6: d'apres le retour du PM , le vevel 0 ne peut pas se rendre sur site aujourdhui car il ya un lockdown declarer dans la zonne jusqu'au 21.05.2026. point EZCALADE a THEO pour Support</t>
        </is>
      </c>
      <c r="Y2331" t="inlineStr">
        <is>
          <t>{05-25-2026 incident} Upadate 6 d'apres le retour du PM , le vevel 0 ne peut pas se rendre sur site aujourdhui car il ya un lockdown declarer dans la zonne jusqu'au 21.05.2026. point EZCALADE a THEO pour Support</t>
        </is>
      </c>
      <c r="Z2331" t="inlineStr"/>
      <c r="AA2331" t="inlineStr">
        <is>
          <t>{05-25-2026 incident}: Upadate 6: d'apres le retour du PM , le vevel 0 ne peut pas se rendre sur site aujourdhui car il ya un lockdown declarer dans la zonne jusqu'au 21.05.2026. point EZCALADE a THEO pour Support</t>
        </is>
      </c>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row>
    <row r="2332">
      <c r="A2332" t="inlineStr">
        <is>
          <t>Elogbatindi</t>
        </is>
      </c>
      <c r="B2332" t="inlineStr">
        <is>
          <t>SUO_037</t>
        </is>
      </c>
      <c r="C2332" t="inlineStr">
        <is>
          <t>LITTORAL</t>
        </is>
      </c>
      <c r="D2332" t="inlineStr">
        <is>
          <t>IHS</t>
        </is>
      </c>
      <c r="E2332" t="inlineStr">
        <is>
          <t>Grid-Gen</t>
        </is>
      </c>
      <c r="F2332" t="inlineStr">
        <is>
          <t>SUD-OUEST</t>
        </is>
      </c>
      <c r="G2332" t="inlineStr">
        <is>
          <t>Elogbatindi</t>
        </is>
      </c>
      <c r="H2332" t="inlineStr">
        <is>
          <t>ZTE</t>
        </is>
      </c>
      <c r="I2332" t="n">
        <v>0</v>
      </c>
      <c r="J2332" t="n">
        <v>0</v>
      </c>
      <c r="K2332" t="n">
        <v>0</v>
      </c>
      <c r="L2332" t="n">
        <v>0</v>
      </c>
      <c r="M2332" t="n">
        <v>0</v>
      </c>
      <c r="N2332" t="n">
        <v>0</v>
      </c>
      <c r="O2332" t="n">
        <v>0</v>
      </c>
      <c r="P2332" t="n">
        <v>0</v>
      </c>
      <c r="Q2332" t="n">
        <v>0</v>
      </c>
      <c r="R2332" t="inlineStr">
        <is>
          <t>Insecurity</t>
        </is>
      </c>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row>
    <row r="2333">
      <c r="A2333" t="inlineStr">
        <is>
          <t>Mamfe-Centre-IHS</t>
        </is>
      </c>
      <c r="B2333" t="inlineStr">
        <is>
          <t>SUO_106</t>
        </is>
      </c>
      <c r="C2333" t="inlineStr">
        <is>
          <t>SUD-OUEST</t>
        </is>
      </c>
      <c r="D2333" t="inlineStr">
        <is>
          <t>IHS</t>
        </is>
      </c>
      <c r="E2333" t="inlineStr">
        <is>
          <t>Grid - Gen</t>
        </is>
      </c>
      <c r="F2333" t="inlineStr">
        <is>
          <t>SUD-OUEST</t>
        </is>
      </c>
      <c r="G2333" t="inlineStr">
        <is>
          <t>Mamfe</t>
        </is>
      </c>
      <c r="H2333" t="inlineStr">
        <is>
          <t>NOKIA</t>
        </is>
      </c>
      <c r="I2333" t="n">
        <v>0</v>
      </c>
      <c r="J2333" t="n">
        <v>0</v>
      </c>
      <c r="K2333" t="n">
        <v>0</v>
      </c>
      <c r="L2333" t="n">
        <v>0</v>
      </c>
      <c r="M2333" t="n">
        <v>0</v>
      </c>
      <c r="N2333" t="n">
        <v>0</v>
      </c>
      <c r="O2333" t="n">
        <v>0</v>
      </c>
      <c r="P2333" t="n">
        <v>0</v>
      </c>
      <c r="Q2333" t="n">
        <v>0</v>
      </c>
      <c r="R2333" t="inlineStr">
        <is>
          <t>Insecurity</t>
        </is>
      </c>
      <c r="S2333" t="inlineStr"/>
      <c r="T2333" t="inlineStr"/>
      <c r="U2333" t="inlineStr"/>
      <c r="V2333" t="inlineStr"/>
      <c r="W2333" t="inlineStr"/>
      <c r="X2333" t="inlineStr">
        <is>
          <t>{05-25-2026 incident}: Upadate 6: d'apres le retour du PM , le vevel 0 ne peut pas se rendre sur site aujourdhui car il ya un lockdown declarer dans la zonne jusqu'au 21.05.2026. point EZCALADE a THEO pour Support     ;    {05-25-2026 ticket}: INC-20260525-00004861..power instability..Grid Outage</t>
        </is>
      </c>
      <c r="Y2333" t="inlineStr">
        <is>
          <t>{05-25-2026 incident} Upadate 6 d'apres le retour du PM , le vevel 0 ne peut pas se rendre sur site aujourdhui car il ya un lockdown declarer dans la zonne jusqu'au 21.05.2026. point EZCALADE a THEO pour Support .power instability.Grid Outage</t>
        </is>
      </c>
      <c r="Z2333" t="inlineStr"/>
      <c r="AA2333" t="inlineStr">
        <is>
          <t>{05-25-2026 incident}: Upadate 6: d'apres le retour du PM , le vevel 0 ne peut pas se rendre sur site aujourdhui car il ya un lockdown declarer dans la zonne jusqu'au 21.05.2026. point EZCALADE a THEO pour Support</t>
        </is>
      </c>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is>
          <t>{05-25-2026 ticket}: INC-20260525-00004861..power instability..Grid Outage</t>
        </is>
      </c>
      <c r="AR2333" t="inlineStr"/>
    </row>
    <row r="2334">
      <c r="A2334" t="inlineStr">
        <is>
          <t>Datcheka</t>
        </is>
      </c>
      <c r="B2334" t="inlineStr">
        <is>
          <t>EXN_075</t>
        </is>
      </c>
      <c r="C2334" t="inlineStr">
        <is>
          <t>EXTREME-NORD</t>
        </is>
      </c>
      <c r="D2334" t="inlineStr">
        <is>
          <t>IHS</t>
        </is>
      </c>
      <c r="E2334" t="inlineStr">
        <is>
          <t>Gen-Solar AER</t>
        </is>
      </c>
      <c r="F2334" t="inlineStr">
        <is>
          <t>EXTREME-NORD</t>
        </is>
      </c>
      <c r="G2334" t="inlineStr">
        <is>
          <t>Datcheka</t>
        </is>
      </c>
      <c r="H2334" t="inlineStr">
        <is>
          <t>HUAWEI</t>
        </is>
      </c>
      <c r="I2334" t="n">
        <v>0</v>
      </c>
      <c r="J2334" t="n">
        <v>0</v>
      </c>
      <c r="K2334" t="n">
        <v>0</v>
      </c>
      <c r="L2334" t="n">
        <v>0</v>
      </c>
      <c r="M2334" t="n">
        <v>0</v>
      </c>
      <c r="N2334" t="n">
        <v>0</v>
      </c>
      <c r="O2334" t="n">
        <v>0</v>
      </c>
      <c r="P2334" t="n">
        <v>0</v>
      </c>
      <c r="Q2334" t="n">
        <v>0</v>
      </c>
      <c r="R2334" t="inlineStr">
        <is>
          <t>Insecurity</t>
        </is>
      </c>
      <c r="S2334" t="inlineStr"/>
      <c r="T2334" t="inlineStr"/>
      <c r="U2334" t="inlineStr"/>
      <c r="V2334" t="inlineStr"/>
      <c r="W2334" t="inlineStr"/>
      <c r="X2334" t="inlineStr">
        <is>
          <t>{05-25-2026 ocm ran 17H}: P1 Incident at EXN_074_H_Dziguilao; Power issue; IHS</t>
        </is>
      </c>
      <c r="Y2334" t="inlineStr">
        <is>
          <t>P1 Incident at EXN_074_H_Dziguilao; Power issue; IHS</t>
        </is>
      </c>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is>
          <t>{05-25-2026 ocm ran 17H}: P1 Incident at EXN_074_H_Dziguilao; Power issue; IHS</t>
        </is>
      </c>
      <c r="AQ2334" t="inlineStr"/>
      <c r="AR2334" t="inlineStr"/>
    </row>
    <row r="2335">
      <c r="A2335" t="inlineStr">
        <is>
          <t>Minawao-IHS</t>
        </is>
      </c>
      <c r="B2335" t="inlineStr">
        <is>
          <t>EXN_155</t>
        </is>
      </c>
      <c r="C2335" t="inlineStr">
        <is>
          <t>EXTREME-NORD</t>
        </is>
      </c>
      <c r="D2335" t="inlineStr">
        <is>
          <t>IHS</t>
        </is>
      </c>
      <c r="E2335" t="inlineStr">
        <is>
          <t>Solar-Gen</t>
        </is>
      </c>
      <c r="F2335" t="inlineStr">
        <is>
          <t>EXTREME-NORD</t>
        </is>
      </c>
      <c r="G2335" t="inlineStr">
        <is>
          <t>Minawao</t>
        </is>
      </c>
      <c r="H2335" t="inlineStr">
        <is>
          <t>HUAWEI</t>
        </is>
      </c>
      <c r="I2335" t="n">
        <v>0</v>
      </c>
      <c r="J2335" t="n">
        <v>0</v>
      </c>
      <c r="K2335" t="n">
        <v>0</v>
      </c>
      <c r="L2335" t="n">
        <v>0</v>
      </c>
      <c r="M2335" t="n">
        <v>0</v>
      </c>
      <c r="N2335" t="n">
        <v>0</v>
      </c>
      <c r="O2335" t="n">
        <v>0</v>
      </c>
      <c r="P2335" t="n">
        <v>0</v>
      </c>
      <c r="Q2335" t="n">
        <v>0</v>
      </c>
      <c r="R2335" t="inlineStr">
        <is>
          <t>Insecurity</t>
        </is>
      </c>
      <c r="S2335" t="inlineStr"/>
      <c r="T2335" t="inlineStr"/>
      <c r="U2335" t="inlineStr"/>
      <c r="V2335" t="inlineStr"/>
      <c r="W2335" t="inlineStr"/>
      <c r="X2335" t="inlineStr">
        <is>
          <t>{None hourly IHS}: 25/05/2026 07:20..1:40:00..1.7 V..Our FME robert IS MANAGING with level zero</t>
        </is>
      </c>
      <c r="Y2335" t="inlineStr">
        <is>
          <t>25/05/2026 07 20.1 40 00.1.7 V.Our FME robert IS MANAGING with level zero</t>
        </is>
      </c>
      <c r="Z2335" t="inlineStr"/>
      <c r="AA2335" t="inlineStr"/>
      <c r="AB2335" t="inlineStr"/>
      <c r="AC2335" t="inlineStr"/>
      <c r="AD2335" t="inlineStr"/>
      <c r="AE2335" t="inlineStr">
        <is>
          <t>{None hourly IHS}: 25/05/2026 07:20..1:40:00..1.7 V..Our FME robert IS MANAGING with level zero</t>
        </is>
      </c>
      <c r="AF2335" t="inlineStr"/>
      <c r="AG2335" t="inlineStr"/>
      <c r="AH2335" t="inlineStr"/>
      <c r="AI2335" t="inlineStr"/>
      <c r="AJ2335" t="inlineStr"/>
      <c r="AK2335" t="inlineStr"/>
      <c r="AL2335" t="inlineStr"/>
      <c r="AM2335" t="inlineStr"/>
      <c r="AN2335" t="inlineStr"/>
      <c r="AO2335" t="inlineStr"/>
      <c r="AP2335" t="inlineStr"/>
      <c r="AQ2335" t="inlineStr"/>
      <c r="AR2335" t="inlineStr"/>
    </row>
    <row r="2336">
      <c r="A2336" t="inlineStr">
        <is>
          <t>Kikai-IHS</t>
        </is>
      </c>
      <c r="B2336" t="inlineStr">
        <is>
          <t>NRO_053</t>
        </is>
      </c>
      <c r="C2336" t="inlineStr">
        <is>
          <t>NORD-OUEST</t>
        </is>
      </c>
      <c r="D2336" t="inlineStr">
        <is>
          <t>IHS</t>
        </is>
      </c>
      <c r="E2336" t="inlineStr">
        <is>
          <t>Gen Only</t>
        </is>
      </c>
      <c r="F2336" t="inlineStr">
        <is>
          <t>NORD-OUEST</t>
        </is>
      </c>
      <c r="G2336" t="inlineStr">
        <is>
          <t>Kikai</t>
        </is>
      </c>
      <c r="H2336" t="inlineStr">
        <is>
          <t>NOKIA</t>
        </is>
      </c>
      <c r="I2336" t="n">
        <v>0</v>
      </c>
      <c r="J2336" t="n">
        <v>0</v>
      </c>
      <c r="K2336" t="n">
        <v>0</v>
      </c>
      <c r="L2336" t="n">
        <v>0</v>
      </c>
      <c r="M2336" t="n">
        <v>0</v>
      </c>
      <c r="N2336" t="n">
        <v>0</v>
      </c>
      <c r="O2336" t="n">
        <v>0</v>
      </c>
      <c r="P2336" t="n">
        <v>0</v>
      </c>
      <c r="Q2336" t="n">
        <v>0</v>
      </c>
      <c r="R2336" t="inlineStr">
        <is>
          <t>Insecurity</t>
        </is>
      </c>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row>
    <row r="2337">
      <c r="A2337" t="inlineStr">
        <is>
          <t>Nkar-IHS</t>
        </is>
      </c>
      <c r="B2337" t="inlineStr">
        <is>
          <t>NRO_142</t>
        </is>
      </c>
      <c r="C2337" t="inlineStr">
        <is>
          <t>SUD-OUEST</t>
        </is>
      </c>
      <c r="D2337" t="inlineStr">
        <is>
          <t>IHS</t>
        </is>
      </c>
      <c r="E2337" t="inlineStr">
        <is>
          <t>Hybrid-Gen</t>
        </is>
      </c>
      <c r="F2337" t="inlineStr">
        <is>
          <t>NORD-OUEST</t>
        </is>
      </c>
      <c r="G2337" t="inlineStr">
        <is>
          <t>Buea</t>
        </is>
      </c>
      <c r="H2337" t="inlineStr">
        <is>
          <t>NOKIA</t>
        </is>
      </c>
      <c r="I2337" t="n">
        <v>0</v>
      </c>
      <c r="J2337" t="n">
        <v>0</v>
      </c>
      <c r="K2337" t="n">
        <v>0</v>
      </c>
      <c r="L2337" t="n">
        <v>0</v>
      </c>
      <c r="M2337" t="n">
        <v>0</v>
      </c>
      <c r="N2337" t="n">
        <v>0</v>
      </c>
      <c r="O2337" t="n">
        <v>0</v>
      </c>
      <c r="P2337" t="n">
        <v>0</v>
      </c>
      <c r="Q2337" t="n">
        <v>0</v>
      </c>
      <c r="R2337" t="inlineStr">
        <is>
          <t>Insecurity</t>
        </is>
      </c>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row>
    <row r="2338">
      <c r="A2338" t="inlineStr">
        <is>
          <t>Datcheka-IHS</t>
        </is>
      </c>
      <c r="B2338" t="inlineStr">
        <is>
          <t>EXN_265</t>
        </is>
      </c>
      <c r="C2338" t="inlineStr">
        <is>
          <t>EXTREME-NORD</t>
        </is>
      </c>
      <c r="D2338" t="inlineStr"/>
      <c r="E2338" t="inlineStr"/>
      <c r="F2338" t="inlineStr">
        <is>
          <t>EXTREME-NORD</t>
        </is>
      </c>
      <c r="G2338" t="inlineStr">
        <is>
          <t>Datcheka</t>
        </is>
      </c>
      <c r="H2338" t="inlineStr">
        <is>
          <t>HUAWEI</t>
        </is>
      </c>
      <c r="I2338" t="n">
        <v>0</v>
      </c>
      <c r="J2338" t="n">
        <v>0</v>
      </c>
      <c r="K2338" t="n">
        <v>0</v>
      </c>
      <c r="L2338" t="n">
        <v>0</v>
      </c>
      <c r="M2338" t="n">
        <v>0</v>
      </c>
      <c r="N2338" t="n">
        <v>0</v>
      </c>
      <c r="O2338" t="n">
        <v>0</v>
      </c>
      <c r="P2338" t="n">
        <v>0</v>
      </c>
      <c r="Q2338" t="n">
        <v>0</v>
      </c>
      <c r="R2338" t="inlineStr">
        <is>
          <t>Insecurity</t>
        </is>
      </c>
      <c r="S2338" t="inlineStr"/>
      <c r="T2338" t="inlineStr"/>
      <c r="U2338" t="inlineStr"/>
      <c r="V2338" t="inlineStr"/>
      <c r="W2338" t="inlineStr"/>
      <c r="X2338" t="inlineStr">
        <is>
          <t>{None hourly IHS}: 25/05/2026 02:09..4:14:37..48.9V..Mamoudou is informed and managing with L0.     ;    {05-25-2026 ocm ran 17H}: P1 Incident at EXN_074_H_Dziguilao; Power issue; IHS</t>
        </is>
      </c>
      <c r="Y2338" t="inlineStr">
        <is>
          <t>25/05/2026 02 09.4 14 37.48.9V.Mamoudou is informed and managing with L0. P1 Incident at EXN_074_H_Dziguilao; Power issue; IHS</t>
        </is>
      </c>
      <c r="Z2338" t="inlineStr"/>
      <c r="AA2338" t="inlineStr"/>
      <c r="AB2338" t="inlineStr"/>
      <c r="AC2338" t="inlineStr"/>
      <c r="AD2338" t="inlineStr"/>
      <c r="AE2338" t="inlineStr">
        <is>
          <t>{None hourly IHS}: 25/05/2026 02:09..4:14:37..48.9V..Mamoudou is informed and managing with L0.</t>
        </is>
      </c>
      <c r="AF2338" t="inlineStr"/>
      <c r="AG2338" t="inlineStr"/>
      <c r="AH2338" t="inlineStr"/>
      <c r="AI2338" t="inlineStr"/>
      <c r="AJ2338" t="inlineStr"/>
      <c r="AK2338" t="inlineStr"/>
      <c r="AL2338" t="inlineStr"/>
      <c r="AM2338" t="inlineStr"/>
      <c r="AN2338" t="inlineStr"/>
      <c r="AO2338" t="inlineStr"/>
      <c r="AP2338" t="inlineStr">
        <is>
          <t>{05-25-2026 ocm ran 17H}: P1 Incident at EXN_074_H_Dziguilao; Power issue; IHS</t>
        </is>
      </c>
      <c r="AQ2338" t="inlineStr"/>
      <c r="AR2338" t="inlineStr"/>
    </row>
    <row r="2339">
      <c r="A2339" t="inlineStr">
        <is>
          <t>Debunsha-MTN</t>
        </is>
      </c>
      <c r="B2339" t="inlineStr">
        <is>
          <t>SUO_035</t>
        </is>
      </c>
      <c r="C2339" t="inlineStr">
        <is>
          <t>SUD-OUEST</t>
        </is>
      </c>
      <c r="D2339" t="inlineStr">
        <is>
          <t>IHS</t>
        </is>
      </c>
      <c r="E2339" t="inlineStr">
        <is>
          <t>Grid-Gen</t>
        </is>
      </c>
      <c r="F2339" t="inlineStr">
        <is>
          <t>SUD-OUEST</t>
        </is>
      </c>
      <c r="G2339" t="inlineStr">
        <is>
          <t>Debunsha</t>
        </is>
      </c>
      <c r="H2339" t="inlineStr">
        <is>
          <t>HUAWEI</t>
        </is>
      </c>
      <c r="I2339" t="n">
        <v>0</v>
      </c>
      <c r="J2339" t="n">
        <v>0</v>
      </c>
      <c r="K2339" t="n">
        <v>0</v>
      </c>
      <c r="L2339" t="n">
        <v>0</v>
      </c>
      <c r="M2339" t="n">
        <v>0</v>
      </c>
      <c r="N2339" t="n">
        <v>0</v>
      </c>
      <c r="O2339" t="n">
        <v>0</v>
      </c>
      <c r="P2339" t="n">
        <v>0</v>
      </c>
      <c r="Q2339" t="n">
        <v>0</v>
      </c>
      <c r="R2339" t="inlineStr">
        <is>
          <t>Insecurity</t>
        </is>
      </c>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row>
    <row r="2340">
      <c r="A2340" t="inlineStr">
        <is>
          <t>Bamessing-IHS</t>
        </is>
      </c>
      <c r="B2340" t="inlineStr">
        <is>
          <t>NRO_038</t>
        </is>
      </c>
      <c r="C2340" t="inlineStr">
        <is>
          <t>NORD-OUEST</t>
        </is>
      </c>
      <c r="D2340" t="inlineStr">
        <is>
          <t>IHS</t>
        </is>
      </c>
      <c r="E2340" t="inlineStr">
        <is>
          <t>Grid-Gen</t>
        </is>
      </c>
      <c r="F2340" t="inlineStr">
        <is>
          <t>NORD-OUEST</t>
        </is>
      </c>
      <c r="G2340" t="inlineStr">
        <is>
          <t>Bamessing</t>
        </is>
      </c>
      <c r="H2340" t="inlineStr">
        <is>
          <t>Huawei</t>
        </is>
      </c>
      <c r="I2340" t="n">
        <v>0</v>
      </c>
      <c r="J2340" t="n">
        <v>0</v>
      </c>
      <c r="K2340" t="n">
        <v>0</v>
      </c>
      <c r="L2340" t="n">
        <v>0</v>
      </c>
      <c r="M2340" t="n">
        <v>0</v>
      </c>
      <c r="N2340" t="n">
        <v>0</v>
      </c>
      <c r="O2340" t="n">
        <v>0</v>
      </c>
      <c r="P2340" t="n">
        <v>0</v>
      </c>
      <c r="Q2340" t="n">
        <v>0</v>
      </c>
      <c r="R2340" t="inlineStr">
        <is>
          <t>Insecurity</t>
        </is>
      </c>
      <c r="S2340" t="inlineStr"/>
      <c r="T2340" t="inlineStr"/>
      <c r="U2340" t="inlineStr"/>
      <c r="V2340" t="inlineStr"/>
      <c r="W2340" t="inlineStr"/>
      <c r="X2340" t="inlineStr">
        <is>
          <t>{None hourly IHS}: 25/05/2026 06:44..16:15:54..Hans is managing with level 0, insecurity     ;    {05-25-2026 ocm ran 22H}: 25.05.26: IHS: 45 v : fme Roland is informed  and is maanging with level 0     ;    {05-25-2026 ocm ran 17H}: 25.05.26: IHS: 45 v : fme Roland is informed  and is maanging with level 0</t>
        </is>
      </c>
      <c r="Y2340" t="inlineStr">
        <is>
          <t>25/05/2026 06 44.16 15 54.Hans is managing with level 0, insecurity 25.05.26 IHS 45 v fme Roland is informed  and is maanging with level 0 25.05.26 IHS 45 v fme Roland is informed  and is maanging with level 0</t>
        </is>
      </c>
      <c r="Z2340" t="inlineStr"/>
      <c r="AA2340" t="inlineStr"/>
      <c r="AB2340" t="inlineStr"/>
      <c r="AC2340" t="inlineStr"/>
      <c r="AD2340" t="inlineStr"/>
      <c r="AE2340" t="inlineStr">
        <is>
          <t>{None hourly IHS}: 25/05/2026 06:44..16:15:54..Hans is managing with level 0, insecurity</t>
        </is>
      </c>
      <c r="AF2340" t="inlineStr"/>
      <c r="AG2340" t="inlineStr"/>
      <c r="AH2340" t="inlineStr"/>
      <c r="AI2340" t="inlineStr"/>
      <c r="AJ2340" t="inlineStr"/>
      <c r="AK2340" t="inlineStr"/>
      <c r="AL2340" t="inlineStr"/>
      <c r="AM2340" t="inlineStr"/>
      <c r="AN2340" t="inlineStr"/>
      <c r="AO2340" t="inlineStr">
        <is>
          <t>{05-25-2026 ocm ran 22H}: 25.05.26: IHS: 45 v : fme Roland is informed  and is maanging with level 0</t>
        </is>
      </c>
      <c r="AP2340" t="inlineStr">
        <is>
          <t>{05-25-2026 ocm ran 17H}: 25.05.26: IHS: 45 v : fme Roland is informed  and is maanging with level 0</t>
        </is>
      </c>
      <c r="AQ2340" t="inlineStr"/>
      <c r="AR2340" t="inlineStr"/>
    </row>
    <row r="2341">
      <c r="A2341" t="inlineStr">
        <is>
          <t>Bakwele-IHS</t>
        </is>
      </c>
      <c r="B2341" t="inlineStr">
        <is>
          <t>SUO_249</t>
        </is>
      </c>
      <c r="C2341" t="inlineStr">
        <is>
          <t>SUD-OUEST</t>
        </is>
      </c>
      <c r="D2341" t="inlineStr">
        <is>
          <t>IHS</t>
        </is>
      </c>
      <c r="E2341" t="inlineStr">
        <is>
          <t>Hybrid Gen</t>
        </is>
      </c>
      <c r="F2341" t="inlineStr">
        <is>
          <t>SUD-OUEST</t>
        </is>
      </c>
      <c r="G2341" t="inlineStr">
        <is>
          <t>Pella</t>
        </is>
      </c>
      <c r="H2341" t="inlineStr">
        <is>
          <t>NOKIA</t>
        </is>
      </c>
      <c r="I2341" t="n">
        <v>0</v>
      </c>
      <c r="J2341" t="n">
        <v>0</v>
      </c>
      <c r="K2341" t="n">
        <v>0</v>
      </c>
      <c r="L2341" t="n">
        <v>0</v>
      </c>
      <c r="M2341" t="n">
        <v>0</v>
      </c>
      <c r="N2341" t="n">
        <v>0</v>
      </c>
      <c r="O2341" t="n">
        <v>0</v>
      </c>
      <c r="P2341" t="n">
        <v>0</v>
      </c>
      <c r="Q2341" t="n">
        <v>0</v>
      </c>
      <c r="R2341" t="inlineStr">
        <is>
          <t>Insecurity</t>
        </is>
      </c>
      <c r="S2341" t="inlineStr"/>
      <c r="T2341" t="inlineStr"/>
      <c r="U2341" t="inlineStr"/>
      <c r="V2341" t="inlineStr"/>
      <c r="W2341" t="inlineStr"/>
      <c r="X2341" t="inlineStr">
        <is>
          <t>{05-25-2026 incident}: Upadate 6: d'apres le retour du PM , le vevel 0 ne peut pas se rendre sur site aujourdhui car il ya un lockdown declarer dans la zonne jusqu'au 21.05.2026. point EZCALADE a THEO pour Support</t>
        </is>
      </c>
      <c r="Y2341" t="inlineStr">
        <is>
          <t>{05-25-2026 incident} Upadate 6 d'apres le retour du PM , le vevel 0 ne peut pas se rendre sur site aujourdhui car il ya un lockdown declarer dans la zonne jusqu'au 21.05.2026. point EZCALADE a THEO pour Support</t>
        </is>
      </c>
      <c r="Z2341" t="inlineStr"/>
      <c r="AA2341" t="inlineStr">
        <is>
          <t>{05-25-2026 incident}: Upadate 6: d'apres le retour du PM , le vevel 0 ne peut pas se rendre sur site aujourdhui car il ya un lockdown declarer dans la zonne jusqu'au 21.05.2026. point EZCALADE a THEO pour Support</t>
        </is>
      </c>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row>
    <row r="2342">
      <c r="A2342" t="inlineStr">
        <is>
          <t>Mamfe-Town-IHS</t>
        </is>
      </c>
      <c r="B2342" t="inlineStr">
        <is>
          <t>SUO_107</t>
        </is>
      </c>
      <c r="C2342" t="inlineStr">
        <is>
          <t>SUD-OUEST</t>
        </is>
      </c>
      <c r="D2342" t="inlineStr">
        <is>
          <t>IHS</t>
        </is>
      </c>
      <c r="E2342" t="inlineStr">
        <is>
          <t>Gen Only</t>
        </is>
      </c>
      <c r="F2342" t="inlineStr">
        <is>
          <t>SUD-OUEST</t>
        </is>
      </c>
      <c r="G2342" t="inlineStr">
        <is>
          <t>Mamfe</t>
        </is>
      </c>
      <c r="H2342" t="inlineStr">
        <is>
          <t>NOKIA</t>
        </is>
      </c>
      <c r="I2342" t="n">
        <v>0</v>
      </c>
      <c r="J2342" t="n">
        <v>0</v>
      </c>
      <c r="K2342" t="n">
        <v>0</v>
      </c>
      <c r="L2342" t="n">
        <v>0</v>
      </c>
      <c r="M2342" t="n">
        <v>0</v>
      </c>
      <c r="N2342" t="n">
        <v>0</v>
      </c>
      <c r="O2342" t="n">
        <v>0</v>
      </c>
      <c r="P2342" t="n">
        <v>0</v>
      </c>
      <c r="Q2342" t="n">
        <v>0</v>
      </c>
      <c r="R2342" t="inlineStr">
        <is>
          <t>Insecurity</t>
        </is>
      </c>
      <c r="S2342" t="inlineStr"/>
      <c r="T2342" t="inlineStr"/>
      <c r="U2342" t="inlineStr"/>
      <c r="V2342" t="inlineStr"/>
      <c r="W2342" t="inlineStr"/>
      <c r="X2342" t="inlineStr">
        <is>
          <t>{05-25-2026 incident}: Upadate 6: d'apres le retour du PM , le vevel 0 ne peut pas se rendre sur site aujourdhui car il ya un lockdown declarer dans la zonne jusqu'au 21.05.2026. point EZCALADE a THEO pour Support</t>
        </is>
      </c>
      <c r="Y2342" t="inlineStr">
        <is>
          <t>{05-25-2026 incident} Upadate 6 d'apres le retour du PM , le vevel 0 ne peut pas se rendre sur site aujourdhui car il ya un lockdown declarer dans la zonne jusqu'au 21.05.2026. point EZCALADE a THEO pour Support</t>
        </is>
      </c>
      <c r="Z2342" t="inlineStr"/>
      <c r="AA2342" t="inlineStr">
        <is>
          <t>{05-25-2026 incident}: Upadate 6: d'apres le retour du PM , le vevel 0 ne peut pas se rendre sur site aujourdhui car il ya un lockdown declarer dans la zonne jusqu'au 21.05.2026. point EZCALADE a THEO pour Support</t>
        </is>
      </c>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row>
    <row r="2343">
      <c r="A2343" t="inlineStr">
        <is>
          <t>Kumbe-MTN</t>
        </is>
      </c>
      <c r="B2343" t="inlineStr">
        <is>
          <t>SUO_088</t>
        </is>
      </c>
      <c r="C2343" t="inlineStr">
        <is>
          <t>SUD-OUEST</t>
        </is>
      </c>
      <c r="D2343" t="inlineStr">
        <is>
          <t>IHS</t>
        </is>
      </c>
      <c r="E2343" t="inlineStr">
        <is>
          <t>Gen Only</t>
        </is>
      </c>
      <c r="F2343" t="inlineStr">
        <is>
          <t>SUD-OUEST</t>
        </is>
      </c>
      <c r="G2343" t="inlineStr">
        <is>
          <t>Kumbe</t>
        </is>
      </c>
      <c r="H2343" t="inlineStr">
        <is>
          <t>Huawei</t>
        </is>
      </c>
      <c r="I2343" t="n">
        <v>0</v>
      </c>
      <c r="J2343" t="n">
        <v>0</v>
      </c>
      <c r="K2343" t="n">
        <v>0</v>
      </c>
      <c r="L2343" t="n">
        <v>0</v>
      </c>
      <c r="M2343" t="n">
        <v>0</v>
      </c>
      <c r="N2343" t="n">
        <v>0</v>
      </c>
      <c r="O2343" t="n">
        <v>0</v>
      </c>
      <c r="P2343" t="n">
        <v>0</v>
      </c>
      <c r="Q2343" t="n">
        <v>0</v>
      </c>
      <c r="R2343" t="inlineStr">
        <is>
          <t>Insecurity</t>
        </is>
      </c>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row>
    <row r="2344">
      <c r="A2344" t="inlineStr">
        <is>
          <t>Mutengene-Ombe-IHS</t>
        </is>
      </c>
      <c r="B2344" t="inlineStr">
        <is>
          <t>SUO_149</t>
        </is>
      </c>
      <c r="C2344" t="inlineStr">
        <is>
          <t>SUD-OUEST</t>
        </is>
      </c>
      <c r="D2344" t="inlineStr">
        <is>
          <t>IHS</t>
        </is>
      </c>
      <c r="E2344" t="inlineStr">
        <is>
          <t>Gen Only</t>
        </is>
      </c>
      <c r="F2344" t="inlineStr">
        <is>
          <t>SUD-OUEST</t>
        </is>
      </c>
      <c r="G2344" t="inlineStr">
        <is>
          <t>Mutengene</t>
        </is>
      </c>
      <c r="H2344" t="inlineStr">
        <is>
          <t>Huawei</t>
        </is>
      </c>
      <c r="I2344" t="n">
        <v>0</v>
      </c>
      <c r="J2344" t="n">
        <v>0</v>
      </c>
      <c r="K2344" t="n">
        <v>0</v>
      </c>
      <c r="L2344" t="n">
        <v>0</v>
      </c>
      <c r="M2344" t="n">
        <v>0</v>
      </c>
      <c r="N2344" t="n">
        <v>0</v>
      </c>
      <c r="O2344" t="n">
        <v>0</v>
      </c>
      <c r="P2344" t="n">
        <v>0</v>
      </c>
      <c r="Q2344" t="n">
        <v>0</v>
      </c>
      <c r="R2344" t="inlineStr">
        <is>
          <t>Insecurity</t>
        </is>
      </c>
      <c r="S2344" t="inlineStr"/>
      <c r="T2344" t="inlineStr"/>
      <c r="U2344" t="inlineStr"/>
      <c r="V2344" t="inlineStr"/>
      <c r="W2344" t="inlineStr"/>
      <c r="X2344" t="inlineStr">
        <is>
          <t>{None hourly IHS}: 25/05/2026 07:05..8:12:50..FME is informed and managing</t>
        </is>
      </c>
      <c r="Y2344" t="inlineStr">
        <is>
          <t>25/05/2026 07 05.8 12 50.FME is informed and managing</t>
        </is>
      </c>
      <c r="Z2344" t="inlineStr"/>
      <c r="AA2344" t="inlineStr"/>
      <c r="AB2344" t="inlineStr"/>
      <c r="AC2344" t="inlineStr"/>
      <c r="AD2344" t="inlineStr"/>
      <c r="AE2344" t="inlineStr">
        <is>
          <t>{None hourly IHS}: 25/05/2026 07:05..8:12:50..FME is informed and managing</t>
        </is>
      </c>
      <c r="AF2344" t="inlineStr"/>
      <c r="AG2344" t="inlineStr"/>
      <c r="AH2344" t="inlineStr"/>
      <c r="AI2344" t="inlineStr"/>
      <c r="AJ2344" t="inlineStr"/>
      <c r="AK2344" t="inlineStr"/>
      <c r="AL2344" t="inlineStr"/>
      <c r="AM2344" t="inlineStr"/>
      <c r="AN2344" t="inlineStr"/>
      <c r="AO2344" t="inlineStr"/>
      <c r="AP2344" t="inlineStr"/>
      <c r="AQ2344" t="inlineStr"/>
      <c r="AR2344" t="inlineStr"/>
    </row>
    <row r="2345">
      <c r="A2345" t="inlineStr">
        <is>
          <t>Makary</t>
        </is>
      </c>
      <c r="B2345" t="inlineStr">
        <is>
          <t>EXN_020</t>
        </is>
      </c>
      <c r="C2345" t="inlineStr">
        <is>
          <t>EXTREME-NORD</t>
        </is>
      </c>
      <c r="D2345" t="inlineStr">
        <is>
          <t>IHS</t>
        </is>
      </c>
      <c r="E2345" t="inlineStr">
        <is>
          <t>Solar-Gen</t>
        </is>
      </c>
      <c r="F2345" t="inlineStr">
        <is>
          <t>EXTREME-NORD</t>
        </is>
      </c>
      <c r="G2345" t="inlineStr">
        <is>
          <t>Makary</t>
        </is>
      </c>
      <c r="H2345" t="inlineStr">
        <is>
          <t>Huawei</t>
        </is>
      </c>
      <c r="I2345" t="n">
        <v>0</v>
      </c>
      <c r="J2345" t="n">
        <v>0</v>
      </c>
      <c r="K2345" t="n">
        <v>0</v>
      </c>
      <c r="L2345" t="n">
        <v>0</v>
      </c>
      <c r="M2345" t="n">
        <v>0</v>
      </c>
      <c r="N2345" t="n">
        <v>0</v>
      </c>
      <c r="O2345" t="n">
        <v>0</v>
      </c>
      <c r="P2345" t="n">
        <v>0</v>
      </c>
      <c r="Q2345" t="n">
        <v>0</v>
      </c>
      <c r="R2345" t="inlineStr">
        <is>
          <t>Insecurity</t>
        </is>
      </c>
      <c r="S2345" t="inlineStr"/>
      <c r="T2345" t="inlineStr"/>
      <c r="U2345" t="inlineStr"/>
      <c r="V2345" t="inlineStr"/>
      <c r="W2345" t="inlineStr"/>
      <c r="X2345"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345"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345" t="inlineStr"/>
      <c r="AA2345"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row>
    <row r="2346">
      <c r="A2346" t="inlineStr">
        <is>
          <t>Goulourgou</t>
        </is>
      </c>
      <c r="B2346" t="inlineStr">
        <is>
          <t>EXN_200</t>
        </is>
      </c>
      <c r="C2346" t="inlineStr">
        <is>
          <t>EXTREME-NORD</t>
        </is>
      </c>
      <c r="D2346" t="inlineStr">
        <is>
          <t>IHS</t>
        </is>
      </c>
      <c r="E2346" t="inlineStr">
        <is>
          <t>Hybrid-Gen</t>
        </is>
      </c>
      <c r="F2346" t="inlineStr">
        <is>
          <t>EXTREME-NORD</t>
        </is>
      </c>
      <c r="G2346" t="inlineStr">
        <is>
          <t>Kalfou</t>
        </is>
      </c>
      <c r="H2346" t="inlineStr">
        <is>
          <t>NOKIA</t>
        </is>
      </c>
      <c r="I2346" t="n">
        <v>0</v>
      </c>
      <c r="J2346" t="n">
        <v>0</v>
      </c>
      <c r="K2346" t="n">
        <v>0</v>
      </c>
      <c r="L2346" t="n">
        <v>0</v>
      </c>
      <c r="M2346" t="n">
        <v>0</v>
      </c>
      <c r="N2346" t="n">
        <v>0</v>
      </c>
      <c r="O2346" t="n">
        <v>0</v>
      </c>
      <c r="P2346" t="n">
        <v>0</v>
      </c>
      <c r="Q2346" t="n">
        <v>0</v>
      </c>
      <c r="R2346" t="inlineStr">
        <is>
          <t>Insecurity</t>
        </is>
      </c>
      <c r="S2346" t="inlineStr"/>
      <c r="T2346" t="inlineStr"/>
      <c r="U2346" t="inlineStr"/>
      <c r="V2346" t="inlineStr"/>
      <c r="W2346" t="inlineStr"/>
      <c r="X234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     ;    {05-25-2026 ocm ran 17H}: P1 Incident at EXN_074_H_Dziguilao; Power issue; IHS</t>
        </is>
      </c>
      <c r="Y2346"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 P1 Incident at EXN_074_H_Dziguilao; Power issue; IHS</t>
        </is>
      </c>
      <c r="Z2346" t="inlineStr"/>
      <c r="AA2346"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{05-25-2026 ocm ran 17H}: P1 Incident at EXN_074_H_Dziguilao; Power issue; IHS</t>
        </is>
      </c>
      <c r="AQ2346" t="inlineStr"/>
      <c r="AR2346" t="inlineStr"/>
    </row>
    <row r="2347">
      <c r="A2347" t="inlineStr">
        <is>
          <t>Lara</t>
        </is>
      </c>
      <c r="B2347" t="inlineStr">
        <is>
          <t>EXN_102</t>
        </is>
      </c>
      <c r="C2347" t="inlineStr">
        <is>
          <t>EXTREME-NORD</t>
        </is>
      </c>
      <c r="D2347" t="inlineStr">
        <is>
          <t>IHS</t>
        </is>
      </c>
      <c r="E2347" t="inlineStr">
        <is>
          <t>Grid-Gen</t>
        </is>
      </c>
      <c r="F2347" t="inlineStr">
        <is>
          <t>EXTREME-NORD</t>
        </is>
      </c>
      <c r="G2347" t="inlineStr">
        <is>
          <t>Lara</t>
        </is>
      </c>
      <c r="H2347" t="inlineStr">
        <is>
          <t>Huawei</t>
        </is>
      </c>
      <c r="I2347" t="n">
        <v>0</v>
      </c>
      <c r="J2347" t="n">
        <v>0</v>
      </c>
      <c r="K2347" t="n">
        <v>0</v>
      </c>
      <c r="L2347" t="n">
        <v>0</v>
      </c>
      <c r="M2347" t="n">
        <v>0</v>
      </c>
      <c r="N2347" t="n">
        <v>0</v>
      </c>
      <c r="O2347" t="n">
        <v>0</v>
      </c>
      <c r="P2347" t="n">
        <v>0</v>
      </c>
      <c r="Q2347" t="n">
        <v>0</v>
      </c>
      <c r="R2347" t="inlineStr">
        <is>
          <t>Insecurity</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row>
    <row r="2348">
      <c r="A2348" t="inlineStr">
        <is>
          <t>Waza</t>
        </is>
      </c>
      <c r="B2348" t="inlineStr">
        <is>
          <t>EXN_033</t>
        </is>
      </c>
      <c r="C2348" t="inlineStr">
        <is>
          <t>EXTREME-NORD</t>
        </is>
      </c>
      <c r="D2348" t="inlineStr">
        <is>
          <t>IHS</t>
        </is>
      </c>
      <c r="E2348" t="inlineStr">
        <is>
          <t>Grid-Hybrid-Gen</t>
        </is>
      </c>
      <c r="F2348" t="inlineStr">
        <is>
          <t>EXTREME-NORD</t>
        </is>
      </c>
      <c r="G2348" t="inlineStr">
        <is>
          <t>Waza</t>
        </is>
      </c>
      <c r="H2348" t="inlineStr">
        <is>
          <t>NOKIA</t>
        </is>
      </c>
      <c r="I2348" t="n">
        <v>0</v>
      </c>
      <c r="J2348" t="n">
        <v>0</v>
      </c>
      <c r="K2348" t="n">
        <v>0</v>
      </c>
      <c r="L2348" t="n">
        <v>0</v>
      </c>
      <c r="M2348" t="n">
        <v>0</v>
      </c>
      <c r="N2348" t="n">
        <v>0</v>
      </c>
      <c r="O2348" t="n">
        <v>0</v>
      </c>
      <c r="P2348" t="n">
        <v>0</v>
      </c>
      <c r="Q2348" t="n">
        <v>0</v>
      </c>
      <c r="R2348" t="inlineStr">
        <is>
          <t>Insecurity</t>
        </is>
      </c>
      <c r="S2348" t="inlineStr"/>
      <c r="T2348" t="inlineStr"/>
      <c r="U2348" t="inlineStr"/>
      <c r="V2348" t="inlineStr"/>
      <c r="W2348" t="inlineStr"/>
      <c r="X2348" t="inlineStr">
        <is>
          <t>{05-25-2026 ocm ran 22H}: 24/05/2026 escalade RM teleinfra :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CM-20260520-00003335; FME Yaouba activé, Update ASAP     ;    {05-25-2026 ocm ran 17H}: 24/05/2026 escalade RM teleinfra :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CM-20260520-00003335; FME Yaouba activé, Update ASAP</t>
        </is>
      </c>
      <c r="Y2348" t="inlineStr">
        <is>
          <t>24/05/2026 escalade RM teleinfra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FME Yaouba activé, Update ASAP 24/05/2026 escalade RM teleinfra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FME Yaouba activé, Update ASAP</t>
        </is>
      </c>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{05-25-2026 ocm ran 22H}: 24/05/2026 escalade RM teleinfra :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CM-20260520-00003335; FME Yaouba activé, Update ASAP</t>
        </is>
      </c>
      <c r="AP2348" t="inlineStr">
        <is>
          <t>{05-25-2026 ocm ran 17H}: 24/05/2026 escalade RM teleinfra : Intervention ce 25/05/2026
23/05/2026 Nous recevons les trames du port de la RTN de Waza sur le MPR de Mora-II.
BV faire le check et partager le statut. Apres amchide
22.05.26: Link restored, BO TX is checking
22.05.26: RTN link Mora-II&lt;&gt;Waza misaligned but not yet accepted, escalated to Huawei projet
21.05.26: RTN link Mora-II&lt;&gt;Waza misaligned but not yet accepted, escalated to Huawei projet
20.05.26: Besoin d'un FME sur site pour vérifier le statut de la RTN; CM-20260520-00003335; FME Yaouba activé, Update ASAP</t>
        </is>
      </c>
      <c r="AQ2348" t="inlineStr"/>
      <c r="AR2348" t="inlineStr"/>
    </row>
    <row r="2349">
      <c r="A2349" t="inlineStr">
        <is>
          <t>Mayo-kaba-IHS</t>
        </is>
      </c>
      <c r="B2349" t="inlineStr">
        <is>
          <t>EXN_162</t>
        </is>
      </c>
      <c r="C2349" t="inlineStr">
        <is>
          <t>EXTREME-NORD</t>
        </is>
      </c>
      <c r="D2349" t="inlineStr">
        <is>
          <t>IHS</t>
        </is>
      </c>
      <c r="E2349" t="inlineStr">
        <is>
          <t>Hybrid-Gen</t>
        </is>
      </c>
      <c r="F2349" t="inlineStr">
        <is>
          <t>EXTREME-NORD</t>
        </is>
      </c>
      <c r="G2349" t="inlineStr">
        <is>
          <t xml:space="preserve">Mayo-Kaba </t>
        </is>
      </c>
      <c r="H2349" t="inlineStr">
        <is>
          <t>HUAWEI</t>
        </is>
      </c>
      <c r="I2349" t="n">
        <v>0</v>
      </c>
      <c r="J2349" t="n">
        <v>0</v>
      </c>
      <c r="K2349" t="n">
        <v>0</v>
      </c>
      <c r="L2349" t="n">
        <v>0</v>
      </c>
      <c r="M2349" t="n">
        <v>0</v>
      </c>
      <c r="N2349" t="n">
        <v>0</v>
      </c>
      <c r="O2349" t="n">
        <v>0</v>
      </c>
      <c r="P2349" t="n">
        <v>0</v>
      </c>
      <c r="Q2349" t="n">
        <v>0</v>
      </c>
      <c r="R2349" t="inlineStr">
        <is>
          <t>Insecurity</t>
        </is>
      </c>
      <c r="S2349" t="inlineStr"/>
      <c r="T2349" t="inlineStr"/>
      <c r="U2349" t="inlineStr"/>
      <c r="V2349" t="inlineStr"/>
      <c r="W2349" t="inlineStr"/>
      <c r="X2349" t="inlineStr">
        <is>
          <t>{None hourly IHS}: 25/05/2026 08:55..0:05:00..41..Michel is managing with level 0, ETA asap</t>
        </is>
      </c>
      <c r="Y2349" t="inlineStr">
        <is>
          <t>25/05/2026 08 55.0 05 00.41.Michel is managing with level 0, ETA asap</t>
        </is>
      </c>
      <c r="Z2349" t="inlineStr"/>
      <c r="AA2349" t="inlineStr"/>
      <c r="AB2349" t="inlineStr"/>
      <c r="AC2349" t="inlineStr"/>
      <c r="AD2349" t="inlineStr"/>
      <c r="AE2349" t="inlineStr">
        <is>
          <t>{None hourly IHS}: 25/05/2026 08:55..0:05:00..41..Michel is managing with level 0, ETA asap</t>
        </is>
      </c>
      <c r="AF2349" t="inlineStr"/>
      <c r="AG2349" t="inlineStr"/>
      <c r="AH2349" t="inlineStr"/>
      <c r="AI2349" t="inlineStr"/>
      <c r="AJ2349" t="inlineStr"/>
      <c r="AK2349" t="inlineStr"/>
      <c r="AL2349" t="inlineStr"/>
      <c r="AM2349" t="inlineStr"/>
      <c r="AN2349" t="inlineStr"/>
      <c r="AO2349" t="inlineStr"/>
      <c r="AP2349" t="inlineStr"/>
      <c r="AQ2349" t="inlineStr"/>
      <c r="AR2349" t="inlineStr"/>
    </row>
    <row r="2350">
      <c r="A2350" t="inlineStr">
        <is>
          <t>Doumo-IHS</t>
        </is>
      </c>
      <c r="B2350" t="inlineStr">
        <is>
          <t>EXN_165</t>
        </is>
      </c>
      <c r="C2350" t="inlineStr">
        <is>
          <t>EXTREME-NORD</t>
        </is>
      </c>
      <c r="D2350" t="inlineStr">
        <is>
          <t>IHS</t>
        </is>
      </c>
      <c r="E2350" t="inlineStr">
        <is>
          <t>Hybrid-Gen</t>
        </is>
      </c>
      <c r="F2350" t="inlineStr">
        <is>
          <t>EXTREME-NORD</t>
        </is>
      </c>
      <c r="G2350" t="inlineStr">
        <is>
          <t>Doumo</t>
        </is>
      </c>
      <c r="H2350" t="inlineStr">
        <is>
          <t>HUAWEI</t>
        </is>
      </c>
      <c r="I2350" t="n">
        <v>0</v>
      </c>
      <c r="J2350" t="n">
        <v>0</v>
      </c>
      <c r="K2350" t="n">
        <v>0</v>
      </c>
      <c r="L2350" t="n">
        <v>0</v>
      </c>
      <c r="M2350" t="n">
        <v>0</v>
      </c>
      <c r="N2350" t="n">
        <v>0</v>
      </c>
      <c r="O2350" t="n">
        <v>0</v>
      </c>
      <c r="P2350" t="n">
        <v>0</v>
      </c>
      <c r="Q2350" t="n">
        <v>0</v>
      </c>
      <c r="R2350" t="inlineStr">
        <is>
          <t>Insecurity</t>
        </is>
      </c>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row>
    <row r="2351">
      <c r="A2351" t="inlineStr">
        <is>
          <t>Maltam</t>
        </is>
      </c>
      <c r="B2351" t="inlineStr">
        <is>
          <t>EXN_035</t>
        </is>
      </c>
      <c r="C2351" t="inlineStr">
        <is>
          <t>EXTREME-NORD</t>
        </is>
      </c>
      <c r="D2351" t="inlineStr">
        <is>
          <t>IHS</t>
        </is>
      </c>
      <c r="E2351" t="inlineStr">
        <is>
          <t>Solar-Gen</t>
        </is>
      </c>
      <c r="F2351" t="inlineStr">
        <is>
          <t>EXTREME-NORD</t>
        </is>
      </c>
      <c r="G2351" t="inlineStr">
        <is>
          <t>Maltam</t>
        </is>
      </c>
      <c r="H2351" t="inlineStr">
        <is>
          <t>NOKIA</t>
        </is>
      </c>
      <c r="I2351" t="n">
        <v>0</v>
      </c>
      <c r="J2351" t="n">
        <v>0</v>
      </c>
      <c r="K2351" t="n">
        <v>0</v>
      </c>
      <c r="L2351" t="n">
        <v>0</v>
      </c>
      <c r="M2351" t="n">
        <v>0</v>
      </c>
      <c r="N2351" t="n">
        <v>0</v>
      </c>
      <c r="O2351" t="n">
        <v>0</v>
      </c>
      <c r="P2351" t="n">
        <v>0</v>
      </c>
      <c r="Q2351" t="n">
        <v>0</v>
      </c>
      <c r="R2351" t="inlineStr">
        <is>
          <t>Insecurity</t>
        </is>
      </c>
      <c r="S2351" t="inlineStr"/>
      <c r="T2351" t="inlineStr"/>
      <c r="U2351" t="inlineStr"/>
      <c r="V2351" t="inlineStr"/>
      <c r="W2351" t="inlineStr"/>
      <c r="X235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351"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351" t="inlineStr"/>
      <c r="AA2351"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row>
    <row r="2352">
      <c r="A2352" t="inlineStr">
        <is>
          <t>Tiko</t>
        </is>
      </c>
      <c r="B2352" t="inlineStr">
        <is>
          <t>SUO_004</t>
        </is>
      </c>
      <c r="C2352" t="inlineStr">
        <is>
          <t>SUD-OUEST</t>
        </is>
      </c>
      <c r="D2352" t="inlineStr">
        <is>
          <t>IHS</t>
        </is>
      </c>
      <c r="E2352" t="inlineStr">
        <is>
          <t>Grid-Gen</t>
        </is>
      </c>
      <c r="F2352" t="inlineStr">
        <is>
          <t>SUD-OUEST</t>
        </is>
      </c>
      <c r="G2352" t="inlineStr">
        <is>
          <t>Tiko</t>
        </is>
      </c>
      <c r="H2352" t="inlineStr">
        <is>
          <t>Huawei</t>
        </is>
      </c>
      <c r="I2352" t="n">
        <v>0</v>
      </c>
      <c r="J2352" t="n">
        <v>0</v>
      </c>
      <c r="K2352" t="n">
        <v>0</v>
      </c>
      <c r="L2352" t="n">
        <v>0</v>
      </c>
      <c r="M2352" t="n">
        <v>0</v>
      </c>
      <c r="N2352" t="n">
        <v>0</v>
      </c>
      <c r="O2352" t="n">
        <v>0</v>
      </c>
      <c r="P2352" t="n">
        <v>0</v>
      </c>
      <c r="Q2352" t="n">
        <v>0</v>
      </c>
      <c r="R2352" t="inlineStr">
        <is>
          <t>Insecurity</t>
        </is>
      </c>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row>
    <row r="2353">
      <c r="A2353" t="inlineStr">
        <is>
          <t>Gazawa-MTN-IHS</t>
        </is>
      </c>
      <c r="B2353" t="inlineStr">
        <is>
          <t>EXN_130</t>
        </is>
      </c>
      <c r="C2353" t="inlineStr">
        <is>
          <t>EXTREME-NORD</t>
        </is>
      </c>
      <c r="D2353" t="inlineStr">
        <is>
          <t>IHS</t>
        </is>
      </c>
      <c r="E2353" t="inlineStr">
        <is>
          <t>Grid-Gen</t>
        </is>
      </c>
      <c r="F2353" t="inlineStr">
        <is>
          <t>EXTREME-NORD</t>
        </is>
      </c>
      <c r="G2353" t="inlineStr">
        <is>
          <t>Gazawa</t>
        </is>
      </c>
      <c r="H2353" t="inlineStr">
        <is>
          <t>HUAWEI</t>
        </is>
      </c>
      <c r="I2353" t="n">
        <v>0</v>
      </c>
      <c r="J2353" t="n">
        <v>0</v>
      </c>
      <c r="K2353" t="n">
        <v>0</v>
      </c>
      <c r="L2353" t="n">
        <v>0</v>
      </c>
      <c r="M2353" t="n">
        <v>0</v>
      </c>
      <c r="N2353" t="n">
        <v>0</v>
      </c>
      <c r="O2353" t="n">
        <v>0</v>
      </c>
      <c r="P2353" t="n">
        <v>0</v>
      </c>
      <c r="Q2353" t="n">
        <v>0</v>
      </c>
      <c r="R2353" t="inlineStr">
        <is>
          <t>Insecurity</t>
        </is>
      </c>
      <c r="S2353" t="inlineStr"/>
      <c r="T2353" t="inlineStr"/>
      <c r="U2353" t="inlineStr"/>
      <c r="V2353" t="inlineStr"/>
      <c r="W2353" t="inlineStr"/>
      <c r="X2353" t="inlineStr">
        <is>
          <t>{None hourly IHS}: 25/05/2026 08:31..2:29:00..40..Our FME ALBAN is managing with level zero</t>
        </is>
      </c>
      <c r="Y2353" t="inlineStr">
        <is>
          <t>25/05/2026 08 31.2 29 00.40.Our FME ALBAN is managing with level zero</t>
        </is>
      </c>
      <c r="Z2353" t="inlineStr"/>
      <c r="AA2353" t="inlineStr"/>
      <c r="AB2353" t="inlineStr"/>
      <c r="AC2353" t="inlineStr"/>
      <c r="AD2353" t="inlineStr"/>
      <c r="AE2353" t="inlineStr">
        <is>
          <t>{None hourly IHS}: 25/05/2026 08:31..2:29:00..40..Our FME ALBAN is managing with level zero</t>
        </is>
      </c>
      <c r="AF2353" t="inlineStr"/>
      <c r="AG2353" t="inlineStr"/>
      <c r="AH2353" t="inlineStr"/>
      <c r="AI2353" t="inlineStr"/>
      <c r="AJ2353" t="inlineStr"/>
      <c r="AK2353" t="inlineStr"/>
      <c r="AL2353" t="inlineStr"/>
      <c r="AM2353" t="inlineStr"/>
      <c r="AN2353" t="inlineStr"/>
      <c r="AO2353" t="inlineStr"/>
      <c r="AP2353" t="inlineStr"/>
      <c r="AQ2353" t="inlineStr"/>
      <c r="AR2353" t="inlineStr"/>
    </row>
    <row r="2354">
      <c r="A2354" t="inlineStr">
        <is>
          <t>Moutourwa-MTN</t>
        </is>
      </c>
      <c r="B2354" t="inlineStr">
        <is>
          <t>EXN_027</t>
        </is>
      </c>
      <c r="C2354" t="inlineStr">
        <is>
          <t>EXTREME-NORD</t>
        </is>
      </c>
      <c r="D2354" t="inlineStr">
        <is>
          <t>IHS</t>
        </is>
      </c>
      <c r="E2354" t="inlineStr">
        <is>
          <t>Grid-Gen</t>
        </is>
      </c>
      <c r="F2354" t="inlineStr">
        <is>
          <t>EXTREME-NORD</t>
        </is>
      </c>
      <c r="G2354" t="inlineStr">
        <is>
          <t>Moutourwa</t>
        </is>
      </c>
      <c r="H2354" t="inlineStr">
        <is>
          <t>HUAWEI</t>
        </is>
      </c>
      <c r="I2354" t="n">
        <v>0</v>
      </c>
      <c r="J2354" t="n">
        <v>0</v>
      </c>
      <c r="K2354" t="n">
        <v>0</v>
      </c>
      <c r="L2354" t="n">
        <v>0</v>
      </c>
      <c r="M2354" t="n">
        <v>0</v>
      </c>
      <c r="N2354" t="n">
        <v>0</v>
      </c>
      <c r="O2354" t="n">
        <v>0</v>
      </c>
      <c r="P2354" t="n">
        <v>0</v>
      </c>
      <c r="Q2354" t="n">
        <v>0</v>
      </c>
      <c r="R2354" t="inlineStr">
        <is>
          <t>Insecurity</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row>
    <row r="2355">
      <c r="A2355" t="inlineStr">
        <is>
          <t>Mouda-IHS</t>
        </is>
      </c>
      <c r="B2355" t="inlineStr">
        <is>
          <t>EXN_186</t>
        </is>
      </c>
      <c r="C2355" t="inlineStr">
        <is>
          <t>EXTREME-NORD</t>
        </is>
      </c>
      <c r="D2355" t="inlineStr">
        <is>
          <t>IHS</t>
        </is>
      </c>
      <c r="E2355" t="inlineStr">
        <is>
          <t>Hybrid-Gen</t>
        </is>
      </c>
      <c r="F2355" t="inlineStr">
        <is>
          <t>EXTREME-NORD</t>
        </is>
      </c>
      <c r="G2355" t="inlineStr">
        <is>
          <t>Mouda</t>
        </is>
      </c>
      <c r="H2355" t="inlineStr">
        <is>
          <t>HUAWEI</t>
        </is>
      </c>
      <c r="I2355" t="n">
        <v>0</v>
      </c>
      <c r="J2355" t="n">
        <v>0</v>
      </c>
      <c r="K2355" t="n">
        <v>0</v>
      </c>
      <c r="L2355" t="n">
        <v>0</v>
      </c>
      <c r="M2355" t="n">
        <v>0</v>
      </c>
      <c r="N2355" t="n">
        <v>0</v>
      </c>
      <c r="O2355" t="n">
        <v>0</v>
      </c>
      <c r="P2355" t="n">
        <v>0</v>
      </c>
      <c r="Q2355" t="n">
        <v>0</v>
      </c>
      <c r="R2355" t="inlineStr">
        <is>
          <t>Insecurity</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row>
    <row r="2356">
      <c r="A2356" t="inlineStr">
        <is>
          <t>Badjouma-Zagam</t>
        </is>
      </c>
      <c r="B2356" t="inlineStr">
        <is>
          <t>EXN_239</t>
        </is>
      </c>
      <c r="C2356" t="inlineStr">
        <is>
          <t>EXTREME-NORD</t>
        </is>
      </c>
      <c r="D2356" t="inlineStr">
        <is>
          <t>CAMUSAT</t>
        </is>
      </c>
      <c r="E2356" t="inlineStr">
        <is>
          <t>Hybrid Solar - S3</t>
        </is>
      </c>
      <c r="F2356" t="inlineStr">
        <is>
          <t>EXTREME-NORD</t>
        </is>
      </c>
      <c r="G2356" t="inlineStr">
        <is>
          <t>Badjouma</t>
        </is>
      </c>
      <c r="H2356" t="inlineStr">
        <is>
          <t>HUAWEI</t>
        </is>
      </c>
      <c r="I2356" t="n">
        <v>0</v>
      </c>
      <c r="J2356" t="n">
        <v>0</v>
      </c>
      <c r="K2356" t="n">
        <v>0</v>
      </c>
      <c r="L2356" t="n">
        <v>0</v>
      </c>
      <c r="M2356" t="n">
        <v>0</v>
      </c>
      <c r="N2356" t="n">
        <v>0</v>
      </c>
      <c r="O2356" t="n">
        <v>0</v>
      </c>
      <c r="P2356" t="n">
        <v>0</v>
      </c>
      <c r="Q2356" t="n">
        <v>0</v>
      </c>
      <c r="R2356" t="inlineStr">
        <is>
          <t>Insecurity</t>
        </is>
      </c>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row>
    <row r="2357">
      <c r="A2357" t="inlineStr">
        <is>
          <t>Gamdougoum-IHS</t>
        </is>
      </c>
      <c r="B2357" t="inlineStr">
        <is>
          <t>EXN_163</t>
        </is>
      </c>
      <c r="C2357" t="inlineStr">
        <is>
          <t>EXTREME-NORD</t>
        </is>
      </c>
      <c r="D2357" t="inlineStr">
        <is>
          <t>IHS</t>
        </is>
      </c>
      <c r="E2357" t="inlineStr">
        <is>
          <t>Solar-Gen</t>
        </is>
      </c>
      <c r="F2357" t="inlineStr">
        <is>
          <t>EXTREME-NORD</t>
        </is>
      </c>
      <c r="G2357" t="inlineStr">
        <is>
          <t>Gamdougoum</t>
        </is>
      </c>
      <c r="H2357" t="inlineStr">
        <is>
          <t>HUAWEI</t>
        </is>
      </c>
      <c r="I2357" t="n">
        <v>0</v>
      </c>
      <c r="J2357" t="n">
        <v>0</v>
      </c>
      <c r="K2357" t="n">
        <v>0</v>
      </c>
      <c r="L2357" t="n">
        <v>0</v>
      </c>
      <c r="M2357" t="n">
        <v>0</v>
      </c>
      <c r="N2357" t="n">
        <v>0</v>
      </c>
      <c r="O2357" t="n">
        <v>0</v>
      </c>
      <c r="P2357" t="n">
        <v>0</v>
      </c>
      <c r="Q2357" t="n">
        <v>0</v>
      </c>
      <c r="R2357" t="inlineStr">
        <is>
          <t>Insecurity</t>
        </is>
      </c>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row>
    <row r="2358">
      <c r="A2358" t="inlineStr">
        <is>
          <t>Tiko-Likomba-IHS</t>
        </is>
      </c>
      <c r="B2358" t="inlineStr">
        <is>
          <t>SUO_209</t>
        </is>
      </c>
      <c r="C2358" t="inlineStr">
        <is>
          <t>SUD-OUEST</t>
        </is>
      </c>
      <c r="D2358" t="inlineStr">
        <is>
          <t>IHS</t>
        </is>
      </c>
      <c r="E2358" t="inlineStr">
        <is>
          <t>Grid-Gen</t>
        </is>
      </c>
      <c r="F2358" t="inlineStr">
        <is>
          <t>SUD-OUEST</t>
        </is>
      </c>
      <c r="G2358" t="inlineStr">
        <is>
          <t>Tiko</t>
        </is>
      </c>
      <c r="H2358" t="inlineStr">
        <is>
          <t>HUAWEI</t>
        </is>
      </c>
      <c r="I2358" t="n">
        <v>0</v>
      </c>
      <c r="J2358" t="n">
        <v>0</v>
      </c>
      <c r="K2358" t="n">
        <v>0</v>
      </c>
      <c r="L2358" t="n">
        <v>0</v>
      </c>
      <c r="M2358" t="n">
        <v>0</v>
      </c>
      <c r="N2358" t="n">
        <v>0</v>
      </c>
      <c r="O2358" t="n">
        <v>0</v>
      </c>
      <c r="P2358" t="n">
        <v>0</v>
      </c>
      <c r="Q2358" t="n">
        <v>0</v>
      </c>
      <c r="R2358" t="inlineStr">
        <is>
          <t>Insecurity</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row>
    <row r="2359">
      <c r="A2359" t="inlineStr">
        <is>
          <t>Ngambe</t>
        </is>
      </c>
      <c r="B2359" t="inlineStr">
        <is>
          <t>SUO_029</t>
        </is>
      </c>
      <c r="C2359" t="inlineStr">
        <is>
          <t>LITTORAL</t>
        </is>
      </c>
      <c r="D2359" t="inlineStr">
        <is>
          <t>IHS</t>
        </is>
      </c>
      <c r="E2359" t="inlineStr">
        <is>
          <t>Grid-Hybrid-Gen</t>
        </is>
      </c>
      <c r="F2359" t="inlineStr">
        <is>
          <t>SUD-OUEST</t>
        </is>
      </c>
      <c r="G2359" t="inlineStr">
        <is>
          <t>Ngambe</t>
        </is>
      </c>
      <c r="H2359" t="inlineStr">
        <is>
          <t>ZTE</t>
        </is>
      </c>
      <c r="I2359" t="n">
        <v>0</v>
      </c>
      <c r="J2359" t="n">
        <v>0</v>
      </c>
      <c r="K2359" t="n">
        <v>0</v>
      </c>
      <c r="L2359" t="n">
        <v>0</v>
      </c>
      <c r="M2359" t="n">
        <v>0</v>
      </c>
      <c r="N2359" t="n">
        <v>0</v>
      </c>
      <c r="O2359" t="n">
        <v>0</v>
      </c>
      <c r="P2359" t="n">
        <v>0</v>
      </c>
      <c r="Q2359" t="n">
        <v>0</v>
      </c>
      <c r="R2359" t="inlineStr">
        <is>
          <t>Insecurity</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row>
    <row r="2360">
      <c r="A2360" t="inlineStr">
        <is>
          <t>Tiko-Market-IHS</t>
        </is>
      </c>
      <c r="B2360" t="inlineStr">
        <is>
          <t>SUO_104</t>
        </is>
      </c>
      <c r="C2360" t="inlineStr">
        <is>
          <t>SUD-OUEST</t>
        </is>
      </c>
      <c r="D2360" t="inlineStr">
        <is>
          <t>IHS</t>
        </is>
      </c>
      <c r="E2360" t="inlineStr">
        <is>
          <t>Grid-Gen</t>
        </is>
      </c>
      <c r="F2360" t="inlineStr">
        <is>
          <t>SUD-OUEST</t>
        </is>
      </c>
      <c r="G2360" t="inlineStr">
        <is>
          <t>Tiko</t>
        </is>
      </c>
      <c r="H2360" t="inlineStr">
        <is>
          <t>HUAWEI</t>
        </is>
      </c>
      <c r="I2360" t="n">
        <v>0</v>
      </c>
      <c r="J2360" t="n">
        <v>0</v>
      </c>
      <c r="K2360" t="n">
        <v>0</v>
      </c>
      <c r="L2360" t="n">
        <v>0</v>
      </c>
      <c r="M2360" t="n">
        <v>0</v>
      </c>
      <c r="N2360" t="n">
        <v>0</v>
      </c>
      <c r="O2360" t="n">
        <v>0</v>
      </c>
      <c r="P2360" t="n">
        <v>0</v>
      </c>
      <c r="Q2360" t="n">
        <v>0</v>
      </c>
      <c r="R2360" t="inlineStr">
        <is>
          <t>Insecurity</t>
        </is>
      </c>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row>
    <row r="2361">
      <c r="A2361" t="inlineStr">
        <is>
          <t>Santa-New</t>
        </is>
      </c>
      <c r="B2361" t="inlineStr">
        <is>
          <t>NRO_104</t>
        </is>
      </c>
      <c r="C2361" t="inlineStr">
        <is>
          <t>NORD-OUEST</t>
        </is>
      </c>
      <c r="D2361" t="inlineStr">
        <is>
          <t>IHS</t>
        </is>
      </c>
      <c r="E2361" t="inlineStr">
        <is>
          <t>Grid-Gen</t>
        </is>
      </c>
      <c r="F2361" t="inlineStr">
        <is>
          <t>NORD-OUEST</t>
        </is>
      </c>
      <c r="G2361" t="inlineStr">
        <is>
          <t>Santa</t>
        </is>
      </c>
      <c r="H2361" t="inlineStr">
        <is>
          <t>HUAWEI</t>
        </is>
      </c>
      <c r="I2361" t="n">
        <v>0</v>
      </c>
      <c r="J2361" t="n">
        <v>0</v>
      </c>
      <c r="K2361" t="n">
        <v>0</v>
      </c>
      <c r="L2361" t="n">
        <v>0</v>
      </c>
      <c r="M2361" t="n">
        <v>0</v>
      </c>
      <c r="N2361" t="n">
        <v>0</v>
      </c>
      <c r="O2361" t="n">
        <v>0</v>
      </c>
      <c r="P2361" t="n">
        <v>0</v>
      </c>
      <c r="Q2361" t="n">
        <v>0</v>
      </c>
      <c r="R2361" t="inlineStr">
        <is>
          <t>Insecurity</t>
        </is>
      </c>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row>
    <row r="2362">
      <c r="A2362" t="inlineStr">
        <is>
          <t>Akum</t>
        </is>
      </c>
      <c r="B2362" t="inlineStr">
        <is>
          <t>NRO_001</t>
        </is>
      </c>
      <c r="C2362" t="inlineStr">
        <is>
          <t>NORD-OUEST</t>
        </is>
      </c>
      <c r="D2362" t="inlineStr">
        <is>
          <t>CAMUSAT</t>
        </is>
      </c>
      <c r="E2362" t="inlineStr">
        <is>
          <t>Medium Grid + Solar + GE</t>
        </is>
      </c>
      <c r="F2362" t="inlineStr">
        <is>
          <t>NORD-OUEST</t>
        </is>
      </c>
      <c r="G2362" t="inlineStr">
        <is>
          <t>Akum</t>
        </is>
      </c>
      <c r="H2362" t="inlineStr">
        <is>
          <t>HUAWEI</t>
        </is>
      </c>
      <c r="I2362" t="n">
        <v>0</v>
      </c>
      <c r="J2362" t="n">
        <v>0</v>
      </c>
      <c r="K2362" t="n">
        <v>0</v>
      </c>
      <c r="L2362" t="n">
        <v>0</v>
      </c>
      <c r="M2362" t="n">
        <v>0</v>
      </c>
      <c r="N2362" t="n">
        <v>0</v>
      </c>
      <c r="O2362" t="n">
        <v>0</v>
      </c>
      <c r="P2362" t="n">
        <v>0</v>
      </c>
      <c r="Q2362" t="n">
        <v>0</v>
      </c>
      <c r="R2362" t="inlineStr">
        <is>
          <t>Insecurity</t>
        </is>
      </c>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row>
    <row r="2363">
      <c r="A2363" t="inlineStr">
        <is>
          <t>Ndom</t>
        </is>
      </c>
      <c r="B2363" t="inlineStr">
        <is>
          <t>SUO_028</t>
        </is>
      </c>
      <c r="C2363" t="inlineStr">
        <is>
          <t>CENTRE</t>
        </is>
      </c>
      <c r="D2363" t="inlineStr">
        <is>
          <t>IHS</t>
        </is>
      </c>
      <c r="E2363" t="inlineStr">
        <is>
          <t>Grid Gen</t>
        </is>
      </c>
      <c r="F2363" t="inlineStr">
        <is>
          <t>SUD-OUEST</t>
        </is>
      </c>
      <c r="G2363" t="inlineStr">
        <is>
          <t>Ndom</t>
        </is>
      </c>
      <c r="H2363" t="inlineStr">
        <is>
          <t>ZTE</t>
        </is>
      </c>
      <c r="I2363" t="n">
        <v>0</v>
      </c>
      <c r="J2363" t="n">
        <v>0</v>
      </c>
      <c r="K2363" t="n">
        <v>0</v>
      </c>
      <c r="L2363" t="n">
        <v>0</v>
      </c>
      <c r="M2363" t="n">
        <v>0</v>
      </c>
      <c r="N2363" t="n">
        <v>0</v>
      </c>
      <c r="O2363" t="n">
        <v>0</v>
      </c>
      <c r="P2363" t="n">
        <v>0</v>
      </c>
      <c r="Q2363" t="n">
        <v>0</v>
      </c>
      <c r="R2363" t="inlineStr">
        <is>
          <t>Insecurity</t>
        </is>
      </c>
      <c r="S2363" t="inlineStr"/>
      <c r="T2363" t="inlineStr"/>
      <c r="U2363" t="inlineStr"/>
      <c r="V2363" t="inlineStr"/>
      <c r="W2363" t="inlineStr"/>
      <c r="X236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Y236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Z2363" t="inlineStr"/>
      <c r="AA2363" t="inlineStr">
        <is>
          <t>{05-25-2026 incident}: {05-18-2026 groupe whatsapp incident}: impacted by   CTR_095_Z_Ombessa(CTR_095) , Configuration du MPR effectueenpar le BO TX mais le lien FH en direction de Mbangassina ne remonte pas . Il recommende au FME de se rendre sur site pour action conjointe ETA=35 minutes</t>
        </is>
      </c>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row>
    <row r="2364">
      <c r="A2364" t="inlineStr">
        <is>
          <t>Sabga</t>
        </is>
      </c>
      <c r="B2364" t="inlineStr">
        <is>
          <t>NRO_048</t>
        </is>
      </c>
      <c r="C2364" t="inlineStr">
        <is>
          <t>NORD-OUEST</t>
        </is>
      </c>
      <c r="D2364" t="inlineStr">
        <is>
          <t>IHS</t>
        </is>
      </c>
      <c r="E2364" t="inlineStr">
        <is>
          <t>Grid-Gen</t>
        </is>
      </c>
      <c r="F2364" t="inlineStr">
        <is>
          <t>NORD-OUEST</t>
        </is>
      </c>
      <c r="G2364" t="inlineStr">
        <is>
          <t>Sabga</t>
        </is>
      </c>
      <c r="H2364" t="inlineStr">
        <is>
          <t>HUAWEI</t>
        </is>
      </c>
      <c r="I2364" t="n">
        <v>0</v>
      </c>
      <c r="J2364" t="n">
        <v>0</v>
      </c>
      <c r="K2364" t="n">
        <v>0</v>
      </c>
      <c r="L2364" t="n">
        <v>0</v>
      </c>
      <c r="M2364" t="n">
        <v>0</v>
      </c>
      <c r="N2364" t="n">
        <v>0</v>
      </c>
      <c r="O2364" t="n">
        <v>0</v>
      </c>
      <c r="P2364" t="n">
        <v>0</v>
      </c>
      <c r="Q2364" t="n">
        <v>0</v>
      </c>
      <c r="R2364" t="inlineStr">
        <is>
          <t>Insecurity</t>
        </is>
      </c>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row>
    <row r="2365">
      <c r="A2365" t="inlineStr">
        <is>
          <t>Mundemba</t>
        </is>
      </c>
      <c r="B2365" t="inlineStr">
        <is>
          <t>SUO_020</t>
        </is>
      </c>
      <c r="C2365" t="inlineStr">
        <is>
          <t>SUD-OUEST</t>
        </is>
      </c>
      <c r="D2365" t="inlineStr">
        <is>
          <t>IHS</t>
        </is>
      </c>
      <c r="E2365" t="inlineStr">
        <is>
          <t>Hybrid-Gen</t>
        </is>
      </c>
      <c r="F2365" t="inlineStr">
        <is>
          <t>SUD-OUEST</t>
        </is>
      </c>
      <c r="G2365" t="inlineStr">
        <is>
          <t>Mundemba</t>
        </is>
      </c>
      <c r="H2365" t="inlineStr">
        <is>
          <t>NOKIA</t>
        </is>
      </c>
      <c r="I2365" t="n">
        <v>0</v>
      </c>
      <c r="J2365" t="n">
        <v>0</v>
      </c>
      <c r="K2365" t="n">
        <v>0</v>
      </c>
      <c r="L2365" t="n">
        <v>0</v>
      </c>
      <c r="M2365" t="n">
        <v>0</v>
      </c>
      <c r="N2365" t="n">
        <v>0</v>
      </c>
      <c r="O2365" t="n">
        <v>0</v>
      </c>
      <c r="P2365" t="n">
        <v>0</v>
      </c>
      <c r="Q2365" t="n">
        <v>0</v>
      </c>
      <c r="R2365" t="inlineStr">
        <is>
          <t>Insecurity</t>
        </is>
      </c>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row>
    <row r="2366">
      <c r="A2366" t="inlineStr">
        <is>
          <t>Nguti</t>
        </is>
      </c>
      <c r="B2366" t="inlineStr">
        <is>
          <t>SUO_022</t>
        </is>
      </c>
      <c r="C2366" t="inlineStr">
        <is>
          <t>SUD-OUEST</t>
        </is>
      </c>
      <c r="D2366" t="inlineStr">
        <is>
          <t>CAMUSAT</t>
        </is>
      </c>
      <c r="E2366" t="inlineStr">
        <is>
          <t>HGB</t>
        </is>
      </c>
      <c r="F2366" t="inlineStr">
        <is>
          <t>SUD-OUEST</t>
        </is>
      </c>
      <c r="G2366" t="inlineStr">
        <is>
          <t>Nguti</t>
        </is>
      </c>
      <c r="H2366" t="inlineStr">
        <is>
          <t>NOKIA</t>
        </is>
      </c>
      <c r="I2366" t="n">
        <v>0</v>
      </c>
      <c r="J2366" t="n">
        <v>0</v>
      </c>
      <c r="K2366" t="n">
        <v>0</v>
      </c>
      <c r="L2366" t="n">
        <v>0</v>
      </c>
      <c r="M2366" t="n">
        <v>0</v>
      </c>
      <c r="N2366" t="n">
        <v>0</v>
      </c>
      <c r="O2366" t="n">
        <v>0</v>
      </c>
      <c r="P2366" t="n">
        <v>0</v>
      </c>
      <c r="Q2366" t="n">
        <v>0</v>
      </c>
      <c r="R2366" t="inlineStr">
        <is>
          <t>Insecurity</t>
        </is>
      </c>
      <c r="S2366" t="inlineStr"/>
      <c r="T2366" t="inlineStr"/>
      <c r="U2366" t="inlineStr"/>
      <c r="V2366" t="inlineStr"/>
      <c r="W2366" t="inlineStr"/>
      <c r="X2366" t="inlineStr">
        <is>
          <t>{05-25-2026 ocm ran 22H}: New site not yet transferred to MSP     ;    {05-25-2026 ocm ran 17H}: New site not yet transferred to MSP</t>
        </is>
      </c>
      <c r="Y2366" t="inlineStr">
        <is>
          <t>New site not yet transferred to MSP New site not yet transferred to MSP</t>
        </is>
      </c>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{05-25-2026 ocm ran 22H}: New site not yet transferred to MSP</t>
        </is>
      </c>
      <c r="AP2366" t="inlineStr">
        <is>
          <t>{05-25-2026 ocm ran 17H}: New site not yet transferred to MSP</t>
        </is>
      </c>
      <c r="AQ2366" t="inlineStr"/>
      <c r="AR2366" t="inlineStr"/>
    </row>
    <row r="2367">
      <c r="A2367" t="inlineStr">
        <is>
          <t>Konye</t>
        </is>
      </c>
      <c r="B2367" t="inlineStr">
        <is>
          <t>SUO_032</t>
        </is>
      </c>
      <c r="C2367" t="inlineStr">
        <is>
          <t>SUD-OUEST</t>
        </is>
      </c>
      <c r="D2367" t="inlineStr">
        <is>
          <t>IHS</t>
        </is>
      </c>
      <c r="E2367" t="inlineStr">
        <is>
          <t>Hybrid-Gen</t>
        </is>
      </c>
      <c r="F2367" t="inlineStr">
        <is>
          <t>SUD-OUEST</t>
        </is>
      </c>
      <c r="G2367" t="inlineStr">
        <is>
          <t>Konye</t>
        </is>
      </c>
      <c r="H2367" t="inlineStr">
        <is>
          <t>NOKIA</t>
        </is>
      </c>
      <c r="I2367" t="n">
        <v>0</v>
      </c>
      <c r="J2367" t="n">
        <v>0</v>
      </c>
      <c r="K2367" t="n">
        <v>0</v>
      </c>
      <c r="L2367" t="n">
        <v>0</v>
      </c>
      <c r="M2367" t="n">
        <v>0</v>
      </c>
      <c r="N2367" t="n">
        <v>0</v>
      </c>
      <c r="O2367" t="n">
        <v>0</v>
      </c>
      <c r="P2367" t="n">
        <v>0</v>
      </c>
      <c r="Q2367" t="n">
        <v>0</v>
      </c>
      <c r="R2367" t="inlineStr">
        <is>
          <t>Insecurity</t>
        </is>
      </c>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row>
    <row r="2368">
      <c r="A2368" t="inlineStr">
        <is>
          <t>Kurume</t>
        </is>
      </c>
      <c r="B2368" t="inlineStr">
        <is>
          <t>SUO_034</t>
        </is>
      </c>
      <c r="C2368" t="inlineStr">
        <is>
          <t>SUD-OUEST</t>
        </is>
      </c>
      <c r="D2368" t="inlineStr">
        <is>
          <t>CAMUSAT</t>
        </is>
      </c>
      <c r="E2368" t="inlineStr"/>
      <c r="F2368" t="inlineStr">
        <is>
          <t>SUD-OUEST</t>
        </is>
      </c>
      <c r="G2368" t="inlineStr">
        <is>
          <t>Kurume</t>
        </is>
      </c>
      <c r="H2368" t="inlineStr">
        <is>
          <t>NOKIA</t>
        </is>
      </c>
      <c r="I2368" t="n">
        <v>0</v>
      </c>
      <c r="J2368" t="n">
        <v>0</v>
      </c>
      <c r="K2368" t="n">
        <v>0</v>
      </c>
      <c r="L2368" t="n">
        <v>0</v>
      </c>
      <c r="M2368" t="n">
        <v>0</v>
      </c>
      <c r="N2368" t="n">
        <v>0</v>
      </c>
      <c r="O2368" t="n">
        <v>0</v>
      </c>
      <c r="P2368" t="n">
        <v>0</v>
      </c>
      <c r="Q2368" t="n">
        <v>0</v>
      </c>
      <c r="R2368" t="inlineStr">
        <is>
          <t>Insecurity</t>
        </is>
      </c>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row>
    <row r="2369">
      <c r="A2369" t="inlineStr">
        <is>
          <t>Ekona-MTN</t>
        </is>
      </c>
      <c r="B2369" t="inlineStr">
        <is>
          <t>SUO_087</t>
        </is>
      </c>
      <c r="C2369" t="inlineStr">
        <is>
          <t>SUD-OUEST</t>
        </is>
      </c>
      <c r="D2369" t="inlineStr">
        <is>
          <t>IHS</t>
        </is>
      </c>
      <c r="E2369" t="inlineStr">
        <is>
          <t>Vandalized</t>
        </is>
      </c>
      <c r="F2369" t="inlineStr">
        <is>
          <t>SUD-OUEST</t>
        </is>
      </c>
      <c r="G2369" t="inlineStr">
        <is>
          <t>Ekona</t>
        </is>
      </c>
      <c r="H2369" t="inlineStr">
        <is>
          <t>NOKIA</t>
        </is>
      </c>
      <c r="I2369" t="n">
        <v>0</v>
      </c>
      <c r="J2369" t="n">
        <v>0</v>
      </c>
      <c r="K2369" t="n">
        <v>0</v>
      </c>
      <c r="L2369" t="n">
        <v>0</v>
      </c>
      <c r="M2369" t="n">
        <v>0</v>
      </c>
      <c r="N2369" t="n">
        <v>0</v>
      </c>
      <c r="O2369" t="n">
        <v>0</v>
      </c>
      <c r="P2369" t="n">
        <v>0</v>
      </c>
      <c r="Q2369" t="n">
        <v>0</v>
      </c>
      <c r="R2369" t="inlineStr">
        <is>
          <t>Insecurity</t>
        </is>
      </c>
      <c r="S2369" t="inlineStr"/>
      <c r="T2369" t="inlineStr"/>
      <c r="U2369" t="inlineStr"/>
      <c r="V2369" t="inlineStr"/>
      <c r="W2369" t="inlineStr"/>
      <c r="X2369" t="inlineStr">
        <is>
          <t>{05-25-2026 ocm ran 22H}: New site not yet transferred to MSP     ;    {05-25-2026 ocm ran 17H}: New site not yet transferred to MSP</t>
        </is>
      </c>
      <c r="Y2369" t="inlineStr">
        <is>
          <t>New site not yet transferred to MSP New site not yet transferred to MSP</t>
        </is>
      </c>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{05-25-2026 ocm ran 22H}: New site not yet transferred to MSP</t>
        </is>
      </c>
      <c r="AP2369" t="inlineStr">
        <is>
          <t>{05-25-2026 ocm ran 17H}: New site not yet transferred to MSP</t>
        </is>
      </c>
      <c r="AQ2369" t="inlineStr"/>
      <c r="AR2369" t="inlineStr"/>
    </row>
    <row r="2370">
      <c r="A2370" t="inlineStr">
        <is>
          <t>Munyengue-Trouble-IHS</t>
        </is>
      </c>
      <c r="B2370" t="inlineStr">
        <is>
          <t>SUO_098</t>
        </is>
      </c>
      <c r="C2370" t="inlineStr">
        <is>
          <t>SUD-OUEST</t>
        </is>
      </c>
      <c r="D2370" t="inlineStr">
        <is>
          <t>IHS</t>
        </is>
      </c>
      <c r="E2370" t="inlineStr">
        <is>
          <t>Gen Only</t>
        </is>
      </c>
      <c r="F2370" t="inlineStr">
        <is>
          <t>SUD-OUEST</t>
        </is>
      </c>
      <c r="G2370" t="inlineStr">
        <is>
          <t>Muyengue</t>
        </is>
      </c>
      <c r="H2370" t="inlineStr">
        <is>
          <t>NOKIA</t>
        </is>
      </c>
      <c r="I2370" t="n">
        <v>0</v>
      </c>
      <c r="J2370" t="n">
        <v>0</v>
      </c>
      <c r="K2370" t="n">
        <v>0</v>
      </c>
      <c r="L2370" t="n">
        <v>0</v>
      </c>
      <c r="M2370" t="n">
        <v>0</v>
      </c>
      <c r="N2370" t="n">
        <v>0</v>
      </c>
      <c r="O2370" t="n">
        <v>0</v>
      </c>
      <c r="P2370" t="n">
        <v>0</v>
      </c>
      <c r="Q2370" t="n">
        <v>0</v>
      </c>
      <c r="R2370" t="inlineStr">
        <is>
          <t>Insecurity</t>
        </is>
      </c>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row>
    <row r="2371">
      <c r="A2371" t="inlineStr">
        <is>
          <t>Muyengue-II-IHS</t>
        </is>
      </c>
      <c r="B2371" t="inlineStr">
        <is>
          <t>SUO_026</t>
        </is>
      </c>
      <c r="C2371" t="inlineStr">
        <is>
          <t>SUD-OUEST</t>
        </is>
      </c>
      <c r="D2371" t="inlineStr">
        <is>
          <t>IHS</t>
        </is>
      </c>
      <c r="E2371" t="inlineStr">
        <is>
          <t>Grid-Gen</t>
        </is>
      </c>
      <c r="F2371" t="inlineStr">
        <is>
          <t>SUD-OUEST</t>
        </is>
      </c>
      <c r="G2371" t="inlineStr">
        <is>
          <t>Muyengue</t>
        </is>
      </c>
      <c r="H2371" t="inlineStr">
        <is>
          <t>NOKIA</t>
        </is>
      </c>
      <c r="I2371" t="n">
        <v>0</v>
      </c>
      <c r="J2371" t="n">
        <v>0</v>
      </c>
      <c r="K2371" t="n">
        <v>0</v>
      </c>
      <c r="L2371" t="n">
        <v>0</v>
      </c>
      <c r="M2371" t="n">
        <v>0</v>
      </c>
      <c r="N2371" t="n">
        <v>0</v>
      </c>
      <c r="O2371" t="n">
        <v>0</v>
      </c>
      <c r="P2371" t="n">
        <v>0</v>
      </c>
      <c r="Q2371" t="n">
        <v>0</v>
      </c>
      <c r="R2371" t="inlineStr">
        <is>
          <t>Insecurity</t>
        </is>
      </c>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row>
    <row r="2372">
      <c r="A2372" t="inlineStr">
        <is>
          <t>Babensi-IHS</t>
        </is>
      </c>
      <c r="B2372" t="inlineStr">
        <is>
          <t>SUO_099</t>
        </is>
      </c>
      <c r="C2372" t="inlineStr">
        <is>
          <t>SUD-OUEST</t>
        </is>
      </c>
      <c r="D2372" t="inlineStr">
        <is>
          <t>IHS</t>
        </is>
      </c>
      <c r="E2372" t="inlineStr">
        <is>
          <t>Gen Only</t>
        </is>
      </c>
      <c r="F2372" t="inlineStr">
        <is>
          <t>SUD-OUEST</t>
        </is>
      </c>
      <c r="G2372" t="inlineStr">
        <is>
          <t>Babensi</t>
        </is>
      </c>
      <c r="H2372" t="inlineStr">
        <is>
          <t>NOKIA</t>
        </is>
      </c>
      <c r="I2372" t="n">
        <v>0</v>
      </c>
      <c r="J2372" t="n">
        <v>0</v>
      </c>
      <c r="K2372" t="n">
        <v>0</v>
      </c>
      <c r="L2372" t="n">
        <v>0</v>
      </c>
      <c r="M2372" t="n">
        <v>0</v>
      </c>
      <c r="N2372" t="n">
        <v>0</v>
      </c>
      <c r="O2372" t="n">
        <v>0</v>
      </c>
      <c r="P2372" t="n">
        <v>0</v>
      </c>
      <c r="Q2372" t="n">
        <v>0</v>
      </c>
      <c r="R2372" t="inlineStr">
        <is>
          <t>Insecurity</t>
        </is>
      </c>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row>
    <row r="2373">
      <c r="A2373" t="inlineStr">
        <is>
          <t>Ekona-II-IHS</t>
        </is>
      </c>
      <c r="B2373" t="inlineStr">
        <is>
          <t>SUO_128</t>
        </is>
      </c>
      <c r="C2373" t="inlineStr">
        <is>
          <t>SUD-OUEST</t>
        </is>
      </c>
      <c r="D2373" t="inlineStr">
        <is>
          <t>IHS</t>
        </is>
      </c>
      <c r="E2373" t="inlineStr">
        <is>
          <t>Vandalized</t>
        </is>
      </c>
      <c r="F2373" t="inlineStr">
        <is>
          <t>SUD-OUEST</t>
        </is>
      </c>
      <c r="G2373" t="inlineStr">
        <is>
          <t>Ekona</t>
        </is>
      </c>
      <c r="H2373" t="inlineStr">
        <is>
          <t>NOKIA</t>
        </is>
      </c>
      <c r="I2373" t="n">
        <v>0</v>
      </c>
      <c r="J2373" t="n">
        <v>0</v>
      </c>
      <c r="K2373" t="n">
        <v>0</v>
      </c>
      <c r="L2373" t="n">
        <v>0</v>
      </c>
      <c r="M2373" t="n">
        <v>0</v>
      </c>
      <c r="N2373" t="n">
        <v>0</v>
      </c>
      <c r="O2373" t="n">
        <v>0</v>
      </c>
      <c r="P2373" t="n">
        <v>0</v>
      </c>
      <c r="Q2373" t="n">
        <v>0</v>
      </c>
      <c r="R2373" t="inlineStr">
        <is>
          <t>Insecurity</t>
        </is>
      </c>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row>
    <row r="2374">
      <c r="A2374" t="inlineStr">
        <is>
          <t>Akwaya-IHS</t>
        </is>
      </c>
      <c r="B2374" t="inlineStr">
        <is>
          <t>SUO_092</t>
        </is>
      </c>
      <c r="C2374" t="inlineStr">
        <is>
          <t>SUD-OUEST</t>
        </is>
      </c>
      <c r="D2374" t="inlineStr">
        <is>
          <t>IHS</t>
        </is>
      </c>
      <c r="E2374" t="inlineStr">
        <is>
          <t>Solar-Gen</t>
        </is>
      </c>
      <c r="F2374" t="inlineStr">
        <is>
          <t>SUD-OUEST</t>
        </is>
      </c>
      <c r="G2374" t="inlineStr">
        <is>
          <t>Akwaya</t>
        </is>
      </c>
      <c r="H2374" t="inlineStr">
        <is>
          <t>NOKIA</t>
        </is>
      </c>
      <c r="I2374" t="n">
        <v>0</v>
      </c>
      <c r="J2374" t="n">
        <v>0</v>
      </c>
      <c r="K2374" t="n">
        <v>0</v>
      </c>
      <c r="L2374" t="n">
        <v>0</v>
      </c>
      <c r="M2374" t="n">
        <v>0</v>
      </c>
      <c r="N2374" t="n">
        <v>0</v>
      </c>
      <c r="O2374" t="n">
        <v>0</v>
      </c>
      <c r="P2374" t="n">
        <v>0</v>
      </c>
      <c r="Q2374" t="n">
        <v>0</v>
      </c>
      <c r="R2374" t="inlineStr">
        <is>
          <t>Insecurity</t>
        </is>
      </c>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row>
    <row r="2375">
      <c r="A2375" t="inlineStr">
        <is>
          <t>Njikwa-Town-IHS</t>
        </is>
      </c>
      <c r="B2375" t="inlineStr">
        <is>
          <t>NRO_022</t>
        </is>
      </c>
      <c r="C2375" t="inlineStr">
        <is>
          <t>NORD-OUEST</t>
        </is>
      </c>
      <c r="D2375" t="inlineStr"/>
      <c r="E2375" t="inlineStr"/>
      <c r="F2375" t="inlineStr">
        <is>
          <t>NORD-OUEST</t>
        </is>
      </c>
      <c r="G2375" t="inlineStr">
        <is>
          <t>Njikwa</t>
        </is>
      </c>
      <c r="H2375" t="inlineStr">
        <is>
          <t>NOKIA</t>
        </is>
      </c>
      <c r="I2375" t="n">
        <v>0</v>
      </c>
      <c r="J2375" t="n">
        <v>0</v>
      </c>
      <c r="K2375" t="n">
        <v>0</v>
      </c>
      <c r="L2375" t="n">
        <v>0</v>
      </c>
      <c r="M2375" t="n">
        <v>0</v>
      </c>
      <c r="N2375" t="n">
        <v>0</v>
      </c>
      <c r="O2375" t="n">
        <v>0</v>
      </c>
      <c r="P2375" t="n">
        <v>0</v>
      </c>
      <c r="Q2375" t="n">
        <v>0</v>
      </c>
      <c r="R2375" t="inlineStr">
        <is>
          <t>Insecurity</t>
        </is>
      </c>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row>
    <row r="2376">
      <c r="A2376" t="inlineStr">
        <is>
          <t>Bova-Bokombo-IHS</t>
        </is>
      </c>
      <c r="B2376" t="inlineStr">
        <is>
          <t>SUO_025</t>
        </is>
      </c>
      <c r="C2376" t="inlineStr">
        <is>
          <t>SUD-OUEST</t>
        </is>
      </c>
      <c r="D2376" t="inlineStr">
        <is>
          <t>IHS</t>
        </is>
      </c>
      <c r="E2376" t="inlineStr">
        <is>
          <t>Gen Only</t>
        </is>
      </c>
      <c r="F2376" t="inlineStr">
        <is>
          <t>SUD-OUEST</t>
        </is>
      </c>
      <c r="G2376" t="inlineStr">
        <is>
          <t>Bova-Bokombo</t>
        </is>
      </c>
      <c r="H2376" t="inlineStr">
        <is>
          <t>NOKIA</t>
        </is>
      </c>
      <c r="I2376" t="n">
        <v>0</v>
      </c>
      <c r="J2376" t="n">
        <v>0</v>
      </c>
      <c r="K2376" t="n">
        <v>0</v>
      </c>
      <c r="L2376" t="n">
        <v>0</v>
      </c>
      <c r="M2376" t="n">
        <v>0</v>
      </c>
      <c r="N2376" t="n">
        <v>0</v>
      </c>
      <c r="O2376" t="n">
        <v>0</v>
      </c>
      <c r="P2376" t="n">
        <v>0</v>
      </c>
      <c r="Q2376" t="n">
        <v>0</v>
      </c>
      <c r="R2376" t="inlineStr">
        <is>
          <t>Insecurity</t>
        </is>
      </c>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row>
    <row r="2377">
      <c r="A2377" t="inlineStr">
        <is>
          <t>Abuenshie</t>
        </is>
      </c>
      <c r="B2377" t="inlineStr">
        <is>
          <t>NRO_045</t>
        </is>
      </c>
      <c r="C2377" t="inlineStr">
        <is>
          <t>NORD-OUEST</t>
        </is>
      </c>
      <c r="D2377" t="inlineStr">
        <is>
          <t>IHS</t>
        </is>
      </c>
      <c r="E2377" t="inlineStr">
        <is>
          <t>Vandalized</t>
        </is>
      </c>
      <c r="F2377" t="inlineStr">
        <is>
          <t>NORD-OUEST</t>
        </is>
      </c>
      <c r="G2377" t="inlineStr">
        <is>
          <t>Abuenshie</t>
        </is>
      </c>
      <c r="H2377" t="inlineStr">
        <is>
          <t>NOKIA</t>
        </is>
      </c>
      <c r="I2377" t="n">
        <v>0</v>
      </c>
      <c r="J2377" t="n">
        <v>0</v>
      </c>
      <c r="K2377" t="n">
        <v>0</v>
      </c>
      <c r="L2377" t="n">
        <v>0</v>
      </c>
      <c r="M2377" t="n">
        <v>0</v>
      </c>
      <c r="N2377" t="n">
        <v>0</v>
      </c>
      <c r="O2377" t="n">
        <v>0</v>
      </c>
      <c r="P2377" t="n">
        <v>0</v>
      </c>
      <c r="Q2377" t="n">
        <v>0</v>
      </c>
      <c r="R2377" t="inlineStr">
        <is>
          <t>Insecurity</t>
        </is>
      </c>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row>
    <row r="2378">
      <c r="A2378" t="inlineStr">
        <is>
          <t>Tugi</t>
        </is>
      </c>
      <c r="B2378" t="inlineStr">
        <is>
          <t>NRO_076</t>
        </is>
      </c>
      <c r="C2378" t="inlineStr">
        <is>
          <t>NORD-OUEST</t>
        </is>
      </c>
      <c r="D2378" t="inlineStr"/>
      <c r="E2378" t="inlineStr"/>
      <c r="F2378" t="inlineStr">
        <is>
          <t>NORD-OUEST</t>
        </is>
      </c>
      <c r="G2378" t="inlineStr">
        <is>
          <t>Tugi</t>
        </is>
      </c>
      <c r="H2378" t="inlineStr">
        <is>
          <t>NOKIA</t>
        </is>
      </c>
      <c r="I2378" t="n">
        <v>0</v>
      </c>
      <c r="J2378" t="n">
        <v>0</v>
      </c>
      <c r="K2378" t="n">
        <v>0</v>
      </c>
      <c r="L2378" t="n">
        <v>0</v>
      </c>
      <c r="M2378" t="n">
        <v>0</v>
      </c>
      <c r="N2378" t="n">
        <v>0</v>
      </c>
      <c r="O2378" t="n">
        <v>0</v>
      </c>
      <c r="P2378" t="n">
        <v>0</v>
      </c>
      <c r="Q2378" t="n">
        <v>0</v>
      </c>
      <c r="R2378" t="inlineStr">
        <is>
          <t>Insecurity</t>
        </is>
      </c>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row>
    <row r="2379">
      <c r="A2379" t="inlineStr">
        <is>
          <t>Jikejem</t>
        </is>
      </c>
      <c r="B2379" t="inlineStr">
        <is>
          <t>NRO_071</t>
        </is>
      </c>
      <c r="C2379" t="inlineStr">
        <is>
          <t>NORD-OUEST</t>
        </is>
      </c>
      <c r="D2379" t="inlineStr">
        <is>
          <t>IHS</t>
        </is>
      </c>
      <c r="E2379" t="inlineStr">
        <is>
          <t>Hybrid-Gen</t>
        </is>
      </c>
      <c r="F2379" t="inlineStr">
        <is>
          <t>NORD-OUEST</t>
        </is>
      </c>
      <c r="G2379" t="inlineStr">
        <is>
          <t>Jikejem</t>
        </is>
      </c>
      <c r="H2379" t="inlineStr">
        <is>
          <t>NOKIA</t>
        </is>
      </c>
      <c r="I2379" t="n">
        <v>0</v>
      </c>
      <c r="J2379" t="n">
        <v>0</v>
      </c>
      <c r="K2379" t="n">
        <v>0</v>
      </c>
      <c r="L2379" t="n">
        <v>0</v>
      </c>
      <c r="M2379" t="n">
        <v>0</v>
      </c>
      <c r="N2379" t="n">
        <v>0</v>
      </c>
      <c r="O2379" t="n">
        <v>0</v>
      </c>
      <c r="P2379" t="n">
        <v>0</v>
      </c>
      <c r="Q2379" t="n">
        <v>0</v>
      </c>
      <c r="R2379" t="inlineStr">
        <is>
          <t>Insecurity</t>
        </is>
      </c>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row>
    <row r="2380">
      <c r="A2380" t="inlineStr">
        <is>
          <t>Bai-Kuke-IHS</t>
        </is>
      </c>
      <c r="B2380" t="inlineStr">
        <is>
          <t>SUO_153</t>
        </is>
      </c>
      <c r="C2380" t="inlineStr">
        <is>
          <t>SUD-OUEST</t>
        </is>
      </c>
      <c r="D2380" t="inlineStr">
        <is>
          <t>IHS</t>
        </is>
      </c>
      <c r="E2380" t="inlineStr">
        <is>
          <t>Vandalized</t>
        </is>
      </c>
      <c r="F2380" t="inlineStr">
        <is>
          <t>SUD-OUEST</t>
        </is>
      </c>
      <c r="G2380" t="inlineStr">
        <is>
          <t>Bai-Kuke</t>
        </is>
      </c>
      <c r="H2380" t="inlineStr">
        <is>
          <t>NOKIA</t>
        </is>
      </c>
      <c r="I2380" t="n">
        <v>0</v>
      </c>
      <c r="J2380" t="n">
        <v>0</v>
      </c>
      <c r="K2380" t="n">
        <v>0</v>
      </c>
      <c r="L2380" t="n">
        <v>0</v>
      </c>
      <c r="M2380" t="n">
        <v>0</v>
      </c>
      <c r="N2380" t="n">
        <v>0</v>
      </c>
      <c r="O2380" t="n">
        <v>0</v>
      </c>
      <c r="P2380" t="n">
        <v>0</v>
      </c>
      <c r="Q2380" t="n">
        <v>0</v>
      </c>
      <c r="R2380" t="inlineStr">
        <is>
          <t>Insecurity</t>
        </is>
      </c>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row>
    <row r="2381">
      <c r="A2381" t="inlineStr">
        <is>
          <t>Kwaja</t>
        </is>
      </c>
      <c r="B2381" t="inlineStr">
        <is>
          <t>NRO_096</t>
        </is>
      </c>
      <c r="C2381" t="inlineStr">
        <is>
          <t>NORD-OUEST</t>
        </is>
      </c>
      <c r="D2381" t="inlineStr">
        <is>
          <t>IHS</t>
        </is>
      </c>
      <c r="E2381" t="inlineStr">
        <is>
          <t>Vandalized</t>
        </is>
      </c>
      <c r="F2381" t="inlineStr">
        <is>
          <t>NORD-OUEST</t>
        </is>
      </c>
      <c r="G2381" t="inlineStr">
        <is>
          <t>Kwaja</t>
        </is>
      </c>
      <c r="H2381" t="inlineStr">
        <is>
          <t>NOKIA</t>
        </is>
      </c>
      <c r="I2381" t="n">
        <v>0</v>
      </c>
      <c r="J2381" t="n">
        <v>0</v>
      </c>
      <c r="K2381" t="n">
        <v>0</v>
      </c>
      <c r="L2381" t="n">
        <v>0</v>
      </c>
      <c r="M2381" t="n">
        <v>0</v>
      </c>
      <c r="N2381" t="n">
        <v>0</v>
      </c>
      <c r="O2381" t="n">
        <v>0</v>
      </c>
      <c r="P2381" t="n">
        <v>0</v>
      </c>
      <c r="Q2381" t="n">
        <v>0</v>
      </c>
      <c r="R2381" t="inlineStr">
        <is>
          <t>Insecurity</t>
        </is>
      </c>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row>
    <row r="2382">
      <c r="A2382" t="inlineStr">
        <is>
          <t>Jikejem-II</t>
        </is>
      </c>
      <c r="B2382" t="inlineStr">
        <is>
          <t>NRO_111</t>
        </is>
      </c>
      <c r="C2382" t="inlineStr">
        <is>
          <t>NORD-OUEST</t>
        </is>
      </c>
      <c r="D2382" t="inlineStr"/>
      <c r="E2382" t="inlineStr"/>
      <c r="F2382" t="inlineStr">
        <is>
          <t>NORD-OUEST</t>
        </is>
      </c>
      <c r="G2382" t="inlineStr">
        <is>
          <t>Jikejem</t>
        </is>
      </c>
      <c r="H2382" t="inlineStr">
        <is>
          <t>NOKIA</t>
        </is>
      </c>
      <c r="I2382" t="n">
        <v>0</v>
      </c>
      <c r="J2382" t="n">
        <v>0</v>
      </c>
      <c r="K2382" t="n">
        <v>0</v>
      </c>
      <c r="L2382" t="n">
        <v>0</v>
      </c>
      <c r="M2382" t="n">
        <v>0</v>
      </c>
      <c r="N2382" t="n">
        <v>0</v>
      </c>
      <c r="O2382" t="n">
        <v>0</v>
      </c>
      <c r="P2382" t="n">
        <v>0</v>
      </c>
      <c r="Q2382" t="n">
        <v>0</v>
      </c>
      <c r="R2382" t="inlineStr">
        <is>
          <t>Insecurity</t>
        </is>
      </c>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row>
    <row r="2383">
      <c r="A2383" t="inlineStr">
        <is>
          <t>Gossi-IHS</t>
        </is>
      </c>
      <c r="B2383" t="inlineStr">
        <is>
          <t>EXN_232</t>
        </is>
      </c>
      <c r="C2383" t="inlineStr">
        <is>
          <t>EXTREME-NORD</t>
        </is>
      </c>
      <c r="D2383" t="inlineStr">
        <is>
          <t>CAMUSAT</t>
        </is>
      </c>
      <c r="E2383" t="inlineStr">
        <is>
          <t>Hybrid Solar - S3</t>
        </is>
      </c>
      <c r="F2383" t="inlineStr">
        <is>
          <t>EXTREME-NORD</t>
        </is>
      </c>
      <c r="G2383" t="inlineStr">
        <is>
          <t>Gossi</t>
        </is>
      </c>
      <c r="H2383" t="inlineStr">
        <is>
          <t>NOKIA</t>
        </is>
      </c>
      <c r="I2383" t="n">
        <v>0</v>
      </c>
      <c r="J2383" t="n">
        <v>0</v>
      </c>
      <c r="K2383" t="n">
        <v>0</v>
      </c>
      <c r="L2383" t="n">
        <v>0</v>
      </c>
      <c r="M2383" t="n">
        <v>0</v>
      </c>
      <c r="N2383" t="n">
        <v>0</v>
      </c>
      <c r="O2383" t="n">
        <v>0</v>
      </c>
      <c r="P2383" t="n">
        <v>0</v>
      </c>
      <c r="Q2383" t="n">
        <v>0</v>
      </c>
      <c r="R2383" t="inlineStr">
        <is>
          <t>Insecurity</t>
        </is>
      </c>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row>
    <row r="2384">
      <c r="A2384" t="inlineStr">
        <is>
          <t>Mora</t>
        </is>
      </c>
      <c r="B2384" t="inlineStr">
        <is>
          <t>EXN_005</t>
        </is>
      </c>
      <c r="C2384" t="inlineStr">
        <is>
          <t>EXTREME-NORD</t>
        </is>
      </c>
      <c r="D2384" t="inlineStr">
        <is>
          <t>CAMUSAT</t>
        </is>
      </c>
      <c r="E2384" t="inlineStr">
        <is>
          <t>Bad Grid + Solar + GE</t>
        </is>
      </c>
      <c r="F2384" t="inlineStr">
        <is>
          <t>EXTREME-NORD</t>
        </is>
      </c>
      <c r="G2384" t="inlineStr">
        <is>
          <t>Mora</t>
        </is>
      </c>
      <c r="H2384" t="inlineStr">
        <is>
          <t>Huawei</t>
        </is>
      </c>
      <c r="I2384" t="n">
        <v>0</v>
      </c>
      <c r="J2384" t="n">
        <v>0</v>
      </c>
      <c r="K2384" t="n">
        <v>0</v>
      </c>
      <c r="L2384" t="n">
        <v>0</v>
      </c>
      <c r="M2384" t="n">
        <v>0</v>
      </c>
      <c r="N2384" t="n">
        <v>0</v>
      </c>
      <c r="O2384" t="n">
        <v>0</v>
      </c>
      <c r="P2384" t="n">
        <v>0</v>
      </c>
      <c r="Q2384" t="n">
        <v>0</v>
      </c>
      <c r="R2384" t="inlineStr">
        <is>
          <t>Insecurity</t>
        </is>
      </c>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row>
    <row r="2385">
      <c r="A2385" t="inlineStr">
        <is>
          <t>Balatchi-IHS</t>
        </is>
      </c>
      <c r="B2385" t="inlineStr">
        <is>
          <t>NRO_027</t>
        </is>
      </c>
      <c r="C2385" t="inlineStr">
        <is>
          <t>NORD-OUEST</t>
        </is>
      </c>
      <c r="D2385" t="inlineStr">
        <is>
          <t>IHS</t>
        </is>
      </c>
      <c r="E2385" t="inlineStr">
        <is>
          <t>Hybrid-Gen</t>
        </is>
      </c>
      <c r="F2385" t="inlineStr">
        <is>
          <t>NORD-OUEST</t>
        </is>
      </c>
      <c r="G2385" t="inlineStr">
        <is>
          <t>Balatchi</t>
        </is>
      </c>
      <c r="H2385" t="inlineStr">
        <is>
          <t>HUAWEI</t>
        </is>
      </c>
      <c r="I2385" t="n">
        <v>0</v>
      </c>
      <c r="J2385" t="n">
        <v>0</v>
      </c>
      <c r="K2385" t="n">
        <v>0</v>
      </c>
      <c r="L2385" t="n">
        <v>0</v>
      </c>
      <c r="M2385" t="n">
        <v>0</v>
      </c>
      <c r="N2385" t="n">
        <v>0</v>
      </c>
      <c r="O2385" t="n">
        <v>0</v>
      </c>
      <c r="P2385" t="n">
        <v>0</v>
      </c>
      <c r="Q2385" t="n">
        <v>0</v>
      </c>
      <c r="R2385" t="inlineStr">
        <is>
          <t>Insecurity</t>
        </is>
      </c>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row>
    <row r="2386">
      <c r="A2386" t="inlineStr">
        <is>
          <t>Mamfe</t>
        </is>
      </c>
      <c r="B2386" t="inlineStr">
        <is>
          <t>SUO_009</t>
        </is>
      </c>
      <c r="C2386" t="inlineStr">
        <is>
          <t>SUD-OUEST</t>
        </is>
      </c>
      <c r="D2386" t="inlineStr">
        <is>
          <t>CAMUSAT</t>
        </is>
      </c>
      <c r="E2386" t="inlineStr">
        <is>
          <t>Bad Grid + GE</t>
        </is>
      </c>
      <c r="F2386" t="inlineStr">
        <is>
          <t>SUD-OUEST</t>
        </is>
      </c>
      <c r="G2386" t="inlineStr">
        <is>
          <t>Mamfe</t>
        </is>
      </c>
      <c r="H2386" t="inlineStr">
        <is>
          <t>NOKIA</t>
        </is>
      </c>
      <c r="I2386" t="n">
        <v>0</v>
      </c>
      <c r="J2386" t="n">
        <v>0</v>
      </c>
      <c r="K2386" t="n">
        <v>0</v>
      </c>
      <c r="L2386" t="n">
        <v>0</v>
      </c>
      <c r="M2386" t="n">
        <v>0</v>
      </c>
      <c r="N2386" t="n">
        <v>0</v>
      </c>
      <c r="O2386" t="n">
        <v>0</v>
      </c>
      <c r="P2386" t="n">
        <v>0</v>
      </c>
      <c r="Q2386" t="n">
        <v>0</v>
      </c>
      <c r="R2386" t="inlineStr">
        <is>
          <t>Insecurity</t>
        </is>
      </c>
      <c r="S2386" t="inlineStr"/>
      <c r="T2386" t="inlineStr"/>
      <c r="U2386" t="inlineStr"/>
      <c r="V2386" t="inlineStr"/>
      <c r="W2386" t="inlineStr"/>
      <c r="X2386" t="inlineStr">
        <is>
          <t>{05-25-2026 incident}: Upadate 6: d'apres le retour du PM , le vevel 0 ne peut pas se rendre sur site aujourdhui car il ya un lockdown declarer dans la zonne jusqu'au 21.05.2026. point EZCALADE a THEO pour Support</t>
        </is>
      </c>
      <c r="Y2386" t="inlineStr">
        <is>
          <t>{05-25-2026 incident} Upadate 6 d'apres le retour du PM , le vevel 0 ne peut pas se rendre sur site aujourdhui car il ya un lockdown declarer dans la zonne jusqu'au 21.05.2026. point EZCALADE a THEO pour Support</t>
        </is>
      </c>
      <c r="Z2386" t="inlineStr"/>
      <c r="AA2386" t="inlineStr">
        <is>
          <t>{05-25-2026 incident}: Upadate 6: d'apres le retour du PM , le vevel 0 ne peut pas se rendre sur site aujourdhui car il ya un lockdown declarer dans la zonne jusqu'au 21.05.2026. point EZCALADE a THEO pour Support</t>
        </is>
      </c>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row>
    <row r="2387">
      <c r="A2387" t="inlineStr">
        <is>
          <t>Fotokol</t>
        </is>
      </c>
      <c r="B2387" t="inlineStr">
        <is>
          <t>EXN_013</t>
        </is>
      </c>
      <c r="C2387" t="inlineStr">
        <is>
          <t>EXTREME-NORD</t>
        </is>
      </c>
      <c r="D2387" t="inlineStr">
        <is>
          <t>IHS</t>
        </is>
      </c>
      <c r="E2387" t="inlineStr">
        <is>
          <t>Solar-Gen</t>
        </is>
      </c>
      <c r="F2387" t="inlineStr">
        <is>
          <t>EXTREME-NORD</t>
        </is>
      </c>
      <c r="G2387" t="inlineStr">
        <is>
          <t>Fotokol</t>
        </is>
      </c>
      <c r="H2387" t="inlineStr">
        <is>
          <t>NOKIA</t>
        </is>
      </c>
      <c r="I2387" t="n">
        <v>0</v>
      </c>
      <c r="J2387" t="n">
        <v>0</v>
      </c>
      <c r="K2387" t="n">
        <v>0</v>
      </c>
      <c r="L2387" t="n">
        <v>0</v>
      </c>
      <c r="M2387" t="n">
        <v>0</v>
      </c>
      <c r="N2387" t="n">
        <v>0</v>
      </c>
      <c r="O2387" t="n">
        <v>0</v>
      </c>
      <c r="P2387" t="n">
        <v>0</v>
      </c>
      <c r="Q2387" t="n">
        <v>0</v>
      </c>
      <c r="R2387" t="inlineStr">
        <is>
          <t>Insecurity</t>
        </is>
      </c>
      <c r="S2387" t="inlineStr"/>
      <c r="T2387" t="inlineStr"/>
      <c r="U2387" t="inlineStr"/>
      <c r="V2387" t="inlineStr"/>
      <c r="W2387" t="inlineStr"/>
      <c r="X238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Y2387" t="inlineStr">
        <is>
          <t>{05-25-2026 incident} {05-18-2026 groupe whatsapp incident} impacted by EXN_003_H_Kousseri ,Perte de paquet a 16% sur le capa managee de Maroua zokok et kousseri . Depointage de la liasionMALTAM et Dabanga || Action Aucune action en cour . NB Trafic est actuellement sur le capa managee</t>
        </is>
      </c>
      <c r="Z2387" t="inlineStr"/>
      <c r="AA2387" t="inlineStr">
        <is>
          <t>{05-25-2026 incident}:  {05-18-2026 groupe whatsapp incident}: impacted by     EXN_003_H_Kousseri   ,Perte de paquet a 16% sur le capa managee  de Maroua zokok et kousseri . Depointage de la liasionMALTAM et Dabanga || Action:Aucune action en cour . NB:Trafic est actuellement sur le capa managee</t>
        </is>
      </c>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row>
    <row r="2388">
      <c r="A2388" t="inlineStr">
        <is>
          <t>Bafut-MTN</t>
        </is>
      </c>
      <c r="B2388" t="inlineStr">
        <is>
          <t>NRO_036</t>
        </is>
      </c>
      <c r="C2388" t="inlineStr">
        <is>
          <t>NORD-OUEST</t>
        </is>
      </c>
      <c r="D2388" t="inlineStr">
        <is>
          <t>IHS</t>
        </is>
      </c>
      <c r="E2388" t="inlineStr">
        <is>
          <t>Grid-Gen</t>
        </is>
      </c>
      <c r="F2388" t="inlineStr">
        <is>
          <t>NORD-OUEST</t>
        </is>
      </c>
      <c r="G2388" t="inlineStr">
        <is>
          <t>Bafut</t>
        </is>
      </c>
      <c r="H2388" t="inlineStr">
        <is>
          <t>HUAWEI</t>
        </is>
      </c>
      <c r="I2388" t="n">
        <v>0</v>
      </c>
      <c r="J2388" t="n">
        <v>0</v>
      </c>
      <c r="K2388" t="n">
        <v>0</v>
      </c>
      <c r="L2388" t="n">
        <v>0</v>
      </c>
      <c r="M2388" t="n">
        <v>0</v>
      </c>
      <c r="N2388" t="n">
        <v>0</v>
      </c>
      <c r="O2388" t="n">
        <v>0</v>
      </c>
      <c r="P2388" t="n">
        <v>0</v>
      </c>
      <c r="Q2388" t="n">
        <v>0</v>
      </c>
      <c r="R2388" t="inlineStr">
        <is>
          <t>Insecurity</t>
        </is>
      </c>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row>
    <row r="2389">
      <c r="A2389" t="inlineStr">
        <is>
          <t>Mozogo</t>
        </is>
      </c>
      <c r="B2389" t="inlineStr">
        <is>
          <t>EXN_042</t>
        </is>
      </c>
      <c r="C2389" t="inlineStr">
        <is>
          <t>EXTREME-NORD</t>
        </is>
      </c>
      <c r="D2389" t="inlineStr">
        <is>
          <t>IHS</t>
        </is>
      </c>
      <c r="E2389" t="inlineStr">
        <is>
          <t>Solar-Gen</t>
        </is>
      </c>
      <c r="F2389" t="inlineStr">
        <is>
          <t>EXTREME-NORD</t>
        </is>
      </c>
      <c r="G2389" t="inlineStr">
        <is>
          <t>Mozogo</t>
        </is>
      </c>
      <c r="H2389" t="inlineStr">
        <is>
          <t>NOKIA</t>
        </is>
      </c>
      <c r="I2389" t="n">
        <v>0</v>
      </c>
      <c r="J2389" t="n">
        <v>0</v>
      </c>
      <c r="K2389" t="n">
        <v>0</v>
      </c>
      <c r="L2389" t="n">
        <v>0</v>
      </c>
      <c r="M2389" t="n">
        <v>0</v>
      </c>
      <c r="N2389" t="n">
        <v>0</v>
      </c>
      <c r="O2389" t="n">
        <v>0</v>
      </c>
      <c r="P2389" t="n">
        <v>0</v>
      </c>
      <c r="Q2389" t="n">
        <v>0</v>
      </c>
      <c r="R2389" t="inlineStr">
        <is>
          <t>Insecurity</t>
        </is>
      </c>
      <c r="S2389" t="inlineStr"/>
      <c r="T2389" t="inlineStr"/>
      <c r="U2389" t="inlineStr"/>
      <c r="V2389" t="inlineStr"/>
      <c r="W2389" t="inlineStr"/>
      <c r="X2389" t="inlineStr">
        <is>
          <t>{05-25-2026 incident}:  {05-18-2026 groupe whatsapp incident}: impacted by    EXN_104_H_Kolofata  ,soucis  d'energie || Action RCA attendu de HIS</t>
        </is>
      </c>
      <c r="Y2389" t="inlineStr">
        <is>
          <t>{05-25-2026 incident} {05-18-2026 groupe whatsapp incident} impacted by EXN_104_H_Kolofata ,soucis d'energie || Action RCA attendu de HIS</t>
        </is>
      </c>
      <c r="Z2389" t="inlineStr"/>
      <c r="AA2389" t="inlineStr">
        <is>
          <t>{05-25-2026 incident}:  {05-18-2026 groupe whatsapp incident}: impacted by    EXN_104_H_Kolofata  ,soucis  d'energie || Action RCA attendu de HIS</t>
        </is>
      </c>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row>
    <row r="2390">
      <c r="A2390" t="inlineStr">
        <is>
          <t>Maga-Ville</t>
        </is>
      </c>
      <c r="B2390" t="inlineStr">
        <is>
          <t>EXN_110</t>
        </is>
      </c>
      <c r="C2390" t="inlineStr">
        <is>
          <t>EXTREME-NORD</t>
        </is>
      </c>
      <c r="D2390" t="inlineStr">
        <is>
          <t>IHS</t>
        </is>
      </c>
      <c r="E2390" t="inlineStr">
        <is>
          <t>Hybrid-Gen</t>
        </is>
      </c>
      <c r="F2390" t="inlineStr">
        <is>
          <t>EXTREME-NORD</t>
        </is>
      </c>
      <c r="G2390" t="inlineStr">
        <is>
          <t>Maga</t>
        </is>
      </c>
      <c r="H2390" t="inlineStr">
        <is>
          <t>HUAWEI</t>
        </is>
      </c>
      <c r="I2390" t="n">
        <v>0</v>
      </c>
      <c r="J2390" t="n">
        <v>0</v>
      </c>
      <c r="K2390" t="n">
        <v>0</v>
      </c>
      <c r="L2390" t="n">
        <v>0</v>
      </c>
      <c r="M2390" t="n">
        <v>0</v>
      </c>
      <c r="N2390" t="n">
        <v>0</v>
      </c>
      <c r="O2390" t="n">
        <v>0</v>
      </c>
      <c r="P2390" t="n">
        <v>0</v>
      </c>
      <c r="Q2390" t="n">
        <v>0</v>
      </c>
      <c r="R2390" t="inlineStr">
        <is>
          <t>Insecurity</t>
        </is>
      </c>
      <c r="S2390" t="inlineStr"/>
      <c r="T2390" t="inlineStr"/>
      <c r="U2390" t="inlineStr"/>
      <c r="V2390" t="inlineStr"/>
      <c r="W2390" t="inlineStr"/>
      <c r="X2390" t="inlineStr">
        <is>
          <t>{None hourly IHS}: 25/05/2026 12:33..4:46:45..FME is informed and managing</t>
        </is>
      </c>
      <c r="Y2390" t="inlineStr">
        <is>
          <t>25/05/2026 12 33.4 46 45.FME is informed and managing</t>
        </is>
      </c>
      <c r="Z2390" t="inlineStr"/>
      <c r="AA2390" t="inlineStr"/>
      <c r="AB2390" t="inlineStr"/>
      <c r="AC2390" t="inlineStr"/>
      <c r="AD2390" t="inlineStr"/>
      <c r="AE2390" t="inlineStr">
        <is>
          <t>{None hourly IHS}: 25/05/2026 12:33..4:46:45..FME is informed and managing</t>
        </is>
      </c>
      <c r="AF2390" t="inlineStr"/>
      <c r="AG2390" t="inlineStr"/>
      <c r="AH2390" t="inlineStr"/>
      <c r="AI2390" t="inlineStr"/>
      <c r="AJ2390" t="inlineStr"/>
      <c r="AK2390" t="inlineStr"/>
      <c r="AL2390" t="inlineStr"/>
      <c r="AM2390" t="inlineStr"/>
      <c r="AN2390" t="inlineStr"/>
      <c r="AO2390" t="inlineStr"/>
      <c r="AP2390" t="inlineStr"/>
      <c r="AQ2390" t="inlineStr"/>
      <c r="AR2390" t="inlineStr"/>
    </row>
    <row r="2391">
      <c r="A2391" t="inlineStr">
        <is>
          <t>Guere-IHS</t>
        </is>
      </c>
      <c r="B2391" t="inlineStr">
        <is>
          <t>EXN_126</t>
        </is>
      </c>
      <c r="C2391" t="inlineStr">
        <is>
          <t>EXTREME-NORD</t>
        </is>
      </c>
      <c r="D2391" t="inlineStr">
        <is>
          <t>IHS</t>
        </is>
      </c>
      <c r="E2391" t="inlineStr">
        <is>
          <t>Gen Only</t>
        </is>
      </c>
      <c r="F2391" t="inlineStr">
        <is>
          <t>EXTREME-NORD</t>
        </is>
      </c>
      <c r="G2391" t="inlineStr">
        <is>
          <t>Guere</t>
        </is>
      </c>
      <c r="H2391" t="inlineStr">
        <is>
          <t>HUAWEI</t>
        </is>
      </c>
      <c r="I2391" t="n">
        <v>0</v>
      </c>
      <c r="J2391" t="n">
        <v>0</v>
      </c>
      <c r="K2391" t="n">
        <v>0</v>
      </c>
      <c r="L2391" t="n">
        <v>0</v>
      </c>
      <c r="M2391" t="n">
        <v>0</v>
      </c>
      <c r="N2391" t="n">
        <v>0</v>
      </c>
      <c r="O2391" t="n">
        <v>0</v>
      </c>
      <c r="P2391" t="n">
        <v>0</v>
      </c>
      <c r="Q2391" t="n">
        <v>0</v>
      </c>
      <c r="R2391" t="inlineStr">
        <is>
          <t>Insecurity</t>
        </is>
      </c>
      <c r="S2391" t="inlineStr"/>
      <c r="T2391" t="inlineStr"/>
      <c r="U2391" t="inlineStr"/>
      <c r="V2391" t="inlineStr"/>
      <c r="W2391" t="inlineStr"/>
      <c r="X2391" t="inlineStr">
        <is>
          <t>{05-25-2026 ocm ran 17H}: P1 Incident at EXN_074_H_Dziguilao; Power issue; IHS</t>
        </is>
      </c>
      <c r="Y2391" t="inlineStr">
        <is>
          <t>P1 Incident at EXN_074_H_Dziguilao; Power issue; IHS</t>
        </is>
      </c>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{05-25-2026 ocm ran 17H}: P1 Incident at EXN_074_H_Dziguilao; Power issue; IHS</t>
        </is>
      </c>
      <c r="AQ2391" t="inlineStr"/>
      <c r="AR2391" t="inlineStr"/>
    </row>
    <row r="2392">
      <c r="A2392" t="inlineStr">
        <is>
          <t>Gobo</t>
        </is>
      </c>
      <c r="B2392" t="inlineStr">
        <is>
          <t>EXN_048</t>
        </is>
      </c>
      <c r="C2392" t="inlineStr">
        <is>
          <t>EXTREME-NORD</t>
        </is>
      </c>
      <c r="D2392" t="inlineStr">
        <is>
          <t>IHS</t>
        </is>
      </c>
      <c r="E2392" t="inlineStr">
        <is>
          <t>Solar-Gen</t>
        </is>
      </c>
      <c r="F2392" t="inlineStr">
        <is>
          <t>EXTREME-NORD</t>
        </is>
      </c>
      <c r="G2392" t="inlineStr">
        <is>
          <t>Gobo</t>
        </is>
      </c>
      <c r="H2392" t="inlineStr">
        <is>
          <t>HUAWEI</t>
        </is>
      </c>
      <c r="I2392" t="n">
        <v>0</v>
      </c>
      <c r="J2392" t="n">
        <v>0</v>
      </c>
      <c r="K2392" t="n">
        <v>0</v>
      </c>
      <c r="L2392" t="n">
        <v>0</v>
      </c>
      <c r="M2392" t="n">
        <v>0</v>
      </c>
      <c r="N2392" t="n">
        <v>0</v>
      </c>
      <c r="O2392" t="n">
        <v>0</v>
      </c>
      <c r="P2392" t="n">
        <v>0</v>
      </c>
      <c r="Q2392" t="n">
        <v>0</v>
      </c>
      <c r="R2392" t="inlineStr">
        <is>
          <t>Insecurity</t>
        </is>
      </c>
      <c r="S2392" t="inlineStr"/>
      <c r="T2392" t="inlineStr"/>
      <c r="U2392" t="inlineStr"/>
      <c r="V2392" t="inlineStr"/>
      <c r="W2392" t="inlineStr"/>
      <c r="X2392" t="inlineStr">
        <is>
          <t>{None hourly IHS}: 25/05/2026 02:32..3:50:51..45.4V..FME is informed and managing with L0.</t>
        </is>
      </c>
      <c r="Y2392" t="inlineStr">
        <is>
          <t>25/05/2026 02 32.3 50 51.45.4V.FME is informed and managing with L0.</t>
        </is>
      </c>
      <c r="Z2392" t="inlineStr"/>
      <c r="AA2392" t="inlineStr"/>
      <c r="AB2392" t="inlineStr"/>
      <c r="AC2392" t="inlineStr"/>
      <c r="AD2392" t="inlineStr"/>
      <c r="AE2392" t="inlineStr">
        <is>
          <t>{None hourly IHS}: 25/05/2026 02:32..3:50:51..45.4V..FME is informed and managing with L0.</t>
        </is>
      </c>
      <c r="AF2392" t="inlineStr"/>
      <c r="AG2392" t="inlineStr"/>
      <c r="AH2392" t="inlineStr"/>
      <c r="AI2392" t="inlineStr"/>
      <c r="AJ2392" t="inlineStr"/>
      <c r="AK2392" t="inlineStr"/>
      <c r="AL2392" t="inlineStr"/>
      <c r="AM2392" t="inlineStr"/>
      <c r="AN2392" t="inlineStr"/>
      <c r="AO2392" t="inlineStr"/>
      <c r="AP2392" t="inlineStr"/>
      <c r="AQ2392" t="inlineStr"/>
      <c r="AR2392" t="inlineStr"/>
    </row>
    <row r="2393">
      <c r="A2393" t="inlineStr">
        <is>
          <t>Bougoudoum-IHS</t>
        </is>
      </c>
      <c r="B2393" t="inlineStr">
        <is>
          <t>EXN_135</t>
        </is>
      </c>
      <c r="C2393" t="inlineStr">
        <is>
          <t>EXTREME-NORD</t>
        </is>
      </c>
      <c r="D2393" t="inlineStr">
        <is>
          <t>IHS</t>
        </is>
      </c>
      <c r="E2393" t="inlineStr">
        <is>
          <t>Gen Only</t>
        </is>
      </c>
      <c r="F2393" t="inlineStr">
        <is>
          <t>EXTREME-NORD</t>
        </is>
      </c>
      <c r="G2393" t="inlineStr">
        <is>
          <t>Bougoudoum</t>
        </is>
      </c>
      <c r="H2393" t="inlineStr">
        <is>
          <t>HUAWEI</t>
        </is>
      </c>
      <c r="I2393" t="n">
        <v>0</v>
      </c>
      <c r="J2393" t="n">
        <v>0</v>
      </c>
      <c r="K2393" t="n">
        <v>0</v>
      </c>
      <c r="L2393" t="n">
        <v>0</v>
      </c>
      <c r="M2393" t="n">
        <v>0</v>
      </c>
      <c r="N2393" t="n">
        <v>0</v>
      </c>
      <c r="O2393" t="n">
        <v>0</v>
      </c>
      <c r="P2393" t="n">
        <v>0</v>
      </c>
      <c r="Q2393" t="n">
        <v>0</v>
      </c>
      <c r="R2393" t="inlineStr">
        <is>
          <t>Insecurity</t>
        </is>
      </c>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row>
    <row r="2394">
      <c r="A2394" t="inlineStr">
        <is>
          <t>Kalfou</t>
        </is>
      </c>
      <c r="B2394" t="inlineStr">
        <is>
          <t>EXN_058</t>
        </is>
      </c>
      <c r="C2394" t="inlineStr">
        <is>
          <t>EXTREME-NORD</t>
        </is>
      </c>
      <c r="D2394" t="inlineStr">
        <is>
          <t>IHS</t>
        </is>
      </c>
      <c r="E2394" t="inlineStr">
        <is>
          <t>Grid-Gen</t>
        </is>
      </c>
      <c r="F2394" t="inlineStr">
        <is>
          <t>EXTREME-NORD</t>
        </is>
      </c>
      <c r="G2394" t="inlineStr">
        <is>
          <t>Kalfou</t>
        </is>
      </c>
      <c r="H2394" t="inlineStr">
        <is>
          <t>HUAWEI</t>
        </is>
      </c>
      <c r="I2394" t="n">
        <v>0</v>
      </c>
      <c r="J2394" t="n">
        <v>0</v>
      </c>
      <c r="K2394" t="n">
        <v>0</v>
      </c>
      <c r="L2394" t="n">
        <v>0</v>
      </c>
      <c r="M2394" t="n">
        <v>0</v>
      </c>
      <c r="N2394" t="n">
        <v>0</v>
      </c>
      <c r="O2394" t="n">
        <v>0</v>
      </c>
      <c r="P2394" t="n">
        <v>0</v>
      </c>
      <c r="Q2394" t="n">
        <v>0</v>
      </c>
      <c r="R2394" t="inlineStr">
        <is>
          <t>Insecurity</t>
        </is>
      </c>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row>
    <row r="2395">
      <c r="A2395" t="inlineStr">
        <is>
          <t>Godola-MTN</t>
        </is>
      </c>
      <c r="B2395" t="inlineStr">
        <is>
          <t>EXN_028</t>
        </is>
      </c>
      <c r="C2395" t="inlineStr">
        <is>
          <t>EXTREME-NORD</t>
        </is>
      </c>
      <c r="D2395" t="inlineStr">
        <is>
          <t>IHS</t>
        </is>
      </c>
      <c r="E2395" t="inlineStr">
        <is>
          <t>Grid-Gen</t>
        </is>
      </c>
      <c r="F2395" t="inlineStr">
        <is>
          <t>EXTREME-NORD</t>
        </is>
      </c>
      <c r="G2395" t="inlineStr">
        <is>
          <t>Godola</t>
        </is>
      </c>
      <c r="H2395" t="inlineStr">
        <is>
          <t>HUAWEI</t>
        </is>
      </c>
      <c r="I2395" t="n">
        <v>0</v>
      </c>
      <c r="J2395" t="n">
        <v>0</v>
      </c>
      <c r="K2395" t="n">
        <v>0</v>
      </c>
      <c r="L2395" t="n">
        <v>0</v>
      </c>
      <c r="M2395" t="n">
        <v>0</v>
      </c>
      <c r="N2395" t="n">
        <v>0</v>
      </c>
      <c r="O2395" t="n">
        <v>0</v>
      </c>
      <c r="P2395" t="n">
        <v>0</v>
      </c>
      <c r="Q2395" t="n">
        <v>0</v>
      </c>
      <c r="R2395" t="inlineStr">
        <is>
          <t>Insecurity</t>
        </is>
      </c>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row>
    <row r="2396">
      <c r="A2396" t="inlineStr">
        <is>
          <t>Doulek</t>
        </is>
      </c>
      <c r="B2396" t="inlineStr">
        <is>
          <t>EXN_272</t>
        </is>
      </c>
      <c r="C2396" t="inlineStr">
        <is>
          <t>EXTREME-NORD</t>
        </is>
      </c>
      <c r="D2396" t="inlineStr">
        <is>
          <t>ESCO</t>
        </is>
      </c>
      <c r="E2396" t="inlineStr">
        <is>
          <t>Hybrid Solar - S3</t>
        </is>
      </c>
      <c r="F2396" t="inlineStr">
        <is>
          <t>EXTREME-NORD</t>
        </is>
      </c>
      <c r="G2396" t="inlineStr">
        <is>
          <t>Doulek</t>
        </is>
      </c>
      <c r="H2396" t="inlineStr">
        <is>
          <t>HUAWEI</t>
        </is>
      </c>
      <c r="I2396" t="n">
        <v>0</v>
      </c>
      <c r="J2396" t="n">
        <v>0</v>
      </c>
      <c r="K2396" t="n">
        <v>0</v>
      </c>
      <c r="L2396" t="n">
        <v>0</v>
      </c>
      <c r="M2396" t="n">
        <v>0</v>
      </c>
      <c r="N2396" t="n">
        <v>0</v>
      </c>
      <c r="O2396" t="n">
        <v>0</v>
      </c>
      <c r="P2396" t="n">
        <v>0</v>
      </c>
      <c r="Q2396" t="n">
        <v>0</v>
      </c>
      <c r="R2396" t="inlineStr">
        <is>
          <t>Insecurity</t>
        </is>
      </c>
      <c r="S2396" t="inlineStr"/>
      <c r="T2396" t="inlineStr"/>
      <c r="U2396" t="inlineStr"/>
      <c r="V2396" t="inlineStr"/>
      <c r="W2396" t="inlineStr"/>
      <c r="X2396" t="inlineStr">
        <is>
          <t>{05-25-2026 incident}:  {05-18-2026 groupe whatsapp incident}: impacted by   EXN_171_N_Dogba-IHS_GD ,soucis  d'energie || Action RCA attendu de HIS</t>
        </is>
      </c>
      <c r="Y2396" t="inlineStr">
        <is>
          <t>{05-25-2026 incident} {05-18-2026 groupe whatsapp incident} impacted by EXN_171_N_Dogba-IHS_GD ,soucis d'energie || Action RCA attendu de HIS</t>
        </is>
      </c>
      <c r="Z2396" t="inlineStr"/>
      <c r="AA2396" t="inlineStr">
        <is>
          <t>{05-25-2026 incident}:  {05-18-2026 groupe whatsapp incident}: impacted by   EXN_171_N_Dogba-IHS_GD ,soucis  d'energie || Action RCA attendu de HIS</t>
        </is>
      </c>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row>
    <row r="2397">
      <c r="A2397" t="inlineStr">
        <is>
          <t>DOUBLE-IHS</t>
        </is>
      </c>
      <c r="B2397" t="inlineStr">
        <is>
          <t>EXN_109</t>
        </is>
      </c>
      <c r="C2397" t="inlineStr">
        <is>
          <t>EXTREME-NORD</t>
        </is>
      </c>
      <c r="D2397" t="inlineStr">
        <is>
          <t>IHS</t>
        </is>
      </c>
      <c r="E2397" t="inlineStr">
        <is>
          <t>Grid-Gen</t>
        </is>
      </c>
      <c r="F2397" t="inlineStr">
        <is>
          <t>EXTREME-NORD</t>
        </is>
      </c>
      <c r="G2397" t="inlineStr">
        <is>
          <t>Double(Djakaramani)</t>
        </is>
      </c>
      <c r="H2397" t="inlineStr">
        <is>
          <t>Huawei</t>
        </is>
      </c>
      <c r="I2397" t="n">
        <v>0</v>
      </c>
      <c r="J2397" t="n">
        <v>0</v>
      </c>
      <c r="K2397" t="n">
        <v>0</v>
      </c>
      <c r="L2397" t="n">
        <v>0</v>
      </c>
      <c r="M2397" t="n">
        <v>0</v>
      </c>
      <c r="N2397" t="n">
        <v>0</v>
      </c>
      <c r="O2397" t="n">
        <v>0</v>
      </c>
      <c r="P2397" t="n">
        <v>0</v>
      </c>
      <c r="Q2397" t="n">
        <v>0</v>
      </c>
      <c r="R2397" t="inlineStr">
        <is>
          <t>Insecurity</t>
        </is>
      </c>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row>
    <row r="2398">
      <c r="A2398" t="inlineStr">
        <is>
          <t>Guendjen</t>
        </is>
      </c>
      <c r="B2398" t="inlineStr">
        <is>
          <t>EXN_205</t>
        </is>
      </c>
      <c r="C2398" t="inlineStr">
        <is>
          <t>EXTREME-NORD</t>
        </is>
      </c>
      <c r="D2398" t="inlineStr">
        <is>
          <t>CAMUSAT</t>
        </is>
      </c>
      <c r="E2398" t="inlineStr">
        <is>
          <t>Hybrid Solar - S3</t>
        </is>
      </c>
      <c r="F2398" t="inlineStr">
        <is>
          <t>EXTREME-NORD</t>
        </is>
      </c>
      <c r="G2398" t="inlineStr">
        <is>
          <t>Kalfou</t>
        </is>
      </c>
      <c r="H2398" t="inlineStr">
        <is>
          <t>HUAWEI</t>
        </is>
      </c>
      <c r="I2398" t="n">
        <v>0</v>
      </c>
      <c r="J2398" t="n">
        <v>0</v>
      </c>
      <c r="K2398" t="n">
        <v>0</v>
      </c>
      <c r="L2398" t="n">
        <v>0</v>
      </c>
      <c r="M2398" t="n">
        <v>0</v>
      </c>
      <c r="N2398" t="n">
        <v>0</v>
      </c>
      <c r="O2398" t="n">
        <v>0</v>
      </c>
      <c r="P2398" t="n">
        <v>0</v>
      </c>
      <c r="Q2398" t="n">
        <v>0</v>
      </c>
      <c r="R2398" t="inlineStr">
        <is>
          <t>Insecurity</t>
        </is>
      </c>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row>
    <row r="2399">
      <c r="A2399" t="inlineStr">
        <is>
          <t>Mbengwi</t>
        </is>
      </c>
      <c r="B2399" t="inlineStr">
        <is>
          <t>NRO_011</t>
        </is>
      </c>
      <c r="C2399" t="inlineStr">
        <is>
          <t>NORD-OUEST</t>
        </is>
      </c>
      <c r="D2399" t="inlineStr"/>
      <c r="E2399" t="inlineStr"/>
      <c r="F2399" t="inlineStr">
        <is>
          <t>NORD-OUEST</t>
        </is>
      </c>
      <c r="G2399" t="inlineStr">
        <is>
          <t>Mbengwi</t>
        </is>
      </c>
      <c r="H2399" t="inlineStr">
        <is>
          <t>HUAWEI</t>
        </is>
      </c>
      <c r="I2399" t="n">
        <v>0</v>
      </c>
      <c r="J2399" t="n">
        <v>0</v>
      </c>
      <c r="K2399" t="n">
        <v>0</v>
      </c>
      <c r="L2399" t="n">
        <v>0</v>
      </c>
      <c r="M2399" t="n">
        <v>0</v>
      </c>
      <c r="N2399" t="n">
        <v>0</v>
      </c>
      <c r="O2399" t="n">
        <v>0</v>
      </c>
      <c r="P2399" t="n">
        <v>0</v>
      </c>
      <c r="Q2399" t="n">
        <v>0</v>
      </c>
      <c r="R2399" t="inlineStr">
        <is>
          <t>Insecurity</t>
        </is>
      </c>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row>
    <row r="2400">
      <c r="A2400" t="inlineStr">
        <is>
          <t>Mbengwi-Mile17-IHS</t>
        </is>
      </c>
      <c r="B2400" t="inlineStr">
        <is>
          <t>NRO_144</t>
        </is>
      </c>
      <c r="C2400" t="inlineStr">
        <is>
          <t>NORD-OUEST</t>
        </is>
      </c>
      <c r="D2400" t="inlineStr"/>
      <c r="E2400" t="inlineStr"/>
      <c r="F2400" t="inlineStr">
        <is>
          <t>NORD-OUEST</t>
        </is>
      </c>
      <c r="G2400" t="inlineStr">
        <is>
          <t>Mbengwi</t>
        </is>
      </c>
      <c r="H2400" t="inlineStr">
        <is>
          <t>HUAWEI</t>
        </is>
      </c>
      <c r="I2400" t="n">
        <v>0</v>
      </c>
      <c r="J2400" t="n">
        <v>0</v>
      </c>
      <c r="K2400" t="n">
        <v>0</v>
      </c>
      <c r="L2400" t="n">
        <v>0</v>
      </c>
      <c r="M2400" t="n">
        <v>0</v>
      </c>
      <c r="N2400" t="n">
        <v>0</v>
      </c>
      <c r="O2400" t="n">
        <v>0</v>
      </c>
      <c r="P2400" t="n">
        <v>0</v>
      </c>
      <c r="Q2400" t="n">
        <v>0</v>
      </c>
      <c r="R2400" t="inlineStr">
        <is>
          <t>Insecurity</t>
        </is>
      </c>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row>
    <row r="2401">
      <c r="A2401" t="inlineStr">
        <is>
          <t>Wum-II-IHS</t>
        </is>
      </c>
      <c r="B2401" t="inlineStr">
        <is>
          <t>NRO_149</t>
        </is>
      </c>
      <c r="C2401" t="inlineStr">
        <is>
          <t>NORD-OUEST</t>
        </is>
      </c>
      <c r="D2401" t="inlineStr"/>
      <c r="E2401" t="inlineStr"/>
      <c r="F2401" t="inlineStr">
        <is>
          <t>NORD-OUEST</t>
        </is>
      </c>
      <c r="G2401" t="inlineStr">
        <is>
          <t>Wum</t>
        </is>
      </c>
      <c r="H2401" t="inlineStr">
        <is>
          <t>Huawei</t>
        </is>
      </c>
      <c r="I2401" t="n">
        <v>0</v>
      </c>
      <c r="J2401" t="n">
        <v>0</v>
      </c>
      <c r="K2401" t="n">
        <v>0</v>
      </c>
      <c r="L2401" t="n">
        <v>0</v>
      </c>
      <c r="M2401" t="n">
        <v>0</v>
      </c>
      <c r="N2401" t="n">
        <v>0</v>
      </c>
      <c r="O2401" t="n">
        <v>0</v>
      </c>
      <c r="P2401" t="n">
        <v>0</v>
      </c>
      <c r="Q2401" t="n">
        <v>0</v>
      </c>
      <c r="R2401" t="inlineStr">
        <is>
          <t>Insecurity</t>
        </is>
      </c>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row>
    <row r="2402">
      <c r="A2402" t="inlineStr">
        <is>
          <t>Wum</t>
        </is>
      </c>
      <c r="B2402" t="inlineStr">
        <is>
          <t>NRO_007</t>
        </is>
      </c>
      <c r="C2402" t="inlineStr">
        <is>
          <t>NORD-OUEST</t>
        </is>
      </c>
      <c r="D2402" t="inlineStr">
        <is>
          <t>IHS</t>
        </is>
      </c>
      <c r="E2402" t="inlineStr">
        <is>
          <t>Grid-Gen</t>
        </is>
      </c>
      <c r="F2402" t="inlineStr">
        <is>
          <t>NORD-OUEST</t>
        </is>
      </c>
      <c r="G2402" t="inlineStr">
        <is>
          <t>Wum</t>
        </is>
      </c>
      <c r="H2402" t="inlineStr">
        <is>
          <t>HUAWEI</t>
        </is>
      </c>
      <c r="I2402" t="n">
        <v>0</v>
      </c>
      <c r="J2402" t="n">
        <v>0</v>
      </c>
      <c r="K2402" t="n">
        <v>0</v>
      </c>
      <c r="L2402" t="n">
        <v>0</v>
      </c>
      <c r="M2402" t="n">
        <v>0</v>
      </c>
      <c r="N2402" t="n">
        <v>0</v>
      </c>
      <c r="O2402" t="n">
        <v>0</v>
      </c>
      <c r="P2402" t="n">
        <v>0</v>
      </c>
      <c r="Q2402" t="n">
        <v>0</v>
      </c>
      <c r="R2402" t="inlineStr">
        <is>
          <t>Insecurity</t>
        </is>
      </c>
      <c r="S2402" t="inlineStr"/>
      <c r="T2402" t="inlineStr"/>
      <c r="U2402" t="inlineStr"/>
      <c r="V2402" t="inlineStr"/>
      <c r="W2402" t="inlineStr"/>
      <c r="X2402" t="inlineStr">
        <is>
          <t>{05-25-2026 ocm ran 22H}: 24/05/2026 escalade RM denis
23/05/2026 |Check to be done by FME Jerry when comming back from BAFMENG
22.05.26: Power issue solved. Need FME on site to check BTS status and its interco with MPR_2, S1P3; CM-20260522-00004292; FME Uche activated to check, update ASAP
21.05.26: IHS: 41v: FME is informed and managing     ;    {05-25-2026 ocm ran 17H}: 24/05/2026 escalade RM denis
23/05/2026 |Check to be done by FME Jerry when comming back from BAFMENG
22.05.26: Power issue solved. Need FME on site to check BTS status and its interco with MPR_2, S1P3; CM-20260522-00004292; FME Uche activated to check, update ASAP
21.05.26: IHS: 41v: FME is informed and managing</t>
        </is>
      </c>
      <c r="Y2402" t="inlineStr">
        <is>
          <t>24/05/2026 escalade RM denis
23/05/2026 |Check to be done by FME Jerry when comming back from BAFMENG
22.05.26 Power issue solved. Need FME on site to check BTS status and its interco with MPR_2, S1P3; FME Uche activated to check, update ASAP
21.05.26 IHS 41v FME is informed and managing 24/05/2026 escalade RM denis
23/05/2026 |Check to be done by FME Jerry when comming back from BAFMENG
22.05.26 Power issue solved. Need FME on site to check BTS status and its interco with MPR_2, S1P3; FME Uche activated to check, update ASAP
21.05.26 IHS 41v FME is informed and managing</t>
        </is>
      </c>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{05-25-2026 ocm ran 22H}: 24/05/2026 escalade RM denis
23/05/2026 |Check to be done by FME Jerry when comming back from BAFMENG
22.05.26: Power issue solved. Need FME on site to check BTS status and its interco with MPR_2, S1P3; CM-20260522-00004292; FME Uche activated to check, update ASAP
21.05.26: IHS: 41v: FME is informed and managing</t>
        </is>
      </c>
      <c r="AP2402" t="inlineStr">
        <is>
          <t>{05-25-2026 ocm ran 17H}: 24/05/2026 escalade RM denis
23/05/2026 |Check to be done by FME Jerry when comming back from BAFMENG
22.05.26: Power issue solved. Need FME on site to check BTS status and its interco with MPR_2, S1P3; CM-20260522-00004292; FME Uche activated to check, update ASAP
21.05.26: IHS: 41v: FME is informed and managing</t>
        </is>
      </c>
      <c r="AQ2402" t="inlineStr"/>
      <c r="AR2402" t="inlineStr"/>
    </row>
    <row r="2403">
      <c r="A2403" t="inlineStr">
        <is>
          <t>Akum-IHS</t>
        </is>
      </c>
      <c r="B2403" t="inlineStr">
        <is>
          <t>NRO_139</t>
        </is>
      </c>
      <c r="C2403" t="inlineStr">
        <is>
          <t>NORD-OUEST</t>
        </is>
      </c>
      <c r="D2403" t="inlineStr">
        <is>
          <t>IHS</t>
        </is>
      </c>
      <c r="E2403" t="inlineStr"/>
      <c r="F2403" t="inlineStr">
        <is>
          <t>NORD-OUEST</t>
        </is>
      </c>
      <c r="G2403" t="inlineStr">
        <is>
          <t>Akum</t>
        </is>
      </c>
      <c r="H2403" t="inlineStr">
        <is>
          <t>HUAWEI</t>
        </is>
      </c>
      <c r="I2403" t="n">
        <v>0</v>
      </c>
      <c r="J2403" t="n">
        <v>0</v>
      </c>
      <c r="K2403" t="n">
        <v>0</v>
      </c>
      <c r="L2403" t="n">
        <v>0</v>
      </c>
      <c r="M2403" t="n">
        <v>0</v>
      </c>
      <c r="N2403" t="n">
        <v>0</v>
      </c>
      <c r="O2403" t="n">
        <v>0</v>
      </c>
      <c r="P2403" t="n">
        <v>0</v>
      </c>
      <c r="Q2403" t="n">
        <v>0</v>
      </c>
      <c r="R2403" t="inlineStr">
        <is>
          <t>Insecurity</t>
        </is>
      </c>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row>
    <row r="2404">
      <c r="A2404" t="inlineStr">
        <is>
          <t>Bali-Njenka-IHS</t>
        </is>
      </c>
      <c r="B2404" t="inlineStr">
        <is>
          <t>NRO_151</t>
        </is>
      </c>
      <c r="C2404" t="inlineStr">
        <is>
          <t>NORD-OUEST</t>
        </is>
      </c>
      <c r="D2404" t="inlineStr"/>
      <c r="E2404" t="inlineStr"/>
      <c r="F2404" t="inlineStr">
        <is>
          <t>NORD-OUEST</t>
        </is>
      </c>
      <c r="G2404" t="inlineStr">
        <is>
          <t>Bali</t>
        </is>
      </c>
      <c r="H2404" t="inlineStr">
        <is>
          <t>HUAWEI</t>
        </is>
      </c>
      <c r="I2404" t="n">
        <v>0</v>
      </c>
      <c r="J2404" t="n">
        <v>0</v>
      </c>
      <c r="K2404" t="n">
        <v>0</v>
      </c>
      <c r="L2404" t="n">
        <v>0</v>
      </c>
      <c r="M2404" t="n">
        <v>0</v>
      </c>
      <c r="N2404" t="n">
        <v>0</v>
      </c>
      <c r="O2404" t="n">
        <v>0</v>
      </c>
      <c r="P2404" t="n">
        <v>0</v>
      </c>
      <c r="Q2404" t="n">
        <v>0</v>
      </c>
      <c r="R2404" t="inlineStr">
        <is>
          <t>Insecurity</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row>
    <row r="2405">
      <c r="A2405" t="inlineStr">
        <is>
          <t>Bali</t>
        </is>
      </c>
      <c r="B2405" t="inlineStr">
        <is>
          <t>NRO_017</t>
        </is>
      </c>
      <c r="C2405" t="inlineStr">
        <is>
          <t>NORD-OUEST</t>
        </is>
      </c>
      <c r="D2405" t="inlineStr">
        <is>
          <t>IHS</t>
        </is>
      </c>
      <c r="E2405" t="inlineStr">
        <is>
          <t>Grid-Gen</t>
        </is>
      </c>
      <c r="F2405" t="inlineStr">
        <is>
          <t>NORD-OUEST</t>
        </is>
      </c>
      <c r="G2405" t="inlineStr">
        <is>
          <t>Bali</t>
        </is>
      </c>
      <c r="H2405" t="inlineStr">
        <is>
          <t>HUAWEI</t>
        </is>
      </c>
      <c r="I2405" t="n">
        <v>0</v>
      </c>
      <c r="J2405" t="n">
        <v>0</v>
      </c>
      <c r="K2405" t="n">
        <v>0</v>
      </c>
      <c r="L2405" t="n">
        <v>0</v>
      </c>
      <c r="M2405" t="n">
        <v>0</v>
      </c>
      <c r="N2405" t="n">
        <v>0</v>
      </c>
      <c r="O2405" t="n">
        <v>0</v>
      </c>
      <c r="P2405" t="n">
        <v>0</v>
      </c>
      <c r="Q2405" t="n">
        <v>0</v>
      </c>
      <c r="R2405" t="inlineStr">
        <is>
          <t>Insecurity</t>
        </is>
      </c>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row>
    <row r="2406">
      <c r="A2406" t="inlineStr">
        <is>
          <t>Tsekenis</t>
        </is>
      </c>
      <c r="B2406" t="inlineStr">
        <is>
          <t>LIT_025</t>
        </is>
      </c>
      <c r="C2406" t="inlineStr">
        <is>
          <t>Douala</t>
        </is>
      </c>
      <c r="D2406" t="inlineStr">
        <is>
          <t>IHS</t>
        </is>
      </c>
      <c r="E2406" t="inlineStr">
        <is>
          <t>Grid-Gen</t>
        </is>
      </c>
      <c r="F2406" t="inlineStr">
        <is>
          <t>LITTORAL</t>
        </is>
      </c>
      <c r="G2406" t="inlineStr">
        <is>
          <t>Douala</t>
        </is>
      </c>
      <c r="H2406" t="inlineStr">
        <is>
          <t>ZTE</t>
        </is>
      </c>
      <c r="I2406" t="n">
        <v>0</v>
      </c>
      <c r="J2406" t="n">
        <v>0</v>
      </c>
      <c r="K2406" t="n">
        <v>0</v>
      </c>
      <c r="L2406" t="n">
        <v>0</v>
      </c>
      <c r="M2406" t="n">
        <v>0</v>
      </c>
      <c r="N2406" t="n">
        <v>0</v>
      </c>
      <c r="O2406" t="n">
        <v>0</v>
      </c>
      <c r="P2406" t="n">
        <v>0</v>
      </c>
      <c r="Q2406" t="n">
        <v>0</v>
      </c>
      <c r="R2406" t="inlineStr">
        <is>
          <t>EXCLU</t>
        </is>
      </c>
      <c r="S2406" t="inlineStr"/>
      <c r="T2406" t="inlineStr"/>
      <c r="U2406" t="inlineStr"/>
      <c r="V2406" t="inlineStr"/>
      <c r="W2406" t="inlineStr"/>
      <c r="X2406" t="inlineStr">
        <is>
          <t xml:space="preserve">{05/25/2026 cell zte}: 23/05/2026 : Cell locked </t>
        </is>
      </c>
      <c r="Y2406" t="inlineStr">
        <is>
          <t>23/05/2026 Cell locked</t>
        </is>
      </c>
      <c r="Z2406" t="inlineStr"/>
      <c r="AA2406" t="inlineStr"/>
      <c r="AB2406" t="inlineStr"/>
      <c r="AC2406" t="inlineStr"/>
      <c r="AD2406" t="inlineStr"/>
      <c r="AE2406" t="inlineStr"/>
      <c r="AF2406" t="inlineStr"/>
      <c r="AG2406" t="inlineStr"/>
      <c r="AH2406" t="inlineStr"/>
      <c r="AI2406" t="inlineStr"/>
      <c r="AJ2406" t="inlineStr">
        <is>
          <t xml:space="preserve">{05/25/2026 cell zte}: 23/05/2026 : Cell locked </t>
        </is>
      </c>
      <c r="AK2406" t="inlineStr"/>
      <c r="AL2406" t="inlineStr"/>
      <c r="AM2406" t="inlineStr"/>
      <c r="AN2406" t="inlineStr"/>
      <c r="AO2406" t="inlineStr"/>
      <c r="AP2406" t="inlineStr"/>
      <c r="AQ2406" t="inlineStr"/>
      <c r="AR2406" t="inlineStr"/>
    </row>
    <row r="2407">
      <c r="A2407" t="inlineStr">
        <is>
          <t>Bouba-Ndjida-Park</t>
        </is>
      </c>
      <c r="B2407" t="inlineStr">
        <is>
          <t>NRD_167</t>
        </is>
      </c>
      <c r="C2407" t="inlineStr">
        <is>
          <t>NORD</t>
        </is>
      </c>
      <c r="D2407" t="inlineStr">
        <is>
          <t>CAMUSAT</t>
        </is>
      </c>
      <c r="E2407" t="inlineStr">
        <is>
          <t>Hybrid Solar - S3</t>
        </is>
      </c>
      <c r="F2407" t="inlineStr">
        <is>
          <t>NORD</t>
        </is>
      </c>
      <c r="G2407" t="inlineStr">
        <is>
          <t>Bouba-Ndjida</t>
        </is>
      </c>
      <c r="H2407" t="inlineStr">
        <is>
          <t>Huawei</t>
        </is>
      </c>
      <c r="I2407" t="n">
        <v>0</v>
      </c>
      <c r="J2407" t="n">
        <v>0</v>
      </c>
      <c r="K2407" t="n">
        <v>0</v>
      </c>
      <c r="L2407" t="n">
        <v>0</v>
      </c>
      <c r="M2407" t="n">
        <v>0</v>
      </c>
      <c r="N2407" t="n">
        <v>0</v>
      </c>
      <c r="O2407" t="n">
        <v>0</v>
      </c>
      <c r="P2407" t="n">
        <v>0</v>
      </c>
      <c r="Q2407" t="n">
        <v>0</v>
      </c>
      <c r="R2407" t="inlineStr">
        <is>
          <t>EXCLU</t>
        </is>
      </c>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row>
    <row r="2408">
      <c r="A2408" t="inlineStr">
        <is>
          <t>Pouss-II</t>
        </is>
      </c>
      <c r="B2408" t="inlineStr">
        <is>
          <t>NRD_136</t>
        </is>
      </c>
      <c r="C2408" t="inlineStr">
        <is>
          <t>NORD</t>
        </is>
      </c>
      <c r="D2408" t="inlineStr">
        <is>
          <t>CAMUSAT</t>
        </is>
      </c>
      <c r="E2408" t="inlineStr">
        <is>
          <t>Hybrid Solar - S3</t>
        </is>
      </c>
      <c r="F2408" t="inlineStr">
        <is>
          <t>NORD</t>
        </is>
      </c>
      <c r="G2408" t="inlineStr">
        <is>
          <t>Pouss</t>
        </is>
      </c>
      <c r="H2408" t="inlineStr">
        <is>
          <t>Huawei</t>
        </is>
      </c>
      <c r="I2408" t="n">
        <v>0</v>
      </c>
      <c r="J2408" t="n">
        <v>0</v>
      </c>
      <c r="K2408" t="n">
        <v>0</v>
      </c>
      <c r="L2408" t="n">
        <v>0</v>
      </c>
      <c r="M2408" t="n">
        <v>0</v>
      </c>
      <c r="N2408" t="n">
        <v>0</v>
      </c>
      <c r="O2408" t="n">
        <v>0</v>
      </c>
      <c r="P2408" t="n">
        <v>0</v>
      </c>
      <c r="Q2408" t="n">
        <v>0</v>
      </c>
      <c r="R2408" t="inlineStr">
        <is>
          <t>EXCLU</t>
        </is>
      </c>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row>
    <row r="2409">
      <c r="A2409" t="inlineStr">
        <is>
          <t>Taram-FH</t>
        </is>
      </c>
      <c r="B2409" t="inlineStr">
        <is>
          <t>OST_092</t>
        </is>
      </c>
      <c r="C2409" t="inlineStr">
        <is>
          <t>OUEST</t>
        </is>
      </c>
      <c r="D2409" t="inlineStr">
        <is>
          <t>IHS</t>
        </is>
      </c>
      <c r="E2409" t="inlineStr">
        <is>
          <t>Grid-Hybrid-Gen</t>
        </is>
      </c>
      <c r="F2409" t="inlineStr">
        <is>
          <t>OUEST</t>
        </is>
      </c>
      <c r="G2409" t="inlineStr">
        <is>
          <t>Taram</t>
        </is>
      </c>
      <c r="H2409" t="inlineStr">
        <is>
          <t>Huawei</t>
        </is>
      </c>
      <c r="I2409" t="n">
        <v>0</v>
      </c>
      <c r="J2409" t="n">
        <v>0</v>
      </c>
      <c r="K2409" t="n">
        <v>0</v>
      </c>
      <c r="L2409" t="n">
        <v>0</v>
      </c>
      <c r="M2409" t="n">
        <v>0</v>
      </c>
      <c r="N2409" t="n">
        <v>0</v>
      </c>
      <c r="O2409" t="n">
        <v>0</v>
      </c>
      <c r="P2409" t="n">
        <v>0</v>
      </c>
      <c r="Q2409" t="n">
        <v>0</v>
      </c>
      <c r="R2409" t="inlineStr">
        <is>
          <t>EXCLU</t>
        </is>
      </c>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row>
    <row r="2410">
      <c r="A2410" t="inlineStr">
        <is>
          <t>Pangar-camrail</t>
        </is>
      </c>
      <c r="B2410" t="inlineStr">
        <is>
          <t>ADM_114</t>
        </is>
      </c>
      <c r="C2410" t="inlineStr">
        <is>
          <t>ADAMAOUA</t>
        </is>
      </c>
      <c r="D2410" t="inlineStr">
        <is>
          <t>CAMUSAT</t>
        </is>
      </c>
      <c r="E2410" t="inlineStr">
        <is>
          <t>Hybrid Solar - S3</t>
        </is>
      </c>
      <c r="F2410" t="inlineStr">
        <is>
          <t>ADAMAOUA</t>
        </is>
      </c>
      <c r="G2410" t="inlineStr">
        <is>
          <t>Pangar</t>
        </is>
      </c>
      <c r="H2410" t="inlineStr">
        <is>
          <t>Huawei</t>
        </is>
      </c>
      <c r="I2410" t="n">
        <v>0</v>
      </c>
      <c r="J2410" t="n">
        <v>0</v>
      </c>
      <c r="K2410" t="n">
        <v>0</v>
      </c>
      <c r="L2410" t="n">
        <v>0</v>
      </c>
      <c r="M2410" t="n">
        <v>0</v>
      </c>
      <c r="N2410" t="n">
        <v>0</v>
      </c>
      <c r="O2410" t="n">
        <v>0</v>
      </c>
      <c r="P2410" t="n">
        <v>0</v>
      </c>
      <c r="Q2410" t="n">
        <v>0</v>
      </c>
      <c r="R2410" t="inlineStr">
        <is>
          <t>EXCLU</t>
        </is>
      </c>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row>
    <row r="2411">
      <c r="A2411" t="inlineStr">
        <is>
          <t>Ngong-II</t>
        </is>
      </c>
      <c r="B2411" t="inlineStr">
        <is>
          <t>NRD_032</t>
        </is>
      </c>
      <c r="C2411" t="inlineStr">
        <is>
          <t>NORD</t>
        </is>
      </c>
      <c r="D2411" t="inlineStr">
        <is>
          <t>IHS</t>
        </is>
      </c>
      <c r="E2411" t="inlineStr">
        <is>
          <t>Grid-Gen</t>
        </is>
      </c>
      <c r="F2411" t="inlineStr">
        <is>
          <t>NORD</t>
        </is>
      </c>
      <c r="G2411" t="inlineStr">
        <is>
          <t>Ngong</t>
        </is>
      </c>
      <c r="H2411" t="inlineStr">
        <is>
          <t>Huawei</t>
        </is>
      </c>
      <c r="I2411" t="n">
        <v>0</v>
      </c>
      <c r="J2411" t="n">
        <v>0</v>
      </c>
      <c r="K2411" t="n">
        <v>0</v>
      </c>
      <c r="L2411" t="n">
        <v>0</v>
      </c>
      <c r="M2411" t="n">
        <v>0</v>
      </c>
      <c r="N2411" t="n">
        <v>0</v>
      </c>
      <c r="O2411" t="n">
        <v>0</v>
      </c>
      <c r="P2411" t="n">
        <v>0</v>
      </c>
      <c r="Q2411" t="n">
        <v>0</v>
      </c>
      <c r="R2411" t="inlineStr">
        <is>
          <t>EXCLU</t>
        </is>
      </c>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row>
    <row r="2412">
      <c r="A2412" t="inlineStr">
        <is>
          <t>Djoum</t>
        </is>
      </c>
      <c r="B2412" t="inlineStr">
        <is>
          <t>SUD_014</t>
        </is>
      </c>
      <c r="C2412" t="inlineStr">
        <is>
          <t>CENTRE</t>
        </is>
      </c>
      <c r="D2412" t="inlineStr">
        <is>
          <t>CAMUSAT</t>
        </is>
      </c>
      <c r="E2412" t="inlineStr">
        <is>
          <t>Medium Grid + Solar + GE</t>
        </is>
      </c>
      <c r="F2412" t="inlineStr">
        <is>
          <t>SUD</t>
        </is>
      </c>
      <c r="G2412" t="inlineStr">
        <is>
          <t>Djoum</t>
        </is>
      </c>
      <c r="H2412" t="inlineStr">
        <is>
          <t>ZTE</t>
        </is>
      </c>
      <c r="I2412" t="n">
        <v>0</v>
      </c>
      <c r="J2412" t="n">
        <v>0</v>
      </c>
      <c r="K2412" t="n">
        <v>0</v>
      </c>
      <c r="L2412" t="n">
        <v>0</v>
      </c>
      <c r="M2412" t="n">
        <v>0</v>
      </c>
      <c r="N2412" t="n">
        <v>0</v>
      </c>
      <c r="O2412" t="n">
        <v>0</v>
      </c>
      <c r="P2412" t="n">
        <v>0</v>
      </c>
      <c r="Q2412" t="n">
        <v>0</v>
      </c>
      <c r="R2412" t="inlineStr">
        <is>
          <t>EXCLU</t>
        </is>
      </c>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row>
    <row r="2413">
      <c r="A2413" t="inlineStr">
        <is>
          <t>Toumbouroum</t>
        </is>
      </c>
      <c r="B2413" t="inlineStr">
        <is>
          <t>ADM_182</t>
        </is>
      </c>
      <c r="C2413" t="inlineStr">
        <is>
          <t>ADAMAOUA</t>
        </is>
      </c>
      <c r="D2413" t="inlineStr">
        <is>
          <t>ESCO</t>
        </is>
      </c>
      <c r="E2413" t="inlineStr">
        <is>
          <t>Hybrid solar - s3</t>
        </is>
      </c>
      <c r="F2413" t="inlineStr">
        <is>
          <t>ADAMAOUA</t>
        </is>
      </c>
      <c r="G2413" t="inlineStr">
        <is>
          <t>Toumbouroum</t>
        </is>
      </c>
      <c r="H2413" t="inlineStr">
        <is>
          <t>HUAWEI</t>
        </is>
      </c>
      <c r="I2413" t="n">
        <v>0</v>
      </c>
      <c r="J2413" t="n">
        <v>0</v>
      </c>
      <c r="K2413" t="n">
        <v>0</v>
      </c>
      <c r="L2413" t="n">
        <v>0</v>
      </c>
      <c r="M2413" t="n">
        <v>0</v>
      </c>
      <c r="N2413" t="n">
        <v>0</v>
      </c>
      <c r="O2413" t="n">
        <v>0</v>
      </c>
      <c r="P2413" t="n">
        <v>0</v>
      </c>
      <c r="Q2413" t="n">
        <v>0</v>
      </c>
      <c r="R2413" t="inlineStr">
        <is>
          <t>EXCLU</t>
        </is>
      </c>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row>
    <row r="2414">
      <c r="A2414" t="inlineStr">
        <is>
          <t>Mbankomo-Okoa-Maria</t>
        </is>
      </c>
      <c r="B2414" t="inlineStr">
        <is>
          <t>CTR_541</t>
        </is>
      </c>
      <c r="C2414" t="inlineStr">
        <is>
          <t>CENTRE</t>
        </is>
      </c>
      <c r="D2414" t="inlineStr">
        <is>
          <t>IHS</t>
        </is>
      </c>
      <c r="E2414" t="inlineStr">
        <is>
          <t>Grid-Gen</t>
        </is>
      </c>
      <c r="F2414" t="inlineStr">
        <is>
          <t>CENTRE</t>
        </is>
      </c>
      <c r="G2414" t="inlineStr">
        <is>
          <t>Mbankomo</t>
        </is>
      </c>
      <c r="H2414" t="inlineStr">
        <is>
          <t>ZTE</t>
        </is>
      </c>
      <c r="I2414" t="n">
        <v>0</v>
      </c>
      <c r="J2414" t="n">
        <v>0</v>
      </c>
      <c r="K2414" t="n">
        <v>0</v>
      </c>
      <c r="L2414" t="n">
        <v>0</v>
      </c>
      <c r="M2414" t="n">
        <v>0</v>
      </c>
      <c r="N2414" t="n">
        <v>0</v>
      </c>
      <c r="O2414" t="n">
        <v>0</v>
      </c>
      <c r="P2414" t="n">
        <v>0</v>
      </c>
      <c r="Q2414" t="n">
        <v>0</v>
      </c>
      <c r="R2414" t="inlineStr">
        <is>
          <t>EXCLU</t>
        </is>
      </c>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row>
    <row r="2415">
      <c r="A2415" t="inlineStr">
        <is>
          <t>Zoetele</t>
        </is>
      </c>
      <c r="B2415" t="inlineStr">
        <is>
          <t>CTR_111</t>
        </is>
      </c>
      <c r="C2415" t="inlineStr">
        <is>
          <t>CENTRE</t>
        </is>
      </c>
      <c r="D2415" t="inlineStr">
        <is>
          <t>IHS</t>
        </is>
      </c>
      <c r="E2415" t="inlineStr">
        <is>
          <t>Grid-Gen</t>
        </is>
      </c>
      <c r="F2415" t="inlineStr">
        <is>
          <t>CENTRE</t>
        </is>
      </c>
      <c r="G2415" t="inlineStr">
        <is>
          <t>Zoetele</t>
        </is>
      </c>
      <c r="H2415" t="inlineStr">
        <is>
          <t>ZTE</t>
        </is>
      </c>
      <c r="I2415" t="n">
        <v>0</v>
      </c>
      <c r="J2415" t="n">
        <v>0</v>
      </c>
      <c r="K2415" t="n">
        <v>0</v>
      </c>
      <c r="L2415" t="n">
        <v>0</v>
      </c>
      <c r="M2415" t="n">
        <v>0</v>
      </c>
      <c r="N2415" t="n">
        <v>0</v>
      </c>
      <c r="O2415" t="n">
        <v>0</v>
      </c>
      <c r="P2415" t="n">
        <v>0</v>
      </c>
      <c r="Q2415" t="n">
        <v>0</v>
      </c>
      <c r="R2415" t="inlineStr">
        <is>
          <t>EXCLU</t>
        </is>
      </c>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row>
    <row r="2416">
      <c r="A2416" t="inlineStr">
        <is>
          <t>Endom</t>
        </is>
      </c>
      <c r="B2416" t="inlineStr">
        <is>
          <t>CTR_225</t>
        </is>
      </c>
      <c r="C2416" t="inlineStr">
        <is>
          <t>CENTRE</t>
        </is>
      </c>
      <c r="D2416" t="inlineStr">
        <is>
          <t>IHS</t>
        </is>
      </c>
      <c r="E2416" t="inlineStr">
        <is>
          <t>Grid-Hybrid-Gen</t>
        </is>
      </c>
      <c r="F2416" t="inlineStr">
        <is>
          <t>CENTRE</t>
        </is>
      </c>
      <c r="G2416" t="inlineStr">
        <is>
          <t>Endom</t>
        </is>
      </c>
      <c r="H2416" t="inlineStr">
        <is>
          <t>ZTE</t>
        </is>
      </c>
      <c r="I2416" t="n">
        <v>0</v>
      </c>
      <c r="J2416" t="n">
        <v>0</v>
      </c>
      <c r="K2416" t="n">
        <v>0</v>
      </c>
      <c r="L2416" t="n">
        <v>0</v>
      </c>
      <c r="M2416" t="n">
        <v>0</v>
      </c>
      <c r="N2416" t="n">
        <v>0</v>
      </c>
      <c r="O2416" t="n">
        <v>0</v>
      </c>
      <c r="P2416" t="n">
        <v>0</v>
      </c>
      <c r="Q2416" t="n">
        <v>0</v>
      </c>
      <c r="R2416" t="inlineStr">
        <is>
          <t>EXCLU</t>
        </is>
      </c>
      <c r="S2416" t="inlineStr"/>
      <c r="T2416" t="inlineStr"/>
      <c r="U2416" t="inlineStr"/>
      <c r="V2416" t="inlineStr"/>
      <c r="W2416" t="inlineStr"/>
      <c r="X2416" t="inlineStr">
        <is>
          <t>{05/25/2026 cell zte}: 25/05/2026 : Need BO TX analysis</t>
        </is>
      </c>
      <c r="Y2416" t="inlineStr">
        <is>
          <t>25/05/2026 Need BO TX analysis</t>
        </is>
      </c>
      <c r="Z2416" t="inlineStr"/>
      <c r="AA2416" t="inlineStr"/>
      <c r="AB2416" t="inlineStr"/>
      <c r="AC2416" t="inlineStr"/>
      <c r="AD2416" t="inlineStr"/>
      <c r="AE2416" t="inlineStr"/>
      <c r="AF2416" t="inlineStr"/>
      <c r="AG2416" t="inlineStr"/>
      <c r="AH2416" t="inlineStr"/>
      <c r="AI2416" t="inlineStr"/>
      <c r="AJ2416" t="inlineStr"/>
      <c r="AK2416" t="inlineStr">
        <is>
          <t>{05/25/2026 cell zte}: 25/05/2026 : Need BO TX analysis</t>
        </is>
      </c>
      <c r="AL2416" t="inlineStr"/>
      <c r="AM2416" t="inlineStr"/>
      <c r="AN2416" t="inlineStr"/>
      <c r="AO2416" t="inlineStr"/>
      <c r="AP2416" t="inlineStr"/>
      <c r="AQ2416" t="inlineStr"/>
      <c r="AR2416" t="inlineStr"/>
    </row>
    <row r="2417">
      <c r="A2417" t="inlineStr">
        <is>
          <t>Menganme-Camtel</t>
        </is>
      </c>
      <c r="B2417" t="inlineStr">
        <is>
          <t>CTR_142</t>
        </is>
      </c>
      <c r="C2417" t="inlineStr">
        <is>
          <t>CENTRE</t>
        </is>
      </c>
      <c r="D2417" t="inlineStr">
        <is>
          <t>CAMUSAT</t>
        </is>
      </c>
      <c r="E2417" t="inlineStr">
        <is>
          <t>Bad Grid + GE</t>
        </is>
      </c>
      <c r="F2417" t="inlineStr">
        <is>
          <t>CENTRE</t>
        </is>
      </c>
      <c r="G2417" t="inlineStr">
        <is>
          <t>Menganme</t>
        </is>
      </c>
      <c r="H2417" t="inlineStr">
        <is>
          <t>ZTE</t>
        </is>
      </c>
      <c r="I2417" t="n">
        <v>0</v>
      </c>
      <c r="J2417" t="n">
        <v>0</v>
      </c>
      <c r="K2417" t="n">
        <v>0</v>
      </c>
      <c r="L2417" t="n">
        <v>0</v>
      </c>
      <c r="M2417" t="n">
        <v>0</v>
      </c>
      <c r="N2417" t="n">
        <v>0</v>
      </c>
      <c r="O2417" t="n">
        <v>0</v>
      </c>
      <c r="P2417" t="n">
        <v>0</v>
      </c>
      <c r="Q2417" t="n">
        <v>0</v>
      </c>
      <c r="R2417" t="inlineStr">
        <is>
          <t>EXCLU</t>
        </is>
      </c>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row>
    <row r="2418">
      <c r="A2418" t="inlineStr">
        <is>
          <t>Obokoue-I</t>
        </is>
      </c>
      <c r="B2418" t="inlineStr">
        <is>
          <t>CTR_906</t>
        </is>
      </c>
      <c r="C2418" t="inlineStr">
        <is>
          <t>CENTRE</t>
        </is>
      </c>
      <c r="D2418" t="inlineStr">
        <is>
          <t>CAMUSAT</t>
        </is>
      </c>
      <c r="E2418" t="inlineStr">
        <is>
          <t>Hybrid Solar - S3</t>
        </is>
      </c>
      <c r="F2418" t="inlineStr">
        <is>
          <t>CENTRE</t>
        </is>
      </c>
      <c r="G2418" t="inlineStr">
        <is>
          <t>Mbankomo</t>
        </is>
      </c>
      <c r="H2418" t="inlineStr">
        <is>
          <t>ZTE</t>
        </is>
      </c>
      <c r="I2418" t="n">
        <v>0</v>
      </c>
      <c r="J2418" t="n">
        <v>0</v>
      </c>
      <c r="K2418" t="n">
        <v>0</v>
      </c>
      <c r="L2418" t="n">
        <v>0</v>
      </c>
      <c r="M2418" t="n">
        <v>0</v>
      </c>
      <c r="N2418" t="n">
        <v>0</v>
      </c>
      <c r="O2418" t="n">
        <v>0</v>
      </c>
      <c r="P2418" t="n">
        <v>0</v>
      </c>
      <c r="Q2418" t="n">
        <v>0</v>
      </c>
      <c r="R2418" t="inlineStr">
        <is>
          <t>EXCLU</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row>
    <row r="2419">
      <c r="A2419" t="inlineStr">
        <is>
          <t>Guidiguis-Ville</t>
        </is>
      </c>
      <c r="B2419" t="inlineStr">
        <is>
          <t>NRD_144</t>
        </is>
      </c>
      <c r="C2419" t="inlineStr">
        <is>
          <t>NORD</t>
        </is>
      </c>
      <c r="D2419" t="inlineStr">
        <is>
          <t>CAMUSAT</t>
        </is>
      </c>
      <c r="E2419" t="inlineStr">
        <is>
          <t>Good Grid + GE</t>
        </is>
      </c>
      <c r="F2419" t="inlineStr">
        <is>
          <t>NORD</t>
        </is>
      </c>
      <c r="G2419" t="inlineStr">
        <is>
          <t>Guidiguis</t>
        </is>
      </c>
      <c r="H2419" t="inlineStr">
        <is>
          <t>Huawei</t>
        </is>
      </c>
      <c r="I2419" t="n">
        <v>0</v>
      </c>
      <c r="J2419" t="n">
        <v>0</v>
      </c>
      <c r="K2419" t="n">
        <v>0</v>
      </c>
      <c r="L2419" t="n">
        <v>0</v>
      </c>
      <c r="M2419" t="n">
        <v>0</v>
      </c>
      <c r="N2419" t="n">
        <v>0</v>
      </c>
      <c r="O2419" t="n">
        <v>0</v>
      </c>
      <c r="P2419" t="n">
        <v>0</v>
      </c>
      <c r="Q2419" t="n">
        <v>0</v>
      </c>
      <c r="R2419" t="inlineStr">
        <is>
          <t>EXCLU</t>
        </is>
      </c>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row>
    <row r="2420">
      <c r="A2420" t="inlineStr">
        <is>
          <t>Maga-Lycee</t>
        </is>
      </c>
      <c r="B2420" t="inlineStr">
        <is>
          <t>NRD_135</t>
        </is>
      </c>
      <c r="C2420" t="inlineStr">
        <is>
          <t>EXTREME-NORD</t>
        </is>
      </c>
      <c r="D2420" t="inlineStr">
        <is>
          <t>CAMUSAT</t>
        </is>
      </c>
      <c r="E2420" t="inlineStr">
        <is>
          <t>Bad Grid + Solar + GE</t>
        </is>
      </c>
      <c r="F2420" t="inlineStr">
        <is>
          <t>NORD</t>
        </is>
      </c>
      <c r="G2420" t="inlineStr">
        <is>
          <t>Maga</t>
        </is>
      </c>
      <c r="H2420" t="inlineStr">
        <is>
          <t>Huawei</t>
        </is>
      </c>
      <c r="I2420" t="n">
        <v>0</v>
      </c>
      <c r="J2420" t="n">
        <v>0</v>
      </c>
      <c r="K2420" t="n">
        <v>0</v>
      </c>
      <c r="L2420" t="n">
        <v>0</v>
      </c>
      <c r="M2420" t="n">
        <v>0</v>
      </c>
      <c r="N2420" t="n">
        <v>0</v>
      </c>
      <c r="O2420" t="n">
        <v>0</v>
      </c>
      <c r="P2420" t="n">
        <v>0</v>
      </c>
      <c r="Q2420" t="n">
        <v>0</v>
      </c>
      <c r="R2420" t="inlineStr">
        <is>
          <t>EXCLU</t>
        </is>
      </c>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row>
    <row r="2421">
      <c r="A2421" t="inlineStr">
        <is>
          <t>Phacochere</t>
        </is>
      </c>
      <c r="B2421" t="inlineStr">
        <is>
          <t>ADM_160</t>
        </is>
      </c>
      <c r="C2421" t="inlineStr">
        <is>
          <t>ADAMAOUA</t>
        </is>
      </c>
      <c r="D2421" t="inlineStr">
        <is>
          <t>CAMUSAT</t>
        </is>
      </c>
      <c r="E2421" t="inlineStr">
        <is>
          <t>Hybrid Solar - S3</t>
        </is>
      </c>
      <c r="F2421" t="inlineStr">
        <is>
          <t>ADAMAOUA</t>
        </is>
      </c>
      <c r="G2421" t="inlineStr">
        <is>
          <t>Phacochere</t>
        </is>
      </c>
      <c r="H2421" t="inlineStr">
        <is>
          <t>Huawei</t>
        </is>
      </c>
      <c r="I2421" t="n">
        <v>0</v>
      </c>
      <c r="J2421" t="n">
        <v>0</v>
      </c>
      <c r="K2421" t="n">
        <v>0</v>
      </c>
      <c r="L2421" t="n">
        <v>0</v>
      </c>
      <c r="M2421" t="n">
        <v>0</v>
      </c>
      <c r="N2421" t="n">
        <v>0</v>
      </c>
      <c r="O2421" t="n">
        <v>0</v>
      </c>
      <c r="P2421" t="n">
        <v>0</v>
      </c>
      <c r="Q2421" t="n">
        <v>0</v>
      </c>
      <c r="R2421" t="inlineStr">
        <is>
          <t>EXCLU</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row>
    <row r="2422">
      <c r="A2422" t="inlineStr">
        <is>
          <t>Guiwa-Yangamo</t>
        </is>
      </c>
      <c r="B2422" t="inlineStr">
        <is>
          <t>EST_123</t>
        </is>
      </c>
      <c r="C2422" t="inlineStr">
        <is>
          <t>CENTRE</t>
        </is>
      </c>
      <c r="D2422" t="inlineStr">
        <is>
          <t>CAMUSAT</t>
        </is>
      </c>
      <c r="E2422" t="inlineStr">
        <is>
          <t>Hybrid Solar - S2</t>
        </is>
      </c>
      <c r="F2422" t="inlineStr">
        <is>
          <t>EST</t>
        </is>
      </c>
      <c r="G2422" t="inlineStr">
        <is>
          <t>Guiwa-Yangamo</t>
        </is>
      </c>
      <c r="H2422" t="inlineStr">
        <is>
          <t>ZTE</t>
        </is>
      </c>
      <c r="I2422" t="n">
        <v>0</v>
      </c>
      <c r="J2422" t="n">
        <v>0</v>
      </c>
      <c r="K2422" t="n">
        <v>0</v>
      </c>
      <c r="L2422" t="n">
        <v>0</v>
      </c>
      <c r="M2422" t="n">
        <v>0</v>
      </c>
      <c r="N2422" t="n">
        <v>0</v>
      </c>
      <c r="O2422" t="n">
        <v>0</v>
      </c>
      <c r="P2422" t="n">
        <v>0</v>
      </c>
      <c r="Q2422" t="n">
        <v>0</v>
      </c>
      <c r="R2422" t="inlineStr">
        <is>
          <t>EXCLU</t>
        </is>
      </c>
      <c r="S2422" t="inlineStr"/>
      <c r="T2422" t="inlineStr"/>
      <c r="U2422" t="inlineStr"/>
      <c r="V2422" t="inlineStr"/>
      <c r="W2422" t="inlineStr"/>
      <c r="X2422" t="inlineStr">
        <is>
          <t>{05/25/2026 cell zte}: 25/05/2026 : Need BO RAN analysis     ;    {05/25/2026 cell zte}: 25/05/2026 : Need BO RAN analysis     ;    {05/25/2026 cell zte}: 25/05/2026 : Need BO RAN analysis</t>
        </is>
      </c>
      <c r="Y2422" t="inlineStr">
        <is>
          <t>25/05/2026 Need BO RAN analysis 25/05/2026 Need BO RAN analysis 25/05/2026 Need BO RAN analysis</t>
        </is>
      </c>
      <c r="Z2422" t="inlineStr"/>
      <c r="AA2422" t="inlineStr"/>
      <c r="AB2422" t="inlineStr"/>
      <c r="AC2422" t="inlineStr"/>
      <c r="AD2422" t="inlineStr"/>
      <c r="AE2422" t="inlineStr"/>
      <c r="AF2422" t="inlineStr"/>
      <c r="AG2422" t="inlineStr"/>
      <c r="AH2422" t="inlineStr"/>
      <c r="AI2422" t="inlineStr">
        <is>
          <t>{05/25/2026 cell zte}: 25/05/2026 : Need BO RAN analysis</t>
        </is>
      </c>
      <c r="AJ2422" t="inlineStr">
        <is>
          <t>{05/25/2026 cell zte}: 25/05/2026 : Need BO RAN analysis</t>
        </is>
      </c>
      <c r="AK2422" t="inlineStr">
        <is>
          <t>{05/25/2026 cell zte}: 25/05/2026 : Need BO RAN analysis</t>
        </is>
      </c>
      <c r="AL2422" t="inlineStr"/>
      <c r="AM2422" t="inlineStr"/>
      <c r="AN2422" t="inlineStr"/>
      <c r="AO2422" t="inlineStr"/>
      <c r="AP2422" t="inlineStr"/>
      <c r="AQ2422" t="inlineStr"/>
      <c r="AR2422" t="inlineStr"/>
    </row>
    <row r="2423">
      <c r="A2423" t="inlineStr">
        <is>
          <t>Mbankomo-MTN</t>
        </is>
      </c>
      <c r="B2423" t="inlineStr">
        <is>
          <t>CTR_222</t>
        </is>
      </c>
      <c r="C2423" t="inlineStr">
        <is>
          <t>CENTRE</t>
        </is>
      </c>
      <c r="D2423" t="inlineStr">
        <is>
          <t>IHS</t>
        </is>
      </c>
      <c r="E2423" t="inlineStr">
        <is>
          <t>Grid-Gen</t>
        </is>
      </c>
      <c r="F2423" t="inlineStr">
        <is>
          <t>CENTRE</t>
        </is>
      </c>
      <c r="G2423" t="inlineStr">
        <is>
          <t>Mbankomo</t>
        </is>
      </c>
      <c r="H2423" t="inlineStr">
        <is>
          <t>ZTE</t>
        </is>
      </c>
      <c r="I2423" t="n">
        <v>0</v>
      </c>
      <c r="J2423" t="n">
        <v>0</v>
      </c>
      <c r="K2423" t="n">
        <v>0</v>
      </c>
      <c r="L2423" t="n">
        <v>0</v>
      </c>
      <c r="M2423" t="n">
        <v>0</v>
      </c>
      <c r="N2423" t="n">
        <v>0</v>
      </c>
      <c r="O2423" t="n">
        <v>0</v>
      </c>
      <c r="P2423" t="n">
        <v>0</v>
      </c>
      <c r="Q2423" t="n">
        <v>0</v>
      </c>
      <c r="R2423" t="inlineStr">
        <is>
          <t>EXCLU</t>
        </is>
      </c>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row>
    <row r="2424">
      <c r="A2424" t="inlineStr">
        <is>
          <t>Messamena</t>
        </is>
      </c>
      <c r="B2424" t="inlineStr">
        <is>
          <t>EST_046</t>
        </is>
      </c>
      <c r="C2424" t="inlineStr">
        <is>
          <t>CENTRE</t>
        </is>
      </c>
      <c r="D2424" t="inlineStr">
        <is>
          <t>IHS</t>
        </is>
      </c>
      <c r="E2424" t="inlineStr">
        <is>
          <t>Solar-Gen</t>
        </is>
      </c>
      <c r="F2424" t="inlineStr">
        <is>
          <t>EST</t>
        </is>
      </c>
      <c r="G2424" t="inlineStr">
        <is>
          <t>Messamena</t>
        </is>
      </c>
      <c r="H2424" t="inlineStr">
        <is>
          <t>ZTE</t>
        </is>
      </c>
      <c r="I2424" t="n">
        <v>0</v>
      </c>
      <c r="J2424" t="n">
        <v>0</v>
      </c>
      <c r="K2424" t="n">
        <v>0</v>
      </c>
      <c r="L2424" t="n">
        <v>0</v>
      </c>
      <c r="M2424" t="n">
        <v>0</v>
      </c>
      <c r="N2424" t="n">
        <v>0</v>
      </c>
      <c r="O2424" t="n">
        <v>0</v>
      </c>
      <c r="P2424" t="n">
        <v>0</v>
      </c>
      <c r="Q2424" t="n">
        <v>0</v>
      </c>
      <c r="R2424" t="inlineStr">
        <is>
          <t>EXCLU</t>
        </is>
      </c>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row>
    <row r="2425">
      <c r="A2425" t="inlineStr">
        <is>
          <t>Nji-Camtel</t>
        </is>
      </c>
      <c r="B2425" t="inlineStr">
        <is>
          <t>CTR_139</t>
        </is>
      </c>
      <c r="C2425" t="inlineStr">
        <is>
          <t>CENTRE</t>
        </is>
      </c>
      <c r="D2425" t="inlineStr">
        <is>
          <t>CAMUSAT</t>
        </is>
      </c>
      <c r="E2425" t="inlineStr">
        <is>
          <t>Hybrid Solar - S3</t>
        </is>
      </c>
      <c r="F2425" t="inlineStr">
        <is>
          <t>CENTRE</t>
        </is>
      </c>
      <c r="G2425" t="inlineStr">
        <is>
          <t>Nji</t>
        </is>
      </c>
      <c r="H2425" t="inlineStr">
        <is>
          <t>ZTE</t>
        </is>
      </c>
      <c r="I2425" t="n">
        <v>0</v>
      </c>
      <c r="J2425" t="n">
        <v>0</v>
      </c>
      <c r="K2425" t="n">
        <v>0</v>
      </c>
      <c r="L2425" t="n">
        <v>0</v>
      </c>
      <c r="M2425" t="n">
        <v>0</v>
      </c>
      <c r="N2425" t="n">
        <v>0</v>
      </c>
      <c r="O2425" t="n">
        <v>0</v>
      </c>
      <c r="P2425" t="n">
        <v>0</v>
      </c>
      <c r="Q2425" t="n">
        <v>0</v>
      </c>
      <c r="R2425" t="inlineStr">
        <is>
          <t>EXCLU</t>
        </is>
      </c>
      <c r="S2425" t="inlineStr"/>
      <c r="T2425" t="inlineStr"/>
      <c r="U2425" t="inlineStr"/>
      <c r="V2425" t="inlineStr"/>
      <c r="W2425" t="inlineStr"/>
      <c r="X2425" t="inlineStr">
        <is>
          <t>{05-25-2026 incident}: {05-18-2026 groupe whatsapp incident}: impacted by  EST_076_N_Diang-MTN</t>
        </is>
      </c>
      <c r="Y2425" t="inlineStr">
        <is>
          <t>{05-25-2026 incident} {05-18-2026 groupe whatsapp incident} impacted by EST_076_N_Diang-MTN</t>
        </is>
      </c>
      <c r="Z2425" t="inlineStr"/>
      <c r="AA2425" t="inlineStr">
        <is>
          <t>{05-25-2026 incident}: {05-18-2026 groupe whatsapp incident}: impacted by  EST_076_N_Diang-MTN</t>
        </is>
      </c>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row>
    <row r="2426">
      <c r="A2426" t="inlineStr">
        <is>
          <t>Nguelemendouka-FH</t>
        </is>
      </c>
      <c r="B2426" t="inlineStr">
        <is>
          <t>EST_024</t>
        </is>
      </c>
      <c r="C2426" t="inlineStr">
        <is>
          <t>CENTRE</t>
        </is>
      </c>
      <c r="D2426" t="inlineStr">
        <is>
          <t>IHS</t>
        </is>
      </c>
      <c r="E2426" t="inlineStr">
        <is>
          <t>Hybrid-Gen-Lithium</t>
        </is>
      </c>
      <c r="F2426" t="inlineStr">
        <is>
          <t>EST</t>
        </is>
      </c>
      <c r="G2426" t="inlineStr">
        <is>
          <t>Nguelemendouka</t>
        </is>
      </c>
      <c r="H2426" t="inlineStr">
        <is>
          <t>ZTE</t>
        </is>
      </c>
      <c r="I2426" t="n">
        <v>0</v>
      </c>
      <c r="J2426" t="n">
        <v>0</v>
      </c>
      <c r="K2426" t="n">
        <v>0</v>
      </c>
      <c r="L2426" t="n">
        <v>0</v>
      </c>
      <c r="M2426" t="n">
        <v>0</v>
      </c>
      <c r="N2426" t="n">
        <v>0</v>
      </c>
      <c r="O2426" t="n">
        <v>0</v>
      </c>
      <c r="P2426" t="n">
        <v>0</v>
      </c>
      <c r="Q2426" t="n">
        <v>0</v>
      </c>
      <c r="R2426" t="inlineStr">
        <is>
          <t>EXCLU</t>
        </is>
      </c>
      <c r="S2426" t="inlineStr"/>
      <c r="T2426" t="inlineStr"/>
      <c r="U2426" t="inlineStr"/>
      <c r="V2426" t="inlineStr"/>
      <c r="W2426" t="inlineStr"/>
      <c r="X2426" t="inlineStr">
        <is>
          <t>{05-25-2026 incident}: {05-18-2026 groupe whatsapp incident}: impacted by  EST_076_N_Diang-MTN     ;    {None hourly IHS}: 25/05/2026 00:36..5:47:29..47.2V..FME is informed and managing</t>
        </is>
      </c>
      <c r="Y2426" t="inlineStr">
        <is>
          <t>{05-25-2026 incident} {05-18-2026 groupe whatsapp incident} impacted by EST_076_N_Diang-MTN 25/05/2026 00 36.5 47 29.47.2V.FME is informed and managing</t>
        </is>
      </c>
      <c r="Z2426" t="inlineStr"/>
      <c r="AA2426" t="inlineStr">
        <is>
          <t>{05-25-2026 incident}: {05-18-2026 groupe whatsapp incident}: impacted by  EST_076_N_Diang-MTN</t>
        </is>
      </c>
      <c r="AB2426" t="inlineStr"/>
      <c r="AC2426" t="inlineStr"/>
      <c r="AD2426" t="inlineStr"/>
      <c r="AE2426" t="inlineStr">
        <is>
          <t>{None hourly IHS}: 25/05/2026 00:36..5:47:29..47.2V..FME is informed and managing</t>
        </is>
      </c>
      <c r="AF2426" t="inlineStr"/>
      <c r="AG2426" t="inlineStr"/>
      <c r="AH2426" t="inlineStr"/>
      <c r="AI2426" t="inlineStr"/>
      <c r="AJ2426" t="inlineStr"/>
      <c r="AK2426" t="inlineStr"/>
      <c r="AL2426" t="inlineStr"/>
      <c r="AM2426" t="inlineStr"/>
      <c r="AN2426" t="inlineStr"/>
      <c r="AO2426" t="inlineStr"/>
      <c r="AP2426" t="inlineStr"/>
      <c r="AQ2426" t="inlineStr"/>
      <c r="AR2426" t="inlineStr"/>
    </row>
    <row r="2427">
      <c r="A2427" t="inlineStr">
        <is>
          <t>Nguem-MTN</t>
        </is>
      </c>
      <c r="B2427" t="inlineStr">
        <is>
          <t>EST_077</t>
        </is>
      </c>
      <c r="C2427" t="inlineStr">
        <is>
          <t>CENTRE</t>
        </is>
      </c>
      <c r="D2427" t="inlineStr">
        <is>
          <t>IHS</t>
        </is>
      </c>
      <c r="E2427" t="inlineStr">
        <is>
          <t>Grid-Gen</t>
        </is>
      </c>
      <c r="F2427" t="inlineStr">
        <is>
          <t>EST</t>
        </is>
      </c>
      <c r="G2427" t="inlineStr">
        <is>
          <t>Nguem</t>
        </is>
      </c>
      <c r="H2427" t="inlineStr">
        <is>
          <t>ZTE</t>
        </is>
      </c>
      <c r="I2427" t="n">
        <v>0</v>
      </c>
      <c r="J2427" t="n">
        <v>0</v>
      </c>
      <c r="K2427" t="n">
        <v>0</v>
      </c>
      <c r="L2427" t="n">
        <v>0</v>
      </c>
      <c r="M2427" t="n">
        <v>0</v>
      </c>
      <c r="N2427" t="n">
        <v>0</v>
      </c>
      <c r="O2427" t="n">
        <v>0</v>
      </c>
      <c r="P2427" t="n">
        <v>0</v>
      </c>
      <c r="Q2427" t="n">
        <v>0</v>
      </c>
      <c r="R2427" t="inlineStr">
        <is>
          <t>EXCLU</t>
        </is>
      </c>
      <c r="S2427" t="inlineStr"/>
      <c r="T2427" t="inlineStr"/>
      <c r="U2427" t="inlineStr"/>
      <c r="V2427" t="inlineStr"/>
      <c r="W2427" t="inlineStr"/>
      <c r="X2427" t="inlineStr">
        <is>
          <t>{05-25-2026 incident}: {05-18-2026 groupe whatsapp incident}: impacted by  EST_076_N_Diang-MTN</t>
        </is>
      </c>
      <c r="Y2427" t="inlineStr">
        <is>
          <t>{05-25-2026 incident} {05-18-2026 groupe whatsapp incident} impacted by EST_076_N_Diang-MTN</t>
        </is>
      </c>
      <c r="Z2427" t="inlineStr"/>
      <c r="AA2427" t="inlineStr">
        <is>
          <t>{05-25-2026 incident}: {05-18-2026 groupe whatsapp incident}: impacted by  EST_076_N_Diang-MTN</t>
        </is>
      </c>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row>
    <row r="2428">
      <c r="A2428" t="inlineStr">
        <is>
          <t>Andom</t>
        </is>
      </c>
      <c r="B2428" t="inlineStr">
        <is>
          <t>EST_150</t>
        </is>
      </c>
      <c r="C2428" t="inlineStr">
        <is>
          <t>CENTRE</t>
        </is>
      </c>
      <c r="D2428" t="inlineStr">
        <is>
          <t>CAMUSAT</t>
        </is>
      </c>
      <c r="E2428" t="inlineStr"/>
      <c r="F2428" t="inlineStr">
        <is>
          <t>EST</t>
        </is>
      </c>
      <c r="G2428" t="inlineStr">
        <is>
          <t>Andom</t>
        </is>
      </c>
      <c r="H2428" t="inlineStr">
        <is>
          <t>ZTE</t>
        </is>
      </c>
      <c r="I2428" t="n">
        <v>0</v>
      </c>
      <c r="J2428" t="n">
        <v>0</v>
      </c>
      <c r="K2428" t="n">
        <v>0</v>
      </c>
      <c r="L2428" t="n">
        <v>0</v>
      </c>
      <c r="M2428" t="n">
        <v>0</v>
      </c>
      <c r="N2428" t="n">
        <v>0</v>
      </c>
      <c r="O2428" t="n">
        <v>0</v>
      </c>
      <c r="P2428" t="n">
        <v>0</v>
      </c>
      <c r="Q2428" t="n">
        <v>0</v>
      </c>
      <c r="R2428" t="inlineStr">
        <is>
          <t>EXCLU</t>
        </is>
      </c>
      <c r="S2428" t="inlineStr"/>
      <c r="T2428" t="inlineStr"/>
      <c r="U2428" t="inlineStr"/>
      <c r="V2428" t="inlineStr"/>
      <c r="W2428" t="inlineStr"/>
      <c r="X2428" t="inlineStr">
        <is>
          <t>{05-25-2026 incident}: {05-18-2026 groupe whatsapp incident}: impacted by  EST_076_N_Diang-MTN     ;    {05-25-2026 ocm ran 22H}: 25.05.26: Besoin d'un FME sur site pour vérifier le statut du MPR et la chaine antennaire de l'ODU 3.1; CM-20260525-00007789; FME Tchimeni Frank activé pour investigations, update ASAP     ;    {05-25-2026 ocm ran 17H}: Power status check Ongoing</t>
        </is>
      </c>
      <c r="Y2428" t="inlineStr">
        <is>
          <t>{05-25-2026 incident} {05-18-2026 groupe whatsapp incident} impacted by EST_076_N_Diang-MTN 25.05.26 Besoin d'un FME sur site pour vérifier le statut du MPR et la chaine antennaire de l'ODU 3.1; FME Tchimeni Frank activé pour investigations, update ASAP</t>
        </is>
      </c>
      <c r="Z2428" t="inlineStr"/>
      <c r="AA2428" t="inlineStr">
        <is>
          <t>{05-25-2026 incident}: {05-18-2026 groupe whatsapp incident}: impacted by  EST_076_N_Diang-MTN</t>
        </is>
      </c>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{05-25-2026 ocm ran 22H}: 25.05.26: Besoin d'un FME sur site pour vérifier le statut du MPR et la chaine antennaire de l'ODU 3.1; CM-20260525-00007789; FME Tchimeni Frank activé pour investigations, update ASAP</t>
        </is>
      </c>
      <c r="AP2428" t="inlineStr">
        <is>
          <t>{05-25-2026 ocm ran 17H}: Power status check Ongoing</t>
        </is>
      </c>
      <c r="AQ2428" t="inlineStr"/>
      <c r="AR2428" t="inlineStr"/>
    </row>
    <row r="2429">
      <c r="A2429" t="inlineStr">
        <is>
          <t>Meba-CAMTEL</t>
        </is>
      </c>
      <c r="B2429" t="inlineStr">
        <is>
          <t>CTR_407</t>
        </is>
      </c>
      <c r="C2429" t="inlineStr">
        <is>
          <t>CENTRE</t>
        </is>
      </c>
      <c r="D2429" t="inlineStr">
        <is>
          <t>CAMUSAT</t>
        </is>
      </c>
      <c r="E2429" t="inlineStr">
        <is>
          <t>Hybrid Solar - S3</t>
        </is>
      </c>
      <c r="F2429" t="inlineStr">
        <is>
          <t>CENTRE</t>
        </is>
      </c>
      <c r="G2429" t="inlineStr">
        <is>
          <t>Meba</t>
        </is>
      </c>
      <c r="H2429" t="inlineStr">
        <is>
          <t>ZTE</t>
        </is>
      </c>
      <c r="I2429" t="n">
        <v>0</v>
      </c>
      <c r="J2429" t="n">
        <v>0</v>
      </c>
      <c r="K2429" t="n">
        <v>0</v>
      </c>
      <c r="L2429" t="n">
        <v>0</v>
      </c>
      <c r="M2429" t="n">
        <v>0</v>
      </c>
      <c r="N2429" t="n">
        <v>0</v>
      </c>
      <c r="O2429" t="n">
        <v>0</v>
      </c>
      <c r="P2429" t="n">
        <v>0</v>
      </c>
      <c r="Q2429" t="n">
        <v>0</v>
      </c>
      <c r="R2429" t="inlineStr">
        <is>
          <t>EXCLU</t>
        </is>
      </c>
      <c r="S2429" t="inlineStr"/>
      <c r="T2429" t="inlineStr"/>
      <c r="U2429" t="inlineStr"/>
      <c r="V2429" t="inlineStr"/>
      <c r="W2429" t="inlineStr"/>
      <c r="X2429" t="inlineStr">
        <is>
          <t xml:space="preserve">{05-25-2026 incident}: {05-18-2026 groupe whatsapp incident}: impacted by  EST_076_N_Diang-MTN     ;    {05/25/2026 cell zte}: 25/05/2026 : Need BO RAN analysis     ;    {05/25/2026 cell zte}: 25/05/2026 : Need BO RAN analysis     ;    {05/25/2026 cell zte}: 25/05/2026 : Need BO RAN analysis ||Cell was down due to power || Join visite a planifier </t>
        </is>
      </c>
      <c r="Y2429" t="inlineStr">
        <is>
          <t>{05-25-2026 incident} {05-18-2026 groupe whatsapp incident} impacted by EST_076_N_Diang-MTN 25/05/2026 Need BO RAN analysis 25/05/2026 Need BO RAN analysis 25/05/2026 Need BO RAN analysis || Cell was down due to power || Join visite a planifier</t>
        </is>
      </c>
      <c r="Z2429" t="inlineStr"/>
      <c r="AA2429" t="inlineStr">
        <is>
          <t>{05-25-2026 incident}: {05-18-2026 groupe whatsapp incident}: impacted by  EST_076_N_Diang-MTN</t>
        </is>
      </c>
      <c r="AB2429" t="inlineStr"/>
      <c r="AC2429" t="inlineStr"/>
      <c r="AD2429" t="inlineStr"/>
      <c r="AE2429" t="inlineStr"/>
      <c r="AF2429" t="inlineStr"/>
      <c r="AG2429" t="inlineStr"/>
      <c r="AH2429" t="inlineStr"/>
      <c r="AI2429" t="inlineStr">
        <is>
          <t>{05/25/2026 cell zte}: 25/05/2026 : Need BO RAN analysis</t>
        </is>
      </c>
      <c r="AJ2429" t="inlineStr">
        <is>
          <t>{05/25/2026 cell zte}: 25/05/2026 : Need BO RAN analysis</t>
        </is>
      </c>
      <c r="AK2429" t="inlineStr">
        <is>
          <t xml:space="preserve">{05/25/2026 cell zte}: 25/05/2026 : Need BO RAN analysis ||Cell was down due to power || Join visite a planifier </t>
        </is>
      </c>
      <c r="AL2429" t="inlineStr"/>
      <c r="AM2429" t="inlineStr"/>
      <c r="AN2429" t="inlineStr"/>
      <c r="AO2429" t="inlineStr"/>
      <c r="AP2429" t="inlineStr"/>
      <c r="AQ2429" t="inlineStr"/>
      <c r="AR2429" t="inlineStr"/>
    </row>
    <row r="2430">
      <c r="A2430" t="inlineStr">
        <is>
          <t>Yoko</t>
        </is>
      </c>
      <c r="B2430" t="inlineStr">
        <is>
          <t>CTR_335</t>
        </is>
      </c>
      <c r="C2430" t="inlineStr">
        <is>
          <t>CENTRE</t>
        </is>
      </c>
      <c r="D2430" t="inlineStr">
        <is>
          <t>IHS</t>
        </is>
      </c>
      <c r="E2430" t="inlineStr">
        <is>
          <t>Grid-Gen</t>
        </is>
      </c>
      <c r="F2430" t="inlineStr">
        <is>
          <t>CENTRE</t>
        </is>
      </c>
      <c r="G2430" t="inlineStr">
        <is>
          <t>Yoko</t>
        </is>
      </c>
      <c r="H2430" t="inlineStr">
        <is>
          <t>ZTE</t>
        </is>
      </c>
      <c r="I2430" t="n">
        <v>0</v>
      </c>
      <c r="J2430" t="n">
        <v>0</v>
      </c>
      <c r="K2430" t="n">
        <v>0</v>
      </c>
      <c r="L2430" t="n">
        <v>0</v>
      </c>
      <c r="M2430" t="n">
        <v>0</v>
      </c>
      <c r="N2430" t="n">
        <v>0</v>
      </c>
      <c r="O2430" t="n">
        <v>0</v>
      </c>
      <c r="P2430" t="n">
        <v>0</v>
      </c>
      <c r="Q2430" t="n">
        <v>0</v>
      </c>
      <c r="R2430" t="inlineStr">
        <is>
          <t>EXCLU</t>
        </is>
      </c>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row>
    <row r="2431">
      <c r="A2431" t="inlineStr">
        <is>
          <t>Abong-Mbang-II</t>
        </is>
      </c>
      <c r="B2431" t="inlineStr">
        <is>
          <t>EST_036</t>
        </is>
      </c>
      <c r="C2431" t="inlineStr">
        <is>
          <t>CENTRE</t>
        </is>
      </c>
      <c r="D2431" t="inlineStr">
        <is>
          <t>IHS</t>
        </is>
      </c>
      <c r="E2431" t="inlineStr">
        <is>
          <t>Grid-Gen</t>
        </is>
      </c>
      <c r="F2431" t="inlineStr">
        <is>
          <t>EST</t>
        </is>
      </c>
      <c r="G2431" t="inlineStr">
        <is>
          <t>Abong-Mbang</t>
        </is>
      </c>
      <c r="H2431" t="inlineStr">
        <is>
          <t>ZTE</t>
        </is>
      </c>
      <c r="I2431" t="n">
        <v>0</v>
      </c>
      <c r="J2431" t="n">
        <v>0</v>
      </c>
      <c r="K2431" t="n">
        <v>0</v>
      </c>
      <c r="L2431" t="n">
        <v>0</v>
      </c>
      <c r="M2431" t="n">
        <v>0</v>
      </c>
      <c r="N2431" t="n">
        <v>0</v>
      </c>
      <c r="O2431" t="n">
        <v>0</v>
      </c>
      <c r="P2431" t="n">
        <v>0</v>
      </c>
      <c r="Q2431" t="n">
        <v>0</v>
      </c>
      <c r="R2431" t="inlineStr">
        <is>
          <t>EXCLU</t>
        </is>
      </c>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row>
    <row r="2432">
      <c r="A2432" t="inlineStr">
        <is>
          <t>Eseka</t>
        </is>
      </c>
      <c r="B2432" t="inlineStr">
        <is>
          <t>CTR_067</t>
        </is>
      </c>
      <c r="C2432" t="inlineStr">
        <is>
          <t>CENTRE</t>
        </is>
      </c>
      <c r="D2432" t="inlineStr">
        <is>
          <t>IHS</t>
        </is>
      </c>
      <c r="E2432" t="inlineStr">
        <is>
          <t>Grid-Gen</t>
        </is>
      </c>
      <c r="F2432" t="inlineStr">
        <is>
          <t>CENTRE</t>
        </is>
      </c>
      <c r="G2432" t="inlineStr">
        <is>
          <t>Eseka</t>
        </is>
      </c>
      <c r="H2432" t="inlineStr">
        <is>
          <t>ZTE</t>
        </is>
      </c>
      <c r="I2432" t="n">
        <v>0</v>
      </c>
      <c r="J2432" t="n">
        <v>0</v>
      </c>
      <c r="K2432" t="n">
        <v>0</v>
      </c>
      <c r="L2432" t="n">
        <v>0</v>
      </c>
      <c r="M2432" t="n">
        <v>0</v>
      </c>
      <c r="N2432" t="n">
        <v>0</v>
      </c>
      <c r="O2432" t="n">
        <v>0</v>
      </c>
      <c r="P2432" t="n">
        <v>0</v>
      </c>
      <c r="Q2432" t="n">
        <v>0</v>
      </c>
      <c r="R2432" t="inlineStr">
        <is>
          <t>EXCLU</t>
        </is>
      </c>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row>
    <row r="2433">
      <c r="A2433" t="inlineStr">
        <is>
          <t>Kette</t>
        </is>
      </c>
      <c r="B2433" t="inlineStr">
        <is>
          <t>EST_045</t>
        </is>
      </c>
      <c r="C2433" t="inlineStr">
        <is>
          <t>CENTRE</t>
        </is>
      </c>
      <c r="D2433" t="inlineStr">
        <is>
          <t>IHS</t>
        </is>
      </c>
      <c r="E2433" t="inlineStr">
        <is>
          <t>Solar-Gen-Lithium</t>
        </is>
      </c>
      <c r="F2433" t="inlineStr">
        <is>
          <t>EST</t>
        </is>
      </c>
      <c r="G2433" t="inlineStr">
        <is>
          <t>Kette</t>
        </is>
      </c>
      <c r="H2433" t="inlineStr">
        <is>
          <t>ZTE</t>
        </is>
      </c>
      <c r="I2433" t="n">
        <v>0</v>
      </c>
      <c r="J2433" t="n">
        <v>0</v>
      </c>
      <c r="K2433" t="n">
        <v>0</v>
      </c>
      <c r="L2433" t="n">
        <v>0</v>
      </c>
      <c r="M2433" t="n">
        <v>0</v>
      </c>
      <c r="N2433" t="n">
        <v>0</v>
      </c>
      <c r="O2433" t="n">
        <v>0</v>
      </c>
      <c r="P2433" t="n">
        <v>0</v>
      </c>
      <c r="Q2433" t="n">
        <v>0</v>
      </c>
      <c r="R2433" t="inlineStr">
        <is>
          <t>EXCLU</t>
        </is>
      </c>
      <c r="S2433" t="inlineStr"/>
      <c r="T2433" t="inlineStr"/>
      <c r="U2433" t="inlineStr"/>
      <c r="V2433" t="inlineStr"/>
      <c r="W2433" t="inlineStr"/>
      <c r="X2433" t="inlineStr">
        <is>
          <t>{None hourly IHS}: 25-05-2026 18:11:59..4:48:01..FME Germain is managing with level 0     ;    {05-25-2026 ocm ran 22H}: Impacted by EST_045_Z_Kette (Power issue)</t>
        </is>
      </c>
      <c r="Y2433" t="inlineStr">
        <is>
          <t>25-05-2026 18 11 59.4 48 01.FME Germain is managing with level 0 Impacted by EST_045_Z_Kette (Power issue)</t>
        </is>
      </c>
      <c r="Z2433" t="inlineStr"/>
      <c r="AA2433" t="inlineStr"/>
      <c r="AB2433" t="inlineStr"/>
      <c r="AC2433" t="inlineStr"/>
      <c r="AD2433" t="inlineStr"/>
      <c r="AE2433" t="inlineStr">
        <is>
          <t>{None hourly IHS}: 25-05-2026 18:11:59..4:48:01..FME Germain is managing with level 0</t>
        </is>
      </c>
      <c r="AF2433" t="inlineStr"/>
      <c r="AG2433" t="inlineStr"/>
      <c r="AH2433" t="inlineStr"/>
      <c r="AI2433" t="inlineStr"/>
      <c r="AJ2433" t="inlineStr"/>
      <c r="AK2433" t="inlineStr"/>
      <c r="AL2433" t="inlineStr"/>
      <c r="AM2433" t="inlineStr"/>
      <c r="AN2433" t="inlineStr"/>
      <c r="AO2433" t="inlineStr">
        <is>
          <t>{05-25-2026 ocm ran 22H}: Impacted by EST_045_Z_Kette (Power issue)</t>
        </is>
      </c>
      <c r="AP2433" t="inlineStr"/>
      <c r="AQ2433" t="inlineStr"/>
      <c r="AR2433" t="inlineStr"/>
    </row>
    <row r="2434">
      <c r="A2434" t="inlineStr">
        <is>
          <t>Eseka-Town-MTN-IHS</t>
        </is>
      </c>
      <c r="B2434" t="inlineStr">
        <is>
          <t>CTR_185</t>
        </is>
      </c>
      <c r="C2434" t="inlineStr">
        <is>
          <t>CENTRE</t>
        </is>
      </c>
      <c r="D2434" t="inlineStr">
        <is>
          <t>IHS</t>
        </is>
      </c>
      <c r="E2434" t="inlineStr">
        <is>
          <t>Grid-Gen</t>
        </is>
      </c>
      <c r="F2434" t="inlineStr">
        <is>
          <t>CENTRE</t>
        </is>
      </c>
      <c r="G2434" t="inlineStr">
        <is>
          <t>Eseka</t>
        </is>
      </c>
      <c r="H2434" t="inlineStr">
        <is>
          <t>ZTE</t>
        </is>
      </c>
      <c r="I2434" t="n">
        <v>0</v>
      </c>
      <c r="J2434" t="n">
        <v>0</v>
      </c>
      <c r="K2434" t="n">
        <v>0</v>
      </c>
      <c r="L2434" t="n">
        <v>0</v>
      </c>
      <c r="M2434" t="n">
        <v>0</v>
      </c>
      <c r="N2434" t="n">
        <v>0</v>
      </c>
      <c r="O2434" t="n">
        <v>0</v>
      </c>
      <c r="P2434" t="n">
        <v>0</v>
      </c>
      <c r="Q2434" t="n">
        <v>0</v>
      </c>
      <c r="R2434" t="inlineStr">
        <is>
          <t>EXCLU</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row>
    <row r="2435">
      <c r="A2435" t="inlineStr">
        <is>
          <t>Biyouha</t>
        </is>
      </c>
      <c r="B2435" t="inlineStr">
        <is>
          <t>CTR_855</t>
        </is>
      </c>
      <c r="C2435" t="inlineStr">
        <is>
          <t>CENTRE</t>
        </is>
      </c>
      <c r="D2435" t="inlineStr">
        <is>
          <t>CAMUSAT</t>
        </is>
      </c>
      <c r="E2435" t="inlineStr">
        <is>
          <t>HGB</t>
        </is>
      </c>
      <c r="F2435" t="inlineStr">
        <is>
          <t>CENTRE</t>
        </is>
      </c>
      <c r="G2435" t="inlineStr">
        <is>
          <t>Biyouha</t>
        </is>
      </c>
      <c r="H2435" t="inlineStr">
        <is>
          <t>ZTE</t>
        </is>
      </c>
      <c r="I2435" t="n">
        <v>0</v>
      </c>
      <c r="J2435" t="n">
        <v>0</v>
      </c>
      <c r="K2435" t="n">
        <v>0</v>
      </c>
      <c r="L2435" t="n">
        <v>0</v>
      </c>
      <c r="M2435" t="n">
        <v>0</v>
      </c>
      <c r="N2435" t="n">
        <v>0</v>
      </c>
      <c r="O2435" t="n">
        <v>0</v>
      </c>
      <c r="P2435" t="n">
        <v>0</v>
      </c>
      <c r="Q2435" t="n">
        <v>0</v>
      </c>
      <c r="R2435" t="inlineStr">
        <is>
          <t>EXCLU</t>
        </is>
      </c>
      <c r="S2435" t="inlineStr"/>
      <c r="T2435" t="inlineStr"/>
      <c r="U2435" t="inlineStr"/>
      <c r="V2435" t="inlineStr"/>
      <c r="W2435" t="inlineStr"/>
      <c r="X2435" t="inlineStr">
        <is>
          <t>{05-25-2026 ocm ran 22H}: Power status check Ongoing</t>
        </is>
      </c>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{05-25-2026 ocm ran 22H}: Power status check Ongoing</t>
        </is>
      </c>
      <c r="AP2435" t="inlineStr"/>
      <c r="AQ2435" t="inlineStr"/>
      <c r="AR2435" t="inlineStr"/>
    </row>
    <row r="2436">
      <c r="A2436" t="inlineStr">
        <is>
          <t>Ngoumou-I</t>
        </is>
      </c>
      <c r="B2436" t="inlineStr">
        <is>
          <t>CTR_577</t>
        </is>
      </c>
      <c r="C2436" t="inlineStr">
        <is>
          <t>CENTRE</t>
        </is>
      </c>
      <c r="D2436" t="inlineStr">
        <is>
          <t>CAMUSAT</t>
        </is>
      </c>
      <c r="E2436" t="inlineStr">
        <is>
          <t>Medium Grid + GE</t>
        </is>
      </c>
      <c r="F2436" t="inlineStr">
        <is>
          <t>CENTRE</t>
        </is>
      </c>
      <c r="G2436" t="inlineStr">
        <is>
          <t>Ngoumou</t>
        </is>
      </c>
      <c r="H2436" t="inlineStr">
        <is>
          <t>ZTE</t>
        </is>
      </c>
      <c r="I2436" t="n">
        <v>0</v>
      </c>
      <c r="J2436" t="n">
        <v>0</v>
      </c>
      <c r="K2436" t="n">
        <v>0</v>
      </c>
      <c r="L2436" t="n">
        <v>0</v>
      </c>
      <c r="M2436" t="n">
        <v>0</v>
      </c>
      <c r="N2436" t="n">
        <v>0</v>
      </c>
      <c r="O2436" t="n">
        <v>0</v>
      </c>
      <c r="P2436" t="n">
        <v>0</v>
      </c>
      <c r="Q2436" t="n">
        <v>0</v>
      </c>
      <c r="R2436" t="inlineStr">
        <is>
          <t>EXCLU</t>
        </is>
      </c>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row>
    <row r="2437">
      <c r="A2437" t="inlineStr">
        <is>
          <t>Zili-Nkoteng-IHS</t>
        </is>
      </c>
      <c r="B2437" t="inlineStr">
        <is>
          <t>CTR_910</t>
        </is>
      </c>
      <c r="C2437" t="inlineStr">
        <is>
          <t>CENTRE</t>
        </is>
      </c>
      <c r="D2437" t="inlineStr">
        <is>
          <t>IHS</t>
        </is>
      </c>
      <c r="E2437" t="inlineStr">
        <is>
          <t>Hybrid-Gen</t>
        </is>
      </c>
      <c r="F2437" t="inlineStr">
        <is>
          <t>CENTRE</t>
        </is>
      </c>
      <c r="G2437" t="inlineStr">
        <is>
          <t>Nkoteng</t>
        </is>
      </c>
      <c r="H2437" t="inlineStr">
        <is>
          <t>ZTE</t>
        </is>
      </c>
      <c r="I2437" t="n">
        <v>0</v>
      </c>
      <c r="J2437" t="n">
        <v>0</v>
      </c>
      <c r="K2437" t="n">
        <v>0</v>
      </c>
      <c r="L2437" t="n">
        <v>0</v>
      </c>
      <c r="M2437" t="n">
        <v>0</v>
      </c>
      <c r="N2437" t="n">
        <v>0</v>
      </c>
      <c r="O2437" t="n">
        <v>0</v>
      </c>
      <c r="P2437" t="n">
        <v>0</v>
      </c>
      <c r="Q2437" t="n">
        <v>0</v>
      </c>
      <c r="R2437" t="inlineStr">
        <is>
          <t>EXCLU</t>
        </is>
      </c>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row>
    <row r="2438">
      <c r="A2438" t="inlineStr">
        <is>
          <t>Bouam</t>
        </is>
      </c>
      <c r="B2438" t="inlineStr">
        <is>
          <t>EST_003</t>
        </is>
      </c>
      <c r="C2438" t="inlineStr">
        <is>
          <t>CENTRE</t>
        </is>
      </c>
      <c r="D2438" t="inlineStr">
        <is>
          <t>IHS</t>
        </is>
      </c>
      <c r="E2438" t="inlineStr">
        <is>
          <t>Grid-Gen</t>
        </is>
      </c>
      <c r="F2438" t="inlineStr">
        <is>
          <t>EST</t>
        </is>
      </c>
      <c r="G2438" t="inlineStr">
        <is>
          <t>Bouam</t>
        </is>
      </c>
      <c r="H2438" t="inlineStr">
        <is>
          <t>ZTE</t>
        </is>
      </c>
      <c r="I2438" t="n">
        <v>0</v>
      </c>
      <c r="J2438" t="n">
        <v>0</v>
      </c>
      <c r="K2438" t="n">
        <v>0</v>
      </c>
      <c r="L2438" t="n">
        <v>0</v>
      </c>
      <c r="M2438" t="n">
        <v>0</v>
      </c>
      <c r="N2438" t="n">
        <v>0</v>
      </c>
      <c r="O2438" t="n">
        <v>0</v>
      </c>
      <c r="P2438" t="n">
        <v>0</v>
      </c>
      <c r="Q2438" t="n">
        <v>0</v>
      </c>
      <c r="R2438" t="inlineStr">
        <is>
          <t>EXCLU</t>
        </is>
      </c>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row>
    <row r="2439">
      <c r="A2439" t="inlineStr">
        <is>
          <t>Akonolinga</t>
        </is>
      </c>
      <c r="B2439" t="inlineStr">
        <is>
          <t>CTR_057</t>
        </is>
      </c>
      <c r="C2439" t="inlineStr">
        <is>
          <t>CENTRE</t>
        </is>
      </c>
      <c r="D2439" t="inlineStr">
        <is>
          <t>CAMUSAT</t>
        </is>
      </c>
      <c r="E2439" t="inlineStr">
        <is>
          <t>Medium Grid + Solar + GE</t>
        </is>
      </c>
      <c r="F2439" t="inlineStr">
        <is>
          <t>CENTRE</t>
        </is>
      </c>
      <c r="G2439" t="inlineStr">
        <is>
          <t>Akonolinga</t>
        </is>
      </c>
      <c r="H2439" t="inlineStr">
        <is>
          <t>NOKIA</t>
        </is>
      </c>
      <c r="I2439" t="n">
        <v>0</v>
      </c>
      <c r="J2439" t="n">
        <v>0</v>
      </c>
      <c r="K2439" t="n">
        <v>0</v>
      </c>
      <c r="L2439" t="n">
        <v>0</v>
      </c>
      <c r="M2439" t="n">
        <v>0</v>
      </c>
      <c r="N2439" t="n">
        <v>0</v>
      </c>
      <c r="O2439" t="n">
        <v>0</v>
      </c>
      <c r="P2439" t="n">
        <v>0</v>
      </c>
      <c r="Q2439" t="n">
        <v>0</v>
      </c>
      <c r="R2439" t="inlineStr">
        <is>
          <t>EXCLU</t>
        </is>
      </c>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row>
    <row r="2440">
      <c r="A2440" t="inlineStr">
        <is>
          <t>Borongo-IHS</t>
        </is>
      </c>
      <c r="B2440" t="inlineStr">
        <is>
          <t>EST_154</t>
        </is>
      </c>
      <c r="C2440" t="inlineStr">
        <is>
          <t>CENTRE</t>
        </is>
      </c>
      <c r="D2440" t="inlineStr"/>
      <c r="E2440" t="inlineStr"/>
      <c r="F2440" t="inlineStr">
        <is>
          <t>EST</t>
        </is>
      </c>
      <c r="G2440" t="inlineStr">
        <is>
          <t xml:space="preserve">Nganha </t>
        </is>
      </c>
      <c r="H2440" t="inlineStr">
        <is>
          <t>ZTE</t>
        </is>
      </c>
      <c r="I2440" t="n">
        <v>0</v>
      </c>
      <c r="J2440" t="n">
        <v>0</v>
      </c>
      <c r="K2440" t="n">
        <v>0</v>
      </c>
      <c r="L2440" t="n">
        <v>0</v>
      </c>
      <c r="M2440" t="n">
        <v>0</v>
      </c>
      <c r="N2440" t="n">
        <v>0</v>
      </c>
      <c r="O2440" t="n">
        <v>0</v>
      </c>
      <c r="P2440" t="n">
        <v>0</v>
      </c>
      <c r="Q2440" t="n">
        <v>0</v>
      </c>
      <c r="R2440" t="inlineStr">
        <is>
          <t>EXCLU</t>
        </is>
      </c>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row>
    <row r="2441">
      <c r="A2441" t="inlineStr">
        <is>
          <t>Doume-MTN-IHS</t>
        </is>
      </c>
      <c r="B2441" t="inlineStr">
        <is>
          <t>EST_092</t>
        </is>
      </c>
      <c r="C2441" t="inlineStr">
        <is>
          <t>CENTRE</t>
        </is>
      </c>
      <c r="D2441" t="inlineStr">
        <is>
          <t>IHS</t>
        </is>
      </c>
      <c r="E2441" t="inlineStr">
        <is>
          <t>Grid-Gen</t>
        </is>
      </c>
      <c r="F2441" t="inlineStr">
        <is>
          <t>EST</t>
        </is>
      </c>
      <c r="G2441" t="inlineStr">
        <is>
          <t>Doume</t>
        </is>
      </c>
      <c r="H2441" t="inlineStr">
        <is>
          <t>ZTE</t>
        </is>
      </c>
      <c r="I2441" t="n">
        <v>0</v>
      </c>
      <c r="J2441" t="n">
        <v>0</v>
      </c>
      <c r="K2441" t="n">
        <v>0</v>
      </c>
      <c r="L2441" t="n">
        <v>0</v>
      </c>
      <c r="M2441" t="n">
        <v>0</v>
      </c>
      <c r="N2441" t="n">
        <v>0</v>
      </c>
      <c r="O2441" t="n">
        <v>0</v>
      </c>
      <c r="P2441" t="n">
        <v>0</v>
      </c>
      <c r="Q2441" t="n">
        <v>0</v>
      </c>
      <c r="R2441" t="inlineStr">
        <is>
          <t>EXCLU</t>
        </is>
      </c>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row>
    <row r="2442">
      <c r="A2442" t="inlineStr">
        <is>
          <t>Djoum-Caminex</t>
        </is>
      </c>
      <c r="B2442" t="inlineStr">
        <is>
          <t>SUD_252</t>
        </is>
      </c>
      <c r="C2442" t="inlineStr">
        <is>
          <t>CENTRE</t>
        </is>
      </c>
      <c r="D2442" t="inlineStr">
        <is>
          <t>IHS</t>
        </is>
      </c>
      <c r="E2442" t="inlineStr">
        <is>
          <t>Gen-Lithium</t>
        </is>
      </c>
      <c r="F2442" t="inlineStr">
        <is>
          <t>SUD</t>
        </is>
      </c>
      <c r="G2442" t="inlineStr">
        <is>
          <t>Djoum</t>
        </is>
      </c>
      <c r="H2442" t="inlineStr">
        <is>
          <t>ZTE</t>
        </is>
      </c>
      <c r="I2442" t="n">
        <v>0</v>
      </c>
      <c r="J2442" t="n">
        <v>0</v>
      </c>
      <c r="K2442" t="n">
        <v>0</v>
      </c>
      <c r="L2442" t="n">
        <v>0</v>
      </c>
      <c r="M2442" t="n">
        <v>0</v>
      </c>
      <c r="N2442" t="n">
        <v>0</v>
      </c>
      <c r="O2442" t="n">
        <v>0</v>
      </c>
      <c r="P2442" t="n">
        <v>0</v>
      </c>
      <c r="Q2442" t="n">
        <v>0</v>
      </c>
      <c r="R2442" t="inlineStr">
        <is>
          <t>EXCLU</t>
        </is>
      </c>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row>
    <row r="2443">
      <c r="A2443" t="inlineStr">
        <is>
          <t>Minisite-Soa</t>
        </is>
      </c>
      <c r="B2443" t="inlineStr">
        <is>
          <t>CTR_689</t>
        </is>
      </c>
      <c r="C2443" t="inlineStr">
        <is>
          <t>Yaounde</t>
        </is>
      </c>
      <c r="D2443" t="inlineStr">
        <is>
          <t>CAMUSAT</t>
        </is>
      </c>
      <c r="E2443" t="inlineStr">
        <is>
          <t>Good Grid no GE - 8h</t>
        </is>
      </c>
      <c r="F2443" t="inlineStr">
        <is>
          <t>CENTRE</t>
        </is>
      </c>
      <c r="G2443" t="inlineStr">
        <is>
          <t>Yaounde</t>
        </is>
      </c>
      <c r="H2443" t="inlineStr">
        <is>
          <t>NOKIA</t>
        </is>
      </c>
      <c r="I2443" t="n">
        <v>0</v>
      </c>
      <c r="J2443" t="n">
        <v>0</v>
      </c>
      <c r="K2443" t="n">
        <v>0</v>
      </c>
      <c r="L2443" t="n">
        <v>0</v>
      </c>
      <c r="M2443" t="n">
        <v>0</v>
      </c>
      <c r="N2443" t="n">
        <v>0</v>
      </c>
      <c r="O2443" t="n">
        <v>0</v>
      </c>
      <c r="P2443" t="n">
        <v>0</v>
      </c>
      <c r="Q2443" t="n">
        <v>0</v>
      </c>
      <c r="R2443" t="inlineStr">
        <is>
          <t>EXCLU</t>
        </is>
      </c>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row>
    <row r="2444">
      <c r="A2444" t="inlineStr">
        <is>
          <t>Ndemba</t>
        </is>
      </c>
      <c r="B2444" t="inlineStr">
        <is>
          <t>EST_075</t>
        </is>
      </c>
      <c r="C2444" t="inlineStr">
        <is>
          <t>CENTRE</t>
        </is>
      </c>
      <c r="D2444" t="inlineStr">
        <is>
          <t>IHS</t>
        </is>
      </c>
      <c r="E2444" t="inlineStr">
        <is>
          <t>Grid-Gen</t>
        </is>
      </c>
      <c r="F2444" t="inlineStr">
        <is>
          <t>EST</t>
        </is>
      </c>
      <c r="G2444" t="inlineStr">
        <is>
          <t>Ndemba</t>
        </is>
      </c>
      <c r="H2444" t="inlineStr">
        <is>
          <t>ZTE</t>
        </is>
      </c>
      <c r="I2444" t="n">
        <v>0</v>
      </c>
      <c r="J2444" t="n">
        <v>0</v>
      </c>
      <c r="K2444" t="n">
        <v>0</v>
      </c>
      <c r="L2444" t="n">
        <v>0</v>
      </c>
      <c r="M2444" t="n">
        <v>0</v>
      </c>
      <c r="N2444" t="n">
        <v>0</v>
      </c>
      <c r="O2444" t="n">
        <v>0</v>
      </c>
      <c r="P2444" t="n">
        <v>0</v>
      </c>
      <c r="Q2444" t="n">
        <v>0</v>
      </c>
      <c r="R2444" t="inlineStr">
        <is>
          <t>EXCLU</t>
        </is>
      </c>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row>
    <row r="2445">
      <c r="A2445" t="inlineStr">
        <is>
          <t>Afanoya-MTN-IHS</t>
        </is>
      </c>
      <c r="B2445" t="inlineStr">
        <is>
          <t>CTR_463</t>
        </is>
      </c>
      <c r="C2445" t="inlineStr">
        <is>
          <t>CENTRE</t>
        </is>
      </c>
      <c r="D2445" t="inlineStr">
        <is>
          <t>IHS</t>
        </is>
      </c>
      <c r="E2445" t="inlineStr">
        <is>
          <t>Grid-Gen</t>
        </is>
      </c>
      <c r="F2445" t="inlineStr">
        <is>
          <t>CENTRE</t>
        </is>
      </c>
      <c r="G2445" t="inlineStr">
        <is>
          <t>Afanoya</t>
        </is>
      </c>
      <c r="H2445" t="inlineStr">
        <is>
          <t>ZTE</t>
        </is>
      </c>
      <c r="I2445" t="n">
        <v>0</v>
      </c>
      <c r="J2445" t="n">
        <v>0</v>
      </c>
      <c r="K2445" t="n">
        <v>0</v>
      </c>
      <c r="L2445" t="n">
        <v>0</v>
      </c>
      <c r="M2445" t="n">
        <v>0</v>
      </c>
      <c r="N2445" t="n">
        <v>0</v>
      </c>
      <c r="O2445" t="n">
        <v>0</v>
      </c>
      <c r="P2445" t="n">
        <v>0</v>
      </c>
      <c r="Q2445" t="n">
        <v>0</v>
      </c>
      <c r="R2445" t="inlineStr">
        <is>
          <t>EXCLU</t>
        </is>
      </c>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row>
    <row r="2446">
      <c r="A2446" t="inlineStr">
        <is>
          <t>Mom</t>
        </is>
      </c>
      <c r="B2446" t="inlineStr">
        <is>
          <t>CTR_202</t>
        </is>
      </c>
      <c r="C2446" t="inlineStr">
        <is>
          <t>CENTRE</t>
        </is>
      </c>
      <c r="D2446" t="inlineStr">
        <is>
          <t>IHS</t>
        </is>
      </c>
      <c r="E2446" t="inlineStr">
        <is>
          <t>Grid-Gen</t>
        </is>
      </c>
      <c r="F2446" t="inlineStr">
        <is>
          <t>CENTRE</t>
        </is>
      </c>
      <c r="G2446" t="inlineStr">
        <is>
          <t>Mom</t>
        </is>
      </c>
      <c r="H2446" t="inlineStr">
        <is>
          <t>ZTE</t>
        </is>
      </c>
      <c r="I2446" t="n">
        <v>0</v>
      </c>
      <c r="J2446" t="n">
        <v>0</v>
      </c>
      <c r="K2446" t="n">
        <v>0</v>
      </c>
      <c r="L2446" t="n">
        <v>0</v>
      </c>
      <c r="M2446" t="n">
        <v>0</v>
      </c>
      <c r="N2446" t="n">
        <v>0</v>
      </c>
      <c r="O2446" t="n">
        <v>0</v>
      </c>
      <c r="P2446" t="n">
        <v>0</v>
      </c>
      <c r="Q2446" t="n">
        <v>0</v>
      </c>
      <c r="R2446" t="inlineStr">
        <is>
          <t>EXCLU</t>
        </is>
      </c>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row>
    <row r="2447">
      <c r="A2447" t="inlineStr">
        <is>
          <t>Bondjock</t>
        </is>
      </c>
      <c r="B2447" t="inlineStr">
        <is>
          <t>CTR_205</t>
        </is>
      </c>
      <c r="C2447" t="inlineStr">
        <is>
          <t>CENTRE</t>
        </is>
      </c>
      <c r="D2447" t="inlineStr">
        <is>
          <t>IHS</t>
        </is>
      </c>
      <c r="E2447" t="inlineStr">
        <is>
          <t>Grid-Gen</t>
        </is>
      </c>
      <c r="F2447" t="inlineStr">
        <is>
          <t>CENTRE</t>
        </is>
      </c>
      <c r="G2447" t="inlineStr">
        <is>
          <t>Bondjock</t>
        </is>
      </c>
      <c r="H2447" t="inlineStr">
        <is>
          <t>ZTE</t>
        </is>
      </c>
      <c r="I2447" t="n">
        <v>0</v>
      </c>
      <c r="J2447" t="n">
        <v>0</v>
      </c>
      <c r="K2447" t="n">
        <v>0</v>
      </c>
      <c r="L2447" t="n">
        <v>0</v>
      </c>
      <c r="M2447" t="n">
        <v>0</v>
      </c>
      <c r="N2447" t="n">
        <v>0</v>
      </c>
      <c r="O2447" t="n">
        <v>0</v>
      </c>
      <c r="P2447" t="n">
        <v>0</v>
      </c>
      <c r="Q2447" t="n">
        <v>0</v>
      </c>
      <c r="R2447" t="inlineStr">
        <is>
          <t>EXCLU</t>
        </is>
      </c>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row>
    <row r="2448">
      <c r="A2448" t="inlineStr">
        <is>
          <t>BTS-Mobile-Bachuo-Akagbe</t>
        </is>
      </c>
      <c r="B2448" t="inlineStr">
        <is>
          <t>SUO_168</t>
        </is>
      </c>
      <c r="C2448" t="inlineStr">
        <is>
          <t>SUD-OUEST</t>
        </is>
      </c>
      <c r="D2448" t="inlineStr"/>
      <c r="E2448" t="inlineStr"/>
      <c r="F2448" t="inlineStr">
        <is>
          <t>SUD-OUEST</t>
        </is>
      </c>
      <c r="G2448" t="inlineStr">
        <is>
          <t>Bachuo</t>
        </is>
      </c>
      <c r="H2448" t="inlineStr">
        <is>
          <t>NOKIA</t>
        </is>
      </c>
      <c r="I2448" t="n">
        <v>0</v>
      </c>
      <c r="J2448" t="n">
        <v>0</v>
      </c>
      <c r="K2448" t="n">
        <v>0</v>
      </c>
      <c r="L2448" t="n">
        <v>0</v>
      </c>
      <c r="M2448" t="n">
        <v>0</v>
      </c>
      <c r="N2448" t="n">
        <v>0</v>
      </c>
      <c r="O2448" t="n">
        <v>0</v>
      </c>
      <c r="P2448" t="n">
        <v>0</v>
      </c>
      <c r="Q2448" t="n">
        <v>0</v>
      </c>
      <c r="R2448" t="inlineStr">
        <is>
          <t>EXCLU</t>
        </is>
      </c>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row>
    <row r="2449">
      <c r="A2449" t="inlineStr">
        <is>
          <t>Otele</t>
        </is>
      </c>
      <c r="B2449" t="inlineStr">
        <is>
          <t>CTR_201</t>
        </is>
      </c>
      <c r="C2449" t="inlineStr">
        <is>
          <t>CENTRE</t>
        </is>
      </c>
      <c r="D2449" t="inlineStr">
        <is>
          <t>IHS</t>
        </is>
      </c>
      <c r="E2449" t="inlineStr">
        <is>
          <t>Grid-Gen</t>
        </is>
      </c>
      <c r="F2449" t="inlineStr">
        <is>
          <t>CENTRE</t>
        </is>
      </c>
      <c r="G2449" t="inlineStr">
        <is>
          <t>Otele</t>
        </is>
      </c>
      <c r="H2449" t="inlineStr">
        <is>
          <t>ZTE</t>
        </is>
      </c>
      <c r="I2449" t="n">
        <v>0</v>
      </c>
      <c r="J2449" t="n">
        <v>0</v>
      </c>
      <c r="K2449" t="n">
        <v>0</v>
      </c>
      <c r="L2449" t="n">
        <v>0</v>
      </c>
      <c r="M2449" t="n">
        <v>0</v>
      </c>
      <c r="N2449" t="n">
        <v>0</v>
      </c>
      <c r="O2449" t="n">
        <v>0</v>
      </c>
      <c r="P2449" t="n">
        <v>0</v>
      </c>
      <c r="Q2449" t="n">
        <v>0</v>
      </c>
      <c r="R2449" t="inlineStr">
        <is>
          <t>EXCLU</t>
        </is>
      </c>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row>
    <row r="2450">
      <c r="A2450" t="inlineStr">
        <is>
          <t>Carrefour-Mezzanine</t>
        </is>
      </c>
      <c r="B2450" t="inlineStr">
        <is>
          <t>LIT_734</t>
        </is>
      </c>
      <c r="C2450" t="inlineStr">
        <is>
          <t>Douala</t>
        </is>
      </c>
      <c r="D2450" t="inlineStr">
        <is>
          <t>OCM</t>
        </is>
      </c>
      <c r="E2450" t="inlineStr"/>
      <c r="F2450" t="inlineStr">
        <is>
          <t>LITTORAL</t>
        </is>
      </c>
      <c r="G2450" t="inlineStr">
        <is>
          <t>Douala</t>
        </is>
      </c>
      <c r="H2450" t="inlineStr">
        <is>
          <t>ZTE</t>
        </is>
      </c>
      <c r="I2450" t="n">
        <v>0</v>
      </c>
      <c r="J2450" t="n">
        <v>0</v>
      </c>
      <c r="K2450" t="n">
        <v>0</v>
      </c>
      <c r="L2450" t="n">
        <v>0</v>
      </c>
      <c r="M2450" t="n">
        <v>0</v>
      </c>
      <c r="N2450" t="n">
        <v>0</v>
      </c>
      <c r="O2450" t="n">
        <v>0</v>
      </c>
      <c r="P2450" t="n">
        <v>0</v>
      </c>
      <c r="Q2450" t="n">
        <v>0</v>
      </c>
      <c r="R2450" t="inlineStr">
        <is>
          <t>EXCLU</t>
        </is>
      </c>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row>
    <row r="2451">
      <c r="A2451" t="inlineStr">
        <is>
          <t>Doume</t>
        </is>
      </c>
      <c r="B2451" t="inlineStr">
        <is>
          <t>EST_020</t>
        </is>
      </c>
      <c r="C2451" t="inlineStr">
        <is>
          <t>CENTRE</t>
        </is>
      </c>
      <c r="D2451" t="inlineStr">
        <is>
          <t>IHS</t>
        </is>
      </c>
      <c r="E2451" t="inlineStr">
        <is>
          <t>Grid-Gen-Lithium</t>
        </is>
      </c>
      <c r="F2451" t="inlineStr">
        <is>
          <t>EST</t>
        </is>
      </c>
      <c r="G2451" t="inlineStr">
        <is>
          <t>Doume</t>
        </is>
      </c>
      <c r="H2451" t="inlineStr">
        <is>
          <t>ZTE</t>
        </is>
      </c>
      <c r="I2451" t="n">
        <v>0</v>
      </c>
      <c r="J2451" t="n">
        <v>0</v>
      </c>
      <c r="K2451" t="n">
        <v>0</v>
      </c>
      <c r="L2451" t="n">
        <v>0</v>
      </c>
      <c r="M2451" t="n">
        <v>0</v>
      </c>
      <c r="N2451" t="n">
        <v>0</v>
      </c>
      <c r="O2451" t="n">
        <v>0</v>
      </c>
      <c r="P2451" t="n">
        <v>0</v>
      </c>
      <c r="Q2451" t="n">
        <v>0</v>
      </c>
      <c r="R2451" t="inlineStr">
        <is>
          <t>EXCLU</t>
        </is>
      </c>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row>
    <row r="2452">
      <c r="A2452" t="inlineStr">
        <is>
          <t>Matomb</t>
        </is>
      </c>
      <c r="B2452" t="inlineStr">
        <is>
          <t>CTR_005</t>
        </is>
      </c>
      <c r="C2452" t="inlineStr">
        <is>
          <t>CENTRE</t>
        </is>
      </c>
      <c r="D2452" t="inlineStr">
        <is>
          <t>IHS</t>
        </is>
      </c>
      <c r="E2452" t="inlineStr">
        <is>
          <t>Grid-Gen</t>
        </is>
      </c>
      <c r="F2452" t="inlineStr">
        <is>
          <t>CENTRE</t>
        </is>
      </c>
      <c r="G2452" t="inlineStr">
        <is>
          <t>Matomb</t>
        </is>
      </c>
      <c r="H2452" t="inlineStr">
        <is>
          <t>ZTE</t>
        </is>
      </c>
      <c r="I2452" t="n">
        <v>0</v>
      </c>
      <c r="J2452" t="n">
        <v>0</v>
      </c>
      <c r="K2452" t="n">
        <v>0</v>
      </c>
      <c r="L2452" t="n">
        <v>0</v>
      </c>
      <c r="M2452" t="n">
        <v>0</v>
      </c>
      <c r="N2452" t="n">
        <v>0</v>
      </c>
      <c r="O2452" t="n">
        <v>0</v>
      </c>
      <c r="P2452" t="n">
        <v>0</v>
      </c>
      <c r="Q2452" t="n">
        <v>0</v>
      </c>
      <c r="R2452" t="inlineStr">
        <is>
          <t>EXCLU</t>
        </is>
      </c>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row>
    <row r="2453">
      <c r="A2453" t="inlineStr">
        <is>
          <t>Mbakwa-Supe-MTN</t>
        </is>
      </c>
      <c r="B2453" t="inlineStr">
        <is>
          <t>SUO_049</t>
        </is>
      </c>
      <c r="C2453" t="inlineStr">
        <is>
          <t>SUD-OUEST</t>
        </is>
      </c>
      <c r="D2453" t="inlineStr">
        <is>
          <t>IHS</t>
        </is>
      </c>
      <c r="E2453" t="inlineStr">
        <is>
          <t>Vandalized</t>
        </is>
      </c>
      <c r="F2453" t="inlineStr">
        <is>
          <t>SUD-OUEST</t>
        </is>
      </c>
      <c r="G2453" t="inlineStr">
        <is>
          <t>Mbakwa</t>
        </is>
      </c>
      <c r="H2453" t="inlineStr">
        <is>
          <t>Huawei</t>
        </is>
      </c>
      <c r="I2453" t="n">
        <v>0</v>
      </c>
      <c r="J2453" t="n">
        <v>0</v>
      </c>
      <c r="K2453" t="n">
        <v>0</v>
      </c>
      <c r="L2453" t="n">
        <v>0</v>
      </c>
      <c r="M2453" t="n">
        <v>0</v>
      </c>
      <c r="N2453" t="n">
        <v>0</v>
      </c>
      <c r="O2453" t="n">
        <v>0</v>
      </c>
      <c r="P2453" t="n">
        <v>0</v>
      </c>
      <c r="Q2453" t="n">
        <v>0</v>
      </c>
      <c r="R2453" t="inlineStr">
        <is>
          <t>EXCLU</t>
        </is>
      </c>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row>
    <row r="2454">
      <c r="A2454" t="inlineStr">
        <is>
          <t>Boumnyebel</t>
        </is>
      </c>
      <c r="B2454" t="inlineStr">
        <is>
          <t>CTR_058</t>
        </is>
      </c>
      <c r="C2454" t="inlineStr">
        <is>
          <t>CENTRE</t>
        </is>
      </c>
      <c r="D2454" t="inlineStr">
        <is>
          <t>IHS</t>
        </is>
      </c>
      <c r="E2454" t="inlineStr">
        <is>
          <t>Grid-Gen</t>
        </is>
      </c>
      <c r="F2454" t="inlineStr">
        <is>
          <t>CENTRE</t>
        </is>
      </c>
      <c r="G2454" t="inlineStr">
        <is>
          <t>Boumnyebel</t>
        </is>
      </c>
      <c r="H2454" t="inlineStr">
        <is>
          <t>ZTE</t>
        </is>
      </c>
      <c r="I2454" t="n">
        <v>0</v>
      </c>
      <c r="J2454" t="n">
        <v>0</v>
      </c>
      <c r="K2454" t="n">
        <v>0</v>
      </c>
      <c r="L2454" t="n">
        <v>0</v>
      </c>
      <c r="M2454" t="n">
        <v>0</v>
      </c>
      <c r="N2454" t="n">
        <v>0</v>
      </c>
      <c r="O2454" t="n">
        <v>0</v>
      </c>
      <c r="P2454" t="n">
        <v>0</v>
      </c>
      <c r="Q2454" t="n">
        <v>0</v>
      </c>
      <c r="R2454" t="inlineStr">
        <is>
          <t>EXCLU</t>
        </is>
      </c>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row>
    <row r="2455">
      <c r="A2455" t="inlineStr">
        <is>
          <t>Loum-Camtel</t>
        </is>
      </c>
      <c r="B2455" t="inlineStr">
        <is>
          <t>LIT_086</t>
        </is>
      </c>
      <c r="C2455" t="inlineStr">
        <is>
          <t>LITTORAL</t>
        </is>
      </c>
      <c r="D2455" t="inlineStr">
        <is>
          <t>CAMUSAT</t>
        </is>
      </c>
      <c r="E2455" t="inlineStr">
        <is>
          <t>Medium Grid + Solar + GE</t>
        </is>
      </c>
      <c r="F2455" t="inlineStr">
        <is>
          <t>LITTORAL</t>
        </is>
      </c>
      <c r="G2455" t="inlineStr">
        <is>
          <t>Loum</t>
        </is>
      </c>
      <c r="H2455" t="inlineStr">
        <is>
          <t>ZTE</t>
        </is>
      </c>
      <c r="I2455" t="n">
        <v>0</v>
      </c>
      <c r="J2455" t="n">
        <v>0</v>
      </c>
      <c r="K2455" t="n">
        <v>0</v>
      </c>
      <c r="L2455" t="n">
        <v>0</v>
      </c>
      <c r="M2455" t="n">
        <v>0</v>
      </c>
      <c r="N2455" t="n">
        <v>0</v>
      </c>
      <c r="O2455" t="n">
        <v>0</v>
      </c>
      <c r="P2455" t="n">
        <v>0</v>
      </c>
      <c r="Q2455" t="n">
        <v>0</v>
      </c>
      <c r="R2455" t="inlineStr">
        <is>
          <t>EXCLU</t>
        </is>
      </c>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row>
    <row r="2456">
      <c r="A2456" t="inlineStr">
        <is>
          <t>H-ville</t>
        </is>
      </c>
      <c r="B2456" t="inlineStr">
        <is>
          <t>CTR_077</t>
        </is>
      </c>
      <c r="C2456" t="inlineStr">
        <is>
          <t>Yaounde</t>
        </is>
      </c>
      <c r="D2456" t="inlineStr">
        <is>
          <t>IHS</t>
        </is>
      </c>
      <c r="E2456" t="inlineStr">
        <is>
          <t>Grid Only</t>
        </is>
      </c>
      <c r="F2456" t="inlineStr">
        <is>
          <t>CENTRE</t>
        </is>
      </c>
      <c r="G2456" t="inlineStr">
        <is>
          <t>Yaounde</t>
        </is>
      </c>
      <c r="H2456" t="inlineStr">
        <is>
          <t>NOKIA</t>
        </is>
      </c>
      <c r="I2456" t="n">
        <v>0</v>
      </c>
      <c r="J2456" t="n">
        <v>0</v>
      </c>
      <c r="K2456" t="n">
        <v>0</v>
      </c>
      <c r="L2456" t="n">
        <v>0</v>
      </c>
      <c r="M2456" t="n">
        <v>0</v>
      </c>
      <c r="N2456" t="n">
        <v>0</v>
      </c>
      <c r="O2456" t="n">
        <v>0</v>
      </c>
      <c r="P2456" t="n">
        <v>0</v>
      </c>
      <c r="Q2456" t="n">
        <v>0</v>
      </c>
      <c r="R2456" t="inlineStr">
        <is>
          <t>EXCLU</t>
        </is>
      </c>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row>
    <row r="2457">
      <c r="A2457" t="inlineStr">
        <is>
          <t>Kotto-Logpom</t>
        </is>
      </c>
      <c r="B2457" t="inlineStr">
        <is>
          <t>LIT_612</t>
        </is>
      </c>
      <c r="C2457" t="inlineStr">
        <is>
          <t>Douala</t>
        </is>
      </c>
      <c r="D2457" t="inlineStr">
        <is>
          <t>CAMUSAT</t>
        </is>
      </c>
      <c r="E2457" t="inlineStr">
        <is>
          <t>Good Grid no GE - 8h</t>
        </is>
      </c>
      <c r="F2457" t="inlineStr">
        <is>
          <t>LITTORAL</t>
        </is>
      </c>
      <c r="G2457" t="inlineStr">
        <is>
          <t>Douala</t>
        </is>
      </c>
      <c r="H2457" t="inlineStr">
        <is>
          <t>ZTE</t>
        </is>
      </c>
      <c r="I2457" t="n">
        <v>0</v>
      </c>
      <c r="J2457" t="n">
        <v>0</v>
      </c>
      <c r="K2457" t="n">
        <v>0</v>
      </c>
      <c r="L2457" t="n">
        <v>0</v>
      </c>
      <c r="M2457" t="n">
        <v>0</v>
      </c>
      <c r="N2457" t="n">
        <v>0</v>
      </c>
      <c r="O2457" t="n">
        <v>0</v>
      </c>
      <c r="P2457" t="n">
        <v>0</v>
      </c>
      <c r="Q2457" t="n">
        <v>0</v>
      </c>
      <c r="R2457" t="inlineStr">
        <is>
          <t>EXCLU</t>
        </is>
      </c>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is>
          <t>SUO_190</t>
        </is>
      </c>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topLeftCell="A14" zoomScale="55" zoomScaleNormal="55" workbookViewId="0">
      <selection activeCell="F20" sqref="F20"/>
    </sheetView>
  </sheetViews>
  <sheetFormatPr baseColWidth="8" defaultRowHeight="14.4"/>
  <cols>
    <col width="15.44140625" bestFit="1" customWidth="1" style="53" min="1" max="1"/>
    <col width="19.44140625" bestFit="1" customWidth="1" style="53" min="2" max="2"/>
    <col width="31.6640625" bestFit="1" customWidth="1" style="53" min="3" max="3"/>
    <col width="3.77734375" customWidth="1" style="53" min="4" max="4"/>
    <col width="18.6640625" bestFit="1" customWidth="1" style="53" min="5" max="5"/>
    <col width="19.44140625" bestFit="1" customWidth="1" style="53" min="6" max="6"/>
    <col width="4.88671875" customWidth="1" style="53" min="7" max="7"/>
    <col width="24.77734375" customWidth="1" style="53" min="8" max="8"/>
    <col width="19.44140625" bestFit="1" customWidth="1" style="53" min="9" max="9"/>
    <col width="31.6640625" bestFit="1" customWidth="1" style="53" min="10" max="10"/>
    <col width="18.44140625" bestFit="1" customWidth="1" style="53" min="11" max="23"/>
    <col width="10.33203125" bestFit="1" customWidth="1" style="53" min="24" max="24"/>
  </cols>
  <sheetData>
    <row r="1" ht="16.05" customHeight="1" s="53">
      <c r="A1" s="26" t="n"/>
      <c r="B1" s="26" t="n"/>
      <c r="C1" s="26" t="n"/>
      <c r="D1" s="26" t="n"/>
      <c r="E1" s="26" t="n"/>
      <c r="F1" s="26" t="n"/>
      <c r="G1" s="26" t="n"/>
      <c r="H1" s="26" t="n"/>
      <c r="I1" s="34" t="inlineStr">
        <is>
          <t>oprationnel</t>
        </is>
      </c>
      <c r="J1" s="26" t="inlineStr">
        <is>
          <t>Operationnel</t>
        </is>
      </c>
    </row>
    <row r="2" ht="16.05" customHeight="1" s="53">
      <c r="A2" s="26" t="n"/>
      <c r="B2" s="26" t="n"/>
      <c r="C2" s="26" t="n"/>
      <c r="D2" s="26" t="n"/>
      <c r="E2" s="26" t="n"/>
      <c r="F2" s="26" t="n"/>
      <c r="G2" s="26" t="n"/>
      <c r="H2" s="26" t="n"/>
      <c r="I2" s="26" t="n"/>
      <c r="J2" s="26" t="n"/>
    </row>
    <row r="3" ht="16.05" customHeight="1" s="53">
      <c r="B3" s="26" t="n"/>
      <c r="C3" s="26" t="n"/>
      <c r="D3" s="26" t="n"/>
      <c r="E3" s="26" t="n"/>
      <c r="F3" s="34" t="inlineStr">
        <is>
          <t>oprationnel</t>
        </is>
      </c>
      <c r="G3" s="26" t="inlineStr">
        <is>
          <t>Operationnel</t>
        </is>
      </c>
      <c r="H3" s="26" t="n"/>
      <c r="I3" s="34" t="inlineStr">
        <is>
          <t>Row Labels</t>
        </is>
      </c>
      <c r="J3" s="26" t="inlineStr">
        <is>
          <t>Sum of NUR  DU JOUR 05/25/2026</t>
        </is>
      </c>
    </row>
    <row r="4" ht="16.05" customHeight="1" s="53">
      <c r="B4" s="26" t="n"/>
      <c r="C4" s="26" t="n"/>
      <c r="D4" s="26" t="n"/>
      <c r="E4" s="26" t="n"/>
      <c r="F4" s="26" t="n"/>
      <c r="G4" s="26" t="n"/>
      <c r="H4" s="26" t="n"/>
      <c r="I4" s="26" t="inlineStr">
        <is>
          <t>ACCESS-ISSUE</t>
        </is>
      </c>
      <c r="J4" s="26" t="n">
        <v>0</v>
      </c>
    </row>
    <row r="5" ht="16.05" customHeight="1" s="53">
      <c r="B5" s="34" t="inlineStr">
        <is>
          <t>oprationnel</t>
        </is>
      </c>
      <c r="C5" s="26" t="inlineStr">
        <is>
          <t>Operationnel</t>
        </is>
      </c>
      <c r="D5" s="26" t="n"/>
      <c r="E5" s="26" t="n"/>
      <c r="F5" s="34" t="inlineStr">
        <is>
          <t>Row Labels</t>
        </is>
      </c>
      <c r="G5" s="26" t="inlineStr">
        <is>
          <t>Sum of NUR  DU JOUR 05/25/2026</t>
        </is>
      </c>
      <c r="H5" s="26" t="n"/>
      <c r="I5" s="26" t="inlineStr">
        <is>
          <t>AKTIVCO</t>
        </is>
      </c>
      <c r="J5" s="26" t="n">
        <v>311.2669251138479</v>
      </c>
    </row>
    <row r="6" ht="16.05" customHeight="1" s="53">
      <c r="B6" s="26" t="n"/>
      <c r="C6" s="26" t="n"/>
      <c r="D6" s="26" t="n"/>
      <c r="E6" s="26" t="n"/>
      <c r="F6" s="26" t="inlineStr">
        <is>
          <t>ACCESS-ISSUE</t>
        </is>
      </c>
      <c r="G6" s="26" t="n">
        <v>0</v>
      </c>
      <c r="H6" s="26" t="n"/>
      <c r="I6" s="26" t="inlineStr">
        <is>
          <t>AKTIVCO GRID ONLY</t>
        </is>
      </c>
      <c r="J6" s="26" t="n">
        <v>310.9280161971048</v>
      </c>
    </row>
    <row r="7" ht="16.05" customHeight="1" s="53">
      <c r="B7" s="34" t="inlineStr">
        <is>
          <t>Row Labels</t>
        </is>
      </c>
      <c r="C7" s="26" t="inlineStr">
        <is>
          <t>Sum of NUR  DU JOUR 05/25/2026</t>
        </is>
      </c>
      <c r="D7" s="26" t="n"/>
      <c r="E7" s="26" t="n"/>
      <c r="F7" s="26" t="inlineStr">
        <is>
          <t>ENVTECH</t>
        </is>
      </c>
      <c r="G7" s="26" t="n">
        <v>62.27328048442926</v>
      </c>
      <c r="H7" s="26" t="n"/>
      <c r="I7" s="26" t="inlineStr">
        <is>
          <t>BSS</t>
        </is>
      </c>
      <c r="J7" s="26" t="n">
        <v>68.15318823087473</v>
      </c>
    </row>
    <row r="8" ht="16.05" customHeight="1" s="53">
      <c r="B8" s="26" t="inlineStr">
        <is>
          <t>ACCESS-ISSUE</t>
        </is>
      </c>
      <c r="C8" s="26" t="n">
        <v>0</v>
      </c>
      <c r="D8" s="26" t="n"/>
      <c r="E8" s="26" t="n"/>
      <c r="F8" s="26" t="inlineStr">
        <is>
          <t>No root cause</t>
        </is>
      </c>
      <c r="G8" s="26" t="n">
        <v>519.7176940910568</v>
      </c>
      <c r="H8" s="26" t="n"/>
      <c r="I8" s="26" t="inlineStr">
        <is>
          <t>ENVTECH</t>
        </is>
      </c>
      <c r="J8" s="26" t="n">
        <v>62.27328048442926</v>
      </c>
    </row>
    <row r="9" ht="16.05" customHeight="1" s="53">
      <c r="B9" s="26" t="inlineStr">
        <is>
          <t>ACTIVE</t>
        </is>
      </c>
      <c r="C9" s="26" t="n">
        <v>721.9979512134471</v>
      </c>
      <c r="D9" s="26" t="n"/>
      <c r="E9" s="26" t="n"/>
      <c r="F9" s="26" t="inlineStr">
        <is>
          <t>POWER ISSUE</t>
        </is>
      </c>
      <c r="G9" s="26" t="n">
        <v>2165.592406972248</v>
      </c>
      <c r="H9" s="26" t="n"/>
      <c r="I9" s="26" t="inlineStr">
        <is>
          <t>Fiber AOF</t>
        </is>
      </c>
      <c r="J9" s="26" t="n">
        <v>58.06983788627213</v>
      </c>
    </row>
    <row r="10" ht="16.05" customHeight="1" s="53">
      <c r="B10" s="26" t="inlineStr">
        <is>
          <t>No root cause</t>
        </is>
      </c>
      <c r="C10" s="26" t="n">
        <v>519.7176940910568</v>
      </c>
      <c r="D10" s="26" t="n"/>
      <c r="E10" s="26" t="n"/>
      <c r="F10" s="26" t="inlineStr">
        <is>
          <t>RAN ISSUE</t>
        </is>
      </c>
      <c r="G10" s="26" t="n">
        <v>68.15318823087473</v>
      </c>
      <c r="H10" s="26" t="n"/>
      <c r="I10" s="26" t="inlineStr">
        <is>
          <t>IHS</t>
        </is>
      </c>
      <c r="J10" s="26" t="n">
        <v>1244.974692977219</v>
      </c>
    </row>
    <row r="11" ht="16.05" customHeight="1" s="53">
      <c r="B11" s="26" t="inlineStr">
        <is>
          <t>PASSIVE</t>
        </is>
      </c>
      <c r="C11" s="26" t="n">
        <v>2227.865687456678</v>
      </c>
      <c r="D11" s="26" t="n"/>
      <c r="E11" s="26" t="n"/>
      <c r="F11" s="26" t="inlineStr">
        <is>
          <t>SPARE-ISSUE</t>
        </is>
      </c>
      <c r="G11" s="26" t="n">
        <v>193.7222037594631</v>
      </c>
      <c r="H11" s="26" t="n"/>
      <c r="I11" s="26" t="inlineStr">
        <is>
          <t>IHS GRID ONLY</t>
        </is>
      </c>
      <c r="J11" s="26" t="n">
        <v>230.9399549985304</v>
      </c>
    </row>
    <row r="12" ht="16.05" customHeight="1" s="53">
      <c r="A12" s="26" t="n"/>
      <c r="B12" s="26" t="inlineStr">
        <is>
          <t>PLANNED WORKS</t>
        </is>
      </c>
      <c r="C12" s="26" t="n">
        <v>69.45609953255708</v>
      </c>
      <c r="D12" s="26" t="n"/>
      <c r="E12" s="26" t="n"/>
      <c r="F12" s="26" t="inlineStr">
        <is>
          <t>TX ISSUE</t>
        </is>
      </c>
      <c r="G12" s="26" t="n">
        <v>653.8447629825722</v>
      </c>
      <c r="H12" s="26" t="n"/>
      <c r="I12" s="26" t="inlineStr">
        <is>
          <t>No root cause</t>
        </is>
      </c>
      <c r="J12" s="26" t="n">
        <v>519.7176940910568</v>
      </c>
    </row>
    <row r="13" ht="16.05" customHeight="1" s="53">
      <c r="A13" s="26" t="n"/>
      <c r="B13" s="26" t="inlineStr">
        <is>
          <t>SPARE-ISSUE</t>
        </is>
      </c>
      <c r="C13" s="26" t="n">
        <v>193.7222037594631</v>
      </c>
      <c r="D13" s="26" t="n"/>
      <c r="E13" s="26" t="n"/>
      <c r="F13" s="26" t="inlineStr">
        <is>
          <t>TRAVAUX-HUAWEI</t>
        </is>
      </c>
      <c r="G13" s="26" t="n">
        <v>69.45609953255708</v>
      </c>
      <c r="H13" s="26" t="n"/>
      <c r="I13" s="26" t="inlineStr">
        <is>
          <t>Partners</t>
        </is>
      </c>
      <c r="J13" s="26" t="n">
        <v>67.48281768554902</v>
      </c>
    </row>
    <row r="14" ht="16.05" customHeight="1" s="53">
      <c r="A14" s="26" t="n"/>
      <c r="B14" s="26" t="inlineStr">
        <is>
          <t>Grand Total</t>
        </is>
      </c>
      <c r="C14" s="26" t="n">
        <v>3732.759636053202</v>
      </c>
      <c r="D14" s="26" t="n"/>
      <c r="E14" s="26" t="n"/>
      <c r="F14" s="26" t="inlineStr">
        <is>
          <t>Grand Total</t>
        </is>
      </c>
      <c r="G14" s="26" t="n">
        <v>3732.759636053201</v>
      </c>
      <c r="H14" s="26" t="n"/>
      <c r="I14" s="26" t="inlineStr">
        <is>
          <t>PDH</t>
        </is>
      </c>
      <c r="J14" s="26" t="n">
        <v>572.8062496968032</v>
      </c>
    </row>
    <row r="15" ht="16.05" customHeight="1" s="53">
      <c r="A15" s="26" t="n"/>
      <c r="D15" s="26" t="n"/>
      <c r="E15" s="26" t="n"/>
      <c r="H15" s="26" t="n"/>
      <c r="I15" s="26" t="inlineStr">
        <is>
          <t>SPARE-ISSUE</t>
        </is>
      </c>
      <c r="J15" s="26" t="n">
        <v>193.7222037594631</v>
      </c>
    </row>
    <row r="16" ht="16.05" customHeight="1" s="53">
      <c r="A16" s="28" t="n"/>
      <c r="B16" s="26" t="n"/>
      <c r="C16" s="26" t="n"/>
      <c r="D16" s="26" t="n"/>
      <c r="E16" s="26" t="n"/>
      <c r="H16" s="26" t="n"/>
      <c r="I16" s="26" t="inlineStr">
        <is>
          <t>TRAVAUX-HUAWEI</t>
        </is>
      </c>
      <c r="J16" s="26" t="n">
        <v>69.45609953255708</v>
      </c>
    </row>
    <row r="17" ht="16.05" customHeight="1" s="53">
      <c r="A17" s="26" t="n"/>
      <c r="B17" s="26" t="n"/>
      <c r="C17" s="26" t="n"/>
      <c r="D17" s="26" t="n"/>
      <c r="E17" s="26" t="n"/>
      <c r="F17" s="26" t="n"/>
      <c r="G17" s="26" t="n"/>
      <c r="H17" s="26" t="n"/>
      <c r="I17" s="26" t="inlineStr">
        <is>
          <t>SAT</t>
        </is>
      </c>
      <c r="J17" s="26" t="n">
        <v>22.96867539949697</v>
      </c>
    </row>
    <row r="18" ht="16.05" customHeight="1" s="53">
      <c r="I18" s="26" t="inlineStr">
        <is>
          <t>Grand Total</t>
        </is>
      </c>
      <c r="J18" s="26" t="n">
        <v>3732.759636053204</v>
      </c>
    </row>
    <row r="19" ht="16.05" customHeight="1" s="53"/>
    <row r="20" ht="16.05" customHeight="1" s="53"/>
    <row r="22">
      <c r="E22" s="32" t="n"/>
    </row>
    <row r="23">
      <c r="E23" s="32" t="n"/>
      <c r="F23" s="32" t="n"/>
      <c r="G23" s="32" t="n"/>
    </row>
    <row r="24">
      <c r="G24" s="17" t="n"/>
      <c r="H24" s="17" t="n"/>
    </row>
    <row r="25" ht="16.05" customHeight="1" s="53">
      <c r="B25" s="23" t="n"/>
      <c r="C25" s="23" t="n"/>
      <c r="D25" s="25" t="n"/>
      <c r="E25" s="27" t="n"/>
      <c r="F25" s="30" t="inlineStr">
        <is>
          <t xml:space="preserve">  NUR DAILY RECAP - NUR 3733</t>
        </is>
      </c>
      <c r="G25" s="23" t="n"/>
      <c r="H25" s="24" t="n"/>
      <c r="I25" s="24" t="n"/>
    </row>
    <row r="26" ht="15.45" customHeight="1" s="53">
      <c r="A26" s="28" t="n"/>
      <c r="B26" s="40" t="inlineStr">
        <is>
          <t>RCA</t>
        </is>
      </c>
      <c r="C26" s="41" t="inlineStr">
        <is>
          <t>NUR</t>
        </is>
      </c>
      <c r="D26" s="18" t="n"/>
      <c r="E26" s="35" t="inlineStr">
        <is>
          <t>RCA</t>
        </is>
      </c>
      <c r="F26" s="35" t="inlineStr">
        <is>
          <t>NUR</t>
        </is>
      </c>
      <c r="G26" s="18" t="n"/>
      <c r="H26" s="19" t="inlineStr">
        <is>
          <t>RCA</t>
        </is>
      </c>
      <c r="I26" s="19" t="inlineStr">
        <is>
          <t>NUR</t>
        </is>
      </c>
    </row>
    <row r="27" ht="15.45" customHeight="1" s="53">
      <c r="A27" s="28" t="n"/>
      <c r="B27" s="36" t="inlineStr">
        <is>
          <t>ACCESS-ISSUE</t>
        </is>
      </c>
      <c r="C27" s="42">
        <f>GETPIVOTDATA("NUR  DU JOUR 05/25/2026",$B$7,"CATEGORIE","ACCESS-ISSUE")</f>
        <v/>
      </c>
      <c r="D27" s="21" t="n"/>
      <c r="E27" s="36" t="inlineStr">
        <is>
          <t>ACCESS-ISSUE</t>
        </is>
      </c>
      <c r="F27" s="36">
        <f>GETPIVOTDATA("NUR  DU JOUR 05/25/2026",$F$5,"CAUSE","ACCESS-ISSUE")</f>
        <v/>
      </c>
      <c r="G27" s="21" t="n"/>
      <c r="H27" s="20" t="inlineStr">
        <is>
          <t>ACCESS-ISSUE</t>
        </is>
      </c>
      <c r="I27" s="20">
        <f>GETPIVOTDATA("NUR  DU JOUR 05/25/2026",$I$3,"OCM NOMENCLATURE","ACCESS-ISSUE")</f>
        <v/>
      </c>
    </row>
    <row r="28" ht="15.45" customHeight="1" s="53">
      <c r="A28" s="28" t="n"/>
      <c r="B28" s="36" t="inlineStr">
        <is>
          <t>ACTIVE</t>
        </is>
      </c>
      <c r="C28" s="42">
        <f>GETPIVOTDATA("NUR  DU JOUR 05/25/2026",$B$7,"CATEGORIE","ACTIVE")</f>
        <v/>
      </c>
      <c r="D28" s="21" t="n"/>
      <c r="E28" s="36" t="inlineStr">
        <is>
          <t>ENV TCH OCM</t>
        </is>
      </c>
      <c r="F28" s="36">
        <f>GETPIVOTDATA("NUR  DU JOUR 05/25/2026",$F$5,"CAUSE","ENVTECH")</f>
        <v/>
      </c>
      <c r="G28" s="21" t="n"/>
      <c r="H28" s="20" t="inlineStr">
        <is>
          <t>AKTIVCO With Backup</t>
        </is>
      </c>
      <c r="I28" s="20">
        <f>GETPIVOTDATA("NUR  DU JOUR 05/25/2026",$I$3,"OCM NOMENCLATURE","AKTIVCO")</f>
        <v/>
      </c>
    </row>
    <row r="29" ht="15.45" customHeight="1" s="53">
      <c r="A29" s="28" t="n"/>
      <c r="B29" s="36" t="inlineStr">
        <is>
          <t>No root cause</t>
        </is>
      </c>
      <c r="C29" s="42">
        <f>GETPIVOTDATA("NUR  DU JOUR 05/25/2026",$B$7,"CATEGORIE","No root cause")</f>
        <v/>
      </c>
      <c r="D29" s="21" t="n"/>
      <c r="E29" s="36" t="inlineStr">
        <is>
          <t>No root cause</t>
        </is>
      </c>
      <c r="F29" s="36">
        <f>GETPIVOTDATA("NUR  DU JOUR 05/25/2026",$F$5,"CAUSE","No root cause")</f>
        <v/>
      </c>
      <c r="G29" s="21" t="n"/>
      <c r="H29" s="20" t="inlineStr">
        <is>
          <t>AKTIVCO GRID ONLY</t>
        </is>
      </c>
      <c r="I29" s="20">
        <f>GETPIVOTDATA("NUR  DU JOUR 05/25/2026",$I$3,"OCM NOMENCLATURE","AKTIVCO GRID ONLY")</f>
        <v/>
      </c>
    </row>
    <row r="30" ht="15.45" customHeight="1" s="53">
      <c r="A30" s="28" t="n"/>
      <c r="B30" s="36" t="inlineStr">
        <is>
          <t>PASSIVE</t>
        </is>
      </c>
      <c r="C30" s="42">
        <f>GETPIVOTDATA("NUR  DU JOUR 05/25/2026",$B$7,"CATEGORIE","PASSIVE")</f>
        <v/>
      </c>
      <c r="D30" s="21" t="n"/>
      <c r="E30" s="36" t="inlineStr">
        <is>
          <t>POWER ISSUE</t>
        </is>
      </c>
      <c r="F30" s="36">
        <f>GETPIVOTDATA("NUR  DU JOUR 05/25/2026",$F$5,"CAUSE","POWER ISSUE")</f>
        <v/>
      </c>
      <c r="G30" s="21" t="n"/>
      <c r="H30" s="20" t="inlineStr">
        <is>
          <t>Hardware issue</t>
        </is>
      </c>
      <c r="I30" s="20">
        <f>GETPIVOTDATA("NUR  DU JOUR 05/25/2026",$I$3,"OCM NOMENCLATURE","BSS")</f>
        <v/>
      </c>
    </row>
    <row r="31" ht="16.05" customHeight="1" s="53">
      <c r="A31" s="28" t="n"/>
      <c r="B31" s="50" t="inlineStr">
        <is>
          <t>PLANNED WORKS</t>
        </is>
      </c>
      <c r="C31" s="48">
        <f>GETPIVOTDATA("NUR  DU JOUR 05/25/2026",$B$7,"CATEGORIE","PLANNED WORKS")</f>
        <v/>
      </c>
      <c r="D31" s="21" t="n"/>
      <c r="E31" s="36" t="inlineStr">
        <is>
          <t>RAN ISSUE</t>
        </is>
      </c>
      <c r="F31" s="36">
        <f>GETPIVOTDATA("NUR  DU JOUR 05/25/2026",$F$5,"CAUSE","RAN ISSUE")</f>
        <v/>
      </c>
      <c r="G31" s="21" t="n"/>
      <c r="H31" s="20" t="inlineStr">
        <is>
          <t>ENVTECH</t>
        </is>
      </c>
      <c r="I31" s="20">
        <f>GETPIVOTDATA("NUR  DU JOUR 05/25/2026",$I$3,"OCM NOMENCLATURE","ENVTECH")</f>
        <v/>
      </c>
    </row>
    <row r="32" ht="15.45" customHeight="1" s="53">
      <c r="A32" s="28" t="n"/>
      <c r="B32" s="38" t="inlineStr">
        <is>
          <t>SPARE-ISSUE</t>
        </is>
      </c>
      <c r="C32" s="43">
        <f>GETPIVOTDATA("NUR  DU JOUR 05/25/2026",$B$7,"CATEGORIE","SPARE-ISSUE")</f>
        <v/>
      </c>
      <c r="D32" s="21" t="n"/>
      <c r="E32" s="36" t="inlineStr">
        <is>
          <t>SPARE-ISSUE</t>
        </is>
      </c>
      <c r="F32" s="36">
        <f>GETPIVOTDATA("NUR  DU JOUR 05/25/2026",$F$5,"CAUSE","SPARE-ISSUE")</f>
        <v/>
      </c>
      <c r="G32" s="21" t="n"/>
      <c r="H32" s="20" t="inlineStr">
        <is>
          <t>IHS</t>
        </is>
      </c>
      <c r="I32" s="20">
        <f>GETPIVOTDATA("NUR  DU JOUR 05/25/2026",$I$3,"OCM NOMENCLATURE","IHS")</f>
        <v/>
      </c>
    </row>
    <row r="33" ht="18.45" customHeight="1" s="53">
      <c r="A33" s="28" t="n"/>
      <c r="B33" s="44" t="inlineStr">
        <is>
          <t>Grand Total</t>
        </is>
      </c>
      <c r="C33" s="31">
        <f>GETPIVOTDATA("NUR  DU JOUR 05/25/2026",$B$7)</f>
        <v/>
      </c>
      <c r="D33" s="21" t="n"/>
      <c r="E33" s="37" t="inlineStr">
        <is>
          <t>PANNED WORKS</t>
        </is>
      </c>
      <c r="F33" s="49">
        <f>GETPIVOTDATA("NUR  DU JOUR 05/25/2026",$F$5,"CAUSE","TRAVAUX-HUAWEI")</f>
        <v/>
      </c>
      <c r="G33" s="21" t="n"/>
      <c r="H33" s="20" t="inlineStr">
        <is>
          <t>IHS GRID ONLY</t>
        </is>
      </c>
      <c r="I33" s="20">
        <f>GETPIVOTDATA("NUR  DU JOUR 05/25/2026",$I$3,"OCM NOMENCLATURE","IHS GRID ONLY")</f>
        <v/>
      </c>
    </row>
    <row r="34" ht="15.45" customHeight="1" s="53">
      <c r="A34" s="28" t="n"/>
      <c r="D34" s="21" t="n"/>
      <c r="E34" s="38" t="inlineStr">
        <is>
          <t>TX ISSUE</t>
        </is>
      </c>
      <c r="F34" s="38">
        <f>GETPIVOTDATA("NUR  DU JOUR 05/25/2026",$F$5,"CAUSE","TX ISSUE")</f>
        <v/>
      </c>
      <c r="G34" s="21" t="n"/>
      <c r="H34" s="20" t="inlineStr">
        <is>
          <t>No root cause</t>
        </is>
      </c>
      <c r="I34" s="20">
        <f>GETPIVOTDATA("NUR  DU JOUR 05/25/2026",$I$3,"OCM NOMENCLATURE","No root cause")</f>
        <v/>
      </c>
    </row>
    <row r="35" ht="15.45" customHeight="1" s="53">
      <c r="B35" s="21" t="n"/>
      <c r="C35" s="21" t="n"/>
      <c r="D35" s="21" t="n"/>
      <c r="E35" s="39" t="inlineStr">
        <is>
          <t>Grand Total</t>
        </is>
      </c>
      <c r="F35" s="39">
        <f>GETPIVOTDATA("NUR  DU JOUR 05/25/2026",$F$5)</f>
        <v/>
      </c>
      <c r="G35" s="21" t="n"/>
      <c r="H35" s="20" t="inlineStr">
        <is>
          <t>Power MTN</t>
        </is>
      </c>
      <c r="I35" s="20">
        <f>GETPIVOTDATA("NUR  DU JOUR 05/25/2026",$I$3,"OCM NOMENCLATURE","Partners")</f>
        <v/>
      </c>
    </row>
    <row r="36">
      <c r="B36" s="21" t="n"/>
      <c r="C36" s="21" t="n"/>
      <c r="D36" s="21" t="n"/>
      <c r="E36" s="21" t="n"/>
      <c r="F36" s="21" t="n"/>
      <c r="G36" s="21" t="n"/>
      <c r="H36" s="20" t="inlineStr">
        <is>
          <t>TX issue MPR / ODU --</t>
        </is>
      </c>
      <c r="I36" s="20">
        <f>GETPIVOTDATA("NUR  DU JOUR 05/25/2026",$I$3,"OCM NOMENCLATURE","PDH")</f>
        <v/>
      </c>
    </row>
    <row r="37">
      <c r="B37" s="21" t="n"/>
      <c r="C37" s="21" t="n"/>
      <c r="D37" s="21" t="n"/>
      <c r="E37" s="21" t="n"/>
      <c r="F37" s="21" t="n"/>
      <c r="G37" s="21" t="n"/>
      <c r="H37" s="20" t="inlineStr">
        <is>
          <t>SPARE-ISSUE</t>
        </is>
      </c>
      <c r="I37" s="20">
        <f>GETPIVOTDATA("NUR  DU JOUR 05/25/2026",$I$3,"OCM NOMENCLATURE","SPARE-ISSUE")</f>
        <v/>
      </c>
    </row>
    <row r="38" ht="15.45" customHeight="1" s="53">
      <c r="B38" s="21" t="n"/>
      <c r="C38" s="21" t="n"/>
      <c r="D38" s="21" t="n"/>
      <c r="E38" s="21" t="n"/>
      <c r="F38" s="21" t="n"/>
      <c r="G38" s="21" t="n"/>
      <c r="H38" s="47" t="inlineStr">
        <is>
          <t>PLANNED WORKS</t>
        </is>
      </c>
      <c r="I38" s="47">
        <f>GETPIVOTDATA("NUR  DU JOUR 05/25/2026",$I$3,"OCM NOMENCLATURE","TRAVAUX-HUAWEI")</f>
        <v/>
      </c>
    </row>
    <row r="39" ht="16.05" customHeight="1" s="53">
      <c r="B39" s="21" t="n"/>
      <c r="C39" s="21" t="n"/>
      <c r="D39" s="21" t="n"/>
      <c r="E39" s="21" t="n"/>
      <c r="F39" s="21" t="n"/>
      <c r="G39" s="21" t="n"/>
      <c r="H39" s="51">
        <f>I17</f>
        <v/>
      </c>
      <c r="I39" s="51">
        <f>GETPIVOTDATA("NUR  DU JOUR 05/25/2026",$I$3,"OCM NOMENCLATURE","SAT")</f>
        <v/>
      </c>
    </row>
    <row r="40">
      <c r="B40" s="21" t="n"/>
      <c r="C40" s="21" t="n"/>
      <c r="D40" s="21" t="n"/>
      <c r="E40" s="21" t="n"/>
      <c r="F40" s="21" t="n"/>
      <c r="G40" s="21" t="n"/>
      <c r="H40" s="52">
        <f>I9</f>
        <v/>
      </c>
      <c r="I40" s="52">
        <f>GETPIVOTDATA("NUR  DU JOUR 05/25/2026",$I$3,"OCM NOMENCLATURE","Fiber AOF")</f>
        <v/>
      </c>
    </row>
    <row r="41">
      <c r="H41" s="22" t="inlineStr">
        <is>
          <t>Grand Total</t>
        </is>
      </c>
      <c r="I41" s="22">
        <f>GETPIVOTDATA("NUR  DU JOUR 05/25/2026",$I$3)</f>
        <v/>
      </c>
    </row>
    <row r="55">
      <c r="A55" s="21" t="n"/>
      <c r="B55" s="21" t="n"/>
      <c r="C55" s="21" t="n"/>
      <c r="D55" s="21" t="n"/>
      <c r="E55" s="21" t="n"/>
      <c r="F55" s="21" t="n"/>
    </row>
    <row r="57">
      <c r="B57" t="inlineStr">
        <is>
          <t>CTR_211</t>
        </is>
      </c>
    </row>
  </sheetData>
  <conditionalFormatting sqref="C27:C32">
    <cfRule type="colorScale" priority="3">
      <colorScale>
        <cfvo type="min"/>
        <cfvo type="max"/>
        <color rgb="FFFCFCFF"/>
        <color rgb="FFF8696B"/>
      </colorScale>
    </cfRule>
  </conditionalFormatting>
  <conditionalFormatting sqref="F27:F34 I27:I40">
    <cfRule type="colorScale" priority="2">
      <colorScale>
        <cfvo type="min"/>
        <cfvo type="max"/>
        <color rgb="FFFCFCFF"/>
        <color rgb="FFF8696B"/>
      </colorScale>
    </cfRule>
  </conditionalFormatting>
  <conditionalFormatting sqref="I27:I40">
    <cfRule type="colorScale" priority="1">
      <colorScale>
        <cfvo type="min"/>
        <cfvo type="max"/>
        <color rgb="FFFCFCFF"/>
        <color rgb="FFF8696B"/>
      </colorScale>
    </cfRule>
  </conditionalFormatting>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filterMode="1">
    <outlinePr summaryBelow="1" summaryRight="1"/>
    <pageSetUpPr/>
  </sheetPr>
  <dimension ref="A1:F468"/>
  <sheetViews>
    <sheetView zoomScale="55" zoomScaleNormal="55" workbookViewId="0">
      <pane ySplit="1" topLeftCell="A95" activePane="bottomLeft" state="frozen"/>
      <selection pane="bottomLeft" activeCell="F95" sqref="F95"/>
    </sheetView>
  </sheetViews>
  <sheetFormatPr baseColWidth="8" defaultColWidth="8.77734375" defaultRowHeight="14.4"/>
  <cols>
    <col width="25.6640625" customWidth="1" style="53" min="1" max="6"/>
    <col width="8.77734375" customWidth="1" style="53" min="7" max="9"/>
    <col width="8.77734375" customWidth="1" style="53" min="10" max="16384"/>
  </cols>
  <sheetData>
    <row r="1" ht="16.95" customHeight="1" s="53">
      <c r="A1" s="45" t="inlineStr">
        <is>
          <t>prioriete</t>
        </is>
      </c>
      <c r="B1" s="45" t="inlineStr">
        <is>
          <t>site impactant</t>
        </is>
      </c>
      <c r="C1" s="45" t="inlineStr">
        <is>
          <t>Numero de ticket</t>
        </is>
      </c>
      <c r="D1" s="45" t="inlineStr">
        <is>
          <t>Nom de site impacte</t>
        </is>
      </c>
      <c r="E1" s="45" t="inlineStr">
        <is>
          <t>Code site</t>
        </is>
      </c>
      <c r="F1" s="46" t="inlineStr">
        <is>
          <t>root cause</t>
        </is>
      </c>
    </row>
    <row r="2" hidden="1" s="53">
      <c r="D2" t="inlineStr">
        <is>
          <t>EXN_907 _URH_ALARBA SIRAKOUKI</t>
        </is>
      </c>
      <c r="E2">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
      </c>
      <c r="F2" t="inlineStr">
        <is>
          <t>{05-24-2026 groupe whsatsapp incident}: impacted by    EXN_168_N_Kinguin-HIS Soucis  d'energie ,  RCA IHS attendu</t>
        </is>
      </c>
    </row>
    <row r="3" hidden="1" s="53">
      <c r="B3" t="inlineStr">
        <is>
          <t>EST_051_Z_Bertoua-Ngaikada(EST-051)</t>
        </is>
      </c>
      <c r="C3" t="inlineStr">
        <is>
          <t>2605M46346 / INC-20260525-00000785</t>
        </is>
      </c>
      <c r="D3" t="inlineStr">
        <is>
          <t>EST_143_Z_Bertoua-CAMTEL(EST-143)</t>
        </is>
      </c>
      <c r="E3">
        <f>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
      </c>
      <c r="F3" t="inlineStr">
        <is>
          <t>{05-25-2026  incident}: impacted by   EST_051_Z_Bertoua-Ngaikada(EST-051), Soucis  d'energie ,  Action: En Attente RCA IHS</t>
        </is>
      </c>
    </row>
    <row r="4" hidden="1" s="53">
      <c r="D4" t="inlineStr">
        <is>
          <t>EST_069_Z_Bertoua-ENIA-MTN(EST-069)</t>
        </is>
      </c>
      <c r="F4" t="inlineStr">
        <is>
          <t>{05-25-2026  incident}: impacted by   EST_051_Z_Bertoua-Ngaikada(EST-051), Soucis  d'energie ,  Action: En Attente RCA IHS</t>
        </is>
      </c>
    </row>
    <row r="5" hidden="1" s="53">
      <c r="D5" t="inlineStr">
        <is>
          <t>EST_292_Z_Bertoua-II-Abbatoir-MTN(EST-292)</t>
        </is>
      </c>
      <c r="F5" t="inlineStr">
        <is>
          <t>{05-25-2026  incident}: impacted by   EST_051_Z_Bertoua-Ngaikada(EST-051), Soucis  d'energie ,  Action: En Attente RCA IHS</t>
        </is>
      </c>
    </row>
    <row r="6" hidden="1" s="53">
      <c r="D6" t="inlineStr">
        <is>
          <t>EST_152_Z_Bertoua-Hopital-IHS(EST-152)</t>
        </is>
      </c>
      <c r="F6" t="inlineStr">
        <is>
          <t>{05-25-2026  incident}: impacted by   EST_051_Z_Bertoua-Ngaikada(EST-051), Soucis  d'energie ,  Action: En Attente RCA IHS</t>
        </is>
      </c>
    </row>
    <row r="7" hidden="1" s="53">
      <c r="D7" t="inlineStr">
        <is>
          <t>EST_051_Z_Bertoua-Ngaikada(EST-051)</t>
        </is>
      </c>
      <c r="F7" t="inlineStr">
        <is>
          <t>{05-25-2026  incident}: impacted by   EST_051_Z_Bertoua-Ngaikada(EST-051), Soucis  d'energie ,  Action: En Attente RCA IHS</t>
        </is>
      </c>
    </row>
    <row r="8" hidden="1" s="53">
      <c r="B8" t="inlineStr">
        <is>
          <t>Massangam_G9U9U21L8_OST_057_MRBTS1</t>
        </is>
      </c>
      <c r="C8" t="inlineStr">
        <is>
          <t>INC-20260525-00024655 | 2605M77809</t>
        </is>
      </c>
      <c r="D8" t="inlineStr">
        <is>
          <t>MAMEGNAM_G9U9L8_OST_272_MRBTS1</t>
        </is>
      </c>
      <c r="E8">
        <f>IFERROR(MID(D8, SEARCH("CTR_", D8), 7), IFERROR(MID(D8, SEARCH("SUO_", D8), 7), IFERROR(MID(D8, SEARCH("SUD_", D8), 7), IFERROR(MID(D8, SEARCH("NRO_", D8), 7), IFERROR(MID(D8, SEARCH("ADM_", D8), 7), IFERROR(MID(D8, SEARCH("NRD_", D8), 7), IFERROR(MID(D8, SEARCH("EXN_", D8), 7), IFERROR(MID(D8, SEARCH("LIT_", D8), 7), IFERROR(MID(D8, SEARCH("EST_", D8), 7), MID(D8, SEARCH("OST_",D8), 7))))))))))</f>
        <v/>
      </c>
      <c r="F8" t="inlineStr">
        <is>
          <t>{05-25-2026  incident}:   impacted by Massangam_G9U9U21L8_OST_057_MRBTS1   ,Cause: Power issue    Action: En attente RCA IHS</t>
        </is>
      </c>
    </row>
    <row r="9" hidden="1" s="53">
      <c r="D9" t="inlineStr">
        <is>
          <t>Mankouotmbou_G9U9U21_OST_245_MRBTS1</t>
        </is>
      </c>
      <c r="E9">
        <f>IFERROR(MID(D9, SEARCH("CTR_", D9), 7), IFERROR(MID(D9, SEARCH("SUO_", D9), 7), IFERROR(MID(D9, SEARCH("SUD_", D9), 7), IFERROR(MID(D9, SEARCH("NRO_", D9), 7), IFERROR(MID(D9, SEARCH("ADM_", D9), 7), IFERROR(MID(D9, SEARCH("NRD_", D9), 7), IFERROR(MID(D9, SEARCH("EXN_", D9), 7), IFERROR(MID(D9, SEARCH("LIT_", D9), 7), IFERROR(MID(D9, SEARCH("EST_", D9), 7), MID(D9, SEARCH("OST_",D9), 7))))))))))</f>
        <v/>
      </c>
      <c r="F9" t="inlineStr">
        <is>
          <t>{05-25-2026  incident}:   impacted by Massangam_G9U9U21L8_OST_057_MRBTS1   ,Cause: Power issue    Action: En attente RCA IHS</t>
        </is>
      </c>
    </row>
    <row r="10" hidden="1" s="53">
      <c r="D10" t="inlineStr">
        <is>
          <t>Massangam_G9U9U21L8_OST_057_MRBTS1</t>
        </is>
      </c>
      <c r="E10">
        <f>IFERROR(MID(D10, SEARCH("CTR_", D10), 7), IFERROR(MID(D10, SEARCH("SUO_", D10), 7), IFERROR(MID(D10, SEARCH("SUD_", D10), 7), IFERROR(MID(D10, SEARCH("NRO_", D10), 7), IFERROR(MID(D10, SEARCH("ADM_", D10), 7), IFERROR(MID(D10, SEARCH("NRD_", D10), 7), IFERROR(MID(D10, SEARCH("EXN_", D10), 7), IFERROR(MID(D10, SEARCH("LIT_", D10), 7), IFERROR(MID(D10, SEARCH("EST_", D10), 7), MID(D10, SEARCH("OST_",D10), 7))))))))))</f>
        <v/>
      </c>
      <c r="F10" t="inlineStr">
        <is>
          <t>{05-25-2026  incident}:   impacted by Massangam_G9U9U21L8_OST_057_MRBTS1   ,Cause: Power issue    Action: En attente RCA IHS</t>
        </is>
      </c>
    </row>
    <row r="11" hidden="1" s="53">
      <c r="D11" t="inlineStr">
        <is>
          <t>OST_401_URH_NJIGBACHOUH</t>
        </is>
      </c>
      <c r="E11">
        <f>IFERROR(MID(D11, SEARCH("CTR_", D11), 7), IFERROR(MID(D11, SEARCH("SUO_", D11), 7), IFERROR(MID(D11, SEARCH("SUD_", D11), 7), IFERROR(MID(D11, SEARCH("NRO_", D11), 7), IFERROR(MID(D11, SEARCH("ADM_", D11), 7), IFERROR(MID(D11, SEARCH("NRD_", D11), 7), IFERROR(MID(D11, SEARCH("EXN_", D11), 7), IFERROR(MID(D11, SEARCH("LIT_", D11), 7), IFERROR(MID(D11, SEARCH("EST_", D11), 7), MID(D11, SEARCH("OST_",D11), 7))))))))))</f>
        <v/>
      </c>
      <c r="F11" t="inlineStr">
        <is>
          <t>{05-25-2026  incident}:   impacted by Massangam_G9U9U21L8_OST_057_MRBTS1   ,Cause: Power issue    Action: En attente RCA IHS</t>
        </is>
      </c>
    </row>
    <row r="12" hidden="1" s="53">
      <c r="D12" t="inlineStr">
        <is>
          <t>OST_336_URH_MANKOUOMBI</t>
        </is>
      </c>
      <c r="E12">
        <f>IFERROR(MID(D12, SEARCH("CTR_", D12), 7), IFERROR(MID(D12, SEARCH("SUO_", D12), 7), IFERROR(MID(D12, SEARCH("SUD_", D12), 7), IFERROR(MID(D12, SEARCH("NRO_", D12), 7), IFERROR(MID(D12, SEARCH("ADM_", D12), 7), IFERROR(MID(D12, SEARCH("NRD_", D12), 7), IFERROR(MID(D12, SEARCH("EXN_", D12), 7), IFERROR(MID(D12, SEARCH("LIT_", D12), 7), IFERROR(MID(D12, SEARCH("EST_", D12), 7), MID(D12, SEARCH("OST_",D12), 7))))))))))</f>
        <v/>
      </c>
      <c r="F12" t="inlineStr">
        <is>
          <t>{05-25-2026  incident}:   impacted by Massangam_G9U9U21L8_OST_057_MRBTS1   ,Cause: Power issue    Action: En attente RCA IHS</t>
        </is>
      </c>
    </row>
    <row r="13" hidden="1" s="53">
      <c r="D13" t="inlineStr">
        <is>
          <t>OST_334_URH_MACHATOUM</t>
        </is>
      </c>
      <c r="E13">
        <f>IFERROR(MID(D13, SEARCH("CTR_", D13), 7), IFERROR(MID(D13, SEARCH("SUO_", D13), 7), IFERROR(MID(D13, SEARCH("SUD_", D13), 7), IFERROR(MID(D13, SEARCH("NRO_", D13), 7), IFERROR(MID(D13, SEARCH("ADM_", D13), 7), IFERROR(MID(D13, SEARCH("NRD_", D13), 7), IFERROR(MID(D13, SEARCH("EXN_", D13), 7), IFERROR(MID(D13, SEARCH("LIT_", D13), 7), IFERROR(MID(D13, SEARCH("EST_", D13), 7), MID(D13, SEARCH("OST_",D13), 7))))))))))</f>
        <v/>
      </c>
      <c r="F13" t="inlineStr">
        <is>
          <t>{05-25-2026  incident}:   impacted by Massangam_G9U9U21L8_OST_057_MRBTS1   ,Cause: Power issue    Action: En attente RCA IHS</t>
        </is>
      </c>
    </row>
    <row r="14" hidden="1" s="53">
      <c r="B14" t="inlineStr">
        <is>
          <t>Adoumri-Houla-IHS_NRD_126</t>
        </is>
      </c>
      <c r="C14" t="inlineStr">
        <is>
          <t>INC-20260525-00025372 | 2605M78478</t>
        </is>
      </c>
      <c r="D14" t="inlineStr">
        <is>
          <t>NRD_303_URH_NDONGA</t>
        </is>
      </c>
      <c r="E14">
        <f>IFERROR(MID(D14, SEARCH("CTR_", D14), 7), IFERROR(MID(D14, SEARCH("SUO_", D14), 7), IFERROR(MID(D14, SEARCH("SUD_", D14), 7), IFERROR(MID(D14, SEARCH("NRO_", D14), 7), IFERROR(MID(D14, SEARCH("ADM_", D14), 7), IFERROR(MID(D14, SEARCH("NRD_", D14), 7), IFERROR(MID(D14, SEARCH("EXN_", D14), 7), IFERROR(MID(D14, SEARCH("LIT_", D14), 7), IFERROR(MID(D14, SEARCH("EST_", D14), 7), MID(D14, SEARCH("OST_",D14), 7))))))))))</f>
        <v/>
      </c>
      <c r="F14" t="inlineStr">
        <is>
          <t>{05-25-2026  incident}:    impacted by   Adoumri-Houla-IHS_NRD_126  ,Cause: Probleme energie    Action: RCA attendu de IHS</t>
        </is>
      </c>
    </row>
    <row r="15" hidden="1" s="53">
      <c r="D15" t="inlineStr">
        <is>
          <t>NRD_297_URH_FALATIGOU</t>
        </is>
      </c>
      <c r="E15">
        <f>IFERROR(MID(D15, SEARCH("CTR_", D15), 7), IFERROR(MID(D15, SEARCH("SUO_", D15), 7), IFERROR(MID(D15, SEARCH("SUD_", D15), 7), IFERROR(MID(D15, SEARCH("NRO_", D15), 7), IFERROR(MID(D15, SEARCH("ADM_", D15), 7), IFERROR(MID(D15, SEARCH("NRD_", D15), 7), IFERROR(MID(D15, SEARCH("EXN_", D15), 7), IFERROR(MID(D15, SEARCH("LIT_", D15), 7), IFERROR(MID(D15, SEARCH("EST_", D15), 7), MID(D15, SEARCH("OST_",D15), 7))))))))))</f>
        <v/>
      </c>
      <c r="F15" t="inlineStr">
        <is>
          <t>{05-25-2026  incident}:    impacted by   Adoumri-Houla-IHS_NRD_126  ,Cause: Probleme energie    Action: RCA attendu de IHS</t>
        </is>
      </c>
    </row>
    <row r="16" hidden="1" s="53">
      <c r="D16" t="inlineStr">
        <is>
          <t>NRD_311_URH_NADOURA</t>
        </is>
      </c>
      <c r="E16">
        <f>IFERROR(MID(D16, SEARCH("CTR_", D16), 7), IFERROR(MID(D16, SEARCH("SUO_", D16), 7), IFERROR(MID(D16, SEARCH("SUD_", D16), 7), IFERROR(MID(D16, SEARCH("NRO_", D16), 7), IFERROR(MID(D16, SEARCH("ADM_", D16), 7), IFERROR(MID(D16, SEARCH("NRD_", D16), 7), IFERROR(MID(D16, SEARCH("EXN_", D16), 7), IFERROR(MID(D16, SEARCH("LIT_", D16), 7), IFERROR(MID(D16, SEARCH("EST_", D16), 7), MID(D16, SEARCH("OST_",D16), 7))))))))))</f>
        <v/>
      </c>
      <c r="F16" t="inlineStr">
        <is>
          <t>{05-25-2026  incident}:    impacted by   Adoumri-Houla-IHS_NRD_126  ,Cause: Probleme energie    Action: RCA attendu de IHS</t>
        </is>
      </c>
    </row>
    <row r="17" hidden="1" s="53">
      <c r="D17" t="inlineStr">
        <is>
          <t>NRD_313_URH_NDOULOUMI</t>
        </is>
      </c>
      <c r="E17">
        <f>IFERROR(MID(D17, SEARCH("CTR_", D17), 7), IFERROR(MID(D17, SEARCH("SUO_", D17), 7), IFERROR(MID(D17, SEARCH("SUD_", D17), 7), IFERROR(MID(D17, SEARCH("NRO_", D17), 7), IFERROR(MID(D17, SEARCH("ADM_", D17), 7), IFERROR(MID(D17, SEARCH("NRD_", D17), 7), IFERROR(MID(D17, SEARCH("EXN_", D17), 7), IFERROR(MID(D17, SEARCH("LIT_", D17), 7), IFERROR(MID(D17, SEARCH("EST_", D17), 7), MID(D17, SEARCH("OST_",D17), 7))))))))))</f>
        <v/>
      </c>
      <c r="F17" t="inlineStr">
        <is>
          <t>{05-25-2026  incident}:    impacted by   Adoumri-Houla-IHS_NRD_126  ,Cause: Probleme energie    Action: RCA attendu de IHS</t>
        </is>
      </c>
    </row>
    <row r="18" hidden="1" s="53">
      <c r="D18" t="inlineStr">
        <is>
          <t>NRD_312_URH_OURO_KIO</t>
        </is>
      </c>
      <c r="E18">
        <f>IFERROR(MID(D18, SEARCH("CTR_", D18), 7), IFERROR(MID(D18, SEARCH("SUO_", D18), 7), IFERROR(MID(D18, SEARCH("SUD_", D18), 7), IFERROR(MID(D18, SEARCH("NRO_", D18), 7), IFERROR(MID(D18, SEARCH("ADM_", D18), 7), IFERROR(MID(D18, SEARCH("NRD_", D18), 7), IFERROR(MID(D18, SEARCH("EXN_", D18), 7), IFERROR(MID(D18, SEARCH("LIT_", D18), 7), IFERROR(MID(D18, SEARCH("EST_", D18), 7), MID(D18, SEARCH("OST_",D18), 7))))))))))</f>
        <v/>
      </c>
      <c r="F18" t="inlineStr">
        <is>
          <t>{05-25-2026  incident}:    impacted by   Adoumri-Houla-IHS_NRD_126  ,Cause: Probleme energie    Action: RCA attendu de IHS</t>
        </is>
      </c>
    </row>
    <row r="19" hidden="1" ht="13.5" customHeight="1" s="53">
      <c r="D19" t="inlineStr">
        <is>
          <t>NRD_309_URH_BADEOU</t>
        </is>
      </c>
      <c r="E19">
        <f>IFERROR(MID(D19, SEARCH("CTR_", D19), 7), IFERROR(MID(D19, SEARCH("SUO_", D19), 7), IFERROR(MID(D19, SEARCH("SUD_", D19), 7), IFERROR(MID(D19, SEARCH("NRO_", D19), 7), IFERROR(MID(D19, SEARCH("ADM_", D19), 7), IFERROR(MID(D19, SEARCH("NRD_", D19), 7), IFERROR(MID(D19, SEARCH("EXN_", D19), 7), IFERROR(MID(D19, SEARCH("LIT_", D19), 7), IFERROR(MID(D19, SEARCH("EST_", D19), 7), MID(D19, SEARCH("OST_",D19), 7))))))))))</f>
        <v/>
      </c>
      <c r="F19" t="inlineStr">
        <is>
          <t>{05-25-2026  incident}:    impacted by   Adoumri-Houla-IHS_NRD_126  ,Cause: Probleme energie    Action: RCA attendu de IHS</t>
        </is>
      </c>
    </row>
    <row r="20" hidden="1" s="53">
      <c r="D20" t="inlineStr">
        <is>
          <t>Adoumri-Houla-IHS_NRD_126</t>
        </is>
      </c>
      <c r="E20">
        <f>IFERROR(MID(D20, SEARCH("CTR_", D20), 7), IFERROR(MID(D20, SEARCH("SUO_", D20), 7), IFERROR(MID(D20, SEARCH("SUD_", D20), 7), IFERROR(MID(D20, SEARCH("NRO_", D20), 7), IFERROR(MID(D20, SEARCH("ADM_", D20), 7), IFERROR(MID(D20, SEARCH("NRD_", D20), 7), IFERROR(MID(D20, SEARCH("EXN_", D20), 7), IFERROR(MID(D20, SEARCH("LIT_", D20), 7), IFERROR(MID(D20, SEARCH("EST_", D20), 7), MID(D20, SEARCH("OST_",D20), 7))))))))))</f>
        <v/>
      </c>
      <c r="F20" t="inlineStr">
        <is>
          <t>{05-25-2026  incident}:    impacted by   Adoumri-Houla-IHS_NRD_126  ,Cause: Probleme energie    Action: RCA attendu de IHS</t>
        </is>
      </c>
    </row>
    <row r="21" hidden="1" s="53">
      <c r="B21" t="inlineStr">
        <is>
          <t>ADM_115_H_Ngd-Aoudi</t>
        </is>
      </c>
      <c r="C21" t="inlineStr">
        <is>
          <t>2605M78237 //INC-20260525-00025103</t>
        </is>
      </c>
      <c r="D21" t="inlineStr">
        <is>
          <t>ADM_007_H_Ngd-CRTV_U</t>
        </is>
      </c>
      <c r="E21">
        <f>IFERROR(MID(D21, SEARCH("CTR_", D21), 7), IFERROR(MID(D21, SEARCH("SUO_", D21), 7), IFERROR(MID(D21, SEARCH("SUD_", D21), 7), IFERROR(MID(D21, SEARCH("NRO_", D21), 7), IFERROR(MID(D21, SEARCH("ADM_", D21), 7), IFERROR(MID(D21, SEARCH("NRD_", D21), 7), IFERROR(MID(D21, SEARCH("EXN_", D21), 7), IFERROR(MID(D21, SEARCH("LIT_", D21), 7), IFERROR(MID(D21, SEARCH("EST_", D21), 7), MID(D21, SEARCH("OST_",D21), 7))))))))))</f>
        <v/>
      </c>
      <c r="F21" t="inlineStr">
        <is>
          <t xml:space="preserve"> {05-25-2026  incident}:    impacted by   ADM_115_H_Ngd-Aoudi  ,Cause: Power issue å ADM 058_H_Ngd-Trouamala    ;Action: En attente RCA HIS </t>
        </is>
      </c>
    </row>
    <row r="22" hidden="1" s="53">
      <c r="D22" t="inlineStr">
        <is>
          <t>ADM_058_H_Ngd-Trouamala_U</t>
        </is>
      </c>
      <c r="E22">
        <f>IFERROR(MID(D22, SEARCH("CTR_", D22), 7), IFERROR(MID(D22, SEARCH("SUO_", D22), 7), IFERROR(MID(D22, SEARCH("SUD_", D22), 7), IFERROR(MID(D22, SEARCH("NRO_", D22), 7), IFERROR(MID(D22, SEARCH("ADM_", D22), 7), IFERROR(MID(D22, SEARCH("NRD_", D22), 7), IFERROR(MID(D22, SEARCH("EXN_", D22), 7), IFERROR(MID(D22, SEARCH("LIT_", D22), 7), IFERROR(MID(D22, SEARCH("EST_", D22), 7), MID(D22, SEARCH("OST_",D22), 7))))))))))</f>
        <v/>
      </c>
      <c r="F22" t="inlineStr">
        <is>
          <t xml:space="preserve"> {05-25-2026  incident}:    impacted by   ADM_115_H_Ngd-Aoudi  ,Cause: Power issue å ADM 058_H_Ngd-Trouamala    ;Action: En attente RCA HIS </t>
        </is>
      </c>
    </row>
    <row r="23" hidden="1" s="53">
      <c r="D23" t="inlineStr">
        <is>
          <t>ADM_036_H_Ngd-Burkina</t>
        </is>
      </c>
      <c r="E23">
        <f>IFERROR(MID(D23, SEARCH("CTR_", D23), 7), IFERROR(MID(D23, SEARCH("SUO_", D23), 7), IFERROR(MID(D23, SEARCH("SUD_", D23), 7), IFERROR(MID(D23, SEARCH("NRO_", D23), 7), IFERROR(MID(D23, SEARCH("ADM_", D23), 7), IFERROR(MID(D23, SEARCH("NRD_", D23), 7), IFERROR(MID(D23, SEARCH("EXN_", D23), 7), IFERROR(MID(D23, SEARCH("LIT_", D23), 7), IFERROR(MID(D23, SEARCH("EST_", D23), 7), MID(D23, SEARCH("OST_",D23), 7))))))))))</f>
        <v/>
      </c>
      <c r="F23" t="inlineStr">
        <is>
          <t xml:space="preserve"> {05-25-2026  incident}:    impacted by   ADM_115_H_Ngd-Aoudi  ,Cause: Power issue å ADM 058_H_Ngd-Trouamala    ;Action: En attente RCA HIS </t>
        </is>
      </c>
    </row>
    <row r="24" hidden="1" ht="12.45" customHeight="1" s="53">
      <c r="D24" t="inlineStr">
        <is>
          <t>ADM_101_H_Ngd-Burkina-II-IHS</t>
        </is>
      </c>
      <c r="E24">
        <f>IFERROR(MID(D24, SEARCH("CTR_", D24), 7), IFERROR(MID(D24, SEARCH("SUO_", D24), 7), IFERROR(MID(D24, SEARCH("SUD_", D24), 7), IFERROR(MID(D24, SEARCH("NRO_", D24), 7), IFERROR(MID(D24, SEARCH("ADM_", D24), 7), IFERROR(MID(D24, SEARCH("NRD_", D24), 7), IFERROR(MID(D24, SEARCH("EXN_", D24), 7), IFERROR(MID(D24, SEARCH("LIT_", D24), 7), IFERROR(MID(D24, SEARCH("EST_", D24), 7), MID(D24, SEARCH("OST_",D24), 7))))))))))</f>
        <v/>
      </c>
      <c r="F24" t="inlineStr">
        <is>
          <t xml:space="preserve"> {05-25-2026  incident}:    impacted by   ADM_115_H_Ngd-Aoudi  ,Cause: Power issue å ADM 058_H_Ngd-Trouamala    ;Action: En attente RCA HIS </t>
        </is>
      </c>
    </row>
    <row r="25" hidden="1" ht="12.45" customHeight="1" s="53">
      <c r="D25" t="inlineStr">
        <is>
          <t>ADM_233_H_NGD-BURKINA-CENTENAIRE</t>
        </is>
      </c>
      <c r="E25">
        <f>IFERROR(MID(D25, SEARCH("CTR_", D25), 7), IFERROR(MID(D25, SEARCH("SUO_", D25), 7), IFERROR(MID(D25, SEARCH("SUD_", D25), 7), IFERROR(MID(D25, SEARCH("NRO_", D25), 7), IFERROR(MID(D25, SEARCH("ADM_", D25), 7), IFERROR(MID(D25, SEARCH("NRD_", D25), 7), IFERROR(MID(D25, SEARCH("EXN_", D25), 7), IFERROR(MID(D25, SEARCH("LIT_", D25), 7), IFERROR(MID(D25, SEARCH("EST_", D25), 7), MID(D25, SEARCH("OST_",D25), 7))))))))))</f>
        <v/>
      </c>
      <c r="F25" t="inlineStr">
        <is>
          <t xml:space="preserve"> {05-25-2026  incident}:    impacted by   ADM_115_H_Ngd-Aoudi  ,Cause: Power issue å ADM 058_H_Ngd-Trouamala    ;Action: En attente RCA HIS </t>
        </is>
      </c>
    </row>
    <row r="26" hidden="1" ht="12.45" customHeight="1" s="53">
      <c r="B26" t="inlineStr">
        <is>
          <t>EXN_036_N_Balaza</t>
        </is>
      </c>
      <c r="C26" t="inlineStr">
        <is>
          <t>2605M75786 // INC-20260525-00022501</t>
        </is>
      </c>
      <c r="D26" t="inlineStr">
        <is>
          <t>EXN_211_N_Dakana</t>
        </is>
      </c>
      <c r="E26">
        <f>IFERROR(MID(D26, SEARCH("CTR_", D26), 7), IFERROR(MID(D26, SEARCH("SUO_", D26), 7), IFERROR(MID(D26, SEARCH("SUD_", D26), 7), IFERROR(MID(D26, SEARCH("NRO_", D26), 7), IFERROR(MID(D26, SEARCH("ADM_", D26), 7), IFERROR(MID(D26, SEARCH("NRD_", D26), 7), IFERROR(MID(D26, SEARCH("EXN_", D26), 7), IFERROR(MID(D26, SEARCH("LIT_", D26), 7), IFERROR(MID(D26, SEARCH("EST_", D26), 7), MID(D26, SEARCH("OST_",D26), 7))))))))))</f>
        <v/>
      </c>
      <c r="F26" t="inlineStr">
        <is>
          <t>{05-25-2026  incident}:    impacted by  EXN_036_N_Balaza , Cause:   Soucis Energie   Action: En Attente RCA IHS</t>
        </is>
      </c>
    </row>
    <row r="27" hidden="1" ht="12.45" customHeight="1" s="53">
      <c r="D27" t="inlineStr">
        <is>
          <t>EXN_036_N_Balaza</t>
        </is>
      </c>
      <c r="E27">
        <f>IFERROR(MID(D27, SEARCH("CTR_", D27), 7), IFERROR(MID(D27, SEARCH("SUO_", D27), 7), IFERROR(MID(D27, SEARCH("SUD_", D27), 7), IFERROR(MID(D27, SEARCH("NRO_", D27), 7), IFERROR(MID(D27, SEARCH("ADM_", D27), 7), IFERROR(MID(D27, SEARCH("NRD_", D27), 7), IFERROR(MID(D27, SEARCH("EXN_", D27), 7), IFERROR(MID(D27, SEARCH("LIT_", D27), 7), IFERROR(MID(D27, SEARCH("EST_", D27), 7), MID(D27, SEARCH("OST_",D27), 7))))))))))</f>
        <v/>
      </c>
      <c r="F27" t="inlineStr">
        <is>
          <t>{05-25-2026  incident}:    impacted by  EXN_036_N_Balaza , Cause:   Soucis Energie   Action: En Attente RCA IHS</t>
        </is>
      </c>
    </row>
    <row r="28" hidden="1" ht="12.45" customHeight="1" s="53">
      <c r="D28" t="inlineStr">
        <is>
          <t>EXN_244_N_Kosseoua</t>
        </is>
      </c>
      <c r="E28">
        <f>IFERROR(MID(D28, SEARCH("CTR_", D28), 7), IFERROR(MID(D28, SEARCH("SUO_", D28), 7), IFERROR(MID(D28, SEARCH("SUD_", D28), 7), IFERROR(MID(D28, SEARCH("NRO_", D28), 7), IFERROR(MID(D28, SEARCH("ADM_", D28), 7), IFERROR(MID(D28, SEARCH("NRD_", D28), 7), IFERROR(MID(D28, SEARCH("EXN_", D28), 7), IFERROR(MID(D28, SEARCH("LIT_", D28), 7), IFERROR(MID(D28, SEARCH("EST_", D28), 7), MID(D28, SEARCH("OST_",D28), 7))))))))))</f>
        <v/>
      </c>
      <c r="F28" t="inlineStr">
        <is>
          <t>{05-25-2026  incident}:    impacted by  EXN_036_N_Balaza , Cause:   Soucis Energie   Action: En Attente RCA IHS</t>
        </is>
      </c>
    </row>
    <row r="29" hidden="1" ht="12.45" customHeight="1" s="53">
      <c r="D29" t="inlineStr">
        <is>
          <t>EXN_452_URH_DANGA_NYEBE</t>
        </is>
      </c>
      <c r="E29">
        <f>IFERROR(MID(D29, SEARCH("CTR_", D29), 7), IFERROR(MID(D29, SEARCH("SUO_", D29), 7), IFERROR(MID(D29, SEARCH("SUD_", D29), 7), IFERROR(MID(D29, SEARCH("NRO_", D29), 7), IFERROR(MID(D29, SEARCH("ADM_", D29), 7), IFERROR(MID(D29, SEARCH("NRD_", D29), 7), IFERROR(MID(D29, SEARCH("EXN_", D29), 7), IFERROR(MID(D29, SEARCH("LIT_", D29), 7), IFERROR(MID(D29, SEARCH("EST_", D29), 7), MID(D29, SEARCH("OST_",D29), 7))))))))))</f>
        <v/>
      </c>
      <c r="F29" t="inlineStr">
        <is>
          <t>{05-25-2026  incident}:    impacted by  EXN_036_N_Balaza , Cause:   Soucis Energie   Action: En Attente RCA IHS</t>
        </is>
      </c>
    </row>
    <row r="30" hidden="1" s="53">
      <c r="D30" t="inlineStr">
        <is>
          <t>EXN_303_URH_BAGALAF</t>
        </is>
      </c>
      <c r="E30">
        <f>IFERROR(MID(D30, SEARCH("CTR_", D30), 7), IFERROR(MID(D30, SEARCH("SUO_", D30), 7), IFERROR(MID(D30, SEARCH("SUD_", D30), 7), IFERROR(MID(D30, SEARCH("NRO_", D30), 7), IFERROR(MID(D30, SEARCH("ADM_", D30), 7), IFERROR(MID(D30, SEARCH("NRD_", D30), 7), IFERROR(MID(D30, SEARCH("EXN_", D30), 7), IFERROR(MID(D30, SEARCH("LIT_", D30), 7), IFERROR(MID(D30, SEARCH("EST_", D30), 7), MID(D30, SEARCH("OST_",D30), 7))))))))))</f>
        <v/>
      </c>
      <c r="F30" t="inlineStr">
        <is>
          <t>{05-25-2026  incident}:    impacted by  EXN_036_N_Balaza , Cause:   Soucis Energie   Action: En Attente RCA IHS</t>
        </is>
      </c>
    </row>
    <row r="31" hidden="1" s="53">
      <c r="D31" t="inlineStr">
        <is>
          <t>EXN_457_URH_DANEDJI</t>
        </is>
      </c>
      <c r="E31">
        <f>IFERROR(MID(D31, SEARCH("CTR_", D31), 7), IFERROR(MID(D31, SEARCH("SUO_", D31), 7), IFERROR(MID(D31, SEARCH("SUD_", D31), 7), IFERROR(MID(D31, SEARCH("NRO_", D31), 7), IFERROR(MID(D31, SEARCH("ADM_", D31), 7), IFERROR(MID(D31, SEARCH("NRD_", D31), 7), IFERROR(MID(D31, SEARCH("EXN_", D31), 7), IFERROR(MID(D31, SEARCH("LIT_", D31), 7), IFERROR(MID(D31, SEARCH("EST_", D31), 7), MID(D31, SEARCH("OST_",D31), 7))))))))))</f>
        <v/>
      </c>
      <c r="F31" t="inlineStr">
        <is>
          <t>{05-25-2026  incident}:    impacted by  EXN_036_N_Balaza , Cause:   Soucis Energie   Action: En Attente RCA IHS</t>
        </is>
      </c>
    </row>
    <row r="32" hidden="1" s="53">
      <c r="D32" t="inlineStr">
        <is>
          <t>EXN_448_URH_S.Q._DIGUIR</t>
        </is>
      </c>
      <c r="E32">
        <f>IFERROR(MID(D32, SEARCH("CTR_", D32), 7), IFERROR(MID(D32, SEARCH("SUO_", D32), 7), IFERROR(MID(D32, SEARCH("SUD_", D32), 7), IFERROR(MID(D32, SEARCH("NRO_", D32), 7), IFERROR(MID(D32, SEARCH("ADM_", D32), 7), IFERROR(MID(D32, SEARCH("NRD_", D32), 7), IFERROR(MID(D32, SEARCH("EXN_", D32), 7), IFERROR(MID(D32, SEARCH("LIT_", D32), 7), IFERROR(MID(D32, SEARCH("EST_", D32), 7), MID(D32, SEARCH("OST_",D32), 7))))))))))</f>
        <v/>
      </c>
      <c r="F32" t="inlineStr">
        <is>
          <t>{05-25-2026  incident}:    impacted by  EXN_036_N_Balaza , Cause:   Soucis Energie   Action: En Attente RCA IHS</t>
        </is>
      </c>
    </row>
    <row r="33" hidden="1" s="53">
      <c r="B33" t="inlineStr">
        <is>
          <t>CTR_007_Z_Messamendongo(CTR-007)</t>
        </is>
      </c>
      <c r="C33" t="inlineStr">
        <is>
          <t>INC-20260525-00023557 // 2605M76803</t>
        </is>
      </c>
      <c r="D33" t="inlineStr">
        <is>
          <t>CTR_467_Z_Odza-II-MTN-IHS(CTR-467)</t>
        </is>
      </c>
      <c r="E33">
        <f>IFERROR(MID(D33, SEARCH("CTR_", D33), 7), IFERROR(MID(D33, SEARCH("SUO_", D33), 7), IFERROR(MID(D33, SEARCH("SUD_", D33), 7), IFERROR(MID(D33, SEARCH("NRO_", D33), 7), IFERROR(MID(D33, SEARCH("ADM_", D33), 7), IFERROR(MID(D33, SEARCH("NRD_", D33), 7), IFERROR(MID(D33, SEARCH("EXN_", D33), 7), IFERROR(MID(D33, SEARCH("LIT_", D33), 7), IFERROR(MID(D33, SEARCH("EST_", D33), 7), MID(D33, SEARCH("OST_",D33), 7))))))))))</f>
        <v/>
      </c>
      <c r="F33" t="inlineStr">
        <is>
          <t>{05-25-2026 goupe whatsapp incident}:    impacted by    CTR_007_Z_Messamendongo(CTR-007)  ,Cause: Boucle etherneet  ,Action: Desactivation de la bouclee</t>
        </is>
      </c>
    </row>
    <row r="34" hidden="1" s="53">
      <c r="D34" t="inlineStr">
        <is>
          <t>CTR_975_Z_Nkolmendouga(CTR-975)</t>
        </is>
      </c>
      <c r="E34">
        <f>IFERROR(MID(D34, SEARCH("CTR_", D34), 7), IFERROR(MID(D34, SEARCH("SUO_", D34), 7), IFERROR(MID(D34, SEARCH("SUD_", D34), 7), IFERROR(MID(D34, SEARCH("NRO_", D34), 7), IFERROR(MID(D34, SEARCH("ADM_", D34), 7), IFERROR(MID(D34, SEARCH("NRD_", D34), 7), IFERROR(MID(D34, SEARCH("EXN_", D34), 7), IFERROR(MID(D34, SEARCH("LIT_", D34), 7), IFERROR(MID(D34, SEARCH("EST_", D34), 7), MID(D34, SEARCH("OST_",D34), 7))))))))))</f>
        <v/>
      </c>
      <c r="F34" t="inlineStr">
        <is>
          <t>{05-25-2026 goupe whatsapp incident}:    impacted by    CTR_007_Z_Messamendongo(CTR-007)  ,Cause: Boucle etherneet  ,Action: Desactivation de la bouclee</t>
        </is>
      </c>
    </row>
    <row r="35" hidden="1" s="53">
      <c r="D35" t="inlineStr">
        <is>
          <t>CTR_944_Z_Mimboman-Camtel(CTR-944)</t>
        </is>
      </c>
      <c r="E35">
        <f>IFERROR(MID(D35, SEARCH("CTR_", D35), 7), IFERROR(MID(D35, SEARCH("SUO_", D35), 7), IFERROR(MID(D35, SEARCH("SUD_", D35), 7), IFERROR(MID(D35, SEARCH("NRO_", D35), 7), IFERROR(MID(D35, SEARCH("ADM_", D35), 7), IFERROR(MID(D35, SEARCH("NRD_", D35), 7), IFERROR(MID(D35, SEARCH("EXN_", D35), 7), IFERROR(MID(D35, SEARCH("LIT_", D35), 7), IFERROR(MID(D35, SEARCH("EST_", D35), 7), MID(D35, SEARCH("OST_",D35), 7))))))))))</f>
        <v/>
      </c>
      <c r="F35" t="inlineStr">
        <is>
          <t>{05-25-2026 goupe whatsapp incident}:    impacted by    CTR_007_Z_Messamendongo(CTR-007)  ,Cause: Boucle etherneet  ,Action: Desactivation de la bouclee</t>
        </is>
      </c>
    </row>
    <row r="36" hidden="1" s="53">
      <c r="D36" t="inlineStr">
        <is>
          <t>CTR_258_Z_Koweit-City(CTR-258)</t>
        </is>
      </c>
      <c r="E36">
        <f>IFERROR(MID(D36, SEARCH("CTR_", D36), 7), IFERROR(MID(D36, SEARCH("SUO_", D36), 7), IFERROR(MID(D36, SEARCH("SUD_", D36), 7), IFERROR(MID(D36, SEARCH("NRO_", D36), 7), IFERROR(MID(D36, SEARCH("ADM_", D36), 7), IFERROR(MID(D36, SEARCH("NRD_", D36), 7), IFERROR(MID(D36, SEARCH("EXN_", D36), 7), IFERROR(MID(D36, SEARCH("LIT_", D36), 7), IFERROR(MID(D36, SEARCH("EST_", D36), 7), MID(D36, SEARCH("OST_",D36), 7))))))))))</f>
        <v/>
      </c>
      <c r="F36" t="inlineStr">
        <is>
          <t>{05-25-2026 goupe whatsapp incident}:    impacted by    CTR_007_Z_Messamendongo(CTR-007)  ,Cause: Boucle etherneet  ,Action: Desactivation de la bouclee</t>
        </is>
      </c>
    </row>
    <row r="37" hidden="1" s="53">
      <c r="D37" t="inlineStr">
        <is>
          <t>CTR_375_Z_Camp-SIC-Tsinga(CTR-375)</t>
        </is>
      </c>
      <c r="E37">
        <f>IFERROR(MID(D37, SEARCH("CTR_", D37), 7), IFERROR(MID(D37, SEARCH("SUO_", D37), 7), IFERROR(MID(D37, SEARCH("SUD_", D37), 7), IFERROR(MID(D37, SEARCH("NRO_", D37), 7), IFERROR(MID(D37, SEARCH("ADM_", D37), 7), IFERROR(MID(D37, SEARCH("NRD_", D37), 7), IFERROR(MID(D37, SEARCH("EXN_", D37), 7), IFERROR(MID(D37, SEARCH("LIT_", D37), 7), IFERROR(MID(D37, SEARCH("EST_", D37), 7), MID(D37, SEARCH("OST_",D37), 7))))))))))</f>
        <v/>
      </c>
      <c r="F37" t="inlineStr">
        <is>
          <t>{05-25-2026 goupe whatsapp incident}:    impacted by    CTR_007_Z_Messamendongo(CTR-007)  ,Cause: Boucle etherneet  ,Action: Desactivation de la bouclee</t>
        </is>
      </c>
    </row>
    <row r="38" hidden="1" s="53">
      <c r="D38" t="inlineStr">
        <is>
          <t>CTR_549_Z_Abome-New(CTR-549)</t>
        </is>
      </c>
      <c r="E38">
        <f>IFERROR(MID(D38, SEARCH("CTR_", D38), 7), IFERROR(MID(D38, SEARCH("SUO_", D38), 7), IFERROR(MID(D38, SEARCH("SUD_", D38), 7), IFERROR(MID(D38, SEARCH("NRO_", D38), 7), IFERROR(MID(D38, SEARCH("ADM_", D38), 7), IFERROR(MID(D38, SEARCH("NRD_", D38), 7), IFERROR(MID(D38, SEARCH("EXN_", D38), 7), IFERROR(MID(D38, SEARCH("LIT_", D38), 7), IFERROR(MID(D38, SEARCH("EST_", D38), 7), MID(D38, SEARCH("OST_",D38), 7))))))))))</f>
        <v/>
      </c>
      <c r="F38" t="inlineStr">
        <is>
          <t>{05-25-2026 goupe whatsapp incident}:    impacted by    CTR_007_Z_Messamendongo(CTR-007)  ,Cause: Boucle etherneet  ,Action: Desactivation de la bouclee</t>
        </is>
      </c>
    </row>
    <row r="39" hidden="1" s="53">
      <c r="D39" t="inlineStr">
        <is>
          <t>CTR_628_Z_Odza-III(CTR-628)</t>
        </is>
      </c>
      <c r="E39">
        <f>IFERROR(MID(D39, SEARCH("CTR_", D39), 7), IFERROR(MID(D39, SEARCH("SUO_", D39), 7), IFERROR(MID(D39, SEARCH("SUD_", D39), 7), IFERROR(MID(D39, SEARCH("NRO_", D39), 7), IFERROR(MID(D39, SEARCH("ADM_", D39), 7), IFERROR(MID(D39, SEARCH("NRD_", D39), 7), IFERROR(MID(D39, SEARCH("EXN_", D39), 7), IFERROR(MID(D39, SEARCH("LIT_", D39), 7), IFERROR(MID(D39, SEARCH("EST_", D39), 7), MID(D39, SEARCH("OST_",D39), 7))))))))))</f>
        <v/>
      </c>
      <c r="F39" t="inlineStr">
        <is>
          <t>{05-25-2026 goupe whatsapp incident}:    impacted by    CTR_007_Z_Messamendongo(CTR-007)  ,Cause: Boucle etherneet  ,Action: Desactivation de la bouclee</t>
        </is>
      </c>
    </row>
    <row r="40" hidden="1" s="53">
      <c r="D40" t="inlineStr">
        <is>
          <t>CTR_451_Z_Menloh-Maloume-Camrail(CTR-451)</t>
        </is>
      </c>
      <c r="E40">
        <f>IFERROR(MID(D40, SEARCH("CTR_", D40), 7), IFERROR(MID(D40, SEARCH("SUO_", D40), 7), IFERROR(MID(D40, SEARCH("SUD_", D40), 7), IFERROR(MID(D40, SEARCH("NRO_", D40), 7), IFERROR(MID(D40, SEARCH("ADM_", D40), 7), IFERROR(MID(D40, SEARCH("NRD_", D40), 7), IFERROR(MID(D40, SEARCH("EXN_", D40), 7), IFERROR(MID(D40, SEARCH("LIT_", D40), 7), IFERROR(MID(D40, SEARCH("EST_", D40), 7), MID(D40, SEARCH("OST_",D40), 7))))))))))</f>
        <v/>
      </c>
      <c r="F40" t="inlineStr">
        <is>
          <t>{05-25-2026 goupe whatsapp incident}:    impacted by    CTR_007_Z_Messamendongo(CTR-007)  ,Cause: Boucle etherneet  ,Action: Desactivation de la bouclee</t>
        </is>
      </c>
    </row>
    <row r="41" hidden="1" s="53">
      <c r="D41" t="inlineStr">
        <is>
          <t>CTR_331_Z_Clge-Advantiste(CTR-331)</t>
        </is>
      </c>
      <c r="E41">
        <f>IFERROR(MID(D41, SEARCH("CTR_", D41), 7), IFERROR(MID(D41, SEARCH("SUO_", D41), 7), IFERROR(MID(D41, SEARCH("SUD_", D41), 7), IFERROR(MID(D41, SEARCH("NRO_", D41), 7), IFERROR(MID(D41, SEARCH("ADM_", D41), 7), IFERROR(MID(D41, SEARCH("NRD_", D41), 7), IFERROR(MID(D41, SEARCH("EXN_", D41), 7), IFERROR(MID(D41, SEARCH("LIT_", D41), 7), IFERROR(MID(D41, SEARCH("EST_", D41), 7), MID(D41, SEARCH("OST_",D41), 7))))))))))</f>
        <v/>
      </c>
      <c r="F41" t="inlineStr">
        <is>
          <t>{05-25-2026 goupe whatsapp incident}:    impacted by    CTR_007_Z_Messamendongo(CTR-007)  ,Cause: Boucle etherneet  ,Action: Desactivation de la bouclee</t>
        </is>
      </c>
    </row>
    <row r="42" hidden="1" s="53">
      <c r="D42" t="inlineStr">
        <is>
          <t>CTR_635_Z_Mehanda(CTR-635)</t>
        </is>
      </c>
      <c r="E42">
        <f>IFERROR(MID(D42, SEARCH("CTR_", D42), 7), IFERROR(MID(D42, SEARCH("SUO_", D42), 7), IFERROR(MID(D42, SEARCH("SUD_", D42), 7), IFERROR(MID(D42, SEARCH("NRO_", D42), 7), IFERROR(MID(D42, SEARCH("ADM_", D42), 7), IFERROR(MID(D42, SEARCH("NRD_", D42), 7), IFERROR(MID(D42, SEARCH("EXN_", D42), 7), IFERROR(MID(D42, SEARCH("LIT_", D42), 7), IFERROR(MID(D42, SEARCH("EST_", D42), 7), MID(D42, SEARCH("OST_",D42), 7))))))))))</f>
        <v/>
      </c>
      <c r="F42" t="inlineStr">
        <is>
          <t>{05-25-2026 goupe whatsapp incident}:    impacted by    CTR_007_Z_Messamendongo(CTR-007)  ,Cause: Boucle etherneet  ,Action: Desactivation de la bouclee</t>
        </is>
      </c>
    </row>
    <row r="43" hidden="1" s="53">
      <c r="D43" t="inlineStr">
        <is>
          <t>CTR_200_Z_Bastos-BAT(CTR-200)</t>
        </is>
      </c>
      <c r="E43">
        <f>IFERROR(MID(D43, SEARCH("CTR_", D43), 7), IFERROR(MID(D43, SEARCH("SUO_", D43), 7), IFERROR(MID(D43, SEARCH("SUD_", D43), 7), IFERROR(MID(D43, SEARCH("NRO_", D43), 7), IFERROR(MID(D43, SEARCH("ADM_", D43), 7), IFERROR(MID(D43, SEARCH("NRD_", D43), 7), IFERROR(MID(D43, SEARCH("EXN_", D43), 7), IFERROR(MID(D43, SEARCH("LIT_", D43), 7), IFERROR(MID(D43, SEARCH("EST_", D43), 7), MID(D43, SEARCH("OST_",D43), 7))))))))))</f>
        <v/>
      </c>
      <c r="F43" t="inlineStr">
        <is>
          <t>{05-25-2026 goupe whatsapp incident}:    impacted by    CTR_007_Z_Messamendongo(CTR-007)  ,Cause: Boucle etherneet  ,Action: Desactivation de la bouclee</t>
        </is>
      </c>
    </row>
    <row r="44" hidden="1" s="53">
      <c r="D44" t="inlineStr">
        <is>
          <t>CTR_874_Z_IHS-China-Embassy-Yde(CTR-874)</t>
        </is>
      </c>
      <c r="E44">
        <f>IFERROR(MID(D44, SEARCH("CTR_", D44), 7), IFERROR(MID(D44, SEARCH("SUO_", D44), 7), IFERROR(MID(D44, SEARCH("SUD_", D44), 7), IFERROR(MID(D44, SEARCH("NRO_", D44), 7), IFERROR(MID(D44, SEARCH("ADM_", D44), 7), IFERROR(MID(D44, SEARCH("NRD_", D44), 7), IFERROR(MID(D44, SEARCH("EXN_", D44), 7), IFERROR(MID(D44, SEARCH("LIT_", D44), 7), IFERROR(MID(D44, SEARCH("EST_", D44), 7), MID(D44, SEARCH("OST_",D44), 7))))))))))</f>
        <v/>
      </c>
      <c r="F44" t="inlineStr">
        <is>
          <t>{05-25-2026 goupe whatsapp incident}:    impacted by    CTR_007_Z_Messamendongo(CTR-007)  ,Cause: Boucle etherneet  ,Action: Desactivation de la bouclee</t>
        </is>
      </c>
    </row>
    <row r="45" hidden="1" s="53">
      <c r="D45" t="inlineStr">
        <is>
          <t>CTR_539_Z_Ekoudou-New(CTR-539)</t>
        </is>
      </c>
      <c r="E45">
        <f>IFERROR(MID(D45, SEARCH("CTR_", D45), 7), IFERROR(MID(D45, SEARCH("SUO_", D45), 7), IFERROR(MID(D45, SEARCH("SUD_", D45), 7), IFERROR(MID(D45, SEARCH("NRO_", D45), 7), IFERROR(MID(D45, SEARCH("ADM_", D45), 7), IFERROR(MID(D45, SEARCH("NRD_", D45), 7), IFERROR(MID(D45, SEARCH("EXN_", D45), 7), IFERROR(MID(D45, SEARCH("LIT_", D45), 7), IFERROR(MID(D45, SEARCH("EST_", D45), 7), MID(D45, SEARCH("OST_",D45), 7))))))))))</f>
        <v/>
      </c>
      <c r="F45" t="inlineStr">
        <is>
          <t>{05-25-2026 goupe whatsapp incident}:    impacted by    CTR_007_Z_Messamendongo(CTR-007)  ,Cause: Boucle etherneet  ,Action: Desactivation de la bouclee</t>
        </is>
      </c>
    </row>
    <row r="46" hidden="1" s="53">
      <c r="D46" t="inlineStr">
        <is>
          <t>CTR_304_Z_Biba-MTN(CTR-304)</t>
        </is>
      </c>
      <c r="E46">
        <f>IFERROR(MID(D46, SEARCH("CTR_", D46), 7), IFERROR(MID(D46, SEARCH("SUO_", D46), 7), IFERROR(MID(D46, SEARCH("SUD_", D46), 7), IFERROR(MID(D46, SEARCH("NRO_", D46), 7), IFERROR(MID(D46, SEARCH("ADM_", D46), 7), IFERROR(MID(D46, SEARCH("NRD_", D46), 7), IFERROR(MID(D46, SEARCH("EXN_", D46), 7), IFERROR(MID(D46, SEARCH("LIT_", D46), 7), IFERROR(MID(D46, SEARCH("EST_", D46), 7), MID(D46, SEARCH("OST_",D46), 7))))))))))</f>
        <v/>
      </c>
      <c r="F46" t="inlineStr">
        <is>
          <t>{05-25-2026 goupe whatsapp incident}:    impacted by    CTR_007_Z_Messamendongo(CTR-007)  ,Cause: Boucle etherneet  ,Action: Desactivation de la bouclee</t>
        </is>
      </c>
    </row>
    <row r="47" hidden="1" s="53">
      <c r="D47" t="inlineStr">
        <is>
          <t>CTR_387_Z_Ekombitie(CTR-387)</t>
        </is>
      </c>
      <c r="E47">
        <f>IFERROR(MID(D47, SEARCH("CTR_", D47), 7), IFERROR(MID(D47, SEARCH("SUO_", D47), 7), IFERROR(MID(D47, SEARCH("SUD_", D47), 7), IFERROR(MID(D47, SEARCH("NRO_", D47), 7), IFERROR(MID(D47, SEARCH("ADM_", D47), 7), IFERROR(MID(D47, SEARCH("NRD_", D47), 7), IFERROR(MID(D47, SEARCH("EXN_", D47), 7), IFERROR(MID(D47, SEARCH("LIT_", D47), 7), IFERROR(MID(D47, SEARCH("EST_", D47), 7), MID(D47, SEARCH("OST_",D47), 7))))))))))</f>
        <v/>
      </c>
      <c r="F47" t="inlineStr">
        <is>
          <t>{05-25-2026 goupe whatsapp incident}:    impacted by    CTR_007_Z_Messamendongo(CTR-007)  ,Cause: Boucle etherneet  ,Action: Desactivation de la bouclee</t>
        </is>
      </c>
    </row>
    <row r="48" hidden="1" s="53">
      <c r="D48" t="inlineStr">
        <is>
          <t>CTR_639_Z_Mvan-IHS(CTR-639)</t>
        </is>
      </c>
      <c r="E48">
        <f>IFERROR(MID(D48, SEARCH("CTR_", D48), 7), IFERROR(MID(D48, SEARCH("SUO_", D48), 7), IFERROR(MID(D48, SEARCH("SUD_", D48), 7), IFERROR(MID(D48, SEARCH("NRO_", D48), 7), IFERROR(MID(D48, SEARCH("ADM_", D48), 7), IFERROR(MID(D48, SEARCH("NRD_", D48), 7), IFERROR(MID(D48, SEARCH("EXN_", D48), 7), IFERROR(MID(D48, SEARCH("LIT_", D48), 7), IFERROR(MID(D48, SEARCH("EST_", D48), 7), MID(D48, SEARCH("OST_",D48), 7))))))))))</f>
        <v/>
      </c>
      <c r="F48" t="inlineStr">
        <is>
          <t>{05-25-2026 goupe whatsapp incident}:    impacted by    CTR_007_Z_Messamendongo(CTR-007)  ,Cause: Boucle etherneet  ,Action: Desactivation de la bouclee</t>
        </is>
      </c>
    </row>
    <row r="49" hidden="1" s="53">
      <c r="D49" t="inlineStr">
        <is>
          <t>CTR_763_Z_Mehanda-II(CTR-763)</t>
        </is>
      </c>
      <c r="E49">
        <f>IFERROR(MID(D49, SEARCH("CTR_", D49), 7), IFERROR(MID(D49, SEARCH("SUO_", D49), 7), IFERROR(MID(D49, SEARCH("SUD_", D49), 7), IFERROR(MID(D49, SEARCH("NRO_", D49), 7), IFERROR(MID(D49, SEARCH("ADM_", D49), 7), IFERROR(MID(D49, SEARCH("NRD_", D49), 7), IFERROR(MID(D49, SEARCH("EXN_", D49), 7), IFERROR(MID(D49, SEARCH("LIT_", D49), 7), IFERROR(MID(D49, SEARCH("EST_", D49), 7), MID(D49, SEARCH("OST_",D49), 7))))))))))</f>
        <v/>
      </c>
      <c r="F49" t="inlineStr">
        <is>
          <t>{05-25-2026 goupe whatsapp incident}:    impacted by    CTR_007_Z_Messamendongo(CTR-007)  ,Cause: Boucle etherneet  ,Action: Desactivation de la bouclee</t>
        </is>
      </c>
    </row>
    <row r="50" hidden="1" s="53">
      <c r="D50" t="inlineStr">
        <is>
          <t>CTR_604_Z_Koweit-City-II-IHS(CTR-604)</t>
        </is>
      </c>
      <c r="E50">
        <f>IFERROR(MID(D50, SEARCH("CTR_", D50), 7), IFERROR(MID(D50, SEARCH("SUO_", D50), 7), IFERROR(MID(D50, SEARCH("SUD_", D50), 7), IFERROR(MID(D50, SEARCH("NRO_", D50), 7), IFERROR(MID(D50, SEARCH("ADM_", D50), 7), IFERROR(MID(D50, SEARCH("NRD_", D50), 7), IFERROR(MID(D50, SEARCH("EXN_", D50), 7), IFERROR(MID(D50, SEARCH("LIT_", D50), 7), IFERROR(MID(D50, SEARCH("EST_", D50), 7), MID(D50, SEARCH("OST_",D50), 7))))))))))</f>
        <v/>
      </c>
      <c r="F50" t="inlineStr">
        <is>
          <t>{05-25-2026 goupe whatsapp incident}:    impacted by    CTR_007_Z_Messamendongo(CTR-007)  ,Cause: Boucle etherneet  ,Action: Desactivation de la bouclee</t>
        </is>
      </c>
    </row>
    <row r="51" hidden="1" s="53">
      <c r="D51" t="inlineStr">
        <is>
          <t>CTR_866_Z_Mehanda-III(CTR-866)</t>
        </is>
      </c>
      <c r="E51">
        <f>IFERROR(MID(D51, SEARCH("CTR_", D51), 7), IFERROR(MID(D51, SEARCH("SUO_", D51), 7), IFERROR(MID(D51, SEARCH("SUD_", D51), 7), IFERROR(MID(D51, SEARCH("NRO_", D51), 7), IFERROR(MID(D51, SEARCH("ADM_", D51), 7), IFERROR(MID(D51, SEARCH("NRD_", D51), 7), IFERROR(MID(D51, SEARCH("EXN_", D51), 7), IFERROR(MID(D51, SEARCH("LIT_", D51), 7), IFERROR(MID(D51, SEARCH("EST_", D51), 7), MID(D51, SEARCH("OST_",D51), 7))))))))))</f>
        <v/>
      </c>
      <c r="F51" t="inlineStr">
        <is>
          <t>{05-25-2026 goupe whatsapp incident}:    impacted by    CTR_007_Z_Messamendongo(CTR-007)  ,Cause: Boucle etherneet  ,Action: Desactivation de la bouclee</t>
        </is>
      </c>
    </row>
    <row r="52" hidden="1" s="53">
      <c r="D52" t="inlineStr">
        <is>
          <t>CTR_049_Z_Manguier(CTR-049)</t>
        </is>
      </c>
      <c r="E52">
        <f>IFERROR(MID(D52, SEARCH("CTR_", D52), 7), IFERROR(MID(D52, SEARCH("SUO_", D52), 7), IFERROR(MID(D52, SEARCH("SUD_", D52), 7), IFERROR(MID(D52, SEARCH("NRO_", D52), 7), IFERROR(MID(D52, SEARCH("ADM_", D52), 7), IFERROR(MID(D52, SEARCH("NRD_", D52), 7), IFERROR(MID(D52, SEARCH("EXN_", D52), 7), IFERROR(MID(D52, SEARCH("LIT_", D52), 7), IFERROR(MID(D52, SEARCH("EST_", D52), 7), MID(D52, SEARCH("OST_",D52), 7))))))))))</f>
        <v/>
      </c>
      <c r="F52" t="inlineStr">
        <is>
          <t>{05-25-2026 goupe whatsapp incident}:    impacted by    CTR_007_Z_Messamendongo(CTR-007)  ,Cause: Boucle etherneet  ,Action: Desactivation de la bouclee</t>
        </is>
      </c>
    </row>
    <row r="53" hidden="1" s="53">
      <c r="D53" t="inlineStr">
        <is>
          <t>CTR_036_Z_Mfou(CTR-036)</t>
        </is>
      </c>
      <c r="E53">
        <f>IFERROR(MID(D53, SEARCH("CTR_", D53), 7), IFERROR(MID(D53, SEARCH("SUO_", D53), 7), IFERROR(MID(D53, SEARCH("SUD_", D53), 7), IFERROR(MID(D53, SEARCH("NRO_", D53), 7), IFERROR(MID(D53, SEARCH("ADM_", D53), 7), IFERROR(MID(D53, SEARCH("NRD_", D53), 7), IFERROR(MID(D53, SEARCH("EXN_", D53), 7), IFERROR(MID(D53, SEARCH("LIT_", D53), 7), IFERROR(MID(D53, SEARCH("EST_", D53), 7), MID(D53, SEARCH("OST_",D53), 7))))))))))</f>
        <v/>
      </c>
      <c r="F53" t="inlineStr">
        <is>
          <t>{05-25-2026 goupe whatsapp incident}:    impacted by    CTR_007_Z_Messamendongo(CTR-007)  ,Cause: Boucle etherneet  ,Action: Desactivation de la bouclee</t>
        </is>
      </c>
    </row>
    <row r="54" hidden="1" s="53">
      <c r="D54" t="inlineStr">
        <is>
          <t>CTR_1176_Z_Ahala-SABC(CTR-1176)</t>
        </is>
      </c>
      <c r="E54">
        <f>IFERROR(MID(D54, SEARCH("CTR_", D54), 7), IFERROR(MID(D54, SEARCH("SUO_", D54), 7), IFERROR(MID(D54, SEARCH("SUD_", D54), 7), IFERROR(MID(D54, SEARCH("NRO_", D54), 7), IFERROR(MID(D54, SEARCH("ADM_", D54), 7), IFERROR(MID(D54, SEARCH("NRD_", D54), 7), IFERROR(MID(D54, SEARCH("EXN_", D54), 7), IFERROR(MID(D54, SEARCH("LIT_", D54), 7), IFERROR(MID(D54, SEARCH("EST_", D54), 7), MID(D54, SEARCH("OST_",D54), 7))))))))))</f>
        <v/>
      </c>
      <c r="F54" t="inlineStr">
        <is>
          <t>{05-25-2026 goupe whatsapp incident}:    impacted by    CTR_007_Z_Messamendongo(CTR-007)  ,Cause: Boucle etherneet  ,Action: Desactivation de la bouclee</t>
        </is>
      </c>
    </row>
    <row r="55" hidden="1" s="53">
      <c r="D55" t="inlineStr">
        <is>
          <t>CTR_062_Z_Nomayos(CTR-062)</t>
        </is>
      </c>
      <c r="E55">
        <f>IFERROR(MID(D55, SEARCH("CTR_", D55), 7), IFERROR(MID(D55, SEARCH("SUO_", D55), 7), IFERROR(MID(D55, SEARCH("SUD_", D55), 7), IFERROR(MID(D55, SEARCH("NRO_", D55), 7), IFERROR(MID(D55, SEARCH("ADM_", D55), 7), IFERROR(MID(D55, SEARCH("NRD_", D55), 7), IFERROR(MID(D55, SEARCH("EXN_", D55), 7), IFERROR(MID(D55, SEARCH("LIT_", D55), 7), IFERROR(MID(D55, SEARCH("EST_", D55), 7), MID(D55, SEARCH("OST_",D55), 7))))))))))</f>
        <v/>
      </c>
      <c r="F55" t="inlineStr">
        <is>
          <t>{05-25-2026 goupe whatsapp incident}:    impacted by    CTR_007_Z_Messamendongo(CTR-007)  ,Cause: Boucle etherneet  ,Action: Desactivation de la bouclee</t>
        </is>
      </c>
    </row>
    <row r="56" hidden="1" s="53">
      <c r="D56" t="inlineStr">
        <is>
          <t>CTR_060_Z_Nkeng-Likok(CTR-060)</t>
        </is>
      </c>
      <c r="E56">
        <f>IFERROR(MID(D56, SEARCH("CTR_", D56), 7), IFERROR(MID(D56, SEARCH("SUO_", D56), 7), IFERROR(MID(D56, SEARCH("SUD_", D56), 7), IFERROR(MID(D56, SEARCH("NRO_", D56), 7), IFERROR(MID(D56, SEARCH("ADM_", D56), 7), IFERROR(MID(D56, SEARCH("NRD_", D56), 7), IFERROR(MID(D56, SEARCH("EXN_", D56), 7), IFERROR(MID(D56, SEARCH("LIT_", D56), 7), IFERROR(MID(D56, SEARCH("EST_", D56), 7), MID(D56, SEARCH("OST_",D56), 7))))))))))</f>
        <v/>
      </c>
      <c r="F56" t="inlineStr">
        <is>
          <t>{05-25-2026 goupe whatsapp incident}:    impacted by    CTR_007_Z_Messamendongo(CTR-007)  ,Cause: Boucle etherneet  ,Action: Desactivation de la bouclee</t>
        </is>
      </c>
    </row>
    <row r="57" hidden="1" s="53">
      <c r="D57" t="inlineStr">
        <is>
          <t>CTR_441_Z_Olama-IHS(CTR-441)</t>
        </is>
      </c>
      <c r="E57">
        <f>IFERROR(MID(D57, SEARCH("CTR_", D57), 7), IFERROR(MID(D57, SEARCH("SUO_", D57), 7), IFERROR(MID(D57, SEARCH("SUD_", D57), 7), IFERROR(MID(D57, SEARCH("NRO_", D57), 7), IFERROR(MID(D57, SEARCH("ADM_", D57), 7), IFERROR(MID(D57, SEARCH("NRD_", D57), 7), IFERROR(MID(D57, SEARCH("EXN_", D57), 7), IFERROR(MID(D57, SEARCH("LIT_", D57), 7), IFERROR(MID(D57, SEARCH("EST_", D57), 7), MID(D57, SEARCH("OST_",D57), 7))))))))))</f>
        <v/>
      </c>
      <c r="F57" t="inlineStr">
        <is>
          <t>{05-25-2026 goupe whatsapp incident}:    impacted by    CTR_007_Z_Messamendongo(CTR-007)  ,Cause: Boucle etherneet  ,Action: Desactivation de la bouclee</t>
        </is>
      </c>
    </row>
    <row r="58" hidden="1" s="53">
      <c r="D58" t="inlineStr">
        <is>
          <t>CTR_653_Z_Mfou-Entree(CTR-653)</t>
        </is>
      </c>
      <c r="E58">
        <f>IFERROR(MID(D58, SEARCH("CTR_", D58), 7), IFERROR(MID(D58, SEARCH("SUO_", D58), 7), IFERROR(MID(D58, SEARCH("SUD_", D58), 7), IFERROR(MID(D58, SEARCH("NRO_", D58), 7), IFERROR(MID(D58, SEARCH("ADM_", D58), 7), IFERROR(MID(D58, SEARCH("NRD_", D58), 7), IFERROR(MID(D58, SEARCH("EXN_", D58), 7), IFERROR(MID(D58, SEARCH("LIT_", D58), 7), IFERROR(MID(D58, SEARCH("EST_", D58), 7), MID(D58, SEARCH("OST_",D58), 7))))))))))</f>
        <v/>
      </c>
      <c r="F58" t="inlineStr">
        <is>
          <t>{05-25-2026 goupe whatsapp incident}:    impacted by    CTR_007_Z_Messamendongo(CTR-007)  ,Cause: Boucle etherneet  ,Action: Desactivation de la bouclee</t>
        </is>
      </c>
    </row>
    <row r="59" hidden="1" s="53">
      <c r="D59" t="inlineStr">
        <is>
          <t>CTR_237_Z_Barriere(CTR-237)</t>
        </is>
      </c>
      <c r="E59">
        <f>IFERROR(MID(D59, SEARCH("CTR_", D59), 7), IFERROR(MID(D59, SEARCH("SUO_", D59), 7), IFERROR(MID(D59, SEARCH("SUD_", D59), 7), IFERROR(MID(D59, SEARCH("NRO_", D59), 7), IFERROR(MID(D59, SEARCH("ADM_", D59), 7), IFERROR(MID(D59, SEARCH("NRD_", D59), 7), IFERROR(MID(D59, SEARCH("EXN_", D59), 7), IFERROR(MID(D59, SEARCH("LIT_", D59), 7), IFERROR(MID(D59, SEARCH("EST_", D59), 7), MID(D59, SEARCH("OST_",D59), 7))))))))))</f>
        <v/>
      </c>
      <c r="F59" t="inlineStr">
        <is>
          <t>{05-25-2026 goupe whatsapp incident}:    impacted by    CTR_007_Z_Messamendongo(CTR-007)  ,Cause: Boucle etherneet  ,Action: Desactivation de la bouclee</t>
        </is>
      </c>
    </row>
    <row r="60" hidden="1" s="53">
      <c r="D60" t="inlineStr">
        <is>
          <t>CTR_464_Z_Mfou-EPC-MTN-IHS(CTR-464)</t>
        </is>
      </c>
      <c r="E60">
        <f>IFERROR(MID(D60, SEARCH("CTR_", D60), 7), IFERROR(MID(D60, SEARCH("SUO_", D60), 7), IFERROR(MID(D60, SEARCH("SUD_", D60), 7), IFERROR(MID(D60, SEARCH("NRO_", D60), 7), IFERROR(MID(D60, SEARCH("ADM_", D60), 7), IFERROR(MID(D60, SEARCH("NRD_", D60), 7), IFERROR(MID(D60, SEARCH("EXN_", D60), 7), IFERROR(MID(D60, SEARCH("LIT_", D60), 7), IFERROR(MID(D60, SEARCH("EST_", D60), 7), MID(D60, SEARCH("OST_",D60), 7))))))))))</f>
        <v/>
      </c>
      <c r="F60" t="inlineStr">
        <is>
          <t>{05-25-2026 goupe whatsapp incident}:    impacted by    CTR_007_Z_Messamendongo(CTR-007)  ,Cause: Boucle etherneet  ,Action: Desactivation de la bouclee</t>
        </is>
      </c>
    </row>
    <row r="61" hidden="1" s="53">
      <c r="D61" t="inlineStr">
        <is>
          <t>CTR_116_Z_Ebeba(CTR-116)</t>
        </is>
      </c>
      <c r="E61">
        <f>IFERROR(MID(D61, SEARCH("CTR_", D61), 7), IFERROR(MID(D61, SEARCH("SUO_", D61), 7), IFERROR(MID(D61, SEARCH("SUD_", D61), 7), IFERROR(MID(D61, SEARCH("NRO_", D61), 7), IFERROR(MID(D61, SEARCH("ADM_", D61), 7), IFERROR(MID(D61, SEARCH("NRD_", D61), 7), IFERROR(MID(D61, SEARCH("EXN_", D61), 7), IFERROR(MID(D61, SEARCH("LIT_", D61), 7), IFERROR(MID(D61, SEARCH("EST_", D61), 7), MID(D61, SEARCH("OST_",D61), 7))))))))))</f>
        <v/>
      </c>
      <c r="F61" t="inlineStr">
        <is>
          <t>{05-25-2026 goupe whatsapp incident}:    impacted by    CTR_007_Z_Messamendongo(CTR-007)  ,Cause: Boucle etherneet  ,Action: Desactivation de la bouclee</t>
        </is>
      </c>
    </row>
    <row r="62" hidden="1" s="53">
      <c r="D62" t="inlineStr">
        <is>
          <t>CTR_1159_Z_Nkolda-Hotel-The-Place(CTR-1159)</t>
        </is>
      </c>
      <c r="E62">
        <f>IFERROR(MID(D62, SEARCH("CTR_", D62), 7), IFERROR(MID(D62, SEARCH("SUO_", D62), 7), IFERROR(MID(D62, SEARCH("SUD_", D62), 7), IFERROR(MID(D62, SEARCH("NRO_", D62), 7), IFERROR(MID(D62, SEARCH("ADM_", D62), 7), IFERROR(MID(D62, SEARCH("NRD_", D62), 7), IFERROR(MID(D62, SEARCH("EXN_", D62), 7), IFERROR(MID(D62, SEARCH("LIT_", D62), 7), IFERROR(MID(D62, SEARCH("EST_", D62), 7), MID(D62, SEARCH("OST_",D62), 7))))))))))</f>
        <v/>
      </c>
      <c r="F62" t="inlineStr">
        <is>
          <t>{05-25-2026 goupe whatsapp incident}:    impacted by    CTR_007_Z_Messamendongo(CTR-007)  ,Cause: Boucle etherneet  ,Action: Desactivation de la bouclee</t>
        </is>
      </c>
    </row>
    <row r="63" hidden="1" s="53">
      <c r="D63" t="inlineStr">
        <is>
          <t>CTR_463_Z_AFANOYA-MTN-IHS(CTR-463)</t>
        </is>
      </c>
      <c r="E63">
        <f>IFERROR(MID(D63, SEARCH("CTR_", D63), 7), IFERROR(MID(D63, SEARCH("SUO_", D63), 7), IFERROR(MID(D63, SEARCH("SUD_", D63), 7), IFERROR(MID(D63, SEARCH("NRO_", D63), 7), IFERROR(MID(D63, SEARCH("ADM_", D63), 7), IFERROR(MID(D63, SEARCH("NRD_", D63), 7), IFERROR(MID(D63, SEARCH("EXN_", D63), 7), IFERROR(MID(D63, SEARCH("LIT_", D63), 7), IFERROR(MID(D63, SEARCH("EST_", D63), 7), MID(D63, SEARCH("OST_",D63), 7))))))))))</f>
        <v/>
      </c>
      <c r="F63" t="inlineStr">
        <is>
          <t>{05-25-2026 goupe whatsapp incident}:    impacted by    CTR_007_Z_Messamendongo(CTR-007)  ,Cause: Boucle etherneet  ,Action: Desactivation de la bouclee</t>
        </is>
      </c>
    </row>
    <row r="64" hidden="1" s="53">
      <c r="D64" t="inlineStr">
        <is>
          <t>CTR_488_Z_Nsam-Sofavinc-IHS(CTR-488)</t>
        </is>
      </c>
      <c r="E64">
        <f>IFERROR(MID(D64, SEARCH("CTR_", D64), 7), IFERROR(MID(D64, SEARCH("SUO_", D64), 7), IFERROR(MID(D64, SEARCH("SUD_", D64), 7), IFERROR(MID(D64, SEARCH("NRO_", D64), 7), IFERROR(MID(D64, SEARCH("ADM_", D64), 7), IFERROR(MID(D64, SEARCH("NRD_", D64), 7), IFERROR(MID(D64, SEARCH("EXN_", D64), 7), IFERROR(MID(D64, SEARCH("LIT_", D64), 7), IFERROR(MID(D64, SEARCH("EST_", D64), 7), MID(D64, SEARCH("OST_",D64), 7))))))))))</f>
        <v/>
      </c>
      <c r="F64" t="inlineStr">
        <is>
          <t>{05-25-2026 goupe whatsapp incident}:    impacted by    CTR_007_Z_Messamendongo(CTR-007)  ,Cause: Boucle etherneet  ,Action: Desactivation de la bouclee</t>
        </is>
      </c>
    </row>
    <row r="65" hidden="1" s="53">
      <c r="D65" t="inlineStr">
        <is>
          <t>CTR_010_Z_Nsimalen(CTR-010)</t>
        </is>
      </c>
      <c r="E65">
        <f>IFERROR(MID(D65, SEARCH("CTR_", D65), 7), IFERROR(MID(D65, SEARCH("SUO_", D65), 7), IFERROR(MID(D65, SEARCH("SUD_", D65), 7), IFERROR(MID(D65, SEARCH("NRO_", D65), 7), IFERROR(MID(D65, SEARCH("ADM_", D65), 7), IFERROR(MID(D65, SEARCH("NRD_", D65), 7), IFERROR(MID(D65, SEARCH("EXN_", D65), 7), IFERROR(MID(D65, SEARCH("LIT_", D65), 7), IFERROR(MID(D65, SEARCH("EST_", D65), 7), MID(D65, SEARCH("OST_",D65), 7))))))))))</f>
        <v/>
      </c>
      <c r="F65" t="inlineStr">
        <is>
          <t>{05-25-2026 goupe whatsapp incident}:    impacted by    CTR_007_Z_Messamendongo(CTR-007)  ,Cause: Boucle etherneet  ,Action: Desactivation de la bouclee</t>
        </is>
      </c>
    </row>
    <row r="66" hidden="1" s="53">
      <c r="D66" t="inlineStr">
        <is>
          <t>CTR_646_Z_Minkan-Nord-IHS(CTR-646)</t>
        </is>
      </c>
      <c r="E66">
        <f>IFERROR(MID(D66, SEARCH("CTR_", D66), 7), IFERROR(MID(D66, SEARCH("SUO_", D66), 7), IFERROR(MID(D66, SEARCH("SUD_", D66), 7), IFERROR(MID(D66, SEARCH("NRO_", D66), 7), IFERROR(MID(D66, SEARCH("ADM_", D66), 7), IFERROR(MID(D66, SEARCH("NRD_", D66), 7), IFERROR(MID(D66, SEARCH("EXN_", D66), 7), IFERROR(MID(D66, SEARCH("LIT_", D66), 7), IFERROR(MID(D66, SEARCH("EST_", D66), 7), MID(D66, SEARCH("OST_",D66), 7))))))))))</f>
        <v/>
      </c>
      <c r="F66" t="inlineStr">
        <is>
          <t>{05-25-2026 goupe whatsapp incident}:    impacted by    CTR_007_Z_Messamendongo(CTR-007)  ,Cause: Boucle etherneet  ,Action: Desactivation de la bouclee</t>
        </is>
      </c>
    </row>
    <row r="67" hidden="1" s="53">
      <c r="D67" t="inlineStr">
        <is>
          <t>CTR_358_Z_Angongo(CTR-358)</t>
        </is>
      </c>
      <c r="E67">
        <f>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
      </c>
      <c r="F67" t="inlineStr">
        <is>
          <t>{05-25-2026 goupe whatsapp incident}:    impacted by    CTR_007_Z_Messamendongo(CTR-007)  ,Cause: Boucle etherneet  ,Action: Desactivation de la bouclee</t>
        </is>
      </c>
    </row>
    <row r="68" hidden="1" s="53">
      <c r="D68" t="inlineStr">
        <is>
          <t>CTR_766_Z_Rain-forest-School(CTR-766)</t>
        </is>
      </c>
      <c r="E68">
        <f>IFERROR(MID(D68, SEARCH("CTR_", D68), 7), IFERROR(MID(D68, SEARCH("SUO_", D68), 7), IFERROR(MID(D68, SEARCH("SUD_", D68), 7), IFERROR(MID(D68, SEARCH("NRO_", D68), 7), IFERROR(MID(D68, SEARCH("ADM_", D68), 7), IFERROR(MID(D68, SEARCH("NRD_", D68), 7), IFERROR(MID(D68, SEARCH("EXN_", D68), 7), IFERROR(MID(D68, SEARCH("LIT_", D68), 7), IFERROR(MID(D68, SEARCH("EST_", D68), 7), MID(D68, SEARCH("OST_",D68), 7))))))))))</f>
        <v/>
      </c>
      <c r="F68" t="inlineStr">
        <is>
          <t>{05-25-2026 goupe whatsapp incident}:    impacted by    CTR_007_Z_Messamendongo(CTR-007)  ,Cause: Boucle etherneet  ,Action: Desactivation de la bouclee</t>
        </is>
      </c>
    </row>
    <row r="69" hidden="1" s="53">
      <c r="D69" t="inlineStr">
        <is>
          <t>CTR_733_Z_Nkongtock-IHS(CTR-733)</t>
        </is>
      </c>
      <c r="E69">
        <f>IFERROR(MID(D69, SEARCH("CTR_", D69), 7), IFERROR(MID(D69, SEARCH("SUO_", D69), 7), IFERROR(MID(D69, SEARCH("SUD_", D69), 7), IFERROR(MID(D69, SEARCH("NRO_", D69), 7), IFERROR(MID(D69, SEARCH("ADM_", D69), 7), IFERROR(MID(D69, SEARCH("NRD_", D69), 7), IFERROR(MID(D69, SEARCH("EXN_", D69), 7), IFERROR(MID(D69, SEARCH("LIT_", D69), 7), IFERROR(MID(D69, SEARCH("EST_", D69), 7), MID(D69, SEARCH("OST_",D69), 7))))))))))</f>
        <v/>
      </c>
      <c r="F69" t="inlineStr">
        <is>
          <t>{05-25-2026 goupe whatsapp incident}:    impacted by    CTR_007_Z_Messamendongo(CTR-007)  ,Cause: Boucle etherneet  ,Action: Desactivation de la bouclee</t>
        </is>
      </c>
    </row>
    <row r="70" hidden="1" s="53">
      <c r="D70" t="inlineStr">
        <is>
          <t>CTR_066_Z_Mandoumba(CTR-066)</t>
        </is>
      </c>
      <c r="E70">
        <f>IFERROR(MID(D70, SEARCH("CTR_", D70), 7), IFERROR(MID(D70, SEARCH("SUO_", D70), 7), IFERROR(MID(D70, SEARCH("SUD_", D70), 7), IFERROR(MID(D70, SEARCH("NRO_", D70), 7), IFERROR(MID(D70, SEARCH("ADM_", D70), 7), IFERROR(MID(D70, SEARCH("NRD_", D70), 7), IFERROR(MID(D70, SEARCH("EXN_", D70), 7), IFERROR(MID(D70, SEARCH("LIT_", D70), 7), IFERROR(MID(D70, SEARCH("EST_", D70), 7), MID(D70, SEARCH("OST_",D70), 7))))))))))</f>
        <v/>
      </c>
      <c r="F70" t="inlineStr">
        <is>
          <t>{05-25-2026 goupe whatsapp incident}:    impacted by    CTR_007_Z_Messamendongo(CTR-007)  ,Cause: Boucle etherneet  ,Action: Desactivation de la bouclee</t>
        </is>
      </c>
    </row>
    <row r="71" hidden="1" s="53">
      <c r="D71" t="inlineStr">
        <is>
          <t>CTR_222_Z_Mbankomo-MTN(CTR-222)</t>
        </is>
      </c>
      <c r="E71">
        <f>IFERROR(MID(D71, SEARCH("CTR_", D71), 7), IFERROR(MID(D71, SEARCH("SUO_", D71), 7), IFERROR(MID(D71, SEARCH("SUD_", D71), 7), IFERROR(MID(D71, SEARCH("NRO_", D71), 7), IFERROR(MID(D71, SEARCH("ADM_", D71), 7), IFERROR(MID(D71, SEARCH("NRD_", D71), 7), IFERROR(MID(D71, SEARCH("EXN_", D71), 7), IFERROR(MID(D71, SEARCH("LIT_", D71), 7), IFERROR(MID(D71, SEARCH("EST_", D71), 7), MID(D71, SEARCH("OST_",D71), 7))))))))))</f>
        <v/>
      </c>
      <c r="F71" t="inlineStr">
        <is>
          <t>{05-25-2026 goupe whatsapp incident}:    impacted by    CTR_007_Z_Messamendongo(CTR-007)  ,Cause: Boucle etherneet  ,Action: Desactivation de la bouclee</t>
        </is>
      </c>
    </row>
    <row r="72" hidden="1" s="53">
      <c r="D72" t="inlineStr">
        <is>
          <t>CTR_487_Z_Mvan-MRS-IHS(CTR-487)</t>
        </is>
      </c>
      <c r="E72">
        <f>IFERROR(MID(D72, SEARCH("CTR_", D72), 7), IFERROR(MID(D72, SEARCH("SUO_", D72), 7), IFERROR(MID(D72, SEARCH("SUD_", D72), 7), IFERROR(MID(D72, SEARCH("NRO_", D72), 7), IFERROR(MID(D72, SEARCH("ADM_", D72), 7), IFERROR(MID(D72, SEARCH("NRD_", D72), 7), IFERROR(MID(D72, SEARCH("EXN_", D72), 7), IFERROR(MID(D72, SEARCH("LIT_", D72), 7), IFERROR(MID(D72, SEARCH("EST_", D72), 7), MID(D72, SEARCH("OST_",D72), 7))))))))))</f>
        <v/>
      </c>
      <c r="F72" t="inlineStr">
        <is>
          <t>{05-25-2026 goupe whatsapp incident}:    impacted by    CTR_007_Z_Messamendongo(CTR-007)  ,Cause: Boucle etherneet  ,Action: Desactivation de la bouclee</t>
        </is>
      </c>
    </row>
    <row r="73" hidden="1" s="53">
      <c r="D73" t="inlineStr">
        <is>
          <t>CTR_527_Z_Nomayos-IHS(CTR-527)</t>
        </is>
      </c>
      <c r="E73">
        <f>IFERROR(MID(D73, SEARCH("CTR_", D73), 7), IFERROR(MID(D73, SEARCH("SUO_", D73), 7), IFERROR(MID(D73, SEARCH("SUD_", D73), 7), IFERROR(MID(D73, SEARCH("NRO_", D73), 7), IFERROR(MID(D73, SEARCH("ADM_", D73), 7), IFERROR(MID(D73, SEARCH("NRD_", D73), 7), IFERROR(MID(D73, SEARCH("EXN_", D73), 7), IFERROR(MID(D73, SEARCH("LIT_", D73), 7), IFERROR(MID(D73, SEARCH("EST_", D73), 7), MID(D73, SEARCH("OST_",D73), 7))))))))))</f>
        <v/>
      </c>
      <c r="F73" t="inlineStr">
        <is>
          <t>{05-25-2026 goupe whatsapp incident}:    impacted by    CTR_007_Z_Messamendongo(CTR-007)  ,Cause: Boucle etherneet  ,Action: Desactivation de la bouclee</t>
        </is>
      </c>
    </row>
    <row r="74" hidden="1" s="53">
      <c r="D74" t="inlineStr">
        <is>
          <t>CTR_541_Z_Mbankomo-Okoa-Maria(CTR-541)</t>
        </is>
      </c>
      <c r="E74">
        <f>IFERROR(MID(D74, SEARCH("CTR_", D74), 7), IFERROR(MID(D74, SEARCH("SUO_", D74), 7), IFERROR(MID(D74, SEARCH("SUD_", D74), 7), IFERROR(MID(D74, SEARCH("NRO_", D74), 7), IFERROR(MID(D74, SEARCH("ADM_", D74), 7), IFERROR(MID(D74, SEARCH("NRD_", D74), 7), IFERROR(MID(D74, SEARCH("EXN_", D74), 7), IFERROR(MID(D74, SEARCH("LIT_", D74), 7), IFERROR(MID(D74, SEARCH("EST_", D74), 7), MID(D74, SEARCH("OST_",D74), 7))))))))))</f>
        <v/>
      </c>
      <c r="F74" t="inlineStr">
        <is>
          <t>{05-25-2026 goupe whatsapp incident}:    impacted by    CTR_007_Z_Messamendongo(CTR-007)  ,Cause: Boucle etherneet  ,Action: Desactivation de la bouclee</t>
        </is>
      </c>
    </row>
    <row r="75" hidden="1" s="53">
      <c r="D75" t="inlineStr">
        <is>
          <t>CTR_710_Z_Mbankomo-Dajoll(CTR-710)</t>
        </is>
      </c>
      <c r="E75">
        <f>IFERROR(MID(D75, SEARCH("CTR_", D75), 7), IFERROR(MID(D75, SEARCH("SUO_", D75), 7), IFERROR(MID(D75, SEARCH("SUD_", D75), 7), IFERROR(MID(D75, SEARCH("NRO_", D75), 7), IFERROR(MID(D75, SEARCH("ADM_", D75), 7), IFERROR(MID(D75, SEARCH("NRD_", D75), 7), IFERROR(MID(D75, SEARCH("EXN_", D75), 7), IFERROR(MID(D75, SEARCH("LIT_", D75), 7), IFERROR(MID(D75, SEARCH("EST_", D75), 7), MID(D75, SEARCH("OST_",D75), 7))))))))))</f>
        <v/>
      </c>
      <c r="F75" t="inlineStr">
        <is>
          <t>{05-25-2026 goupe whatsapp incident}:    impacted by    CTR_007_Z_Messamendongo(CTR-007)  ,Cause: Boucle etherneet  ,Action: Desactivation de la bouclee</t>
        </is>
      </c>
    </row>
    <row r="76" hidden="1" s="53">
      <c r="D76" t="inlineStr">
        <is>
          <t>CTR_776_Z_Nkolda-II(CTR-776)</t>
        </is>
      </c>
      <c r="E76">
        <f>IFERROR(MID(D76, SEARCH("CTR_", D76), 7), IFERROR(MID(D76, SEARCH("SUO_", D76), 7), IFERROR(MID(D76, SEARCH("SUD_", D76), 7), IFERROR(MID(D76, SEARCH("NRO_", D76), 7), IFERROR(MID(D76, SEARCH("ADM_", D76), 7), IFERROR(MID(D76, SEARCH("NRD_", D76), 7), IFERROR(MID(D76, SEARCH("EXN_", D76), 7), IFERROR(MID(D76, SEARCH("LIT_", D76), 7), IFERROR(MID(D76, SEARCH("EST_", D76), 7), MID(D76, SEARCH("OST_",D76), 7))))))))))</f>
        <v/>
      </c>
      <c r="F76" t="inlineStr">
        <is>
          <t>{05-25-2026 goupe whatsapp incident}:    impacted by    CTR_007_Z_Messamendongo(CTR-007)  ,Cause: Boucle etherneet  ,Action: Desactivation de la bouclee</t>
        </is>
      </c>
    </row>
    <row r="77" hidden="1" s="53">
      <c r="D77" t="inlineStr">
        <is>
          <t>CTR_528_Z_Mbankomo-IHS(CTR-528)</t>
        </is>
      </c>
      <c r="E77">
        <f>IFERROR(MID(D77, SEARCH("CTR_", D77), 7), IFERROR(MID(D77, SEARCH("SUO_", D77), 7), IFERROR(MID(D77, SEARCH("SUD_", D77), 7), IFERROR(MID(D77, SEARCH("NRO_", D77), 7), IFERROR(MID(D77, SEARCH("ADM_", D77), 7), IFERROR(MID(D77, SEARCH("NRD_", D77), 7), IFERROR(MID(D77, SEARCH("EXN_", D77), 7), IFERROR(MID(D77, SEARCH("LIT_", D77), 7), IFERROR(MID(D77, SEARCH("EST_", D77), 7), MID(D77, SEARCH("OST_",D77), 7))))))))))</f>
        <v/>
      </c>
      <c r="F77" t="inlineStr">
        <is>
          <t>{05-25-2026 goupe whatsapp incident}:    impacted by    CTR_007_Z_Messamendongo(CTR-007)  ,Cause: Boucle etherneet  ,Action: Desactivation de la bouclee</t>
        </is>
      </c>
    </row>
    <row r="78" hidden="1" s="53">
      <c r="D78" t="inlineStr">
        <is>
          <t>CTR_774_Z_Bong-assi(CTR-774)</t>
        </is>
      </c>
      <c r="E78">
        <f>IFERROR(MID(D78, SEARCH("CTR_", D78), 7), IFERROR(MID(D78, SEARCH("SUO_", D78), 7), IFERROR(MID(D78, SEARCH("SUD_", D78), 7), IFERROR(MID(D78, SEARCH("NRO_", D78), 7), IFERROR(MID(D78, SEARCH("ADM_", D78), 7), IFERROR(MID(D78, SEARCH("NRD_", D78), 7), IFERROR(MID(D78, SEARCH("EXN_", D78), 7), IFERROR(MID(D78, SEARCH("LIT_", D78), 7), IFERROR(MID(D78, SEARCH("EST_", D78), 7), MID(D78, SEARCH("OST_",D78), 7))))))))))</f>
        <v/>
      </c>
      <c r="F78" t="inlineStr">
        <is>
          <t>{05-25-2026 goupe whatsapp incident}:    impacted by    CTR_007_Z_Messamendongo(CTR-007)  ,Cause: Boucle etherneet  ,Action: Desactivation de la bouclee</t>
        </is>
      </c>
    </row>
    <row r="79" hidden="1" s="53">
      <c r="D79" t="inlineStr">
        <is>
          <t>CTR_724_Z_Nsimalen-highway-I(CTR-724)</t>
        </is>
      </c>
      <c r="E79">
        <f>IFERROR(MID(D79, SEARCH("CTR_", D79), 7), IFERROR(MID(D79, SEARCH("SUO_", D79), 7), IFERROR(MID(D79, SEARCH("SUD_", D79), 7), IFERROR(MID(D79, SEARCH("NRO_", D79), 7), IFERROR(MID(D79, SEARCH("ADM_", D79), 7), IFERROR(MID(D79, SEARCH("NRD_", D79), 7), IFERROR(MID(D79, SEARCH("EXN_", D79), 7), IFERROR(MID(D79, SEARCH("LIT_", D79), 7), IFERROR(MID(D79, SEARCH("EST_", D79), 7), MID(D79, SEARCH("OST_",D79), 7))))))))))</f>
        <v/>
      </c>
      <c r="F79" t="inlineStr">
        <is>
          <t>{05-25-2026 goupe whatsapp incident}:    impacted by    CTR_007_Z_Messamendongo(CTR-007)  ,Cause: Boucle etherneet  ,Action: Desactivation de la bouclee</t>
        </is>
      </c>
    </row>
    <row r="80" hidden="1" s="53">
      <c r="D80" t="inlineStr">
        <is>
          <t>CTR_749_Z_ESSAZOK(CTR-749)</t>
        </is>
      </c>
      <c r="E80">
        <f>IFERROR(MID(D80, SEARCH("CTR_", D80), 7), IFERROR(MID(D80, SEARCH("SUO_", D80), 7), IFERROR(MID(D80, SEARCH("SUD_", D80), 7), IFERROR(MID(D80, SEARCH("NRO_", D80), 7), IFERROR(MID(D80, SEARCH("ADM_", D80), 7), IFERROR(MID(D80, SEARCH("NRD_", D80), 7), IFERROR(MID(D80, SEARCH("EXN_", D80), 7), IFERROR(MID(D80, SEARCH("LIT_", D80), 7), IFERROR(MID(D80, SEARCH("EST_", D80), 7), MID(D80, SEARCH("OST_",D80), 7))))))))))</f>
        <v/>
      </c>
      <c r="F80" t="inlineStr">
        <is>
          <t>{05-25-2026 goupe whatsapp incident}:    impacted by    CTR_007_Z_Messamendongo(CTR-007)  ,Cause: Boucle etherneet  ,Action: Desactivation de la bouclee</t>
        </is>
      </c>
    </row>
    <row r="81" hidden="1" s="53">
      <c r="D81" t="inlineStr">
        <is>
          <t>CTR_725_Z_Nsimalen-highway-II(CTR-725)</t>
        </is>
      </c>
      <c r="E81">
        <f>IFERROR(MID(D81, SEARCH("CTR_", D81), 7), IFERROR(MID(D81, SEARCH("SUO_", D81), 7), IFERROR(MID(D81, SEARCH("SUD_", D81), 7), IFERROR(MID(D81, SEARCH("NRO_", D81), 7), IFERROR(MID(D81, SEARCH("ADM_", D81), 7), IFERROR(MID(D81, SEARCH("NRD_", D81), 7), IFERROR(MID(D81, SEARCH("EXN_", D81), 7), IFERROR(MID(D81, SEARCH("LIT_", D81), 7), IFERROR(MID(D81, SEARCH("EST_", D81), 7), MID(D81, SEARCH("OST_",D81), 7))))))))))</f>
        <v/>
      </c>
      <c r="F81" t="inlineStr">
        <is>
          <t>{05-25-2026 goupe whatsapp incident}:    impacted by    CTR_007_Z_Messamendongo(CTR-007)  ,Cause: Boucle etherneet  ,Action: Desactivation de la bouclee</t>
        </is>
      </c>
    </row>
    <row r="82" hidden="1" s="53">
      <c r="D82" t="inlineStr">
        <is>
          <t>CTR_936_Z_Nsimalen-TOUTOULI(CTR-936)</t>
        </is>
      </c>
      <c r="E82">
        <f>IFERROR(MID(D82, SEARCH("CTR_", D82), 7), IFERROR(MID(D82, SEARCH("SUO_", D82), 7), IFERROR(MID(D82, SEARCH("SUD_", D82), 7), IFERROR(MID(D82, SEARCH("NRO_", D82), 7), IFERROR(MID(D82, SEARCH("ADM_", D82), 7), IFERROR(MID(D82, SEARCH("NRD_", D82), 7), IFERROR(MID(D82, SEARCH("EXN_", D82), 7), IFERROR(MID(D82, SEARCH("LIT_", D82), 7), IFERROR(MID(D82, SEARCH("EST_", D82), 7), MID(D82, SEARCH("OST_",D82), 7))))))))))</f>
        <v/>
      </c>
      <c r="F82" t="inlineStr">
        <is>
          <t>{05-25-2026 goupe whatsapp incident}:    impacted by    CTR_007_Z_Messamendongo(CTR-007)  ,Cause: Boucle etherneet  ,Action: Desactivation de la bouclee</t>
        </is>
      </c>
    </row>
    <row r="83" hidden="1" s="53">
      <c r="D83" t="inlineStr">
        <is>
          <t>CTR_951_Z_Odza-Entree-Plaque-LB(CTR-951)</t>
        </is>
      </c>
      <c r="E83">
        <f>IFERROR(MID(D83, SEARCH("CTR_", D83), 7), IFERROR(MID(D83, SEARCH("SUO_", D83), 7), IFERROR(MID(D83, SEARCH("SUD_", D83), 7), IFERROR(MID(D83, SEARCH("NRO_", D83), 7), IFERROR(MID(D83, SEARCH("ADM_", D83), 7), IFERROR(MID(D83, SEARCH("NRD_", D83), 7), IFERROR(MID(D83, SEARCH("EXN_", D83), 7), IFERROR(MID(D83, SEARCH("LIT_", D83), 7), IFERROR(MID(D83, SEARCH("EST_", D83), 7), MID(D83, SEARCH("OST_",D83), 7))))))))))</f>
        <v/>
      </c>
      <c r="F83" t="inlineStr">
        <is>
          <t>{05-25-2026 goupe whatsapp incident}:    impacted by    CTR_007_Z_Messamendongo(CTR-007)  ,Cause: Boucle etherneet  ,Action: Desactivation de la bouclee</t>
        </is>
      </c>
    </row>
    <row r="84" hidden="1" s="53">
      <c r="D84" t="inlineStr">
        <is>
          <t>CTR_730_Z_Edenville-Stade(CTR-730)</t>
        </is>
      </c>
      <c r="E84">
        <f>IFERROR(MID(D84, SEARCH("CTR_", D84), 7), IFERROR(MID(D84, SEARCH("SUO_", D84), 7), IFERROR(MID(D84, SEARCH("SUD_", D84), 7), IFERROR(MID(D84, SEARCH("NRO_", D84), 7), IFERROR(MID(D84, SEARCH("ADM_", D84), 7), IFERROR(MID(D84, SEARCH("NRD_", D84), 7), IFERROR(MID(D84, SEARCH("EXN_", D84), 7), IFERROR(MID(D84, SEARCH("LIT_", D84), 7), IFERROR(MID(D84, SEARCH("EST_", D84), 7), MID(D84, SEARCH("OST_",D84), 7))))))))))</f>
        <v/>
      </c>
      <c r="F84" t="inlineStr">
        <is>
          <t>{05-25-2026 goupe whatsapp incident}:    impacted by    CTR_007_Z_Messamendongo(CTR-007)  ,Cause: Boucle etherneet  ,Action: Desactivation de la bouclee</t>
        </is>
      </c>
    </row>
    <row r="85" hidden="1" s="53">
      <c r="D85" t="inlineStr">
        <is>
          <t>CTR_665_Z_Ekoumdoum-II(CTR-665)</t>
        </is>
      </c>
      <c r="E85">
        <f>IFERROR(MID(D85, SEARCH("CTR_", D85), 7), IFERROR(MID(D85, SEARCH("SUO_", D85), 7), IFERROR(MID(D85, SEARCH("SUD_", D85), 7), IFERROR(MID(D85, SEARCH("NRO_", D85), 7), IFERROR(MID(D85, SEARCH("ADM_", D85), 7), IFERROR(MID(D85, SEARCH("NRD_", D85), 7), IFERROR(MID(D85, SEARCH("EXN_", D85), 7), IFERROR(MID(D85, SEARCH("LIT_", D85), 7), IFERROR(MID(D85, SEARCH("EST_", D85), 7), MID(D85, SEARCH("OST_",D85), 7))))))))))</f>
        <v/>
      </c>
      <c r="F85" t="inlineStr">
        <is>
          <t>{05-25-2026 goupe whatsapp incident}:    impacted by    CTR_007_Z_Messamendongo(CTR-007)  ,Cause: Boucle etherneet  ,Action: Desactivation de la bouclee</t>
        </is>
      </c>
    </row>
    <row r="86" hidden="1" s="53">
      <c r="D86" t="inlineStr">
        <is>
          <t>CTR_898_Z_Oveng-Mission-Catholique(CTR-898)</t>
        </is>
      </c>
      <c r="E86">
        <f>IFERROR(MID(D86, SEARCH("CTR_", D86), 7), IFERROR(MID(D86, SEARCH("SUO_", D86), 7), IFERROR(MID(D86, SEARCH("SUD_", D86), 7), IFERROR(MID(D86, SEARCH("NRO_", D86), 7), IFERROR(MID(D86, SEARCH("ADM_", D86), 7), IFERROR(MID(D86, SEARCH("NRD_", D86), 7), IFERROR(MID(D86, SEARCH("EXN_", D86), 7), IFERROR(MID(D86, SEARCH("LIT_", D86), 7), IFERROR(MID(D86, SEARCH("EST_", D86), 7), MID(D86, SEARCH("OST_",D86), 7))))))))))</f>
        <v/>
      </c>
      <c r="F86" t="inlineStr">
        <is>
          <t>{05-25-2026 goupe whatsapp incident}:    impacted by    CTR_007_Z_Messamendongo(CTR-007)  ,Cause: Boucle etherneet  ,Action: Desactivation de la bouclee</t>
        </is>
      </c>
    </row>
    <row r="87" hidden="1" s="53">
      <c r="D87" t="inlineStr">
        <is>
          <t>CTR_906_Z_Obokoue-I(CTR-906)</t>
        </is>
      </c>
      <c r="E87">
        <f>IFERROR(MID(D87, SEARCH("CTR_", D87), 7), IFERROR(MID(D87, SEARCH("SUO_", D87), 7), IFERROR(MID(D87, SEARCH("SUD_", D87), 7), IFERROR(MID(D87, SEARCH("NRO_", D87), 7), IFERROR(MID(D87, SEARCH("ADM_", D87), 7), IFERROR(MID(D87, SEARCH("NRD_", D87), 7), IFERROR(MID(D87, SEARCH("EXN_", D87), 7), IFERROR(MID(D87, SEARCH("LIT_", D87), 7), IFERROR(MID(D87, SEARCH("EST_", D87), 7), MID(D87, SEARCH("OST_",D87), 7))))))))))</f>
        <v/>
      </c>
      <c r="F87" t="inlineStr">
        <is>
          <t>{05-25-2026 goupe whatsapp incident}:    impacted by    CTR_007_Z_Messamendongo(CTR-007)  ,Cause: Boucle etherneet  ,Action: Desactivation de la bouclee</t>
        </is>
      </c>
    </row>
    <row r="88" hidden="1" s="53">
      <c r="D88" t="inlineStr">
        <is>
          <t>CTR_577_Z_Ngoumou-I(CTR-577)</t>
        </is>
      </c>
      <c r="E88">
        <f>IFERROR(MID(D88, SEARCH("CTR_", D88), 7), IFERROR(MID(D88, SEARCH("SUO_", D88), 7), IFERROR(MID(D88, SEARCH("SUD_", D88), 7), IFERROR(MID(D88, SEARCH("NRO_", D88), 7), IFERROR(MID(D88, SEARCH("ADM_", D88), 7), IFERROR(MID(D88, SEARCH("NRD_", D88), 7), IFERROR(MID(D88, SEARCH("EXN_", D88), 7), IFERROR(MID(D88, SEARCH("LIT_", D88), 7), IFERROR(MID(D88, SEARCH("EST_", D88), 7), MID(D88, SEARCH("OST_",D88), 7))))))))))</f>
        <v/>
      </c>
      <c r="F88" t="inlineStr">
        <is>
          <t>{05-25-2026 goupe whatsapp incident}:    impacted by    CTR_007_Z_Messamendongo(CTR-007)  ,Cause: Boucle etherneet  ,Action: Desactivation de la bouclee</t>
        </is>
      </c>
    </row>
    <row r="89" hidden="1" s="53">
      <c r="D89" t="inlineStr">
        <is>
          <t>CTR_669_Z_Mvog-Mangaa-II(CTR-669)</t>
        </is>
      </c>
      <c r="E89">
        <f>IFERROR(MID(D89, SEARCH("CTR_", D89), 7), IFERROR(MID(D89, SEARCH("SUO_", D89), 7), IFERROR(MID(D89, SEARCH("SUD_", D89), 7), IFERROR(MID(D89, SEARCH("NRO_", D89), 7), IFERROR(MID(D89, SEARCH("ADM_", D89), 7), IFERROR(MID(D89, SEARCH("NRD_", D89), 7), IFERROR(MID(D89, SEARCH("EXN_", D89), 7), IFERROR(MID(D89, SEARCH("LIT_", D89), 7), IFERROR(MID(D89, SEARCH("EST_", D89), 7), MID(D89, SEARCH("OST_",D89), 7))))))))))</f>
        <v/>
      </c>
      <c r="F89" t="inlineStr">
        <is>
          <t>{05-25-2026 goupe whatsapp incident}:    impacted by    CTR_007_Z_Messamendongo(CTR-007)  ,Cause: Boucle etherneet  ,Action: Desactivation de la bouclee</t>
        </is>
      </c>
    </row>
    <row r="90" hidden="1" s="53">
      <c r="D90" t="inlineStr">
        <is>
          <t>CTR_739_Z_Mvog-Manga-III(CTR-739)</t>
        </is>
      </c>
      <c r="E90">
        <f>IFERROR(MID(D90, SEARCH("CTR_", D90), 7), IFERROR(MID(D90, SEARCH("SUO_", D90), 7), IFERROR(MID(D90, SEARCH("SUD_", D90), 7), IFERROR(MID(D90, SEARCH("NRO_", D90), 7), IFERROR(MID(D90, SEARCH("ADM_", D90), 7), IFERROR(MID(D90, SEARCH("NRD_", D90), 7), IFERROR(MID(D90, SEARCH("EXN_", D90), 7), IFERROR(MID(D90, SEARCH("LIT_", D90), 7), IFERROR(MID(D90, SEARCH("EST_", D90), 7), MID(D90, SEARCH("OST_",D90), 7))))))))))</f>
        <v/>
      </c>
      <c r="F90" t="inlineStr">
        <is>
          <t>{05-25-2026 goupe whatsapp incident}:    impacted by    CTR_007_Z_Messamendongo(CTR-007)  ,Cause: Boucle etherneet  ,Action: Desactivation de la bouclee</t>
        </is>
      </c>
    </row>
    <row r="91" hidden="1" s="53">
      <c r="D91" t="inlineStr">
        <is>
          <t>CTR_921_Z_ELOUMDEM-II(CTR-921)</t>
        </is>
      </c>
      <c r="E91">
        <f>IFERROR(MID(D91, SEARCH("CTR_", D91), 7), IFERROR(MID(D91, SEARCH("SUO_", D91), 7), IFERROR(MID(D91, SEARCH("SUD_", D91), 7), IFERROR(MID(D91, SEARCH("NRO_", D91), 7), IFERROR(MID(D91, SEARCH("ADM_", D91), 7), IFERROR(MID(D91, SEARCH("NRD_", D91), 7), IFERROR(MID(D91, SEARCH("EXN_", D91), 7), IFERROR(MID(D91, SEARCH("LIT_", D91), 7), IFERROR(MID(D91, SEARCH("EST_", D91), 7), MID(D91, SEARCH("OST_",D91), 7))))))))))</f>
        <v/>
      </c>
      <c r="F91" t="inlineStr">
        <is>
          <t>{05-25-2026 goupe whatsapp incident}:    impacted by    CTR_007_Z_Messamendongo(CTR-007)  ,Cause: Boucle etherneet  ,Action: Desactivation de la bouclee</t>
        </is>
      </c>
    </row>
    <row r="92" hidden="1" s="53">
      <c r="D92" t="inlineStr">
        <is>
          <t>CTR_705_Z_Biteng-OKUI(CTR-705)</t>
        </is>
      </c>
      <c r="E92">
        <f>IFERROR(MID(D92, SEARCH("CTR_", D92), 7), IFERROR(MID(D92, SEARCH("SUO_", D92), 7), IFERROR(MID(D92, SEARCH("SUD_", D92), 7), IFERROR(MID(D92, SEARCH("NRO_", D92), 7), IFERROR(MID(D92, SEARCH("ADM_", D92), 7), IFERROR(MID(D92, SEARCH("NRD_", D92), 7), IFERROR(MID(D92, SEARCH("EXN_", D92), 7), IFERROR(MID(D92, SEARCH("LIT_", D92), 7), IFERROR(MID(D92, SEARCH("EST_", D92), 7), MID(D92, SEARCH("OST_",D92), 7))))))))))</f>
        <v/>
      </c>
      <c r="F92" t="inlineStr">
        <is>
          <t>{05-25-2026 goupe whatsapp incident}:    impacted by    CTR_007_Z_Messamendongo(CTR-007)  ,Cause: Boucle etherneet  ,Action: Desactivation de la bouclee</t>
        </is>
      </c>
    </row>
    <row r="93" hidden="1" s="53">
      <c r="D93" t="inlineStr">
        <is>
          <t>CTR_007_Z_Messamendongo(CTR-007)</t>
        </is>
      </c>
      <c r="E93">
        <f>IFERROR(MID(D93, SEARCH("CTR_", D93), 7), IFERROR(MID(D93, SEARCH("SUO_", D93), 7), IFERROR(MID(D93, SEARCH("SUD_", D93), 7), IFERROR(MID(D93, SEARCH("NRO_", D93), 7), IFERROR(MID(D93, SEARCH("ADM_", D93), 7), IFERROR(MID(D93, SEARCH("NRD_", D93), 7), IFERROR(MID(D93, SEARCH("EXN_", D93), 7), IFERROR(MID(D93, SEARCH("LIT_", D93), 7), IFERROR(MID(D93, SEARCH("EST_", D93), 7), MID(D93, SEARCH("OST_",D93), 7))))))))))</f>
        <v/>
      </c>
      <c r="F93" t="inlineStr">
        <is>
          <t>{05-25-2026 goupe whatsapp incident}:    impacted by    CTR_007_Z_Messamendongo(CTR-007)  ,Cause: Boucle etherneet  ,Action: Desactivation de la bouclee</t>
        </is>
      </c>
    </row>
    <row r="94" hidden="1" s="53">
      <c r="D94" t="inlineStr">
        <is>
          <t>CTR_395_Z_Biteng-Maetur(CTR-395)</t>
        </is>
      </c>
      <c r="E94">
        <f>IFERROR(MID(D94, SEARCH("CTR_", D94), 7), IFERROR(MID(D94, SEARCH("SUO_", D94), 7), IFERROR(MID(D94, SEARCH("SUD_", D94), 7), IFERROR(MID(D94, SEARCH("NRO_", D94), 7), IFERROR(MID(D94, SEARCH("ADM_", D94), 7), IFERROR(MID(D94, SEARCH("NRD_", D94), 7), IFERROR(MID(D94, SEARCH("EXN_", D94), 7), IFERROR(MID(D94, SEARCH("LIT_", D94), 7), IFERROR(MID(D94, SEARCH("EST_", D94), 7), MID(D94, SEARCH("OST_",D94), 7))))))))))</f>
        <v/>
      </c>
      <c r="F94" t="inlineStr">
        <is>
          <t>{05-25-2026 goupe whatsapp incident}:    impacted by    CTR_007_Z_Messamendongo(CTR-007)  ,Cause: Boucle etherneet  ,Action: Desactivation de la bouclee</t>
        </is>
      </c>
    </row>
    <row r="95">
      <c r="B95" t="inlineStr">
        <is>
          <t>EST_055_Z_Gado-Badzere(EST-055)</t>
        </is>
      </c>
      <c r="C95" t="inlineStr">
        <is>
          <t>INC-20260525-00021610 // 2605M74868</t>
        </is>
      </c>
      <c r="D95" t="inlineStr">
        <is>
          <t>EST_244_URZ_NANDONGUE(EST-244)</t>
        </is>
      </c>
      <c r="E95">
        <f>IFERROR(MID(D95, SEARCH("CTR_", D95), 7), IFERROR(MID(D95, SEARCH("SUO_", D95), 7), IFERROR(MID(D95, SEARCH("SUD_", D95), 7), IFERROR(MID(D95, SEARCH("NRO_", D95), 7), IFERROR(MID(D95, SEARCH("ADM_", D95), 7), IFERROR(MID(D95, SEARCH("NRD_", D95), 7), IFERROR(MID(D95, SEARCH("EXN_", D95), 7), IFERROR(MID(D95, SEARCH("LIT_", D95), 7), IFERROR(MID(D95, SEARCH("EST_", D95), 7), MID(D95, SEARCH("OST_",D95), 7))))))))))</f>
        <v/>
      </c>
      <c r="F95" t="inlineStr">
        <is>
          <t>{05-25-2026  incident}:    impacted by   EST_055_Z_Gado-Badzere(EST-055)</t>
        </is>
      </c>
    </row>
    <row r="96" hidden="1" s="53">
      <c r="D96" t="inlineStr">
        <is>
          <t>EST_251_URZ_MBASSI(EST-251)</t>
        </is>
      </c>
      <c r="E96">
        <f>IFERROR(MID(D96, SEARCH("CTR_", D96), 7), IFERROR(MID(D96, SEARCH("SUO_", D96), 7), IFERROR(MID(D96, SEARCH("SUD_", D96), 7), IFERROR(MID(D96, SEARCH("NRO_", D96), 7), IFERROR(MID(D96, SEARCH("ADM_", D96), 7), IFERROR(MID(D96, SEARCH("NRD_", D96), 7), IFERROR(MID(D96, SEARCH("EXN_", D96), 7), IFERROR(MID(D96, SEARCH("LIT_", D96), 7), IFERROR(MID(D96, SEARCH("EST_", D96), 7), MID(D96, SEARCH("OST_",D96), 7))))))))))</f>
        <v/>
      </c>
      <c r="F96" t="inlineStr">
        <is>
          <t>{05-25-2026  incident}:    impacted by   EST_055_Z_Gado-Badzere(EST-055)</t>
        </is>
      </c>
    </row>
    <row r="97" hidden="1" s="53">
      <c r="D97" t="inlineStr">
        <is>
          <t>EST_236_URZ_YOKO-SIRE(EST-236)</t>
        </is>
      </c>
      <c r="E97">
        <f>IFERROR(MID(D97, SEARCH("CTR_", D97), 7), IFERROR(MID(D97, SEARCH("SUO_", D97), 7), IFERROR(MID(D97, SEARCH("SUD_", D97), 7), IFERROR(MID(D97, SEARCH("NRO_", D97), 7), IFERROR(MID(D97, SEARCH("ADM_", D97), 7), IFERROR(MID(D97, SEARCH("NRD_", D97), 7), IFERROR(MID(D97, SEARCH("EXN_", D97), 7), IFERROR(MID(D97, SEARCH("LIT_", D97), 7), IFERROR(MID(D97, SEARCH("EST_", D97), 7), MID(D97, SEARCH("OST_",D97), 7))))))))))</f>
        <v/>
      </c>
      <c r="F97" t="inlineStr">
        <is>
          <t>{05-25-2026  incident}:    impacted by   EST_055_Z_Gado-Badzere(EST-055)</t>
        </is>
      </c>
    </row>
    <row r="98" hidden="1" s="53">
      <c r="D98" t="inlineStr">
        <is>
          <t>EST_144_Z_Garoua-Boulai-Entrance(EST-144)</t>
        </is>
      </c>
      <c r="E98">
        <f>IFERROR(MID(D98, SEARCH("CTR_", D98), 7), IFERROR(MID(D98, SEARCH("SUO_", D98), 7), IFERROR(MID(D98, SEARCH("SUD_", D98), 7), IFERROR(MID(D98, SEARCH("NRO_", D98), 7), IFERROR(MID(D98, SEARCH("ADM_", D98), 7), IFERROR(MID(D98, SEARCH("NRD_", D98), 7), IFERROR(MID(D98, SEARCH("EXN_", D98), 7), IFERROR(MID(D98, SEARCH("LIT_", D98), 7), IFERROR(MID(D98, SEARCH("EST_", D98), 7), MID(D98, SEARCH("OST_",D98), 7))))))))))</f>
        <v/>
      </c>
      <c r="F98" t="inlineStr">
        <is>
          <t>{05-25-2026  incident}:    impacted by   EST_055_Z_Gado-Badzere(EST-055)</t>
        </is>
      </c>
    </row>
    <row r="99" hidden="1" s="53">
      <c r="D99" t="inlineStr">
        <is>
          <t>EST_204_Z_Garoua-Boulai-Sabal(EST-204)</t>
        </is>
      </c>
      <c r="E99">
        <f>IFERROR(MID(D99, SEARCH("CTR_", D99), 7), IFERROR(MID(D99, SEARCH("SUO_", D99), 7), IFERROR(MID(D99, SEARCH("SUD_", D99), 7), IFERROR(MID(D99, SEARCH("NRO_", D99), 7), IFERROR(MID(D99, SEARCH("ADM_", D99), 7), IFERROR(MID(D99, SEARCH("NRD_", D99), 7), IFERROR(MID(D99, SEARCH("EXN_", D99), 7), IFERROR(MID(D99, SEARCH("LIT_", D99), 7), IFERROR(MID(D99, SEARCH("EST_", D99), 7), MID(D99, SEARCH("OST_",D99), 7))))))))))</f>
        <v/>
      </c>
      <c r="F99" t="inlineStr">
        <is>
          <t>{05-25-2026  incident}:    impacted by   EST_055_Z_Gado-Badzere(EST-055)</t>
        </is>
      </c>
    </row>
    <row r="100" hidden="1" s="53">
      <c r="D100" t="inlineStr">
        <is>
          <t>EST_206_Z_Garoua-Boulai-Goza(EST-206)</t>
        </is>
      </c>
      <c r="E100">
        <f>IFERROR(MID(D100, SEARCH("CTR_", D100), 7), IFERROR(MID(D100, SEARCH("SUO_", D100), 7), IFERROR(MID(D100, SEARCH("SUD_", D100), 7), IFERROR(MID(D100, SEARCH("NRO_", D100), 7), IFERROR(MID(D100, SEARCH("ADM_", D100), 7), IFERROR(MID(D100, SEARCH("NRD_", D100), 7), IFERROR(MID(D100, SEARCH("EXN_", D100), 7), IFERROR(MID(D100, SEARCH("LIT_", D100), 7), IFERROR(MID(D100, SEARCH("EST_", D100), 7), MID(D100, SEARCH("OST_",D100), 7))))))))))</f>
        <v/>
      </c>
      <c r="F100" t="inlineStr">
        <is>
          <t>{05-25-2026  incident}:    impacted by   EST_055_Z_Gado-Badzere(EST-055)</t>
        </is>
      </c>
    </row>
    <row r="101" hidden="1" s="53">
      <c r="D101" t="inlineStr">
        <is>
          <t>EST_156_Z_Garoua-Boulai-Sabal-IHS(EST-156)</t>
        </is>
      </c>
      <c r="E101">
        <f>IFERROR(MID(D101, SEARCH("CTR_", D101), 7), IFERROR(MID(D101, SEARCH("SUO_", D101), 7), IFERROR(MID(D101, SEARCH("SUD_", D101), 7), IFERROR(MID(D101, SEARCH("NRO_", D101), 7), IFERROR(MID(D101, SEARCH("ADM_", D101), 7), IFERROR(MID(D101, SEARCH("NRD_", D101), 7), IFERROR(MID(D101, SEARCH("EXN_", D101), 7), IFERROR(MID(D101, SEARCH("LIT_", D101), 7), IFERROR(MID(D101, SEARCH("EST_", D101), 7), MID(D101, SEARCH("OST_",D101), 7))))))))))</f>
        <v/>
      </c>
      <c r="F101" t="inlineStr">
        <is>
          <t>{05-25-2026  incident}:    impacted by   EST_055_Z_Gado-Badzere(EST-055)</t>
        </is>
      </c>
    </row>
    <row r="102" hidden="1" s="53">
      <c r="D102" t="inlineStr">
        <is>
          <t>EST_199_Z_GAROUA-BOULAI-SABONGARI(EST-199)</t>
        </is>
      </c>
      <c r="E102">
        <f>IFERROR(MID(D102, SEARCH("CTR_", D102), 7), IFERROR(MID(D102, SEARCH("SUO_", D102), 7), IFERROR(MID(D102, SEARCH("SUD_", D102), 7), IFERROR(MID(D102, SEARCH("NRO_", D102), 7), IFERROR(MID(D102, SEARCH("ADM_", D102), 7), IFERROR(MID(D102, SEARCH("NRD_", D102), 7), IFERROR(MID(D102, SEARCH("EXN_", D102), 7), IFERROR(MID(D102, SEARCH("LIT_", D102), 7), IFERROR(MID(D102, SEARCH("EST_", D102), 7), MID(D102, SEARCH("OST_",D102), 7))))))))))</f>
        <v/>
      </c>
      <c r="F102" t="inlineStr">
        <is>
          <t>{05-25-2026  incident}:    impacted by   EST_055_Z_Gado-Badzere(EST-055)</t>
        </is>
      </c>
    </row>
    <row r="103" hidden="1" s="53">
      <c r="D103" t="inlineStr">
        <is>
          <t>EST_080_Z_Garoua-Boulai-Frontière(EST-080)</t>
        </is>
      </c>
      <c r="E103">
        <f>IFERROR(MID(D103, SEARCH("CTR_", D103), 7), IFERROR(MID(D103, SEARCH("SUO_", D103), 7), IFERROR(MID(D103, SEARCH("SUD_", D103), 7), IFERROR(MID(D103, SEARCH("NRO_", D103), 7), IFERROR(MID(D103, SEARCH("ADM_", D103), 7), IFERROR(MID(D103, SEARCH("NRD_", D103), 7), IFERROR(MID(D103, SEARCH("EXN_", D103), 7), IFERROR(MID(D103, SEARCH("LIT_", D103), 7), IFERROR(MID(D103, SEARCH("EST_", D103), 7), MID(D103, SEARCH("OST_",D103), 7))))))))))</f>
        <v/>
      </c>
      <c r="F103" t="inlineStr">
        <is>
          <t>{05-25-2026  incident}:    impacted by   EST_055_Z_Gado-Badzere(EST-055)</t>
        </is>
      </c>
    </row>
    <row r="104" hidden="1" s="53">
      <c r="D104" t="inlineStr">
        <is>
          <t>EST_118_Z_Garoua-Boulai-new(EST-118)</t>
        </is>
      </c>
      <c r="E104">
        <f>IFERROR(MID(D104, SEARCH("CTR_", D104), 7), IFERROR(MID(D104, SEARCH("SUO_", D104), 7), IFERROR(MID(D104, SEARCH("SUD_", D104), 7), IFERROR(MID(D104, SEARCH("NRO_", D104), 7), IFERROR(MID(D104, SEARCH("ADM_", D104), 7), IFERROR(MID(D104, SEARCH("NRD_", D104), 7), IFERROR(MID(D104, SEARCH("EXN_", D104), 7), IFERROR(MID(D104, SEARCH("LIT_", D104), 7), IFERROR(MID(D104, SEARCH("EST_", D104), 7), MID(D104, SEARCH("OST_",D104), 7))))))))))</f>
        <v/>
      </c>
      <c r="F104" t="inlineStr">
        <is>
          <t>{05-25-2026  incident}:    impacted by   EST_055_Z_Gado-Badzere(EST-055)</t>
        </is>
      </c>
    </row>
    <row r="105" hidden="1" s="53">
      <c r="D105" t="inlineStr">
        <is>
          <t>EST_055_Z_Gado-Badzere(EST-055)</t>
        </is>
      </c>
      <c r="E105">
        <f>IFERROR(MID(D105, SEARCH("CTR_", D105), 7), IFERROR(MID(D105, SEARCH("SUO_", D105), 7), IFERROR(MID(D105, SEARCH("SUD_", D105), 7), IFERROR(MID(D105, SEARCH("NRO_", D105), 7), IFERROR(MID(D105, SEARCH("ADM_", D105), 7), IFERROR(MID(D105, SEARCH("NRD_", D105), 7), IFERROR(MID(D105, SEARCH("EXN_", D105), 7), IFERROR(MID(D105, SEARCH("LIT_", D105), 7), IFERROR(MID(D105, SEARCH("EST_", D105), 7), MID(D105, SEARCH("OST_",D105), 7))))))))))</f>
        <v/>
      </c>
      <c r="F105" t="inlineStr">
        <is>
          <t>{05-25-2026  incident}:    impacted by   EST_055_Z_Gado-Badzere(EST-055)</t>
        </is>
      </c>
    </row>
    <row r="106" hidden="1" s="53">
      <c r="B106" t="inlineStr">
        <is>
          <t>EXN_047_H_Hina</t>
        </is>
      </c>
      <c r="C106" t="inlineStr">
        <is>
          <t>2605M74249 // INC-20260525-00020988</t>
        </is>
      </c>
      <c r="D106" t="inlineStr">
        <is>
          <t>EXN_156_N_MOKOLO3-IHS</t>
        </is>
      </c>
      <c r="E106">
        <f>IFERROR(MID(D106, SEARCH("CTR_", D106), 7), IFERROR(MID(D106, SEARCH("SUO_", D106), 7), IFERROR(MID(D106, SEARCH("SUD_", D106), 7), IFERROR(MID(D106, SEARCH("NRO_", D106), 7), IFERROR(MID(D106, SEARCH("ADM_", D106), 7), IFERROR(MID(D106, SEARCH("NRD_", D106), 7), IFERROR(MID(D106, SEARCH("EXN_", D106), 7), IFERROR(MID(D106, SEARCH("LIT_", D106), 7), IFERROR(MID(D106, SEARCH("EST_", D106), 7), MID(D106, SEARCH("OST_",D106), 7))))))))))</f>
        <v/>
      </c>
      <c r="F106" t="inlineStr">
        <is>
          <t>{05-25-2026  incident}:    impacted by   EXN_047_H_Hina  ,Cause: Probleme energie    Action: RCA attendu de IHS</t>
        </is>
      </c>
    </row>
    <row r="107" hidden="1" s="53">
      <c r="D107" t="inlineStr">
        <is>
          <t>EXN_052_N_Soulede</t>
        </is>
      </c>
      <c r="E107">
        <f>IFERROR(MID(D107, SEARCH("CTR_", D107), 7), IFERROR(MID(D107, SEARCH("SUO_", D107), 7), IFERROR(MID(D107, SEARCH("SUD_", D107), 7), IFERROR(MID(D107, SEARCH("NRO_", D107), 7), IFERROR(MID(D107, SEARCH("ADM_", D107), 7), IFERROR(MID(D107, SEARCH("NRD_", D107), 7), IFERROR(MID(D107, SEARCH("EXN_", D107), 7), IFERROR(MID(D107, SEARCH("LIT_", D107), 7), IFERROR(MID(D107, SEARCH("EST_", D107), 7), MID(D107, SEARCH("OST_",D107), 7))))))))))</f>
        <v/>
      </c>
      <c r="F107" t="inlineStr">
        <is>
          <t>{05-25-2026  incident}:    impacted by   EXN_047_H_Hina  ,Cause: Probleme energie    Action: RCA attendu de IHS</t>
        </is>
      </c>
    </row>
    <row r="108" hidden="1" s="53">
      <c r="D108" t="inlineStr">
        <is>
          <t>EXN_142_N_Mokola-MTN</t>
        </is>
      </c>
      <c r="E108">
        <f>IFERROR(MID(D108, SEARCH("CTR_", D108), 7), IFERROR(MID(D108, SEARCH("SUO_", D108), 7), IFERROR(MID(D108, SEARCH("SUD_", D108), 7), IFERROR(MID(D108, SEARCH("NRO_", D108), 7), IFERROR(MID(D108, SEARCH("ADM_", D108), 7), IFERROR(MID(D108, SEARCH("NRD_", D108), 7), IFERROR(MID(D108, SEARCH("EXN_", D108), 7), IFERROR(MID(D108, SEARCH("LIT_", D108), 7), IFERROR(MID(D108, SEARCH("EST_", D108), 7), MID(D108, SEARCH("OST_",D108), 7))))))))))</f>
        <v/>
      </c>
      <c r="F108" t="inlineStr">
        <is>
          <t>{05-25-2026  incident}:    impacted by   EXN_047_H_Hina  ,Cause: Probleme energie    Action: RCA attendu de IHS</t>
        </is>
      </c>
    </row>
    <row r="109" hidden="1" s="53">
      <c r="D109" t="inlineStr">
        <is>
          <t>EXN_140_N_Mokolo-Djimeta-HIS</t>
        </is>
      </c>
      <c r="E109">
        <f>IFERROR(MID(D109, SEARCH("CTR_", D109), 7), IFERROR(MID(D109, SEARCH("SUO_", D109), 7), IFERROR(MID(D109, SEARCH("SUD_", D109), 7), IFERROR(MID(D109, SEARCH("NRO_", D109), 7), IFERROR(MID(D109, SEARCH("ADM_", D109), 7), IFERROR(MID(D109, SEARCH("NRD_", D109), 7), IFERROR(MID(D109, SEARCH("EXN_", D109), 7), IFERROR(MID(D109, SEARCH("LIT_", D109), 7), IFERROR(MID(D109, SEARCH("EST_", D109), 7), MID(D109, SEARCH("OST_",D109), 7))))))))))</f>
        <v/>
      </c>
      <c r="F109" t="inlineStr">
        <is>
          <t>{05-25-2026  incident}:    impacted by   EXN_047_H_Hina  ,Cause: Probleme energie    Action: RCA attendu de IHS</t>
        </is>
      </c>
    </row>
    <row r="110" hidden="1" s="53">
      <c r="D110" t="inlineStr">
        <is>
          <t>EXN_012_N_Mokolo</t>
        </is>
      </c>
      <c r="E110">
        <f>IFERROR(MID(D110, SEARCH("CTR_", D110), 7), IFERROR(MID(D110, SEARCH("SUO_", D110), 7), IFERROR(MID(D110, SEARCH("SUD_", D110), 7), IFERROR(MID(D110, SEARCH("NRO_", D110), 7), IFERROR(MID(D110, SEARCH("ADM_", D110), 7), IFERROR(MID(D110, SEARCH("NRD_", D110), 7), IFERROR(MID(D110, SEARCH("EXN_", D110), 7), IFERROR(MID(D110, SEARCH("LIT_", D110), 7), IFERROR(MID(D110, SEARCH("EST_", D110), 7), MID(D110, SEARCH("OST_",D110), 7))))))))))</f>
        <v/>
      </c>
      <c r="F110" t="inlineStr">
        <is>
          <t>{05-25-2026  incident}:    impacted by   EXN_047_H_Hina  ,Cause: Probleme energie    Action: RCA attendu de IHS</t>
        </is>
      </c>
    </row>
    <row r="111" hidden="1" s="53">
      <c r="D111" t="inlineStr">
        <is>
          <t>EXN_174_N_Zileng-IHS</t>
        </is>
      </c>
      <c r="E111">
        <f>IFERROR(MID(D111, SEARCH("CTR_", D111), 7), IFERROR(MID(D111, SEARCH("SUO_", D111), 7), IFERROR(MID(D111, SEARCH("SUD_", D111), 7), IFERROR(MID(D111, SEARCH("NRO_", D111), 7), IFERROR(MID(D111, SEARCH("ADM_", D111), 7), IFERROR(MID(D111, SEARCH("NRD_", D111), 7), IFERROR(MID(D111, SEARCH("EXN_", D111), 7), IFERROR(MID(D111, SEARCH("LIT_", D111), 7), IFERROR(MID(D111, SEARCH("EST_", D111), 7), MID(D111, SEARCH("OST_",D111), 7))))))))))</f>
        <v/>
      </c>
      <c r="F111" t="inlineStr">
        <is>
          <t>{05-25-2026  incident}:    impacted by   EXN_047_H_Hina  ,Cause: Probleme energie    Action: RCA attendu de IHS</t>
        </is>
      </c>
    </row>
    <row r="112" hidden="1" s="53">
      <c r="D112" t="inlineStr">
        <is>
          <t>EXN_496_URH_OURO_GUERTODE</t>
        </is>
      </c>
      <c r="E112">
        <f>IFERROR(MID(D112, SEARCH("CTR_", D112), 7), IFERROR(MID(D112, SEARCH("SUO_", D112), 7), IFERROR(MID(D112, SEARCH("SUD_", D112), 7), IFERROR(MID(D112, SEARCH("NRO_", D112), 7), IFERROR(MID(D112, SEARCH("ADM_", D112), 7), IFERROR(MID(D112, SEARCH("NRD_", D112), 7), IFERROR(MID(D112, SEARCH("EXN_", D112), 7), IFERROR(MID(D112, SEARCH("LIT_", D112), 7), IFERROR(MID(D112, SEARCH("EST_", D112), 7), MID(D112, SEARCH("OST_",D112), 7))))))))))</f>
        <v/>
      </c>
      <c r="F112" t="inlineStr">
        <is>
          <t>{05-25-2026  incident}:    impacted by   EXN_047_H_Hina  ,Cause: Probleme energie    Action: RCA attendu de IHS</t>
        </is>
      </c>
    </row>
    <row r="113" hidden="1" s="53">
      <c r="D113" t="inlineStr">
        <is>
          <t>EXN_320_URH_BERENG</t>
        </is>
      </c>
      <c r="E113">
        <f>IFERROR(MID(D113, SEARCH("CTR_", D113), 7), IFERROR(MID(D113, SEARCH("SUO_", D113), 7), IFERROR(MID(D113, SEARCH("SUD_", D113), 7), IFERROR(MID(D113, SEARCH("NRO_", D113), 7), IFERROR(MID(D113, SEARCH("ADM_", D113), 7), IFERROR(MID(D113, SEARCH("NRD_", D113), 7), IFERROR(MID(D113, SEARCH("EXN_", D113), 7), IFERROR(MID(D113, SEARCH("LIT_", D113), 7), IFERROR(MID(D113, SEARCH("EST_", D113), 7), MID(D113, SEARCH("OST_",D113), 7))))))))))</f>
        <v/>
      </c>
      <c r="F113" t="inlineStr">
        <is>
          <t>{05-25-2026  incident}:    impacted by   EXN_047_H_Hina  ,Cause: Probleme energie    Action: RCA attendu de IHS</t>
        </is>
      </c>
    </row>
    <row r="114" hidden="1" s="53">
      <c r="D114" t="inlineStr">
        <is>
          <t>EXN_443_URH_BAO</t>
        </is>
      </c>
      <c r="E114">
        <f>IFERROR(MID(D114, SEARCH("CTR_", D114), 7), IFERROR(MID(D114, SEARCH("SUO_", D114), 7), IFERROR(MID(D114, SEARCH("SUD_", D114), 7), IFERROR(MID(D114, SEARCH("NRO_", D114), 7), IFERROR(MID(D114, SEARCH("ADM_", D114), 7), IFERROR(MID(D114, SEARCH("NRD_", D114), 7), IFERROR(MID(D114, SEARCH("EXN_", D114), 7), IFERROR(MID(D114, SEARCH("LIT_", D114), 7), IFERROR(MID(D114, SEARCH("EST_", D114), 7), MID(D114, SEARCH("OST_",D114), 7))))))))))</f>
        <v/>
      </c>
      <c r="F114" t="inlineStr">
        <is>
          <t>{05-25-2026  incident}:    impacted by   EXN_047_H_Hina  ,Cause: Probleme energie    Action: RCA attendu de IHS</t>
        </is>
      </c>
    </row>
    <row r="115" hidden="1" s="53">
      <c r="D115" t="inlineStr">
        <is>
          <t>EXN_459_URH_ZIVER</t>
        </is>
      </c>
      <c r="E115">
        <f>IFERROR(MID(D115, SEARCH("CTR_", D115), 7), IFERROR(MID(D115, SEARCH("SUO_", D115), 7), IFERROR(MID(D115, SEARCH("SUD_", D115), 7), IFERROR(MID(D115, SEARCH("NRO_", D115), 7), IFERROR(MID(D115, SEARCH("ADM_", D115), 7), IFERROR(MID(D115, SEARCH("NRD_", D115), 7), IFERROR(MID(D115, SEARCH("EXN_", D115), 7), IFERROR(MID(D115, SEARCH("LIT_", D115), 7), IFERROR(MID(D115, SEARCH("EST_", D115), 7), MID(D115, SEARCH("OST_",D115), 7))))))))))</f>
        <v/>
      </c>
      <c r="F115" t="inlineStr">
        <is>
          <t>{05-25-2026  incident}:    impacted by   EXN_047_H_Hina  ,Cause: Probleme energie    Action: RCA attendu de IHS</t>
        </is>
      </c>
    </row>
    <row r="116" hidden="1" s="53">
      <c r="D116" t="inlineStr">
        <is>
          <t>EXN_454_URH_BISKAVAY</t>
        </is>
      </c>
      <c r="E116">
        <f>IFERROR(MID(D116, SEARCH("CTR_", D116), 7), IFERROR(MID(D116, SEARCH("SUO_", D116), 7), IFERROR(MID(D116, SEARCH("SUD_", D116), 7), IFERROR(MID(D116, SEARCH("NRO_", D116), 7), IFERROR(MID(D116, SEARCH("ADM_", D116), 7), IFERROR(MID(D116, SEARCH("NRD_", D116), 7), IFERROR(MID(D116, SEARCH("EXN_", D116), 7), IFERROR(MID(D116, SEARCH("LIT_", D116), 7), IFERROR(MID(D116, SEARCH("EST_", D116), 7), MID(D116, SEARCH("OST_",D116), 7))))))))))</f>
        <v/>
      </c>
      <c r="F116" t="inlineStr">
        <is>
          <t>{05-25-2026  incident}:    impacted by   EXN_047_H_Hina  ,Cause: Probleme energie    Action: RCA attendu de IHS</t>
        </is>
      </c>
    </row>
    <row r="117" hidden="1" s="53">
      <c r="D117" t="inlineStr">
        <is>
          <t>EXN_500_URH_BOURAF_MAYO_(BADALIL)</t>
        </is>
      </c>
      <c r="E117">
        <f>IFERROR(MID(D117, SEARCH("CTR_", D117), 7), IFERROR(MID(D117, SEARCH("SUO_", D117), 7), IFERROR(MID(D117, SEARCH("SUD_", D117), 7), IFERROR(MID(D117, SEARCH("NRO_", D117), 7), IFERROR(MID(D117, SEARCH("ADM_", D117), 7), IFERROR(MID(D117, SEARCH("NRD_", D117), 7), IFERROR(MID(D117, SEARCH("EXN_", D117), 7), IFERROR(MID(D117, SEARCH("LIT_", D117), 7), IFERROR(MID(D117, SEARCH("EST_", D117), 7), MID(D117, SEARCH("OST_",D117), 7))))))))))</f>
        <v/>
      </c>
      <c r="F117" t="inlineStr">
        <is>
          <t>{05-25-2026  incident}:    impacted by   EXN_047_H_Hina  ,Cause: Probleme energie    Action: RCA attendu de IHS</t>
        </is>
      </c>
    </row>
    <row r="118" hidden="1" s="53">
      <c r="D118" t="inlineStr">
        <is>
          <t>EXN_444_URH_MAPOLDOKOU</t>
        </is>
      </c>
      <c r="E118">
        <f>IFERROR(MID(D118, SEARCH("CTR_", D118), 7), IFERROR(MID(D118, SEARCH("SUO_", D118), 7), IFERROR(MID(D118, SEARCH("SUD_", D118), 7), IFERROR(MID(D118, SEARCH("NRO_", D118), 7), IFERROR(MID(D118, SEARCH("ADM_", D118), 7), IFERROR(MID(D118, SEARCH("NRD_", D118), 7), IFERROR(MID(D118, SEARCH("EXN_", D118), 7), IFERROR(MID(D118, SEARCH("LIT_", D118), 7), IFERROR(MID(D118, SEARCH("EST_", D118), 7), MID(D118, SEARCH("OST_",D118), 7))))))))))</f>
        <v/>
      </c>
      <c r="F118" t="inlineStr">
        <is>
          <t>{05-25-2026  incident}:    impacted by   EXN_047_H_Hina  ,Cause: Probleme energie    Action: RCA attendu de IHS</t>
        </is>
      </c>
    </row>
    <row r="119" hidden="1" s="53">
      <c r="D119" t="inlineStr">
        <is>
          <t>EXN_439_URH_ROUA2</t>
        </is>
      </c>
      <c r="E119">
        <f>IFERROR(MID(D119, SEARCH("CTR_", D119), 7), IFERROR(MID(D119, SEARCH("SUO_", D119), 7), IFERROR(MID(D119, SEARCH("SUD_", D119), 7), IFERROR(MID(D119, SEARCH("NRO_", D119), 7), IFERROR(MID(D119, SEARCH("ADM_", D119), 7), IFERROR(MID(D119, SEARCH("NRD_", D119), 7), IFERROR(MID(D119, SEARCH("EXN_", D119), 7), IFERROR(MID(D119, SEARCH("LIT_", D119), 7), IFERROR(MID(D119, SEARCH("EST_", D119), 7), MID(D119, SEARCH("OST_",D119), 7))))))))))</f>
        <v/>
      </c>
      <c r="F119" t="inlineStr">
        <is>
          <t>{05-25-2026  incident}:    impacted by   EXN_047_H_Hina  ,Cause: Probleme energie    Action: RCA attendu de IHS</t>
        </is>
      </c>
    </row>
    <row r="120" hidden="1" s="53">
      <c r="D120" t="inlineStr">
        <is>
          <t>EXN_445_URH_MAVOUMAI</t>
        </is>
      </c>
      <c r="E120">
        <f>IFERROR(MID(D120, SEARCH("CTR_", D120), 7), IFERROR(MID(D120, SEARCH("SUO_", D120), 7), IFERROR(MID(D120, SEARCH("SUD_", D120), 7), IFERROR(MID(D120, SEARCH("NRO_", D120), 7), IFERROR(MID(D120, SEARCH("ADM_", D120), 7), IFERROR(MID(D120, SEARCH("NRD_", D120), 7), IFERROR(MID(D120, SEARCH("EXN_", D120), 7), IFERROR(MID(D120, SEARCH("LIT_", D120), 7), IFERROR(MID(D120, SEARCH("EST_", D120), 7), MID(D120, SEARCH("OST_",D120), 7))))))))))</f>
        <v/>
      </c>
      <c r="F120" t="inlineStr">
        <is>
          <t>{05-25-2026  incident}:    impacted by   EXN_047_H_Hina  ,Cause: Probleme energie    Action: RCA attendu de IHS</t>
        </is>
      </c>
    </row>
    <row r="121" hidden="1" s="53">
      <c r="D121" t="inlineStr">
        <is>
          <t>EXN_047_H_Hina</t>
        </is>
      </c>
      <c r="E121">
        <f>IFERROR(MID(D121, SEARCH("CTR_", D121), 7), IFERROR(MID(D121, SEARCH("SUO_", D121), 7), IFERROR(MID(D121, SEARCH("SUD_", D121), 7), IFERROR(MID(D121, SEARCH("NRO_", D121), 7), IFERROR(MID(D121, SEARCH("ADM_", D121), 7), IFERROR(MID(D121, SEARCH("NRD_", D121), 7), IFERROR(MID(D121, SEARCH("EXN_", D121), 7), IFERROR(MID(D121, SEARCH("LIT_", D121), 7), IFERROR(MID(D121, SEARCH("EST_", D121), 7), MID(D121, SEARCH("OST_",D121), 7))))))))))</f>
        <v/>
      </c>
      <c r="F121" t="inlineStr">
        <is>
          <t>{05-25-2026  incident}:    impacted by   EXN_047_H_Hina  ,Cause: Probleme energie    Action: RCA attendu de IHS</t>
        </is>
      </c>
    </row>
    <row r="122" hidden="1" s="53">
      <c r="B122" t="inlineStr">
        <is>
          <t>CTR_351_Z_Mimboman-Nodal(CTR-351)</t>
        </is>
      </c>
      <c r="C122" t="inlineStr">
        <is>
          <t>INC-20260525-00019122 // 2605M72359</t>
        </is>
      </c>
      <c r="D122" t="inlineStr">
        <is>
          <t>LIT_769_Z_Kake(LIT-769)</t>
        </is>
      </c>
      <c r="E122">
        <f>IFERROR(MID(D122, SEARCH("CTR_", D122), 7), IFERROR(MID(D122, SEARCH("SUO_", D122), 7), IFERROR(MID(D122, SEARCH("SUD_", D122), 7), IFERROR(MID(D122, SEARCH("NRO_", D122), 7), IFERROR(MID(D122, SEARCH("ADM_", D122), 7), IFERROR(MID(D122, SEARCH("NRD_", D122), 7), IFERROR(MID(D122, SEARCH("EXN_", D122), 7), IFERROR(MID(D122, SEARCH("LIT_", D122), 7), IFERROR(MID(D122, SEARCH("EST_", D122), 7), MID(D122, SEARCH("OST_",D122), 7))))))))))</f>
        <v/>
      </c>
      <c r="F122" t="inlineStr">
        <is>
          <t>{05-25-2026 goupe whatsapp incident}:    impacted by    CTR_351_Z_Mimboman-Nodal(CTR-351)  ,Cause: Boucle ethernet  ,Action: Desactivation de la boucle</t>
        </is>
      </c>
    </row>
    <row r="123" hidden="1" s="53">
      <c r="D123" t="inlineStr">
        <is>
          <t>CTR_258_Z_Koweit-City(CTR-258)</t>
        </is>
      </c>
      <c r="E123">
        <f>IFERROR(MID(D123, SEARCH("CTR_", D123), 7), IFERROR(MID(D123, SEARCH("SUO_", D123), 7), IFERROR(MID(D123, SEARCH("SUD_", D123), 7), IFERROR(MID(D123, SEARCH("NRO_", D123), 7), IFERROR(MID(D123, SEARCH("ADM_", D123), 7), IFERROR(MID(D123, SEARCH("NRD_", D123), 7), IFERROR(MID(D123, SEARCH("EXN_", D123), 7), IFERROR(MID(D123, SEARCH("LIT_", D123), 7), IFERROR(MID(D123, SEARCH("EST_", D123), 7), MID(D123, SEARCH("OST_",D123), 7))))))))))</f>
        <v/>
      </c>
      <c r="F123" t="inlineStr">
        <is>
          <t>{05-25-2026 goupe whatsapp incident}:    impacted by    CTR_351_Z_Mimboman-Nodal(CTR-351)  ,Cause: Boucle ethernet  ,Action: Desactivation de la boucle</t>
        </is>
      </c>
    </row>
    <row r="124" hidden="1" s="53">
      <c r="D124" t="inlineStr">
        <is>
          <t>EST_112_Z_Mandjou-MTN-IHS(EST-112)</t>
        </is>
      </c>
      <c r="E124">
        <f>IFERROR(MID(D124, SEARCH("CTR_", D124), 7), IFERROR(MID(D124, SEARCH("SUO_", D124), 7), IFERROR(MID(D124, SEARCH("SUD_", D124), 7), IFERROR(MID(D124, SEARCH("NRO_", D124), 7), IFERROR(MID(D124, SEARCH("ADM_", D124), 7), IFERROR(MID(D124, SEARCH("NRD_", D124), 7), IFERROR(MID(D124, SEARCH("EXN_", D124), 7), IFERROR(MID(D124, SEARCH("LIT_", D124), 7), IFERROR(MID(D124, SEARCH("EST_", D124), 7), MID(D124, SEARCH("OST_",D124), 7))))))))))</f>
        <v/>
      </c>
      <c r="F124" t="inlineStr">
        <is>
          <t>{05-25-2026 goupe whatsapp incident}:    impacted by    CTR_351_Z_Mimboman-Nodal(CTR-351)  ,Cause: Boucle ethernet  ,Action: Desactivation de la boucle</t>
        </is>
      </c>
    </row>
    <row r="125" hidden="1" s="53">
      <c r="D125" t="inlineStr">
        <is>
          <t>CTR_662_Z_Abome-II(CTR-662)</t>
        </is>
      </c>
      <c r="E125">
        <f>IFERROR(MID(D125, SEARCH("CTR_", D125), 7), IFERROR(MID(D125, SEARCH("SUO_", D125), 7), IFERROR(MID(D125, SEARCH("SUD_", D125), 7), IFERROR(MID(D125, SEARCH("NRO_", D125), 7), IFERROR(MID(D125, SEARCH("ADM_", D125), 7), IFERROR(MID(D125, SEARCH("NRD_", D125), 7), IFERROR(MID(D125, SEARCH("EXN_", D125), 7), IFERROR(MID(D125, SEARCH("LIT_", D125), 7), IFERROR(MID(D125, SEARCH("EST_", D125), 7), MID(D125, SEARCH("OST_",D125), 7))))))))))</f>
        <v/>
      </c>
      <c r="F125" t="inlineStr">
        <is>
          <t>{05-25-2026 goupe whatsapp incident}:    impacted by    CTR_351_Z_Mimboman-Nodal(CTR-351)  ,Cause: Boucle ethernet  ,Action: Desactivation de la boucle</t>
        </is>
      </c>
    </row>
    <row r="126" hidden="1" s="53">
      <c r="D126" t="inlineStr">
        <is>
          <t>CTR_532_Z_Ngomedzap-MTN(CTR-532)</t>
        </is>
      </c>
      <c r="E126">
        <f>IFERROR(MID(D126, SEARCH("CTR_", D126), 7), IFERROR(MID(D126, SEARCH("SUO_", D126), 7), IFERROR(MID(D126, SEARCH("SUD_", D126), 7), IFERROR(MID(D126, SEARCH("NRO_", D126), 7), IFERROR(MID(D126, SEARCH("ADM_", D126), 7), IFERROR(MID(D126, SEARCH("NRD_", D126), 7), IFERROR(MID(D126, SEARCH("EXN_", D126), 7), IFERROR(MID(D126, SEARCH("LIT_", D126), 7), IFERROR(MID(D126, SEARCH("EST_", D126), 7), MID(D126, SEARCH("OST_",D126), 7))))))))))</f>
        <v/>
      </c>
      <c r="F126" t="inlineStr">
        <is>
          <t>{05-25-2026 goupe whatsapp incident}:    impacted by    CTR_351_Z_Mimboman-Nodal(CTR-351)  ,Cause: Boucle ethernet  ,Action: Desactivation de la boucle</t>
        </is>
      </c>
    </row>
    <row r="127" hidden="1" s="53">
      <c r="D127" t="inlineStr">
        <is>
          <t>CTR_725_Z_Nsimalen-highway-II(CTR-725)</t>
        </is>
      </c>
      <c r="E127">
        <f>IFERROR(MID(D127, SEARCH("CTR_", D127), 7), IFERROR(MID(D127, SEARCH("SUO_", D127), 7), IFERROR(MID(D127, SEARCH("SUD_", D127), 7), IFERROR(MID(D127, SEARCH("NRO_", D127), 7), IFERROR(MID(D127, SEARCH("ADM_", D127), 7), IFERROR(MID(D127, SEARCH("NRD_", D127), 7), IFERROR(MID(D127, SEARCH("EXN_", D127), 7), IFERROR(MID(D127, SEARCH("LIT_", D127), 7), IFERROR(MID(D127, SEARCH("EST_", D127), 7), MID(D127, SEARCH("OST_",D127), 7))))))))))</f>
        <v/>
      </c>
      <c r="F127" t="inlineStr">
        <is>
          <t>{05-25-2026 goupe whatsapp incident}:    impacted by    CTR_351_Z_Mimboman-Nodal(CTR-351)  ,Cause: Boucle ethernet  ,Action: Desactivation de la boucle</t>
        </is>
      </c>
    </row>
    <row r="128" hidden="1" s="53">
      <c r="D128" t="inlineStr">
        <is>
          <t>CTR_330_Z_Odza-PK10(CTR-330)</t>
        </is>
      </c>
      <c r="E128">
        <f>IFERROR(MID(D128, SEARCH("CTR_", D128), 7), IFERROR(MID(D128, SEARCH("SUO_", D128), 7), IFERROR(MID(D128, SEARCH("SUD_", D128), 7), IFERROR(MID(D128, SEARCH("NRO_", D128), 7), IFERROR(MID(D128, SEARCH("ADM_", D128), 7), IFERROR(MID(D128, SEARCH("NRD_", D128), 7), IFERROR(MID(D128, SEARCH("EXN_", D128), 7), IFERROR(MID(D128, SEARCH("LIT_", D128), 7), IFERROR(MID(D128, SEARCH("EST_", D128), 7), MID(D128, SEARCH("OST_",D128), 7))))))))))</f>
        <v/>
      </c>
      <c r="F128" t="inlineStr">
        <is>
          <t>{05-25-2026 goupe whatsapp incident}:    impacted by    CTR_351_Z_Mimboman-Nodal(CTR-351)  ,Cause: Boucle ethernet  ,Action: Desactivation de la boucle</t>
        </is>
      </c>
    </row>
    <row r="129" hidden="1" s="53">
      <c r="D129" t="inlineStr">
        <is>
          <t>CTR_453_Z_Binguela-Camrail(CTR-453)</t>
        </is>
      </c>
      <c r="E129">
        <f>IFERROR(MID(D129, SEARCH("CTR_", D129), 7), IFERROR(MID(D129, SEARCH("SUO_", D129), 7), IFERROR(MID(D129, SEARCH("SUD_", D129), 7), IFERROR(MID(D129, SEARCH("NRO_", D129), 7), IFERROR(MID(D129, SEARCH("ADM_", D129), 7), IFERROR(MID(D129, SEARCH("NRD_", D129), 7), IFERROR(MID(D129, SEARCH("EXN_", D129), 7), IFERROR(MID(D129, SEARCH("LIT_", D129), 7), IFERROR(MID(D129, SEARCH("EST_", D129), 7), MID(D129, SEARCH("OST_",D129), 7))))))))))</f>
        <v/>
      </c>
      <c r="F129" t="inlineStr">
        <is>
          <t>{05-25-2026 goupe whatsapp incident}:    impacted by    CTR_351_Z_Mimboman-Nodal(CTR-351)  ,Cause: Boucle ethernet  ,Action: Desactivation de la boucle</t>
        </is>
      </c>
    </row>
    <row r="130" hidden="1" s="53">
      <c r="D130" t="inlineStr">
        <is>
          <t>CTR_477_Z_Crf-Cornier(CTR-477)</t>
        </is>
      </c>
      <c r="E130">
        <f>IFERROR(MID(D130, SEARCH("CTR_", D130), 7), IFERROR(MID(D130, SEARCH("SUO_", D130), 7), IFERROR(MID(D130, SEARCH("SUD_", D130), 7), IFERROR(MID(D130, SEARCH("NRO_", D130), 7), IFERROR(MID(D130, SEARCH("ADM_", D130), 7), IFERROR(MID(D130, SEARCH("NRD_", D130), 7), IFERROR(MID(D130, SEARCH("EXN_", D130), 7), IFERROR(MID(D130, SEARCH("LIT_", D130), 7), IFERROR(MID(D130, SEARCH("EST_", D130), 7), MID(D130, SEARCH("OST_",D130), 7))))))))))</f>
        <v/>
      </c>
      <c r="F130" t="inlineStr">
        <is>
          <t>{05-25-2026 goupe whatsapp incident}:    impacted by    CTR_351_Z_Mimboman-Nodal(CTR-351)  ,Cause: Boucle ethernet  ,Action: Desactivation de la boucle</t>
        </is>
      </c>
    </row>
    <row r="131" hidden="1" s="53">
      <c r="D131" t="inlineStr">
        <is>
          <t>CTR_1171_Z_Nkolmessing-Abom-III(CTR-1171)</t>
        </is>
      </c>
      <c r="E131">
        <f>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
      </c>
      <c r="F131" t="inlineStr">
        <is>
          <t>{05-25-2026 goupe whatsapp incident}:    impacted by    CTR_351_Z_Mimboman-Nodal(CTR-351)  ,Cause: Boucle ethernet  ,Action: Desactivation de la boucle</t>
        </is>
      </c>
    </row>
    <row r="132" hidden="1" s="53">
      <c r="D132" t="inlineStr">
        <is>
          <t>CTR_274_Z_Stade-Abega(CTR-274)</t>
        </is>
      </c>
      <c r="E132">
        <f>IFERROR(MID(D132, SEARCH("CTR_", D132), 7), IFERROR(MID(D132, SEARCH("SUO_", D132), 7), IFERROR(MID(D132, SEARCH("SUD_", D132), 7), IFERROR(MID(D132, SEARCH("NRO_", D132), 7), IFERROR(MID(D132, SEARCH("ADM_", D132), 7), IFERROR(MID(D132, SEARCH("NRD_", D132), 7), IFERROR(MID(D132, SEARCH("EXN_", D132), 7), IFERROR(MID(D132, SEARCH("LIT_", D132), 7), IFERROR(MID(D132, SEARCH("EST_", D132), 7), MID(D132, SEARCH("OST_",D132), 7))))))))))</f>
        <v/>
      </c>
      <c r="F132" t="inlineStr">
        <is>
          <t>{05-25-2026 goupe whatsapp incident}:    impacted by    CTR_351_Z_Mimboman-Nodal(CTR-351)  ,Cause: Boucle ethernet  ,Action: Desactivation de la boucle</t>
        </is>
      </c>
    </row>
    <row r="133" hidden="1" s="53">
      <c r="D133" t="inlineStr">
        <is>
          <t>CTR_071_Z_Madison(CTR-071)</t>
        </is>
      </c>
      <c r="E133">
        <f>IFERROR(MID(D133, SEARCH("CTR_", D133), 7), IFERROR(MID(D133, SEARCH("SUO_", D133), 7), IFERROR(MID(D133, SEARCH("SUD_", D133), 7), IFERROR(MID(D133, SEARCH("NRO_", D133), 7), IFERROR(MID(D133, SEARCH("ADM_", D133), 7), IFERROR(MID(D133, SEARCH("NRD_", D133), 7), IFERROR(MID(D133, SEARCH("EXN_", D133), 7), IFERROR(MID(D133, SEARCH("LIT_", D133), 7), IFERROR(MID(D133, SEARCH("EST_", D133), 7), MID(D133, SEARCH("OST_",D133), 7))))))))))</f>
        <v/>
      </c>
      <c r="F133" t="inlineStr">
        <is>
          <t>{05-25-2026 goupe whatsapp incident}:    impacted by    CTR_351_Z_Mimboman-Nodal(CTR-351)  ,Cause: Boucle ethernet  ,Action: Desactivation de la boucle</t>
        </is>
      </c>
    </row>
    <row r="134" hidden="1" s="53">
      <c r="D134" t="inlineStr">
        <is>
          <t>CTR_351_Z_Mimboman-Nodal(CTR-351)</t>
        </is>
      </c>
      <c r="E134">
        <f>IFERROR(MID(D134, SEARCH("CTR_", D134), 7), IFERROR(MID(D134, SEARCH("SUO_", D134), 7), IFERROR(MID(D134, SEARCH("SUD_", D134), 7), IFERROR(MID(D134, SEARCH("NRO_", D134), 7), IFERROR(MID(D134, SEARCH("ADM_", D134), 7), IFERROR(MID(D134, SEARCH("NRD_", D134), 7), IFERROR(MID(D134, SEARCH("EXN_", D134), 7), IFERROR(MID(D134, SEARCH("LIT_", D134), 7), IFERROR(MID(D134, SEARCH("EST_", D134), 7), MID(D134, SEARCH("OST_",D134), 7))))))))))</f>
        <v/>
      </c>
      <c r="F134" t="inlineStr">
        <is>
          <t>{05-25-2026 goupe whatsapp incident}:    impacted by    CTR_351_Z_Mimboman-Nodal(CTR-351)  ,Cause: Boucle ethernet  ,Action: Desactivation de la boucle</t>
        </is>
      </c>
    </row>
    <row r="135" hidden="1" s="53">
      <c r="D135" t="inlineStr">
        <is>
          <t>CTR_875_Z_Nkolmessing-Abom-II(CTR-875)</t>
        </is>
      </c>
      <c r="E135">
        <f>IFERROR(MID(D135, SEARCH("CTR_", D135), 7), IFERROR(MID(D135, SEARCH("SUO_", D135), 7), IFERROR(MID(D135, SEARCH("SUD_", D135), 7), IFERROR(MID(D135, SEARCH("NRO_", D135), 7), IFERROR(MID(D135, SEARCH("ADM_", D135), 7), IFERROR(MID(D135, SEARCH("NRD_", D135), 7), IFERROR(MID(D135, SEARCH("EXN_", D135), 7), IFERROR(MID(D135, SEARCH("LIT_", D135), 7), IFERROR(MID(D135, SEARCH("EST_", D135), 7), MID(D135, SEARCH("OST_",D135), 7))))))))))</f>
        <v/>
      </c>
      <c r="F135" t="inlineStr">
        <is>
          <t>{05-25-2026 goupe whatsapp incident}:    impacted by    CTR_351_Z_Mimboman-Nodal(CTR-351)  ,Cause: Boucle ethernet  ,Action: Desactivation de la boucle</t>
        </is>
      </c>
    </row>
    <row r="136" hidden="1" s="53">
      <c r="D136" t="inlineStr">
        <is>
          <t>CTR_625_Z_Mimboman3-IHS(CTR-625)</t>
        </is>
      </c>
      <c r="E136">
        <f>IFERROR(MID(D136, SEARCH("CTR_", D136), 7), IFERROR(MID(D136, SEARCH("SUO_", D136), 7), IFERROR(MID(D136, SEARCH("SUD_", D136), 7), IFERROR(MID(D136, SEARCH("NRO_", D136), 7), IFERROR(MID(D136, SEARCH("ADM_", D136), 7), IFERROR(MID(D136, SEARCH("NRD_", D136), 7), IFERROR(MID(D136, SEARCH("EXN_", D136), 7), IFERROR(MID(D136, SEARCH("LIT_", D136), 7), IFERROR(MID(D136, SEARCH("EST_", D136), 7), MID(D136, SEARCH("OST_",D136), 7))))))))))</f>
        <v/>
      </c>
      <c r="F136" t="inlineStr">
        <is>
          <t>{05-25-2026 goupe whatsapp incident}:    impacted by    CTR_351_Z_Mimboman-Nodal(CTR-351)  ,Cause: Boucle ethernet  ,Action: Desactivation de la boucle</t>
        </is>
      </c>
    </row>
    <row r="137" hidden="1" s="53">
      <c r="D137" t="inlineStr">
        <is>
          <t>CTR_266_Z_Essomba(CTR-266)</t>
        </is>
      </c>
      <c r="E137">
        <f>IFERROR(MID(D137, SEARCH("CTR_", D137), 7), IFERROR(MID(D137, SEARCH("SUO_", D137), 7), IFERROR(MID(D137, SEARCH("SUD_", D137), 7), IFERROR(MID(D137, SEARCH("NRO_", D137), 7), IFERROR(MID(D137, SEARCH("ADM_", D137), 7), IFERROR(MID(D137, SEARCH("NRD_", D137), 7), IFERROR(MID(D137, SEARCH("EXN_", D137), 7), IFERROR(MID(D137, SEARCH("LIT_", D137), 7), IFERROR(MID(D137, SEARCH("EST_", D137), 7), MID(D137, SEARCH("OST_",D137), 7))))))))))</f>
        <v/>
      </c>
      <c r="F137" t="inlineStr">
        <is>
          <t>{05-25-2026 goupe whatsapp incident}:    impacted by    CTR_351_Z_Mimboman-Nodal(CTR-351)  ,Cause: Boucle ethernet  ,Action: Desactivation de la boucle</t>
        </is>
      </c>
    </row>
    <row r="138" hidden="1" s="53">
      <c r="D138" t="inlineStr">
        <is>
          <t>CTR_1107_Z_OKOUI-Chefferie(CTR-1107)</t>
        </is>
      </c>
      <c r="E138">
        <f>IFERROR(MID(D138, SEARCH("CTR_", D138), 7), IFERROR(MID(D138, SEARCH("SUO_", D138), 7), IFERROR(MID(D138, SEARCH("SUD_", D138), 7), IFERROR(MID(D138, SEARCH("NRO_", D138), 7), IFERROR(MID(D138, SEARCH("ADM_", D138), 7), IFERROR(MID(D138, SEARCH("NRD_", D138), 7), IFERROR(MID(D138, SEARCH("EXN_", D138), 7), IFERROR(MID(D138, SEARCH("LIT_", D138), 7), IFERROR(MID(D138, SEARCH("EST_", D138), 7), MID(D138, SEARCH("OST_",D138), 7))))))))))</f>
        <v/>
      </c>
      <c r="F138" t="inlineStr">
        <is>
          <t>{05-25-2026 goupe whatsapp incident}:    impacted by    CTR_351_Z_Mimboman-Nodal(CTR-351)  ,Cause: Boucle ethernet  ,Action: Desactivation de la boucle</t>
        </is>
      </c>
    </row>
    <row r="139" hidden="1" s="53">
      <c r="D139" t="inlineStr">
        <is>
          <t>CTR_276_Z_Tradex-Nkomo(CTR-276)</t>
        </is>
      </c>
      <c r="E139">
        <f>IFERROR(MID(D139, SEARCH("CTR_", D139), 7), IFERROR(MID(D139, SEARCH("SUO_", D139), 7), IFERROR(MID(D139, SEARCH("SUD_", D139), 7), IFERROR(MID(D139, SEARCH("NRO_", D139), 7), IFERROR(MID(D139, SEARCH("ADM_", D139), 7), IFERROR(MID(D139, SEARCH("NRD_", D139), 7), IFERROR(MID(D139, SEARCH("EXN_", D139), 7), IFERROR(MID(D139, SEARCH("LIT_", D139), 7), IFERROR(MID(D139, SEARCH("EST_", D139), 7), MID(D139, SEARCH("OST_",D139), 7))))))))))</f>
        <v/>
      </c>
      <c r="F139" t="inlineStr">
        <is>
          <t>{05-25-2026 goupe whatsapp incident}:    impacted by    CTR_351_Z_Mimboman-Nodal(CTR-351)  ,Cause: Boucle ethernet  ,Action: Desactivation de la boucle</t>
        </is>
      </c>
    </row>
    <row r="140" hidden="1" s="53">
      <c r="D140" t="inlineStr">
        <is>
          <t>CTR_667_Z_Lada(CTR-667)</t>
        </is>
      </c>
      <c r="E140">
        <f>IFERROR(MID(D140, SEARCH("CTR_", D140), 7), IFERROR(MID(D140, SEARCH("SUO_", D140), 7), IFERROR(MID(D140, SEARCH("SUD_", D140), 7), IFERROR(MID(D140, SEARCH("NRO_", D140), 7), IFERROR(MID(D140, SEARCH("ADM_", D140), 7), IFERROR(MID(D140, SEARCH("NRD_", D140), 7), IFERROR(MID(D140, SEARCH("EXN_", D140), 7), IFERROR(MID(D140, SEARCH("LIT_", D140), 7), IFERROR(MID(D140, SEARCH("EST_", D140), 7), MID(D140, SEARCH("OST_",D140), 7))))))))))</f>
        <v/>
      </c>
      <c r="F140" t="inlineStr">
        <is>
          <t>{05-25-2026 goupe whatsapp incident}:    impacted by    CTR_351_Z_Mimboman-Nodal(CTR-351)  ,Cause: Boucle ethernet  ,Action: Desactivation de la boucle</t>
        </is>
      </c>
    </row>
    <row r="141" hidden="1" s="53">
      <c r="D141" t="inlineStr">
        <is>
          <t>CTR_772_Z_Mimboman-Chapelle(CTR-772)</t>
        </is>
      </c>
      <c r="E141">
        <f>IFERROR(MID(D141, SEARCH("CTR_", D141), 7), IFERROR(MID(D141, SEARCH("SUO_", D141), 7), IFERROR(MID(D141, SEARCH("SUD_", D141), 7), IFERROR(MID(D141, SEARCH("NRO_", D141), 7), IFERROR(MID(D141, SEARCH("ADM_", D141), 7), IFERROR(MID(D141, SEARCH("NRD_", D141), 7), IFERROR(MID(D141, SEARCH("EXN_", D141), 7), IFERROR(MID(D141, SEARCH("LIT_", D141), 7), IFERROR(MID(D141, SEARCH("EST_", D141), 7), MID(D141, SEARCH("OST_",D141), 7))))))))))</f>
        <v/>
      </c>
      <c r="F141" t="inlineStr">
        <is>
          <t>{05-25-2026 goupe whatsapp incident}:    impacted by    CTR_351_Z_Mimboman-Nodal(CTR-351)  ,Cause: Boucle ethernet  ,Action: Desactivation de la boucle</t>
        </is>
      </c>
    </row>
    <row r="142" hidden="1" s="53">
      <c r="D142" t="inlineStr">
        <is>
          <t>CTR_273_Z_Nkolmesseng-II(CTR-273)</t>
        </is>
      </c>
      <c r="E142">
        <f>IFERROR(MID(D142, SEARCH("CTR_", D142), 7), IFERROR(MID(D142, SEARCH("SUO_", D142), 7), IFERROR(MID(D142, SEARCH("SUD_", D142), 7), IFERROR(MID(D142, SEARCH("NRO_", D142), 7), IFERROR(MID(D142, SEARCH("ADM_", D142), 7), IFERROR(MID(D142, SEARCH("NRD_", D142), 7), IFERROR(MID(D142, SEARCH("EXN_", D142), 7), IFERROR(MID(D142, SEARCH("LIT_", D142), 7), IFERROR(MID(D142, SEARCH("EST_", D142), 7), MID(D142, SEARCH("OST_",D142), 7))))))))))</f>
        <v/>
      </c>
      <c r="F142" t="inlineStr">
        <is>
          <t>{05-25-2026 goupe whatsapp incident}:    impacted by    CTR_351_Z_Mimboman-Nodal(CTR-351)  ,Cause: Boucle ethernet  ,Action: Desactivation de la boucle</t>
        </is>
      </c>
    </row>
    <row r="143" hidden="1" s="53">
      <c r="D143" t="inlineStr">
        <is>
          <t>CTR_374_Z_Awae-Nkomo(CTR-374)</t>
        </is>
      </c>
      <c r="E143">
        <f>IFERROR(MID(D143, SEARCH("CTR_", D143), 7), IFERROR(MID(D143, SEARCH("SUO_", D143), 7), IFERROR(MID(D143, SEARCH("SUD_", D143), 7), IFERROR(MID(D143, SEARCH("NRO_", D143), 7), IFERROR(MID(D143, SEARCH("ADM_", D143), 7), IFERROR(MID(D143, SEARCH("NRD_", D143), 7), IFERROR(MID(D143, SEARCH("EXN_", D143), 7), IFERROR(MID(D143, SEARCH("LIT_", D143), 7), IFERROR(MID(D143, SEARCH("EST_", D143), 7), MID(D143, SEARCH("OST_",D143), 7))))))))))</f>
        <v/>
      </c>
      <c r="F143" t="inlineStr">
        <is>
          <t>{05-25-2026 goupe whatsapp incident}:    impacted by    CTR_351_Z_Mimboman-Nodal(CTR-351)  ,Cause: Boucle ethernet  ,Action: Desactivation de la boucle</t>
        </is>
      </c>
    </row>
    <row r="144" hidden="1" s="53">
      <c r="D144" t="inlineStr">
        <is>
          <t>CTR_315_Z_Bitoto(CTR-315)</t>
        </is>
      </c>
      <c r="E144">
        <f>IFERROR(MID(D144, SEARCH("CTR_", D144), 7), IFERROR(MID(D144, SEARCH("SUO_", D144), 7), IFERROR(MID(D144, SEARCH("SUD_", D144), 7), IFERROR(MID(D144, SEARCH("NRO_", D144), 7), IFERROR(MID(D144, SEARCH("ADM_", D144), 7), IFERROR(MID(D144, SEARCH("NRD_", D144), 7), IFERROR(MID(D144, SEARCH("EXN_", D144), 7), IFERROR(MID(D144, SEARCH("LIT_", D144), 7), IFERROR(MID(D144, SEARCH("EST_", D144), 7), MID(D144, SEARCH("OST_",D144), 7))))))))))</f>
        <v/>
      </c>
      <c r="F144" t="inlineStr">
        <is>
          <t>{05-25-2026 goupe whatsapp incident}:    impacted by    CTR_351_Z_Mimboman-Nodal(CTR-351)  ,Cause: Boucle ethernet  ,Action: Desactivation de la boucle</t>
        </is>
      </c>
    </row>
    <row r="145" hidden="1" s="53">
      <c r="D145" t="inlineStr">
        <is>
          <t>CTR_972_Z_Nkolelann(CTR-972)</t>
        </is>
      </c>
      <c r="E145">
        <f>IFERROR(MID(D145, SEARCH("CTR_", D145), 7), IFERROR(MID(D145, SEARCH("SUO_", D145), 7), IFERROR(MID(D145, SEARCH("SUD_", D145), 7), IFERROR(MID(D145, SEARCH("NRO_", D145), 7), IFERROR(MID(D145, SEARCH("ADM_", D145), 7), IFERROR(MID(D145, SEARCH("NRD_", D145), 7), IFERROR(MID(D145, SEARCH("EXN_", D145), 7), IFERROR(MID(D145, SEARCH("LIT_", D145), 7), IFERROR(MID(D145, SEARCH("EST_", D145), 7), MID(D145, SEARCH("OST_",D145), 7))))))))))</f>
        <v/>
      </c>
      <c r="F145" t="inlineStr">
        <is>
          <t>{05-25-2026 goupe whatsapp incident}:    impacted by    CTR_351_Z_Mimboman-Nodal(CTR-351)  ,Cause: Boucle ethernet  ,Action: Desactivation de la boucle</t>
        </is>
      </c>
    </row>
    <row r="146" hidden="1" s="53">
      <c r="D146" t="inlineStr">
        <is>
          <t>CTR_791_Z_Ayene-II(CTR-791)</t>
        </is>
      </c>
      <c r="E146">
        <f>IFERROR(MID(D146, SEARCH("CTR_", D146), 7), IFERROR(MID(D146, SEARCH("SUO_", D146), 7), IFERROR(MID(D146, SEARCH("SUD_", D146), 7), IFERROR(MID(D146, SEARCH("NRO_", D146), 7), IFERROR(MID(D146, SEARCH("ADM_", D146), 7), IFERROR(MID(D146, SEARCH("NRD_", D146), 7), IFERROR(MID(D146, SEARCH("EXN_", D146), 7), IFERROR(MID(D146, SEARCH("LIT_", D146), 7), IFERROR(MID(D146, SEARCH("EST_", D146), 7), MID(D146, SEARCH("OST_",D146), 7))))))))))</f>
        <v/>
      </c>
      <c r="F146" t="inlineStr">
        <is>
          <t>{05-25-2026 goupe whatsapp incident}:    impacted by    CTR_351_Z_Mimboman-Nodal(CTR-351)  ,Cause: Boucle ethernet  ,Action: Desactivation de la boucle</t>
        </is>
      </c>
    </row>
    <row r="147" hidden="1" s="53">
      <c r="D147" t="inlineStr">
        <is>
          <t>CTR_670_Z_Nkolagaa-II(CTR-670)</t>
        </is>
      </c>
      <c r="E147">
        <f>IFERROR(MID(D147, SEARCH("CTR_", D147), 7), IFERROR(MID(D147, SEARCH("SUO_", D147), 7), IFERROR(MID(D147, SEARCH("SUD_", D147), 7), IFERROR(MID(D147, SEARCH("NRO_", D147), 7), IFERROR(MID(D147, SEARCH("ADM_", D147), 7), IFERROR(MID(D147, SEARCH("NRD_", D147), 7), IFERROR(MID(D147, SEARCH("EXN_", D147), 7), IFERROR(MID(D147, SEARCH("LIT_", D147), 7), IFERROR(MID(D147, SEARCH("EST_", D147), 7), MID(D147, SEARCH("OST_",D147), 7))))))))))</f>
        <v/>
      </c>
      <c r="F147" t="inlineStr">
        <is>
          <t>{05-25-2026 goupe whatsapp incident}:    impacted by    CTR_351_Z_Mimboman-Nodal(CTR-351)  ,Cause: Boucle ethernet  ,Action: Desactivation de la boucle</t>
        </is>
      </c>
    </row>
    <row r="148" hidden="1" s="53">
      <c r="D148" t="inlineStr">
        <is>
          <t>CTR_462_Z_Abang-MTN-IHS(CTR-462)</t>
        </is>
      </c>
      <c r="E148">
        <f>IFERROR(MID(D148, SEARCH("CTR_", D148), 7), IFERROR(MID(D148, SEARCH("SUO_", D148), 7), IFERROR(MID(D148, SEARCH("SUD_", D148), 7), IFERROR(MID(D148, SEARCH("NRO_", D148), 7), IFERROR(MID(D148, SEARCH("ADM_", D148), 7), IFERROR(MID(D148, SEARCH("NRD_", D148), 7), IFERROR(MID(D148, SEARCH("EXN_", D148), 7), IFERROR(MID(D148, SEARCH("LIT_", D148), 7), IFERROR(MID(D148, SEARCH("EST_", D148), 7), MID(D148, SEARCH("OST_",D148), 7))))))))))</f>
        <v/>
      </c>
      <c r="F148" t="inlineStr">
        <is>
          <t>{05-25-2026 goupe whatsapp incident}:    impacted by    CTR_351_Z_Mimboman-Nodal(CTR-351)  ,Cause: Boucle ethernet  ,Action: Desactivation de la boucle</t>
        </is>
      </c>
    </row>
    <row r="149" hidden="1" s="53">
      <c r="D149" t="inlineStr">
        <is>
          <t>CTR_711_Z_Nkolmesseng-Abom(CTR-711)</t>
        </is>
      </c>
      <c r="E149">
        <f>IFERROR(MID(D149, SEARCH("CTR_", D149), 7), IFERROR(MID(D149, SEARCH("SUO_", D149), 7), IFERROR(MID(D149, SEARCH("SUD_", D149), 7), IFERROR(MID(D149, SEARCH("NRO_", D149), 7), IFERROR(MID(D149, SEARCH("ADM_", D149), 7), IFERROR(MID(D149, SEARCH("NRD_", D149), 7), IFERROR(MID(D149, SEARCH("EXN_", D149), 7), IFERROR(MID(D149, SEARCH("LIT_", D149), 7), IFERROR(MID(D149, SEARCH("EST_", D149), 7), MID(D149, SEARCH("OST_",D149), 7))))))))))</f>
        <v/>
      </c>
      <c r="F149" t="inlineStr">
        <is>
          <t>{05-25-2026 goupe whatsapp incident}:    impacted by    CTR_351_Z_Mimboman-Nodal(CTR-351)  ,Cause: Boucle ethernet  ,Action: Desactivation de la boucle</t>
        </is>
      </c>
    </row>
    <row r="150" hidden="1" s="53">
      <c r="D150" t="inlineStr">
        <is>
          <t>CTR_629_Z_Nkongoa(CTR-629)</t>
        </is>
      </c>
      <c r="E150">
        <f>IFERROR(MID(D150, SEARCH("CTR_", D150), 7), IFERROR(MID(D150, SEARCH("SUO_", D150), 7), IFERROR(MID(D150, SEARCH("SUD_", D150), 7), IFERROR(MID(D150, SEARCH("NRO_", D150), 7), IFERROR(MID(D150, SEARCH("ADM_", D150), 7), IFERROR(MID(D150, SEARCH("NRD_", D150), 7), IFERROR(MID(D150, SEARCH("EXN_", D150), 7), IFERROR(MID(D150, SEARCH("LIT_", D150), 7), IFERROR(MID(D150, SEARCH("EST_", D150), 7), MID(D150, SEARCH("OST_",D150), 7))))))))))</f>
        <v/>
      </c>
      <c r="F150" t="inlineStr">
        <is>
          <t>{05-25-2026 goupe whatsapp incident}:    impacted by    CTR_351_Z_Mimboman-Nodal(CTR-351)  ,Cause: Boucle ethernet  ,Action: Desactivation de la boucle</t>
        </is>
      </c>
    </row>
    <row r="151" hidden="1" s="53">
      <c r="D151" t="inlineStr">
        <is>
          <t>CTR_068_Z_Mobil-Essos(CTR-068)</t>
        </is>
      </c>
      <c r="E151">
        <f>IFERROR(MID(D151, SEARCH("CTR_", D151), 7), IFERROR(MID(D151, SEARCH("SUO_", D151), 7), IFERROR(MID(D151, SEARCH("SUD_", D151), 7), IFERROR(MID(D151, SEARCH("NRO_", D151), 7), IFERROR(MID(D151, SEARCH("ADM_", D151), 7), IFERROR(MID(D151, SEARCH("NRD_", D151), 7), IFERROR(MID(D151, SEARCH("EXN_", D151), 7), IFERROR(MID(D151, SEARCH("LIT_", D151), 7), IFERROR(MID(D151, SEARCH("EST_", D151), 7), MID(D151, SEARCH("OST_",D151), 7))))))))))</f>
        <v/>
      </c>
      <c r="F151" t="inlineStr">
        <is>
          <t>{05-25-2026 goupe whatsapp incident}:    impacted by    CTR_351_Z_Mimboman-Nodal(CTR-351)  ,Cause: Boucle ethernet  ,Action: Desactivation de la boucle</t>
        </is>
      </c>
    </row>
    <row r="152" hidden="1" s="53">
      <c r="D152" t="inlineStr">
        <is>
          <t>CTR_247_Z_Nkolangaa(CTR-247)</t>
        </is>
      </c>
      <c r="E152">
        <f>IFERROR(MID(D152, SEARCH("CTR_", D152), 7), IFERROR(MID(D152, SEARCH("SUO_", D152), 7), IFERROR(MID(D152, SEARCH("SUD_", D152), 7), IFERROR(MID(D152, SEARCH("NRO_", D152), 7), IFERROR(MID(D152, SEARCH("ADM_", D152), 7), IFERROR(MID(D152, SEARCH("NRD_", D152), 7), IFERROR(MID(D152, SEARCH("EXN_", D152), 7), IFERROR(MID(D152, SEARCH("LIT_", D152), 7), IFERROR(MID(D152, SEARCH("EST_", D152), 7), MID(D152, SEARCH("OST_",D152), 7))))))))))</f>
        <v/>
      </c>
      <c r="F152" t="inlineStr">
        <is>
          <t>{05-25-2026 goupe whatsapp incident}:    impacted by    CTR_351_Z_Mimboman-Nodal(CTR-351)  ,Cause: Boucle ethernet  ,Action: Desactivation de la boucle</t>
        </is>
      </c>
    </row>
    <row r="153" hidden="1" s="53">
      <c r="D153" t="inlineStr">
        <is>
          <t>CTR_631_Z_Nlobisson(CTR-631)</t>
        </is>
      </c>
      <c r="E153">
        <f>IFERROR(MID(D153, SEARCH("CTR_", D153), 7), IFERROR(MID(D153, SEARCH("SUO_", D153), 7), IFERROR(MID(D153, SEARCH("SUD_", D153), 7), IFERROR(MID(D153, SEARCH("NRO_", D153), 7), IFERROR(MID(D153, SEARCH("ADM_", D153), 7), IFERROR(MID(D153, SEARCH("NRD_", D153), 7), IFERROR(MID(D153, SEARCH("EXN_", D153), 7), IFERROR(MID(D153, SEARCH("LIT_", D153), 7), IFERROR(MID(D153, SEARCH("EST_", D153), 7), MID(D153, SEARCH("OST_",D153), 7))))))))))</f>
        <v/>
      </c>
      <c r="F153" t="inlineStr">
        <is>
          <t>{05-25-2026 goupe whatsapp incident}:    impacted by    CTR_351_Z_Mimboman-Nodal(CTR-351)  ,Cause: Boucle ethernet  ,Action: Desactivation de la boucle</t>
        </is>
      </c>
    </row>
    <row r="154" hidden="1" s="53">
      <c r="D154" t="inlineStr">
        <is>
          <t>CTR_777_Z_Nkoulou-II(CTR-777)</t>
        </is>
      </c>
      <c r="E154">
        <f>IFERROR(MID(D154, SEARCH("CTR_", D154), 7), IFERROR(MID(D154, SEARCH("SUO_", D154), 7), IFERROR(MID(D154, SEARCH("SUD_", D154), 7), IFERROR(MID(D154, SEARCH("NRO_", D154), 7), IFERROR(MID(D154, SEARCH("ADM_", D154), 7), IFERROR(MID(D154, SEARCH("NRD_", D154), 7), IFERROR(MID(D154, SEARCH("EXN_", D154), 7), IFERROR(MID(D154, SEARCH("LIT_", D154), 7), IFERROR(MID(D154, SEARCH("EST_", D154), 7), MID(D154, SEARCH("OST_",D154), 7))))))))))</f>
        <v/>
      </c>
      <c r="F154" t="inlineStr">
        <is>
          <t>{05-25-2026 goupe whatsapp incident}:    impacted by    CTR_351_Z_Mimboman-Nodal(CTR-351)  ,Cause: Boucle ethernet  ,Action: Desactivation de la boucle</t>
        </is>
      </c>
    </row>
    <row r="155" hidden="1" s="53">
      <c r="D155" t="inlineStr">
        <is>
          <t>CTR_948_Z_Nkoabang-III(CTR-948)</t>
        </is>
      </c>
      <c r="E155">
        <f>IFERROR(MID(D155, SEARCH("CTR_", D155), 7), IFERROR(MID(D155, SEARCH("SUO_", D155), 7), IFERROR(MID(D155, SEARCH("SUD_", D155), 7), IFERROR(MID(D155, SEARCH("NRO_", D155), 7), IFERROR(MID(D155, SEARCH("ADM_", D155), 7), IFERROR(MID(D155, SEARCH("NRD_", D155), 7), IFERROR(MID(D155, SEARCH("EXN_", D155), 7), IFERROR(MID(D155, SEARCH("LIT_", D155), 7), IFERROR(MID(D155, SEARCH("EST_", D155), 7), MID(D155, SEARCH("OST_",D155), 7))))))))))</f>
        <v/>
      </c>
      <c r="F155" t="inlineStr">
        <is>
          <t>{05-25-2026 goupe whatsapp incident}:    impacted by    CTR_351_Z_Mimboman-Nodal(CTR-351)  ,Cause: Boucle ethernet  ,Action: Desactivation de la boucle</t>
        </is>
      </c>
    </row>
    <row r="156" hidden="1" s="53">
      <c r="D156" t="inlineStr">
        <is>
          <t>CTR_896_Z_Nkongoa-Mfou(CTR-896)</t>
        </is>
      </c>
      <c r="E156">
        <f>IFERROR(MID(D156, SEARCH("CTR_", D156), 7), IFERROR(MID(D156, SEARCH("SUO_", D156), 7), IFERROR(MID(D156, SEARCH("SUD_", D156), 7), IFERROR(MID(D156, SEARCH("NRO_", D156), 7), IFERROR(MID(D156, SEARCH("ADM_", D156), 7), IFERROR(MID(D156, SEARCH("NRD_", D156), 7), IFERROR(MID(D156, SEARCH("EXN_", D156), 7), IFERROR(MID(D156, SEARCH("LIT_", D156), 7), IFERROR(MID(D156, SEARCH("EST_", D156), 7), MID(D156, SEARCH("OST_",D156), 7))))))))))</f>
        <v/>
      </c>
      <c r="F156" t="inlineStr">
        <is>
          <t>{05-25-2026 goupe whatsapp incident}:    impacted by    CTR_351_Z_Mimboman-Nodal(CTR-351)  ,Cause: Boucle ethernet  ,Action: Desactivation de la boucle</t>
        </is>
      </c>
    </row>
    <row r="157" hidden="1" s="53">
      <c r="D157" t="inlineStr">
        <is>
          <t>CTR_939_Z_Mehanda-IV(CTR-939)</t>
        </is>
      </c>
      <c r="E157">
        <f>IFERROR(MID(D157, SEARCH("CTR_", D157), 7), IFERROR(MID(D157, SEARCH("SUO_", D157), 7), IFERROR(MID(D157, SEARCH("SUD_", D157), 7), IFERROR(MID(D157, SEARCH("NRO_", D157), 7), IFERROR(MID(D157, SEARCH("ADM_", D157), 7), IFERROR(MID(D157, SEARCH("NRD_", D157), 7), IFERROR(MID(D157, SEARCH("EXN_", D157), 7), IFERROR(MID(D157, SEARCH("LIT_", D157), 7), IFERROR(MID(D157, SEARCH("EST_", D157), 7), MID(D157, SEARCH("OST_",D157), 7))))))))))</f>
        <v/>
      </c>
      <c r="F157" t="inlineStr">
        <is>
          <t>{05-25-2026 goupe whatsapp incident}:    impacted by    CTR_351_Z_Mimboman-Nodal(CTR-351)  ,Cause: Boucle ethernet  ,Action: Desactivation de la boucle</t>
        </is>
      </c>
    </row>
    <row r="158" hidden="1" s="53">
      <c r="D158" t="inlineStr">
        <is>
          <t>CTR_724_Z_Nsimalen-highway-I(CTR-724)</t>
        </is>
      </c>
      <c r="E158">
        <f>IFERROR(MID(D158, SEARCH("CTR_", D158), 7), IFERROR(MID(D158, SEARCH("SUO_", D158), 7), IFERROR(MID(D158, SEARCH("SUD_", D158), 7), IFERROR(MID(D158, SEARCH("NRO_", D158), 7), IFERROR(MID(D158, SEARCH("ADM_", D158), 7), IFERROR(MID(D158, SEARCH("NRD_", D158), 7), IFERROR(MID(D158, SEARCH("EXN_", D158), 7), IFERROR(MID(D158, SEARCH("LIT_", D158), 7), IFERROR(MID(D158, SEARCH("EST_", D158), 7), MID(D158, SEARCH("OST_",D158), 7))))))))))</f>
        <v/>
      </c>
      <c r="F158" t="inlineStr">
        <is>
          <t>{05-25-2026 goupe whatsapp incident}:    impacted by    CTR_351_Z_Mimboman-Nodal(CTR-351)  ,Cause: Boucle ethernet  ,Action: Desactivation de la boucle</t>
        </is>
      </c>
    </row>
    <row r="159" hidden="1" s="53">
      <c r="D159" t="inlineStr">
        <is>
          <t>LIT_111_Z_Kompigna(LIT-111)</t>
        </is>
      </c>
      <c r="E159">
        <f>IFERROR(MID(D159, SEARCH("CTR_", D159), 7), IFERROR(MID(D159, SEARCH("SUO_", D159), 7), IFERROR(MID(D159, SEARCH("SUD_", D159), 7), IFERROR(MID(D159, SEARCH("NRO_", D159), 7), IFERROR(MID(D159, SEARCH("ADM_", D159), 7), IFERROR(MID(D159, SEARCH("NRD_", D159), 7), IFERROR(MID(D159, SEARCH("EXN_", D159), 7), IFERROR(MID(D159, SEARCH("LIT_", D159), 7), IFERROR(MID(D159, SEARCH("EST_", D159), 7), MID(D159, SEARCH("OST_",D159), 7))))))))))</f>
        <v/>
      </c>
      <c r="F159" t="inlineStr">
        <is>
          <t>{05-25-2026 goupe whatsapp incident}:    impacted by    CTR_351_Z_Mimboman-Nodal(CTR-351)  ,Cause: Boucle ethernet  ,Action: Desactivation de la boucle</t>
        </is>
      </c>
    </row>
    <row r="160" hidden="1" ht="20.55" customHeight="1" s="53">
      <c r="A160" t="inlineStr">
        <is>
          <t>Indisponibilité de plusieurs sites VSAT dans plusieurs regions
Impacts: 25 sites VSAT Nokia</t>
        </is>
      </c>
      <c r="C160" t="inlineStr">
        <is>
          <t>2605M71671 // INC-20260525-00018483</t>
        </is>
      </c>
      <c r="D160" t="inlineStr">
        <is>
          <t>SUD_226_N_Mvengue_G-VSAT</t>
        </is>
      </c>
      <c r="E160">
        <f>IFERROR(MID(D160, SEARCH("CTR_", D160), 7), IFERROR(MID(D160, SEARCH("SUO_", D160), 7), IFERROR(MID(D160, SEARCH("SUD_", D160), 7), IFERROR(MID(D160, SEARCH("NRO_", D160), 7), IFERROR(MID(D160, SEARCH("ADM_", D160), 7), IFERROR(MID(D160, SEARCH("NRD_", D160), 7), IFERROR(MID(D160, SEARCH("EXN_", D160), 7), IFERROR(MID(D160, SEARCH("LIT_", D160), 7), IFERROR(MID(D160, SEARCH("EST_", D160), 7), MID(D160, SEARCH("OST_",D160), 7))))))))))</f>
        <v/>
      </c>
      <c r="F160" t="inlineStr">
        <is>
          <t>Impacts :Coupure franche (25 sites VSAT Nokia)  ,Indisponibilité de plusieurs sites VSAT dans plusieurs regions @~Supervision Reseau Orange Cameroun  ; Cause: A Determiner
Action: Sans action</t>
        </is>
      </c>
    </row>
    <row r="161" hidden="1" s="53">
      <c r="D161" t="inlineStr">
        <is>
          <t>EST_115_N_Kika-IHS_G-VSAT</t>
        </is>
      </c>
      <c r="E161">
        <f>IFERROR(MID(D161, SEARCH("CTR_", D161), 7), IFERROR(MID(D161, SEARCH("SUO_", D161), 7), IFERROR(MID(D161, SEARCH("SUD_", D161), 7), IFERROR(MID(D161, SEARCH("NRO_", D161), 7), IFERROR(MID(D161, SEARCH("ADM_", D161), 7), IFERROR(MID(D161, SEARCH("NRD_", D161), 7), IFERROR(MID(D161, SEARCH("EXN_", D161), 7), IFERROR(MID(D161, SEARCH("LIT_", D161), 7), IFERROR(MID(D161, SEARCH("EST_", D161), 7), MID(D161, SEARCH("OST_",D161), 7))))))))))</f>
        <v/>
      </c>
      <c r="F161" t="inlineStr">
        <is>
          <t>Impacts :Coupure franche (25 sites VSAT Nokia)  ,Indisponibilité de plusieurs sites VSAT dans plusieurs regions @~Supervision Reseau Orange Cameroun  ; Cause: A Determiner
Action: Sans action</t>
        </is>
      </c>
    </row>
    <row r="162" hidden="1" s="53">
      <c r="D162" t="inlineStr">
        <is>
          <t>ADM_112_N_Home-IHS_G-VSAT</t>
        </is>
      </c>
      <c r="E162">
        <f>IFERROR(MID(D162, SEARCH("CTR_", D162), 7), IFERROR(MID(D162, SEARCH("SUO_", D162), 7), IFERROR(MID(D162, SEARCH("SUD_", D162), 7), IFERROR(MID(D162, SEARCH("NRO_", D162), 7), IFERROR(MID(D162, SEARCH("ADM_", D162), 7), IFERROR(MID(D162, SEARCH("NRD_", D162), 7), IFERROR(MID(D162, SEARCH("EXN_", D162), 7), IFERROR(MID(D162, SEARCH("LIT_", D162), 7), IFERROR(MID(D162, SEARCH("EST_", D162), 7), MID(D162, SEARCH("OST_",D162), 7))))))))))</f>
        <v/>
      </c>
      <c r="F162" t="inlineStr">
        <is>
          <t>Impacts :Coupure franche (25 sites VSAT Nokia)  ,Indisponibilité de plusieurs sites VSAT dans plusieurs regions @~Supervision Reseau Orange Cameroun  ; Cause: A Determiner
Action: Sans action</t>
        </is>
      </c>
    </row>
    <row r="163" hidden="1" s="53">
      <c r="D163" t="inlineStr">
        <is>
          <t>NRD_153_N_Foubarka-VSAT_G</t>
        </is>
      </c>
      <c r="E163">
        <f>IFERROR(MID(D163, SEARCH("CTR_", D163), 7), IFERROR(MID(D163, SEARCH("SUO_", D163), 7), IFERROR(MID(D163, SEARCH("SUD_", D163), 7), IFERROR(MID(D163, SEARCH("NRO_", D163), 7), IFERROR(MID(D163, SEARCH("ADM_", D163), 7), IFERROR(MID(D163, SEARCH("NRD_", D163), 7), IFERROR(MID(D163, SEARCH("EXN_", D163), 7), IFERROR(MID(D163, SEARCH("LIT_", D163), 7), IFERROR(MID(D163, SEARCH("EST_", D163), 7), MID(D163, SEARCH("OST_",D163), 7))))))))))</f>
        <v/>
      </c>
      <c r="F163" t="inlineStr">
        <is>
          <t>Impacts :Coupure franche (25 sites VSAT Nokia)  ,Indisponibilité de plusieurs sites VSAT dans plusieurs regions @~Supervision Reseau Orange Cameroun  ; Cause: A Determiner
Action: Sans action</t>
        </is>
      </c>
    </row>
    <row r="164" hidden="1" s="53">
      <c r="D164" t="inlineStr">
        <is>
          <t>SUD_066_N_Mvangan-IHS_G-VSAT</t>
        </is>
      </c>
      <c r="E164">
        <f>IFERROR(MID(D164, SEARCH("CTR_", D164), 7), IFERROR(MID(D164, SEARCH("SUO_", D164), 7), IFERROR(MID(D164, SEARCH("SUD_", D164), 7), IFERROR(MID(D164, SEARCH("NRO_", D164), 7), IFERROR(MID(D164, SEARCH("ADM_", D164), 7), IFERROR(MID(D164, SEARCH("NRD_", D164), 7), IFERROR(MID(D164, SEARCH("EXN_", D164), 7), IFERROR(MID(D164, SEARCH("LIT_", D164), 7), IFERROR(MID(D164, SEARCH("EST_", D164), 7), MID(D164, SEARCH("OST_",D164), 7))))))))))</f>
        <v/>
      </c>
      <c r="F164" t="inlineStr">
        <is>
          <t>Impacts :Coupure franche (25 sites VSAT Nokia)  ,Indisponibilité de plusieurs sites VSAT dans plusieurs regions @~Supervision Reseau Orange Cameroun  ; Cause: A Determiner
Action: Sans action</t>
        </is>
      </c>
    </row>
    <row r="165" hidden="1" s="53">
      <c r="D165" t="inlineStr">
        <is>
          <t>ADM_128_N_Dogba-Ngd-IHS_G-VSAT</t>
        </is>
      </c>
      <c r="E165">
        <f>IFERROR(MID(D165, SEARCH("CTR_", D165), 7), IFERROR(MID(D165, SEARCH("SUO_", D165), 7), IFERROR(MID(D165, SEARCH("SUD_", D165), 7), IFERROR(MID(D165, SEARCH("NRO_", D165), 7), IFERROR(MID(D165, SEARCH("ADM_", D165), 7), IFERROR(MID(D165, SEARCH("NRD_", D165), 7), IFERROR(MID(D165, SEARCH("EXN_", D165), 7), IFERROR(MID(D165, SEARCH("LIT_", D165), 7), IFERROR(MID(D165, SEARCH("EST_", D165), 7), MID(D165, SEARCH("OST_",D165), 7))))))))))</f>
        <v/>
      </c>
      <c r="F165" t="inlineStr">
        <is>
          <t>Impacts :Coupure franche (25 sites VSAT Nokia)  ,Indisponibilité de plusieurs sites VSAT dans plusieurs regions @~Supervision Reseau Orange Cameroun  ; Cause: A Determiner
Action: Sans action</t>
        </is>
      </c>
    </row>
    <row r="166" hidden="1" s="53">
      <c r="D166" t="inlineStr">
        <is>
          <t>LIT_180_N_Yingui_G-VSAT</t>
        </is>
      </c>
      <c r="E166">
        <f>IFERROR(MID(D166, SEARCH("CTR_", D166), 7), IFERROR(MID(D166, SEARCH("SUO_", D166), 7), IFERROR(MID(D166, SEARCH("SUD_", D166), 7), IFERROR(MID(D166, SEARCH("NRO_", D166), 7), IFERROR(MID(D166, SEARCH("ADM_", D166), 7), IFERROR(MID(D166, SEARCH("NRD_", D166), 7), IFERROR(MID(D166, SEARCH("EXN_", D166), 7), IFERROR(MID(D166, SEARCH("LIT_", D166), 7), IFERROR(MID(D166, SEARCH("EST_", D166), 7), MID(D166, SEARCH("OST_",D166), 7))))))))))</f>
        <v/>
      </c>
      <c r="F166" t="inlineStr">
        <is>
          <t>Impacts :Coupure franche (25 sites VSAT Nokia)  ,Indisponibilité de plusieurs sites VSAT dans plusieurs regions @~Supervision Reseau Orange Cameroun  ; Cause: A Determiner
Action: Sans action</t>
        </is>
      </c>
    </row>
    <row r="167" hidden="1" s="53">
      <c r="D167" t="inlineStr">
        <is>
          <t>ADM_133_N_Mberem-Ngop_G-VSAT</t>
        </is>
      </c>
      <c r="E167">
        <f>IFERROR(MID(D167, SEARCH("CTR_", D167), 7), IFERROR(MID(D167, SEARCH("SUO_", D167), 7), IFERROR(MID(D167, SEARCH("SUD_", D167), 7), IFERROR(MID(D167, SEARCH("NRO_", D167), 7), IFERROR(MID(D167, SEARCH("ADM_", D167), 7), IFERROR(MID(D167, SEARCH("NRD_", D167), 7), IFERROR(MID(D167, SEARCH("EXN_", D167), 7), IFERROR(MID(D167, SEARCH("LIT_", D167), 7), IFERROR(MID(D167, SEARCH("EST_", D167), 7), MID(D167, SEARCH("OST_",D167), 7))))))))))</f>
        <v/>
      </c>
      <c r="F167" t="inlineStr">
        <is>
          <t>Impacts :Coupure franche (25 sites VSAT Nokia)  ,Indisponibilité de plusieurs sites VSAT dans plusieurs regions @~Supervision Reseau Orange Cameroun  ; Cause: A Determiner
Action: Sans action</t>
        </is>
      </c>
    </row>
    <row r="168" hidden="1" s="53">
      <c r="D168" t="inlineStr">
        <is>
          <t>SUO_150_N_Banguem-Street-II-VSAT_G</t>
        </is>
      </c>
      <c r="E168">
        <f>IFERROR(MID(D168, SEARCH("CTR_", D168), 7), IFERROR(MID(D168, SEARCH("SUO_", D168), 7), IFERROR(MID(D168, SEARCH("SUD_", D168), 7), IFERROR(MID(D168, SEARCH("NRO_", D168), 7), IFERROR(MID(D168, SEARCH("ADM_", D168), 7), IFERROR(MID(D168, SEARCH("NRD_", D168), 7), IFERROR(MID(D168, SEARCH("EXN_", D168), 7), IFERROR(MID(D168, SEARCH("LIT_", D168), 7), IFERROR(MID(D168, SEARCH("EST_", D168), 7), MID(D168, SEARCH("OST_",D168), 7))))))))))</f>
        <v/>
      </c>
      <c r="F168" t="inlineStr">
        <is>
          <t>Impacts :Coupure franche (25 sites VSAT Nokia)  ,Indisponibilité de plusieurs sites VSAT dans plusieurs regions @~Supervision Reseau Orange Cameroun  ; Cause: A Determiner
Action: Sans action</t>
        </is>
      </c>
    </row>
    <row r="169" hidden="1" s="53">
      <c r="D169" t="inlineStr">
        <is>
          <t>EST_103_N_Salapoumbe-Ville-MTN-IHS_G-VSAT</t>
        </is>
      </c>
      <c r="E169">
        <f>IFERROR(MID(D169, SEARCH("CTR_", D169), 7), IFERROR(MID(D169, SEARCH("SUO_", D169), 7), IFERROR(MID(D169, SEARCH("SUD_", D169), 7), IFERROR(MID(D169, SEARCH("NRO_", D169), 7), IFERROR(MID(D169, SEARCH("ADM_", D169), 7), IFERROR(MID(D169, SEARCH("NRD_", D169), 7), IFERROR(MID(D169, SEARCH("EXN_", D169), 7), IFERROR(MID(D169, SEARCH("LIT_", D169), 7), IFERROR(MID(D169, SEARCH("EST_", D169), 7), MID(D169, SEARCH("OST_",D169), 7))))))))))</f>
        <v/>
      </c>
      <c r="F169" t="inlineStr">
        <is>
          <t>Impacts :Coupure franche (25 sites VSAT Nokia)  ,Indisponibilité de plusieurs sites VSAT dans plusieurs regions @~Supervision Reseau Orange Cameroun  ; Cause: A Determiner
Action: Sans action</t>
        </is>
      </c>
    </row>
    <row r="170" hidden="1" s="53">
      <c r="D170" t="inlineStr">
        <is>
          <t>ADM_075_N_Mayo-Baleo-IHS_G-VSAT</t>
        </is>
      </c>
      <c r="E170">
        <f>IFERROR(MID(D170, SEARCH("CTR_", D170), 7), IFERROR(MID(D170, SEARCH("SUO_", D170), 7), IFERROR(MID(D170, SEARCH("SUD_", D170), 7), IFERROR(MID(D170, SEARCH("NRO_", D170), 7), IFERROR(MID(D170, SEARCH("ADM_", D170), 7), IFERROR(MID(D170, SEARCH("NRD_", D170), 7), IFERROR(MID(D170, SEARCH("EXN_", D170), 7), IFERROR(MID(D170, SEARCH("LIT_", D170), 7), IFERROR(MID(D170, SEARCH("EST_", D170), 7), MID(D170, SEARCH("OST_",D170), 7))))))))))</f>
        <v/>
      </c>
      <c r="F170" t="inlineStr">
        <is>
          <t>Impacts :Coupure franche (25 sites VSAT Nokia)  ,Indisponibilité de plusieurs sites VSAT dans plusieurs regions @~Supervision Reseau Orange Cameroun  ; Cause: A Determiner
Action: Sans action</t>
        </is>
      </c>
    </row>
    <row r="171" hidden="1" s="53">
      <c r="D171" t="inlineStr">
        <is>
          <t>SUO_013_N_Banguem-VSAT_G</t>
        </is>
      </c>
      <c r="E171">
        <f>IFERROR(MID(D171, SEARCH("CTR_", D171), 7), IFERROR(MID(D171, SEARCH("SUO_", D171), 7), IFERROR(MID(D171, SEARCH("SUD_", D171), 7), IFERROR(MID(D171, SEARCH("NRO_", D171), 7), IFERROR(MID(D171, SEARCH("ADM_", D171), 7), IFERROR(MID(D171, SEARCH("NRD_", D171), 7), IFERROR(MID(D171, SEARCH("EXN_", D171), 7), IFERROR(MID(D171, SEARCH("LIT_", D171), 7), IFERROR(MID(D171, SEARCH("EST_", D171), 7), MID(D171, SEARCH("OST_",D171), 7))))))))))</f>
        <v/>
      </c>
      <c r="F171" t="inlineStr">
        <is>
          <t>Impacts :Coupure franche (25 sites VSAT Nokia)  ,Indisponibilité de plusieurs sites VSAT dans plusieurs regions @~Supervision Reseau Orange Cameroun  ; Cause: A Determiner
Action: Sans action</t>
        </is>
      </c>
    </row>
    <row r="172" hidden="1" s="53">
      <c r="D172" t="inlineStr">
        <is>
          <t>CTR_436_N_Akongo-IHS_G-VSAT</t>
        </is>
      </c>
      <c r="E172">
        <f>IFERROR(MID(D172, SEARCH("CTR_", D172), 7), IFERROR(MID(D172, SEARCH("SUO_", D172), 7), IFERROR(MID(D172, SEARCH("SUD_", D172), 7), IFERROR(MID(D172, SEARCH("NRO_", D172), 7), IFERROR(MID(D172, SEARCH("ADM_", D172), 7), IFERROR(MID(D172, SEARCH("NRD_", D172), 7), IFERROR(MID(D172, SEARCH("EXN_", D172), 7), IFERROR(MID(D172, SEARCH("LIT_", D172), 7), IFERROR(MID(D172, SEARCH("EST_", D172), 7), MID(D172, SEARCH("OST_",D172), 7))))))))))</f>
        <v/>
      </c>
      <c r="F172" t="inlineStr">
        <is>
          <t>Impacts :Coupure franche (25 sites VSAT Nokia)  ,Indisponibilité de plusieurs sites VSAT dans plusieurs regions @~Supervision Reseau Orange Cameroun  ; Cause: A Determiner
Action: Sans action</t>
        </is>
      </c>
    </row>
    <row r="173" hidden="1" s="53">
      <c r="D173" t="inlineStr">
        <is>
          <t>EST_012_N_Mindourou_G-VSAT</t>
        </is>
      </c>
      <c r="E173">
        <f>IFERROR(MID(D173, SEARCH("CTR_", D173), 7), IFERROR(MID(D173, SEARCH("SUO_", D173), 7), IFERROR(MID(D173, SEARCH("SUD_", D173), 7), IFERROR(MID(D173, SEARCH("NRO_", D173), 7), IFERROR(MID(D173, SEARCH("ADM_", D173), 7), IFERROR(MID(D173, SEARCH("NRD_", D173), 7), IFERROR(MID(D173, SEARCH("EXN_", D173), 7), IFERROR(MID(D173, SEARCH("LIT_", D173), 7), IFERROR(MID(D173, SEARCH("EST_", D173), 7), MID(D173, SEARCH("OST_",D173), 7))))))))))</f>
        <v/>
      </c>
      <c r="F173" t="inlineStr">
        <is>
          <t>Impacts :Coupure franche (25 sites VSAT Nokia)  ,Indisponibilité de plusieurs sites VSAT dans plusieurs regions @~Supervision Reseau Orange Cameroun  ; Cause: A Determiner
Action: Sans action</t>
        </is>
      </c>
    </row>
    <row r="174" hidden="1" s="53">
      <c r="D174" t="inlineStr">
        <is>
          <t>NRO_231_N_Ako-VSAT_G</t>
        </is>
      </c>
      <c r="E174">
        <f>IFERROR(MID(D174, SEARCH("CTR_", D174), 7), IFERROR(MID(D174, SEARCH("SUO_", D174), 7), IFERROR(MID(D174, SEARCH("SUD_", D174), 7), IFERROR(MID(D174, SEARCH("NRO_", D174), 7), IFERROR(MID(D174, SEARCH("ADM_", D174), 7), IFERROR(MID(D174, SEARCH("NRD_", D174), 7), IFERROR(MID(D174, SEARCH("EXN_", D174), 7), IFERROR(MID(D174, SEARCH("LIT_", D174), 7), IFERROR(MID(D174, SEARCH("EST_", D174), 7), MID(D174, SEARCH("OST_",D174), 7))))))))))</f>
        <v/>
      </c>
      <c r="F174" t="inlineStr">
        <is>
          <t>Impacts :Coupure franche (25 sites VSAT Nokia)  ,Indisponibilité de plusieurs sites VSAT dans plusieurs regions @~Supervision Reseau Orange Cameroun  ; Cause: A Determiner
Action: Sans action</t>
        </is>
      </c>
    </row>
    <row r="175" hidden="1" s="53">
      <c r="D175" t="inlineStr">
        <is>
          <t>EST_015_N_Moloundou_GD-VSAT</t>
        </is>
      </c>
      <c r="E175">
        <f>IFERROR(MID(D175, SEARCH("CTR_", D175), 7), IFERROR(MID(D175, SEARCH("SUO_", D175), 7), IFERROR(MID(D175, SEARCH("SUD_", D175), 7), IFERROR(MID(D175, SEARCH("NRO_", D175), 7), IFERROR(MID(D175, SEARCH("ADM_", D175), 7), IFERROR(MID(D175, SEARCH("NRD_", D175), 7), IFERROR(MID(D175, SEARCH("EXN_", D175), 7), IFERROR(MID(D175, SEARCH("LIT_", D175), 7), IFERROR(MID(D175, SEARCH("EST_", D175), 7), MID(D175, SEARCH("OST_",D175), 7))))))))))</f>
        <v/>
      </c>
      <c r="F175" t="inlineStr">
        <is>
          <t>Impacts :Coupure franche (25 sites VSAT Nokia)  ,Indisponibilité de plusieurs sites VSAT dans plusieurs regions @~Supervision Reseau Orange Cameroun  ; Cause: A Determiner
Action: Sans action</t>
        </is>
      </c>
    </row>
    <row r="176" hidden="1" s="53">
      <c r="D176" t="inlineStr">
        <is>
          <t>NRD_055_N_Chamber-Wangai_G-VSAT</t>
        </is>
      </c>
      <c r="E176">
        <f>IFERROR(MID(D176, SEARCH("CTR_", D176), 7), IFERROR(MID(D176, SEARCH("SUO_", D176), 7), IFERROR(MID(D176, SEARCH("SUD_", D176), 7), IFERROR(MID(D176, SEARCH("NRO_", D176), 7), IFERROR(MID(D176, SEARCH("ADM_", D176), 7), IFERROR(MID(D176, SEARCH("NRD_", D176), 7), IFERROR(MID(D176, SEARCH("EXN_", D176), 7), IFERROR(MID(D176, SEARCH("LIT_", D176), 7), IFERROR(MID(D176, SEARCH("EST_", D176), 7), MID(D176, SEARCH("OST_",D176), 7))))))))))</f>
        <v/>
      </c>
      <c r="F176" t="inlineStr">
        <is>
          <t>Impacts :Coupure franche (25 sites VSAT Nokia)  ,Indisponibilité de plusieurs sites VSAT dans plusieurs regions @~Supervision Reseau Orange Cameroun  ; Cause: A Determiner
Action: Sans action</t>
        </is>
      </c>
    </row>
    <row r="177" hidden="1" s="53">
      <c r="D177" t="inlineStr">
        <is>
          <t>EST_042_N_Lokomo-MTN_G-VSAT</t>
        </is>
      </c>
      <c r="E177">
        <f>IFERROR(MID(D177, SEARCH("CTR_", D177), 7), IFERROR(MID(D177, SEARCH("SUO_", D177), 7), IFERROR(MID(D177, SEARCH("SUD_", D177), 7), IFERROR(MID(D177, SEARCH("NRO_", D177), 7), IFERROR(MID(D177, SEARCH("ADM_", D177), 7), IFERROR(MID(D177, SEARCH("NRD_", D177), 7), IFERROR(MID(D177, SEARCH("EXN_", D177), 7), IFERROR(MID(D177, SEARCH("LIT_", D177), 7), IFERROR(MID(D177, SEARCH("EST_", D177), 7), MID(D177, SEARCH("OST_",D177), 7))))))))))</f>
        <v/>
      </c>
      <c r="F177" t="inlineStr">
        <is>
          <t>Impacts :Coupure franche (25 sites VSAT Nokia)  ,Indisponibilité de plusieurs sites VSAT dans plusieurs regions @~Supervision Reseau Orange Cameroun  ; Cause: A Determiner
Action: Sans action</t>
        </is>
      </c>
    </row>
    <row r="178" hidden="1" s="53">
      <c r="D178" t="inlineStr">
        <is>
          <t>SUD_257_N_Memve-ele-CAMTEL_G-VSAT</t>
        </is>
      </c>
      <c r="E178">
        <f>IFERROR(MID(D178, SEARCH("CTR_", D178), 7), IFERROR(MID(D178, SEARCH("SUO_", D178), 7), IFERROR(MID(D178, SEARCH("SUD_", D178), 7), IFERROR(MID(D178, SEARCH("NRO_", D178), 7), IFERROR(MID(D178, SEARCH("ADM_", D178), 7), IFERROR(MID(D178, SEARCH("NRD_", D178), 7), IFERROR(MID(D178, SEARCH("EXN_", D178), 7), IFERROR(MID(D178, SEARCH("LIT_", D178), 7), IFERROR(MID(D178, SEARCH("EST_", D178), 7), MID(D178, SEARCH("OST_",D178), 7))))))))))</f>
        <v/>
      </c>
      <c r="F178" t="inlineStr">
        <is>
          <t>Impacts :Coupure franche (25 sites VSAT Nokia)  ,Indisponibilité de plusieurs sites VSAT dans plusieurs regions @~Supervision Reseau Orange Cameroun  ; Cause: A Determiner
Action: Sans action</t>
        </is>
      </c>
    </row>
    <row r="179" hidden="1" s="53">
      <c r="D179" t="inlineStr">
        <is>
          <t>SUD_052_N_Bengbis-MTN-IHS_GD-VSAT</t>
        </is>
      </c>
      <c r="E179">
        <f>IFERROR(MID(D179, SEARCH("CTR_", D179), 7), IFERROR(MID(D179, SEARCH("SUO_", D179), 7), IFERROR(MID(D179, SEARCH("SUD_", D179), 7), IFERROR(MID(D179, SEARCH("NRO_", D179), 7), IFERROR(MID(D179, SEARCH("ADM_", D179), 7), IFERROR(MID(D179, SEARCH("NRD_", D179), 7), IFERROR(MID(D179, SEARCH("EXN_", D179), 7), IFERROR(MID(D179, SEARCH("LIT_", D179), 7), IFERROR(MID(D179, SEARCH("EST_", D179), 7), MID(D179, SEARCH("OST_",D179), 7))))))))))</f>
        <v/>
      </c>
      <c r="F179" t="inlineStr">
        <is>
          <t>Impacts :Coupure franche (25 sites VSAT Nokia)  ,Indisponibilité de plusieurs sites VSAT dans plusieurs regions @~Supervision Reseau Orange Cameroun  ; Cause: A Determiner
Action: Sans action</t>
        </is>
      </c>
    </row>
    <row r="180" hidden="1" s="53">
      <c r="D180" t="inlineStr">
        <is>
          <t>OST_293_N_MANSOUEN_G-VSAT</t>
        </is>
      </c>
      <c r="E180">
        <f>IFERROR(MID(D180, SEARCH("CTR_", D180), 7), IFERROR(MID(D180, SEARCH("SUO_", D180), 7), IFERROR(MID(D180, SEARCH("SUD_", D180), 7), IFERROR(MID(D180, SEARCH("NRO_", D180), 7), IFERROR(MID(D180, SEARCH("ADM_", D180), 7), IFERROR(MID(D180, SEARCH("NRD_", D180), 7), IFERROR(MID(D180, SEARCH("EXN_", D180), 7), IFERROR(MID(D180, SEARCH("LIT_", D180), 7), IFERROR(MID(D180, SEARCH("EST_", D180), 7), MID(D180, SEARCH("OST_",D180), 7))))))))))</f>
        <v/>
      </c>
      <c r="F180" t="inlineStr">
        <is>
          <t>Impacts :Coupure franche (25 sites VSAT Nokia)  ,Indisponibilité de plusieurs sites VSAT dans plusieurs regions @~Supervision Reseau Orange Cameroun  ; Cause: A Determiner
Action: Sans action</t>
        </is>
      </c>
    </row>
    <row r="181" hidden="1" s="53">
      <c r="D181" t="inlineStr">
        <is>
          <t>NRO_012_N_Nwa-VSAT_G</t>
        </is>
      </c>
      <c r="E181">
        <f>IFERROR(MID(D181, SEARCH("CTR_", D181), 7), IFERROR(MID(D181, SEARCH("SUO_", D181), 7), IFERROR(MID(D181, SEARCH("SUD_", D181), 7), IFERROR(MID(D181, SEARCH("NRO_", D181), 7), IFERROR(MID(D181, SEARCH("ADM_", D181), 7), IFERROR(MID(D181, SEARCH("NRD_", D181), 7), IFERROR(MID(D181, SEARCH("EXN_", D181), 7), IFERROR(MID(D181, SEARCH("LIT_", D181), 7), IFERROR(MID(D181, SEARCH("EST_", D181), 7), MID(D181, SEARCH("OST_",D181), 7))))))))))</f>
        <v/>
      </c>
      <c r="F181" t="inlineStr">
        <is>
          <t>Impacts :Coupure franche (25 sites VSAT Nokia)  ,Indisponibilité de plusieurs sites VSAT dans plusieurs regions @~Supervision Reseau Orange Cameroun  ; Cause: A Determiner
Action: Sans action</t>
        </is>
      </c>
    </row>
    <row r="182" hidden="1" s="53">
      <c r="D182" t="inlineStr">
        <is>
          <t>EST_010_N_Lomie_G-VSAT</t>
        </is>
      </c>
      <c r="E182">
        <f>IFERROR(MID(D182, SEARCH("CTR_", D182), 7), IFERROR(MID(D182, SEARCH("SUO_", D182), 7), IFERROR(MID(D182, SEARCH("SUD_", D182), 7), IFERROR(MID(D182, SEARCH("NRO_", D182), 7), IFERROR(MID(D182, SEARCH("ADM_", D182), 7), IFERROR(MID(D182, SEARCH("NRD_", D182), 7), IFERROR(MID(D182, SEARCH("EXN_", D182), 7), IFERROR(MID(D182, SEARCH("LIT_", D182), 7), IFERROR(MID(D182, SEARCH("EST_", D182), 7), MID(D182, SEARCH("OST_",D182), 7))))))))))</f>
        <v/>
      </c>
      <c r="F182" t="inlineStr">
        <is>
          <t>Impacts :Coupure franche (25 sites VSAT Nokia)  ,Indisponibilité de plusieurs sites VSAT dans plusieurs regions @~Supervision Reseau Orange Cameroun  ; Cause: A Determiner
Action: Sans action</t>
        </is>
      </c>
    </row>
    <row r="183" hidden="1" s="53">
      <c r="D183" t="inlineStr">
        <is>
          <t>EST_043_N_Ngola-MTN_G-VSAT</t>
        </is>
      </c>
      <c r="E183">
        <f>IFERROR(MID(D183, SEARCH("CTR_", D183), 7), IFERROR(MID(D183, SEARCH("SUO_", D183), 7), IFERROR(MID(D183, SEARCH("SUD_", D183), 7), IFERROR(MID(D183, SEARCH("NRO_", D183), 7), IFERROR(MID(D183, SEARCH("ADM_", D183), 7), IFERROR(MID(D183, SEARCH("NRD_", D183), 7), IFERROR(MID(D183, SEARCH("EXN_", D183), 7), IFERROR(MID(D183, SEARCH("LIT_", D183), 7), IFERROR(MID(D183, SEARCH("EST_", D183), 7), MID(D183, SEARCH("OST_",D183), 7))))))))))</f>
        <v/>
      </c>
      <c r="F183" t="inlineStr">
        <is>
          <t>Impacts :Coupure franche (25 sites VSAT Nokia)  ,Indisponibilité de plusieurs sites VSAT dans plusieurs regions @~Supervision Reseau Orange Cameroun  ; Cause: A Determiner
Action: Sans action</t>
        </is>
      </c>
    </row>
    <row r="184" hidden="1" s="53">
      <c r="D184" t="inlineStr">
        <is>
          <t>ADM_130_N_Kontcha_G-VSAT</t>
        </is>
      </c>
      <c r="E184">
        <f>IFERROR(MID(D184, SEARCH("CTR_", D184), 7), IFERROR(MID(D184, SEARCH("SUO_", D184), 7), IFERROR(MID(D184, SEARCH("SUD_", D184), 7), IFERROR(MID(D184, SEARCH("NRO_", D184), 7), IFERROR(MID(D184, SEARCH("ADM_", D184), 7), IFERROR(MID(D184, SEARCH("NRD_", D184), 7), IFERROR(MID(D184, SEARCH("EXN_", D184), 7), IFERROR(MID(D184, SEARCH("LIT_", D184), 7), IFERROR(MID(D184, SEARCH("EST_", D184), 7), MID(D184, SEARCH("OST_",D184), 7))))))))))</f>
        <v/>
      </c>
      <c r="F184" t="inlineStr">
        <is>
          <t>Impacts :Coupure franche (25 sites VSAT Nokia)  ,Indisponibilité de plusieurs sites VSAT dans plusieurs regions @~Supervision Reseau Orange Cameroun  ; Cause: A Determiner
Action: Sans action</t>
        </is>
      </c>
    </row>
    <row r="185" hidden="1" s="53">
      <c r="B185" t="inlineStr">
        <is>
          <t>EXN_096_H_Yagoua-Ville</t>
        </is>
      </c>
      <c r="C185" t="inlineStr">
        <is>
          <t>INC-20260525-00018259 // 2605M71460</t>
        </is>
      </c>
      <c r="D185" t="inlineStr">
        <is>
          <t>EXN_291_URH_TSEBE</t>
        </is>
      </c>
      <c r="E185">
        <f>IFERROR(MID(D185, SEARCH("CTR_", D185), 7), IFERROR(MID(D185, SEARCH("SUO_", D185), 7), IFERROR(MID(D185, SEARCH("SUD_", D185), 7), IFERROR(MID(D185, SEARCH("NRO_", D185), 7), IFERROR(MID(D185, SEARCH("ADM_", D185), 7), IFERROR(MID(D185, SEARCH("NRD_", D185), 7), IFERROR(MID(D185, SEARCH("EXN_", D185), 7), IFERROR(MID(D185, SEARCH("LIT_", D185), 7), IFERROR(MID(D185, SEARCH("EST_", D185), 7), MID(D185, SEARCH("OST_",D185), 7))))))))))</f>
        <v/>
      </c>
      <c r="F185" t="inlineStr">
        <is>
          <t>{05-25-2026    groupe whatsapp  incident}:    impacted by  EXN_096_H_Yagoua-Ville ,Cause: Probleme energie    Action: RCA attendu de IHS</t>
        </is>
      </c>
    </row>
    <row r="186" hidden="1" s="53">
      <c r="D186" t="inlineStr">
        <is>
          <t>EXN_519_URH_Dana</t>
        </is>
      </c>
      <c r="E186">
        <f>IFERROR(MID(D186, SEARCH("CTR_", D186), 7), IFERROR(MID(D186, SEARCH("SUO_", D186), 7), IFERROR(MID(D186, SEARCH("SUD_", D186), 7), IFERROR(MID(D186, SEARCH("NRO_", D186), 7), IFERROR(MID(D186, SEARCH("ADM_", D186), 7), IFERROR(MID(D186, SEARCH("NRD_", D186), 7), IFERROR(MID(D186, SEARCH("EXN_", D186), 7), IFERROR(MID(D186, SEARCH("LIT_", D186), 7), IFERROR(MID(D186, SEARCH("EST_", D186), 7), MID(D186, SEARCH("OST_",D186), 7))))))))))</f>
        <v/>
      </c>
      <c r="F186" t="inlineStr">
        <is>
          <t>{05-25-2026    groupe whatsapp  incident}:    impacted by  EXN_096_H_Yagoua-Ville ,Cause: Probleme energie    Action: RCA attendu de IHS</t>
        </is>
      </c>
    </row>
    <row r="187" hidden="1" s="53">
      <c r="D187" t="inlineStr">
        <is>
          <t>EXN_096_H_Yagoua-Ville</t>
        </is>
      </c>
      <c r="E187">
        <f>IFERROR(MID(D187, SEARCH("CTR_", D187), 7), IFERROR(MID(D187, SEARCH("SUO_", D187), 7), IFERROR(MID(D187, SEARCH("SUD_", D187), 7), IFERROR(MID(D187, SEARCH("NRO_", D187), 7), IFERROR(MID(D187, SEARCH("ADM_", D187), 7), IFERROR(MID(D187, SEARCH("NRD_", D187), 7), IFERROR(MID(D187, SEARCH("EXN_", D187), 7), IFERROR(MID(D187, SEARCH("LIT_", D187), 7), IFERROR(MID(D187, SEARCH("EST_", D187), 7), MID(D187, SEARCH("OST_",D187), 7))))))))))</f>
        <v/>
      </c>
      <c r="F187" t="inlineStr">
        <is>
          <t>{05-25-2026    groupe whatsapp  incident}:    impacted by  EXN_096_H_Yagoua-Ville ,Cause: Probleme energie    Action: RCA attendu de IHS</t>
        </is>
      </c>
    </row>
    <row r="188" hidden="1" s="53">
      <c r="D188" t="inlineStr">
        <is>
          <t>EXN_577_H_Yagoua-SEMRI</t>
        </is>
      </c>
      <c r="E188">
        <f>IFERROR(MID(D188, SEARCH("CTR_", D188), 7), IFERROR(MID(D188, SEARCH("SUO_", D188), 7), IFERROR(MID(D188, SEARCH("SUD_", D188), 7), IFERROR(MID(D188, SEARCH("NRO_", D188), 7), IFERROR(MID(D188, SEARCH("ADM_", D188), 7), IFERROR(MID(D188, SEARCH("NRD_", D188), 7), IFERROR(MID(D188, SEARCH("EXN_", D188), 7), IFERROR(MID(D188, SEARCH("LIT_", D188), 7), IFERROR(MID(D188, SEARCH("EST_", D188), 7), MID(D188, SEARCH("OST_",D188), 7))))))))))</f>
        <v/>
      </c>
      <c r="F188" t="inlineStr">
        <is>
          <t>{05-25-2026    groupe whatsapp  incident}:    impacted by  EXN_096_H_Yagoua-Ville ,Cause: Probleme energie    Action: RCA attendu de IHS</t>
        </is>
      </c>
    </row>
    <row r="189" hidden="1" s="53">
      <c r="D189" t="inlineStr">
        <is>
          <t>EXN_144_H_Yagoua-MTN-IHS</t>
        </is>
      </c>
      <c r="E189">
        <f>IFERROR(MID(D189, SEARCH("CTR_", D189), 7), IFERROR(MID(D189, SEARCH("SUO_", D189), 7), IFERROR(MID(D189, SEARCH("SUD_", D189), 7), IFERROR(MID(D189, SEARCH("NRO_", D189), 7), IFERROR(MID(D189, SEARCH("ADM_", D189), 7), IFERROR(MID(D189, SEARCH("NRD_", D189), 7), IFERROR(MID(D189, SEARCH("EXN_", D189), 7), IFERROR(MID(D189, SEARCH("LIT_", D189), 7), IFERROR(MID(D189, SEARCH("EST_", D189), 7), MID(D189, SEARCH("OST_",D189), 7))))))))))</f>
        <v/>
      </c>
      <c r="F189" t="inlineStr">
        <is>
          <t>{05-25-2026    groupe whatsapp  incident}:    impacted by  EXN_096_H_Yagoua-Ville ,Cause: Probleme energie    Action: RCA attendu de IHS</t>
        </is>
      </c>
    </row>
    <row r="190" hidden="1" s="53">
      <c r="D190" t="inlineStr">
        <is>
          <t>EXN_366_H_Yagoua-Tikoro-II</t>
        </is>
      </c>
      <c r="E190">
        <f>IFERROR(MID(D190, SEARCH("CTR_", D190), 7), IFERROR(MID(D190, SEARCH("SUO_", D190), 7), IFERROR(MID(D190, SEARCH("SUD_", D190), 7), IFERROR(MID(D190, SEARCH("NRO_", D190), 7), IFERROR(MID(D190, SEARCH("ADM_", D190), 7), IFERROR(MID(D190, SEARCH("NRD_", D190), 7), IFERROR(MID(D190, SEARCH("EXN_", D190), 7), IFERROR(MID(D190, SEARCH("LIT_", D190), 7), IFERROR(MID(D190, SEARCH("EST_", D190), 7), MID(D190, SEARCH("OST_",D190), 7))))))))))</f>
        <v/>
      </c>
      <c r="F190" t="inlineStr">
        <is>
          <t>{05-25-2026    groupe whatsapp  incident}:    impacted by  EXN_096_H_Yagoua-Ville ,Cause: Probleme energie    Action: RCA attendu de IHS</t>
        </is>
      </c>
    </row>
    <row r="191" hidden="1" s="53">
      <c r="D191" t="inlineStr">
        <is>
          <t>EXN_205_H_Guendjen</t>
        </is>
      </c>
      <c r="E191">
        <f>IFERROR(MID(D191, SEARCH("CTR_", D191), 7), IFERROR(MID(D191, SEARCH("SUO_", D191), 7), IFERROR(MID(D191, SEARCH("SUD_", D191), 7), IFERROR(MID(D191, SEARCH("NRO_", D191), 7), IFERROR(MID(D191, SEARCH("ADM_", D191), 7), IFERROR(MID(D191, SEARCH("NRD_", D191), 7), IFERROR(MID(D191, SEARCH("EXN_", D191), 7), IFERROR(MID(D191, SEARCH("LIT_", D191), 7), IFERROR(MID(D191, SEARCH("EST_", D191), 7), MID(D191, SEARCH("OST_",D191), 7))))))))))</f>
        <v/>
      </c>
      <c r="F191" t="inlineStr">
        <is>
          <t>{05-25-2026    groupe whatsapp  incident}:    impacted by  EXN_096_H_Yagoua-Ville ,Cause: Probleme energie    Action: RCA attendu de IHS</t>
        </is>
      </c>
    </row>
    <row r="192" hidden="1" s="53">
      <c r="B192" t="inlineStr">
        <is>
          <t>NRD_013_H_Pitoa</t>
        </is>
      </c>
      <c r="C192" t="inlineStr">
        <is>
          <t>INC-20260525-00017286 \\2605M70299</t>
        </is>
      </c>
      <c r="D192" t="inlineStr">
        <is>
          <t>NRD_013_H_Pitoa</t>
        </is>
      </c>
      <c r="E192">
        <f>IFERROR(MID(D192, SEARCH("CTR_", D192), 7), IFERROR(MID(D192, SEARCH("SUO_", D192), 7), IFERROR(MID(D192, SEARCH("SUD_", D192), 7), IFERROR(MID(D192, SEARCH("NRO_", D192), 7), IFERROR(MID(D192, SEARCH("ADM_", D192), 7), IFERROR(MID(D192, SEARCH("NRD_", D192), 7), IFERROR(MID(D192, SEARCH("EXN_", D192), 7), IFERROR(MID(D192, SEARCH("LIT_", D192), 7), IFERROR(MID(D192, SEARCH("EST_", D192), 7), MID(D192, SEARCH("OST_",D192), 7))))))))))</f>
        <v/>
      </c>
      <c r="F192" t="inlineStr">
        <is>
          <t>{05-25-2026   groupe whatsapp   incident}:    impacted by  NRD_013_H_Pitoa,Cause: Probleme energie    Action: RCA attendu de IHS</t>
        </is>
      </c>
    </row>
    <row r="193" hidden="1" s="53">
      <c r="D193" t="inlineStr">
        <is>
          <t>NRD_183_H_Pitoa-II</t>
        </is>
      </c>
      <c r="E193">
        <f>IFERROR(MID(D193, SEARCH("CTR_", D193), 7), IFERROR(MID(D193, SEARCH("SUO_", D193), 7), IFERROR(MID(D193, SEARCH("SUD_", D193), 7), IFERROR(MID(D193, SEARCH("NRO_", D193), 7), IFERROR(MID(D193, SEARCH("ADM_", D193), 7), IFERROR(MID(D193, SEARCH("NRD_", D193), 7), IFERROR(MID(D193, SEARCH("EXN_", D193), 7), IFERROR(MID(D193, SEARCH("LIT_", D193), 7), IFERROR(MID(D193, SEARCH("EST_", D193), 7), MID(D193, SEARCH("OST_",D193), 7))))))))))</f>
        <v/>
      </c>
      <c r="F193" t="inlineStr">
        <is>
          <t>{05-25-2026   groupe whatsapp   incident}:    impacted by  NRD_013_H_Pitoa,Cause: Probleme energie    Action: RCA attendu de IHS</t>
        </is>
      </c>
    </row>
    <row r="194" hidden="1" s="53">
      <c r="D194" t="inlineStr">
        <is>
          <t>NRD_096_H_Pitoa-Ville</t>
        </is>
      </c>
      <c r="E194">
        <f>IFERROR(MID(D194, SEARCH("CTR_", D194), 7), IFERROR(MID(D194, SEARCH("SUO_", D194), 7), IFERROR(MID(D194, SEARCH("SUD_", D194), 7), IFERROR(MID(D194, SEARCH("NRO_", D194), 7), IFERROR(MID(D194, SEARCH("ADM_", D194), 7), IFERROR(MID(D194, SEARCH("NRD_", D194), 7), IFERROR(MID(D194, SEARCH("EXN_", D194), 7), IFERROR(MID(D194, SEARCH("LIT_", D194), 7), IFERROR(MID(D194, SEARCH("EST_", D194), 7), MID(D194, SEARCH("OST_",D194), 7))))))))))</f>
        <v/>
      </c>
      <c r="F194" t="inlineStr">
        <is>
          <t>{05-25-2026   groupe whatsapp   incident}:    impacted by  NRD_013_H_Pitoa,Cause: Probleme energie    Action: RCA attendu de IHS</t>
        </is>
      </c>
    </row>
    <row r="195" hidden="1" s="53">
      <c r="D195" t="inlineStr">
        <is>
          <t>NRD_133_H_Pitoa-Entree</t>
        </is>
      </c>
      <c r="E195">
        <f>IFERROR(MID(D195, SEARCH("CTR_", D195), 7), IFERROR(MID(D195, SEARCH("SUO_", D195), 7), IFERROR(MID(D195, SEARCH("SUD_", D195), 7), IFERROR(MID(D195, SEARCH("NRO_", D195), 7), IFERROR(MID(D195, SEARCH("ADM_", D195), 7), IFERROR(MID(D195, SEARCH("NRD_", D195), 7), IFERROR(MID(D195, SEARCH("EXN_", D195), 7), IFERROR(MID(D195, SEARCH("LIT_", D195), 7), IFERROR(MID(D195, SEARCH("EST_", D195), 7), MID(D195, SEARCH("OST_",D195), 7))))))))))</f>
        <v/>
      </c>
      <c r="F195" t="inlineStr">
        <is>
          <t>{05-25-2026   groupe whatsapp   incident}:    impacted by  NRD_013_H_Pitoa,Cause: Probleme energie    Action: RCA attendu de IHS</t>
        </is>
      </c>
    </row>
    <row r="196" hidden="1" s="53">
      <c r="D196" t="inlineStr">
        <is>
          <t>NRD_287_URH_KIRAMBO</t>
        </is>
      </c>
      <c r="E196">
        <f>IFERROR(MID(D196, SEARCH("CTR_", D196), 7), IFERROR(MID(D196, SEARCH("SUO_", D196), 7), IFERROR(MID(D196, SEARCH("SUD_", D196), 7), IFERROR(MID(D196, SEARCH("NRO_", D196), 7), IFERROR(MID(D196, SEARCH("ADM_", D196), 7), IFERROR(MID(D196, SEARCH("NRD_", D196), 7), IFERROR(MID(D196, SEARCH("EXN_", D196), 7), IFERROR(MID(D196, SEARCH("LIT_", D196), 7), IFERROR(MID(D196, SEARCH("EST_", D196), 7), MID(D196, SEARCH("OST_",D196), 7))))))))))</f>
        <v/>
      </c>
      <c r="F196" t="inlineStr">
        <is>
          <t>{05-25-2026   groupe whatsapp   incident}:    impacted by  NRD_013_H_Pitoa,Cause: Probleme energie    Action: RCA attendu de IHS</t>
        </is>
      </c>
    </row>
    <row r="197" hidden="1" s="53">
      <c r="D197" t="inlineStr">
        <is>
          <t>NRD_212_URH_LOUMBOU</t>
        </is>
      </c>
      <c r="E197">
        <f>IFERROR(MID(D197, SEARCH("CTR_", D197), 7), IFERROR(MID(D197, SEARCH("SUO_", D197), 7), IFERROR(MID(D197, SEARCH("SUD_", D197), 7), IFERROR(MID(D197, SEARCH("NRO_", D197), 7), IFERROR(MID(D197, SEARCH("ADM_", D197), 7), IFERROR(MID(D197, SEARCH("NRD_", D197), 7), IFERROR(MID(D197, SEARCH("EXN_", D197), 7), IFERROR(MID(D197, SEARCH("LIT_", D197), 7), IFERROR(MID(D197, SEARCH("EST_", D197), 7), MID(D197, SEARCH("OST_",D197), 7))))))))))</f>
        <v/>
      </c>
      <c r="F197" t="inlineStr">
        <is>
          <t>{05-25-2026   groupe whatsapp   incident}:    impacted by  NRD_013_H_Pitoa,Cause: Probleme energie    Action: RCA attendu de IHS</t>
        </is>
      </c>
    </row>
    <row r="198" hidden="1" s="53">
      <c r="B198" t="inlineStr">
        <is>
          <t>OST_005_H_Foumbot</t>
        </is>
      </c>
      <c r="C198" t="inlineStr">
        <is>
          <t>INC-20260525-00017930 / 2605M71091</t>
        </is>
      </c>
      <c r="D198" t="inlineStr">
        <is>
          <t>OST_195_N_Fochieya-IHS</t>
        </is>
      </c>
      <c r="E198">
        <f>IFERROR(MID(D198, SEARCH("CTR_", D198), 7), IFERROR(MID(D198, SEARCH("SUO_", D198), 7), IFERROR(MID(D198, SEARCH("SUD_", D198), 7), IFERROR(MID(D198, SEARCH("NRO_", D198), 7), IFERROR(MID(D198, SEARCH("ADM_", D198), 7), IFERROR(MID(D198, SEARCH("NRD_", D198), 7), IFERROR(MID(D198, SEARCH("EXN_", D198), 7), IFERROR(MID(D198, SEARCH("LIT_", D198), 7), IFERROR(MID(D198, SEARCH("EST_", D198), 7), MID(D198, SEARCH("OST_",D198), 7))))))))))</f>
        <v/>
      </c>
      <c r="F198" t="inlineStr">
        <is>
          <t>{05-25-2026 groupe whatsapp incident}:    impacted by OST_005_H_Foumbot ,Cause: Probleme energie    Action: RCA attendu de IHS</t>
        </is>
      </c>
    </row>
    <row r="199" hidden="1" s="53">
      <c r="D199" t="inlineStr">
        <is>
          <t>OST_006_H_Nkoundja</t>
        </is>
      </c>
      <c r="E199">
        <f>IFERROR(MID(D199, SEARCH("CTR_", D199), 7), IFERROR(MID(D199, SEARCH("SUO_", D199), 7), IFERROR(MID(D199, SEARCH("SUD_", D199), 7), IFERROR(MID(D199, SEARCH("NRO_", D199), 7), IFERROR(MID(D199, SEARCH("ADM_", D199), 7), IFERROR(MID(D199, SEARCH("NRD_", D199), 7), IFERROR(MID(D199, SEARCH("EXN_", D199), 7), IFERROR(MID(D199, SEARCH("LIT_", D199), 7), IFERROR(MID(D199, SEARCH("EST_", D199), 7), MID(D199, SEARCH("OST_",D199), 7))))))))))</f>
        <v/>
      </c>
      <c r="F199" t="inlineStr">
        <is>
          <t>{05-25-2026 groupe whatsapp incident}:    impacted by OST_005_H_Foumbot ,Cause: Probleme energie    Action: RCA attendu de IHS</t>
        </is>
      </c>
    </row>
    <row r="200" hidden="1" s="53">
      <c r="D200" t="inlineStr">
        <is>
          <t>OST_370_H_Foumbot-Lycee-Technique</t>
        </is>
      </c>
      <c r="E200">
        <f>IFERROR(MID(D200, SEARCH("CTR_", D200), 7), IFERROR(MID(D200, SEARCH("SUO_", D200), 7), IFERROR(MID(D200, SEARCH("SUD_", D200), 7), IFERROR(MID(D200, SEARCH("NRO_", D200), 7), IFERROR(MID(D200, SEARCH("ADM_", D200), 7), IFERROR(MID(D200, SEARCH("NRD_", D200), 7), IFERROR(MID(D200, SEARCH("EXN_", D200), 7), IFERROR(MID(D200, SEARCH("LIT_", D200), 7), IFERROR(MID(D200, SEARCH("EST_", D200), 7), MID(D200, SEARCH("OST_",D200), 7))))))))))</f>
        <v/>
      </c>
      <c r="F200" t="inlineStr">
        <is>
          <t>{05-25-2026 groupe whatsapp incident}:    impacted by OST_005_H_Foumbot ,Cause: Probleme energie    Action: RCA attendu de IHS</t>
        </is>
      </c>
    </row>
    <row r="201" hidden="1" s="53">
      <c r="D201" t="inlineStr">
        <is>
          <t>OST_252_H_Koundoum</t>
        </is>
      </c>
      <c r="E201">
        <f>IFERROR(MID(D201, SEARCH("CTR_", D201), 7), IFERROR(MID(D201, SEARCH("SUO_", D201), 7), IFERROR(MID(D201, SEARCH("SUD_", D201), 7), IFERROR(MID(D201, SEARCH("NRO_", D201), 7), IFERROR(MID(D201, SEARCH("ADM_", D201), 7), IFERROR(MID(D201, SEARCH("NRD_", D201), 7), IFERROR(MID(D201, SEARCH("EXN_", D201), 7), IFERROR(MID(D201, SEARCH("LIT_", D201), 7), IFERROR(MID(D201, SEARCH("EST_", D201), 7), MID(D201, SEARCH("OST_",D201), 7))))))))))</f>
        <v/>
      </c>
      <c r="F201" t="inlineStr">
        <is>
          <t>{05-25-2026 groupe whatsapp incident}:    impacted by OST_005_H_Foumbot ,Cause: Probleme energie    Action: RCA attendu de IHS</t>
        </is>
      </c>
    </row>
    <row r="202" hidden="1" s="53">
      <c r="D202" t="inlineStr">
        <is>
          <t>OST_275_H_Malanden</t>
        </is>
      </c>
      <c r="E202">
        <f>IFERROR(MID(D202, SEARCH("CTR_", D202), 7), IFERROR(MID(D202, SEARCH("SUO_", D202), 7), IFERROR(MID(D202, SEARCH("SUD_", D202), 7), IFERROR(MID(D202, SEARCH("NRO_", D202), 7), IFERROR(MID(D202, SEARCH("ADM_", D202), 7), IFERROR(MID(D202, SEARCH("NRD_", D202), 7), IFERROR(MID(D202, SEARCH("EXN_", D202), 7), IFERROR(MID(D202, SEARCH("LIT_", D202), 7), IFERROR(MID(D202, SEARCH("EST_", D202), 7), MID(D202, SEARCH("OST_",D202), 7))))))))))</f>
        <v/>
      </c>
      <c r="F202" t="inlineStr">
        <is>
          <t>{05-25-2026 groupe whatsapp incident}:    impacted by OST_005_H_Foumbot ,Cause: Probleme energie    Action: RCA attendu de IHS</t>
        </is>
      </c>
    </row>
    <row r="203" hidden="1" s="53">
      <c r="D203" t="inlineStr">
        <is>
          <t>OST_316_H_Didango-II</t>
        </is>
      </c>
      <c r="E203">
        <f>IFERROR(MID(D203, SEARCH("CTR_", D203), 7), IFERROR(MID(D203, SEARCH("SUO_", D203), 7), IFERROR(MID(D203, SEARCH("SUD_", D203), 7), IFERROR(MID(D203, SEARCH("NRO_", D203), 7), IFERROR(MID(D203, SEARCH("ADM_", D203), 7), IFERROR(MID(D203, SEARCH("NRD_", D203), 7), IFERROR(MID(D203, SEARCH("EXN_", D203), 7), IFERROR(MID(D203, SEARCH("LIT_", D203), 7), IFERROR(MID(D203, SEARCH("EST_", D203), 7), MID(D203, SEARCH("OST_",D203), 7))))))))))</f>
        <v/>
      </c>
      <c r="F203" t="inlineStr">
        <is>
          <t>{05-25-2026 groupe whatsapp incident}:    impacted by OST_005_H_Foumbot ,Cause: Probleme energie    Action: RCA attendu de IHS</t>
        </is>
      </c>
    </row>
    <row r="204" hidden="1" s="53">
      <c r="D204" t="inlineStr">
        <is>
          <t>OST_411_H_Koutaba-Teyandi</t>
        </is>
      </c>
      <c r="E204">
        <f>IFERROR(MID(D204, SEARCH("CTR_", D204), 7), IFERROR(MID(D204, SEARCH("SUO_", D204), 7), IFERROR(MID(D204, SEARCH("SUD_", D204), 7), IFERROR(MID(D204, SEARCH("NRO_", D204), 7), IFERROR(MID(D204, SEARCH("ADM_", D204), 7), IFERROR(MID(D204, SEARCH("NRD_", D204), 7), IFERROR(MID(D204, SEARCH("EXN_", D204), 7), IFERROR(MID(D204, SEARCH("LIT_", D204), 7), IFERROR(MID(D204, SEARCH("EST_", D204), 7), MID(D204, SEARCH("OST_",D204), 7))))))))))</f>
        <v/>
      </c>
      <c r="F204" t="inlineStr">
        <is>
          <t>{05-25-2026 groupe whatsapp incident}:    impacted by OST_005_H_Foumbot ,Cause: Probleme energie    Action: RCA attendu de IHS</t>
        </is>
      </c>
    </row>
    <row r="205" hidden="1" s="53">
      <c r="D205" t="inlineStr">
        <is>
          <t>OST_264_H_Fosset</t>
        </is>
      </c>
      <c r="E205">
        <f>IFERROR(MID(D205, SEARCH("CTR_", D205), 7), IFERROR(MID(D205, SEARCH("SUO_", D205), 7), IFERROR(MID(D205, SEARCH("SUD_", D205), 7), IFERROR(MID(D205, SEARCH("NRO_", D205), 7), IFERROR(MID(D205, SEARCH("ADM_", D205), 7), IFERROR(MID(D205, SEARCH("NRD_", D205), 7), IFERROR(MID(D205, SEARCH("EXN_", D205), 7), IFERROR(MID(D205, SEARCH("LIT_", D205), 7), IFERROR(MID(D205, SEARCH("EST_", D205), 7), MID(D205, SEARCH("OST_",D205), 7))))))))))</f>
        <v/>
      </c>
      <c r="F205" t="inlineStr">
        <is>
          <t>{05-25-2026 groupe whatsapp incident}:    impacted by OST_005_H_Foumbot ,Cause: Probleme energie    Action: RCA attendu de IHS</t>
        </is>
      </c>
    </row>
    <row r="206" hidden="1" s="53">
      <c r="D206" t="inlineStr">
        <is>
          <t>OST_136_H_Foumbot-Mangoum</t>
        </is>
      </c>
      <c r="E206">
        <f>IFERROR(MID(D206, SEARCH("CTR_", D206), 7), IFERROR(MID(D206, SEARCH("SUO_", D206), 7), IFERROR(MID(D206, SEARCH("SUD_", D206), 7), IFERROR(MID(D206, SEARCH("NRO_", D206), 7), IFERROR(MID(D206, SEARCH("ADM_", D206), 7), IFERROR(MID(D206, SEARCH("NRD_", D206), 7), IFERROR(MID(D206, SEARCH("EXN_", D206), 7), IFERROR(MID(D206, SEARCH("LIT_", D206), 7), IFERROR(MID(D206, SEARCH("EST_", D206), 7), MID(D206, SEARCH("OST_",D206), 7))))))))))</f>
        <v/>
      </c>
      <c r="F206" t="inlineStr">
        <is>
          <t>{05-25-2026 groupe whatsapp incident}:    impacted by OST_005_H_Foumbot ,Cause: Probleme energie    Action: RCA attendu de IHS</t>
        </is>
      </c>
    </row>
    <row r="207" hidden="1" s="53">
      <c r="D207" t="inlineStr">
        <is>
          <t>OST_369_H_Foumbot-Mbantou</t>
        </is>
      </c>
      <c r="E207">
        <f>IFERROR(MID(D207, SEARCH("CTR_", D207), 7), IFERROR(MID(D207, SEARCH("SUO_", D207), 7), IFERROR(MID(D207, SEARCH("SUD_", D207), 7), IFERROR(MID(D207, SEARCH("NRO_", D207), 7), IFERROR(MID(D207, SEARCH("ADM_", D207), 7), IFERROR(MID(D207, SEARCH("NRD_", D207), 7), IFERROR(MID(D207, SEARCH("EXN_", D207), 7), IFERROR(MID(D207, SEARCH("LIT_", D207), 7), IFERROR(MID(D207, SEARCH("EST_", D207), 7), MID(D207, SEARCH("OST_",D207), 7))))))))))</f>
        <v/>
      </c>
      <c r="F207" t="inlineStr">
        <is>
          <t>{05-25-2026 groupe whatsapp incident}:    impacted by OST_005_H_Foumbot ,Cause: Probleme energie    Action: RCA attendu de IHS</t>
        </is>
      </c>
    </row>
    <row r="208" hidden="1" s="53">
      <c r="D208" t="inlineStr">
        <is>
          <t>OST_368_H_Foumbot-mbanjou</t>
        </is>
      </c>
      <c r="E208">
        <f>IFERROR(MID(D208, SEARCH("CTR_", D208), 7), IFERROR(MID(D208, SEARCH("SUO_", D208), 7), IFERROR(MID(D208, SEARCH("SUD_", D208), 7), IFERROR(MID(D208, SEARCH("NRO_", D208), 7), IFERROR(MID(D208, SEARCH("ADM_", D208), 7), IFERROR(MID(D208, SEARCH("NRD_", D208), 7), IFERROR(MID(D208, SEARCH("EXN_", D208), 7), IFERROR(MID(D208, SEARCH("LIT_", D208), 7), IFERROR(MID(D208, SEARCH("EST_", D208), 7), MID(D208, SEARCH("OST_",D208), 7))))))))))</f>
        <v/>
      </c>
      <c r="F208" t="inlineStr">
        <is>
          <t>{05-25-2026 groupe whatsapp incident}:    impacted by OST_005_H_Foumbot ,Cause: Probleme energie    Action: RCA attendu de IHS</t>
        </is>
      </c>
    </row>
    <row r="209" hidden="1" s="53">
      <c r="D209" t="inlineStr">
        <is>
          <t>OST_043_H_Foumbot-MTN</t>
        </is>
      </c>
      <c r="E209">
        <f>IFERROR(MID(D209, SEARCH("CTR_", D209), 7), IFERROR(MID(D209, SEARCH("SUO_", D209), 7), IFERROR(MID(D209, SEARCH("SUD_", D209), 7), IFERROR(MID(D209, SEARCH("NRO_", D209), 7), IFERROR(MID(D209, SEARCH("ADM_", D209), 7), IFERROR(MID(D209, SEARCH("NRD_", D209), 7), IFERROR(MID(D209, SEARCH("EXN_", D209), 7), IFERROR(MID(D209, SEARCH("LIT_", D209), 7), IFERROR(MID(D209, SEARCH("EST_", D209), 7), MID(D209, SEARCH("OST_",D209), 7))))))))))</f>
        <v/>
      </c>
      <c r="F209" t="inlineStr">
        <is>
          <t>{05-25-2026 groupe whatsapp incident}:    impacted by OST_005_H_Foumbot ,Cause: Probleme energie    Action: RCA attendu de IHS</t>
        </is>
      </c>
    </row>
    <row r="210" hidden="1" s="53">
      <c r="D210" t="inlineStr">
        <is>
          <t>OST_227_H_Foumbot-Centre-Ville-II</t>
        </is>
      </c>
      <c r="E210">
        <f>IFERROR(MID(D210, SEARCH("CTR_", D210), 7), IFERROR(MID(D210, SEARCH("SUO_", D210), 7), IFERROR(MID(D210, SEARCH("SUD_", D210), 7), IFERROR(MID(D210, SEARCH("NRO_", D210), 7), IFERROR(MID(D210, SEARCH("ADM_", D210), 7), IFERROR(MID(D210, SEARCH("NRD_", D210), 7), IFERROR(MID(D210, SEARCH("EXN_", D210), 7), IFERROR(MID(D210, SEARCH("LIT_", D210), 7), IFERROR(MID(D210, SEARCH("EST_", D210), 7), MID(D210, SEARCH("OST_",D210), 7))))))))))</f>
        <v/>
      </c>
      <c r="F210" t="inlineStr">
        <is>
          <t>{05-25-2026 groupe whatsapp incident}:    impacted by OST_005_H_Foumbot ,Cause: Probleme energie    Action: RCA attendu de IHS</t>
        </is>
      </c>
    </row>
    <row r="211" hidden="1" s="53">
      <c r="D211" t="inlineStr">
        <is>
          <t>OST_070_H_Baigon</t>
        </is>
      </c>
      <c r="E211">
        <f>IFERROR(MID(D211, SEARCH("CTR_", D211), 7), IFERROR(MID(D211, SEARCH("SUO_", D211), 7), IFERROR(MID(D211, SEARCH("SUD_", D211), 7), IFERROR(MID(D211, SEARCH("NRO_", D211), 7), IFERROR(MID(D211, SEARCH("ADM_", D211), 7), IFERROR(MID(D211, SEARCH("NRD_", D211), 7), IFERROR(MID(D211, SEARCH("EXN_", D211), 7), IFERROR(MID(D211, SEARCH("LIT_", D211), 7), IFERROR(MID(D211, SEARCH("EST_", D211), 7), MID(D211, SEARCH("OST_",D211), 7))))))))))</f>
        <v/>
      </c>
      <c r="F211" t="inlineStr">
        <is>
          <t>{05-25-2026 groupe whatsapp incident}:    impacted by OST_005_H_Foumbot ,Cause: Probleme energie    Action: RCA attendu de IHS</t>
        </is>
      </c>
    </row>
    <row r="212" hidden="1" s="53">
      <c r="D212" t="inlineStr">
        <is>
          <t>OST_138_H_Koutaba-IHS</t>
        </is>
      </c>
      <c r="E212">
        <f>IFERROR(MID(D212, SEARCH("CTR_", D212), 7), IFERROR(MID(D212, SEARCH("SUO_", D212), 7), IFERROR(MID(D212, SEARCH("SUD_", D212), 7), IFERROR(MID(D212, SEARCH("NRO_", D212), 7), IFERROR(MID(D212, SEARCH("ADM_", D212), 7), IFERROR(MID(D212, SEARCH("NRD_", D212), 7), IFERROR(MID(D212, SEARCH("EXN_", D212), 7), IFERROR(MID(D212, SEARCH("LIT_", D212), 7), IFERROR(MID(D212, SEARCH("EST_", D212), 7), MID(D212, SEARCH("OST_",D212), 7))))))))))</f>
        <v/>
      </c>
      <c r="F212" t="inlineStr">
        <is>
          <t>{05-25-2026 groupe whatsapp incident}:    impacted by OST_005_H_Foumbot ,Cause: Probleme energie    Action: RCA attendu de IHS</t>
        </is>
      </c>
    </row>
    <row r="213" hidden="1" s="53">
      <c r="D213" t="inlineStr">
        <is>
          <t>OST_125_H_Foumbot-Centre-Ville</t>
        </is>
      </c>
      <c r="E213">
        <f>IFERROR(MID(D213, SEARCH("CTR_", D213), 7), IFERROR(MID(D213, SEARCH("SUO_", D213), 7), IFERROR(MID(D213, SEARCH("SUD_", D213), 7), IFERROR(MID(D213, SEARCH("NRO_", D213), 7), IFERROR(MID(D213, SEARCH("ADM_", D213), 7), IFERROR(MID(D213, SEARCH("NRD_", D213), 7), IFERROR(MID(D213, SEARCH("EXN_", D213), 7), IFERROR(MID(D213, SEARCH("LIT_", D213), 7), IFERROR(MID(D213, SEARCH("EST_", D213), 7), MID(D213, SEARCH("OST_",D213), 7))))))))))</f>
        <v/>
      </c>
      <c r="F213" t="inlineStr">
        <is>
          <t>{05-25-2026 groupe whatsapp incident}:    impacted by OST_005_H_Foumbot ,Cause: Probleme energie    Action: RCA attendu de IHS</t>
        </is>
      </c>
    </row>
    <row r="214" hidden="1" s="53">
      <c r="D214" t="inlineStr">
        <is>
          <t>OST_228_H_Foumbot-Ndoumbem</t>
        </is>
      </c>
      <c r="E214">
        <f>IFERROR(MID(D214, SEARCH("CTR_", D214), 7), IFERROR(MID(D214, SEARCH("SUO_", D214), 7), IFERROR(MID(D214, SEARCH("SUD_", D214), 7), IFERROR(MID(D214, SEARCH("NRO_", D214), 7), IFERROR(MID(D214, SEARCH("ADM_", D214), 7), IFERROR(MID(D214, SEARCH("NRD_", D214), 7), IFERROR(MID(D214, SEARCH("EXN_", D214), 7), IFERROR(MID(D214, SEARCH("LIT_", D214), 7), IFERROR(MID(D214, SEARCH("EST_", D214), 7), MID(D214, SEARCH("OST_",D214), 7))))))))))</f>
        <v/>
      </c>
      <c r="F214" t="inlineStr">
        <is>
          <t>{05-25-2026 groupe whatsapp incident}:    impacted by OST_005_H_Foumbot ,Cause: Probleme energie    Action: RCA attendu de IHS</t>
        </is>
      </c>
    </row>
    <row r="215" hidden="1" s="53">
      <c r="D215" t="inlineStr">
        <is>
          <t>OST_005_H_Foumbot</t>
        </is>
      </c>
      <c r="E215">
        <f>IFERROR(MID(D215, SEARCH("CTR_", D215), 7), IFERROR(MID(D215, SEARCH("SUO_", D215), 7), IFERROR(MID(D215, SEARCH("SUD_", D215), 7), IFERROR(MID(D215, SEARCH("NRO_", D215), 7), IFERROR(MID(D215, SEARCH("ADM_", D215), 7), IFERROR(MID(D215, SEARCH("NRD_", D215), 7), IFERROR(MID(D215, SEARCH("EXN_", D215), 7), IFERROR(MID(D215, SEARCH("LIT_", D215), 7), IFERROR(MID(D215, SEARCH("EST_", D215), 7), MID(D215, SEARCH("OST_",D215), 7))))))))))</f>
        <v/>
      </c>
      <c r="F215" t="inlineStr">
        <is>
          <t>{05-25-2026 groupe whatsapp incident}:    impacted by OST_005_H_Foumbot ,Cause: Probleme energie    Action: RCA attendu de IHS</t>
        </is>
      </c>
    </row>
    <row r="216" hidden="1" s="53">
      <c r="D216" t="inlineStr">
        <is>
          <t>OST_400_URH_KOUPARE</t>
        </is>
      </c>
      <c r="E216">
        <f>IFERROR(MID(D216, SEARCH("CTR_", D216), 7), IFERROR(MID(D216, SEARCH("SUO_", D216), 7), IFERROR(MID(D216, SEARCH("SUD_", D216), 7), IFERROR(MID(D216, SEARCH("NRO_", D216), 7), IFERROR(MID(D216, SEARCH("ADM_", D216), 7), IFERROR(MID(D216, SEARCH("NRD_", D216), 7), IFERROR(MID(D216, SEARCH("EXN_", D216), 7), IFERROR(MID(D216, SEARCH("LIT_", D216), 7), IFERROR(MID(D216, SEARCH("EST_", D216), 7), MID(D216, SEARCH("OST_",D216), 7))))))))))</f>
        <v/>
      </c>
      <c r="F216" t="inlineStr">
        <is>
          <t>{05-25-2026 groupe whatsapp incident}:    impacted by OST_005_H_Foumbot ,Cause: Probleme energie    Action: RCA attendu de IHS</t>
        </is>
      </c>
    </row>
    <row r="217" hidden="1" s="53">
      <c r="D217" t="inlineStr">
        <is>
          <t>OST_391_URH_MATABA_PONDIMOUN</t>
        </is>
      </c>
      <c r="E217">
        <f>IFERROR(MID(D217, SEARCH("CTR_", D217), 7), IFERROR(MID(D217, SEARCH("SUO_", D217), 7), IFERROR(MID(D217, SEARCH("SUD_", D217), 7), IFERROR(MID(D217, SEARCH("NRO_", D217), 7), IFERROR(MID(D217, SEARCH("ADM_", D217), 7), IFERROR(MID(D217, SEARCH("NRD_", D217), 7), IFERROR(MID(D217, SEARCH("EXN_", D217), 7), IFERROR(MID(D217, SEARCH("LIT_", D217), 7), IFERROR(MID(D217, SEARCH("EST_", D217), 7), MID(D217, SEARCH("OST_",D217), 7))))))))))</f>
        <v/>
      </c>
      <c r="F217" t="inlineStr">
        <is>
          <t>{05-25-2026 groupe whatsapp incident}:    impacted by OST_005_H_Foumbot ,Cause: Probleme energie    Action: RCA attendu de IHS</t>
        </is>
      </c>
    </row>
    <row r="218" hidden="1" s="53">
      <c r="D218" t="inlineStr">
        <is>
          <t>OST_397_URH_NJINDOUN</t>
        </is>
      </c>
      <c r="E218">
        <f>IFERROR(MID(D218, SEARCH("CTR_", D218), 7), IFERROR(MID(D218, SEARCH("SUO_", D218), 7), IFERROR(MID(D218, SEARCH("SUD_", D218), 7), IFERROR(MID(D218, SEARCH("NRO_", D218), 7), IFERROR(MID(D218, SEARCH("ADM_", D218), 7), IFERROR(MID(D218, SEARCH("NRD_", D218), 7), IFERROR(MID(D218, SEARCH("EXN_", D218), 7), IFERROR(MID(D218, SEARCH("LIT_", D218), 7), IFERROR(MID(D218, SEARCH("EST_", D218), 7), MID(D218, SEARCH("OST_",D218), 7))))))))))</f>
        <v/>
      </c>
      <c r="F218" t="inlineStr">
        <is>
          <t>{05-25-2026 groupe whatsapp incident}:    impacted by OST_005_H_Foumbot ,Cause: Probleme energie    Action: RCA attendu de IHS</t>
        </is>
      </c>
    </row>
    <row r="219" hidden="1" s="53">
      <c r="D219" t="inlineStr">
        <is>
          <t>OST_396_URH_KOUCHANKAP</t>
        </is>
      </c>
      <c r="E219">
        <f>IFERROR(MID(D219, SEARCH("CTR_", D219), 7), IFERROR(MID(D219, SEARCH("SUO_", D219), 7), IFERROR(MID(D219, SEARCH("SUD_", D219), 7), IFERROR(MID(D219, SEARCH("NRO_", D219), 7), IFERROR(MID(D219, SEARCH("ADM_", D219), 7), IFERROR(MID(D219, SEARCH("NRD_", D219), 7), IFERROR(MID(D219, SEARCH("EXN_", D219), 7), IFERROR(MID(D219, SEARCH("LIT_", D219), 7), IFERROR(MID(D219, SEARCH("EST_", D219), 7), MID(D219, SEARCH("OST_",D219), 7))))))))))</f>
        <v/>
      </c>
      <c r="F219" t="inlineStr">
        <is>
          <t>{05-25-2026 groupe whatsapp incident}:    impacted by OST_005_H_Foumbot ,Cause: Probleme energie    Action: RCA attendu de IHS</t>
        </is>
      </c>
    </row>
    <row r="220" hidden="1" s="53">
      <c r="D220" t="inlineStr">
        <is>
          <t>ENEO_FOUMBOT-OST_PREMIUM_OCM</t>
        </is>
      </c>
      <c r="E220">
        <f>IFERROR(MID(D220, SEARCH("CTR_", D220), 7), IFERROR(MID(D220, SEARCH("SUO_", D220), 7), IFERROR(MID(D220, SEARCH("SUD_", D220), 7), IFERROR(MID(D220, SEARCH("NRO_", D220), 7), IFERROR(MID(D220, SEARCH("ADM_", D220), 7), IFERROR(MID(D220, SEARCH("NRD_", D220), 7), IFERROR(MID(D220, SEARCH("EXN_", D220), 7), IFERROR(MID(D220, SEARCH("LIT_", D220), 7), IFERROR(MID(D220, SEARCH("EST_", D220), 7), MID(D220, SEARCH("OST_",D220), 7))))))))))</f>
        <v/>
      </c>
      <c r="F220" t="inlineStr">
        <is>
          <t>{05-25-2026 groupe whatsapp incident}:    impacted by OST_005_H_Foumbot ,Cause: Probleme energie    Action: RCA attendu de IHS</t>
        </is>
      </c>
    </row>
    <row r="221" hidden="1" s="53">
      <c r="D221" t="inlineStr">
        <is>
          <t>ENEO_FOUMBOT-OST_PREMIUM</t>
        </is>
      </c>
      <c r="E221">
        <f>IFERROR(MID(D221, SEARCH("CTR_", D221), 7), IFERROR(MID(D221, SEARCH("SUO_", D221), 7), IFERROR(MID(D221, SEARCH("SUD_", D221), 7), IFERROR(MID(D221, SEARCH("NRO_", D221), 7), IFERROR(MID(D221, SEARCH("ADM_", D221), 7), IFERROR(MID(D221, SEARCH("NRD_", D221), 7), IFERROR(MID(D221, SEARCH("EXN_", D221), 7), IFERROR(MID(D221, SEARCH("LIT_", D221), 7), IFERROR(MID(D221, SEARCH("EST_", D221), 7), MID(D221, SEARCH("OST_",D221), 7))))))))))</f>
        <v/>
      </c>
      <c r="F221" t="inlineStr">
        <is>
          <t>{05-25-2026 groupe whatsapp incident}:    impacted by OST_005_H_Foumbot ,Cause: Probleme energie    Action: RCA attendu de IHS</t>
        </is>
      </c>
    </row>
    <row r="222" hidden="1" s="53">
      <c r="B222" t="inlineStr">
        <is>
          <t>OST_033_H_Batchingou</t>
        </is>
      </c>
      <c r="C222" t="inlineStr">
        <is>
          <t>INC-20260525-00017603 // 2605M70694</t>
        </is>
      </c>
      <c r="D222" t="inlineStr">
        <is>
          <t>NRO_026_N_Kembong</t>
        </is>
      </c>
      <c r="E222">
        <f>IFERROR(MID(D222, SEARCH("CTR_", D222), 7), IFERROR(MID(D222, SEARCH("SUO_", D222), 7), IFERROR(MID(D222, SEARCH("SUD_", D222), 7), IFERROR(MID(D222, SEARCH("NRO_", D222), 7), IFERROR(MID(D222, SEARCH("ADM_", D222), 7), IFERROR(MID(D222, SEARCH("NRD_", D222), 7), IFERROR(MID(D222, SEARCH("EXN_", D222), 7), IFERROR(MID(D222, SEARCH("LIT_", D222), 7), IFERROR(MID(D222, SEARCH("EST_", D222), 7), MID(D222, SEARCH("OST_",D222), 7))))))))))</f>
        <v/>
      </c>
      <c r="F222" t="inlineStr">
        <is>
          <t>{05-25-2026 groupe whatsapp  incident}:    impacted by   OST_033_H_Batchingou  Cause: infiltration d'eau dans la radio de Yenon dir Batchingou   , Action: Sans action</t>
        </is>
      </c>
    </row>
    <row r="223" hidden="1" s="53">
      <c r="D223" t="inlineStr">
        <is>
          <t>SUO_100_N_Ossing-IHS</t>
        </is>
      </c>
      <c r="E223">
        <f>IFERROR(MID(D223, SEARCH("CTR_", D223), 7), IFERROR(MID(D223, SEARCH("SUO_", D223), 7), IFERROR(MID(D223, SEARCH("SUD_", D223), 7), IFERROR(MID(D223, SEARCH("NRO_", D223), 7), IFERROR(MID(D223, SEARCH("ADM_", D223), 7), IFERROR(MID(D223, SEARCH("NRD_", D223), 7), IFERROR(MID(D223, SEARCH("EXN_", D223), 7), IFERROR(MID(D223, SEARCH("LIT_", D223), 7), IFERROR(MID(D223, SEARCH("EST_", D223), 7), MID(D223, SEARCH("OST_",D223), 7))))))))))</f>
        <v/>
      </c>
      <c r="F223" t="inlineStr">
        <is>
          <t>{05-25-2026 groupe whatsapp  incident}:    impacted by   OST_033_H_Batchingou  Cause: infiltration d'eau dans la radio de Yenon dir Batchingou   , Action: Sans action</t>
        </is>
      </c>
    </row>
    <row r="224" hidden="1" s="53">
      <c r="D224" t="inlineStr">
        <is>
          <t>SUO_030_N_Bachuo-Ntai</t>
        </is>
      </c>
      <c r="E224">
        <f>IFERROR(MID(D224, SEARCH("CTR_", D224), 7), IFERROR(MID(D224, SEARCH("SUO_", D224), 7), IFERROR(MID(D224, SEARCH("SUD_", D224), 7), IFERROR(MID(D224, SEARCH("NRO_", D224), 7), IFERROR(MID(D224, SEARCH("ADM_", D224), 7), IFERROR(MID(D224, SEARCH("NRD_", D224), 7), IFERROR(MID(D224, SEARCH("EXN_", D224), 7), IFERROR(MID(D224, SEARCH("LIT_", D224), 7), IFERROR(MID(D224, SEARCH("EST_", D224), 7), MID(D224, SEARCH("OST_",D224), 7))))))))))</f>
        <v/>
      </c>
      <c r="F224" t="inlineStr">
        <is>
          <t>{05-25-2026 groupe whatsapp  incident}:    impacted by   OST_033_H_Batchingou  Cause: infiltration d'eau dans la radio de Yenon dir Batchingou   , Action: Sans action</t>
        </is>
      </c>
    </row>
    <row r="225" hidden="1" s="53">
      <c r="D225" t="inlineStr">
        <is>
          <t>SUO_249_H_Bakwele-IHS</t>
        </is>
      </c>
      <c r="E225">
        <f>IFERROR(MID(D225, SEARCH("CTR_", D225), 7), IFERROR(MID(D225, SEARCH("SUO_", D225), 7), IFERROR(MID(D225, SEARCH("SUD_", D225), 7), IFERROR(MID(D225, SEARCH("NRO_", D225), 7), IFERROR(MID(D225, SEARCH("ADM_", D225), 7), IFERROR(MID(D225, SEARCH("NRD_", D225), 7), IFERROR(MID(D225, SEARCH("EXN_", D225), 7), IFERROR(MID(D225, SEARCH("LIT_", D225), 7), IFERROR(MID(D225, SEARCH("EST_", D225), 7), MID(D225, SEARCH("OST_",D225), 7))))))))))</f>
        <v/>
      </c>
      <c r="F225" t="inlineStr">
        <is>
          <t>{05-25-2026 groupe whatsapp  incident}:    impacted by   OST_033_H_Batchingou  Cause: infiltration d'eau dans la radio de Yenon dir Batchingou   , Action: Sans action</t>
        </is>
      </c>
    </row>
    <row r="226" hidden="1" s="53">
      <c r="D226" t="inlineStr">
        <is>
          <t>SUO_102_H_Mile29-Mamfe-IHS</t>
        </is>
      </c>
      <c r="E226">
        <f>IFERROR(MID(D226, SEARCH("CTR_", D226), 7), IFERROR(MID(D226, SEARCH("SUO_", D226), 7), IFERROR(MID(D226, SEARCH("SUD_", D226), 7), IFERROR(MID(D226, SEARCH("NRO_", D226), 7), IFERROR(MID(D226, SEARCH("ADM_", D226), 7), IFERROR(MID(D226, SEARCH("NRD_", D226), 7), IFERROR(MID(D226, SEARCH("EXN_", D226), 7), IFERROR(MID(D226, SEARCH("LIT_", D226), 7), IFERROR(MID(D226, SEARCH("EST_", D226), 7), MID(D226, SEARCH("OST_",D226), 7))))))))))</f>
        <v/>
      </c>
      <c r="F226" t="inlineStr">
        <is>
          <t>{05-25-2026 groupe whatsapp  incident}:    impacted by   OST_033_H_Batchingou  Cause: infiltration d'eau dans la radio de Yenon dir Batchingou   , Action: Sans action</t>
        </is>
      </c>
    </row>
    <row r="227" hidden="1" s="53">
      <c r="D227" t="inlineStr">
        <is>
          <t>SUO_107_H_Mamfe-Town-IHS</t>
        </is>
      </c>
      <c r="E227">
        <f>IFERROR(MID(D227, SEARCH("CTR_", D227), 7), IFERROR(MID(D227, SEARCH("SUO_", D227), 7), IFERROR(MID(D227, SEARCH("SUD_", D227), 7), IFERROR(MID(D227, SEARCH("NRO_", D227), 7), IFERROR(MID(D227, SEARCH("ADM_", D227), 7), IFERROR(MID(D227, SEARCH("NRD_", D227), 7), IFERROR(MID(D227, SEARCH("EXN_", D227), 7), IFERROR(MID(D227, SEARCH("LIT_", D227), 7), IFERROR(MID(D227, SEARCH("EST_", D227), 7), MID(D227, SEARCH("OST_",D227), 7))))))))))</f>
        <v/>
      </c>
      <c r="F227" t="inlineStr">
        <is>
          <t>{05-25-2026 groupe whatsapp  incident}:    impacted by   OST_033_H_Batchingou  Cause: infiltration d'eau dans la radio de Yenon dir Batchingou   , Action: Sans action</t>
        </is>
      </c>
    </row>
    <row r="228" hidden="1" s="53">
      <c r="D228" t="inlineStr">
        <is>
          <t>SUO_073_H_Mamfe-Brasserie</t>
        </is>
      </c>
      <c r="E228">
        <f>IFERROR(MID(D228, SEARCH("CTR_", D228), 7), IFERROR(MID(D228, SEARCH("SUO_", D228), 7), IFERROR(MID(D228, SEARCH("SUD_", D228), 7), IFERROR(MID(D228, SEARCH("NRO_", D228), 7), IFERROR(MID(D228, SEARCH("ADM_", D228), 7), IFERROR(MID(D228, SEARCH("NRD_", D228), 7), IFERROR(MID(D228, SEARCH("EXN_", D228), 7), IFERROR(MID(D228, SEARCH("LIT_", D228), 7), IFERROR(MID(D228, SEARCH("EST_", D228), 7), MID(D228, SEARCH("OST_",D228), 7))))))))))</f>
        <v/>
      </c>
      <c r="F228" t="inlineStr">
        <is>
          <t>{05-25-2026 groupe whatsapp  incident}:    impacted by   OST_033_H_Batchingou  Cause: infiltration d'eau dans la radio de Yenon dir Batchingou   , Action: Sans action</t>
        </is>
      </c>
    </row>
    <row r="229" hidden="1" s="53">
      <c r="D229" t="inlineStr">
        <is>
          <t>SUO_009_H_Mamfe</t>
        </is>
      </c>
      <c r="E229">
        <f>IFERROR(MID(D229, SEARCH("CTR_", D229), 7), IFERROR(MID(D229, SEARCH("SUO_", D229), 7), IFERROR(MID(D229, SEARCH("SUD_", D229), 7), IFERROR(MID(D229, SEARCH("NRO_", D229), 7), IFERROR(MID(D229, SEARCH("ADM_", D229), 7), IFERROR(MID(D229, SEARCH("NRD_", D229), 7), IFERROR(MID(D229, SEARCH("EXN_", D229), 7), IFERROR(MID(D229, SEARCH("LIT_", D229), 7), IFERROR(MID(D229, SEARCH("EST_", D229), 7), MID(D229, SEARCH("OST_",D229), 7))))))))))</f>
        <v/>
      </c>
      <c r="F229" t="inlineStr">
        <is>
          <t>{05-25-2026 groupe whatsapp  incident}:    impacted by   OST_033_H_Batchingou  Cause: infiltration d'eau dans la radio de Yenon dir Batchingou   , Action: Sans action</t>
        </is>
      </c>
    </row>
    <row r="230" hidden="1" s="53">
      <c r="D230" t="inlineStr">
        <is>
          <t>NRO_086_H_Berore-IHS</t>
        </is>
      </c>
      <c r="E230">
        <f>IFERROR(MID(D230, SEARCH("CTR_", D230), 7), IFERROR(MID(D230, SEARCH("SUO_", D230), 7), IFERROR(MID(D230, SEARCH("SUD_", D230), 7), IFERROR(MID(D230, SEARCH("NRO_", D230), 7), IFERROR(MID(D230, SEARCH("ADM_", D230), 7), IFERROR(MID(D230, SEARCH("NRD_", D230), 7), IFERROR(MID(D230, SEARCH("EXN_", D230), 7), IFERROR(MID(D230, SEARCH("LIT_", D230), 7), IFERROR(MID(D230, SEARCH("EST_", D230), 7), MID(D230, SEARCH("OST_",D230), 7))))))))))</f>
        <v/>
      </c>
      <c r="F230" t="inlineStr">
        <is>
          <t>{05-25-2026 groupe whatsapp  incident}:    impacted by   OST_033_H_Batchingou  Cause: infiltration d'eau dans la radio de Yenon dir Batchingou   , Action: Sans action</t>
        </is>
      </c>
    </row>
    <row r="231" hidden="1" s="53">
      <c r="D231" t="inlineStr">
        <is>
          <t>SUO_245_Mamfe-Camtel</t>
        </is>
      </c>
      <c r="E231">
        <f>IFERROR(MID(D231, SEARCH("CTR_", D231), 7), IFERROR(MID(D231, SEARCH("SUO_", D231), 7), IFERROR(MID(D231, SEARCH("SUD_", D231), 7), IFERROR(MID(D231, SEARCH("NRO_", D231), 7), IFERROR(MID(D231, SEARCH("ADM_", D231), 7), IFERROR(MID(D231, SEARCH("NRD_", D231), 7), IFERROR(MID(D231, SEARCH("EXN_", D231), 7), IFERROR(MID(D231, SEARCH("LIT_", D231), 7), IFERROR(MID(D231, SEARCH("EST_", D231), 7), MID(D231, SEARCH("OST_",D231), 7))))))))))</f>
        <v/>
      </c>
      <c r="F231" t="inlineStr">
        <is>
          <t>{05-25-2026 groupe whatsapp  incident}:    impacted by   OST_033_H_Batchingou  Cause: infiltration d'eau dans la radio de Yenon dir Batchingou   , Action: Sans action</t>
        </is>
      </c>
    </row>
    <row r="232" hidden="1" s="53">
      <c r="B232" t="inlineStr">
        <is>
          <t>NRD_088_H_Ngong-Town-HIS</t>
        </is>
      </c>
      <c r="C232" t="inlineStr">
        <is>
          <t>INC-20260525-00016774 // 2605M69680</t>
        </is>
      </c>
      <c r="D232" t="inlineStr">
        <is>
          <t>NRD_088_H_Ngong-Town-IHS</t>
        </is>
      </c>
      <c r="E232">
        <f>IFERROR(MID(D232, SEARCH("CTR_", D232), 7), IFERROR(MID(D232, SEARCH("SUO_", D232), 7), IFERROR(MID(D232, SEARCH("SUD_", D232), 7), IFERROR(MID(D232, SEARCH("NRO_", D232), 7), IFERROR(MID(D232, SEARCH("ADM_", D232), 7), IFERROR(MID(D232, SEARCH("NRD_", D232), 7), IFERROR(MID(D232, SEARCH("EXN_", D232), 7), IFERROR(MID(D232, SEARCH("LIT_", D232), 7), IFERROR(MID(D232, SEARCH("EST_", D232), 7), MID(D232, SEARCH("OST_",D232), 7))))))))))</f>
        <v/>
      </c>
      <c r="F232" t="inlineStr">
        <is>
          <t>{05-25-2026 groupe whatsapp incident}:    impacted by NRD_088_H_Ngong-Town-IHS ,Cause: Probleme energie    Action: RCA attendu de IHS</t>
        </is>
      </c>
    </row>
    <row r="233" hidden="1" s="53">
      <c r="D233" t="inlineStr">
        <is>
          <t>NRD_263_H_NGONG-CRF-III</t>
        </is>
      </c>
      <c r="E233">
        <f>IFERROR(MID(D233, SEARCH("CTR_", D233), 7), IFERROR(MID(D233, SEARCH("SUO_", D233), 7), IFERROR(MID(D233, SEARCH("SUD_", D233), 7), IFERROR(MID(D233, SEARCH("NRO_", D233), 7), IFERROR(MID(D233, SEARCH("ADM_", D233), 7), IFERROR(MID(D233, SEARCH("NRD_", D233), 7), IFERROR(MID(D233, SEARCH("EXN_", D233), 7), IFERROR(MID(D233, SEARCH("LIT_", D233), 7), IFERROR(MID(D233, SEARCH("EST_", D233), 7), MID(D233, SEARCH("OST_",D233), 7))))))))))</f>
        <v/>
      </c>
      <c r="F233" t="inlineStr">
        <is>
          <t>{05-25-2026 groupe whatsapp incident}:    impacted by NRD_088_H_Ngong-Town-IHS ,Cause: Probleme energie    Action: RCA attendu de IHS</t>
        </is>
      </c>
    </row>
    <row r="234" hidden="1" s="53">
      <c r="D234" t="inlineStr">
        <is>
          <t>NRD_202_URH_BOUMEDJE</t>
        </is>
      </c>
      <c r="E234">
        <f>IFERROR(MID(D234, SEARCH("CTR_", D234), 7), IFERROR(MID(D234, SEARCH("SUO_", D234), 7), IFERROR(MID(D234, SEARCH("SUD_", D234), 7), IFERROR(MID(D234, SEARCH("NRO_", D234), 7), IFERROR(MID(D234, SEARCH("ADM_", D234), 7), IFERROR(MID(D234, SEARCH("NRD_", D234), 7), IFERROR(MID(D234, SEARCH("EXN_", D234), 7), IFERROR(MID(D234, SEARCH("LIT_", D234), 7), IFERROR(MID(D234, SEARCH("EST_", D234), 7), MID(D234, SEARCH("OST_",D234), 7))))))))))</f>
        <v/>
      </c>
      <c r="F234" t="inlineStr">
        <is>
          <t>{05-25-2026 groupe whatsapp incident}:    impacted by NRD_088_H_Ngong-Town-IHS ,Cause: Probleme energie    Action: RCA attendu de IHS</t>
        </is>
      </c>
    </row>
    <row r="235" hidden="1" s="53">
      <c r="D235" t="inlineStr">
        <is>
          <t>NRD_243_URH_LAMOUDAM2</t>
        </is>
      </c>
      <c r="E235">
        <f>IFERROR(MID(D235, SEARCH("CTR_", D235), 7), IFERROR(MID(D235, SEARCH("SUO_", D235), 7), IFERROR(MID(D235, SEARCH("SUD_", D235), 7), IFERROR(MID(D235, SEARCH("NRO_", D235), 7), IFERROR(MID(D235, SEARCH("ADM_", D235), 7), IFERROR(MID(D235, SEARCH("NRD_", D235), 7), IFERROR(MID(D235, SEARCH("EXN_", D235), 7), IFERROR(MID(D235, SEARCH("LIT_", D235), 7), IFERROR(MID(D235, SEARCH("EST_", D235), 7), MID(D235, SEARCH("OST_",D235), 7))))))))))</f>
        <v/>
      </c>
      <c r="F235" t="inlineStr">
        <is>
          <t>{05-25-2026 groupe whatsapp incident}:    impacted by NRD_088_H_Ngong-Town-IHS ,Cause: Probleme energie    Action: RCA attendu de IHS</t>
        </is>
      </c>
    </row>
    <row r="236" hidden="1" s="53">
      <c r="D236" t="inlineStr">
        <is>
          <t>NRD_200_URH_LAMOUDAM</t>
        </is>
      </c>
      <c r="E236">
        <f>IFERROR(MID(D236, SEARCH("CTR_", D236), 7), IFERROR(MID(D236, SEARCH("SUO_", D236), 7), IFERROR(MID(D236, SEARCH("SUD_", D236), 7), IFERROR(MID(D236, SEARCH("NRO_", D236), 7), IFERROR(MID(D236, SEARCH("ADM_", D236), 7), IFERROR(MID(D236, SEARCH("NRD_", D236), 7), IFERROR(MID(D236, SEARCH("EXN_", D236), 7), IFERROR(MID(D236, SEARCH("LIT_", D236), 7), IFERROR(MID(D236, SEARCH("EST_", D236), 7), MID(D236, SEARCH("OST_",D236), 7))))))))))</f>
        <v/>
      </c>
      <c r="F236" t="inlineStr">
        <is>
          <t>{05-25-2026 groupe whatsapp incident}:    impacted by NRD_088_H_Ngong-Town-IHS ,Cause: Probleme energie    Action: RCA attendu de IHS</t>
        </is>
      </c>
    </row>
    <row r="237" hidden="1" s="53">
      <c r="D237" t="inlineStr">
        <is>
          <t>NRD_238_URH_NGONG3</t>
        </is>
      </c>
      <c r="E237">
        <f>IFERROR(MID(D237, SEARCH("CTR_", D237), 7), IFERROR(MID(D237, SEARCH("SUO_", D237), 7), IFERROR(MID(D237, SEARCH("SUD_", D237), 7), IFERROR(MID(D237, SEARCH("NRO_", D237), 7), IFERROR(MID(D237, SEARCH("ADM_", D237), 7), IFERROR(MID(D237, SEARCH("NRD_", D237), 7), IFERROR(MID(D237, SEARCH("EXN_", D237), 7), IFERROR(MID(D237, SEARCH("LIT_", D237), 7), IFERROR(MID(D237, SEARCH("EST_", D237), 7), MID(D237, SEARCH("OST_",D237), 7))))))))))</f>
        <v/>
      </c>
      <c r="F237" t="inlineStr">
        <is>
          <t>{05-25-2026 groupe whatsapp incident}:    impacted by NRD_088_H_Ngong-Town-IHS ,Cause: Probleme energie    Action: RCA attendu de IHS</t>
        </is>
      </c>
    </row>
    <row r="238" hidden="1" s="53">
      <c r="B238" t="inlineStr">
        <is>
          <t>OST_033_H_Batchingou</t>
        </is>
      </c>
      <c r="C238" t="inlineStr">
        <is>
          <t>INC-20260525-00016880 // 2605M69833</t>
        </is>
      </c>
      <c r="D238" t="inlineStr">
        <is>
          <t>OST_323_URH_MEUDJIEU</t>
        </is>
      </c>
      <c r="E238">
        <f>IFERROR(MID(D238, SEARCH("CTR_", D238), 7), IFERROR(MID(D238, SEARCH("SUO_", D238), 7), IFERROR(MID(D238, SEARCH("SUD_", D238), 7), IFERROR(MID(D238, SEARCH("NRO_", D238), 7), IFERROR(MID(D238, SEARCH("ADM_", D238), 7), IFERROR(MID(D238, SEARCH("NRD_", D238), 7), IFERROR(MID(D238, SEARCH("EXN_", D238), 7), IFERROR(MID(D238, SEARCH("LIT_", D238), 7), IFERROR(MID(D238, SEARCH("EST_", D238), 7), MID(D238, SEARCH("OST_",D238), 7))))))))))</f>
        <v/>
      </c>
      <c r="F238" t="inlineStr">
        <is>
          <t>{05-25-2026   groupe whatsapp   incident}:    impacted by  OST_033_H_Batchingou   ,Cause: infiltration d'eau dans la radio de Yenon dir Batchingou   ,Action: Sans action</t>
        </is>
      </c>
    </row>
    <row r="239" hidden="1" ht="16.95" customHeight="1" s="53">
      <c r="D239" t="inlineStr">
        <is>
          <t>OST_407_URH_KASSANG</t>
        </is>
      </c>
      <c r="E239">
        <f>IFERROR(MID(D239, SEARCH("CTR_", D239), 7), IFERROR(MID(D239, SEARCH("SUO_", D239), 7), IFERROR(MID(D239, SEARCH("SUD_", D239), 7), IFERROR(MID(D239, SEARCH("NRO_", D239), 7), IFERROR(MID(D239, SEARCH("ADM_", D239), 7), IFERROR(MID(D239, SEARCH("NRD_", D239), 7), IFERROR(MID(D239, SEARCH("EXN_", D239), 7), IFERROR(MID(D239, SEARCH("LIT_", D239), 7), IFERROR(MID(D239, SEARCH("EST_", D239), 7), MID(D239, SEARCH("OST_",D239), 7))))))))))</f>
        <v/>
      </c>
      <c r="F239" t="inlineStr">
        <is>
          <t>{05-25-2026   groupe whatsapp   incident}:    impacted by  OST_033_H_Batchingou   ,Cause: infiltration d'eau dans la radio de Yenon dir Batchingou   ,Action: Sans action</t>
        </is>
      </c>
    </row>
    <row r="240" hidden="1" ht="16.95" customHeight="1" s="53">
      <c r="D240" t="inlineStr">
        <is>
          <t>OST_183_H_Bangoua</t>
        </is>
      </c>
      <c r="E240">
        <f>IFERROR(MID(D240, SEARCH("CTR_", D240), 7), IFERROR(MID(D240, SEARCH("SUO_", D240), 7), IFERROR(MID(D240, SEARCH("SUD_", D240), 7), IFERROR(MID(D240, SEARCH("NRO_", D240), 7), IFERROR(MID(D240, SEARCH("ADM_", D240), 7), IFERROR(MID(D240, SEARCH("NRD_", D240), 7), IFERROR(MID(D240, SEARCH("EXN_", D240), 7), IFERROR(MID(D240, SEARCH("LIT_", D240), 7), IFERROR(MID(D240, SEARCH("EST_", D240), 7), MID(D240, SEARCH("OST_",D240), 7))))))))))</f>
        <v/>
      </c>
      <c r="F240" t="inlineStr">
        <is>
          <t>{05-25-2026   groupe whatsapp   incident}:    impacted by  OST_033_H_Batchingou   ,Cause: infiltration d'eau dans la radio de Yenon dir Batchingou   ,Action: Sans action</t>
        </is>
      </c>
    </row>
    <row r="241" hidden="1" ht="16.95" customHeight="1" s="53">
      <c r="D241" t="inlineStr">
        <is>
          <t>OST_260_H_Bamena</t>
        </is>
      </c>
      <c r="E241">
        <f>IFERROR(MID(D241, SEARCH("CTR_", D241), 7), IFERROR(MID(D241, SEARCH("SUO_", D241), 7), IFERROR(MID(D241, SEARCH("SUD_", D241), 7), IFERROR(MID(D241, SEARCH("NRO_", D241), 7), IFERROR(MID(D241, SEARCH("ADM_", D241), 7), IFERROR(MID(D241, SEARCH("NRD_", D241), 7), IFERROR(MID(D241, SEARCH("EXN_", D241), 7), IFERROR(MID(D241, SEARCH("LIT_", D241), 7), IFERROR(MID(D241, SEARCH("EST_", D241), 7), MID(D241, SEARCH("OST_",D241), 7))))))))))</f>
        <v/>
      </c>
      <c r="F241" t="inlineStr">
        <is>
          <t>{05-25-2026   groupe whatsapp   incident}:    impacted by  OST_033_H_Batchingou   ,Cause: infiltration d'eau dans la radio de Yenon dir Batchingou   ,Action: Sans action</t>
        </is>
      </c>
    </row>
    <row r="242" hidden="1" ht="16.95" customHeight="1" s="53">
      <c r="D242" t="inlineStr">
        <is>
          <t>OST_033_H_Batchingou</t>
        </is>
      </c>
      <c r="E242">
        <f>IFERROR(MID(D242, SEARCH("CTR_", D242), 7), IFERROR(MID(D242, SEARCH("SUO_", D242), 7), IFERROR(MID(D242, SEARCH("SUD_", D242), 7), IFERROR(MID(D242, SEARCH("NRO_", D242), 7), IFERROR(MID(D242, SEARCH("ADM_", D242), 7), IFERROR(MID(D242, SEARCH("NRD_", D242), 7), IFERROR(MID(D242, SEARCH("EXN_", D242), 7), IFERROR(MID(D242, SEARCH("LIT_", D242), 7), IFERROR(MID(D242, SEARCH("EST_", D242), 7), MID(D242, SEARCH("OST_",D242), 7))))))))))</f>
        <v/>
      </c>
      <c r="F242" t="inlineStr">
        <is>
          <t>{05-25-2026   groupe whatsapp   incident}:    impacted by  OST_033_H_Batchingou   ,Cause: infiltration d'eau dans la radio de Yenon dir Batchingou   ,Action: Sans action</t>
        </is>
      </c>
    </row>
    <row r="243" hidden="1" ht="16.95" customHeight="1" s="53">
      <c r="B243" t="inlineStr">
        <is>
          <t>EXN_169_N_Meme-II-HIS</t>
        </is>
      </c>
      <c r="C243" t="inlineStr">
        <is>
          <t>2605M64651 | INC-20260525-00013377</t>
        </is>
      </c>
      <c r="D243" t="inlineStr">
        <is>
          <t>EXN_169_N_Meme-II-IHS</t>
        </is>
      </c>
      <c r="E243">
        <f>IFERROR(MID(D243, SEARCH("CTR_", D243), 7), IFERROR(MID(D243, SEARCH("SUO_", D243), 7), IFERROR(MID(D243, SEARCH("SUD_", D243), 7), IFERROR(MID(D243, SEARCH("NRO_", D243), 7), IFERROR(MID(D243, SEARCH("ADM_", D243), 7), IFERROR(MID(D243, SEARCH("NRD_", D243), 7), IFERROR(MID(D243, SEARCH("EXN_", D243), 7), IFERROR(MID(D243, SEARCH("LIT_", D243), 7), IFERROR(MID(D243, SEARCH("EST_", D243), 7), MID(D243, SEARCH("OST_",D243), 7))))))))))</f>
        <v/>
      </c>
    </row>
    <row r="244" hidden="1" ht="16.95" customHeight="1" s="53">
      <c r="D244" t="inlineStr">
        <is>
          <t>EXN_901 _URH_MBELLE</t>
        </is>
      </c>
      <c r="E244">
        <f>IFERROR(MID(D244, SEARCH("CTR_", D244), 7), IFERROR(MID(D244, SEARCH("SUO_", D244), 7), IFERROR(MID(D244, SEARCH("SUD_", D244), 7), IFERROR(MID(D244, SEARCH("NRO_", D244), 7), IFERROR(MID(D244, SEARCH("ADM_", D244), 7), IFERROR(MID(D244, SEARCH("NRD_", D244), 7), IFERROR(MID(D244, SEARCH("EXN_", D244), 7), IFERROR(MID(D244, SEARCH("LIT_", D244), 7), IFERROR(MID(D244, SEARCH("EST_", D244), 7), MID(D244, SEARCH("OST_",D244), 7))))))))))</f>
        <v/>
      </c>
    </row>
    <row r="245" hidden="1" s="53">
      <c r="C245" s="33" t="n"/>
      <c r="D245" t="inlineStr">
        <is>
          <t>EXN_289_URH_WARBA</t>
        </is>
      </c>
      <c r="E245">
        <f>IFERROR(MID(D245, SEARCH("CTR_", D245), 7), IFERROR(MID(D245, SEARCH("SUO_", D245), 7), IFERROR(MID(D245, SEARCH("SUD_", D245), 7), IFERROR(MID(D245, SEARCH("NRO_", D245), 7), IFERROR(MID(D245, SEARCH("ADM_", D245), 7), IFERROR(MID(D245, SEARCH("NRD_", D245), 7), IFERROR(MID(D245, SEARCH("EXN_", D245), 7), IFERROR(MID(D245, SEARCH("LIT_", D245), 7), IFERROR(MID(D245, SEARCH("EST_", D245), 7), MID(D245, SEARCH("OST_",D245), 7))))))))))</f>
        <v/>
      </c>
    </row>
    <row r="246" hidden="1" s="53">
      <c r="C246" s="33" t="n"/>
      <c r="D246" t="inlineStr">
        <is>
          <t>EXN_419_URH_OURO_GALLE</t>
        </is>
      </c>
      <c r="E246">
        <f>IFERROR(MID(D246, SEARCH("CTR_", D246), 7), IFERROR(MID(D246, SEARCH("SUO_", D246), 7), IFERROR(MID(D246, SEARCH("SUD_", D246), 7), IFERROR(MID(D246, SEARCH("NRO_", D246), 7), IFERROR(MID(D246, SEARCH("ADM_", D246), 7), IFERROR(MID(D246, SEARCH("NRD_", D246), 7), IFERROR(MID(D246, SEARCH("EXN_", D246), 7), IFERROR(MID(D246, SEARCH("LIT_", D246), 7), IFERROR(MID(D246, SEARCH("EST_", D246), 7), MID(D246, SEARCH("OST_",D246), 7))))))))))</f>
        <v/>
      </c>
    </row>
    <row r="247" hidden="1" s="53">
      <c r="D247" t="inlineStr">
        <is>
          <t>EXN_418_URH_DJAKANA</t>
        </is>
      </c>
      <c r="E247">
        <f>IFERROR(MID(D247, SEARCH("CTR_", D247), 7), IFERROR(MID(D247, SEARCH("SUO_", D247), 7), IFERROR(MID(D247, SEARCH("SUD_", D247), 7), IFERROR(MID(D247, SEARCH("NRO_", D247), 7), IFERROR(MID(D247, SEARCH("ADM_", D247), 7), IFERROR(MID(D247, SEARCH("NRD_", D247), 7), IFERROR(MID(D247, SEARCH("EXN_", D247), 7), IFERROR(MID(D247, SEARCH("LIT_", D247), 7), IFERROR(MID(D247, SEARCH("EST_", D247), 7), MID(D247, SEARCH("OST_",D247), 7))))))))))</f>
        <v/>
      </c>
    </row>
    <row r="248" hidden="1" s="53">
      <c r="B248" t="inlineStr">
        <is>
          <t>EXN_074_H_Dziguilao</t>
        </is>
      </c>
      <c r="C248" t="inlineStr">
        <is>
          <t>INC-20260525-00013609 | 2605M65032</t>
        </is>
      </c>
      <c r="D248" t="inlineStr">
        <is>
          <t>EXN_075_H_Datcheka</t>
        </is>
      </c>
      <c r="E248">
        <f>IFERROR(MID(D248, SEARCH("CTR_", D248), 7), IFERROR(MID(D248, SEARCH("SUO_", D248), 7), IFERROR(MID(D248, SEARCH("SUD_", D248), 7), IFERROR(MID(D248, SEARCH("NRO_", D248), 7), IFERROR(MID(D248, SEARCH("ADM_", D248), 7), IFERROR(MID(D248, SEARCH("NRD_", D248), 7), IFERROR(MID(D248, SEARCH("EXN_", D248), 7), IFERROR(MID(D248, SEARCH("LIT_", D248), 7), IFERROR(MID(D248, SEARCH("EST_", D248), 7), MID(D248, SEARCH("OST_",D248), 7))))))))))</f>
        <v/>
      </c>
      <c r="F248" t="inlineStr">
        <is>
          <t>{05-25-2026  incident}:    impacted by  EXN_074_H_Dziguilao ,   RCA: Power issue / En attente RCA IHS</t>
        </is>
      </c>
    </row>
    <row r="249" hidden="1" ht="25.05" customHeight="1" s="53">
      <c r="D249" t="inlineStr">
        <is>
          <t>EXN_022_H_Kar-Hay</t>
        </is>
      </c>
      <c r="E249">
        <f>IFERROR(MID(D249, SEARCH("CTR_", D249), 7), IFERROR(MID(D249, SEARCH("SUO_", D249), 7), IFERROR(MID(D249, SEARCH("SUD_", D249), 7), IFERROR(MID(D249, SEARCH("NRO_", D249), 7), IFERROR(MID(D249, SEARCH("ADM_", D249), 7), IFERROR(MID(D249, SEARCH("NRD_", D249), 7), IFERROR(MID(D249, SEARCH("EXN_", D249), 7), IFERROR(MID(D249, SEARCH("LIT_", D249), 7), IFERROR(MID(D249, SEARCH("EST_", D249), 7), MID(D249, SEARCH("OST_",D249), 7))))))))))</f>
        <v/>
      </c>
      <c r="F249" t="inlineStr">
        <is>
          <t>{05-25-2026  incident}:    impacted by  EXN_074_H_Dziguilao ,   RCA: Power issue / En attente RCA IHS</t>
        </is>
      </c>
    </row>
    <row r="250" hidden="1" s="53">
      <c r="D250" t="inlineStr">
        <is>
          <t>EXN_074_H_Dziguilao</t>
        </is>
      </c>
      <c r="E250">
        <f>IFERROR(MID(D250, SEARCH("CTR_", D250), 7), IFERROR(MID(D250, SEARCH("SUO_", D250), 7), IFERROR(MID(D250, SEARCH("SUD_", D250), 7), IFERROR(MID(D250, SEARCH("NRO_", D250), 7), IFERROR(MID(D250, SEARCH("ADM_", D250), 7), IFERROR(MID(D250, SEARCH("NRD_", D250), 7), IFERROR(MID(D250, SEARCH("EXN_", D250), 7), IFERROR(MID(D250, SEARCH("LIT_", D250), 7), IFERROR(MID(D250, SEARCH("EST_", D250), 7), MID(D250, SEARCH("OST_",D250), 7))))))))))</f>
        <v/>
      </c>
      <c r="F250" t="inlineStr">
        <is>
          <t>{05-25-2026  incident}:    impacted by  EXN_074_H_Dziguilao ,   RCA: Power issue / En attente RCA IHS</t>
        </is>
      </c>
    </row>
    <row r="251" hidden="1" s="53">
      <c r="D251" t="inlineStr">
        <is>
          <t>EXN_265_H_Datcheka-IHS</t>
        </is>
      </c>
      <c r="E251">
        <f>IFERROR(MID(D251, SEARCH("CTR_", D251), 7), IFERROR(MID(D251, SEARCH("SUO_", D251), 7), IFERROR(MID(D251, SEARCH("SUD_", D251), 7), IFERROR(MID(D251, SEARCH("NRO_", D251), 7), IFERROR(MID(D251, SEARCH("ADM_", D251), 7), IFERROR(MID(D251, SEARCH("NRD_", D251), 7), IFERROR(MID(D251, SEARCH("EXN_", D251), 7), IFERROR(MID(D251, SEARCH("LIT_", D251), 7), IFERROR(MID(D251, SEARCH("EST_", D251), 7), MID(D251, SEARCH("OST_",D251), 7))))))))))</f>
        <v/>
      </c>
      <c r="F251" t="inlineStr">
        <is>
          <t>{05-25-2026  incident}:    impacted by  EXN_074_H_Dziguilao ,   RCA: Power issue / En attente RCA IHS</t>
        </is>
      </c>
    </row>
    <row r="252" hidden="1" s="53">
      <c r="D252" t="inlineStr">
        <is>
          <t>EXN_245_H_Hougno</t>
        </is>
      </c>
      <c r="E252">
        <f>IFERROR(MID(D252, SEARCH("CTR_", D252), 7), IFERROR(MID(D252, SEARCH("SUO_", D252), 7), IFERROR(MID(D252, SEARCH("SUD_", D252), 7), IFERROR(MID(D252, SEARCH("NRO_", D252), 7), IFERROR(MID(D252, SEARCH("ADM_", D252), 7), IFERROR(MID(D252, SEARCH("NRD_", D252), 7), IFERROR(MID(D252, SEARCH("EXN_", D252), 7), IFERROR(MID(D252, SEARCH("LIT_", D252), 7), IFERROR(MID(D252, SEARCH("EST_", D252), 7), MID(D252, SEARCH("OST_",D252), 7))))))))))</f>
        <v/>
      </c>
      <c r="F252" t="inlineStr">
        <is>
          <t>{05-25-2026  incident}:    impacted by  EXN_074_H_Dziguilao ,   RCA: Power issue / En attente RCA IHS</t>
        </is>
      </c>
    </row>
    <row r="253" hidden="1" s="53">
      <c r="D253" t="inlineStr">
        <is>
          <t>EXN_192_H_Kar-Hay-Ville</t>
        </is>
      </c>
      <c r="E253">
        <f>IFERROR(MID(D253, SEARCH("CTR_", D253), 7), IFERROR(MID(D253, SEARCH("SUO_", D253), 7), IFERROR(MID(D253, SEARCH("SUD_", D253), 7), IFERROR(MID(D253, SEARCH("NRO_", D253), 7), IFERROR(MID(D253, SEARCH("ADM_", D253), 7), IFERROR(MID(D253, SEARCH("NRD_", D253), 7), IFERROR(MID(D253, SEARCH("EXN_", D253), 7), IFERROR(MID(D253, SEARCH("LIT_", D253), 7), IFERROR(MID(D253, SEARCH("EST_", D253), 7), MID(D253, SEARCH("OST_",D253), 7))))))))))</f>
        <v/>
      </c>
      <c r="F253" t="inlineStr">
        <is>
          <t>{05-25-2026  incident}:    impacted by  EXN_074_H_Dziguilao ,   RCA: Power issue / En attente RCA IHS</t>
        </is>
      </c>
    </row>
    <row r="254" hidden="1" s="53">
      <c r="D254" t="inlineStr">
        <is>
          <t>EXN_242_H_Zouhaye</t>
        </is>
      </c>
      <c r="E254">
        <f>IFERROR(MID(D254, SEARCH("CTR_", D254), 7), IFERROR(MID(D254, SEARCH("SUO_", D254), 7), IFERROR(MID(D254, SEARCH("SUD_", D254), 7), IFERROR(MID(D254, SEARCH("NRO_", D254), 7), IFERROR(MID(D254, SEARCH("ADM_", D254), 7), IFERROR(MID(D254, SEARCH("NRD_", D254), 7), IFERROR(MID(D254, SEARCH("EXN_", D254), 7), IFERROR(MID(D254, SEARCH("LIT_", D254), 7), IFERROR(MID(D254, SEARCH("EST_", D254), 7), MID(D254, SEARCH("OST_",D254), 7))))))))))</f>
        <v/>
      </c>
      <c r="F254" t="inlineStr">
        <is>
          <t>{05-25-2026  incident}:    impacted by  EXN_074_H_Dziguilao ,   RCA: Power issue / En attente RCA IHS</t>
        </is>
      </c>
    </row>
    <row r="255" hidden="1" s="53">
      <c r="D255" t="inlineStr">
        <is>
          <t>EXN_550 _URH_MOGOM</t>
        </is>
      </c>
      <c r="E255">
        <f>IFERROR(MID(D255, SEARCH("CTR_", D255), 7), IFERROR(MID(D255, SEARCH("SUO_", D255), 7), IFERROR(MID(D255, SEARCH("SUD_", D255), 7), IFERROR(MID(D255, SEARCH("NRO_", D255), 7), IFERROR(MID(D255, SEARCH("ADM_", D255), 7), IFERROR(MID(D255, SEARCH("NRD_", D255), 7), IFERROR(MID(D255, SEARCH("EXN_", D255), 7), IFERROR(MID(D255, SEARCH("LIT_", D255), 7), IFERROR(MID(D255, SEARCH("EST_", D255), 7), MID(D255, SEARCH("OST_",D255), 7))))))))))</f>
        <v/>
      </c>
      <c r="F255" t="inlineStr">
        <is>
          <t>{05-25-2026  incident}:    impacted by  EXN_074_H_Dziguilao ,   RCA: Power issue / En attente RCA IHS</t>
        </is>
      </c>
    </row>
    <row r="256" hidden="1" s="53">
      <c r="B256" s="33" t="n"/>
      <c r="D256" t="inlineStr">
        <is>
          <t>EXN_551_URH_MBORHO</t>
        </is>
      </c>
      <c r="E256">
        <f>IFERROR(MID(D256, SEARCH("CTR_", D256), 7), IFERROR(MID(D256, SEARCH("SUO_", D256), 7), IFERROR(MID(D256, SEARCH("SUD_", D256), 7), IFERROR(MID(D256, SEARCH("NRO_", D256), 7), IFERROR(MID(D256, SEARCH("ADM_", D256), 7), IFERROR(MID(D256, SEARCH("NRD_", D256), 7), IFERROR(MID(D256, SEARCH("EXN_", D256), 7), IFERROR(MID(D256, SEARCH("LIT_", D256), 7), IFERROR(MID(D256, SEARCH("EST_", D256), 7), MID(D256, SEARCH("OST_",D256), 7))))))))))</f>
        <v/>
      </c>
      <c r="F256" t="inlineStr">
        <is>
          <t>{05-25-2026  incident}:    impacted by  EXN_074_H_Dziguilao ,   RCA: Power issue / En attente RCA IHS</t>
        </is>
      </c>
    </row>
    <row r="257" hidden="1" s="53">
      <c r="D257" t="inlineStr">
        <is>
          <t>EXN_544_URH_KOBRO</t>
        </is>
      </c>
      <c r="E257">
        <f>IFERROR(MID(D257, SEARCH("CTR_", D257), 7), IFERROR(MID(D257, SEARCH("SUO_", D257), 7), IFERROR(MID(D257, SEARCH("SUD_", D257), 7), IFERROR(MID(D257, SEARCH("NRO_", D257), 7), IFERROR(MID(D257, SEARCH("ADM_", D257), 7), IFERROR(MID(D257, SEARCH("NRD_", D257), 7), IFERROR(MID(D257, SEARCH("EXN_", D257), 7), IFERROR(MID(D257, SEARCH("LIT_", D257), 7), IFERROR(MID(D257, SEARCH("EST_", D257), 7), MID(D257, SEARCH("OST_",D257), 7))))))))))</f>
        <v/>
      </c>
      <c r="F257" t="inlineStr">
        <is>
          <t>{05-25-2026  incident}:    impacted by  EXN_074_H_Dziguilao ,   RCA: Power issue / En attente RCA IHS</t>
        </is>
      </c>
    </row>
    <row r="258" hidden="1" s="53">
      <c r="D258" t="inlineStr">
        <is>
          <t>EXN_557_URH_BOGO</t>
        </is>
      </c>
      <c r="E258">
        <f>IFERROR(MID(D258, SEARCH("CTR_", D258), 7), IFERROR(MID(D258, SEARCH("SUO_", D258), 7), IFERROR(MID(D258, SEARCH("SUD_", D258), 7), IFERROR(MID(D258, SEARCH("NRO_", D258), 7), IFERROR(MID(D258, SEARCH("ADM_", D258), 7), IFERROR(MID(D258, SEARCH("NRD_", D258), 7), IFERROR(MID(D258, SEARCH("EXN_", D258), 7), IFERROR(MID(D258, SEARCH("LIT_", D258), 7), IFERROR(MID(D258, SEARCH("EST_", D258), 7), MID(D258, SEARCH("OST_",D258), 7))))))))))</f>
        <v/>
      </c>
      <c r="F258" t="inlineStr">
        <is>
          <t>{05-25-2026  incident}:    impacted by  EXN_074_H_Dziguilao ,   RCA: Power issue / En attente RCA IHS</t>
        </is>
      </c>
    </row>
    <row r="259" hidden="1" s="53">
      <c r="D259" t="inlineStr">
        <is>
          <t>EXN_548_URH_DAWARIGA</t>
        </is>
      </c>
      <c r="E259">
        <f>IFERROR(MID(D259, SEARCH("CTR_", D259), 7), IFERROR(MID(D259, SEARCH("SUO_", D259), 7), IFERROR(MID(D259, SEARCH("SUD_", D259), 7), IFERROR(MID(D259, SEARCH("NRO_", D259), 7), IFERROR(MID(D259, SEARCH("ADM_", D259), 7), IFERROR(MID(D259, SEARCH("NRD_", D259), 7), IFERROR(MID(D259, SEARCH("EXN_", D259), 7), IFERROR(MID(D259, SEARCH("LIT_", D259), 7), IFERROR(MID(D259, SEARCH("EST_", D259), 7), MID(D259, SEARCH("OST_",D259), 7))))))))))</f>
        <v/>
      </c>
      <c r="F259" t="inlineStr">
        <is>
          <t>{05-25-2026  incident}:    impacted by  EXN_074_H_Dziguilao ,   RCA: Power issue / En attente RCA IHS</t>
        </is>
      </c>
    </row>
    <row r="260" hidden="1" s="53">
      <c r="D260" t="inlineStr">
        <is>
          <t>EXN_563_URH_DATCHEKA_TAKREO</t>
        </is>
      </c>
      <c r="E260">
        <f>IFERROR(MID(D260, SEARCH("CTR_", D260), 7), IFERROR(MID(D260, SEARCH("SUO_", D260), 7), IFERROR(MID(D260, SEARCH("SUD_", D260), 7), IFERROR(MID(D260, SEARCH("NRO_", D260), 7), IFERROR(MID(D260, SEARCH("ADM_", D260), 7), IFERROR(MID(D260, SEARCH("NRD_", D260), 7), IFERROR(MID(D260, SEARCH("EXN_", D260), 7), IFERROR(MID(D260, SEARCH("LIT_", D260), 7), IFERROR(MID(D260, SEARCH("EST_", D260), 7), MID(D260, SEARCH("OST_",D260), 7))))))))))</f>
        <v/>
      </c>
      <c r="F260" t="inlineStr">
        <is>
          <t>{05-25-2026  incident}:    impacted by  EXN_074_H_Dziguilao ,   RCA: Power issue / En attente RCA IHS</t>
        </is>
      </c>
    </row>
    <row r="261" hidden="1" s="53">
      <c r="D261" t="inlineStr">
        <is>
          <t>EXN_529_URH_OULORE</t>
        </is>
      </c>
      <c r="E261">
        <f>IFERROR(MID(D261, SEARCH("CTR_", D261), 7), IFERROR(MID(D261, SEARCH("SUO_", D261), 7), IFERROR(MID(D261, SEARCH("SUD_", D261), 7), IFERROR(MID(D261, SEARCH("NRO_", D261), 7), IFERROR(MID(D261, SEARCH("ADM_", D261), 7), IFERROR(MID(D261, SEARCH("NRD_", D261), 7), IFERROR(MID(D261, SEARCH("EXN_", D261), 7), IFERROR(MID(D261, SEARCH("LIT_", D261), 7), IFERROR(MID(D261, SEARCH("EST_", D261), 7), MID(D261, SEARCH("OST_",D261), 7))))))))))</f>
        <v/>
      </c>
      <c r="F261" t="inlineStr">
        <is>
          <t>{05-25-2026  incident}:    impacted by  EXN_074_H_Dziguilao ,   RCA: Power issue / En attente RCA IHS</t>
        </is>
      </c>
    </row>
    <row r="262" hidden="1" s="53">
      <c r="D262" t="inlineStr">
        <is>
          <t>EXN_533_URH_SAO_TCHAI</t>
        </is>
      </c>
      <c r="E262">
        <f>IFERROR(MID(D262, SEARCH("CTR_", D262), 7), IFERROR(MID(D262, SEARCH("SUO_", D262), 7), IFERROR(MID(D262, SEARCH("SUD_", D262), 7), IFERROR(MID(D262, SEARCH("NRO_", D262), 7), IFERROR(MID(D262, SEARCH("ADM_", D262), 7), IFERROR(MID(D262, SEARCH("NRD_", D262), 7), IFERROR(MID(D262, SEARCH("EXN_", D262), 7), IFERROR(MID(D262, SEARCH("LIT_", D262), 7), IFERROR(MID(D262, SEARCH("EST_", D262), 7), MID(D262, SEARCH("OST_",D262), 7))))))))))</f>
        <v/>
      </c>
      <c r="F262" t="inlineStr">
        <is>
          <t>{05-25-2026  incident}:    impacted by  EXN_074_H_Dziguilao ,   RCA: Power issue / En attente RCA IHS</t>
        </is>
      </c>
    </row>
    <row r="263" hidden="1" s="53">
      <c r="D263" t="inlineStr">
        <is>
          <t>EXN_522_URH_SIGUEORE_(SIKEORE)</t>
        </is>
      </c>
      <c r="E263">
        <f>IFERROR(MID(D263, SEARCH("CTR_", D263), 7), IFERROR(MID(D263, SEARCH("SUO_", D263), 7), IFERROR(MID(D263, SEARCH("SUD_", D263), 7), IFERROR(MID(D263, SEARCH("NRO_", D263), 7), IFERROR(MID(D263, SEARCH("ADM_", D263), 7), IFERROR(MID(D263, SEARCH("NRD_", D263), 7), IFERROR(MID(D263, SEARCH("EXN_", D263), 7), IFERROR(MID(D263, SEARCH("LIT_", D263), 7), IFERROR(MID(D263, SEARCH("EST_", D263), 7), MID(D263, SEARCH("OST_",D263), 7))))))))))</f>
        <v/>
      </c>
      <c r="F263" t="inlineStr">
        <is>
          <t>{05-25-2026  incident}:    impacted by  EXN_074_H_Dziguilao ,   RCA: Power issue / En attente RCA IHS</t>
        </is>
      </c>
    </row>
    <row r="264" hidden="1" s="53">
      <c r="D264" t="inlineStr">
        <is>
          <t>EXN_317_URH_TAALA</t>
        </is>
      </c>
      <c r="E264">
        <f>IFERROR(MID(D264, SEARCH("CTR_", D264), 7), IFERROR(MID(D264, SEARCH("SUO_", D264), 7), IFERROR(MID(D264, SEARCH("SUD_", D264), 7), IFERROR(MID(D264, SEARCH("NRO_", D264), 7), IFERROR(MID(D264, SEARCH("ADM_", D264), 7), IFERROR(MID(D264, SEARCH("NRD_", D264), 7), IFERROR(MID(D264, SEARCH("EXN_", D264), 7), IFERROR(MID(D264, SEARCH("LIT_", D264), 7), IFERROR(MID(D264, SEARCH("EST_", D264), 7), MID(D264, SEARCH("OST_",D264), 7))))))))))</f>
        <v/>
      </c>
      <c r="F264" t="inlineStr">
        <is>
          <t>{05-25-2026  incident}:    impacted by  EXN_074_H_Dziguilao ,   RCA: Power issue / En attente RCA IHS</t>
        </is>
      </c>
    </row>
    <row r="265" hidden="1" s="53">
      <c r="B265" s="7" t="n"/>
      <c r="C265" s="7" t="n"/>
      <c r="D265" t="inlineStr">
        <is>
          <t>EXN_323_URH_GOLOMGUINI</t>
        </is>
      </c>
      <c r="E265">
        <f>IFERROR(MID(D265, SEARCH("CTR_", D265), 7), IFERROR(MID(D265, SEARCH("SUO_", D265), 7), IFERROR(MID(D265, SEARCH("SUD_", D265), 7), IFERROR(MID(D265, SEARCH("NRO_", D265), 7), IFERROR(MID(D265, SEARCH("ADM_", D265), 7), IFERROR(MID(D265, SEARCH("NRD_", D265), 7), IFERROR(MID(D265, SEARCH("EXN_", D265), 7), IFERROR(MID(D265, SEARCH("LIT_", D265), 7), IFERROR(MID(D265, SEARCH("EST_", D265), 7), MID(D265, SEARCH("OST_",D265), 7))))))))))</f>
        <v/>
      </c>
      <c r="F265" t="inlineStr">
        <is>
          <t>{05-25-2026  incident}:    impacted by  EXN_074_H_Dziguilao ,   RCA: Power issue / En attente RCA IHS</t>
        </is>
      </c>
    </row>
    <row r="266" hidden="1" s="53">
      <c r="D266" t="inlineStr">
        <is>
          <t>EXN_567_URH_HOUANG_(HOUWANG)</t>
        </is>
      </c>
      <c r="E266">
        <f>IFERROR(MID(D266, SEARCH("CTR_", D266), 7), IFERROR(MID(D266, SEARCH("SUO_", D266), 7), IFERROR(MID(D266, SEARCH("SUD_", D266), 7), IFERROR(MID(D266, SEARCH("NRO_", D266), 7), IFERROR(MID(D266, SEARCH("ADM_", D266), 7), IFERROR(MID(D266, SEARCH("NRD_", D266), 7), IFERROR(MID(D266, SEARCH("EXN_", D266), 7), IFERROR(MID(D266, SEARCH("LIT_", D266), 7), IFERROR(MID(D266, SEARCH("EST_", D266), 7), MID(D266, SEARCH("OST_",D266), 7))))))))))</f>
        <v/>
      </c>
      <c r="F266" t="inlineStr">
        <is>
          <t>{05-25-2026  incident}:    impacted by  EXN_074_H_Dziguilao ,   RCA: Power issue / En attente RCA IHS</t>
        </is>
      </c>
    </row>
    <row r="267" hidden="1" s="53">
      <c r="D267" t="inlineStr">
        <is>
          <t>EXN_324_URH_GOUNDAYE</t>
        </is>
      </c>
      <c r="E267">
        <f>IFERROR(MID(D267, SEARCH("CTR_", D267), 7), IFERROR(MID(D267, SEARCH("SUO_", D267), 7), IFERROR(MID(D267, SEARCH("SUD_", D267), 7), IFERROR(MID(D267, SEARCH("NRO_", D267), 7), IFERROR(MID(D267, SEARCH("ADM_", D267), 7), IFERROR(MID(D267, SEARCH("NRD_", D267), 7), IFERROR(MID(D267, SEARCH("EXN_", D267), 7), IFERROR(MID(D267, SEARCH("LIT_", D267), 7), IFERROR(MID(D267, SEARCH("EST_", D267), 7), MID(D267, SEARCH("OST_",D267), 7))))))))))</f>
        <v/>
      </c>
      <c r="F267" t="inlineStr">
        <is>
          <t>{05-25-2026  incident}:    impacted by  EXN_074_H_Dziguilao ,   RCA: Power issue / En attente RCA IHS</t>
        </is>
      </c>
    </row>
    <row r="268" hidden="1" s="53">
      <c r="D268" t="inlineStr">
        <is>
          <t>EXN_559_URH_SOUEYE</t>
        </is>
      </c>
      <c r="E268">
        <f>IFERROR(MID(D268, SEARCH("CTR_", D268), 7), IFERROR(MID(D268, SEARCH("SUO_", D268), 7), IFERROR(MID(D268, SEARCH("SUD_", D268), 7), IFERROR(MID(D268, SEARCH("NRO_", D268), 7), IFERROR(MID(D268, SEARCH("ADM_", D268), 7), IFERROR(MID(D268, SEARCH("NRD_", D268), 7), IFERROR(MID(D268, SEARCH("EXN_", D268), 7), IFERROR(MID(D268, SEARCH("LIT_", D268), 7), IFERROR(MID(D268, SEARCH("EST_", D268), 7), MID(D268, SEARCH("OST_",D268), 7))))))))))</f>
        <v/>
      </c>
      <c r="F268" t="inlineStr">
        <is>
          <t>{05-25-2026  incident}:    impacted by  EXN_074_H_Dziguilao ,   RCA: Power issue / En attente RCA IHS</t>
        </is>
      </c>
    </row>
    <row r="269" hidden="1" s="53">
      <c r="D269" t="inlineStr">
        <is>
          <t>EXN_558_URH_MAPORE</t>
        </is>
      </c>
      <c r="E269">
        <f>IFERROR(MID(D269, SEARCH("CTR_", D269), 7), IFERROR(MID(D269, SEARCH("SUO_", D269), 7), IFERROR(MID(D269, SEARCH("SUD_", D269), 7), IFERROR(MID(D269, SEARCH("NRO_", D269), 7), IFERROR(MID(D269, SEARCH("ADM_", D269), 7), IFERROR(MID(D269, SEARCH("NRD_", D269), 7), IFERROR(MID(D269, SEARCH("EXN_", D269), 7), IFERROR(MID(D269, SEARCH("LIT_", D269), 7), IFERROR(MID(D269, SEARCH("EST_", D269), 7), MID(D269, SEARCH("OST_",D269), 7))))))))))</f>
        <v/>
      </c>
      <c r="F269" t="inlineStr">
        <is>
          <t>{05-25-2026  incident}:    impacted by  EXN_074_H_Dziguilao ,   RCA: Power issue / En attente RCA IHS</t>
        </is>
      </c>
    </row>
    <row r="270" hidden="1" s="53">
      <c r="D270" t="inlineStr">
        <is>
          <t>EXN_566_URH_DANHOU</t>
        </is>
      </c>
      <c r="E270">
        <f>IFERROR(MID(D270, SEARCH("CTR_", D270), 7), IFERROR(MID(D270, SEARCH("SUO_", D270), 7), IFERROR(MID(D270, SEARCH("SUD_", D270), 7), IFERROR(MID(D270, SEARCH("NRO_", D270), 7), IFERROR(MID(D270, SEARCH("ADM_", D270), 7), IFERROR(MID(D270, SEARCH("NRD_", D270), 7), IFERROR(MID(D270, SEARCH("EXN_", D270), 7), IFERROR(MID(D270, SEARCH("LIT_", D270), 7), IFERROR(MID(D270, SEARCH("EST_", D270), 7), MID(D270, SEARCH("OST_",D270), 7))))))))))</f>
        <v/>
      </c>
      <c r="F270" t="inlineStr">
        <is>
          <t>{05-25-2026  incident}:    impacted by  EXN_074_H_Dziguilao ,   RCA: Power issue / En attente RCA IHS</t>
        </is>
      </c>
    </row>
    <row r="271" hidden="1" s="53">
      <c r="D271" t="inlineStr">
        <is>
          <t>EXN_539_URH_DATCHEKA</t>
        </is>
      </c>
      <c r="E271">
        <f>IFERROR(MID(D271, SEARCH("CTR_", D271), 7), IFERROR(MID(D271, SEARCH("SUO_", D271), 7), IFERROR(MID(D271, SEARCH("SUD_", D271), 7), IFERROR(MID(D271, SEARCH("NRO_", D271), 7), IFERROR(MID(D271, SEARCH("ADM_", D271), 7), IFERROR(MID(D271, SEARCH("NRD_", D271), 7), IFERROR(MID(D271, SEARCH("EXN_", D271), 7), IFERROR(MID(D271, SEARCH("LIT_", D271), 7), IFERROR(MID(D271, SEARCH("EST_", D271), 7), MID(D271, SEARCH("OST_",D271), 7))))))))))</f>
        <v/>
      </c>
      <c r="F271" t="inlineStr">
        <is>
          <t>{05-25-2026  incident}:    impacted by  EXN_074_H_Dziguilao ,   RCA: Power issue / En attente RCA IHS</t>
        </is>
      </c>
    </row>
    <row r="272" hidden="1" s="53">
      <c r="D272" t="inlineStr">
        <is>
          <t>EXN_561_URH_TAALA_2</t>
        </is>
      </c>
      <c r="E272">
        <f>IFERROR(MID(D272, SEARCH("CTR_", D272), 7), IFERROR(MID(D272, SEARCH("SUO_", D272), 7), IFERROR(MID(D272, SEARCH("SUD_", D272), 7), IFERROR(MID(D272, SEARCH("NRO_", D272), 7), IFERROR(MID(D272, SEARCH("ADM_", D272), 7), IFERROR(MID(D272, SEARCH("NRD_", D272), 7), IFERROR(MID(D272, SEARCH("EXN_", D272), 7), IFERROR(MID(D272, SEARCH("LIT_", D272), 7), IFERROR(MID(D272, SEARCH("EST_", D272), 7), MID(D272, SEARCH("OST_",D272), 7))))))))))</f>
        <v/>
      </c>
      <c r="F272" t="inlineStr">
        <is>
          <t>{05-25-2026  incident}:    impacted by  EXN_074_H_Dziguilao ,   RCA: Power issue / En attente RCA IHS</t>
        </is>
      </c>
    </row>
    <row r="273" hidden="1" s="53">
      <c r="D273" t="inlineStr">
        <is>
          <t>EXN_536_URH_YOLDEO</t>
        </is>
      </c>
      <c r="E273">
        <f>IFERROR(MID(D273, SEARCH("CTR_", D273), 7), IFERROR(MID(D273, SEARCH("SUO_", D273), 7), IFERROR(MID(D273, SEARCH("SUD_", D273), 7), IFERROR(MID(D273, SEARCH("NRO_", D273), 7), IFERROR(MID(D273, SEARCH("ADM_", D273), 7), IFERROR(MID(D273, SEARCH("NRD_", D273), 7), IFERROR(MID(D273, SEARCH("EXN_", D273), 7), IFERROR(MID(D273, SEARCH("LIT_", D273), 7), IFERROR(MID(D273, SEARCH("EST_", D273), 7), MID(D273, SEARCH("OST_",D273), 7))))))))))</f>
        <v/>
      </c>
      <c r="F273" t="inlineStr">
        <is>
          <t>{05-25-2026  incident}:    impacted by  EXN_074_H_Dziguilao ,   RCA: Power issue / En attente RCA IHS</t>
        </is>
      </c>
    </row>
    <row r="274" hidden="1" s="53">
      <c r="D274" t="inlineStr">
        <is>
          <t>EXN_513_URH_BOUDFIRE</t>
        </is>
      </c>
      <c r="E274">
        <f>IFERROR(MID(D274, SEARCH("CTR_", D274), 7), IFERROR(MID(D274, SEARCH("SUO_", D274), 7), IFERROR(MID(D274, SEARCH("SUD_", D274), 7), IFERROR(MID(D274, SEARCH("NRO_", D274), 7), IFERROR(MID(D274, SEARCH("ADM_", D274), 7), IFERROR(MID(D274, SEARCH("NRD_", D274), 7), IFERROR(MID(D274, SEARCH("EXN_", D274), 7), IFERROR(MID(D274, SEARCH("LIT_", D274), 7), IFERROR(MID(D274, SEARCH("EST_", D274), 7), MID(D274, SEARCH("OST_",D274), 7))))))))))</f>
        <v/>
      </c>
      <c r="F274" t="inlineStr">
        <is>
          <t>{05-25-2026  incident}:    impacted by  EXN_074_H_Dziguilao ,   RCA: Power issue / En attente RCA IHS</t>
        </is>
      </c>
    </row>
    <row r="275" hidden="1" s="53">
      <c r="D275" t="inlineStr">
        <is>
          <t>EXN_534_URH_DANBA</t>
        </is>
      </c>
      <c r="E275">
        <f>IFERROR(MID(D275, SEARCH("CTR_", D275), 7), IFERROR(MID(D275, SEARCH("SUO_", D275), 7), IFERROR(MID(D275, SEARCH("SUD_", D275), 7), IFERROR(MID(D275, SEARCH("NRO_", D275), 7), IFERROR(MID(D275, SEARCH("ADM_", D275), 7), IFERROR(MID(D275, SEARCH("NRD_", D275), 7), IFERROR(MID(D275, SEARCH("EXN_", D275), 7), IFERROR(MID(D275, SEARCH("LIT_", D275), 7), IFERROR(MID(D275, SEARCH("EST_", D275), 7), MID(D275, SEARCH("OST_",D275), 7))))))))))</f>
        <v/>
      </c>
      <c r="F275" t="inlineStr">
        <is>
          <t>{05-25-2026  incident}:    impacted by  EXN_074_H_Dziguilao ,   RCA: Power issue / En attente RCA IHS</t>
        </is>
      </c>
    </row>
    <row r="276" hidden="1" s="53">
      <c r="B276" t="inlineStr">
        <is>
          <t>SUO_008_N_Mpenda-Mbocko-HIS</t>
        </is>
      </c>
      <c r="C276" t="inlineStr">
        <is>
          <t>2605M64053 // INC-20260525-00013011</t>
        </is>
      </c>
      <c r="D276" t="inlineStr">
        <is>
          <t>SUO_008_N_Mpenda-Mbocko-IHS</t>
        </is>
      </c>
      <c r="E276">
        <f>IFERROR(MID(D276, SEARCH("CTR_", D276), 7), IFERROR(MID(D276, SEARCH("SUO_", D276), 7), IFERROR(MID(D276, SEARCH("SUD_", D276), 7), IFERROR(MID(D276, SEARCH("NRO_", D276), 7), IFERROR(MID(D276, SEARCH("ADM_", D276), 7), IFERROR(MID(D276, SEARCH("NRD_", D276), 7), IFERROR(MID(D276, SEARCH("EXN_", D276), 7), IFERROR(MID(D276, SEARCH("LIT_", D276), 7), IFERROR(MID(D276, SEARCH("EST_", D276), 7), MID(D276, SEARCH("OST_",D276), 7))))))))))</f>
        <v/>
      </c>
      <c r="F276" t="inlineStr">
        <is>
          <t>{05-25-2026   groupe whatsapp   incident}:    impacted by  SUO_008_N_Mpenda-Mbocko-IHS,Cause: Probleme energie    Action: RCA attendu de IHS</t>
        </is>
      </c>
    </row>
    <row r="277" hidden="1" s="53">
      <c r="D277" t="inlineStr">
        <is>
          <t>SUO_246_H_GBHS-Muyuka-IHS</t>
        </is>
      </c>
      <c r="E277">
        <f>IFERROR(MID(D277, SEARCH("CTR_", D277), 7), IFERROR(MID(D277, SEARCH("SUO_", D277), 7), IFERROR(MID(D277, SEARCH("SUD_", D277), 7), IFERROR(MID(D277, SEARCH("NRO_", D277), 7), IFERROR(MID(D277, SEARCH("ADM_", D277), 7), IFERROR(MID(D277, SEARCH("NRD_", D277), 7), IFERROR(MID(D277, SEARCH("EXN_", D277), 7), IFERROR(MID(D277, SEARCH("LIT_", D277), 7), IFERROR(MID(D277, SEARCH("EST_", D277), 7), MID(D277, SEARCH("OST_",D277), 7))))))))))</f>
        <v/>
      </c>
      <c r="F277" t="inlineStr">
        <is>
          <t>{05-25-2026   groupe whatsapp   incident}:    impacted by  SUO_008_N_Mpenda-Mbocko-IHS,Cause: Probleme energie    Action: RCA attendu de IHS</t>
        </is>
      </c>
    </row>
    <row r="278" hidden="1" s="53">
      <c r="D278" t="inlineStr">
        <is>
          <t>SUO_266_H_Ekata-IHS</t>
        </is>
      </c>
      <c r="E278">
        <f>IFERROR(MID(D278, SEARCH("CTR_", D278), 7), IFERROR(MID(D278, SEARCH("SUO_", D278), 7), IFERROR(MID(D278, SEARCH("SUD_", D278), 7), IFERROR(MID(D278, SEARCH("NRO_", D278), 7), IFERROR(MID(D278, SEARCH("ADM_", D278), 7), IFERROR(MID(D278, SEARCH("NRD_", D278), 7), IFERROR(MID(D278, SEARCH("EXN_", D278), 7), IFERROR(MID(D278, SEARCH("LIT_", D278), 7), IFERROR(MID(D278, SEARCH("EST_", D278), 7), MID(D278, SEARCH("OST_",D278), 7))))))))))</f>
        <v/>
      </c>
      <c r="F278" t="inlineStr">
        <is>
          <t>{05-25-2026   groupe whatsapp   incident}:    impacted by  SUO_008_N_Mpenda-Mbocko-IHS,Cause: Probleme energie    Action: RCA attendu de IHS</t>
        </is>
      </c>
    </row>
    <row r="279" hidden="1" s="53">
      <c r="D279" t="inlineStr">
        <is>
          <t>SUO_070_H_Yoke</t>
        </is>
      </c>
      <c r="E279">
        <f>IFERROR(MID(D279, SEARCH("CTR_", D279), 7), IFERROR(MID(D279, SEARCH("SUO_", D279), 7), IFERROR(MID(D279, SEARCH("SUD_", D279), 7), IFERROR(MID(D279, SEARCH("NRO_", D279), 7), IFERROR(MID(D279, SEARCH("ADM_", D279), 7), IFERROR(MID(D279, SEARCH("NRD_", D279), 7), IFERROR(MID(D279, SEARCH("EXN_", D279), 7), IFERROR(MID(D279, SEARCH("LIT_", D279), 7), IFERROR(MID(D279, SEARCH("EST_", D279), 7), MID(D279, SEARCH("OST_",D279), 7))))))))))</f>
        <v/>
      </c>
      <c r="F279" t="inlineStr">
        <is>
          <t>{05-25-2026   groupe whatsapp   incident}:    impacted by  SUO_008_N_Mpenda-Mbocko-IHS,Cause: Probleme energie    Action: RCA attendu de IHS</t>
        </is>
      </c>
    </row>
    <row r="280" hidden="1" s="53">
      <c r="D280" t="inlineStr">
        <is>
          <t>SUO_256_H_Muyuka-Yoke</t>
        </is>
      </c>
      <c r="E280">
        <f>IFERROR(MID(D280, SEARCH("CTR_", D280), 7), IFERROR(MID(D280, SEARCH("SUO_", D280), 7), IFERROR(MID(D280, SEARCH("SUD_", D280), 7), IFERROR(MID(D280, SEARCH("NRO_", D280), 7), IFERROR(MID(D280, SEARCH("ADM_", D280), 7), IFERROR(MID(D280, SEARCH("NRD_", D280), 7), IFERROR(MID(D280, SEARCH("EXN_", D280), 7), IFERROR(MID(D280, SEARCH("LIT_", D280), 7), IFERROR(MID(D280, SEARCH("EST_", D280), 7), MID(D280, SEARCH("OST_",D280), 7))))))))))</f>
        <v/>
      </c>
      <c r="F280" t="inlineStr">
        <is>
          <t>{05-25-2026   groupe whatsapp   incident}:    impacted by  SUO_008_N_Mpenda-Mbocko-IHS,Cause: Probleme energie    Action: RCA attendu de IHS</t>
        </is>
      </c>
    </row>
    <row r="281" hidden="1" s="53">
      <c r="D281" t="inlineStr">
        <is>
          <t>SUO_012_H_Muyuka</t>
        </is>
      </c>
      <c r="E281">
        <f>IFERROR(MID(D281, SEARCH("CTR_", D281), 7), IFERROR(MID(D281, SEARCH("SUO_", D281), 7), IFERROR(MID(D281, SEARCH("SUD_", D281), 7), IFERROR(MID(D281, SEARCH("NRO_", D281), 7), IFERROR(MID(D281, SEARCH("ADM_", D281), 7), IFERROR(MID(D281, SEARCH("NRD_", D281), 7), IFERROR(MID(D281, SEARCH("EXN_", D281), 7), IFERROR(MID(D281, SEARCH("LIT_", D281), 7), IFERROR(MID(D281, SEARCH("EST_", D281), 7), MID(D281, SEARCH("OST_",D281), 7))))))))))</f>
        <v/>
      </c>
      <c r="F281" t="inlineStr">
        <is>
          <t>{05-25-2026   groupe whatsapp   incident}:    impacted by  SUO_008_N_Mpenda-Mbocko-IHS,Cause: Probleme energie    Action: RCA attendu de IHS</t>
        </is>
      </c>
    </row>
    <row r="282" hidden="1" s="53">
      <c r="D282" t="inlineStr">
        <is>
          <t>SUO_255_H_Muyuka-Beach-Bush-IHS</t>
        </is>
      </c>
      <c r="E282">
        <f>IFERROR(MID(D282, SEARCH("CTR_", D282), 7), IFERROR(MID(D282, SEARCH("SUO_", D282), 7), IFERROR(MID(D282, SEARCH("SUD_", D282), 7), IFERROR(MID(D282, SEARCH("NRO_", D282), 7), IFERROR(MID(D282, SEARCH("ADM_", D282), 7), IFERROR(MID(D282, SEARCH("NRD_", D282), 7), IFERROR(MID(D282, SEARCH("EXN_", D282), 7), IFERROR(MID(D282, SEARCH("LIT_", D282), 7), IFERROR(MID(D282, SEARCH("EST_", D282), 7), MID(D282, SEARCH("OST_",D282), 7))))))))))</f>
        <v/>
      </c>
      <c r="F282" t="inlineStr">
        <is>
          <t>{05-25-2026   groupe whatsapp   incident}:    impacted by  SUO_008_N_Mpenda-Mbocko-IHS,Cause: Probleme energie    Action: RCA attendu de IHS</t>
        </is>
      </c>
    </row>
    <row r="283" hidden="1" s="53">
      <c r="B283" t="inlineStr">
        <is>
          <t>NRD_020_H_Beka</t>
        </is>
      </c>
      <c r="C283" t="inlineStr">
        <is>
          <t>2605M55628 // INC-20260525-00007968</t>
        </is>
      </c>
      <c r="D283" t="inlineStr">
        <is>
          <t>NRD_020_H_Beka</t>
        </is>
      </c>
      <c r="E283">
        <f>IFERROR(MID(D283, SEARCH("CTR_", D283), 7), IFERROR(MID(D283, SEARCH("SUO_", D283), 7), IFERROR(MID(D283, SEARCH("SUD_", D283), 7), IFERROR(MID(D283, SEARCH("NRO_", D283), 7), IFERROR(MID(D283, SEARCH("ADM_", D283), 7), IFERROR(MID(D283, SEARCH("NRD_", D283), 7), IFERROR(MID(D283, SEARCH("EXN_", D283), 7), IFERROR(MID(D283, SEARCH("LIT_", D283), 7), IFERROR(MID(D283, SEARCH("EST_", D283), 7), MID(D283, SEARCH("OST_",D283), 7))))))))))</f>
        <v/>
      </c>
      <c r="F283" t="inlineStr">
        <is>
          <t>{05-25-2026  incident}:    impacted by  NRD_020_H_Beka,   RCA: Power issue / En attente RCA IHS</t>
        </is>
      </c>
    </row>
    <row r="284" hidden="1" s="53">
      <c r="D284" t="inlineStr">
        <is>
          <t>NRD_318_URH_KOULAWA</t>
        </is>
      </c>
      <c r="E284">
        <f>IFERROR(MID(D284, SEARCH("CTR_", D284), 7), IFERROR(MID(D284, SEARCH("SUO_", D284), 7), IFERROR(MID(D284, SEARCH("SUD_", D284), 7), IFERROR(MID(D284, SEARCH("NRO_", D284), 7), IFERROR(MID(D284, SEARCH("ADM_", D284), 7), IFERROR(MID(D284, SEARCH("NRD_", D284), 7), IFERROR(MID(D284, SEARCH("EXN_", D284), 7), IFERROR(MID(D284, SEARCH("LIT_", D284), 7), IFERROR(MID(D284, SEARCH("EST_", D284), 7), MID(D284, SEARCH("OST_",D284), 7))))))))))</f>
        <v/>
      </c>
      <c r="F284" t="inlineStr">
        <is>
          <t>{05-25-2026  incident}:    impacted by  NRD_020_H_Beka,   RCA: Power issue / En attente RCA IHS</t>
        </is>
      </c>
    </row>
    <row r="285" hidden="1" s="53">
      <c r="D285" t="inlineStr">
        <is>
          <t>NRD_317_URH_MBAGA</t>
        </is>
      </c>
      <c r="E285">
        <f>IFERROR(MID(D285, SEARCH("CTR_", D285), 7), IFERROR(MID(D285, SEARCH("SUO_", D285), 7), IFERROR(MID(D285, SEARCH("SUD_", D285), 7), IFERROR(MID(D285, SEARCH("NRO_", D285), 7), IFERROR(MID(D285, SEARCH("ADM_", D285), 7), IFERROR(MID(D285, SEARCH("NRD_", D285), 7), IFERROR(MID(D285, SEARCH("EXN_", D285), 7), IFERROR(MID(D285, SEARCH("LIT_", D285), 7), IFERROR(MID(D285, SEARCH("EST_", D285), 7), MID(D285, SEARCH("OST_",D285), 7))))))))))</f>
        <v/>
      </c>
      <c r="F285" t="inlineStr">
        <is>
          <t>{05-25-2026  incident}:    impacted by  NRD_020_H_Beka,   RCA: Power issue / En attente RCA IHS</t>
        </is>
      </c>
    </row>
    <row r="286" hidden="1" s="53">
      <c r="D286" t="inlineStr">
        <is>
          <t>NRD_244_URH_KOSSELNIALBI</t>
        </is>
      </c>
      <c r="E286">
        <f>IFERROR(MID(D286, SEARCH("CTR_", D286), 7), IFERROR(MID(D286, SEARCH("SUO_", D286), 7), IFERROR(MID(D286, SEARCH("SUD_", D286), 7), IFERROR(MID(D286, SEARCH("NRO_", D286), 7), IFERROR(MID(D286, SEARCH("ADM_", D286), 7), IFERROR(MID(D286, SEARCH("NRD_", D286), 7), IFERROR(MID(D286, SEARCH("EXN_", D286), 7), IFERROR(MID(D286, SEARCH("LIT_", D286), 7), IFERROR(MID(D286, SEARCH("EST_", D286), 7), MID(D286, SEARCH("OST_",D286), 7))))))))))</f>
        <v/>
      </c>
      <c r="F286" t="inlineStr">
        <is>
          <t>{05-25-2026  incident}:    impacted by  NRD_020_H_Beka,   RCA: Power issue / En attente RCA IHS</t>
        </is>
      </c>
    </row>
    <row r="287" hidden="1" s="53">
      <c r="D287" t="inlineStr">
        <is>
          <t>NRD_209_URH_LOUGOUNDE-WELLARE</t>
        </is>
      </c>
      <c r="E287">
        <f>IFERROR(MID(D287, SEARCH("CTR_", D287), 7), IFERROR(MID(D287, SEARCH("SUO_", D287), 7), IFERROR(MID(D287, SEARCH("SUD_", D287), 7), IFERROR(MID(D287, SEARCH("NRO_", D287), 7), IFERROR(MID(D287, SEARCH("ADM_", D287), 7), IFERROR(MID(D287, SEARCH("NRD_", D287), 7), IFERROR(MID(D287, SEARCH("EXN_", D287), 7), IFERROR(MID(D287, SEARCH("LIT_", D287), 7), IFERROR(MID(D287, SEARCH("EST_", D287), 7), MID(D287, SEARCH("OST_",D287), 7))))))))))</f>
        <v/>
      </c>
      <c r="F287" t="inlineStr">
        <is>
          <t>{05-25-2026  incident}:    impacted by  NRD_020_H_Beka,   RCA: Power issue / En attente RCA IHS</t>
        </is>
      </c>
    </row>
    <row r="288" hidden="1" s="53">
      <c r="D288" t="inlineStr">
        <is>
          <t>NRD_221_URH_LOUGOUNDE-WELLARE3</t>
        </is>
      </c>
      <c r="E288">
        <f>IFERROR(MID(D288, SEARCH("CTR_", D288), 7), IFERROR(MID(D288, SEARCH("SUO_", D288), 7), IFERROR(MID(D288, SEARCH("SUD_", D288), 7), IFERROR(MID(D288, SEARCH("NRO_", D288), 7), IFERROR(MID(D288, SEARCH("ADM_", D288), 7), IFERROR(MID(D288, SEARCH("NRD_", D288), 7), IFERROR(MID(D288, SEARCH("EXN_", D288), 7), IFERROR(MID(D288, SEARCH("LIT_", D288), 7), IFERROR(MID(D288, SEARCH("EST_", D288), 7), MID(D288, SEARCH("OST_",D288), 7))))))))))</f>
        <v/>
      </c>
      <c r="F288" t="inlineStr">
        <is>
          <t>{05-25-2026  incident}:    impacted by  NRD_020_H_Beka,   RCA: Power issue / En attente RCA IHS</t>
        </is>
      </c>
    </row>
    <row r="289" hidden="1" s="53">
      <c r="D289" t="inlineStr">
        <is>
          <t>NRD_324_URH_TOUROUA</t>
        </is>
      </c>
      <c r="E289">
        <f>IFERROR(MID(D289, SEARCH("CTR_", D289), 7), IFERROR(MID(D289, SEARCH("SUO_", D289), 7), IFERROR(MID(D289, SEARCH("SUD_", D289), 7), IFERROR(MID(D289, SEARCH("NRO_", D289), 7), IFERROR(MID(D289, SEARCH("ADM_", D289), 7), IFERROR(MID(D289, SEARCH("NRD_", D289), 7), IFERROR(MID(D289, SEARCH("EXN_", D289), 7), IFERROR(MID(D289, SEARCH("LIT_", D289), 7), IFERROR(MID(D289, SEARCH("EST_", D289), 7), MID(D289, SEARCH("OST_",D289), 7))))))))))</f>
        <v/>
      </c>
      <c r="F289" t="inlineStr">
        <is>
          <t>{05-25-2026  incident}:    impacted by  NRD_020_H_Beka,   RCA: Power issue / En attente RCA IHS</t>
        </is>
      </c>
    </row>
    <row r="290" hidden="1" s="53">
      <c r="B290" t="inlineStr">
        <is>
          <t>Mintom-MTN_G SUO_246</t>
        </is>
      </c>
      <c r="C290" t="inlineStr">
        <is>
          <t>INC-20260S2S-OOOOS908</t>
        </is>
      </c>
      <c r="D290" t="inlineStr">
        <is>
          <t>SUD_163_N_Melen-Mintom</t>
        </is>
      </c>
      <c r="E290">
        <f>IFERROR(MID(D290, SEARCH("CTR_", D290), 7), IFERROR(MID(D290, SEARCH("SUO_", D290), 7), IFERROR(MID(D290, SEARCH("SUD_", D290), 7), IFERROR(MID(D290, SEARCH("NRO_", D290), 7), IFERROR(MID(D290, SEARCH("ADM_", D290), 7), IFERROR(MID(D290, SEARCH("NRD_", D290), 7), IFERROR(MID(D290, SEARCH("EXN_", D290), 7), IFERROR(MID(D290, SEARCH("LIT_", D290), 7), IFERROR(MID(D290, SEARCH("EST_", D290), 7), MID(D290, SEARCH("OST_",D290), 7))))))))))</f>
        <v/>
      </c>
      <c r="F290" t="inlineStr">
        <is>
          <t>{05-25-2026   groupe whatsapp   incident}:    impacted by  Mintom-MTN_G SUO_246  , Cause:  ODU en perte de rendement, Sans action</t>
        </is>
      </c>
    </row>
    <row r="291" hidden="1" s="53">
      <c r="D291" t="inlineStr">
        <is>
          <t>SUD_222_N_Mbalam</t>
        </is>
      </c>
      <c r="F291" t="inlineStr">
        <is>
          <t>{05-25-2026   groupe whatsapp   incident}:    impacted by  Mintom-MTN_G SUO_246  , Cause:  ODU en perte de rendement, Sans action</t>
        </is>
      </c>
    </row>
    <row r="292" hidden="1" s="53">
      <c r="D292" t="inlineStr">
        <is>
          <t>SUD_205_N_LELE-IHS</t>
        </is>
      </c>
      <c r="F292" t="inlineStr">
        <is>
          <t>{05-25-2026   groupe whatsapp   incident}:    impacted by  Mintom-MTN_G SUO_246  , Cause:  ODU en perte de rendement, Sans action</t>
        </is>
      </c>
    </row>
    <row r="293" hidden="1" s="53">
      <c r="D293" t="inlineStr">
        <is>
          <t>SUD_120_N_Ntam</t>
        </is>
      </c>
      <c r="F293" t="inlineStr">
        <is>
          <t>{05-25-2026   groupe whatsapp   incident}:    impacted by  Mintom-MTN_G SUO_246  , Cause:  ODU en perte de rendement, Sans action</t>
        </is>
      </c>
    </row>
    <row r="294" hidden="1" s="53">
      <c r="D294" t="inlineStr">
        <is>
          <t>SUD_159_N_Lele</t>
        </is>
      </c>
      <c r="F294" t="inlineStr">
        <is>
          <t>{05-25-2026   groupe whatsapp   incident}:    impacted by  Mintom-MTN_G SUO_246  , Cause:  ODU en perte de rendement, Sans action</t>
        </is>
      </c>
    </row>
    <row r="295" hidden="1" s="53">
      <c r="D295" t="inlineStr">
        <is>
          <t>SUD_113_Z_Mokom-IHS(SUD-113)</t>
        </is>
      </c>
      <c r="F295" t="inlineStr">
        <is>
          <t>{05-25-2026   groupe whatsapp   incident}:    impacted by  Mintom-MTN_G SUO_246  , Cause:  ODU en perte de rendement, Sans action</t>
        </is>
      </c>
    </row>
    <row r="296" hidden="1" s="53">
      <c r="D296" t="inlineStr">
        <is>
          <t>SUD_112_Z_Akom-Centre-Hill-IHS(SUD-112)</t>
        </is>
      </c>
      <c r="F296" t="inlineStr">
        <is>
          <t>{05-25-2026   groupe whatsapp   incident}:    impacted by  Mintom-MTN_G SUO_246  , Cause:  ODU en perte de rendement, Sans action</t>
        </is>
      </c>
    </row>
    <row r="297" hidden="1" s="53">
      <c r="D297" t="inlineStr">
        <is>
          <t>SUD_211_Z_Nkolmeyos-IHS(SUD-211)</t>
        </is>
      </c>
      <c r="F297" t="inlineStr">
        <is>
          <t>{05-25-2026   groupe whatsapp   incident}:    impacted by  Mintom-MTN_G SUO_246  , Cause:  ODU en perte de rendement, Sans action</t>
        </is>
      </c>
    </row>
    <row r="298" hidden="1" s="53">
      <c r="D298" t="inlineStr">
        <is>
          <t>SUD_246_Z_Mintom-MTN(SUD-246)</t>
        </is>
      </c>
      <c r="F298" t="inlineStr">
        <is>
          <t>{05-25-2026   groupe whatsapp   incident}:    impacted by  Mintom-MTN_G SUO_246  , Cause:  ODU en perte de rendement, Sans action</t>
        </is>
      </c>
    </row>
    <row r="299" hidden="1" s="53">
      <c r="B299" t="inlineStr">
        <is>
          <t>EXN_130_H_Gazawa-MTN-HIS</t>
        </is>
      </c>
      <c r="C299" t="inlineStr">
        <is>
          <t>2605M53793 // INC-20260525-00006833</t>
        </is>
      </c>
      <c r="D299" t="inlineStr">
        <is>
          <t>EXN_154_H_Zidim-IHS</t>
        </is>
      </c>
      <c r="E299">
        <f>IFERROR(MID(D299, SEARCH("CTR_", D299), 7), IFERROR(MID(D299, SEARCH("SUO_", D299), 7), IFERROR(MID(D299, SEARCH("SUD_", D299), 7), IFERROR(MID(D299, SEARCH("NRO_", D299), 7), IFERROR(MID(D299, SEARCH("ADM_", D299), 7), IFERROR(MID(D299, SEARCH("NRD_", D299), 7), IFERROR(MID(D299, SEARCH("EXN_", D299), 7), IFERROR(MID(D299, SEARCH("LIT_", D299), 7), IFERROR(MID(D299, SEARCH("EST_", D299), 7), MID(D299, SEARCH("OST_",D299), 7))))))))))</f>
        <v/>
      </c>
      <c r="F299" t="inlineStr">
        <is>
          <t>{05-25-2026 groupe whatsapp  incident}:    impacted by  EXN_130_H_Gazawa-MTN-IHS   RCA: Power issue / En attente RCA IHS</t>
        </is>
      </c>
    </row>
    <row r="300" hidden="1" s="53">
      <c r="D300" t="inlineStr">
        <is>
          <t>EXN_130_H_Gazawa-MTN-IHS</t>
        </is>
      </c>
      <c r="E300">
        <f>IFERROR(MID(D300, SEARCH("CTR_", D300), 7), IFERROR(MID(D300, SEARCH("SUO_", D300), 7), IFERROR(MID(D300, SEARCH("SUD_", D300), 7), IFERROR(MID(D300, SEARCH("NRO_", D300), 7), IFERROR(MID(D300, SEARCH("ADM_", D300), 7), IFERROR(MID(D300, SEARCH("NRD_", D300), 7), IFERROR(MID(D300, SEARCH("EXN_", D300), 7), IFERROR(MID(D300, SEARCH("LIT_", D300), 7), IFERROR(MID(D300, SEARCH("EST_", D300), 7), MID(D300, SEARCH("OST_",D300), 7))))))))))</f>
        <v/>
      </c>
      <c r="F300" t="inlineStr">
        <is>
          <t>{05-25-2026 groupe whatsapp  incident}:    impacted by  EXN_130_H_Gazawa-MTN-IHS   RCA: Power issue / En attente RCA IHS</t>
        </is>
      </c>
    </row>
    <row r="301" hidden="1" s="53">
      <c r="D301" t="inlineStr">
        <is>
          <t>EXN_470_URH_MOGORDOM</t>
        </is>
      </c>
      <c r="E301">
        <f>IFERROR(MID(D301, SEARCH("CTR_", D301), 7), IFERROR(MID(D301, SEARCH("SUO_", D301), 7), IFERROR(MID(D301, SEARCH("SUD_", D301), 7), IFERROR(MID(D301, SEARCH("NRO_", D301), 7), IFERROR(MID(D301, SEARCH("ADM_", D301), 7), IFERROR(MID(D301, SEARCH("NRD_", D301), 7), IFERROR(MID(D301, SEARCH("EXN_", D301), 7), IFERROR(MID(D301, SEARCH("LIT_", D301), 7), IFERROR(MID(D301, SEARCH("EST_", D301), 7), MID(D301, SEARCH("OST_",D301), 7))))))))))</f>
        <v/>
      </c>
      <c r="F301" t="inlineStr">
        <is>
          <t>{05-25-2026 groupe whatsapp  incident}:    impacted by  EXN_130_H_Gazawa-MTN-IHS   RCA: Power issue / En attente RCA IHS</t>
        </is>
      </c>
    </row>
    <row r="302" hidden="1" s="53">
      <c r="D302" t="inlineStr">
        <is>
          <t>EXN_477_URH_DOBOU</t>
        </is>
      </c>
      <c r="E302">
        <f>IFERROR(MID(D302, SEARCH("CTR_", D302), 7), IFERROR(MID(D302, SEARCH("SUO_", D302), 7), IFERROR(MID(D302, SEARCH("SUD_", D302), 7), IFERROR(MID(D302, SEARCH("NRO_", D302), 7), IFERROR(MID(D302, SEARCH("ADM_", D302), 7), IFERROR(MID(D302, SEARCH("NRD_", D302), 7), IFERROR(MID(D302, SEARCH("EXN_", D302), 7), IFERROR(MID(D302, SEARCH("LIT_", D302), 7), IFERROR(MID(D302, SEARCH("EST_", D302), 7), MID(D302, SEARCH("OST_",D302), 7))))))))))</f>
        <v/>
      </c>
      <c r="F302" t="inlineStr">
        <is>
          <t>{05-25-2026 groupe whatsapp  incident}:    impacted by  EXN_130_H_Gazawa-MTN-IHS   RCA: Power issue / En attente RCA IHS</t>
        </is>
      </c>
    </row>
    <row r="303" hidden="1" s="53">
      <c r="D303" t="inlineStr">
        <is>
          <t>EXN_572_URH_POURTAMAI</t>
        </is>
      </c>
      <c r="E303">
        <f>IFERROR(MID(D303, SEARCH("CTR_", D303), 7), IFERROR(MID(D303, SEARCH("SUO_", D303), 7), IFERROR(MID(D303, SEARCH("SUD_", D303), 7), IFERROR(MID(D303, SEARCH("NRO_", D303), 7), IFERROR(MID(D303, SEARCH("ADM_", D303), 7), IFERROR(MID(D303, SEARCH("NRD_", D303), 7), IFERROR(MID(D303, SEARCH("EXN_", D303), 7), IFERROR(MID(D303, SEARCH("LIT_", D303), 7), IFERROR(MID(D303, SEARCH("EST_", D303), 7), MID(D303, SEARCH("OST_",D303), 7))))))))))</f>
        <v/>
      </c>
      <c r="F303" t="inlineStr">
        <is>
          <t>{05-25-2026 groupe whatsapp  incident}:    impacted by  EXN_130_H_Gazawa-MTN-IHS   RCA: Power issue / En attente RCA IHS</t>
        </is>
      </c>
    </row>
    <row r="304" hidden="1" s="53">
      <c r="D304" t="inlineStr">
        <is>
          <t>EXN_571_URH_URH_Hopital_MOWO</t>
        </is>
      </c>
      <c r="E304">
        <f>IFERROR(MID(D304, SEARCH("CTR_", D304), 7), IFERROR(MID(D304, SEARCH("SUO_", D304), 7), IFERROR(MID(D304, SEARCH("SUD_", D304), 7), IFERROR(MID(D304, SEARCH("NRO_", D304), 7), IFERROR(MID(D304, SEARCH("ADM_", D304), 7), IFERROR(MID(D304, SEARCH("NRD_", D304), 7), IFERROR(MID(D304, SEARCH("EXN_", D304), 7), IFERROR(MID(D304, SEARCH("LIT_", D304), 7), IFERROR(MID(D304, SEARCH("EST_", D304), 7), MID(D304, SEARCH("OST_",D304), 7))))))))))</f>
        <v/>
      </c>
      <c r="F304" t="inlineStr">
        <is>
          <t>{05-25-2026 groupe whatsapp  incident}:    impacted by  EXN_130_H_Gazawa-MTN-IHS   RCA: Power issue / En attente RCA IHS</t>
        </is>
      </c>
    </row>
    <row r="305" hidden="1" s="53">
      <c r="D305" t="inlineStr">
        <is>
          <t>EXN_906_URH_MOKONG</t>
        </is>
      </c>
      <c r="E305">
        <f>IFERROR(MID(D305, SEARCH("CTR_", D305), 7), IFERROR(MID(D305, SEARCH("SUO_", D305), 7), IFERROR(MID(D305, SEARCH("SUD_", D305), 7), IFERROR(MID(D305, SEARCH("NRO_", D305), 7), IFERROR(MID(D305, SEARCH("ADM_", D305), 7), IFERROR(MID(D305, SEARCH("NRD_", D305), 7), IFERROR(MID(D305, SEARCH("EXN_", D305), 7), IFERROR(MID(D305, SEARCH("LIT_", D305), 7), IFERROR(MID(D305, SEARCH("EST_", D305), 7), MID(D305, SEARCH("OST_",D305), 7))))))))))</f>
        <v/>
      </c>
      <c r="F305" t="inlineStr">
        <is>
          <t>{05-25-2026 groupe whatsapp  incident}:    impacted by  EXN_130_H_Gazawa-MTN-IHS   RCA: Power issue / En attente RCA IHS</t>
        </is>
      </c>
    </row>
    <row r="306" hidden="1" s="53">
      <c r="B306" t="inlineStr">
        <is>
          <t>NRO_017_H_Bali</t>
        </is>
      </c>
      <c r="C306" t="inlineStr">
        <is>
          <t>2605M53797 // INC-20260525-00006836</t>
        </is>
      </c>
      <c r="D306" t="inlineStr">
        <is>
          <t>NRO_261_N_Number49-MTN</t>
        </is>
      </c>
      <c r="E306">
        <f>IFERROR(MID(D306, SEARCH("CTR_", D306), 7), IFERROR(MID(D306, SEARCH("SUO_", D306), 7), IFERROR(MID(D306, SEARCH("SUD_", D306), 7), IFERROR(MID(D306, SEARCH("NRO_", D306), 7), IFERROR(MID(D306, SEARCH("ADM_", D306), 7), IFERROR(MID(D306, SEARCH("NRD_", D306), 7), IFERROR(MID(D306, SEARCH("EXN_", D306), 7), IFERROR(MID(D306, SEARCH("LIT_", D306), 7), IFERROR(MID(D306, SEARCH("EST_", D306), 7), MID(D306, SEARCH("OST_",D306), 7))))))))))</f>
        <v/>
      </c>
      <c r="F306" t="inlineStr">
        <is>
          <t>{05-25-2026 groupe whatsapp incident}:    impacted by  NRO_017_H_Bali cause: Plantage du MPR a BALI   ,Action: Reset du MPR</t>
        </is>
      </c>
    </row>
    <row r="307" hidden="1" s="53">
      <c r="D307" t="inlineStr">
        <is>
          <t>NRO_218_N_Andek</t>
        </is>
      </c>
      <c r="E307">
        <f>IFERROR(MID(D307, SEARCH("CTR_", D307), 7), IFERROR(MID(D307, SEARCH("SUO_", D307), 7), IFERROR(MID(D307, SEARCH("SUD_", D307), 7), IFERROR(MID(D307, SEARCH("NRO_", D307), 7), IFERROR(MID(D307, SEARCH("ADM_", D307), 7), IFERROR(MID(D307, SEARCH("NRD_", D307), 7), IFERROR(MID(D307, SEARCH("EXN_", D307), 7), IFERROR(MID(D307, SEARCH("LIT_", D307), 7), IFERROR(MID(D307, SEARCH("EST_", D307), 7), MID(D307, SEARCH("OST_",D307), 7))))))))))</f>
        <v/>
      </c>
      <c r="F307" t="inlineStr">
        <is>
          <t>{05-25-2026 groupe whatsapp incident}:    impacted by  NRO_017_H_Bali cause: Plantage du MPR a BALI   ,Action: Reset du MPR</t>
        </is>
      </c>
    </row>
    <row r="308" hidden="1" s="53">
      <c r="D308" t="inlineStr">
        <is>
          <t>NRO_219_N_Widikum</t>
        </is>
      </c>
      <c r="E308">
        <f>IFERROR(MID(D308, SEARCH("CTR_", D308), 7), IFERROR(MID(D308, SEARCH("SUO_", D308), 7), IFERROR(MID(D308, SEARCH("SUD_", D308), 7), IFERROR(MID(D308, SEARCH("NRO_", D308), 7), IFERROR(MID(D308, SEARCH("ADM_", D308), 7), IFERROR(MID(D308, SEARCH("NRD_", D308), 7), IFERROR(MID(D308, SEARCH("EXN_", D308), 7), IFERROR(MID(D308, SEARCH("LIT_", D308), 7), IFERROR(MID(D308, SEARCH("EST_", D308), 7), MID(D308, SEARCH("OST_",D308), 7))))))))))</f>
        <v/>
      </c>
      <c r="F308" t="inlineStr">
        <is>
          <t>{05-25-2026 groupe whatsapp incident}:    impacted by  NRO_017_H_Bali cause: Plantage du MPR a BALI   ,Action: Reset du MPR</t>
        </is>
      </c>
    </row>
    <row r="309" hidden="1" s="53">
      <c r="D309" t="inlineStr">
        <is>
          <t>NRO_247_N_Pinyin-New</t>
        </is>
      </c>
      <c r="E309">
        <f>IFERROR(MID(D309, SEARCH("CTR_", D309), 7), IFERROR(MID(D309, SEARCH("SUO_", D309), 7), IFERROR(MID(D309, SEARCH("SUD_", D309), 7), IFERROR(MID(D309, SEARCH("NRO_", D309), 7), IFERROR(MID(D309, SEARCH("ADM_", D309), 7), IFERROR(MID(D309, SEARCH("NRD_", D309), 7), IFERROR(MID(D309, SEARCH("EXN_", D309), 7), IFERROR(MID(D309, SEARCH("LIT_", D309), 7), IFERROR(MID(D309, SEARCH("EST_", D309), 7), MID(D309, SEARCH("OST_",D309), 7))))))))))</f>
        <v/>
      </c>
      <c r="F309" t="inlineStr">
        <is>
          <t>{05-25-2026 groupe whatsapp incident}:    impacted by  NRO_017_H_Bali cause: Plantage du MPR a BALI   ,Action: Reset du MPR</t>
        </is>
      </c>
    </row>
    <row r="310" hidden="1" s="53">
      <c r="D310" t="inlineStr">
        <is>
          <t>NRO_010_N_Batibo</t>
        </is>
      </c>
      <c r="E310">
        <f>IFERROR(MID(D310, SEARCH("CTR_", D310), 7), IFERROR(MID(D310, SEARCH("SUO_", D310), 7), IFERROR(MID(D310, SEARCH("SUD_", D310), 7), IFERROR(MID(D310, SEARCH("NRO_", D310), 7), IFERROR(MID(D310, SEARCH("ADM_", D310), 7), IFERROR(MID(D310, SEARCH("NRD_", D310), 7), IFERROR(MID(D310, SEARCH("EXN_", D310), 7), IFERROR(MID(D310, SEARCH("LIT_", D310), 7), IFERROR(MID(D310, SEARCH("EST_", D310), 7), MID(D310, SEARCH("OST_",D310), 7))))))))))</f>
        <v/>
      </c>
      <c r="F310" t="inlineStr">
        <is>
          <t>{05-25-2026 groupe whatsapp incident}:    impacted by  NRO_017_H_Bali cause: Plantage du MPR a BALI   ,Action: Reset du MPR</t>
        </is>
      </c>
    </row>
    <row r="311" hidden="1" s="53">
      <c r="D311" t="inlineStr">
        <is>
          <t>NRO_151_H_Bali-Njenka-IHS</t>
        </is>
      </c>
      <c r="E311">
        <f>IFERROR(MID(D311, SEARCH("CTR_", D311), 7), IFERROR(MID(D311, SEARCH("SUO_", D311), 7), IFERROR(MID(D311, SEARCH("SUD_", D311), 7), IFERROR(MID(D311, SEARCH("NRO_", D311), 7), IFERROR(MID(D311, SEARCH("ADM_", D311), 7), IFERROR(MID(D311, SEARCH("NRD_", D311), 7), IFERROR(MID(D311, SEARCH("EXN_", D311), 7), IFERROR(MID(D311, SEARCH("LIT_", D311), 7), IFERROR(MID(D311, SEARCH("EST_", D311), 7), MID(D311, SEARCH("OST_",D311), 7))))))))))</f>
        <v/>
      </c>
      <c r="F311" t="inlineStr">
        <is>
          <t>{05-25-2026 groupe whatsapp incident}:    impacted by  NRO_017_H_Bali cause: Plantage du MPR a BALI   ,Action: Reset du MPR</t>
        </is>
      </c>
    </row>
    <row r="312" hidden="1" s="53">
      <c r="D312" t="inlineStr">
        <is>
          <t>NRO_017_H_Bali</t>
        </is>
      </c>
      <c r="E312">
        <f>IFERROR(MID(D312, SEARCH("CTR_", D312), 7), IFERROR(MID(D312, SEARCH("SUO_", D312), 7), IFERROR(MID(D312, SEARCH("SUD_", D312), 7), IFERROR(MID(D312, SEARCH("NRO_", D312), 7), IFERROR(MID(D312, SEARCH("ADM_", D312), 7), IFERROR(MID(D312, SEARCH("NRD_", D312), 7), IFERROR(MID(D312, SEARCH("EXN_", D312), 7), IFERROR(MID(D312, SEARCH("LIT_", D312), 7), IFERROR(MID(D312, SEARCH("EST_", D312), 7), MID(D312, SEARCH("OST_",D312), 7))))))))))</f>
        <v/>
      </c>
      <c r="F312" t="inlineStr">
        <is>
          <t>{05-25-2026 groupe whatsapp incident}:    impacted by  NRO_017_H_Bali cause: Plantage du MPR a BALI   ,Action: Reset du MPR</t>
        </is>
      </c>
    </row>
    <row r="313" hidden="1" ht="34.05" customHeight="1" s="53">
      <c r="B313" t="inlineStr">
        <is>
          <t>ADM_094_N_Tourningal-MTN-IHS_G</t>
        </is>
      </c>
      <c r="C313" t="inlineStr">
        <is>
          <t>2605M48431 // INC-20260525-00002646</t>
        </is>
      </c>
      <c r="D313" t="inlineStr">
        <is>
          <t>ADM_094_N_Tourningal-MTN-IHS_G</t>
        </is>
      </c>
      <c r="E313">
        <f>IFERROR(MID(D313, SEARCH("CTR_", D313), 7), IFERROR(MID(D313, SEARCH("SUO_", D313), 7), IFERROR(MID(D313, SEARCH("SUD_", D313), 7), IFERROR(MID(D313, SEARCH("NRO_", D313), 7), IFERROR(MID(D313, SEARCH("ADM_", D313), 7), IFERROR(MID(D313, SEARCH("NRD_", D313), 7), IFERROR(MID(D313, SEARCH("EXN_", D313), 7), IFERROR(MID(D313, SEARCH("LIT_", D313), 7), IFERROR(MID(D313, SEARCH("EST_", D313), 7), MID(D313, SEARCH("OST_",D313), 7))))))))))</f>
        <v/>
      </c>
      <c r="F313" t="inlineStr">
        <is>
          <t xml:space="preserve">{05-25-2026 groupe whatsapp incident}:    impacted by  ADM_094_N_Tourningal-MTN-IHS_G   ,Hello @~IHS NOC comme echange, tout a lheure ci-dessous les sites down pour power issue 
Bien vouloir nous partager les ETR 
ADM_094_N_Tourningal-MTN-IHS =&gt;5 sites </t>
        </is>
      </c>
    </row>
    <row r="314" hidden="1" s="53">
      <c r="D314" t="inlineStr">
        <is>
          <t>ADM_108_N_Telo-MTN-IHS_G</t>
        </is>
      </c>
      <c r="E314">
        <f>IFERROR(MID(D314, SEARCH("CTR_", D314), 7), IFERROR(MID(D314, SEARCH("SUO_", D314), 7), IFERROR(MID(D314, SEARCH("SUD_", D314), 7), IFERROR(MID(D314, SEARCH("NRO_", D314), 7), IFERROR(MID(D314, SEARCH("ADM_", D314), 7), IFERROR(MID(D314, SEARCH("NRD_", D314), 7), IFERROR(MID(D314, SEARCH("EXN_", D314), 7), IFERROR(MID(D314, SEARCH("LIT_", D314), 7), IFERROR(MID(D314, SEARCH("EST_", D314), 7), MID(D314, SEARCH("OST_",D314), 7))))))))))</f>
        <v/>
      </c>
      <c r="F314" t="inlineStr">
        <is>
          <t xml:space="preserve">{05-25-2026 groupe whatsapp incident}:    impacted by  ADM_094_N_Tourningal-MTN-IHS_G   ,Hello @~IHS NOC comme echange, tout a lheure ci-dessous les sites down pour power issue 
Bien vouloir nous partager les ETR 
ADM_094_N_Tourningal-MTN-IHS =&gt;5 sites </t>
        </is>
      </c>
    </row>
    <row r="315" hidden="1" s="53">
      <c r="D315" t="inlineStr">
        <is>
          <t>ADM_242_URH_ADDI_TELLO</t>
        </is>
      </c>
      <c r="E315">
        <f>IFERROR(MID(D315, SEARCH("CTR_", D315), 7), IFERROR(MID(D315, SEARCH("SUO_", D315), 7), IFERROR(MID(D315, SEARCH("SUD_", D315), 7), IFERROR(MID(D315, SEARCH("NRO_", D315), 7), IFERROR(MID(D315, SEARCH("ADM_", D315), 7), IFERROR(MID(D315, SEARCH("NRD_", D315), 7), IFERROR(MID(D315, SEARCH("EXN_", D315), 7), IFERROR(MID(D315, SEARCH("LIT_", D315), 7), IFERROR(MID(D315, SEARCH("EST_", D315), 7), MID(D315, SEARCH("OST_",D315), 7))))))))))</f>
        <v/>
      </c>
      <c r="F315" t="inlineStr">
        <is>
          <t xml:space="preserve">{05-25-2026 groupe whatsapp incident}:    impacted by  ADM_094_N_Tourningal-MTN-IHS_G   ,Hello @~IHS NOC comme echange, tout a lheure ci-dessous les sites down pour power issue 
Bien vouloir nous partager les ETR 
ADM_094_N_Tourningal-MTN-IHS =&gt;5 sites </t>
        </is>
      </c>
    </row>
    <row r="316" hidden="1" s="53">
      <c r="D316" t="inlineStr">
        <is>
          <t>ADM_241_URH_IDOOL</t>
        </is>
      </c>
      <c r="E316">
        <f>IFERROR(MID(D316, SEARCH("CTR_", D316), 7), IFERROR(MID(D316, SEARCH("SUO_", D316), 7), IFERROR(MID(D316, SEARCH("SUD_", D316), 7), IFERROR(MID(D316, SEARCH("NRO_", D316), 7), IFERROR(MID(D316, SEARCH("ADM_", D316), 7), IFERROR(MID(D316, SEARCH("NRD_", D316), 7), IFERROR(MID(D316, SEARCH("EXN_", D316), 7), IFERROR(MID(D316, SEARCH("LIT_", D316), 7), IFERROR(MID(D316, SEARCH("EST_", D316), 7), MID(D316, SEARCH("OST_",D316), 7))))))))))</f>
        <v/>
      </c>
      <c r="F316" t="inlineStr">
        <is>
          <t xml:space="preserve">{05-25-2026 groupe whatsapp incident}:    impacted by  ADM_094_N_Tourningal-MTN-IHS_G   ,Hello @~IHS NOC comme echange, tout a lheure ci-dessous les sites down pour power issue 
Bien vouloir nous partager les ETR 
ADM_094_N_Tourningal-MTN-IHS =&gt;5 sites </t>
        </is>
      </c>
    </row>
    <row r="317" hidden="1" s="53">
      <c r="D317" t="inlineStr">
        <is>
          <t>ADM_188_URH_WASSANDE</t>
        </is>
      </c>
      <c r="E317">
        <f>IFERROR(MID(D317, SEARCH("CTR_", D317), 7), IFERROR(MID(D317, SEARCH("SUO_", D317), 7), IFERROR(MID(D317, SEARCH("SUD_", D317), 7), IFERROR(MID(D317, SEARCH("NRO_", D317), 7), IFERROR(MID(D317, SEARCH("ADM_", D317), 7), IFERROR(MID(D317, SEARCH("NRD_", D317), 7), IFERROR(MID(D317, SEARCH("EXN_", D317), 7), IFERROR(MID(D317, SEARCH("LIT_", D317), 7), IFERROR(MID(D317, SEARCH("EST_", D317), 7), MID(D317, SEARCH("OST_",D317), 7))))))))))</f>
        <v/>
      </c>
      <c r="F317" t="inlineStr">
        <is>
          <t xml:space="preserve">{05-25-2026 groupe whatsapp incident}:    impacted by  ADM_094_N_Tourningal-MTN-IHS_G   ,Hello @~IHS NOC comme echange, tout a lheure ci-dessous les sites down pour power issue 
Bien vouloir nous partager les ETR 
ADM_094_N_Tourningal-MTN-IHS =&gt;5 sites </t>
        </is>
      </c>
    </row>
    <row r="318" hidden="1" s="53">
      <c r="B318" t="inlineStr">
        <is>
          <t>EST_051_Z_Bertoua-Ngaikada</t>
        </is>
      </c>
      <c r="C318" t="inlineStr">
        <is>
          <t>2605M46895 / INC-20260525-00001290</t>
        </is>
      </c>
      <c r="D318" t="inlineStr">
        <is>
          <t>EST_143_Z_Bertoua-CAMTEL(EST-143)</t>
        </is>
      </c>
      <c r="E318">
        <f>IFERROR(MID(D318, SEARCH("CTR_", D318), 7), IFERROR(MID(D318, SEARCH("SUO_", D318), 7), IFERROR(MID(D318, SEARCH("SUD_", D318), 7), IFERROR(MID(D318, SEARCH("NRO_", D318), 7), IFERROR(MID(D318, SEARCH("ADM_", D318), 7), IFERROR(MID(D318, SEARCH("NRD_", D318), 7), IFERROR(MID(D318, SEARCH("EXN_", D318), 7), IFERROR(MID(D318, SEARCH("LIT_", D318), 7), IFERROR(MID(D318, SEARCH("EST_", D318), 7), MID(D318, SEARCH("OST_",D318), 7))))))))))</f>
        <v/>
      </c>
      <c r="F318" t="inlineStr">
        <is>
          <t>{05-25-2026  incident}:    impacted by  EST_051_Z_Bertoua-Ngaikada   ,Cause:   Souci Energie   Action:   En Attente RCA IHS</t>
        </is>
      </c>
    </row>
    <row r="319" hidden="1" s="53">
      <c r="D319" t="inlineStr">
        <is>
          <t>EST_069_Z_Bertoua-ENIA-MTN(EST-069)</t>
        </is>
      </c>
      <c r="E319">
        <f>IFERROR(MID(D319, SEARCH("CTR_", D319), 7), IFERROR(MID(D319, SEARCH("SUO_", D319), 7), IFERROR(MID(D319, SEARCH("SUD_", D319), 7), IFERROR(MID(D319, SEARCH("NRO_", D319), 7), IFERROR(MID(D319, SEARCH("ADM_", D319), 7), IFERROR(MID(D319, SEARCH("NRD_", D319), 7), IFERROR(MID(D319, SEARCH("EXN_", D319), 7), IFERROR(MID(D319, SEARCH("LIT_", D319), 7), IFERROR(MID(D319, SEARCH("EST_", D319), 7), MID(D319, SEARCH("OST_",D319), 7))))))))))</f>
        <v/>
      </c>
      <c r="F319" t="inlineStr">
        <is>
          <t>{05-25-2026  incident}:    impacted by  EST_051_Z_Bertoua-Ngaikada   ,Cause:   Souci Energie   Action:   En Attente RCA IHS</t>
        </is>
      </c>
    </row>
    <row r="320" hidden="1" s="53">
      <c r="D320" t="inlineStr">
        <is>
          <t>EST_292_Z_Bertoua-II-Abbatoir-MTN(EST-292)</t>
        </is>
      </c>
      <c r="E320">
        <f>IFERROR(MID(D320, SEARCH("CTR_", D320), 7), IFERROR(MID(D320, SEARCH("SUO_", D320), 7), IFERROR(MID(D320, SEARCH("SUD_", D320), 7), IFERROR(MID(D320, SEARCH("NRO_", D320), 7), IFERROR(MID(D320, SEARCH("ADM_", D320), 7), IFERROR(MID(D320, SEARCH("NRD_", D320), 7), IFERROR(MID(D320, SEARCH("EXN_", D320), 7), IFERROR(MID(D320, SEARCH("LIT_", D320), 7), IFERROR(MID(D320, SEARCH("EST_", D320), 7), MID(D320, SEARCH("OST_",D320), 7))))))))))</f>
        <v/>
      </c>
      <c r="F320" t="inlineStr">
        <is>
          <t>{05-25-2026  incident}:    impacted by  EST_051_Z_Bertoua-Ngaikada   ,Cause:   Souci Energie   Action:   En Attente RCA IHS</t>
        </is>
      </c>
    </row>
    <row r="321" hidden="1" s="53">
      <c r="D321" t="inlineStr">
        <is>
          <t>EST_152_Z_Bertoua-Hopital-IHS(EST-152)</t>
        </is>
      </c>
      <c r="E321">
        <f>IFERROR(MID(D321, SEARCH("CTR_", D321), 7), IFERROR(MID(D321, SEARCH("SUO_", D321), 7), IFERROR(MID(D321, SEARCH("SUD_", D321), 7), IFERROR(MID(D321, SEARCH("NRO_", D321), 7), IFERROR(MID(D321, SEARCH("ADM_", D321), 7), IFERROR(MID(D321, SEARCH("NRD_", D321), 7), IFERROR(MID(D321, SEARCH("EXN_", D321), 7), IFERROR(MID(D321, SEARCH("LIT_", D321), 7), IFERROR(MID(D321, SEARCH("EST_", D321), 7), MID(D321, SEARCH("OST_",D321), 7))))))))))</f>
        <v/>
      </c>
      <c r="F321" t="inlineStr">
        <is>
          <t>{05-25-2026  incident}:    impacted by  EST_051_Z_Bertoua-Ngaikada   ,Cause:   Souci Energie   Action:   En Attente RCA IHS</t>
        </is>
      </c>
    </row>
    <row r="322" hidden="1" s="53">
      <c r="D322" t="inlineStr">
        <is>
          <t>EST_051_Z_Bertoua-Ngaikada(EST-051)</t>
        </is>
      </c>
      <c r="E322">
        <f>IFERROR(MID(D322, SEARCH("CTR_", D322), 7), IFERROR(MID(D322, SEARCH("SUO_", D322), 7), IFERROR(MID(D322, SEARCH("SUD_", D322), 7), IFERROR(MID(D322, SEARCH("NRO_", D322), 7), IFERROR(MID(D322, SEARCH("ADM_", D322), 7), IFERROR(MID(D322, SEARCH("NRD_", D322), 7), IFERROR(MID(D322, SEARCH("EXN_", D322), 7), IFERROR(MID(D322, SEARCH("LIT_", D322), 7), IFERROR(MID(D322, SEARCH("EST_", D322), 7), MID(D322, SEARCH("OST_",D322), 7))))))))))</f>
        <v/>
      </c>
      <c r="F322" t="inlineStr">
        <is>
          <t>{05-25-2026  incident}:    impacted by  EST_051_Z_Bertoua-Ngaikada   ,Cause:   Souci Energie   Action:   En Attente RCA IHS</t>
        </is>
      </c>
    </row>
    <row r="323" hidden="1" s="53">
      <c r="B323" t="inlineStr">
        <is>
          <t>SUO_030_N_Bachuo-Ntai</t>
        </is>
      </c>
      <c r="C323" t="inlineStr">
        <is>
          <t>2605M48369 // INC-20260525-00002579</t>
        </is>
      </c>
      <c r="D323" t="inlineStr">
        <is>
          <t>NRO_026_N_Kembong</t>
        </is>
      </c>
      <c r="E323">
        <f>IFERROR(MID(D323, SEARCH("CTR_", D323), 7), IFERROR(MID(D323, SEARCH("SUO_", D323), 7), IFERROR(MID(D323, SEARCH("SUD_", D323), 7), IFERROR(MID(D323, SEARCH("NRO_", D323), 7), IFERROR(MID(D323, SEARCH("ADM_", D323), 7), IFERROR(MID(D323, SEARCH("NRD_", D323), 7), IFERROR(MID(D323, SEARCH("EXN_", D323), 7), IFERROR(MID(D323, SEARCH("LIT_", D323), 7), IFERROR(MID(D323, SEARCH("EST_", D323), 7), MID(D323, SEARCH("OST_",D323), 7))))))))))</f>
        <v/>
      </c>
      <c r="F323" t="inlineStr">
        <is>
          <t>{05-25-2026 groupe whatsapp incident}:    impacted by SUO_030_N_Bachuo-Ntai   ,Cause: Dépointage lien Fontem - Fainchang  ,Action: Sans action</t>
        </is>
      </c>
    </row>
    <row r="324" hidden="1" s="53">
      <c r="D324" t="inlineStr">
        <is>
          <t>SUO_100_N_Ossing-IHS</t>
        </is>
      </c>
      <c r="E324">
        <f>IFERROR(MID(D324, SEARCH("CTR_", D324), 7), IFERROR(MID(D324, SEARCH("SUO_", D324), 7), IFERROR(MID(D324, SEARCH("SUD_", D324), 7), IFERROR(MID(D324, SEARCH("NRO_", D324), 7), IFERROR(MID(D324, SEARCH("ADM_", D324), 7), IFERROR(MID(D324, SEARCH("NRD_", D324), 7), IFERROR(MID(D324, SEARCH("EXN_", D324), 7), IFERROR(MID(D324, SEARCH("LIT_", D324), 7), IFERROR(MID(D324, SEARCH("EST_", D324), 7), MID(D324, SEARCH("OST_",D324), 7))))))))))</f>
        <v/>
      </c>
      <c r="F324" t="inlineStr">
        <is>
          <t>{05-25-2026 groupe whatsapp incident}:    impacted by SUO_030_N_Bachuo-Ntai   ,Cause: Dépointage lien Fontem - Fainchang  ,Action: Sans action</t>
        </is>
      </c>
    </row>
    <row r="325" hidden="1" s="53">
      <c r="D325" t="inlineStr">
        <is>
          <t>SUO_030_N_Bachuo-Ntai</t>
        </is>
      </c>
      <c r="E325">
        <f>IFERROR(MID(D325, SEARCH("CTR_", D325), 7), IFERROR(MID(D325, SEARCH("SUO_", D325), 7), IFERROR(MID(D325, SEARCH("SUD_", D325), 7), IFERROR(MID(D325, SEARCH("NRO_", D325), 7), IFERROR(MID(D325, SEARCH("ADM_", D325), 7), IFERROR(MID(D325, SEARCH("NRD_", D325), 7), IFERROR(MID(D325, SEARCH("EXN_", D325), 7), IFERROR(MID(D325, SEARCH("LIT_", D325), 7), IFERROR(MID(D325, SEARCH("EST_", D325), 7), MID(D325, SEARCH("OST_",D325), 7))))))))))</f>
        <v/>
      </c>
      <c r="F325" t="inlineStr">
        <is>
          <t>{05-25-2026 groupe whatsapp incident}:    impacted by SUO_030_N_Bachuo-Ntai   ,Cause: Dépointage lien Fontem - Fainchang  ,Action: Sans action</t>
        </is>
      </c>
    </row>
    <row r="326" hidden="1" s="53">
      <c r="D326" t="inlineStr">
        <is>
          <t>SUO_249_H_Bakwele-IHS</t>
        </is>
      </c>
      <c r="E326">
        <f>IFERROR(MID(D326, SEARCH("CTR_", D326), 7), IFERROR(MID(D326, SEARCH("SUO_", D326), 7), IFERROR(MID(D326, SEARCH("SUD_", D326), 7), IFERROR(MID(D326, SEARCH("NRO_", D326), 7), IFERROR(MID(D326, SEARCH("ADM_", D326), 7), IFERROR(MID(D326, SEARCH("NRD_", D326), 7), IFERROR(MID(D326, SEARCH("EXN_", D326), 7), IFERROR(MID(D326, SEARCH("LIT_", D326), 7), IFERROR(MID(D326, SEARCH("EST_", D326), 7), MID(D326, SEARCH("OST_",D326), 7))))))))))</f>
        <v/>
      </c>
      <c r="F326" t="inlineStr">
        <is>
          <t>{05-25-2026 groupe whatsapp incident}:    impacted by SUO_030_N_Bachuo-Ntai   ,Cause: Dépointage lien Fontem - Fainchang  ,Action: Sans action</t>
        </is>
      </c>
    </row>
    <row r="327" hidden="1" s="53">
      <c r="D327" t="inlineStr">
        <is>
          <t>SUO_102_H_Mile29-Mamfe-IHS</t>
        </is>
      </c>
      <c r="E327">
        <f>IFERROR(MID(D327, SEARCH("CTR_", D327), 7), IFERROR(MID(D327, SEARCH("SUO_", D327), 7), IFERROR(MID(D327, SEARCH("SUD_", D327), 7), IFERROR(MID(D327, SEARCH("NRO_", D327), 7), IFERROR(MID(D327, SEARCH("ADM_", D327), 7), IFERROR(MID(D327, SEARCH("NRD_", D327), 7), IFERROR(MID(D327, SEARCH("EXN_", D327), 7), IFERROR(MID(D327, SEARCH("LIT_", D327), 7), IFERROR(MID(D327, SEARCH("EST_", D327), 7), MID(D327, SEARCH("OST_",D327), 7))))))))))</f>
        <v/>
      </c>
      <c r="F327" t="inlineStr">
        <is>
          <t>{05-25-2026 groupe whatsapp incident}:    impacted by SUO_030_N_Bachuo-Ntai   ,Cause: Dépointage lien Fontem - Fainchang  ,Action: Sans action</t>
        </is>
      </c>
    </row>
    <row r="328" hidden="1" s="53">
      <c r="D328" t="inlineStr">
        <is>
          <t>SUO_107_H_Mamfe-Town-IHS</t>
        </is>
      </c>
      <c r="E328">
        <f>IFERROR(MID(D328, SEARCH("CTR_", D328), 7), IFERROR(MID(D328, SEARCH("SUO_", D328), 7), IFERROR(MID(D328, SEARCH("SUD_", D328), 7), IFERROR(MID(D328, SEARCH("NRO_", D328), 7), IFERROR(MID(D328, SEARCH("ADM_", D328), 7), IFERROR(MID(D328, SEARCH("NRD_", D328), 7), IFERROR(MID(D328, SEARCH("EXN_", D328), 7), IFERROR(MID(D328, SEARCH("LIT_", D328), 7), IFERROR(MID(D328, SEARCH("EST_", D328), 7), MID(D328, SEARCH("OST_",D328), 7))))))))))</f>
        <v/>
      </c>
      <c r="F328" t="inlineStr">
        <is>
          <t>{05-25-2026 groupe whatsapp incident}:    impacted by SUO_030_N_Bachuo-Ntai   ,Cause: Dépointage lien Fontem - Fainchang  ,Action: Sans action</t>
        </is>
      </c>
    </row>
    <row r="329" hidden="1" s="53">
      <c r="D329" t="inlineStr">
        <is>
          <t>SUO_073_H_Mamfe-Brasserie</t>
        </is>
      </c>
      <c r="E329">
        <f>IFERROR(MID(D329, SEARCH("CTR_", D329), 7), IFERROR(MID(D329, SEARCH("SUO_", D329), 7), IFERROR(MID(D329, SEARCH("SUD_", D329), 7), IFERROR(MID(D329, SEARCH("NRO_", D329), 7), IFERROR(MID(D329, SEARCH("ADM_", D329), 7), IFERROR(MID(D329, SEARCH("NRD_", D329), 7), IFERROR(MID(D329, SEARCH("EXN_", D329), 7), IFERROR(MID(D329, SEARCH("LIT_", D329), 7), IFERROR(MID(D329, SEARCH("EST_", D329), 7), MID(D329, SEARCH("OST_",D329), 7))))))))))</f>
        <v/>
      </c>
      <c r="F329" t="inlineStr">
        <is>
          <t>{05-25-2026 groupe whatsapp incident}:    impacted by SUO_030_N_Bachuo-Ntai   ,Cause: Dépointage lien Fontem - Fainchang  ,Action: Sans action</t>
        </is>
      </c>
    </row>
    <row r="330" hidden="1" s="53">
      <c r="D330" t="inlineStr">
        <is>
          <t>SUO_009_H_Mamfe</t>
        </is>
      </c>
      <c r="E330">
        <f>IFERROR(MID(D330, SEARCH("CTR_", D330), 7), IFERROR(MID(D330, SEARCH("SUO_", D330), 7), IFERROR(MID(D330, SEARCH("SUD_", D330), 7), IFERROR(MID(D330, SEARCH("NRO_", D330), 7), IFERROR(MID(D330, SEARCH("ADM_", D330), 7), IFERROR(MID(D330, SEARCH("NRD_", D330), 7), IFERROR(MID(D330, SEARCH("EXN_", D330), 7), IFERROR(MID(D330, SEARCH("LIT_", D330), 7), IFERROR(MID(D330, SEARCH("EST_", D330), 7), MID(D330, SEARCH("OST_",D330), 7))))))))))</f>
        <v/>
      </c>
      <c r="F330" t="inlineStr">
        <is>
          <t>{05-25-2026 groupe whatsapp incident}:    impacted by SUO_030_N_Bachuo-Ntai   ,Cause: Dépointage lien Fontem - Fainchang  ,Action: Sans action</t>
        </is>
      </c>
    </row>
    <row r="331" hidden="1" s="53">
      <c r="D331" t="inlineStr">
        <is>
          <t>NRO_086_H_Berore-IHS</t>
        </is>
      </c>
      <c r="E331">
        <f>IFERROR(MID(D331, SEARCH("CTR_", D331), 7), IFERROR(MID(D331, SEARCH("SUO_", D331), 7), IFERROR(MID(D331, SEARCH("SUD_", D331), 7), IFERROR(MID(D331, SEARCH("NRO_", D331), 7), IFERROR(MID(D331, SEARCH("ADM_", D331), 7), IFERROR(MID(D331, SEARCH("NRD_", D331), 7), IFERROR(MID(D331, SEARCH("EXN_", D331), 7), IFERROR(MID(D331, SEARCH("LIT_", D331), 7), IFERROR(MID(D331, SEARCH("EST_", D331), 7), MID(D331, SEARCH("OST_",D331), 7))))))))))</f>
        <v/>
      </c>
      <c r="F331" t="inlineStr">
        <is>
          <t>{05-25-2026 groupe whatsapp incident}:    impacted by SUO_030_N_Bachuo-Ntai   ,Cause: Dépointage lien Fontem - Fainchang  ,Action: Sans action</t>
        </is>
      </c>
    </row>
    <row r="332" hidden="1" s="53">
      <c r="D332" t="inlineStr">
        <is>
          <t>SUO_245_Mamfe-Camtel</t>
        </is>
      </c>
      <c r="E332">
        <f>IFERROR(MID(D332, SEARCH("CTR_", D332), 7), IFERROR(MID(D332, SEARCH("SUO_", D332), 7), IFERROR(MID(D332, SEARCH("SUD_", D332), 7), IFERROR(MID(D332, SEARCH("NRO_", D332), 7), IFERROR(MID(D332, SEARCH("ADM_", D332), 7), IFERROR(MID(D332, SEARCH("NRD_", D332), 7), IFERROR(MID(D332, SEARCH("EXN_", D332), 7), IFERROR(MID(D332, SEARCH("LIT_", D332), 7), IFERROR(MID(D332, SEARCH("EST_", D332), 7), MID(D332, SEARCH("OST_",D332), 7))))))))))</f>
        <v/>
      </c>
      <c r="F332" t="inlineStr">
        <is>
          <t>{05-25-2026 groupe whatsapp incident}:    impacted by SUO_030_N_Bachuo-Ntai   ,Cause: Dépointage lien Fontem - Fainchang  ,Action: Sans action</t>
        </is>
      </c>
    </row>
    <row r="333" hidden="1" s="53">
      <c r="B333" t="inlineStr">
        <is>
          <t>EXN_226_N_Mazera-HIS</t>
        </is>
      </c>
      <c r="C333" t="inlineStr">
        <is>
          <t>2605M44661 // INC-20260524-00027028</t>
        </is>
      </c>
      <c r="D333" t="inlineStr">
        <is>
          <t>EXN_226_N_Mazera-IHS</t>
        </is>
      </c>
      <c r="E333">
        <f>IFERROR(MID(D333, SEARCH("CTR_", D333), 7), IFERROR(MID(D333, SEARCH("SUO_", D333), 7), IFERROR(MID(D333, SEARCH("SUD_", D333), 7), IFERROR(MID(D333, SEARCH("NRO_", D333), 7), IFERROR(MID(D333, SEARCH("ADM_", D333), 7), IFERROR(MID(D333, SEARCH("NRD_", D333), 7), IFERROR(MID(D333, SEARCH("EXN_", D333), 7), IFERROR(MID(D333, SEARCH("LIT_", D333), 7), IFERROR(MID(D333, SEARCH("EST_", D333), 7), MID(D333, SEARCH("OST_",D333), 7))))))))))</f>
        <v/>
      </c>
      <c r="F333" t="inlineStr">
        <is>
          <t>{05-25-2026  incident}:    impacted by  EXN_226_N_Mazera-IHS,   RCA: Power issue / En attente RCA IHS</t>
        </is>
      </c>
    </row>
    <row r="334" hidden="1" s="53">
      <c r="D334" t="inlineStr">
        <is>
          <t>EXN_409_URH_ZAGARA_(DIEGUERE)</t>
        </is>
      </c>
      <c r="E334">
        <f>IFERROR(MID(D334, SEARCH("CTR_", D334), 7), IFERROR(MID(D334, SEARCH("SUO_", D334), 7), IFERROR(MID(D334, SEARCH("SUD_", D334), 7), IFERROR(MID(D334, SEARCH("NRO_", D334), 7), IFERROR(MID(D334, SEARCH("ADM_", D334), 7), IFERROR(MID(D334, SEARCH("NRD_", D334), 7), IFERROR(MID(D334, SEARCH("EXN_", D334), 7), IFERROR(MID(D334, SEARCH("LIT_", D334), 7), IFERROR(MID(D334, SEARCH("EST_", D334), 7), MID(D334, SEARCH("OST_",D334), 7))))))))))</f>
        <v/>
      </c>
      <c r="F334" t="inlineStr">
        <is>
          <t>{05-25-2026  incident}:    impacted by  EXN_226_N_Mazera-IHS,   RCA: Power issue / En attente RCA IHS</t>
        </is>
      </c>
    </row>
    <row r="335" hidden="1" s="53">
      <c r="D335" t="inlineStr">
        <is>
          <t>EXN_407_URH_IVIE</t>
        </is>
      </c>
      <c r="E335">
        <f>IFERROR(MID(D335, SEARCH("CTR_", D335), 7), IFERROR(MID(D335, SEARCH("SUO_", D335), 7), IFERROR(MID(D335, SEARCH("SUD_", D335), 7), IFERROR(MID(D335, SEARCH("NRO_", D335), 7), IFERROR(MID(D335, SEARCH("ADM_", D335), 7), IFERROR(MID(D335, SEARCH("NRD_", D335), 7), IFERROR(MID(D335, SEARCH("EXN_", D335), 7), IFERROR(MID(D335, SEARCH("LIT_", D335), 7), IFERROR(MID(D335, SEARCH("EST_", D335), 7), MID(D335, SEARCH("OST_",D335), 7))))))))))</f>
        <v/>
      </c>
      <c r="F335" t="inlineStr">
        <is>
          <t>{05-25-2026  incident}:    impacted by  EXN_226_N_Mazera-IHS,   RCA: Power issue / En attente RCA IHS</t>
        </is>
      </c>
    </row>
    <row r="336" hidden="1" s="53">
      <c r="D336" t="inlineStr">
        <is>
          <t>EXN_405_URH_SAGOULOU_I</t>
        </is>
      </c>
      <c r="E336">
        <f>IFERROR(MID(D336, SEARCH("CTR_", D336), 7), IFERROR(MID(D336, SEARCH("SUO_", D336), 7), IFERROR(MID(D336, SEARCH("SUD_", D336), 7), IFERROR(MID(D336, SEARCH("NRO_", D336), 7), IFERROR(MID(D336, SEARCH("ADM_", D336), 7), IFERROR(MID(D336, SEARCH("NRD_", D336), 7), IFERROR(MID(D336, SEARCH("EXN_", D336), 7), IFERROR(MID(D336, SEARCH("LIT_", D336), 7), IFERROR(MID(D336, SEARCH("EST_", D336), 7), MID(D336, SEARCH("OST_",D336), 7))))))))))</f>
        <v/>
      </c>
      <c r="F336" t="inlineStr">
        <is>
          <t>{05-25-2026  incident}:    impacted by  EXN_226_N_Mazera-IHS,   RCA: Power issue / En attente RCA IHS</t>
        </is>
      </c>
    </row>
    <row r="337" hidden="1" s="53">
      <c r="D337" t="inlineStr">
        <is>
          <t>EXN_406_URH_ZILIM_I_II</t>
        </is>
      </c>
      <c r="E337">
        <f>IFERROR(MID(D337, SEARCH("CTR_", D337), 7), IFERROR(MID(D337, SEARCH("SUO_", D337), 7), IFERROR(MID(D337, SEARCH("SUD_", D337), 7), IFERROR(MID(D337, SEARCH("NRO_", D337), 7), IFERROR(MID(D337, SEARCH("ADM_", D337), 7), IFERROR(MID(D337, SEARCH("NRD_", D337), 7), IFERROR(MID(D337, SEARCH("EXN_", D337), 7), IFERROR(MID(D337, SEARCH("LIT_", D337), 7), IFERROR(MID(D337, SEARCH("EST_", D337), 7), MID(D337, SEARCH("OST_",D337), 7))))))))))</f>
        <v/>
      </c>
      <c r="F337" t="inlineStr">
        <is>
          <t>{05-25-2026  incident}:    impacted by  EXN_226_N_Mazera-IHS,   RCA: Power issue / En attente RCA IHS</t>
        </is>
      </c>
    </row>
    <row r="338" hidden="1" s="53">
      <c r="B338" t="inlineStr">
        <is>
          <t>SUO_801_H_Buea-Agence</t>
        </is>
      </c>
      <c r="C338" t="inlineStr">
        <is>
          <t>2605M45896 // INC-20260525-00000357</t>
        </is>
      </c>
      <c r="D338" t="inlineStr">
        <is>
          <t>SUO_220_H_Mile16-Bolifamba-IHS</t>
        </is>
      </c>
      <c r="E338">
        <f>IFERROR(MID(D338, SEARCH("CTR_", D338), 7), IFERROR(MID(D338, SEARCH("SUO_", D338), 7), IFERROR(MID(D338, SEARCH("SUD_", D338), 7), IFERROR(MID(D338, SEARCH("NRO_", D338), 7), IFERROR(MID(D338, SEARCH("ADM_", D338), 7), IFERROR(MID(D338, SEARCH("NRD_", D338), 7), IFERROR(MID(D338, SEARCH("EXN_", D338), 7), IFERROR(MID(D338, SEARCH("LIT_", D338), 7), IFERROR(MID(D338, SEARCH("EST_", D338), 7), MID(D338, SEARCH("OST_",D338), 7))))))))))</f>
        <v/>
      </c>
      <c r="F338" t="inlineStr">
        <is>
          <t>{05-25-2026 groupe whatsapp incident}:    impacted by SUO_801_H_Buea-Agence  Cause:    coupure  AOF_SUO_801_SUO_023_Buea_Agence_Buea-Signal-Hill ;   Action:Routage du traffic sur le FH Buea-Agence&lt;&gt;Buea-Signal-Hill</t>
        </is>
      </c>
    </row>
    <row r="339" hidden="1" s="53">
      <c r="D339" t="inlineStr">
        <is>
          <t>SUO_260_H_Buea-Dirty-South-IHS</t>
        </is>
      </c>
      <c r="E339">
        <f>IFERROR(MID(D339, SEARCH("CTR_", D339), 7), IFERROR(MID(D339, SEARCH("SUO_", D339), 7), IFERROR(MID(D339, SEARCH("SUD_", D339), 7), IFERROR(MID(D339, SEARCH("NRO_", D339), 7), IFERROR(MID(D339, SEARCH("ADM_", D339), 7), IFERROR(MID(D339, SEARCH("NRD_", D339), 7), IFERROR(MID(D339, SEARCH("EXN_", D339), 7), IFERROR(MID(D339, SEARCH("LIT_", D339), 7), IFERROR(MID(D339, SEARCH("EST_", D339), 7), MID(D339, SEARCH("OST_",D339), 7))))))))))</f>
        <v/>
      </c>
      <c r="F339" t="inlineStr">
        <is>
          <t>{05-25-2026 groupe whatsapp incident}:    impacted by SUO_801_H_Buea-Agence  Cause:    coupure  AOF_SUO_801_SUO_023_Buea_Agence_Buea-Signal-Hill ;   Action:Routage du traffic sur le FH Buea-Agence&lt;&gt;Buea-Signal-Hill</t>
        </is>
      </c>
    </row>
    <row r="340" hidden="1" s="53">
      <c r="D340" t="inlineStr">
        <is>
          <t>SUO_182_H_Buea-Service-Center-IHS</t>
        </is>
      </c>
      <c r="E340">
        <f>IFERROR(MID(D340, SEARCH("CTR_", D340), 7), IFERROR(MID(D340, SEARCH("SUO_", D340), 7), IFERROR(MID(D340, SEARCH("SUD_", D340), 7), IFERROR(MID(D340, SEARCH("NRO_", D340), 7), IFERROR(MID(D340, SEARCH("ADM_", D340), 7), IFERROR(MID(D340, SEARCH("NRD_", D340), 7), IFERROR(MID(D340, SEARCH("EXN_", D340), 7), IFERROR(MID(D340, SEARCH("LIT_", D340), 7), IFERROR(MID(D340, SEARCH("EST_", D340), 7), MID(D340, SEARCH("OST_",D340), 7))))))))))</f>
        <v/>
      </c>
      <c r="F340" t="inlineStr">
        <is>
          <t>{05-25-2026 groupe whatsapp incident}:    impacted by SUO_801_H_Buea-Agence  Cause:    coupure  AOF_SUO_801_SUO_023_Buea_Agence_Buea-Signal-Hill ;   Action:Routage du traffic sur le FH Buea-Agence&lt;&gt;Buea-Signal-Hill</t>
        </is>
      </c>
    </row>
    <row r="341" hidden="1" s="53">
      <c r="D341" t="inlineStr">
        <is>
          <t>SUO_200_H_Buea-UB-Lamp-IHS</t>
        </is>
      </c>
      <c r="E341">
        <f>IFERROR(MID(D341, SEARCH("CTR_", D341), 7), IFERROR(MID(D341, SEARCH("SUO_", D341), 7), IFERROR(MID(D341, SEARCH("SUD_", D341), 7), IFERROR(MID(D341, SEARCH("NRO_", D341), 7), IFERROR(MID(D341, SEARCH("ADM_", D341), 7), IFERROR(MID(D341, SEARCH("NRD_", D341), 7), IFERROR(MID(D341, SEARCH("EXN_", D341), 7), IFERROR(MID(D341, SEARCH("LIT_", D341), 7), IFERROR(MID(D341, SEARCH("EST_", D341), 7), MID(D341, SEARCH("OST_",D341), 7))))))))))</f>
        <v/>
      </c>
      <c r="F341" t="inlineStr">
        <is>
          <t>{05-25-2026 groupe whatsapp incident}:    impacted by SUO_801_H_Buea-Agence  Cause:    coupure  AOF_SUO_801_SUO_023_Buea_Agence_Buea-Signal-Hill ;   Action:Routage du traffic sur le FH Buea-Agence&lt;&gt;Buea-Signal-Hill</t>
        </is>
      </c>
    </row>
    <row r="342" hidden="1" s="53">
      <c r="D342" t="inlineStr">
        <is>
          <t>SUO_169_H_Buea-Bomaka-III-MTN</t>
        </is>
      </c>
      <c r="E342">
        <f>IFERROR(MID(D342, SEARCH("CTR_", D342), 7), IFERROR(MID(D342, SEARCH("SUO_", D342), 7), IFERROR(MID(D342, SEARCH("SUD_", D342), 7), IFERROR(MID(D342, SEARCH("NRO_", D342), 7), IFERROR(MID(D342, SEARCH("ADM_", D342), 7), IFERROR(MID(D342, SEARCH("NRD_", D342), 7), IFERROR(MID(D342, SEARCH("EXN_", D342), 7), IFERROR(MID(D342, SEARCH("LIT_", D342), 7), IFERROR(MID(D342, SEARCH("EST_", D342), 7), MID(D342, SEARCH("OST_",D342), 7))))))))))</f>
        <v/>
      </c>
      <c r="F342" t="inlineStr">
        <is>
          <t>{05-25-2026 groupe whatsapp incident}:    impacted by SUO_801_H_Buea-Agence  Cause:    coupure  AOF_SUO_801_SUO_023_Buea_Agence_Buea-Signal-Hill ;   Action:Routage du traffic sur le FH Buea-Agence&lt;&gt;Buea-Signal-Hill</t>
        </is>
      </c>
    </row>
    <row r="343" hidden="1" s="53">
      <c r="D343" t="inlineStr">
        <is>
          <t>BANQUE ATLANTIQUE_BUEA_University_PREMIUM_SUO_200</t>
        </is>
      </c>
      <c r="E343">
        <f>IFERROR(MID(D343, SEARCH("CTR_", D343), 7), IFERROR(MID(D343, SEARCH("SUO_", D343), 7), IFERROR(MID(D343, SEARCH("SUD_", D343), 7), IFERROR(MID(D343, SEARCH("NRO_", D343), 7), IFERROR(MID(D343, SEARCH("ADM_", D343), 7), IFERROR(MID(D343, SEARCH("NRD_", D343), 7), IFERROR(MID(D343, SEARCH("EXN_", D343), 7), IFERROR(MID(D343, SEARCH("LIT_", D343), 7), IFERROR(MID(D343, SEARCH("EST_", D343), 7), MID(D343, SEARCH("OST_",D343), 7))))))))))</f>
        <v/>
      </c>
      <c r="F343" t="inlineStr">
        <is>
          <t>{05-25-2026 groupe whatsapp incident}:    impacted by SUO_801_H_Buea-Agence  Cause:    coupure  AOF_SUO_801_SUO_023_Buea_Agence_Buea-Signal-Hill ;   Action:Routage du traffic sur le FH Buea-Agence&lt;&gt;Buea-Signal-Hill</t>
        </is>
      </c>
    </row>
    <row r="344" hidden="1" s="53">
      <c r="D344" t="inlineStr">
        <is>
          <t>BANQUE ATLANTIQUE_BUEA_University_PREMIUM_SUO_200_OCM</t>
        </is>
      </c>
      <c r="E344">
        <f>IFERROR(MID(D344, SEARCH("CTR_", D344), 7), IFERROR(MID(D344, SEARCH("SUO_", D344), 7), IFERROR(MID(D344, SEARCH("SUD_", D344), 7), IFERROR(MID(D344, SEARCH("NRO_", D344), 7), IFERROR(MID(D344, SEARCH("ADM_", D344), 7), IFERROR(MID(D344, SEARCH("NRD_", D344), 7), IFERROR(MID(D344, SEARCH("EXN_", D344), 7), IFERROR(MID(D344, SEARCH("LIT_", D344), 7), IFERROR(MID(D344, SEARCH("EST_", D344), 7), MID(D344, SEARCH("OST_",D344), 7))))))))))</f>
        <v/>
      </c>
      <c r="F344" t="inlineStr">
        <is>
          <t>{05-25-2026 groupe whatsapp incident}:    impacted by SUO_801_H_Buea-Agence  Cause:    coupure  AOF_SUO_801_SUO_023_Buea_Agence_Buea-Signal-Hill ;   Action:Routage du traffic sur le FH Buea-Agence&lt;&gt;Buea-Signal-Hill</t>
        </is>
      </c>
    </row>
    <row r="345" hidden="1" s="53">
      <c r="D345" t="inlineStr">
        <is>
          <t>BANQUE ATLANTIQUE_BUEA_University_PREMIUM_SUO_200_LBB</t>
        </is>
      </c>
      <c r="E345">
        <f>IFERROR(MID(D345, SEARCH("CTR_", D345), 7), IFERROR(MID(D345, SEARCH("SUO_", D345), 7), IFERROR(MID(D345, SEARCH("SUD_", D345), 7), IFERROR(MID(D345, SEARCH("NRO_", D345), 7), IFERROR(MID(D345, SEARCH("ADM_", D345), 7), IFERROR(MID(D345, SEARCH("NRD_", D345), 7), IFERROR(MID(D345, SEARCH("EXN_", D345), 7), IFERROR(MID(D345, SEARCH("LIT_", D345), 7), IFERROR(MID(D345, SEARCH("EST_", D345), 7), MID(D345, SEARCH("OST_",D345), 7))))))))))</f>
        <v/>
      </c>
      <c r="F345" t="inlineStr">
        <is>
          <t>{05-25-2026 groupe whatsapp incident}:    impacted by SUO_801_H_Buea-Agence  Cause:    coupure  AOF_SUO_801_SUO_023_Buea_Agence_Buea-Signal-Hill ;   Action:Routage du traffic sur le FH Buea-Agence&lt;&gt;Buea-Signal-Hill</t>
        </is>
      </c>
    </row>
    <row r="346" hidden="1" s="53">
      <c r="D346" t="inlineStr">
        <is>
          <t>OCM_LAN_BUEA-R2.orange.cm_PREMIUM</t>
        </is>
      </c>
      <c r="E346">
        <f>IFERROR(MID(D346, SEARCH("CTR_", D346), 7), IFERROR(MID(D346, SEARCH("SUO_", D346), 7), IFERROR(MID(D346, SEARCH("SUD_", D346), 7), IFERROR(MID(D346, SEARCH("NRO_", D346), 7), IFERROR(MID(D346, SEARCH("ADM_", D346), 7), IFERROR(MID(D346, SEARCH("NRD_", D346), 7), IFERROR(MID(D346, SEARCH("EXN_", D346), 7), IFERROR(MID(D346, SEARCH("LIT_", D346), 7), IFERROR(MID(D346, SEARCH("EST_", D346), 7), MID(D346, SEARCH("OST_",D346), 7))))))))))</f>
        <v/>
      </c>
      <c r="F346" t="inlineStr">
        <is>
          <t>{05-25-2026 groupe whatsapp incident}:    impacted by SUO_801_H_Buea-Agence  Cause:    coupure  AOF_SUO_801_SUO_023_Buea_Agence_Buea-Signal-Hill ;   Action:Routage du traffic sur le FH Buea-Agence&lt;&gt;Buea-Signal-Hill</t>
        </is>
      </c>
    </row>
    <row r="347" hidden="1" s="53">
      <c r="D347" t="inlineStr">
        <is>
          <t>SGC_BUEA-SUO_PREMIUM</t>
        </is>
      </c>
      <c r="E347">
        <f>IFERROR(MID(D347, SEARCH("CTR_", D347), 7), IFERROR(MID(D347, SEARCH("SUO_", D347), 7), IFERROR(MID(D347, SEARCH("SUD_", D347), 7), IFERROR(MID(D347, SEARCH("NRO_", D347), 7), IFERROR(MID(D347, SEARCH("ADM_", D347), 7), IFERROR(MID(D347, SEARCH("NRD_", D347), 7), IFERROR(MID(D347, SEARCH("EXN_", D347), 7), IFERROR(MID(D347, SEARCH("LIT_", D347), 7), IFERROR(MID(D347, SEARCH("EST_", D347), 7), MID(D347, SEARCH("OST_",D347), 7))))))))))</f>
        <v/>
      </c>
      <c r="F347" t="inlineStr">
        <is>
          <t>{05-25-2026 groupe whatsapp incident}:    impacted by SUO_801_H_Buea-Agence  Cause:    coupure  AOF_SUO_801_SUO_023_Buea_Agence_Buea-Signal-Hill ;   Action:Routage du traffic sur le FH Buea-Agence&lt;&gt;Buea-Signal-Hill</t>
        </is>
      </c>
    </row>
    <row r="348" hidden="1" s="53">
      <c r="D348" t="inlineStr">
        <is>
          <t>OCM_LAN_BUEA-Sw9300-48P-01_PREMIUM</t>
        </is>
      </c>
      <c r="E348">
        <f>IFERROR(MID(D348, SEARCH("CTR_", D348), 7), IFERROR(MID(D348, SEARCH("SUO_", D348), 7), IFERROR(MID(D348, SEARCH("SUD_", D348), 7), IFERROR(MID(D348, SEARCH("NRO_", D348), 7), IFERROR(MID(D348, SEARCH("ADM_", D348), 7), IFERROR(MID(D348, SEARCH("NRD_", D348), 7), IFERROR(MID(D348, SEARCH("EXN_", D348), 7), IFERROR(MID(D348, SEARCH("LIT_", D348), 7), IFERROR(MID(D348, SEARCH("EST_", D348), 7), MID(D348, SEARCH("OST_",D348), 7))))))))))</f>
        <v/>
      </c>
      <c r="F348" t="inlineStr">
        <is>
          <t>{05-25-2026 groupe whatsapp incident}:    impacted by SUO_801_H_Buea-Agence  Cause:    coupure  AOF_SUO_801_SUO_023_Buea_Agence_Buea-Signal-Hill ;   Action:Routage du traffic sur le FH Buea-Agence&lt;&gt;Buea-Signal-Hill</t>
        </is>
      </c>
    </row>
    <row r="349" hidden="1" s="53">
      <c r="D349" t="inlineStr">
        <is>
          <t>OCM_LAN_BUEA-Sw9300-48P-02_PREMIUM</t>
        </is>
      </c>
      <c r="E349">
        <f>IFERROR(MID(D349, SEARCH("CTR_", D349), 7), IFERROR(MID(D349, SEARCH("SUO_", D349), 7), IFERROR(MID(D349, SEARCH("SUD_", D349), 7), IFERROR(MID(D349, SEARCH("NRO_", D349), 7), IFERROR(MID(D349, SEARCH("ADM_", D349), 7), IFERROR(MID(D349, SEARCH("NRD_", D349), 7), IFERROR(MID(D349, SEARCH("EXN_", D349), 7), IFERROR(MID(D349, SEARCH("LIT_", D349), 7), IFERROR(MID(D349, SEARCH("EST_", D349), 7), MID(D349, SEARCH("OST_",D349), 7))))))))))</f>
        <v/>
      </c>
      <c r="F349" t="inlineStr">
        <is>
          <t>{05-25-2026 groupe whatsapp incident}:    impacted by SUO_801_H_Buea-Agence  Cause:    coupure  AOF_SUO_801_SUO_023_Buea_Agence_Buea-Signal-Hill ;   Action:Routage du traffic sur le FH Buea-Agence&lt;&gt;Buea-Signal-Hill</t>
        </is>
      </c>
    </row>
    <row r="350" hidden="1" s="53">
      <c r="D350" t="inlineStr">
        <is>
          <t>SGC_BUEA-SUO_PREMIUM_OCM</t>
        </is>
      </c>
      <c r="E350">
        <f>IFERROR(MID(D350, SEARCH("CTR_", D350), 7), IFERROR(MID(D350, SEARCH("SUO_", D350), 7), IFERROR(MID(D350, SEARCH("SUD_", D350), 7), IFERROR(MID(D350, SEARCH("NRO_", D350), 7), IFERROR(MID(D350, SEARCH("ADM_", D350), 7), IFERROR(MID(D350, SEARCH("NRD_", D350), 7), IFERROR(MID(D350, SEARCH("EXN_", D350), 7), IFERROR(MID(D350, SEARCH("LIT_", D350), 7), IFERROR(MID(D350, SEARCH("EST_", D350), 7), MID(D350, SEARCH("OST_",D350), 7))))))))))</f>
        <v/>
      </c>
      <c r="F350" t="inlineStr">
        <is>
          <t>{05-25-2026 groupe whatsapp incident}:    impacted by SUO_801_H_Buea-Agence  Cause:    coupure  AOF_SUO_801_SUO_023_Buea_Agence_Buea-Signal-Hill ;   Action:Routage du traffic sur le FH Buea-Agence&lt;&gt;Buea-Signal-Hill</t>
        </is>
      </c>
    </row>
    <row r="351" hidden="1" s="53">
      <c r="B351" t="inlineStr">
        <is>
          <t>SUO_011_H_Monkey-Hill</t>
        </is>
      </c>
      <c r="C351" t="inlineStr">
        <is>
          <t>2605M44753 || INC-20260524-00027118</t>
        </is>
      </c>
      <c r="D351" t="inlineStr">
        <is>
          <t>SUO_082_H_Limbe-Semme-Beach-MTN_U</t>
        </is>
      </c>
      <c r="E351">
        <f>IFERROR(MID(D351, SEARCH("CTR_", D351), 7), IFERROR(MID(D351, SEARCH("SUO_", D351), 7), IFERROR(MID(D351, SEARCH("SUD_", D351), 7), IFERROR(MID(D351, SEARCH("NRO_", D351), 7), IFERROR(MID(D351, SEARCH("ADM_", D351), 7), IFERROR(MID(D351, SEARCH("NRD_", D351), 7), IFERROR(MID(D351, SEARCH("EXN_", D351), 7), IFERROR(MID(D351, SEARCH("LIT_", D351), 7), IFERROR(MID(D351, SEARCH("EST_", D351), 7), MID(D351, SEARCH("OST_",D351), 7))))))))))</f>
        <v/>
      </c>
      <c r="F351" t="inlineStr">
        <is>
          <t>{05-25-2026  incident}:    impacted by SUO_011_H_Monkey-Hill,   RCA: Power issue / En attente RCA IHS</t>
        </is>
      </c>
    </row>
    <row r="352" hidden="1" s="53">
      <c r="D352" t="inlineStr">
        <is>
          <t>SUO_035_H_Debunsha-MTN_U</t>
        </is>
      </c>
      <c r="E352">
        <f>IFERROR(MID(D352, SEARCH("CTR_", D352), 7), IFERROR(MID(D352, SEARCH("SUO_", D352), 7), IFERROR(MID(D352, SEARCH("SUD_", D352), 7), IFERROR(MID(D352, SEARCH("NRO_", D352), 7), IFERROR(MID(D352, SEARCH("ADM_", D352), 7), IFERROR(MID(D352, SEARCH("NRD_", D352), 7), IFERROR(MID(D352, SEARCH("EXN_", D352), 7), IFERROR(MID(D352, SEARCH("LIT_", D352), 7), IFERROR(MID(D352, SEARCH("EST_", D352), 7), MID(D352, SEARCH("OST_",D352), 7))))))))))</f>
        <v/>
      </c>
      <c r="F352" t="inlineStr">
        <is>
          <t>{05-25-2026  incident}:    impacted by SUO_011_H_Monkey-Hill,   RCA: Power issue / En attente RCA IHS</t>
        </is>
      </c>
    </row>
    <row r="353" hidden="1" s="53">
      <c r="D353" t="inlineStr">
        <is>
          <t>SUO_036_H_Idenau-MTN_U</t>
        </is>
      </c>
      <c r="E353">
        <f>IFERROR(MID(D353, SEARCH("CTR_", D353), 7), IFERROR(MID(D353, SEARCH("SUO_", D353), 7), IFERROR(MID(D353, SEARCH("SUD_", D353), 7), IFERROR(MID(D353, SEARCH("NRO_", D353), 7), IFERROR(MID(D353, SEARCH("ADM_", D353), 7), IFERROR(MID(D353, SEARCH("NRD_", D353), 7), IFERROR(MID(D353, SEARCH("EXN_", D353), 7), IFERROR(MID(D353, SEARCH("LIT_", D353), 7), IFERROR(MID(D353, SEARCH("EST_", D353), 7), MID(D353, SEARCH("OST_",D353), 7))))))))))</f>
        <v/>
      </c>
      <c r="F353" t="inlineStr">
        <is>
          <t>{05-25-2026  incident}:    impacted by SUO_011_H_Monkey-Hill,   RCA: Power issue / En attente RCA IHS</t>
        </is>
      </c>
    </row>
    <row r="354" hidden="1" s="53">
      <c r="D354" t="inlineStr">
        <is>
          <t>SUO_011_H_Monkey-Hill</t>
        </is>
      </c>
      <c r="E354">
        <f>IFERROR(MID(D354, SEARCH("CTR_", D354), 7), IFERROR(MID(D354, SEARCH("SUO_", D354), 7), IFERROR(MID(D354, SEARCH("SUD_", D354), 7), IFERROR(MID(D354, SEARCH("NRO_", D354), 7), IFERROR(MID(D354, SEARCH("ADM_", D354), 7), IFERROR(MID(D354, SEARCH("NRD_", D354), 7), IFERROR(MID(D354, SEARCH("EXN_", D354), 7), IFERROR(MID(D354, SEARCH("LIT_", D354), 7), IFERROR(MID(D354, SEARCH("EST_", D354), 7), MID(D354, SEARCH("OST_",D354), 7))))))))))</f>
        <v/>
      </c>
      <c r="F354" t="inlineStr">
        <is>
          <t>{05-25-2026  incident}:    impacted by SUO_011_H_Monkey-Hill,   RCA: Power issue / En attente RCA IHS</t>
        </is>
      </c>
    </row>
    <row r="355" hidden="1" s="53">
      <c r="D355" t="inlineStr">
        <is>
          <t>SUO_082_H_Limbe-Semme-Beach-MTN_U</t>
        </is>
      </c>
      <c r="E355">
        <f>IFERROR(MID(D355, SEARCH("CTR_", D355), 7), IFERROR(MID(D355, SEARCH("SUO_", D355), 7), IFERROR(MID(D355, SEARCH("SUD_", D355), 7), IFERROR(MID(D355, SEARCH("NRO_", D355), 7), IFERROR(MID(D355, SEARCH("ADM_", D355), 7), IFERROR(MID(D355, SEARCH("NRD_", D355), 7), IFERROR(MID(D355, SEARCH("EXN_", D355), 7), IFERROR(MID(D355, SEARCH("LIT_", D355), 7), IFERROR(MID(D355, SEARCH("EST_", D355), 7), MID(D355, SEARCH("OST_",D355), 7))))))))))</f>
        <v/>
      </c>
      <c r="F355" t="inlineStr">
        <is>
          <t>{05-25-2026  incident}:    impacted by SUO_011_H_Monkey-Hill,   RCA: Power issue / En attente RCA IHS</t>
        </is>
      </c>
    </row>
    <row r="356" hidden="1" s="53">
      <c r="D356" t="inlineStr">
        <is>
          <t>SUO_227_H_Limbe-Batoke-Camtel_U</t>
        </is>
      </c>
      <c r="E356">
        <f>IFERROR(MID(D356, SEARCH("CTR_", D356), 7), IFERROR(MID(D356, SEARCH("SUO_", D356), 7), IFERROR(MID(D356, SEARCH("SUD_", D356), 7), IFERROR(MID(D356, SEARCH("NRO_", D356), 7), IFERROR(MID(D356, SEARCH("ADM_", D356), 7), IFERROR(MID(D356, SEARCH("NRD_", D356), 7), IFERROR(MID(D356, SEARCH("EXN_", D356), 7), IFERROR(MID(D356, SEARCH("LIT_", D356), 7), IFERROR(MID(D356, SEARCH("EST_", D356), 7), MID(D356, SEARCH("OST_",D356), 7))))))))))</f>
        <v/>
      </c>
      <c r="F356" t="inlineStr">
        <is>
          <t>{05-25-2026  incident}:    impacted by SUO_011_H_Monkey-Hill,   RCA: Power issue / En attente RCA IHS</t>
        </is>
      </c>
    </row>
    <row r="357" hidden="1" s="53">
      <c r="D357" t="inlineStr">
        <is>
          <t>SUO_292 _URH_BIR-CAMPO</t>
        </is>
      </c>
      <c r="E357">
        <f>IFERROR(MID(D357, SEARCH("CTR_", D357), 7), IFERROR(MID(D357, SEARCH("SUO_", D357), 7), IFERROR(MID(D357, SEARCH("SUD_", D357), 7), IFERROR(MID(D357, SEARCH("NRO_", D357), 7), IFERROR(MID(D357, SEARCH("ADM_", D357), 7), IFERROR(MID(D357, SEARCH("NRD_", D357), 7), IFERROR(MID(D357, SEARCH("EXN_", D357), 7), IFERROR(MID(D357, SEARCH("LIT_", D357), 7), IFERROR(MID(D357, SEARCH("EST_", D357), 7), MID(D357, SEARCH("OST_",D357), 7))))))))))</f>
        <v/>
      </c>
      <c r="F357" t="inlineStr">
        <is>
          <t>{05-25-2026  incident}:    impacted by SUO_011_H_Monkey-Hill,   RCA: Power issue / En attente RCA IHS</t>
        </is>
      </c>
    </row>
    <row r="358" hidden="1" s="53">
      <c r="B358" t="inlineStr">
        <is>
          <t>Boula-Ibi-IHS_G_NRD_105</t>
        </is>
      </c>
      <c r="C358" t="inlineStr">
        <is>
          <t>2605M44506 | INC-20260524-00026848</t>
        </is>
      </c>
      <c r="D358" t="inlineStr">
        <is>
          <t>NRD_301_URH_MAYO_LOPE</t>
        </is>
      </c>
      <c r="E358">
        <f>IFERROR(MID(D358, SEARCH("CTR_", D358), 7), IFERROR(MID(D358, SEARCH("SUO_", D358), 7), IFERROR(MID(D358, SEARCH("SUD_", D358), 7), IFERROR(MID(D358, SEARCH("NRO_", D358), 7), IFERROR(MID(D358, SEARCH("ADM_", D358), 7), IFERROR(MID(D358, SEARCH("NRD_", D358), 7), IFERROR(MID(D358, SEARCH("EXN_", D358), 7), IFERROR(MID(D358, SEARCH("LIT_", D358), 7), IFERROR(MID(D358, SEARCH("EST_", D358), 7), MID(D358, SEARCH("OST_",D358), 7))))))))))</f>
        <v/>
      </c>
      <c r="F358" t="inlineStr">
        <is>
          <t xml:space="preserve">  {05-25-2026 groupe whatsapp incident}:    impacted by  Boula-Ibi-IHS_G_NRD_105 ,RCA: Power issue / En attente RCA IHS</t>
        </is>
      </c>
    </row>
    <row r="359" hidden="1" s="53">
      <c r="D359" t="inlineStr">
        <is>
          <t>NRD_291_URH_BIDE_MOUDANG</t>
        </is>
      </c>
      <c r="F359" t="inlineStr">
        <is>
          <t xml:space="preserve">  {05-25-2026 groupe whatsapp incident}:    impacted by  Boula-Ibi-IHS_G_NRD_105 ,RCA: Power issue / En attente RCA IHS</t>
        </is>
      </c>
    </row>
    <row r="360" hidden="1" s="53">
      <c r="D360" t="inlineStr">
        <is>
          <t>NRD_286_URH_TSOUNA_SANE</t>
        </is>
      </c>
      <c r="F360" t="inlineStr">
        <is>
          <t xml:space="preserve">  {05-25-2026 groupe whatsapp incident}:    impacted by  Boula-Ibi-IHS_G_NRD_105 ,RCA: Power issue / En attente RCA IHS</t>
        </is>
      </c>
    </row>
    <row r="361" hidden="1" s="53">
      <c r="D361" t="inlineStr">
        <is>
          <t>NRD_281_URH_MAKASSELE</t>
        </is>
      </c>
      <c r="F361" t="inlineStr">
        <is>
          <t xml:space="preserve">  {05-25-2026 groupe whatsapp incident}:    impacted by  Boula-Ibi-IHS_G_NRD_105 ,RCA: Power issue / En attente RCA IHS</t>
        </is>
      </c>
    </row>
    <row r="362" hidden="1" s="53">
      <c r="D362" t="inlineStr">
        <is>
          <t>NRD_285_URH_MAFALE</t>
        </is>
      </c>
      <c r="F362" t="inlineStr">
        <is>
          <t xml:space="preserve">  {05-25-2026 groupe whatsapp incident}:    impacted by  Boula-Ibi-IHS_G_NRD_105 ,RCA: Power issue / En attente RCA IHS</t>
        </is>
      </c>
    </row>
    <row r="363" hidden="1" s="53">
      <c r="D363" t="inlineStr">
        <is>
          <t>NRD_282_URH_BOUSSA2</t>
        </is>
      </c>
      <c r="F363" t="inlineStr">
        <is>
          <t xml:space="preserve">  {05-25-2026 groupe whatsapp incident}:    impacted by  Boula-Ibi-IHS_G_NRD_105 ,RCA: Power issue / En attente RCA IHS</t>
        </is>
      </c>
    </row>
    <row r="364" hidden="1" s="53">
      <c r="D364" t="inlineStr">
        <is>
          <t>NRD_283_URH_BIKALE</t>
        </is>
      </c>
      <c r="F364" t="inlineStr">
        <is>
          <t xml:space="preserve">  {05-25-2026 groupe whatsapp incident}:    impacted by  Boula-Ibi-IHS_G_NRD_105 ,RCA: Power issue / En attente RCA IHS</t>
        </is>
      </c>
    </row>
    <row r="365" hidden="1" s="53">
      <c r="D365" t="inlineStr">
        <is>
          <t>NRD_164_H_Padarme-IHS</t>
        </is>
      </c>
      <c r="F365" t="inlineStr">
        <is>
          <t xml:space="preserve">  {05-25-2026 groupe whatsapp incident}:    impacted by  Boula-Ibi-IHS_G_NRD_105 ,RCA: Power issue / En attente RCA IHS</t>
        </is>
      </c>
    </row>
    <row r="366" hidden="1" s="53">
      <c r="D366" t="inlineStr">
        <is>
          <t>NRD_105_H_Boula-Ibi-IHS</t>
        </is>
      </c>
      <c r="F366" t="inlineStr">
        <is>
          <t xml:space="preserve">  {05-25-2026 groupe whatsapp incident}:    impacted by  Boula-Ibi-IHS_G_NRD_105 ,RCA: Power issue / En attente RCA IHS</t>
        </is>
      </c>
    </row>
    <row r="367" hidden="1" s="53">
      <c r="D367" t="inlineStr">
        <is>
          <t>NRD_056_N_Baikwa-Bere</t>
        </is>
      </c>
      <c r="F367" t="inlineStr">
        <is>
          <t xml:space="preserve">  {05-25-2026 groupe whatsapp incident}:    impacted by  Boula-Ibi-IHS_G_NRD_105 ,RCA: Power issue / En attente RCA IHS</t>
        </is>
      </c>
    </row>
    <row r="368" hidden="1" s="53">
      <c r="D368" t="inlineStr">
        <is>
          <t>NRD_129_N_Boussa-IHS</t>
        </is>
      </c>
      <c r="F368" t="inlineStr">
        <is>
          <t xml:space="preserve">  {05-25-2026 groupe whatsapp incident}:    impacted by  Boula-Ibi-IHS_G_NRD_105 ,RCA: Power issue / En attente RCA IHS</t>
        </is>
      </c>
    </row>
    <row r="369" hidden="1" s="53">
      <c r="D369" t="inlineStr">
        <is>
          <t>Hamalade-IHS_G9_NRD_111</t>
        </is>
      </c>
      <c r="E369">
        <f>IFERROR(MID(D369, SEARCH("CTR_", D369), 7), IFERROR(MID(D369, SEARCH("SUO_", D369), 7), IFERROR(MID(D369, SEARCH("SUD_", D369), 7), IFERROR(MID(D369, SEARCH("NRO_", D369), 7), IFERROR(MID(D369, SEARCH("ADM_", D369), 7), IFERROR(MID(D369, SEARCH("NRD_", D369), 7), IFERROR(MID(D369, SEARCH("EXN_", D369), 7), IFERROR(MID(D369, SEARCH("LIT_", D369), 7), IFERROR(MID(D369, SEARCH("EST_", D369), 7), MID(D369, SEARCH("OST_",D369), 7))))))))))</f>
        <v/>
      </c>
      <c r="F369" t="inlineStr">
        <is>
          <t xml:space="preserve">  {05-25-2026 groupe whatsapp incident}:    impacted by  Boula-Ibi-IHS_G_NRD_105 ,RCA: Power issue / En attente RCA IHS</t>
        </is>
      </c>
    </row>
    <row r="370" hidden="1" s="53">
      <c r="D370" t="inlineStr">
        <is>
          <t>Kapanyaye-IHS_U_NRD_109</t>
        </is>
      </c>
      <c r="E370">
        <f>IFERROR(MID(D370, SEARCH("CTR_", D370), 7), IFERROR(MID(D370, SEARCH("SUO_", D370), 7), IFERROR(MID(D370, SEARCH("SUD_", D370), 7), IFERROR(MID(D370, SEARCH("NRO_", D370), 7), IFERROR(MID(D370, SEARCH("ADM_", D370), 7), IFERROR(MID(D370, SEARCH("NRD_", D370), 7), IFERROR(MID(D370, SEARCH("EXN_", D370), 7), IFERROR(MID(D370, SEARCH("LIT_", D370), 7), IFERROR(MID(D370, SEARCH("EST_", D370), 7), MID(D370, SEARCH("OST_",D370), 7))))))))))</f>
        <v/>
      </c>
      <c r="F370" t="inlineStr">
        <is>
          <t xml:space="preserve">  {05-25-2026 groupe whatsapp incident}:    impacted by  Boula-Ibi-IHS_G_NRD_105 ,RCA: Power issue / En attente RCA IHS</t>
        </is>
      </c>
    </row>
    <row r="371" hidden="1" s="53">
      <c r="D371" t="inlineStr">
        <is>
          <t>Adoumre-IHS_G_NRD_078</t>
        </is>
      </c>
      <c r="E371">
        <f>IFERROR(MID(D371, SEARCH("CTR_", D371), 7), IFERROR(MID(D371, SEARCH("SUO_", D371), 7), IFERROR(MID(D371, SEARCH("SUD_", D371), 7), IFERROR(MID(D371, SEARCH("NRO_", D371), 7), IFERROR(MID(D371, SEARCH("ADM_", D371), 7), IFERROR(MID(D371, SEARCH("NRD_", D371), 7), IFERROR(MID(D371, SEARCH("EXN_", D371), 7), IFERROR(MID(D371, SEARCH("LIT_", D371), 7), IFERROR(MID(D371, SEARCH("EST_", D371), 7), MID(D371, SEARCH("OST_",D371), 7))))))))))</f>
        <v/>
      </c>
      <c r="F371" t="inlineStr">
        <is>
          <t xml:space="preserve">  {05-25-2026 groupe whatsapp incident}:    impacted by  Boula-Ibi-IHS_G_NRD_105 ,RCA: Power issue / En attente RCA IHS</t>
        </is>
      </c>
    </row>
    <row r="372" hidden="1" s="53">
      <c r="D372" t="inlineStr">
        <is>
          <t>Mayo-Nonde-IHS_G9U9_NRD_106</t>
        </is>
      </c>
      <c r="E372">
        <f>IFERROR(MID(D372, SEARCH("CTR_", D372), 7), IFERROR(MID(D372, SEARCH("SUO_", D372), 7), IFERROR(MID(D372, SEARCH("SUD_", D372), 7), IFERROR(MID(D372, SEARCH("NRO_", D372), 7), IFERROR(MID(D372, SEARCH("ADM_", D372), 7), IFERROR(MID(D372, SEARCH("NRD_", D372), 7), IFERROR(MID(D372, SEARCH("EXN_", D372), 7), IFERROR(MID(D372, SEARCH("LIT_", D372), 7), IFERROR(MID(D372, SEARCH("EST_", D372), 7), MID(D372, SEARCH("OST_",D372), 7))))))))))</f>
        <v/>
      </c>
      <c r="F372" t="inlineStr">
        <is>
          <t xml:space="preserve">  {05-25-2026 groupe whatsapp incident}:    impacted by  Boula-Ibi-IHS_G_NRD_105 ,RCA: Power issue / En attente RCA IHS</t>
        </is>
      </c>
    </row>
    <row r="373" hidden="1" s="53">
      <c r="B373" t="inlineStr">
        <is>
          <t>Bariki-IHS_GD_EXN_167</t>
        </is>
      </c>
      <c r="C373" t="inlineStr">
        <is>
          <t>2605M42449 | INC-20260524-00024581</t>
        </is>
      </c>
      <c r="D373" t="inlineStr">
        <is>
          <t>EXN_464_URH_MOFTOU MOGODE</t>
        </is>
      </c>
      <c r="E373">
        <f>IFERROR(MID(D373, SEARCH("CTR_", D373), 7), IFERROR(MID(D373, SEARCH("SUO_", D373), 7), IFERROR(MID(D373, SEARCH("SUD_", D373), 7), IFERROR(MID(D373, SEARCH("NRO_", D373), 7), IFERROR(MID(D373, SEARCH("ADM_", D373), 7), IFERROR(MID(D373, SEARCH("NRD_", D373), 7), IFERROR(MID(D373, SEARCH("EXN_", D373), 7), IFERROR(MID(D373, SEARCH("LIT_", D373), 7), IFERROR(MID(D373, SEARCH("EST_", D373), 7), MID(D373, SEARCH("OST_",D373), 7))))))))))</f>
        <v/>
      </c>
      <c r="F373" t="inlineStr">
        <is>
          <t xml:space="preserve">  {05-25-2026 groupe whatsapp incident}:    impacted by   Bariki-IHS_GD_EXN_167   ,RCA: Power issue / En attente RCA IHS</t>
        </is>
      </c>
    </row>
    <row r="374" hidden="1" s="53">
      <c r="D374" t="inlineStr">
        <is>
          <t>EXN_436_URH_MABAS</t>
        </is>
      </c>
      <c r="E374">
        <f>IFERROR(MID(D374, SEARCH("CTR_", D374), 7), IFERROR(MID(D374, SEARCH("SUO_", D374), 7), IFERROR(MID(D374, SEARCH("SUD_", D374), 7), IFERROR(MID(D374, SEARCH("NRO_", D374), 7), IFERROR(MID(D374, SEARCH("ADM_", D374), 7), IFERROR(MID(D374, SEARCH("NRD_", D374), 7), IFERROR(MID(D374, SEARCH("EXN_", D374), 7), IFERROR(MID(D374, SEARCH("LIT_", D374), 7), IFERROR(MID(D374, SEARCH("EST_", D374), 7), MID(D374, SEARCH("OST_",D374), 7))))))))))</f>
        <v/>
      </c>
      <c r="F374" t="inlineStr">
        <is>
          <t xml:space="preserve">  {05-25-2026 groupe whatsapp incident}:    impacted by   Bariki-IHS_GD_EXN_167   ,RCA: Power issue / En attente RCA IHS</t>
        </is>
      </c>
    </row>
    <row r="375" hidden="1" s="53">
      <c r="D375" t="inlineStr">
        <is>
          <t>EXN_442_URH_WOULA</t>
        </is>
      </c>
      <c r="E375">
        <f>IFERROR(MID(D375, SEARCH("CTR_", D375), 7), IFERROR(MID(D375, SEARCH("SUO_", D375), 7), IFERROR(MID(D375, SEARCH("SUD_", D375), 7), IFERROR(MID(D375, SEARCH("NRO_", D375), 7), IFERROR(MID(D375, SEARCH("ADM_", D375), 7), IFERROR(MID(D375, SEARCH("NRD_", D375), 7), IFERROR(MID(D375, SEARCH("EXN_", D375), 7), IFERROR(MID(D375, SEARCH("LIT_", D375), 7), IFERROR(MID(D375, SEARCH("EST_", D375), 7), MID(D375, SEARCH("OST_",D375), 7))))))))))</f>
        <v/>
      </c>
      <c r="F375" t="inlineStr">
        <is>
          <t xml:space="preserve">  {05-25-2026 groupe whatsapp incident}:    impacted by   Bariki-IHS_GD_EXN_167   ,RCA: Power issue / En attente RCA IHS</t>
        </is>
      </c>
    </row>
    <row r="376" hidden="1" s="53">
      <c r="D376" t="inlineStr">
        <is>
          <t>EXN_461_URH_FOFFI_RHOUMZOU</t>
        </is>
      </c>
      <c r="E376">
        <f>IFERROR(MID(D376, SEARCH("CTR_", D376), 7), IFERROR(MID(D376, SEARCH("SUO_", D376), 7), IFERROR(MID(D376, SEARCH("SUD_", D376), 7), IFERROR(MID(D376, SEARCH("NRO_", D376), 7), IFERROR(MID(D376, SEARCH("ADM_", D376), 7), IFERROR(MID(D376, SEARCH("NRD_", D376), 7), IFERROR(MID(D376, SEARCH("EXN_", D376), 7), IFERROR(MID(D376, SEARCH("LIT_", D376), 7), IFERROR(MID(D376, SEARCH("EST_", D376), 7), MID(D376, SEARCH("OST_",D376), 7))))))))))</f>
        <v/>
      </c>
      <c r="F376" t="inlineStr">
        <is>
          <t xml:space="preserve">  {05-25-2026 groupe whatsapp incident}:    impacted by   Bariki-IHS_GD_EXN_167   ,RCA: Power issue / En attente RCA IHS</t>
        </is>
      </c>
    </row>
    <row r="377" hidden="1" s="53">
      <c r="D377" t="inlineStr">
        <is>
          <t>EXN_458_URH_RHUMZOU2</t>
        </is>
      </c>
      <c r="E377">
        <f>IFERROR(MID(D377, SEARCH("CTR_", D377), 7), IFERROR(MID(D377, SEARCH("SUO_", D377), 7), IFERROR(MID(D377, SEARCH("SUD_", D377), 7), IFERROR(MID(D377, SEARCH("NRO_", D377), 7), IFERROR(MID(D377, SEARCH("ADM_", D377), 7), IFERROR(MID(D377, SEARCH("NRD_", D377), 7), IFERROR(MID(D377, SEARCH("EXN_", D377), 7), IFERROR(MID(D377, SEARCH("LIT_", D377), 7), IFERROR(MID(D377, SEARCH("EST_", D377), 7), MID(D377, SEARCH("OST_",D377), 7))))))))))</f>
        <v/>
      </c>
      <c r="F377" t="inlineStr">
        <is>
          <t xml:space="preserve">  {05-25-2026 groupe whatsapp incident}:    impacted by   Bariki-IHS_GD_EXN_167   ,RCA: Power issue / En attente RCA IHS</t>
        </is>
      </c>
    </row>
    <row r="378" hidden="1" s="53">
      <c r="D378" t="inlineStr">
        <is>
          <t>EXN_469_URH_VITTE</t>
        </is>
      </c>
      <c r="E378">
        <f>IFERROR(MID(D378, SEARCH("CTR_", D378), 7), IFERROR(MID(D378, SEARCH("SUO_", D378), 7), IFERROR(MID(D378, SEARCH("SUD_", D378), 7), IFERROR(MID(D378, SEARCH("NRO_", D378), 7), IFERROR(MID(D378, SEARCH("ADM_", D378), 7), IFERROR(MID(D378, SEARCH("NRD_", D378), 7), IFERROR(MID(D378, SEARCH("EXN_", D378), 7), IFERROR(MID(D378, SEARCH("LIT_", D378), 7), IFERROR(MID(D378, SEARCH("EST_", D378), 7), MID(D378, SEARCH("OST_",D378), 7))))))))))</f>
        <v/>
      </c>
      <c r="F378" t="inlineStr">
        <is>
          <t xml:space="preserve">  {05-25-2026 groupe whatsapp incident}:    impacted by   Bariki-IHS_GD_EXN_167   ,RCA: Power issue / En attente RCA IHS</t>
        </is>
      </c>
    </row>
    <row r="379" hidden="1" s="53">
      <c r="D379" t="inlineStr">
        <is>
          <t>EXN_449_URH_MAYO_SANGANAREY</t>
        </is>
      </c>
      <c r="E379">
        <f>IFERROR(MID(D379, SEARCH("CTR_", D379), 7), IFERROR(MID(D379, SEARCH("SUO_", D379), 7), IFERROR(MID(D379, SEARCH("SUD_", D379), 7), IFERROR(MID(D379, SEARCH("NRO_", D379), 7), IFERROR(MID(D379, SEARCH("ADM_", D379), 7), IFERROR(MID(D379, SEARCH("NRD_", D379), 7), IFERROR(MID(D379, SEARCH("EXN_", D379), 7), IFERROR(MID(D379, SEARCH("LIT_", D379), 7), IFERROR(MID(D379, SEARCH("EST_", D379), 7), MID(D379, SEARCH("OST_",D379), 7))))))))))</f>
        <v/>
      </c>
      <c r="F379" t="inlineStr">
        <is>
          <t xml:space="preserve">  {05-25-2026 groupe whatsapp incident}:    impacted by   Bariki-IHS_GD_EXN_167   ,RCA: Power issue / En attente RCA IHS</t>
        </is>
      </c>
    </row>
    <row r="380" hidden="1" s="53">
      <c r="D380" t="inlineStr">
        <is>
          <t>EXN_472_URH_GUILI</t>
        </is>
      </c>
      <c r="E380">
        <f>IFERROR(MID(D380, SEARCH("CTR_", D380), 7), IFERROR(MID(D380, SEARCH("SUO_", D380), 7), IFERROR(MID(D380, SEARCH("SUD_", D380), 7), IFERROR(MID(D380, SEARCH("NRO_", D380), 7), IFERROR(MID(D380, SEARCH("ADM_", D380), 7), IFERROR(MID(D380, SEARCH("NRD_", D380), 7), IFERROR(MID(D380, SEARCH("EXN_", D380), 7), IFERROR(MID(D380, SEARCH("LIT_", D380), 7), IFERROR(MID(D380, SEARCH("EST_", D380), 7), MID(D380, SEARCH("OST_",D380), 7))))))))))</f>
        <v/>
      </c>
      <c r="F380" t="inlineStr">
        <is>
          <t xml:space="preserve">  {05-25-2026 groupe whatsapp incident}:    impacted by   Bariki-IHS_GD_EXN_167   ,RCA: Power issue / En attente RCA IHS</t>
        </is>
      </c>
    </row>
    <row r="381" hidden="1" s="53">
      <c r="D381" t="inlineStr">
        <is>
          <t>Kossehone_GD_EXN_243</t>
        </is>
      </c>
      <c r="E381">
        <f>IFERROR(MID(D381, SEARCH("CTR_", D381), 7), IFERROR(MID(D381, SEARCH("SUO_", D381), 7), IFERROR(MID(D381, SEARCH("SUD_", D381), 7), IFERROR(MID(D381, SEARCH("NRO_", D381), 7), IFERROR(MID(D381, SEARCH("ADM_", D381), 7), IFERROR(MID(D381, SEARCH("NRD_", D381), 7), IFERROR(MID(D381, SEARCH("EXN_", D381), 7), IFERROR(MID(D381, SEARCH("LIT_", D381), 7), IFERROR(MID(D381, SEARCH("EST_", D381), 7), MID(D381, SEARCH("OST_",D381), 7))))))))))</f>
        <v/>
      </c>
      <c r="F381" t="inlineStr">
        <is>
          <t xml:space="preserve">  {05-25-2026 groupe whatsapp incident}:    impacted by   Bariki-IHS_GD_EXN_167   ,RCA: Power issue / En attente RCA IHS</t>
        </is>
      </c>
    </row>
    <row r="382" hidden="1" s="53">
      <c r="D382" t="inlineStr">
        <is>
          <t>Bariki-IHS_GD_EXN_167</t>
        </is>
      </c>
      <c r="E382">
        <f>IFERROR(MID(D382, SEARCH("CTR_", D382), 7), IFERROR(MID(D382, SEARCH("SUO_", D382), 7), IFERROR(MID(D382, SEARCH("SUD_", D382), 7), IFERROR(MID(D382, SEARCH("NRO_", D382), 7), IFERROR(MID(D382, SEARCH("ADM_", D382), 7), IFERROR(MID(D382, SEARCH("NRD_", D382), 7), IFERROR(MID(D382, SEARCH("EXN_", D382), 7), IFERROR(MID(D382, SEARCH("LIT_", D382), 7), IFERROR(MID(D382, SEARCH("EST_", D382), 7), MID(D382, SEARCH("OST_",D382), 7))))))))))</f>
        <v/>
      </c>
      <c r="F382" t="inlineStr">
        <is>
          <t xml:space="preserve">  {05-25-2026 groupe whatsapp incident}:    impacted by   Bariki-IHS_GD_EXN_167   ,RCA: Power issue / En attente RCA IHS</t>
        </is>
      </c>
    </row>
    <row r="383" hidden="1" s="53">
      <c r="B383" t="inlineStr">
        <is>
          <t>EXN_066_H_Maroua-Stade</t>
        </is>
      </c>
      <c r="C383" t="inlineStr">
        <is>
          <t>2605M43656 | INC-20260524-00025922</t>
        </is>
      </c>
      <c r="D383" t="inlineStr">
        <is>
          <t>Salack_L18_EXN_008_MRBTS2</t>
        </is>
      </c>
      <c r="E383">
        <f>IFERROR(MID(D383, SEARCH("CTR_", D383), 7), IFERROR(MID(D383, SEARCH("SUO_", D383), 7), IFERROR(MID(D383, SEARCH("SUD_", D383), 7), IFERROR(MID(D383, SEARCH("NRO_", D383), 7), IFERROR(MID(D383, SEARCH("ADM_", D383), 7), IFERROR(MID(D383, SEARCH("NRD_", D383), 7), IFERROR(MID(D383, SEARCH("EXN_", D383), 7), IFERROR(MID(D383, SEARCH("LIT_", D383), 7), IFERROR(MID(D383, SEARCH("EST_", D383), 7), MID(D383, SEARCH("OST_",D383), 7))))))))))</f>
        <v/>
      </c>
      <c r="F383" t="inlineStr">
        <is>
          <t>{05-25-2026 groupe whatsapp incident}:    impacted by EXN_066_H_Maroua-Stade   ,Cause:   Souci Energie   Action:   En Attente RCA IHS</t>
        </is>
      </c>
    </row>
    <row r="384" hidden="1" s="53">
      <c r="D384" t="inlineStr">
        <is>
          <t>EXN_491_URH_KALWA_FOULBE</t>
        </is>
      </c>
      <c r="E384">
        <f>IFERROR(MID(D384, SEARCH("CTR_", D384), 7), IFERROR(MID(D384, SEARCH("SUO_", D384), 7), IFERROR(MID(D384, SEARCH("SUD_", D384), 7), IFERROR(MID(D384, SEARCH("NRO_", D384), 7), IFERROR(MID(D384, SEARCH("ADM_", D384), 7), IFERROR(MID(D384, SEARCH("NRD_", D384), 7), IFERROR(MID(D384, SEARCH("EXN_", D384), 7), IFERROR(MID(D384, SEARCH("LIT_", D384), 7), IFERROR(MID(D384, SEARCH("EST_", D384), 7), MID(D384, SEARCH("OST_",D384), 7))))))))))</f>
        <v/>
      </c>
      <c r="F384" t="inlineStr">
        <is>
          <t>{05-25-2026 groupe whatsapp incident}:    impacted by EXN_066_H_Maroua-Stade   ,Cause:   Souci Energie   Action:   En Attente RCA IHS</t>
        </is>
      </c>
    </row>
    <row r="385" hidden="1" s="53">
      <c r="D385" t="inlineStr">
        <is>
          <t>EXN_334_URH_BIR_SALACK</t>
        </is>
      </c>
      <c r="E385">
        <f>IFERROR(MID(D385, SEARCH("CTR_", D385), 7), IFERROR(MID(D385, SEARCH("SUO_", D385), 7), IFERROR(MID(D385, SEARCH("SUD_", D385), 7), IFERROR(MID(D385, SEARCH("NRO_", D385), 7), IFERROR(MID(D385, SEARCH("ADM_", D385), 7), IFERROR(MID(D385, SEARCH("NRD_", D385), 7), IFERROR(MID(D385, SEARCH("EXN_", D385), 7), IFERROR(MID(D385, SEARCH("LIT_", D385), 7), IFERROR(MID(D385, SEARCH("EST_", D385), 7), MID(D385, SEARCH("OST_",D385), 7))))))))))</f>
        <v/>
      </c>
      <c r="F385" t="inlineStr">
        <is>
          <t>{05-25-2026 groupe whatsapp incident}:    impacted by EXN_066_H_Maroua-Stade   ,Cause:   Souci Energie   Action:   En Attente RCA IHS</t>
        </is>
      </c>
    </row>
    <row r="386" hidden="1" s="53">
      <c r="D386" t="inlineStr">
        <is>
          <t>EXN_153_H_Salak-MTN-HIS</t>
        </is>
      </c>
      <c r="E386">
        <f>IFERROR(MID(D386, SEARCH("CTR_", D386), 7), IFERROR(MID(D386, SEARCH("SUO_", D386), 7), IFERROR(MID(D386, SEARCH("SUD_", D386), 7), IFERROR(MID(D386, SEARCH("NRO_", D386), 7), IFERROR(MID(D386, SEARCH("ADM_", D386), 7), IFERROR(MID(D386, SEARCH("NRD_", D386), 7), IFERROR(MID(D386, SEARCH("EXN_", D386), 7), IFERROR(MID(D386, SEARCH("LIT_", D386), 7), IFERROR(MID(D386, SEARCH("EST_", D386), 7), MID(D386, SEARCH("OST_",D386), 7))))))))))</f>
        <v/>
      </c>
      <c r="F386" t="inlineStr">
        <is>
          <t>{05-25-2026 groupe whatsapp incident}:    impacted by EXN_066_H_Maroua-Stade   ,Cause:   Souci Energie   Action:   En Attente RCA IHS</t>
        </is>
      </c>
    </row>
    <row r="387" hidden="1" s="53">
      <c r="D387" t="inlineStr">
        <is>
          <t>EXN_071_H_Maroua-Camp-SIC</t>
        </is>
      </c>
      <c r="E387">
        <f>IFERROR(MID(D387, SEARCH("CTR_", D387), 7), IFERROR(MID(D387, SEARCH("SUO_", D387), 7), IFERROR(MID(D387, SEARCH("SUD_", D387), 7), IFERROR(MID(D387, SEARCH("NRO_", D387), 7), IFERROR(MID(D387, SEARCH("ADM_", D387), 7), IFERROR(MID(D387, SEARCH("NRD_", D387), 7), IFERROR(MID(D387, SEARCH("EXN_", D387), 7), IFERROR(MID(D387, SEARCH("LIT_", D387), 7), IFERROR(MID(D387, SEARCH("EST_", D387), 7), MID(D387, SEARCH("OST_",D387), 7))))))))))</f>
        <v/>
      </c>
      <c r="F387" t="inlineStr">
        <is>
          <t>{05-25-2026 groupe whatsapp incident}:    impacted by EXN_066_H_Maroua-Stade   ,Cause:   Souci Energie   Action:   En Attente RCA IHS</t>
        </is>
      </c>
    </row>
    <row r="388" hidden="1" s="53">
      <c r="D388" t="inlineStr">
        <is>
          <t>EXN_066_H_Maroua-Stade</t>
        </is>
      </c>
      <c r="E388">
        <f>IFERROR(MID(D388, SEARCH("CTR_", D388), 7), IFERROR(MID(D388, SEARCH("SUO_", D388), 7), IFERROR(MID(D388, SEARCH("SUD_", D388), 7), IFERROR(MID(D388, SEARCH("NRO_", D388), 7), IFERROR(MID(D388, SEARCH("ADM_", D388), 7), IFERROR(MID(D388, SEARCH("NRD_", D388), 7), IFERROR(MID(D388, SEARCH("EXN_", D388), 7), IFERROR(MID(D388, SEARCH("LIT_", D388), 7), IFERROR(MID(D388, SEARCH("EST_", D388), 7), MID(D388, SEARCH("OST_",D388), 7))))))))))</f>
        <v/>
      </c>
      <c r="F388" t="inlineStr">
        <is>
          <t>{05-25-2026 groupe whatsapp incident}:    impacted by EXN_066_H_Maroua-Stade   ,Cause:   Souci Energie   Action:   En Attente RCA IHS</t>
        </is>
      </c>
    </row>
    <row r="389" hidden="1" s="53">
      <c r="B389" t="inlineStr">
        <is>
          <t xml:space="preserve">Boula-1bVIHS G NRD_105 </t>
        </is>
      </c>
      <c r="C389" t="inlineStr">
        <is>
          <t>2605M89505 | INC-20260526-00005428</t>
        </is>
      </c>
      <c r="D389" t="inlineStr">
        <is>
          <t>Padame-IHS_G_NRD_164</t>
        </is>
      </c>
      <c r="E389">
        <f>IFERROR(MID(D389, SEARCH("CTR_", D389), 7), IFERROR(MID(D389, SEARCH("SUO_", D389), 7), IFERROR(MID(D389, SEARCH("SUD_", D389), 7), IFERROR(MID(D389, SEARCH("NRO_", D389), 7), IFERROR(MID(D389, SEARCH("ADM_", D389), 7), IFERROR(MID(D389, SEARCH("NRD_", D389), 7), IFERROR(MID(D389, SEARCH("EXN_", D389), 7), IFERROR(MID(D389, SEARCH("LIT_", D389), 7), IFERROR(MID(D389, SEARCH("EST_", D389), 7), MID(D389, SEARCH("OST_",D389), 7))))))))))</f>
        <v/>
      </c>
      <c r="F389" t="inlineStr">
        <is>
          <t>{05-25-2026  incident}:    impacted by  Boula-1bVIHS G NRD_105   ,Cause:   Souci Energie   Action:   En Attente RCA IHS</t>
        </is>
      </c>
    </row>
    <row r="390" hidden="1" s="53">
      <c r="D390" t="inlineStr">
        <is>
          <t>Boussa-IHS_G_NRD_129</t>
        </is>
      </c>
      <c r="E390">
        <f>IFERROR(MID(D390, SEARCH("CTR_", D390), 7), IFERROR(MID(D390, SEARCH("SUO_", D390), 7), IFERROR(MID(D390, SEARCH("SUD_", D390), 7), IFERROR(MID(D390, SEARCH("NRO_", D390), 7), IFERROR(MID(D390, SEARCH("ADM_", D390), 7), IFERROR(MID(D390, SEARCH("NRD_", D390), 7), IFERROR(MID(D390, SEARCH("EXN_", D390), 7), IFERROR(MID(D390, SEARCH("LIT_", D390), 7), IFERROR(MID(D390, SEARCH("EST_", D390), 7), MID(D390, SEARCH("OST_",D390), 7))))))))))</f>
        <v/>
      </c>
      <c r="F390" t="inlineStr">
        <is>
          <t>{05-25-2026  incident}:    impacted by  Boula-1bVIHS G NRD_105   ,Cause:   Souci Energie   Action:   En Attente RCA IHS</t>
        </is>
      </c>
    </row>
    <row r="391" hidden="1" s="53">
      <c r="D391" t="inlineStr">
        <is>
          <t>Baikwa-Bere_G9_NRD_056</t>
        </is>
      </c>
      <c r="E391">
        <f>IFERROR(MID(D391, SEARCH("CTR_", D391), 7), IFERROR(MID(D391, SEARCH("SUO_", D391), 7), IFERROR(MID(D391, SEARCH("SUD_", D391), 7), IFERROR(MID(D391, SEARCH("NRO_", D391), 7), IFERROR(MID(D391, SEARCH("ADM_", D391), 7), IFERROR(MID(D391, SEARCH("NRD_", D391), 7), IFERROR(MID(D391, SEARCH("EXN_", D391), 7), IFERROR(MID(D391, SEARCH("LIT_", D391), 7), IFERROR(MID(D391, SEARCH("EST_", D391), 7), MID(D391, SEARCH("OST_",D391), 7))))))))))</f>
        <v/>
      </c>
      <c r="F391" t="inlineStr">
        <is>
          <t>{05-25-2026  incident}:    impacted by  Boula-1bVIHS G NRD_105   ,Cause:   Souci Energie   Action:   En Attente RCA IHS</t>
        </is>
      </c>
    </row>
    <row r="392" hidden="1" s="53">
      <c r="D392" t="inlineStr">
        <is>
          <t>Hamalade-IHS_G9_NRD_111</t>
        </is>
      </c>
      <c r="E392">
        <f>IFERROR(MID(D392, SEARCH("CTR_", D392), 7), IFERROR(MID(D392, SEARCH("SUO_", D392), 7), IFERROR(MID(D392, SEARCH("SUD_", D392), 7), IFERROR(MID(D392, SEARCH("NRO_", D392), 7), IFERROR(MID(D392, SEARCH("ADM_", D392), 7), IFERROR(MID(D392, SEARCH("NRD_", D392), 7), IFERROR(MID(D392, SEARCH("EXN_", D392), 7), IFERROR(MID(D392, SEARCH("LIT_", D392), 7), IFERROR(MID(D392, SEARCH("EST_", D392), 7), MID(D392, SEARCH("OST_",D392), 7))))))))))</f>
        <v/>
      </c>
      <c r="F392" t="inlineStr">
        <is>
          <t>{05-25-2026  incident}:    impacted by  Boula-1bVIHS G NRD_105   ,Cause:   Souci Energie   Action:   En Attente RCA IHS</t>
        </is>
      </c>
    </row>
    <row r="393" hidden="1" s="53">
      <c r="D393" t="inlineStr">
        <is>
          <t>NRD_301_URH_MAYO_LOPE</t>
        </is>
      </c>
      <c r="E393">
        <f>IFERROR(MID(D393, SEARCH("CTR_", D393), 7), IFERROR(MID(D393, SEARCH("SUO_", D393), 7), IFERROR(MID(D393, SEARCH("SUD_", D393), 7), IFERROR(MID(D393, SEARCH("NRO_", D393), 7), IFERROR(MID(D393, SEARCH("ADM_", D393), 7), IFERROR(MID(D393, SEARCH("NRD_", D393), 7), IFERROR(MID(D393, SEARCH("EXN_", D393), 7), IFERROR(MID(D393, SEARCH("LIT_", D393), 7), IFERROR(MID(D393, SEARCH("EST_", D393), 7), MID(D393, SEARCH("OST_",D393), 7))))))))))</f>
        <v/>
      </c>
      <c r="F393" t="inlineStr">
        <is>
          <t>{05-25-2026  incident}:    impacted by  Boula-1bVIHS G NRD_105   ,Cause:   Souci Energie   Action:   En Attente RCA IHS</t>
        </is>
      </c>
    </row>
    <row r="394" hidden="1" s="53">
      <c r="D394" t="inlineStr">
        <is>
          <t>NRD_286_URH_TSOUNA_SANE</t>
        </is>
      </c>
      <c r="E394">
        <f>IFERROR(MID(D394, SEARCH("CTR_", D394), 7), IFERROR(MID(D394, SEARCH("SUO_", D394), 7), IFERROR(MID(D394, SEARCH("SUD_", D394), 7), IFERROR(MID(D394, SEARCH("NRO_", D394), 7), IFERROR(MID(D394, SEARCH("ADM_", D394), 7), IFERROR(MID(D394, SEARCH("NRD_", D394), 7), IFERROR(MID(D394, SEARCH("EXN_", D394), 7), IFERROR(MID(D394, SEARCH("LIT_", D394), 7), IFERROR(MID(D394, SEARCH("EST_", D394), 7), MID(D394, SEARCH("OST_",D394), 7))))))))))</f>
        <v/>
      </c>
      <c r="F394" t="inlineStr">
        <is>
          <t>{05-25-2026  incident}:    impacted by  Boula-1bVIHS G NRD_105   ,Cause:   Souci Energie   Action:   En Attente RCA IHS</t>
        </is>
      </c>
    </row>
    <row r="395" hidden="1" s="53">
      <c r="D395" t="inlineStr">
        <is>
          <t>NRD_281_URH_MAKASSELE</t>
        </is>
      </c>
      <c r="E395">
        <f>IFERROR(MID(D395, SEARCH("CTR_", D395), 7), IFERROR(MID(D395, SEARCH("SUO_", D395), 7), IFERROR(MID(D395, SEARCH("SUD_", D395), 7), IFERROR(MID(D395, SEARCH("NRO_", D395), 7), IFERROR(MID(D395, SEARCH("ADM_", D395), 7), IFERROR(MID(D395, SEARCH("NRD_", D395), 7), IFERROR(MID(D395, SEARCH("EXN_", D395), 7), IFERROR(MID(D395, SEARCH("LIT_", D395), 7), IFERROR(MID(D395, SEARCH("EST_", D395), 7), MID(D395, SEARCH("OST_",D395), 7))))))))))</f>
        <v/>
      </c>
      <c r="F395" t="inlineStr">
        <is>
          <t>{05-25-2026  incident}:    impacted by  Boula-1bVIHS G NRD_105   ,Cause:   Souci Energie   Action:   En Attente RCA IHS</t>
        </is>
      </c>
    </row>
    <row r="396" hidden="1" s="53">
      <c r="D396" t="inlineStr">
        <is>
          <t>NRD_285_URH_MAFALE</t>
        </is>
      </c>
      <c r="E396">
        <f>IFERROR(MID(D396, SEARCH("CTR_", D396), 7), IFERROR(MID(D396, SEARCH("SUO_", D396), 7), IFERROR(MID(D396, SEARCH("SUD_", D396), 7), IFERROR(MID(D396, SEARCH("NRO_", D396), 7), IFERROR(MID(D396, SEARCH("ADM_", D396), 7), IFERROR(MID(D396, SEARCH("NRD_", D396), 7), IFERROR(MID(D396, SEARCH("EXN_", D396), 7), IFERROR(MID(D396, SEARCH("LIT_", D396), 7), IFERROR(MID(D396, SEARCH("EST_", D396), 7), MID(D396, SEARCH("OST_",D396), 7))))))))))</f>
        <v/>
      </c>
      <c r="F396" t="inlineStr">
        <is>
          <t>{05-25-2026  incident}:    impacted by  Boula-1bVIHS G NRD_105   ,Cause:   Souci Energie   Action:   En Attente RCA IHS</t>
        </is>
      </c>
    </row>
    <row r="397" hidden="1" s="53">
      <c r="D397" t="inlineStr">
        <is>
          <t>NRD_283_URH_BIKALE</t>
        </is>
      </c>
      <c r="E397">
        <f>IFERROR(MID(D397, SEARCH("CTR_", D397), 7), IFERROR(MID(D397, SEARCH("SUO_", D397), 7), IFERROR(MID(D397, SEARCH("SUD_", D397), 7), IFERROR(MID(D397, SEARCH("NRO_", D397), 7), IFERROR(MID(D397, SEARCH("ADM_", D397), 7), IFERROR(MID(D397, SEARCH("NRD_", D397), 7), IFERROR(MID(D397, SEARCH("EXN_", D397), 7), IFERROR(MID(D397, SEARCH("LIT_", D397), 7), IFERROR(MID(D397, SEARCH("EST_", D397), 7), MID(D397, SEARCH("OST_",D397), 7))))))))))</f>
        <v/>
      </c>
      <c r="F397" t="inlineStr">
        <is>
          <t>{05-25-2026  incident}:    impacted by  Boula-1bVIHS G NRD_105   ,Cause:   Souci Energie   Action:   En Attente RCA IHS</t>
        </is>
      </c>
    </row>
    <row r="398" hidden="1" s="53">
      <c r="D398" t="inlineStr">
        <is>
          <t>NRD_288_URH_YABERYA</t>
        </is>
      </c>
      <c r="E398">
        <f>IFERROR(MID(D398, SEARCH("CTR_", D398), 7), IFERROR(MID(D398, SEARCH("SUO_", D398), 7), IFERROR(MID(D398, SEARCH("SUD_", D398), 7), IFERROR(MID(D398, SEARCH("NRO_", D398), 7), IFERROR(MID(D398, SEARCH("ADM_", D398), 7), IFERROR(MID(D398, SEARCH("NRD_", D398), 7), IFERROR(MID(D398, SEARCH("EXN_", D398), 7), IFERROR(MID(D398, SEARCH("LIT_", D398), 7), IFERROR(MID(D398, SEARCH("EST_", D398), 7), MID(D398, SEARCH("OST_",D398), 7))))))))))</f>
        <v/>
      </c>
      <c r="F398" t="inlineStr">
        <is>
          <t>{05-25-2026  incident}:    impacted by  Boula-1bVIHS G NRD_105   ,Cause:   Souci Energie   Action:   En Attente RCA IHS</t>
        </is>
      </c>
    </row>
    <row r="399" hidden="1" s="53">
      <c r="D399" t="inlineStr">
        <is>
          <t>NRD_105_H_Boula-Ibi-IHS_U</t>
        </is>
      </c>
      <c r="E399">
        <f>IFERROR(MID(D399, SEARCH("CTR_", D399), 7), IFERROR(MID(D399, SEARCH("SUO_", D399), 7), IFERROR(MID(D399, SEARCH("SUD_", D399), 7), IFERROR(MID(D399, SEARCH("NRO_", D399), 7), IFERROR(MID(D399, SEARCH("ADM_", D399), 7), IFERROR(MID(D399, SEARCH("NRD_", D399), 7), IFERROR(MID(D399, SEARCH("EXN_", D399), 7), IFERROR(MID(D399, SEARCH("LIT_", D399), 7), IFERROR(MID(D399, SEARCH("EST_", D399), 7), MID(D399, SEARCH("OST_",D399), 7))))))))))</f>
        <v/>
      </c>
      <c r="F399" t="inlineStr">
        <is>
          <t>{05-25-2026  incident}:    impacted by  Boula-1bVIHS G NRD_105   ,Cause:   Souci Energie   Action:   En Attente RCA IHS</t>
        </is>
      </c>
    </row>
    <row r="400" hidden="1" s="53">
      <c r="E400">
        <f>IFERROR(MID(D400, SEARCH("CTR_", D400), 7), IFERROR(MID(D400, SEARCH("SUO_", D400), 7), IFERROR(MID(D400, SEARCH("SUD_", D400), 7), IFERROR(MID(D400, SEARCH("NRO_", D400), 7), IFERROR(MID(D400, SEARCH("ADM_", D400), 7), IFERROR(MID(D400, SEARCH("NRD_", D400), 7), IFERROR(MID(D400, SEARCH("EXN_", D400), 7), IFERROR(MID(D400, SEARCH("LIT_", D400), 7), IFERROR(MID(D400, SEARCH("EST_", D400), 7), MID(D400, SEARCH("OST_",D400), 7))))))))))</f>
        <v/>
      </c>
    </row>
    <row r="401" hidden="1" s="53">
      <c r="E401">
        <f>IFERROR(MID(D401, SEARCH("CTR_", D401), 7), IFERROR(MID(D401, SEARCH("SUO_", D401), 7), IFERROR(MID(D401, SEARCH("SUD_", D401), 7), IFERROR(MID(D401, SEARCH("NRO_", D401), 7), IFERROR(MID(D401, SEARCH("ADM_", D401), 7), IFERROR(MID(D401, SEARCH("NRD_", D401), 7), IFERROR(MID(D401, SEARCH("EXN_", D401), 7), IFERROR(MID(D401, SEARCH("LIT_", D401), 7), IFERROR(MID(D401, SEARCH("EST_", D401), 7), MID(D401, SEARCH("OST_",D401), 7))))))))))</f>
        <v/>
      </c>
    </row>
    <row r="402" hidden="1" s="53">
      <c r="E402">
        <f>IFERROR(MID(D402, SEARCH("CTR_", D402), 7), IFERROR(MID(D402, SEARCH("SUO_", D402), 7), IFERROR(MID(D402, SEARCH("SUD_", D402), 7), IFERROR(MID(D402, SEARCH("NRO_", D402), 7), IFERROR(MID(D402, SEARCH("ADM_", D402), 7), IFERROR(MID(D402, SEARCH("NRD_", D402), 7), IFERROR(MID(D402, SEARCH("EXN_", D402), 7), IFERROR(MID(D402, SEARCH("LIT_", D402), 7), IFERROR(MID(D402, SEARCH("EST_", D402), 7), MID(D402, SEARCH("OST_",D402), 7))))))))))</f>
        <v/>
      </c>
    </row>
    <row r="403" hidden="1" s="53">
      <c r="E403">
        <f>IFERROR(MID(D403, SEARCH("CTR_", D403), 7), IFERROR(MID(D403, SEARCH("SUO_", D403), 7), IFERROR(MID(D403, SEARCH("SUD_", D403), 7), IFERROR(MID(D403, SEARCH("NRO_", D403), 7), IFERROR(MID(D403, SEARCH("ADM_", D403), 7), IFERROR(MID(D403, SEARCH("NRD_", D403), 7), IFERROR(MID(D403, SEARCH("EXN_", D403), 7), IFERROR(MID(D403, SEARCH("LIT_", D403), 7), IFERROR(MID(D403, SEARCH("EST_", D403), 7), MID(D403, SEARCH("OST_",D403), 7))))))))))</f>
        <v/>
      </c>
    </row>
    <row r="404" hidden="1" s="53">
      <c r="E404">
        <f>IFERROR(MID(D404, SEARCH("CTR_", D404), 7), IFERROR(MID(D404, SEARCH("SUO_", D404), 7), IFERROR(MID(D404, SEARCH("SUD_", D404), 7), IFERROR(MID(D404, SEARCH("NRO_", D404), 7), IFERROR(MID(D404, SEARCH("ADM_", D404), 7), IFERROR(MID(D404, SEARCH("NRD_", D404), 7), IFERROR(MID(D404, SEARCH("EXN_", D404), 7), IFERROR(MID(D404, SEARCH("LIT_", D404), 7), IFERROR(MID(D404, SEARCH("EST_", D404), 7), MID(D404, SEARCH("OST_",D404), 7))))))))))</f>
        <v/>
      </c>
    </row>
    <row r="405" hidden="1" s="53">
      <c r="E405">
        <f>IFERROR(MID(D405, SEARCH("CTR_", D405), 7), IFERROR(MID(D405, SEARCH("SUO_", D405), 7), IFERROR(MID(D405, SEARCH("SUD_", D405), 7), IFERROR(MID(D405, SEARCH("NRO_", D405), 7), IFERROR(MID(D405, SEARCH("ADM_", D405), 7), IFERROR(MID(D405, SEARCH("NRD_", D405), 7), IFERROR(MID(D405, SEARCH("EXN_", D405), 7), IFERROR(MID(D405, SEARCH("LIT_", D405), 7), IFERROR(MID(D405, SEARCH("EST_", D405), 7), MID(D405, SEARCH("OST_",D405), 7))))))))))</f>
        <v/>
      </c>
    </row>
    <row r="406" hidden="1" s="53">
      <c r="E406">
        <f>IFERROR(MID(D406, SEARCH("CTR_", D406), 7), IFERROR(MID(D406, SEARCH("SUO_", D406), 7), IFERROR(MID(D406, SEARCH("SUD_", D406), 7), IFERROR(MID(D406, SEARCH("NRO_", D406), 7), IFERROR(MID(D406, SEARCH("ADM_", D406), 7), IFERROR(MID(D406, SEARCH("NRD_", D406), 7), IFERROR(MID(D406, SEARCH("EXN_", D406), 7), IFERROR(MID(D406, SEARCH("LIT_", D406), 7), IFERROR(MID(D406, SEARCH("EST_", D406), 7), MID(D406, SEARCH("OST_",D406), 7))))))))))</f>
        <v/>
      </c>
    </row>
    <row r="407" hidden="1" s="53">
      <c r="E407">
        <f>IFERROR(MID(D407, SEARCH("CTR_", D407), 7), IFERROR(MID(D407, SEARCH("SUO_", D407), 7), IFERROR(MID(D407, SEARCH("SUD_", D407), 7), IFERROR(MID(D407, SEARCH("NRO_", D407), 7), IFERROR(MID(D407, SEARCH("ADM_", D407), 7), IFERROR(MID(D407, SEARCH("NRD_", D407), 7), IFERROR(MID(D407, SEARCH("EXN_", D407), 7), IFERROR(MID(D407, SEARCH("LIT_", D407), 7), IFERROR(MID(D407, SEARCH("EST_", D407), 7), MID(D407, SEARCH("OST_",D407), 7))))))))))</f>
        <v/>
      </c>
    </row>
    <row r="408" hidden="1" s="53">
      <c r="E408">
        <f>IFERROR(MID(D408, SEARCH("CTR_", D408), 7), IFERROR(MID(D408, SEARCH("SUO_", D408), 7), IFERROR(MID(D408, SEARCH("SUD_", D408), 7), IFERROR(MID(D408, SEARCH("NRO_", D408), 7), IFERROR(MID(D408, SEARCH("ADM_", D408), 7), IFERROR(MID(D408, SEARCH("NRD_", D408), 7), IFERROR(MID(D408, SEARCH("EXN_", D408), 7), IFERROR(MID(D408, SEARCH("LIT_", D408), 7), IFERROR(MID(D408, SEARCH("EST_", D408), 7), MID(D408, SEARCH("OST_",D408), 7))))))))))</f>
        <v/>
      </c>
    </row>
    <row r="409" hidden="1" s="53">
      <c r="E409">
        <f>IFERROR(MID(D409, SEARCH("CTR_", D409), 7), IFERROR(MID(D409, SEARCH("SUO_", D409), 7), IFERROR(MID(D409, SEARCH("SUD_", D409), 7), IFERROR(MID(D409, SEARCH("NRO_", D409), 7), IFERROR(MID(D409, SEARCH("ADM_", D409), 7), IFERROR(MID(D409, SEARCH("NRD_", D409), 7), IFERROR(MID(D409, SEARCH("EXN_", D409), 7), IFERROR(MID(D409, SEARCH("LIT_", D409), 7), IFERROR(MID(D409, SEARCH("EST_", D409), 7), MID(D409, SEARCH("OST_",D409), 7))))))))))</f>
        <v/>
      </c>
    </row>
    <row r="410" hidden="1" s="53">
      <c r="E410">
        <f>IFERROR(MID(D410, SEARCH("CTR_", D410), 7), IFERROR(MID(D410, SEARCH("SUO_", D410), 7), IFERROR(MID(D410, SEARCH("SUD_", D410), 7), IFERROR(MID(D410, SEARCH("NRO_", D410), 7), IFERROR(MID(D410, SEARCH("ADM_", D410), 7), IFERROR(MID(D410, SEARCH("NRD_", D410), 7), IFERROR(MID(D410, SEARCH("EXN_", D410), 7), IFERROR(MID(D410, SEARCH("LIT_", D410), 7), IFERROR(MID(D410, SEARCH("EST_", D410), 7), MID(D410, SEARCH("OST_",D410), 7))))))))))</f>
        <v/>
      </c>
    </row>
    <row r="411" hidden="1" s="53">
      <c r="E411">
        <f>IFERROR(MID(D411, SEARCH("CTR_", D411), 7), IFERROR(MID(D411, SEARCH("SUO_", D411), 7), IFERROR(MID(D411, SEARCH("SUD_", D411), 7), IFERROR(MID(D411, SEARCH("NRO_", D411), 7), IFERROR(MID(D411, SEARCH("ADM_", D411), 7), IFERROR(MID(D411, SEARCH("NRD_", D411), 7), IFERROR(MID(D411, SEARCH("EXN_", D411), 7), IFERROR(MID(D411, SEARCH("LIT_", D411), 7), IFERROR(MID(D411, SEARCH("EST_", D411), 7), MID(D411, SEARCH("OST_",D411), 7))))))))))</f>
        <v/>
      </c>
    </row>
    <row r="412" hidden="1" s="53">
      <c r="E412">
        <f>IFERROR(MID(D412, SEARCH("CTR_", D412), 7), IFERROR(MID(D412, SEARCH("SUO_", D412), 7), IFERROR(MID(D412, SEARCH("SUD_", D412), 7), IFERROR(MID(D412, SEARCH("NRO_", D412), 7), IFERROR(MID(D412, SEARCH("ADM_", D412), 7), IFERROR(MID(D412, SEARCH("NRD_", D412), 7), IFERROR(MID(D412, SEARCH("EXN_", D412), 7), IFERROR(MID(D412, SEARCH("LIT_", D412), 7), IFERROR(MID(D412, SEARCH("EST_", D412), 7), MID(D412, SEARCH("OST_",D412), 7))))))))))</f>
        <v/>
      </c>
    </row>
    <row r="413" hidden="1" s="53">
      <c r="E413">
        <f>IFERROR(MID(D413, SEARCH("CTR_", D413), 7), IFERROR(MID(D413, SEARCH("SUO_", D413), 7), IFERROR(MID(D413, SEARCH("SUD_", D413), 7), IFERROR(MID(D413, SEARCH("NRO_", D413), 7), IFERROR(MID(D413, SEARCH("ADM_", D413), 7), IFERROR(MID(D413, SEARCH("NRD_", D413), 7), IFERROR(MID(D413, SEARCH("EXN_", D413), 7), IFERROR(MID(D413, SEARCH("LIT_", D413), 7), IFERROR(MID(D413, SEARCH("EST_", D413), 7), MID(D413, SEARCH("OST_",D413), 7))))))))))</f>
        <v/>
      </c>
    </row>
    <row r="414" hidden="1" s="53">
      <c r="E414">
        <f>IFERROR(MID(D414, SEARCH("CTR_", D414), 7), IFERROR(MID(D414, SEARCH("SUO_", D414), 7), IFERROR(MID(D414, SEARCH("SUD_", D414), 7), IFERROR(MID(D414, SEARCH("NRO_", D414), 7), IFERROR(MID(D414, SEARCH("ADM_", D414), 7), IFERROR(MID(D414, SEARCH("NRD_", D414), 7), IFERROR(MID(D414, SEARCH("EXN_", D414), 7), IFERROR(MID(D414, SEARCH("LIT_", D414), 7), IFERROR(MID(D414, SEARCH("EST_", D414), 7), MID(D414, SEARCH("OST_",D414), 7))))))))))</f>
        <v/>
      </c>
    </row>
    <row r="415" hidden="1" s="53">
      <c r="E415">
        <f>IFERROR(MID(D415, SEARCH("CTR_", D415), 7), IFERROR(MID(D415, SEARCH("SUO_", D415), 7), IFERROR(MID(D415, SEARCH("SUD_", D415), 7), IFERROR(MID(D415, SEARCH("NRO_", D415), 7), IFERROR(MID(D415, SEARCH("ADM_", D415), 7), IFERROR(MID(D415, SEARCH("NRD_", D415), 7), IFERROR(MID(D415, SEARCH("EXN_", D415), 7), IFERROR(MID(D415, SEARCH("LIT_", D415), 7), IFERROR(MID(D415, SEARCH("EST_", D415), 7), MID(D415, SEARCH("OST_",D415), 7))))))))))</f>
        <v/>
      </c>
    </row>
    <row r="416" hidden="1" s="53">
      <c r="E416">
        <f>IFERROR(MID(D416, SEARCH("CTR_", D416), 7), IFERROR(MID(D416, SEARCH("SUO_", D416), 7), IFERROR(MID(D416, SEARCH("SUD_", D416), 7), IFERROR(MID(D416, SEARCH("NRO_", D416), 7), IFERROR(MID(D416, SEARCH("ADM_", D416), 7), IFERROR(MID(D416, SEARCH("NRD_", D416), 7), IFERROR(MID(D416, SEARCH("EXN_", D416), 7), IFERROR(MID(D416, SEARCH("LIT_", D416), 7), IFERROR(MID(D416, SEARCH("EST_", D416), 7), MID(D416, SEARCH("OST_",D416), 7))))))))))</f>
        <v/>
      </c>
    </row>
    <row r="417" hidden="1" s="53">
      <c r="E417">
        <f>IFERROR(MID(D417, SEARCH("CTR_", D417), 7), IFERROR(MID(D417, SEARCH("SUO_", D417), 7), IFERROR(MID(D417, SEARCH("SUD_", D417), 7), IFERROR(MID(D417, SEARCH("NRO_", D417), 7), IFERROR(MID(D417, SEARCH("ADM_", D417), 7), IFERROR(MID(D417, SEARCH("NRD_", D417), 7), IFERROR(MID(D417, SEARCH("EXN_", D417), 7), IFERROR(MID(D417, SEARCH("LIT_", D417), 7), IFERROR(MID(D417, SEARCH("EST_", D417), 7), MID(D417, SEARCH("OST_",D417), 7))))))))))</f>
        <v/>
      </c>
    </row>
    <row r="418" hidden="1" s="53">
      <c r="E418">
        <f>IFERROR(MID(D418, SEARCH("CTR_", D418), 7), IFERROR(MID(D418, SEARCH("SUO_", D418), 7), IFERROR(MID(D418, SEARCH("SUD_", D418), 7), IFERROR(MID(D418, SEARCH("NRO_", D418), 7), IFERROR(MID(D418, SEARCH("ADM_", D418), 7), IFERROR(MID(D418, SEARCH("NRD_", D418), 7), IFERROR(MID(D418, SEARCH("EXN_", D418), 7), IFERROR(MID(D418, SEARCH("LIT_", D418), 7), IFERROR(MID(D418, SEARCH("EST_", D418), 7), MID(D418, SEARCH("OST_",D418), 7))))))))))</f>
        <v/>
      </c>
    </row>
    <row r="419" hidden="1" s="53">
      <c r="E419">
        <f>IFERROR(MID(D419, SEARCH("CTR_", D419), 7), IFERROR(MID(D419, SEARCH("SUO_", D419), 7), IFERROR(MID(D419, SEARCH("SUD_", D419), 7), IFERROR(MID(D419, SEARCH("NRO_", D419), 7), IFERROR(MID(D419, SEARCH("ADM_", D419), 7), IFERROR(MID(D419, SEARCH("NRD_", D419), 7), IFERROR(MID(D419, SEARCH("EXN_", D419), 7), IFERROR(MID(D419, SEARCH("LIT_", D419), 7), IFERROR(MID(D419, SEARCH("EST_", D419), 7), MID(D419, SEARCH("OST_",D419), 7))))))))))</f>
        <v/>
      </c>
    </row>
    <row r="420" hidden="1" s="53">
      <c r="E420">
        <f>IFERROR(MID(D420, SEARCH("CTR_", D420), 7), IFERROR(MID(D420, SEARCH("SUO_", D420), 7), IFERROR(MID(D420, SEARCH("SUD_", D420), 7), IFERROR(MID(D420, SEARCH("NRO_", D420), 7), IFERROR(MID(D420, SEARCH("ADM_", D420), 7), IFERROR(MID(D420, SEARCH("NRD_", D420), 7), IFERROR(MID(D420, SEARCH("EXN_", D420), 7), IFERROR(MID(D420, SEARCH("LIT_", D420), 7), IFERROR(MID(D420, SEARCH("EST_", D420), 7), MID(D420, SEARCH("OST_",D420), 7))))))))))</f>
        <v/>
      </c>
    </row>
    <row r="421" hidden="1" s="53">
      <c r="E421">
        <f>IFERROR(MID(D421, SEARCH("CTR_", D421), 7), IFERROR(MID(D421, SEARCH("SUO_", D421), 7), IFERROR(MID(D421, SEARCH("SUD_", D421), 7), IFERROR(MID(D421, SEARCH("NRO_", D421), 7), IFERROR(MID(D421, SEARCH("ADM_", D421), 7), IFERROR(MID(D421, SEARCH("NRD_", D421), 7), IFERROR(MID(D421, SEARCH("EXN_", D421), 7), IFERROR(MID(D421, SEARCH("LIT_", D421), 7), IFERROR(MID(D421, SEARCH("EST_", D421), 7), MID(D421, SEARCH("OST_",D421), 7))))))))))</f>
        <v/>
      </c>
    </row>
    <row r="422" hidden="1" s="53">
      <c r="E422">
        <f>IFERROR(MID(D422, SEARCH("CTR_", D422), 7), IFERROR(MID(D422, SEARCH("SUO_", D422), 7), IFERROR(MID(D422, SEARCH("SUD_", D422), 7), IFERROR(MID(D422, SEARCH("NRO_", D422), 7), IFERROR(MID(D422, SEARCH("ADM_", D422), 7), IFERROR(MID(D422, SEARCH("NRD_", D422), 7), IFERROR(MID(D422, SEARCH("EXN_", D422), 7), IFERROR(MID(D422, SEARCH("LIT_", D422), 7), IFERROR(MID(D422, SEARCH("EST_", D422), 7), MID(D422, SEARCH("OST_",D422), 7))))))))))</f>
        <v/>
      </c>
    </row>
    <row r="423" hidden="1" s="53">
      <c r="E423">
        <f>IFERROR(MID(D423, SEARCH("CTR_", D423), 7), IFERROR(MID(D423, SEARCH("SUO_", D423), 7), IFERROR(MID(D423, SEARCH("SUD_", D423), 7), IFERROR(MID(D423, SEARCH("NRO_", D423), 7), IFERROR(MID(D423, SEARCH("ADM_", D423), 7), IFERROR(MID(D423, SEARCH("NRD_", D423), 7), IFERROR(MID(D423, SEARCH("EXN_", D423), 7), IFERROR(MID(D423, SEARCH("LIT_", D423), 7), IFERROR(MID(D423, SEARCH("EST_", D423), 7), MID(D423, SEARCH("OST_",D423), 7))))))))))</f>
        <v/>
      </c>
    </row>
    <row r="424" hidden="1" s="53">
      <c r="E424">
        <f>IFERROR(MID(D424, SEARCH("CTR_", D424), 7), IFERROR(MID(D424, SEARCH("SUO_", D424), 7), IFERROR(MID(D424, SEARCH("SUD_", D424), 7), IFERROR(MID(D424, SEARCH("NRO_", D424), 7), IFERROR(MID(D424, SEARCH("ADM_", D424), 7), IFERROR(MID(D424, SEARCH("NRD_", D424), 7), IFERROR(MID(D424, SEARCH("EXN_", D424), 7), IFERROR(MID(D424, SEARCH("LIT_", D424), 7), IFERROR(MID(D424, SEARCH("EST_", D424), 7), MID(D424, SEARCH("OST_",D424), 7))))))))))</f>
        <v/>
      </c>
    </row>
    <row r="425" hidden="1" s="53">
      <c r="E425">
        <f>IFERROR(MID(D425, SEARCH("CTR_", D425), 7), IFERROR(MID(D425, SEARCH("SUO_", D425), 7), IFERROR(MID(D425, SEARCH("SUD_", D425), 7), IFERROR(MID(D425, SEARCH("NRO_", D425), 7), IFERROR(MID(D425, SEARCH("ADM_", D425), 7), IFERROR(MID(D425, SEARCH("NRD_", D425), 7), IFERROR(MID(D425, SEARCH("EXN_", D425), 7), IFERROR(MID(D425, SEARCH("LIT_", D425), 7), IFERROR(MID(D425, SEARCH("EST_", D425), 7), MID(D425, SEARCH("OST_",D425), 7))))))))))</f>
        <v/>
      </c>
    </row>
    <row r="426" hidden="1" s="53">
      <c r="E426">
        <f>IFERROR(MID(D426, SEARCH("CTR_", D426), 7), IFERROR(MID(D426, SEARCH("SUO_", D426), 7), IFERROR(MID(D426, SEARCH("SUD_", D426), 7), IFERROR(MID(D426, SEARCH("NRO_", D426), 7), IFERROR(MID(D426, SEARCH("ADM_", D426), 7), IFERROR(MID(D426, SEARCH("NRD_", D426), 7), IFERROR(MID(D426, SEARCH("EXN_", D426), 7), IFERROR(MID(D426, SEARCH("LIT_", D426), 7), IFERROR(MID(D426, SEARCH("EST_", D426), 7), MID(D426, SEARCH("OST_",D426), 7))))))))))</f>
        <v/>
      </c>
    </row>
    <row r="427" hidden="1" s="53">
      <c r="E427">
        <f>IFERROR(MID(D427, SEARCH("CTR_", D427), 7), IFERROR(MID(D427, SEARCH("SUO_", D427), 7), IFERROR(MID(D427, SEARCH("SUD_", D427), 7), IFERROR(MID(D427, SEARCH("NRO_", D427), 7), IFERROR(MID(D427, SEARCH("ADM_", D427), 7), IFERROR(MID(D427, SEARCH("NRD_", D427), 7), IFERROR(MID(D427, SEARCH("EXN_", D427), 7), IFERROR(MID(D427, SEARCH("LIT_", D427), 7), IFERROR(MID(D427, SEARCH("EST_", D427), 7), MID(D427, SEARCH("OST_",D427), 7))))))))))</f>
        <v/>
      </c>
    </row>
    <row r="428" hidden="1" s="53">
      <c r="E428">
        <f>IFERROR(MID(D428, SEARCH("CTR_", D428), 7), IFERROR(MID(D428, SEARCH("SUO_", D428), 7), IFERROR(MID(D428, SEARCH("SUD_", D428), 7), IFERROR(MID(D428, SEARCH("NRO_", D428), 7), IFERROR(MID(D428, SEARCH("ADM_", D428), 7), IFERROR(MID(D428, SEARCH("NRD_", D428), 7), IFERROR(MID(D428, SEARCH("EXN_", D428), 7), IFERROR(MID(D428, SEARCH("LIT_", D428), 7), IFERROR(MID(D428, SEARCH("EST_", D428), 7), MID(D428, SEARCH("OST_",D428), 7))))))))))</f>
        <v/>
      </c>
    </row>
    <row r="429" hidden="1" s="53">
      <c r="E429">
        <f>IFERROR(MID(D429, SEARCH("CTR_", D429), 7), IFERROR(MID(D429, SEARCH("SUO_", D429), 7), IFERROR(MID(D429, SEARCH("SUD_", D429), 7), IFERROR(MID(D429, SEARCH("NRO_", D429), 7), IFERROR(MID(D429, SEARCH("ADM_", D429), 7), IFERROR(MID(D429, SEARCH("NRD_", D429), 7), IFERROR(MID(D429, SEARCH("EXN_", D429), 7), IFERROR(MID(D429, SEARCH("LIT_", D429), 7), IFERROR(MID(D429, SEARCH("EST_", D429), 7), MID(D429, SEARCH("OST_",D429), 7))))))))))</f>
        <v/>
      </c>
    </row>
    <row r="430" hidden="1" s="53">
      <c r="E430">
        <f>IFERROR(MID(D430, SEARCH("CTR_", D430), 7), IFERROR(MID(D430, SEARCH("SUO_", D430), 7), IFERROR(MID(D430, SEARCH("SUD_", D430), 7), IFERROR(MID(D430, SEARCH("NRO_", D430), 7), IFERROR(MID(D430, SEARCH("ADM_", D430), 7), IFERROR(MID(D430, SEARCH("NRD_", D430), 7), IFERROR(MID(D430, SEARCH("EXN_", D430), 7), IFERROR(MID(D430, SEARCH("LIT_", D430), 7), IFERROR(MID(D430, SEARCH("EST_", D430), 7), MID(D430, SEARCH("OST_",D430), 7))))))))))</f>
        <v/>
      </c>
    </row>
    <row r="431" hidden="1" s="53">
      <c r="E431">
        <f>IFERROR(MID(D431, SEARCH("CTR_", D431), 7), IFERROR(MID(D431, SEARCH("SUO_", D431), 7), IFERROR(MID(D431, SEARCH("SUD_", D431), 7), IFERROR(MID(D431, SEARCH("NRO_", D431), 7), IFERROR(MID(D431, SEARCH("ADM_", D431), 7), IFERROR(MID(D431, SEARCH("NRD_", D431), 7), IFERROR(MID(D431, SEARCH("EXN_", D431), 7), IFERROR(MID(D431, SEARCH("LIT_", D431), 7), IFERROR(MID(D431, SEARCH("EST_", D431), 7), MID(D431, SEARCH("OST_",D431), 7))))))))))</f>
        <v/>
      </c>
    </row>
    <row r="432" hidden="1" s="53">
      <c r="E432">
        <f>IFERROR(MID(D432, SEARCH("CTR_", D432), 7), IFERROR(MID(D432, SEARCH("SUO_", D432), 7), IFERROR(MID(D432, SEARCH("SUD_", D432), 7), IFERROR(MID(D432, SEARCH("NRO_", D432), 7), IFERROR(MID(D432, SEARCH("ADM_", D432), 7), IFERROR(MID(D432, SEARCH("NRD_", D432), 7), IFERROR(MID(D432, SEARCH("EXN_", D432), 7), IFERROR(MID(D432, SEARCH("LIT_", D432), 7), IFERROR(MID(D432, SEARCH("EST_", D432), 7), MID(D432, SEARCH("OST_",D432), 7))))))))))</f>
        <v/>
      </c>
    </row>
    <row r="433" hidden="1" s="53">
      <c r="E433">
        <f>IFERROR(MID(D433, SEARCH("CTR_", D433), 7), IFERROR(MID(D433, SEARCH("SUO_", D433), 7), IFERROR(MID(D433, SEARCH("SUD_", D433), 7), IFERROR(MID(D433, SEARCH("NRO_", D433), 7), IFERROR(MID(D433, SEARCH("ADM_", D433), 7), IFERROR(MID(D433, SEARCH("NRD_", D433), 7), IFERROR(MID(D433, SEARCH("EXN_", D433), 7), IFERROR(MID(D433, SEARCH("LIT_", D433), 7), IFERROR(MID(D433, SEARCH("EST_", D433), 7), MID(D433, SEARCH("OST_",D433), 7))))))))))</f>
        <v/>
      </c>
    </row>
    <row r="434" hidden="1" s="53">
      <c r="E434">
        <f>IFERROR(MID(D434, SEARCH("CTR_", D434), 7), IFERROR(MID(D434, SEARCH("SUO_", D434), 7), IFERROR(MID(D434, SEARCH("SUD_", D434), 7), IFERROR(MID(D434, SEARCH("NRO_", D434), 7), IFERROR(MID(D434, SEARCH("ADM_", D434), 7), IFERROR(MID(D434, SEARCH("NRD_", D434), 7), IFERROR(MID(D434, SEARCH("EXN_", D434), 7), IFERROR(MID(D434, SEARCH("LIT_", D434), 7), IFERROR(MID(D434, SEARCH("EST_", D434), 7), MID(D434, SEARCH("OST_",D434), 7))))))))))</f>
        <v/>
      </c>
    </row>
    <row r="435" hidden="1" s="53">
      <c r="E435">
        <f>IFERROR(MID(D435, SEARCH("CTR_", D435), 7), IFERROR(MID(D435, SEARCH("SUO_", D435), 7), IFERROR(MID(D435, SEARCH("SUD_", D435), 7), IFERROR(MID(D435, SEARCH("NRO_", D435), 7), IFERROR(MID(D435, SEARCH("ADM_", D435), 7), IFERROR(MID(D435, SEARCH("NRD_", D435), 7), IFERROR(MID(D435, SEARCH("EXN_", D435), 7), IFERROR(MID(D435, SEARCH("LIT_", D435), 7), IFERROR(MID(D435, SEARCH("EST_", D435), 7), MID(D435, SEARCH("OST_",D435), 7))))))))))</f>
        <v/>
      </c>
    </row>
    <row r="436" hidden="1" s="53">
      <c r="E436">
        <f>IFERROR(MID(D436, SEARCH("CTR_", D436), 7), IFERROR(MID(D436, SEARCH("SUO_", D436), 7), IFERROR(MID(D436, SEARCH("SUD_", D436), 7), IFERROR(MID(D436, SEARCH("NRO_", D436), 7), IFERROR(MID(D436, SEARCH("ADM_", D436), 7), IFERROR(MID(D436, SEARCH("NRD_", D436), 7), IFERROR(MID(D436, SEARCH("EXN_", D436), 7), IFERROR(MID(D436, SEARCH("LIT_", D436), 7), IFERROR(MID(D436, SEARCH("EST_", D436), 7), MID(D436, SEARCH("OST_",D436), 7))))))))))</f>
        <v/>
      </c>
    </row>
    <row r="437" hidden="1" s="53">
      <c r="E437">
        <f>IFERROR(MID(D437, SEARCH("CTR_", D437), 7), IFERROR(MID(D437, SEARCH("SUO_", D437), 7), IFERROR(MID(D437, SEARCH("SUD_", D437), 7), IFERROR(MID(D437, SEARCH("NRO_", D437), 7), IFERROR(MID(D437, SEARCH("ADM_", D437), 7), IFERROR(MID(D437, SEARCH("NRD_", D437), 7), IFERROR(MID(D437, SEARCH("EXN_", D437), 7), IFERROR(MID(D437, SEARCH("LIT_", D437), 7), IFERROR(MID(D437, SEARCH("EST_", D437), 7), MID(D437, SEARCH("OST_",D437), 7))))))))))</f>
        <v/>
      </c>
    </row>
    <row r="438" hidden="1" s="53">
      <c r="E438">
        <f>IFERROR(MID(D438, SEARCH("CTR_", D438), 7), IFERROR(MID(D438, SEARCH("SUO_", D438), 7), IFERROR(MID(D438, SEARCH("SUD_", D438), 7), IFERROR(MID(D438, SEARCH("NRO_", D438), 7), IFERROR(MID(D438, SEARCH("ADM_", D438), 7), IFERROR(MID(D438, SEARCH("NRD_", D438), 7), IFERROR(MID(D438, SEARCH("EXN_", D438), 7), IFERROR(MID(D438, SEARCH("LIT_", D438), 7), IFERROR(MID(D438, SEARCH("EST_", D438), 7), MID(D438, SEARCH("OST_",D438), 7))))))))))</f>
        <v/>
      </c>
    </row>
    <row r="439" hidden="1" s="53">
      <c r="E439">
        <f>IFERROR(MID(D439, SEARCH("CTR_", D439), 7), IFERROR(MID(D439, SEARCH("SUO_", D439), 7), IFERROR(MID(D439, SEARCH("SUD_", D439), 7), IFERROR(MID(D439, SEARCH("NRO_", D439), 7), IFERROR(MID(D439, SEARCH("ADM_", D439), 7), IFERROR(MID(D439, SEARCH("NRD_", D439), 7), IFERROR(MID(D439, SEARCH("EXN_", D439), 7), IFERROR(MID(D439, SEARCH("LIT_", D439), 7), IFERROR(MID(D439, SEARCH("EST_", D439), 7), MID(D439, SEARCH("OST_",D439), 7))))))))))</f>
        <v/>
      </c>
    </row>
    <row r="440" hidden="1" s="53">
      <c r="E440">
        <f>IFERROR(MID(D440, SEARCH("CTR_", D440), 7), IFERROR(MID(D440, SEARCH("SUO_", D440), 7), IFERROR(MID(D440, SEARCH("SUD_", D440), 7), IFERROR(MID(D440, SEARCH("NRO_", D440), 7), IFERROR(MID(D440, SEARCH("ADM_", D440), 7), IFERROR(MID(D440, SEARCH("NRD_", D440), 7), IFERROR(MID(D440, SEARCH("EXN_", D440), 7), IFERROR(MID(D440, SEARCH("LIT_", D440), 7), IFERROR(MID(D440, SEARCH("EST_", D440), 7), MID(D440, SEARCH("OST_",D440), 7))))))))))</f>
        <v/>
      </c>
    </row>
    <row r="441" hidden="1" s="53">
      <c r="E441">
        <f>IFERROR(MID(D441, SEARCH("CTR_", D441), 7), IFERROR(MID(D441, SEARCH("SUO_", D441), 7), IFERROR(MID(D441, SEARCH("SUD_", D441), 7), IFERROR(MID(D441, SEARCH("NRO_", D441), 7), IFERROR(MID(D441, SEARCH("ADM_", D441), 7), IFERROR(MID(D441, SEARCH("NRD_", D441), 7), IFERROR(MID(D441, SEARCH("EXN_", D441), 7), IFERROR(MID(D441, SEARCH("LIT_", D441), 7), IFERROR(MID(D441, SEARCH("EST_", D441), 7), MID(D441, SEARCH("OST_",D441), 7))))))))))</f>
        <v/>
      </c>
    </row>
    <row r="442" hidden="1" s="53">
      <c r="E442">
        <f>IFERROR(MID(D442, SEARCH("CTR_", D442), 7), IFERROR(MID(D442, SEARCH("SUO_", D442), 7), IFERROR(MID(D442, SEARCH("SUD_", D442), 7), IFERROR(MID(D442, SEARCH("NRO_", D442), 7), IFERROR(MID(D442, SEARCH("ADM_", D442), 7), IFERROR(MID(D442, SEARCH("NRD_", D442), 7), IFERROR(MID(D442, SEARCH("EXN_", D442), 7), IFERROR(MID(D442, SEARCH("LIT_", D442), 7), IFERROR(MID(D442, SEARCH("EST_", D442), 7), MID(D442, SEARCH("OST_",D442), 7))))))))))</f>
        <v/>
      </c>
    </row>
    <row r="443" hidden="1" s="53">
      <c r="E443">
        <f>IFERROR(MID(D443, SEARCH("CTR_", D443), 7), IFERROR(MID(D443, SEARCH("SUO_", D443), 7), IFERROR(MID(D443, SEARCH("SUD_", D443), 7), IFERROR(MID(D443, SEARCH("NRO_", D443), 7), IFERROR(MID(D443, SEARCH("ADM_", D443), 7), IFERROR(MID(D443, SEARCH("NRD_", D443), 7), IFERROR(MID(D443, SEARCH("EXN_", D443), 7), IFERROR(MID(D443, SEARCH("LIT_", D443), 7), IFERROR(MID(D443, SEARCH("EST_", D443), 7), MID(D443, SEARCH("OST_",D443), 7))))))))))</f>
        <v/>
      </c>
    </row>
    <row r="444" hidden="1" s="53">
      <c r="E444">
        <f>IFERROR(MID(D444, SEARCH("CTR_", D444), 7), IFERROR(MID(D444, SEARCH("SUO_", D444), 7), IFERROR(MID(D444, SEARCH("SUD_", D444), 7), IFERROR(MID(D444, SEARCH("NRO_", D444), 7), IFERROR(MID(D444, SEARCH("ADM_", D444), 7), IFERROR(MID(D444, SEARCH("NRD_", D444), 7), IFERROR(MID(D444, SEARCH("EXN_", D444), 7), IFERROR(MID(D444, SEARCH("LIT_", D444), 7), IFERROR(MID(D444, SEARCH("EST_", D444), 7), MID(D444, SEARCH("OST_",D444), 7))))))))))</f>
        <v/>
      </c>
    </row>
    <row r="445" hidden="1" s="53">
      <c r="E445">
        <f>IFERROR(MID(D445, SEARCH("CTR_", D445), 7), IFERROR(MID(D445, SEARCH("SUO_", D445), 7), IFERROR(MID(D445, SEARCH("SUD_", D445), 7), IFERROR(MID(D445, SEARCH("NRO_", D445), 7), IFERROR(MID(D445, SEARCH("ADM_", D445), 7), IFERROR(MID(D445, SEARCH("NRD_", D445), 7), IFERROR(MID(D445, SEARCH("EXN_", D445), 7), IFERROR(MID(D445, SEARCH("LIT_", D445), 7), IFERROR(MID(D445, SEARCH("EST_", D445), 7), MID(D445, SEARCH("OST_",D445), 7))))))))))</f>
        <v/>
      </c>
    </row>
    <row r="446" hidden="1" s="53">
      <c r="E446">
        <f>IFERROR(MID(D446, SEARCH("CTR_", D446), 7), IFERROR(MID(D446, SEARCH("SUO_", D446), 7), IFERROR(MID(D446, SEARCH("SUD_", D446), 7), IFERROR(MID(D446, SEARCH("NRO_", D446), 7), IFERROR(MID(D446, SEARCH("ADM_", D446), 7), IFERROR(MID(D446, SEARCH("NRD_", D446), 7), IFERROR(MID(D446, SEARCH("EXN_", D446), 7), IFERROR(MID(D446, SEARCH("LIT_", D446), 7), IFERROR(MID(D446, SEARCH("EST_", D446), 7), MID(D446, SEARCH("OST_",D446), 7))))))))))</f>
        <v/>
      </c>
    </row>
    <row r="447" hidden="1" s="53">
      <c r="E447">
        <f>IFERROR(MID(D447, SEARCH("CTR_", D447), 7), IFERROR(MID(D447, SEARCH("SUO_", D447), 7), IFERROR(MID(D447, SEARCH("SUD_", D447), 7), IFERROR(MID(D447, SEARCH("NRO_", D447), 7), IFERROR(MID(D447, SEARCH("ADM_", D447), 7), IFERROR(MID(D447, SEARCH("NRD_", D447), 7), IFERROR(MID(D447, SEARCH("EXN_", D447), 7), IFERROR(MID(D447, SEARCH("LIT_", D447), 7), IFERROR(MID(D447, SEARCH("EST_", D447), 7), MID(D447, SEARCH("OST_",D447), 7))))))))))</f>
        <v/>
      </c>
    </row>
    <row r="448" hidden="1" s="53">
      <c r="E448">
        <f>IFERROR(MID(D448, SEARCH("CTR_", D448), 7), IFERROR(MID(D448, SEARCH("SUO_", D448), 7), IFERROR(MID(D448, SEARCH("SUD_", D448), 7), IFERROR(MID(D448, SEARCH("NRO_", D448), 7), IFERROR(MID(D448, SEARCH("ADM_", D448), 7), IFERROR(MID(D448, SEARCH("NRD_", D448), 7), IFERROR(MID(D448, SEARCH("EXN_", D448), 7), IFERROR(MID(D448, SEARCH("LIT_", D448), 7), IFERROR(MID(D448, SEARCH("EST_", D448), 7), MID(D448, SEARCH("OST_",D448), 7))))))))))</f>
        <v/>
      </c>
    </row>
    <row r="449" hidden="1" s="53">
      <c r="E449">
        <f>IFERROR(MID(D449, SEARCH("CTR_", D449), 7), IFERROR(MID(D449, SEARCH("SUO_", D449), 7), IFERROR(MID(D449, SEARCH("SUD_", D449), 7), IFERROR(MID(D449, SEARCH("NRO_", D449), 7), IFERROR(MID(D449, SEARCH("ADM_", D449), 7), IFERROR(MID(D449, SEARCH("NRD_", D449), 7), IFERROR(MID(D449, SEARCH("EXN_", D449), 7), IFERROR(MID(D449, SEARCH("LIT_", D449), 7), IFERROR(MID(D449, SEARCH("EST_", D449), 7), MID(D449, SEARCH("OST_",D449), 7))))))))))</f>
        <v/>
      </c>
    </row>
    <row r="450" hidden="1" s="53">
      <c r="E450">
        <f>IFERROR(MID(D450, SEARCH("CTR_", D450), 7), IFERROR(MID(D450, SEARCH("SUO_", D450), 7), IFERROR(MID(D450, SEARCH("SUD_", D450), 7), IFERROR(MID(D450, SEARCH("NRO_", D450), 7), IFERROR(MID(D450, SEARCH("ADM_", D450), 7), IFERROR(MID(D450, SEARCH("NRD_", D450), 7), IFERROR(MID(D450, SEARCH("EXN_", D450), 7), IFERROR(MID(D450, SEARCH("LIT_", D450), 7), IFERROR(MID(D450, SEARCH("EST_", D450), 7), MID(D450, SEARCH("OST_",D450), 7))))))))))</f>
        <v/>
      </c>
    </row>
    <row r="451" hidden="1" s="53">
      <c r="E451">
        <f>IFERROR(MID(D451, SEARCH("CTR_", D451), 7), IFERROR(MID(D451, SEARCH("SUO_", D451), 7), IFERROR(MID(D451, SEARCH("SUD_", D451), 7), IFERROR(MID(D451, SEARCH("NRO_", D451), 7), IFERROR(MID(D451, SEARCH("ADM_", D451), 7), IFERROR(MID(D451, SEARCH("NRD_", D451), 7), IFERROR(MID(D451, SEARCH("EXN_", D451), 7), IFERROR(MID(D451, SEARCH("LIT_", D451), 7), IFERROR(MID(D451, SEARCH("EST_", D451), 7), MID(D451, SEARCH("OST_",D451), 7))))))))))</f>
        <v/>
      </c>
    </row>
    <row r="452" hidden="1" s="53">
      <c r="E452">
        <f>IFERROR(MID(D452, SEARCH("CTR_", D452), 7), IFERROR(MID(D452, SEARCH("SUO_", D452), 7), IFERROR(MID(D452, SEARCH("SUD_", D452), 7), IFERROR(MID(D452, SEARCH("NRO_", D452), 7), IFERROR(MID(D452, SEARCH("ADM_", D452), 7), IFERROR(MID(D452, SEARCH("NRD_", D452), 7), IFERROR(MID(D452, SEARCH("EXN_", D452), 7), IFERROR(MID(D452, SEARCH("LIT_", D452), 7), IFERROR(MID(D452, SEARCH("EST_", D452), 7), MID(D452, SEARCH("OST_",D452), 7))))))))))</f>
        <v/>
      </c>
    </row>
    <row r="453" hidden="1" s="53">
      <c r="E453">
        <f>IFERROR(MID(D453, SEARCH("CTR_", D453), 7), IFERROR(MID(D453, SEARCH("SUO_", D453), 7), IFERROR(MID(D453, SEARCH("SUD_", D453), 7), IFERROR(MID(D453, SEARCH("NRO_", D453), 7), IFERROR(MID(D453, SEARCH("ADM_", D453), 7), IFERROR(MID(D453, SEARCH("NRD_", D453), 7), IFERROR(MID(D453, SEARCH("EXN_", D453), 7), IFERROR(MID(D453, SEARCH("LIT_", D453), 7), IFERROR(MID(D453, SEARCH("EST_", D453), 7), MID(D453, SEARCH("OST_",D453), 7))))))))))</f>
        <v/>
      </c>
    </row>
    <row r="454" hidden="1" s="53">
      <c r="E454">
        <f>IFERROR(MID(D454, SEARCH("CTR_", D454), 7), IFERROR(MID(D454, SEARCH("SUO_", D454), 7), IFERROR(MID(D454, SEARCH("SUD_", D454), 7), IFERROR(MID(D454, SEARCH("NRO_", D454), 7), IFERROR(MID(D454, SEARCH("ADM_", D454), 7), IFERROR(MID(D454, SEARCH("NRD_", D454), 7), IFERROR(MID(D454, SEARCH("EXN_", D454), 7), IFERROR(MID(D454, SEARCH("LIT_", D454), 7), IFERROR(MID(D454, SEARCH("EST_", D454), 7), MID(D454, SEARCH("OST_",D454), 7))))))))))</f>
        <v/>
      </c>
    </row>
    <row r="455" hidden="1" s="53">
      <c r="E455">
        <f>IFERROR(MID(D455, SEARCH("CTR_", D455), 7), IFERROR(MID(D455, SEARCH("SUO_", D455), 7), IFERROR(MID(D455, SEARCH("SUD_", D455), 7), IFERROR(MID(D455, SEARCH("NRO_", D455), 7), IFERROR(MID(D455, SEARCH("ADM_", D455), 7), IFERROR(MID(D455, SEARCH("NRD_", D455), 7), IFERROR(MID(D455, SEARCH("EXN_", D455), 7), IFERROR(MID(D455, SEARCH("LIT_", D455), 7), IFERROR(MID(D455, SEARCH("EST_", D455), 7), MID(D455, SEARCH("OST_",D455), 7))))))))))</f>
        <v/>
      </c>
    </row>
    <row r="456" hidden="1" s="53">
      <c r="E456">
        <f>IFERROR(MID(D456, SEARCH("CTR_", D456), 7), IFERROR(MID(D456, SEARCH("SUO_", D456), 7), IFERROR(MID(D456, SEARCH("SUD_", D456), 7), IFERROR(MID(D456, SEARCH("NRO_", D456), 7), IFERROR(MID(D456, SEARCH("ADM_", D456), 7), IFERROR(MID(D456, SEARCH("NRD_", D456), 7), IFERROR(MID(D456, SEARCH("EXN_", D456), 7), IFERROR(MID(D456, SEARCH("LIT_", D456), 7), IFERROR(MID(D456, SEARCH("EST_", D456), 7), MID(D456, SEARCH("OST_",D456), 7))))))))))</f>
        <v/>
      </c>
    </row>
    <row r="457" hidden="1" s="53">
      <c r="E457">
        <f>IFERROR(MID(D457, SEARCH("CTR_", D457), 7), IFERROR(MID(D457, SEARCH("SUO_", D457), 7), IFERROR(MID(D457, SEARCH("SUD_", D457), 7), IFERROR(MID(D457, SEARCH("NRO_", D457), 7), IFERROR(MID(D457, SEARCH("ADM_", D457), 7), IFERROR(MID(D457, SEARCH("NRD_", D457), 7), IFERROR(MID(D457, SEARCH("EXN_", D457), 7), IFERROR(MID(D457, SEARCH("LIT_", D457), 7), IFERROR(MID(D457, SEARCH("EST_", D457), 7), MID(D457, SEARCH("OST_",D457), 7))))))))))</f>
        <v/>
      </c>
    </row>
    <row r="458" hidden="1" s="53">
      <c r="E458">
        <f>IFERROR(MID(D458, SEARCH("CTR_", D458), 7), IFERROR(MID(D458, SEARCH("SUO_", D458), 7), IFERROR(MID(D458, SEARCH("SUD_", D458), 7), IFERROR(MID(D458, SEARCH("NRO_", D458), 7), IFERROR(MID(D458, SEARCH("ADM_", D458), 7), IFERROR(MID(D458, SEARCH("NRD_", D458), 7), IFERROR(MID(D458, SEARCH("EXN_", D458), 7), IFERROR(MID(D458, SEARCH("LIT_", D458), 7), IFERROR(MID(D458, SEARCH("EST_", D458), 7), MID(D458, SEARCH("OST_",D458), 7))))))))))</f>
        <v/>
      </c>
    </row>
    <row r="459" hidden="1" s="53">
      <c r="E459">
        <f>IFERROR(MID(D459, SEARCH("CTR_", D459), 7), IFERROR(MID(D459, SEARCH("SUO_", D459), 7), IFERROR(MID(D459, SEARCH("SUD_", D459), 7), IFERROR(MID(D459, SEARCH("NRO_", D459), 7), IFERROR(MID(D459, SEARCH("ADM_", D459), 7), IFERROR(MID(D459, SEARCH("NRD_", D459), 7), IFERROR(MID(D459, SEARCH("EXN_", D459), 7), IFERROR(MID(D459, SEARCH("LIT_", D459), 7), IFERROR(MID(D459, SEARCH("EST_", D459), 7), MID(D459, SEARCH("OST_",D459), 7))))))))))</f>
        <v/>
      </c>
    </row>
    <row r="460" hidden="1" s="53">
      <c r="E460">
        <f>IFERROR(MID(D460, SEARCH("CTR_", D460), 7), IFERROR(MID(D460, SEARCH("SUO_", D460), 7), IFERROR(MID(D460, SEARCH("SUD_", D460), 7), IFERROR(MID(D460, SEARCH("NRO_", D460), 7), IFERROR(MID(D460, SEARCH("ADM_", D460), 7), IFERROR(MID(D460, SEARCH("NRD_", D460), 7), IFERROR(MID(D460, SEARCH("EXN_", D460), 7), IFERROR(MID(D460, SEARCH("LIT_", D460), 7), IFERROR(MID(D460, SEARCH("EST_", D460), 7), MID(D460, SEARCH("OST_",D460), 7))))))))))</f>
        <v/>
      </c>
    </row>
    <row r="461" hidden="1" s="53">
      <c r="E461">
        <f>IFERROR(MID(D461, SEARCH("CTR_", D461), 7), IFERROR(MID(D461, SEARCH("SUO_", D461), 7), IFERROR(MID(D461, SEARCH("SUD_", D461), 7), IFERROR(MID(D461, SEARCH("NRO_", D461), 7), IFERROR(MID(D461, SEARCH("ADM_", D461), 7), IFERROR(MID(D461, SEARCH("NRD_", D461), 7), IFERROR(MID(D461, SEARCH("EXN_", D461), 7), IFERROR(MID(D461, SEARCH("LIT_", D461), 7), IFERROR(MID(D461, SEARCH("EST_", D461), 7), MID(D461, SEARCH("OST_",D461), 7))))))))))</f>
        <v/>
      </c>
    </row>
    <row r="462" hidden="1" s="53">
      <c r="E462">
        <f>IFERROR(MID(D462, SEARCH("CTR_", D462), 7), IFERROR(MID(D462, SEARCH("SUO_", D462), 7), IFERROR(MID(D462, SEARCH("SUD_", D462), 7), IFERROR(MID(D462, SEARCH("NRO_", D462), 7), IFERROR(MID(D462, SEARCH("ADM_", D462), 7), IFERROR(MID(D462, SEARCH("NRD_", D462), 7), IFERROR(MID(D462, SEARCH("EXN_", D462), 7), IFERROR(MID(D462, SEARCH("LIT_", D462), 7), IFERROR(MID(D462, SEARCH("EST_", D462), 7), MID(D462, SEARCH("OST_",D462), 7))))))))))</f>
        <v/>
      </c>
    </row>
    <row r="463" hidden="1" s="53">
      <c r="E463">
        <f>IFERROR(MID(D463, SEARCH("CTR_", D463), 7), IFERROR(MID(D463, SEARCH("SUO_", D463), 7), IFERROR(MID(D463, SEARCH("SUD_", D463), 7), IFERROR(MID(D463, SEARCH("NRO_", D463), 7), IFERROR(MID(D463, SEARCH("ADM_", D463), 7), IFERROR(MID(D463, SEARCH("NRD_", D463), 7), IFERROR(MID(D463, SEARCH("EXN_", D463), 7), IFERROR(MID(D463, SEARCH("LIT_", D463), 7), IFERROR(MID(D463, SEARCH("EST_", D463), 7), MID(D463, SEARCH("OST_",D463), 7))))))))))</f>
        <v/>
      </c>
    </row>
    <row r="464" hidden="1" s="53">
      <c r="E464">
        <f>IFERROR(MID(D464, SEARCH("CTR_", D464), 7), IFERROR(MID(D464, SEARCH("SUO_", D464), 7), IFERROR(MID(D464, SEARCH("SUD_", D464), 7), IFERROR(MID(D464, SEARCH("NRO_", D464), 7), IFERROR(MID(D464, SEARCH("ADM_", D464), 7), IFERROR(MID(D464, SEARCH("NRD_", D464), 7), IFERROR(MID(D464, SEARCH("EXN_", D464), 7), IFERROR(MID(D464, SEARCH("LIT_", D464), 7), IFERROR(MID(D464, SEARCH("EST_", D464), 7), MID(D464, SEARCH("OST_",D464), 7))))))))))</f>
        <v/>
      </c>
    </row>
    <row r="465" hidden="1" s="53">
      <c r="E465">
        <f>IFERROR(MID(D465, SEARCH("CTR_", D465), 7), IFERROR(MID(D465, SEARCH("SUO_", D465), 7), IFERROR(MID(D465, SEARCH("SUD_", D465), 7), IFERROR(MID(D465, SEARCH("NRO_", D465), 7), IFERROR(MID(D465, SEARCH("ADM_", D465), 7), IFERROR(MID(D465, SEARCH("NRD_", D465), 7), IFERROR(MID(D465, SEARCH("EXN_", D465), 7), IFERROR(MID(D465, SEARCH("LIT_", D465), 7), IFERROR(MID(D465, SEARCH("EST_", D465), 7), MID(D465, SEARCH("OST_",D465), 7))))))))))</f>
        <v/>
      </c>
    </row>
    <row r="466" hidden="1" s="53">
      <c r="E466">
        <f>IFERROR(MID(D466, SEARCH("CTR_", D466), 7), IFERROR(MID(D466, SEARCH("SUO_", D466), 7), IFERROR(MID(D466, SEARCH("SUD_", D466), 7), IFERROR(MID(D466, SEARCH("NRO_", D466), 7), IFERROR(MID(D466, SEARCH("ADM_", D466), 7), IFERROR(MID(D466, SEARCH("NRD_", D466), 7), IFERROR(MID(D466, SEARCH("EXN_", D466), 7), IFERROR(MID(D466, SEARCH("LIT_", D466), 7), IFERROR(MID(D466, SEARCH("EST_", D466), 7), MID(D466, SEARCH("OST_",D466), 7))))))))))</f>
        <v/>
      </c>
    </row>
    <row r="467" hidden="1" s="53">
      <c r="E467">
        <f>IFERROR(MID(D467, SEARCH("CTR_", D467), 7), IFERROR(MID(D467, SEARCH("SUO_", D467), 7), IFERROR(MID(D467, SEARCH("SUD_", D467), 7), IFERROR(MID(D467, SEARCH("NRO_", D467), 7), IFERROR(MID(D467, SEARCH("ADM_", D467), 7), IFERROR(MID(D467, SEARCH("NRD_", D467), 7), IFERROR(MID(D467, SEARCH("EXN_", D467), 7), IFERROR(MID(D467, SEARCH("LIT_", D467), 7), IFERROR(MID(D467, SEARCH("EST_", D467), 7), MID(D467, SEARCH("OST_",D467), 7))))))))))</f>
        <v/>
      </c>
    </row>
    <row r="468" hidden="1" s="53">
      <c r="E468">
        <f>IFERROR(MID(D468, SEARCH("CTR_", D468), 7), IFERROR(MID(D468, SEARCH("SUO_", D468), 7), IFERROR(MID(D468, SEARCH("SUD_", D468), 7), IFERROR(MID(D468, SEARCH("NRO_", D468), 7), IFERROR(MID(D468, SEARCH("ADM_", D468), 7), IFERROR(MID(D468, SEARCH("NRD_", D468), 7), IFERROR(MID(D468, SEARCH("EXN_", D468), 7), IFERROR(MID(D468, SEARCH("LIT_", D468), 7), IFERROR(MID(D468, SEARCH("EST_", D468), 7), MID(D468, SEARCH("OST_",D468), 7))))))))))</f>
        <v/>
      </c>
    </row>
  </sheetData>
  <autoFilter ref="A1:F468">
    <filterColumn colId="1" hiddenButton="0" showButton="1">
      <filters>
        <filter val="EST_055_Z_Gado-Badzere(EST-055)"/>
      </filters>
    </filterColumn>
  </autoFilter>
  <conditionalFormatting sqref="B265">
    <cfRule type="duplicateValues" priority="12" dxfId="1"/>
  </conditionalFormatting>
  <conditionalFormatting sqref="C265">
    <cfRule type="duplicateValues" priority="11" dxfId="1"/>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23"/>
  <sheetViews>
    <sheetView topLeftCell="A5" workbookViewId="0">
      <selection activeCell="M10" sqref="M10"/>
    </sheetView>
  </sheetViews>
  <sheetFormatPr baseColWidth="8" defaultRowHeight="14.4"/>
  <cols>
    <col width="26.21875" customWidth="1" style="53" min="12" max="12"/>
    <col width="36.77734375" customWidth="1" style="53" min="13" max="13"/>
  </cols>
  <sheetData>
    <row r="1">
      <c r="A1" s="13" t="inlineStr">
        <is>
          <t>Nom du Physique</t>
        </is>
      </c>
      <c r="B1" s="13" t="inlineStr">
        <is>
          <t>Codesite</t>
        </is>
      </c>
      <c r="C1" s="13" t="inlineStr">
        <is>
          <t>CLUSTER</t>
        </is>
      </c>
      <c r="D1" s="13" t="inlineStr">
        <is>
          <t>Owner</t>
        </is>
      </c>
      <c r="E1" s="13" t="inlineStr">
        <is>
          <t>Topology</t>
        </is>
      </c>
      <c r="F1" s="13" t="inlineStr">
        <is>
          <t>Region</t>
        </is>
      </c>
      <c r="G1" s="13" t="inlineStr">
        <is>
          <t>Ville</t>
        </is>
      </c>
      <c r="H1" s="13" t="inlineStr">
        <is>
          <t>Equipementiers</t>
        </is>
      </c>
      <c r="I1" s="14" t="inlineStr">
        <is>
          <t>NUR 2G</t>
        </is>
      </c>
      <c r="J1" s="14" t="inlineStr">
        <is>
          <t>NUR 3G</t>
        </is>
      </c>
      <c r="K1" s="14" t="inlineStr">
        <is>
          <t>NUR 4G</t>
        </is>
      </c>
      <c r="L1" s="14" t="inlineStr">
        <is>
          <t>NUR  DU JOUR 05/25/2026</t>
        </is>
      </c>
    </row>
    <row r="2">
      <c r="A2" s="15" t="inlineStr">
        <is>
          <t>Missoke-Chefferie</t>
        </is>
      </c>
      <c r="B2" s="2" t="inlineStr">
        <is>
          <t>LIT_732</t>
        </is>
      </c>
      <c r="C2" s="16" t="inlineStr">
        <is>
          <t>Douala</t>
        </is>
      </c>
      <c r="D2" s="15" t="inlineStr">
        <is>
          <t>CAMUSAT</t>
        </is>
      </c>
      <c r="E2" s="15" t="inlineStr">
        <is>
          <t>Good Grid no GE - 8h</t>
        </is>
      </c>
      <c r="F2" s="16" t="inlineStr">
        <is>
          <t>LITTORAL</t>
        </is>
      </c>
      <c r="G2" s="15" t="inlineStr">
        <is>
          <t>Douala</t>
        </is>
      </c>
      <c r="H2" s="12" t="inlineStr">
        <is>
          <t>ZTE</t>
        </is>
      </c>
      <c r="I2" s="29" t="n">
        <v>24.0819924543082</v>
      </c>
      <c r="J2" s="29" t="n">
        <v>20.51914498267661</v>
      </c>
      <c r="K2" s="29" t="n">
        <v>70.9177944565924</v>
      </c>
      <c r="L2" s="29" t="n">
        <v>47.31023833371857</v>
      </c>
    </row>
    <row r="3">
      <c r="A3" s="15" t="inlineStr">
        <is>
          <t>Ngo-Njo</t>
        </is>
      </c>
      <c r="B3" s="15" t="inlineStr">
        <is>
          <t>LIT_441</t>
        </is>
      </c>
      <c r="C3" s="16" t="inlineStr">
        <is>
          <t>Douala</t>
        </is>
      </c>
      <c r="D3" s="15" t="inlineStr">
        <is>
          <t>IHS</t>
        </is>
      </c>
      <c r="E3" s="15" t="inlineStr">
        <is>
          <t>Grid-Gen</t>
        </is>
      </c>
      <c r="F3" s="16" t="inlineStr">
        <is>
          <t>LITTORAL</t>
        </is>
      </c>
      <c r="G3" s="15" t="inlineStr">
        <is>
          <t>Douala</t>
        </is>
      </c>
      <c r="H3" s="12" t="inlineStr">
        <is>
          <t>ZTE</t>
        </is>
      </c>
      <c r="I3" s="29" t="n">
        <v>13.03010683068954</v>
      </c>
      <c r="J3" s="29" t="n">
        <v>11.09423822978399</v>
      </c>
      <c r="K3" s="29" t="n">
        <v>43.24354106337292</v>
      </c>
      <c r="L3" s="29" t="n">
        <v>28.13617367656585</v>
      </c>
    </row>
    <row r="4">
      <c r="A4" s="15" t="inlineStr">
        <is>
          <t>Soa-University-Stadium</t>
        </is>
      </c>
      <c r="B4" s="2" t="inlineStr">
        <is>
          <t>CTR_674</t>
        </is>
      </c>
      <c r="C4" s="16" t="inlineStr">
        <is>
          <t>Yaounde</t>
        </is>
      </c>
      <c r="D4" s="15" t="inlineStr">
        <is>
          <t>IHS</t>
        </is>
      </c>
      <c r="E4" s="15" t="inlineStr">
        <is>
          <t>Grid-Gen</t>
        </is>
      </c>
      <c r="F4" s="16" t="inlineStr">
        <is>
          <t>CENTRE</t>
        </is>
      </c>
      <c r="G4" s="15" t="inlineStr">
        <is>
          <t>Yaounde</t>
        </is>
      </c>
      <c r="H4" s="12" t="inlineStr">
        <is>
          <t>ZTE</t>
        </is>
      </c>
      <c r="I4" s="29" t="n">
        <v>32.37293622531563</v>
      </c>
      <c r="J4" s="29" t="n">
        <v>27.54062241806665</v>
      </c>
      <c r="K4" s="29" t="n">
        <v>26.59417292122215</v>
      </c>
      <c r="L4" s="29" t="n">
        <v>27.73711379921411</v>
      </c>
    </row>
    <row r="5">
      <c r="A5" s="15" t="inlineStr">
        <is>
          <t>Vallee-Omnisport</t>
        </is>
      </c>
      <c r="B5" s="15" t="inlineStr">
        <is>
          <t>CTR_758</t>
        </is>
      </c>
      <c r="C5" s="16" t="inlineStr">
        <is>
          <t>Yaounde</t>
        </is>
      </c>
      <c r="D5" s="15" t="inlineStr">
        <is>
          <t>CAMUSAT</t>
        </is>
      </c>
      <c r="E5" s="15" t="inlineStr">
        <is>
          <t>Good Grid no GE - 8h</t>
        </is>
      </c>
      <c r="F5" s="16" t="inlineStr">
        <is>
          <t>CENTRE</t>
        </is>
      </c>
      <c r="G5" s="15" t="inlineStr">
        <is>
          <t>Yaounde</t>
        </is>
      </c>
      <c r="H5" s="12" t="inlineStr">
        <is>
          <t>ZTE</t>
        </is>
      </c>
      <c r="I5" s="29" t="n">
        <v>17.04974641199957</v>
      </c>
      <c r="J5" s="29" t="n">
        <v>14.59780491039098</v>
      </c>
      <c r="K5" s="29" t="n">
        <v>37.68366258670465</v>
      </c>
      <c r="L5" s="29" t="n">
        <v>26.98695257010612</v>
      </c>
    </row>
    <row r="6">
      <c r="A6" s="8" t="inlineStr">
        <is>
          <t>LIT_825_Z_Camp-Bertaud</t>
        </is>
      </c>
      <c r="B6" s="10" t="inlineStr">
        <is>
          <t>LIT_825</t>
        </is>
      </c>
      <c r="C6" s="16" t="inlineStr">
        <is>
          <t>Douala</t>
        </is>
      </c>
      <c r="D6" s="8" t="inlineStr">
        <is>
          <t>ESCO</t>
        </is>
      </c>
      <c r="E6" s="8" t="inlineStr">
        <is>
          <t>Good Grid no GE - 8h</t>
        </is>
      </c>
      <c r="F6" s="8" t="inlineStr">
        <is>
          <t>LIT</t>
        </is>
      </c>
      <c r="G6" s="8" t="inlineStr">
        <is>
          <t>Douala</t>
        </is>
      </c>
      <c r="H6" s="12" t="inlineStr">
        <is>
          <t>ZTE</t>
        </is>
      </c>
      <c r="I6" s="29" t="n">
        <v>12.76370454300205</v>
      </c>
      <c r="J6" s="29" t="n">
        <v>10.9225343492763</v>
      </c>
      <c r="K6" s="29" t="n">
        <v>40.87865697237928</v>
      </c>
      <c r="L6" s="29" t="n">
        <v>26.80722848590173</v>
      </c>
    </row>
    <row r="7">
      <c r="A7" s="15" t="inlineStr">
        <is>
          <t>BTS-Mobile-OKPLASTCAM</t>
        </is>
      </c>
      <c r="B7" s="2" t="inlineStr">
        <is>
          <t>LIT_780</t>
        </is>
      </c>
      <c r="C7" s="16" t="inlineStr">
        <is>
          <t>Douala</t>
        </is>
      </c>
      <c r="D7" s="15" t="inlineStr">
        <is>
          <t>WAS ORANGE</t>
        </is>
      </c>
      <c r="E7" s="15" t="n"/>
      <c r="F7" s="16" t="inlineStr">
        <is>
          <t>LITTORAL</t>
        </is>
      </c>
      <c r="G7" s="15" t="inlineStr">
        <is>
          <t>Douala</t>
        </is>
      </c>
      <c r="H7" s="12" t="inlineStr">
        <is>
          <t>ZTE</t>
        </is>
      </c>
      <c r="I7" s="29" t="n">
        <v>0</v>
      </c>
      <c r="J7" s="29" t="n">
        <v>18.75057376296705</v>
      </c>
      <c r="K7" s="29" t="n">
        <v>30.10777753700748</v>
      </c>
      <c r="L7" s="29" t="n">
        <v>21.99564538727802</v>
      </c>
    </row>
    <row r="8">
      <c r="A8" s="15" t="inlineStr">
        <is>
          <t>La-Gare</t>
        </is>
      </c>
      <c r="B8" s="2" t="inlineStr">
        <is>
          <t>CTR_019</t>
        </is>
      </c>
      <c r="C8" s="16" t="inlineStr">
        <is>
          <t>Yaounde</t>
        </is>
      </c>
      <c r="D8" s="15" t="inlineStr">
        <is>
          <t>CAMUSAT</t>
        </is>
      </c>
      <c r="E8" s="15" t="inlineStr">
        <is>
          <t>Good Grid + GE</t>
        </is>
      </c>
      <c r="F8" s="16" t="inlineStr">
        <is>
          <t>CENTRE</t>
        </is>
      </c>
      <c r="G8" s="15" t="inlineStr">
        <is>
          <t>Yaounde</t>
        </is>
      </c>
      <c r="H8" s="12" t="inlineStr">
        <is>
          <t>ZTE</t>
        </is>
      </c>
      <c r="I8" s="29" t="n">
        <v>18.16581338001431</v>
      </c>
      <c r="J8" s="29" t="n">
        <v>15.53951994315072</v>
      </c>
      <c r="K8" s="29" t="n">
        <v>25.06353736426575</v>
      </c>
      <c r="L8" s="29" t="n">
        <v>20.88122051861554</v>
      </c>
    </row>
    <row r="9">
      <c r="A9" s="8" t="inlineStr">
        <is>
          <t>EST_201_Z_Bertoua-Qtier-Toungou</t>
        </is>
      </c>
      <c r="B9" s="10" t="inlineStr">
        <is>
          <t>EST_201</t>
        </is>
      </c>
      <c r="C9" s="16" t="inlineStr">
        <is>
          <t>CENTRE</t>
        </is>
      </c>
      <c r="D9" s="8" t="inlineStr">
        <is>
          <t>ESCO</t>
        </is>
      </c>
      <c r="E9" s="8" t="inlineStr">
        <is>
          <t>Hybrid Solar - S1</t>
        </is>
      </c>
      <c r="F9" s="8" t="inlineStr">
        <is>
          <t>EST</t>
        </is>
      </c>
      <c r="G9" s="8" t="inlineStr">
        <is>
          <t>Bertoua</t>
        </is>
      </c>
      <c r="H9" s="12" t="inlineStr">
        <is>
          <t>ZTE</t>
        </is>
      </c>
      <c r="I9" s="29" t="n">
        <v>12.19567941201156</v>
      </c>
      <c r="J9" s="29" t="n">
        <v>20.76256923406469</v>
      </c>
      <c r="K9" s="29" t="n">
        <v>19.87945206154089</v>
      </c>
      <c r="L9" s="29" t="n">
        <v>19.07868265831129</v>
      </c>
    </row>
    <row r="10">
      <c r="A10" s="15" t="inlineStr">
        <is>
          <t>Maroua-CRTV</t>
        </is>
      </c>
      <c r="B10" s="2" t="inlineStr">
        <is>
          <t>EXN_045</t>
        </is>
      </c>
      <c r="C10" s="16" t="inlineStr">
        <is>
          <t>Maroua</t>
        </is>
      </c>
      <c r="D10" s="15" t="inlineStr">
        <is>
          <t>CAMUSAT</t>
        </is>
      </c>
      <c r="E10" s="15" t="inlineStr">
        <is>
          <t>Good Grid + Solar + GE</t>
        </is>
      </c>
      <c r="F10" s="16" t="inlineStr">
        <is>
          <t>EXTREME-NORD</t>
        </is>
      </c>
      <c r="G10" s="15" t="inlineStr">
        <is>
          <t>Maroua</t>
        </is>
      </c>
      <c r="H10" s="11" t="inlineStr">
        <is>
          <t>Huawei</t>
        </is>
      </c>
      <c r="I10" s="29" t="n">
        <v>10.77224440367852</v>
      </c>
      <c r="J10" s="29" t="n">
        <v>13.79581178534635</v>
      </c>
      <c r="K10" s="29" t="n">
        <v>15.9004152193089</v>
      </c>
      <c r="L10" s="29" t="n">
        <v>14.46157325366047</v>
      </c>
    </row>
    <row r="11">
      <c r="A11" s="15" t="inlineStr">
        <is>
          <t>Garoua-Boulai-Sabal-IHS</t>
        </is>
      </c>
      <c r="B11" s="2" t="inlineStr">
        <is>
          <t>EST_156</t>
        </is>
      </c>
      <c r="C11" s="16" t="inlineStr">
        <is>
          <t>CENTRE</t>
        </is>
      </c>
      <c r="D11" s="15" t="inlineStr">
        <is>
          <t>IHS</t>
        </is>
      </c>
      <c r="E11" s="15" t="inlineStr">
        <is>
          <t>Grid-Gen</t>
        </is>
      </c>
      <c r="F11" s="16" t="inlineStr">
        <is>
          <t>EST</t>
        </is>
      </c>
      <c r="G11" s="15" t="inlineStr">
        <is>
          <t>Garoua</t>
        </is>
      </c>
      <c r="H11" s="12" t="inlineStr">
        <is>
          <t>ZTE</t>
        </is>
      </c>
      <c r="I11" s="29" t="n">
        <v>8.556596685171197</v>
      </c>
      <c r="J11" s="29" t="n">
        <v>14.57761695414317</v>
      </c>
      <c r="K11" s="29" t="n">
        <v>14.61667181039559</v>
      </c>
      <c r="L11" s="29" t="n">
        <v>13.73818247710689</v>
      </c>
    </row>
    <row r="12">
      <c r="A12" s="15" t="inlineStr">
        <is>
          <t>Limbe-Mile_1</t>
        </is>
      </c>
      <c r="B12" s="2" t="inlineStr">
        <is>
          <t>SUO_234</t>
        </is>
      </c>
      <c r="C12" s="16" t="inlineStr">
        <is>
          <t>SUD-OUEST</t>
        </is>
      </c>
      <c r="D12" s="15" t="inlineStr">
        <is>
          <t>ESCO</t>
        </is>
      </c>
      <c r="E12" s="15" t="inlineStr">
        <is>
          <t>medium Grid + GE</t>
        </is>
      </c>
      <c r="F12" s="16" t="inlineStr">
        <is>
          <t>SUD-OUEST</t>
        </is>
      </c>
      <c r="G12" s="15" t="inlineStr">
        <is>
          <t>Limbe</t>
        </is>
      </c>
      <c r="H12" s="11" t="inlineStr">
        <is>
          <t>Huawei</t>
        </is>
      </c>
      <c r="I12" s="29" t="n">
        <v>11.00704810778189</v>
      </c>
      <c r="J12" s="29" t="n">
        <v>9.376774415101782</v>
      </c>
      <c r="K12" s="29" t="n">
        <v>17.07878742609994</v>
      </c>
      <c r="L12" s="29" t="n">
        <v>13.62608900988206</v>
      </c>
    </row>
    <row r="13">
      <c r="A13" s="15" t="inlineStr">
        <is>
          <t>Maroua-Tchadeo-III</t>
        </is>
      </c>
      <c r="B13" s="2" t="inlineStr">
        <is>
          <t>EXN_249</t>
        </is>
      </c>
      <c r="C13" s="16" t="inlineStr">
        <is>
          <t>Maroua</t>
        </is>
      </c>
      <c r="D13" s="15" t="inlineStr">
        <is>
          <t>CAMUSAT</t>
        </is>
      </c>
      <c r="E13" s="15" t="inlineStr">
        <is>
          <t>Medium Grid + GE</t>
        </is>
      </c>
      <c r="F13" s="16" t="inlineStr">
        <is>
          <t>EXTREME-NORD</t>
        </is>
      </c>
      <c r="G13" s="15" t="inlineStr">
        <is>
          <t>Maroua</t>
        </is>
      </c>
      <c r="H13" s="11" t="inlineStr">
        <is>
          <t>Huawei</t>
        </is>
      </c>
      <c r="I13" s="29" t="n">
        <v>9.460840737143748</v>
      </c>
      <c r="J13" s="29" t="n">
        <v>12.07324785540153</v>
      </c>
      <c r="K13" s="29" t="n">
        <v>14.6485123132115</v>
      </c>
      <c r="L13" s="29" t="n">
        <v>13.04316731015629</v>
      </c>
    </row>
    <row r="14">
      <c r="A14" s="8" t="inlineStr">
        <is>
          <t>EST_194_Z_Bertoua-Birpondo-II</t>
        </is>
      </c>
      <c r="B14" s="10" t="inlineStr">
        <is>
          <t>EST_194</t>
        </is>
      </c>
      <c r="C14" s="16" t="inlineStr">
        <is>
          <t>CENTRE</t>
        </is>
      </c>
      <c r="D14" s="8" t="inlineStr">
        <is>
          <t>ESCO</t>
        </is>
      </c>
      <c r="E14" s="8" t="inlineStr">
        <is>
          <t>Bad Grid + Solar + GE</t>
        </is>
      </c>
      <c r="F14" s="8" t="inlineStr">
        <is>
          <t>EST</t>
        </is>
      </c>
      <c r="G14" s="8" t="inlineStr">
        <is>
          <t>Bertoua</t>
        </is>
      </c>
      <c r="H14" s="12" t="inlineStr">
        <is>
          <t>ZTE</t>
        </is>
      </c>
      <c r="I14" s="29" t="n">
        <v>7.557806673620854</v>
      </c>
      <c r="J14" s="29" t="n">
        <v>12.86355321630268</v>
      </c>
      <c r="K14" s="29" t="n">
        <v>12.45035480785436</v>
      </c>
      <c r="L14" s="29" t="n">
        <v>11.89041485818972</v>
      </c>
    </row>
    <row r="15">
      <c r="A15" s="15" t="inlineStr">
        <is>
          <t>Garoua-Stade</t>
        </is>
      </c>
      <c r="B15" s="2" t="inlineStr">
        <is>
          <t>NRD_143</t>
        </is>
      </c>
      <c r="C15" s="16" t="inlineStr">
        <is>
          <t>Garoua</t>
        </is>
      </c>
      <c r="D15" s="15" t="inlineStr">
        <is>
          <t>CAMUSAT</t>
        </is>
      </c>
      <c r="E15" s="15" t="inlineStr">
        <is>
          <t>Good Grid + GE</t>
        </is>
      </c>
      <c r="F15" s="16" t="inlineStr">
        <is>
          <t>NORD</t>
        </is>
      </c>
      <c r="G15" s="15" t="inlineStr">
        <is>
          <t>Garoua</t>
        </is>
      </c>
      <c r="H15" s="11" t="inlineStr">
        <is>
          <t>Huawei</t>
        </is>
      </c>
      <c r="I15" s="29" t="n">
        <v>9.140483555747394</v>
      </c>
      <c r="J15" s="29" t="n">
        <v>11.63325666160055</v>
      </c>
      <c r="K15" s="29" t="n">
        <v>12.0891309724712</v>
      </c>
      <c r="L15" s="29" t="n">
        <v>11.51502212976518</v>
      </c>
    </row>
    <row r="16">
      <c r="A16" s="15" t="inlineStr">
        <is>
          <t>Garoua-Boulai-Frontiere</t>
        </is>
      </c>
      <c r="B16" s="2" t="inlineStr">
        <is>
          <t>EST_080</t>
        </is>
      </c>
      <c r="C16" s="16" t="inlineStr">
        <is>
          <t>CENTRE</t>
        </is>
      </c>
      <c r="D16" s="15" t="inlineStr">
        <is>
          <t>IHS</t>
        </is>
      </c>
      <c r="E16" s="15" t="inlineStr">
        <is>
          <t>Grid-Gen</t>
        </is>
      </c>
      <c r="F16" s="16" t="inlineStr">
        <is>
          <t>EST</t>
        </is>
      </c>
      <c r="G16" s="15" t="inlineStr">
        <is>
          <t>Garoua-Boulai</t>
        </is>
      </c>
      <c r="H16" s="12" t="inlineStr">
        <is>
          <t>ZTE</t>
        </is>
      </c>
      <c r="I16" s="29" t="n">
        <v>8.542233692632959</v>
      </c>
      <c r="J16" s="29" t="n">
        <v>3.667461009618817</v>
      </c>
      <c r="K16" s="29" t="n">
        <v>12.132189181972</v>
      </c>
      <c r="L16" s="29" t="n">
        <v>8.777836990237789</v>
      </c>
    </row>
    <row r="17">
      <c r="A17" s="15" t="inlineStr">
        <is>
          <t>Garoua-Bockle-IHS</t>
        </is>
      </c>
      <c r="B17" s="2" t="inlineStr">
        <is>
          <t>NRD_094</t>
        </is>
      </c>
      <c r="C17" s="16" t="inlineStr">
        <is>
          <t>Garoua</t>
        </is>
      </c>
      <c r="D17" s="15" t="inlineStr">
        <is>
          <t>IHS</t>
        </is>
      </c>
      <c r="E17" s="15" t="inlineStr">
        <is>
          <t>Grid-Gen</t>
        </is>
      </c>
      <c r="F17" s="16" t="inlineStr">
        <is>
          <t>NORD</t>
        </is>
      </c>
      <c r="G17" s="15" t="inlineStr">
        <is>
          <t>Garoua</t>
        </is>
      </c>
      <c r="H17" s="11" t="inlineStr">
        <is>
          <t>Huawei</t>
        </is>
      </c>
      <c r="I17" s="29" t="n">
        <v>8.881949690059111</v>
      </c>
      <c r="J17" s="29" t="n">
        <v>15.08173147213127</v>
      </c>
      <c r="K17" s="29" t="n">
        <v>1.213598541807573</v>
      </c>
      <c r="L17" s="29" t="n">
        <v>6.964330556768341</v>
      </c>
    </row>
    <row r="18">
      <c r="A18" s="15" t="inlineStr">
        <is>
          <t>Maroua-Diguirwo-II</t>
        </is>
      </c>
      <c r="B18" s="2" t="inlineStr">
        <is>
          <t>EXN_196</t>
        </is>
      </c>
      <c r="C18" s="16" t="inlineStr">
        <is>
          <t>Maroua</t>
        </is>
      </c>
      <c r="D18" s="15" t="inlineStr">
        <is>
          <t>CAMUSAT</t>
        </is>
      </c>
      <c r="E18" s="15" t="inlineStr">
        <is>
          <t>Good Grid + GE</t>
        </is>
      </c>
      <c r="F18" s="16" t="inlineStr">
        <is>
          <t>EXTREME-NORD</t>
        </is>
      </c>
      <c r="G18" s="15" t="inlineStr">
        <is>
          <t>Maroua</t>
        </is>
      </c>
      <c r="H18" s="11" t="inlineStr">
        <is>
          <t>Huawei</t>
        </is>
      </c>
      <c r="I18" s="29" t="n">
        <v>5.25560631312223</v>
      </c>
      <c r="J18" s="29" t="n">
        <v>6.725936381162215</v>
      </c>
      <c r="K18" s="29" t="n">
        <v>7.463194977969518</v>
      </c>
      <c r="L18" s="29" t="n">
        <v>6.900445306235429</v>
      </c>
    </row>
    <row r="19">
      <c r="A19" s="15" t="inlineStr">
        <is>
          <t>Maroua-Zikirou-IHS</t>
        </is>
      </c>
      <c r="B19" s="2" t="inlineStr">
        <is>
          <t>EXN_147</t>
        </is>
      </c>
      <c r="C19" s="16" t="inlineStr">
        <is>
          <t>Maroua</t>
        </is>
      </c>
      <c r="D19" s="15" t="inlineStr">
        <is>
          <t>IHS</t>
        </is>
      </c>
      <c r="E19" s="15" t="inlineStr">
        <is>
          <t>Grid-Gen</t>
        </is>
      </c>
      <c r="F19" s="16" t="inlineStr">
        <is>
          <t>EXTREME-NORD</t>
        </is>
      </c>
      <c r="G19" s="15" t="inlineStr">
        <is>
          <t>Maroua</t>
        </is>
      </c>
      <c r="H19" s="11" t="inlineStr">
        <is>
          <t>Huawei</t>
        </is>
      </c>
      <c r="I19" s="29" t="n">
        <v>11.60030214740477</v>
      </c>
      <c r="J19" s="29" t="n">
        <v>14.79070614495888</v>
      </c>
      <c r="K19" s="29" t="n">
        <v>0.2647105175029056</v>
      </c>
      <c r="L19" s="29" t="n">
        <v>6.759976229407618</v>
      </c>
    </row>
    <row r="20">
      <c r="A20" s="15" t="inlineStr">
        <is>
          <t>CRTV_Yaounde_Mballa_II</t>
        </is>
      </c>
      <c r="B20" s="15" t="inlineStr">
        <is>
          <t>CTR_842</t>
        </is>
      </c>
      <c r="C20" s="16" t="inlineStr">
        <is>
          <t>Yaounde</t>
        </is>
      </c>
      <c r="D20" s="15" t="inlineStr">
        <is>
          <t>CAMUSAT</t>
        </is>
      </c>
      <c r="E20" s="15" t="inlineStr">
        <is>
          <t>Good Grid no GE - 8h</t>
        </is>
      </c>
      <c r="F20" s="16" t="inlineStr">
        <is>
          <t>CENTRE</t>
        </is>
      </c>
      <c r="G20" s="15" t="inlineStr">
        <is>
          <t>Yaounde</t>
        </is>
      </c>
      <c r="H20" s="12" t="inlineStr">
        <is>
          <t>ZTE</t>
        </is>
      </c>
      <c r="I20" s="29" t="n">
        <v>0</v>
      </c>
      <c r="J20" s="29" t="n">
        <v>12.31364391335244</v>
      </c>
      <c r="K20" s="29" t="n">
        <v>4.223808570109025</v>
      </c>
      <c r="L20" s="29" t="n">
        <v>6.33650012983937</v>
      </c>
    </row>
    <row r="21">
      <c r="A21" s="15" t="inlineStr">
        <is>
          <t>Maroua-Diguirwo-IHS</t>
        </is>
      </c>
      <c r="B21" s="2" t="inlineStr">
        <is>
          <t>EXN_114</t>
        </is>
      </c>
      <c r="C21" s="16" t="inlineStr">
        <is>
          <t>Maroua</t>
        </is>
      </c>
      <c r="D21" s="15" t="inlineStr">
        <is>
          <t>IHS</t>
        </is>
      </c>
      <c r="E21" s="15" t="inlineStr">
        <is>
          <t>Grid-Gen</t>
        </is>
      </c>
      <c r="F21" s="16" t="inlineStr">
        <is>
          <t>EXTREME-NORD</t>
        </is>
      </c>
      <c r="G21" s="15" t="inlineStr">
        <is>
          <t>Maroua</t>
        </is>
      </c>
      <c r="H21" s="11" t="inlineStr">
        <is>
          <t>Huawei</t>
        </is>
      </c>
      <c r="I21" s="29" t="n">
        <v>4.622385685566866</v>
      </c>
      <c r="J21" s="29" t="n">
        <v>5.914433666200857</v>
      </c>
      <c r="K21" s="29" t="n">
        <v>6.790645581755741</v>
      </c>
      <c r="L21" s="29" t="n">
        <v>6.186863822756418</v>
      </c>
    </row>
    <row r="22">
      <c r="A22" s="15" t="inlineStr">
        <is>
          <t>Maroua-Djarengol-II</t>
        </is>
      </c>
      <c r="B22" s="2" t="inlineStr">
        <is>
          <t>EXN_143</t>
        </is>
      </c>
      <c r="C22" s="16" t="inlineStr">
        <is>
          <t>Maroua</t>
        </is>
      </c>
      <c r="D22" s="15" t="inlineStr">
        <is>
          <t>IHS</t>
        </is>
      </c>
      <c r="E22" s="15" t="inlineStr">
        <is>
          <t>Solar-Grid-Gen</t>
        </is>
      </c>
      <c r="F22" s="16" t="inlineStr">
        <is>
          <t>EXTREME-NORD</t>
        </is>
      </c>
      <c r="G22" s="15" t="inlineStr">
        <is>
          <t>Maroua</t>
        </is>
      </c>
      <c r="H22" s="11" t="inlineStr">
        <is>
          <t>Huawei</t>
        </is>
      </c>
      <c r="I22" s="29" t="n">
        <v>6.522672046169403</v>
      </c>
      <c r="J22" s="29" t="n">
        <v>8.279612119233894</v>
      </c>
      <c r="K22" s="29" t="n">
        <v>4.15397150593061</v>
      </c>
      <c r="L22" s="29" t="n">
        <v>5.877246863166425</v>
      </c>
    </row>
    <row r="23">
      <c r="A23" s="8" t="inlineStr">
        <is>
          <t>EST_205_Z_Mandjou-Sallekere</t>
        </is>
      </c>
      <c r="B23" s="10" t="inlineStr">
        <is>
          <t>EST_205</t>
        </is>
      </c>
      <c r="C23" s="16" t="inlineStr">
        <is>
          <t>CENTRE</t>
        </is>
      </c>
      <c r="D23" s="8" t="inlineStr">
        <is>
          <t>ESCO</t>
        </is>
      </c>
      <c r="E23" s="8" t="inlineStr">
        <is>
          <t>Hybrid Solar - S1</t>
        </is>
      </c>
      <c r="F23" s="8" t="inlineStr">
        <is>
          <t>EST</t>
        </is>
      </c>
      <c r="G23" s="8" t="inlineStr">
        <is>
          <t>Mandjou</t>
        </is>
      </c>
      <c r="H23" s="12" t="inlineStr">
        <is>
          <t>ZTE</t>
        </is>
      </c>
      <c r="I23" s="29" t="n">
        <v>3.266893876719063</v>
      </c>
      <c r="J23" s="29" t="n">
        <v>5.672550074631689</v>
      </c>
      <c r="K23" s="29" t="n">
        <v>5.571848590508834</v>
      </c>
      <c r="L23" s="29" t="n">
        <v>5.276507920201579</v>
      </c>
    </row>
  </sheetData>
  <conditionalFormatting sqref="A2:A23">
    <cfRule type="duplicateValues" priority="2" dxfId="0"/>
  </conditionalFormatting>
  <conditionalFormatting sqref="I2:L2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sheetPr codeName="Sheet2">
    <outlinePr summaryBelow="1" summaryRight="1"/>
    <pageSetUpPr/>
  </sheetPr>
  <dimension ref="A1:Q26"/>
  <sheetViews>
    <sheetView zoomScale="70" zoomScaleNormal="70" workbookViewId="0">
      <selection activeCell="D5" sqref="D5"/>
    </sheetView>
  </sheetViews>
  <sheetFormatPr baseColWidth="8" defaultRowHeight="14.4"/>
  <cols>
    <col width="26.77734375" customWidth="1" style="53" min="1" max="1"/>
    <col width="36.33203125" customWidth="1" style="53" min="2" max="2"/>
    <col width="25.33203125" customWidth="1" style="53" min="3" max="3"/>
    <col width="42.21875" customWidth="1" style="53" min="4" max="4"/>
  </cols>
  <sheetData>
    <row r="1">
      <c r="A1" s="9" t="inlineStr">
        <is>
          <t xml:space="preserve">NOMENCLATURE </t>
        </is>
      </c>
      <c r="B1" s="9" t="inlineStr">
        <is>
          <t xml:space="preserve"> CAUSE</t>
        </is>
      </c>
      <c r="C1" s="9" t="inlineStr">
        <is>
          <t>CATEGORIE</t>
        </is>
      </c>
      <c r="D1" s="9" t="inlineStr">
        <is>
          <t>SUB RCA</t>
        </is>
      </c>
    </row>
    <row r="2">
      <c r="A2" s="3" t="inlineStr">
        <is>
          <t>A (Key)</t>
        </is>
      </c>
      <c r="B2" s="3" t="inlineStr">
        <is>
          <t>B (AK - Type Issue)</t>
        </is>
      </c>
      <c r="C2" s="3" t="inlineStr">
        <is>
          <t>C (AJ - Type)</t>
        </is>
      </c>
      <c r="D2" s="3" t="inlineStr">
        <is>
          <t>D (AM - Detail)</t>
        </is>
      </c>
    </row>
    <row r="3">
      <c r="A3" s="4" t="inlineStr">
        <is>
          <t>PDH</t>
        </is>
      </c>
      <c r="B3" s="4" t="inlineStr">
        <is>
          <t>TX ISSUE</t>
        </is>
      </c>
      <c r="C3" s="4" t="inlineStr">
        <is>
          <t>ACTIVE</t>
        </is>
      </c>
      <c r="D3" s="4" t="inlineStr">
        <is>
          <t>MPR issue</t>
        </is>
      </c>
      <c r="E3" s="4" t="inlineStr">
        <is>
          <t>fxdb</t>
        </is>
      </c>
      <c r="F3" s="4" t="n"/>
      <c r="G3" s="4" t="inlineStr">
        <is>
          <t>CHASSIS</t>
        </is>
      </c>
    </row>
    <row r="4">
      <c r="A4" s="4" t="inlineStr">
        <is>
          <t>BSS</t>
        </is>
      </c>
      <c r="B4" s="4" t="inlineStr">
        <is>
          <t>RAN ISSUE</t>
        </is>
      </c>
      <c r="C4" s="4" t="inlineStr">
        <is>
          <t>ACTIVE</t>
        </is>
      </c>
      <c r="D4" s="4" t="inlineStr">
        <is>
          <t>BSS Hardware issue</t>
        </is>
      </c>
      <c r="E4" s="4" t="inlineStr">
        <is>
          <t>analyse et intervension</t>
        </is>
      </c>
      <c r="G4" s="4" t="inlineStr">
        <is>
          <t xml:space="preserve">jumper </t>
        </is>
      </c>
      <c r="H4" s="4" t="inlineStr">
        <is>
          <t>VBPe1P</t>
        </is>
      </c>
      <c r="I4" s="4" t="inlineStr">
        <is>
          <t>GPS</t>
        </is>
      </c>
      <c r="J4" t="inlineStr">
        <is>
          <t xml:space="preserve"> FXED</t>
        </is>
      </c>
      <c r="K4" s="4" t="inlineStr">
        <is>
          <t>FBBC</t>
        </is>
      </c>
      <c r="L4" t="inlineStr">
        <is>
          <t>FRGU</t>
        </is>
      </c>
      <c r="M4" s="4" t="inlineStr">
        <is>
          <t>FSMF</t>
        </is>
      </c>
      <c r="N4" t="inlineStr">
        <is>
          <t>slot</t>
        </is>
      </c>
      <c r="O4" s="4" t="inlineStr">
        <is>
          <t>board</t>
        </is>
      </c>
      <c r="P4" t="inlineStr">
        <is>
          <t>card</t>
        </is>
      </c>
      <c r="Q4" t="inlineStr">
        <is>
          <t>carte FPFC / FPFH ou connexion vers RRU</t>
        </is>
      </c>
    </row>
    <row r="5">
      <c r="A5" s="4" t="inlineStr">
        <is>
          <t>ENVTECH</t>
        </is>
      </c>
      <c r="B5" s="4" t="inlineStr">
        <is>
          <t>ENVTECH</t>
        </is>
      </c>
      <c r="C5" s="4" t="inlineStr">
        <is>
          <t>PASSIVE</t>
        </is>
      </c>
      <c r="D5" s="4" t="inlineStr">
        <is>
          <t>Sites strategiques, MLL, Pylone, etc.</t>
        </is>
      </c>
    </row>
    <row r="6">
      <c r="A6" s="5" t="inlineStr">
        <is>
          <t>AKTIVCO</t>
        </is>
      </c>
      <c r="B6" s="4" t="inlineStr">
        <is>
          <t>POWER ISSUE</t>
        </is>
      </c>
      <c r="C6" s="4" t="inlineStr">
        <is>
          <t>PASSIVE</t>
        </is>
      </c>
      <c r="D6" s="5" t="inlineStr">
        <is>
          <t>AKTIVCO Defaut GE &amp; Power Cabinet</t>
        </is>
      </c>
    </row>
    <row r="7">
      <c r="A7" s="5" t="inlineStr">
        <is>
          <t>AKTIVCO GRID ONLY</t>
        </is>
      </c>
      <c r="B7" s="4" t="inlineStr">
        <is>
          <t>POWER ISSUE</t>
        </is>
      </c>
      <c r="C7" s="4" t="inlineStr">
        <is>
          <t>PASSIVE</t>
        </is>
      </c>
      <c r="D7" s="5" t="inlineStr">
        <is>
          <t>AKTIVCO Coupure ENEO &amp; Baisse de tension</t>
        </is>
      </c>
      <c r="F7" t="inlineStr">
        <is>
          <t>power issue =  problèmes de Phases récurrente sur site</t>
        </is>
      </c>
    </row>
    <row r="8">
      <c r="A8" s="6" t="inlineStr">
        <is>
          <t>IHS GRID ONLY</t>
        </is>
      </c>
      <c r="B8" s="4" t="inlineStr">
        <is>
          <t>POWER ISSUE</t>
        </is>
      </c>
      <c r="C8" s="4" t="inlineStr">
        <is>
          <t>PASSIVE</t>
        </is>
      </c>
      <c r="D8" s="6" t="inlineStr">
        <is>
          <t>Coupure ENEO &amp; Baisse de tension</t>
        </is>
      </c>
      <c r="F8" t="inlineStr">
        <is>
          <t>FXDB</t>
        </is>
      </c>
    </row>
    <row r="9" ht="19.05" customHeight="1" s="53">
      <c r="A9" s="6" t="inlineStr">
        <is>
          <t>IHS</t>
        </is>
      </c>
      <c r="B9" s="4" t="inlineStr">
        <is>
          <t>POWER ISSUE</t>
        </is>
      </c>
      <c r="C9" s="4" t="inlineStr">
        <is>
          <t>PASSIVE</t>
        </is>
      </c>
      <c r="D9" s="6" t="inlineStr">
        <is>
          <t>Defaut GE &amp; Power Cabinet</t>
        </is>
      </c>
    </row>
    <row r="10">
      <c r="A10" s="4" t="inlineStr">
        <is>
          <t>Partners</t>
        </is>
      </c>
      <c r="B10" s="4" t="inlineStr">
        <is>
          <t>POWER ISSUE</t>
        </is>
      </c>
      <c r="C10" s="4" t="inlineStr">
        <is>
          <t>PASSIVE</t>
        </is>
      </c>
      <c r="D10" s="4" t="inlineStr">
        <is>
          <t>Sharing</t>
        </is>
      </c>
    </row>
    <row r="11">
      <c r="A11" s="4" t="inlineStr">
        <is>
          <t>SST &amp; DC</t>
        </is>
      </c>
      <c r="B11" s="4" t="inlineStr">
        <is>
          <t>POWER ISSUE</t>
        </is>
      </c>
      <c r="C11" s="4" t="inlineStr">
        <is>
          <t>PASSIVE</t>
        </is>
      </c>
      <c r="D11" s="4" t="inlineStr">
        <is>
          <t>Sites strategiques &amp; DataCenter</t>
        </is>
      </c>
    </row>
    <row r="12">
      <c r="A12" s="4" t="inlineStr">
        <is>
          <t>Exclu</t>
        </is>
      </c>
      <c r="B12" s="4" t="inlineStr">
        <is>
          <t>Exclu</t>
        </is>
      </c>
      <c r="C12" s="4" t="inlineStr">
        <is>
          <t>Exclu</t>
        </is>
      </c>
      <c r="D12" s="4" t="inlineStr">
        <is>
          <t>Exclu</t>
        </is>
      </c>
    </row>
    <row r="13">
      <c r="A13" s="1" t="inlineStr">
        <is>
          <t>SAT</t>
        </is>
      </c>
      <c r="B13" s="4" t="inlineStr">
        <is>
          <t>TX ISSUE</t>
        </is>
      </c>
      <c r="C13" s="4" t="inlineStr">
        <is>
          <t>ACTIVE</t>
        </is>
      </c>
      <c r="D13" s="4" t="inlineStr">
        <is>
          <t>SAT</t>
        </is>
      </c>
      <c r="F13" t="inlineStr">
        <is>
          <t>VSAT = Very Small Aperture Terminal: liaison salellitaire + modem</t>
        </is>
      </c>
    </row>
    <row r="14">
      <c r="A14" s="4" t="inlineStr">
        <is>
          <t>SPARE-ISSUE</t>
        </is>
      </c>
      <c r="B14" s="4" t="inlineStr">
        <is>
          <t>SPARE-ISSUE</t>
        </is>
      </c>
      <c r="C14" s="4" t="inlineStr">
        <is>
          <t>SPARE-ISSUE</t>
        </is>
      </c>
      <c r="D14" s="4" t="inlineStr">
        <is>
          <t>SPARE-ISSUE</t>
        </is>
      </c>
    </row>
    <row r="15">
      <c r="A15" s="4" t="inlineStr">
        <is>
          <t>TRANS_FO_CAMTEL</t>
        </is>
      </c>
      <c r="B15" s="4" t="inlineStr">
        <is>
          <t>TX ISSUE</t>
        </is>
      </c>
      <c r="C15" s="4" t="inlineStr">
        <is>
          <t>ACTIVE</t>
        </is>
      </c>
      <c r="D15" s="4" t="inlineStr">
        <is>
          <t>Fiber CAMTEL</t>
        </is>
      </c>
    </row>
    <row r="16">
      <c r="A16" s="4" t="inlineStr">
        <is>
          <t>Fiber AOF</t>
        </is>
      </c>
      <c r="B16" s="4" t="inlineStr">
        <is>
          <t>TX ISSUE</t>
        </is>
      </c>
      <c r="C16" s="4" t="inlineStr">
        <is>
          <t>ACTIVE</t>
        </is>
      </c>
      <c r="D16" s="4" t="inlineStr">
        <is>
          <t>Fiber AOF</t>
        </is>
      </c>
      <c r="E16" s="4" t="inlineStr">
        <is>
          <t>lien entre 2 site</t>
        </is>
      </c>
    </row>
    <row r="17">
      <c r="A17" s="4" t="inlineStr">
        <is>
          <t>TRAVAUX-HUAWEI</t>
        </is>
      </c>
      <c r="B17" s="4" t="inlineStr">
        <is>
          <t>TRAVAUX-HUAWEI</t>
        </is>
      </c>
      <c r="C17" s="4" t="inlineStr">
        <is>
          <t>TRAVAUX-HUAWEI</t>
        </is>
      </c>
      <c r="D17" s="4" t="inlineStr">
        <is>
          <t>Projet OCM (HUAWEI)</t>
        </is>
      </c>
    </row>
    <row r="18">
      <c r="A18" s="4" t="inlineStr">
        <is>
          <t>TRAVAUX-NOKIA</t>
        </is>
      </c>
      <c r="B18" s="4" t="inlineStr">
        <is>
          <t>TRAVAUX -NOKIA</t>
        </is>
      </c>
      <c r="C18" s="4" t="inlineStr">
        <is>
          <t>TRAVAUX -NOKIA</t>
        </is>
      </c>
      <c r="D18" s="4" t="inlineStr">
        <is>
          <t>Projet OCM (NOKIA)</t>
        </is>
      </c>
      <c r="H18" t="inlineStr">
        <is>
          <t>Site démentelé par OCM</t>
        </is>
      </c>
    </row>
    <row r="19">
      <c r="A19" s="4" t="inlineStr">
        <is>
          <t>ACCESS-ISSUE</t>
        </is>
      </c>
      <c r="B19" s="4" t="inlineStr">
        <is>
          <t>ACCESS-ISSUE</t>
        </is>
      </c>
      <c r="C19" s="4" t="inlineStr">
        <is>
          <t>ACCESS-ISSUE</t>
        </is>
      </c>
      <c r="D19" s="4" t="inlineStr">
        <is>
          <t>ACCESS-ISSUE</t>
        </is>
      </c>
    </row>
    <row r="20">
      <c r="A20" s="4" t="inlineStr">
        <is>
          <t>TRAVAUX OCM</t>
        </is>
      </c>
      <c r="B20" s="4" t="inlineStr">
        <is>
          <t>TRAVAUX OCM</t>
        </is>
      </c>
      <c r="C20" s="4" t="inlineStr">
        <is>
          <t>TRAVAUX OCM</t>
        </is>
      </c>
      <c r="D20" s="4" t="inlineStr">
        <is>
          <t>Projet OCM (ZTE, NOKIA, autres projets)</t>
        </is>
      </c>
      <c r="E20" t="inlineStr">
        <is>
          <t>Site down and not MSP</t>
        </is>
      </c>
    </row>
    <row r="21">
      <c r="A21" s="4" t="inlineStr">
        <is>
          <t>No root cause</t>
        </is>
      </c>
      <c r="B21" s="4" t="inlineStr">
        <is>
          <t>No root cause</t>
        </is>
      </c>
      <c r="C21" s="4" t="inlineStr">
        <is>
          <t>No root cause</t>
        </is>
      </c>
      <c r="D21" s="4" t="inlineStr">
        <is>
          <t>No root cause</t>
        </is>
      </c>
    </row>
    <row r="22">
      <c r="A22" s="4" t="inlineStr">
        <is>
          <t>PDH</t>
        </is>
      </c>
      <c r="B22" s="4" t="inlineStr">
        <is>
          <t>TX ISSUE</t>
        </is>
      </c>
      <c r="C22" s="4" t="inlineStr">
        <is>
          <t>ACTIVE</t>
        </is>
      </c>
      <c r="D22" s="4" t="inlineStr">
        <is>
          <t>ODU HS</t>
        </is>
      </c>
    </row>
    <row r="23">
      <c r="A23" s="4" t="inlineStr">
        <is>
          <t>PDH</t>
        </is>
      </c>
      <c r="B23" s="4" t="inlineStr">
        <is>
          <t>TX ISSUE</t>
        </is>
      </c>
      <c r="C23" s="4" t="inlineStr">
        <is>
          <t>ACTIVE</t>
        </is>
      </c>
      <c r="D23" s="4" t="inlineStr">
        <is>
          <t>IP &amp; VLAN</t>
        </is>
      </c>
    </row>
    <row r="24">
      <c r="A24" s="4" t="inlineStr">
        <is>
          <t>SPARE-ISSUE</t>
        </is>
      </c>
      <c r="B24" s="4" t="inlineStr">
        <is>
          <t>SPARE-ISSUE</t>
        </is>
      </c>
      <c r="C24" s="4" t="inlineStr">
        <is>
          <t>SPARE-ISSUE</t>
        </is>
      </c>
      <c r="D24" s="4" t="inlineStr">
        <is>
          <t>Warehouse HUAWEI</t>
        </is>
      </c>
    </row>
    <row r="25">
      <c r="A25" s="4" t="inlineStr">
        <is>
          <t>SPARE-ISSUE</t>
        </is>
      </c>
      <c r="B25" s="4" t="inlineStr">
        <is>
          <t>SPARE-ISSUE</t>
        </is>
      </c>
      <c r="C25" s="4" t="inlineStr">
        <is>
          <t>SPARE-ISSUE</t>
        </is>
      </c>
      <c r="D25" s="4" t="inlineStr">
        <is>
          <t>SPARE-HS</t>
        </is>
      </c>
    </row>
    <row r="26">
      <c r="A26" s="4" t="inlineStr">
        <is>
          <t>BSS</t>
        </is>
      </c>
      <c r="B26" s="4" t="inlineStr">
        <is>
          <t>RAN ISSUE</t>
        </is>
      </c>
      <c r="C26" s="4" t="inlineStr">
        <is>
          <t>ACTIVE</t>
        </is>
      </c>
      <c r="D26" s="4" t="inlineStr">
        <is>
          <t>Power Telco</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Foweng Tcho Darrel Audrey</dc:creator>
  <dcterms:created xmlns:dcterms="http://purl.org/dc/terms/" xmlns:xsi="http://www.w3.org/2001/XMLSchema-instance" xsi:type="dcterms:W3CDTF">2026-03-12T11:06:28Z</dcterms:created>
  <dcterms:modified xmlns:dcterms="http://purl.org/dc/terms/" xmlns:xsi="http://www.w3.org/2001/XMLSchema-instance" xsi:type="dcterms:W3CDTF">2026-05-27T20:12:57Z</dcterms:modified>
  <cp:lastModifiedBy>Foweng Tcho Darrel Audrey</cp:lastModifiedBy>
</cp:coreProperties>
</file>